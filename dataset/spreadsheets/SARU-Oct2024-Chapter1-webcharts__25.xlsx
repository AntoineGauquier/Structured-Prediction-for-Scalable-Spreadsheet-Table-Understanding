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2.xml" ContentType="application/vnd.openxmlformats-officedocument.drawingml.chartshapes+xml"/>
  <Override PartName="/xl/drawings/drawing53.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4.xml" ContentType="application/vnd.openxmlformats-officedocument.drawingml.chartshapes+xml"/>
  <Override PartName="/xl/drawings/drawing55.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6.xml" ContentType="application/vnd.openxmlformats-officedocument.drawingml.chartshapes+xml"/>
  <Override PartName="/xl/drawings/drawing57.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58.xml" ContentType="application/vnd.openxmlformats-officedocument.drawingml.chartshapes+xml"/>
  <Override PartName="/xl/drawings/drawing59.xml" ContentType="application/vnd.openxmlformats-officedocument.drawing+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60.xml" ContentType="application/vnd.openxmlformats-officedocument.drawingml.chartshapes+xml"/>
  <Override PartName="/xl/drawings/drawing61.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2.xml" ContentType="application/vnd.openxmlformats-officedocument.drawingml.chartshapes+xml"/>
  <Override PartName="/xl/drawings/drawing63.xml" ContentType="application/vnd.openxmlformats-officedocument.drawing+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64.xml" ContentType="application/vnd.openxmlformats-officedocument.drawingml.chartshapes+xml"/>
  <Override PartName="/xl/drawings/drawing65.xml" ContentType="application/vnd.openxmlformats-officedocument.drawing+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66.xml" ContentType="application/vnd.openxmlformats-officedocument.drawingml.chartshapes+xml"/>
  <Override PartName="/xl/drawings/drawing67.xml" ContentType="application/vnd.openxmlformats-officedocument.drawing+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8.xml" ContentType="application/vnd.openxmlformats-officedocument.drawingml.chartshapes+xml"/>
  <Override PartName="/xl/drawings/drawing69.xml" ContentType="application/vnd.openxmlformats-officedocument.drawing+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70.xml" ContentType="application/vnd.openxmlformats-officedocument.drawingml.chartshapes+xml"/>
  <Override PartName="/xl/drawings/drawing71.xml" ContentType="application/vnd.openxmlformats-officedocument.drawing+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72.xml" ContentType="application/vnd.openxmlformats-officedocument.drawingml.chartshapes+xml"/>
  <Override PartName="/xl/drawings/drawing73.xml" ContentType="application/vnd.openxmlformats-officedocument.drawing+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4.xml" ContentType="application/vnd.openxmlformats-officedocument.drawingml.chartshapes+xml"/>
  <Override PartName="/xl/drawings/drawing75.xml" ContentType="application/vnd.openxmlformats-officedocument.drawing+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76.xml" ContentType="application/vnd.openxmlformats-officedocument.drawingml.chartshapes+xml"/>
  <Override PartName="/xl/drawings/drawing77.xml" ContentType="application/vnd.openxmlformats-officedocument.drawing+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78.xml" ContentType="application/vnd.openxmlformats-officedocument.drawingml.chartshapes+xml"/>
  <Override PartName="/xl/drawings/drawing79.xml" ContentType="application/vnd.openxmlformats-officedocument.drawing+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80.xml" ContentType="application/vnd.openxmlformats-officedocument.drawingml.chartshapes+xml"/>
  <Override PartName="/xl/drawings/drawing81.xml" ContentType="application/vnd.openxmlformats-officedocument.drawing+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2.xml" ContentType="application/vnd.openxmlformats-officedocument.drawingml.chartshapes+xml"/>
  <Override PartName="/xl/drawings/drawing83.xml" ContentType="application/vnd.openxmlformats-officedocument.drawing+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84.xml" ContentType="application/vnd.openxmlformats-officedocument.drawingml.chartshapes+xml"/>
  <Override PartName="/xl/drawings/drawing85.xml" ContentType="application/vnd.openxmlformats-officedocument.drawing+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6.xml" ContentType="application/vnd.openxmlformats-officedocument.drawingml.chartshapes+xml"/>
  <Override PartName="/xl/drawings/drawing87.xml" ContentType="application/vnd.openxmlformats-officedocument.drawing+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88.xml" ContentType="application/vnd.openxmlformats-officedocument.drawingml.chartshapes+xml"/>
  <Override PartName="/xl/drawings/drawing89.xml" ContentType="application/vnd.openxmlformats-officedocument.drawing+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90.xml" ContentType="application/vnd.openxmlformats-officedocument.drawingml.chartshapes+xml"/>
  <Override PartName="/xl/drawings/drawing91.xml" ContentType="application/vnd.openxmlformats-officedocument.drawing+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92.xml" ContentType="application/vnd.openxmlformats-officedocument.drawingml.chartshapes+xml"/>
  <Override PartName="/xl/drawings/drawing93.xml" ContentType="application/vnd.openxmlformats-officedocument.drawing+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theme/themeOverride1.xml" ContentType="application/vnd.openxmlformats-officedocument.themeOverride+xml"/>
  <Override PartName="/xl/drawings/drawing94.xml" ContentType="application/vnd.openxmlformats-officedocument.drawingml.chartshapes+xml"/>
  <Override PartName="/xl/drawings/drawing95.xml" ContentType="application/vnd.openxmlformats-officedocument.drawing+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2.xml" ContentType="application/vnd.openxmlformats-officedocument.themeOverride+xml"/>
  <Override PartName="/xl/drawings/drawing96.xml" ContentType="application/vnd.openxmlformats-officedocument.drawingml.chartshapes+xml"/>
  <Override PartName="/xl/drawings/drawing97.xml" ContentType="application/vnd.openxmlformats-officedocument.drawing+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3.xml" ContentType="application/vnd.openxmlformats-officedocument.themeOverride+xml"/>
  <Override PartName="/xl/drawings/drawing98.xml" ContentType="application/vnd.openxmlformats-officedocument.drawingml.chartshapes+xml"/>
  <Override PartName="/xl/drawings/drawing99.xml" ContentType="application/vnd.openxmlformats-officedocument.drawing+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theme/themeOverride4.xml" ContentType="application/vnd.openxmlformats-officedocument.themeOverride+xml"/>
  <Override PartName="/xl/drawings/drawing100.xml" ContentType="application/vnd.openxmlformats-officedocument.drawingml.chartshapes+xml"/>
  <Override PartName="/xl/drawings/drawing101.xml" ContentType="application/vnd.openxmlformats-officedocument.drawing+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theme/themeOverride5.xml" ContentType="application/vnd.openxmlformats-officedocument.themeOverride+xml"/>
  <Override PartName="/xl/drawings/drawing102.xml" ContentType="application/vnd.openxmlformats-officedocument.drawingml.chartshapes+xml"/>
  <Override PartName="/xl/drawings/drawing103.xml" ContentType="application/vnd.openxmlformats-officedocument.drawing+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theme/themeOverride6.xml" ContentType="application/vnd.openxmlformats-officedocument.themeOverride+xml"/>
  <Override PartName="/xl/drawings/drawing104.xml" ContentType="application/vnd.openxmlformats-officedocument.drawingml.chartshapes+xml"/>
  <Override PartName="/xl/drawings/drawing105.xml" ContentType="application/vnd.openxmlformats-officedocument.drawing+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theme/themeOverride7.xml" ContentType="application/vnd.openxmlformats-officedocument.themeOverride+xml"/>
  <Override PartName="/xl/drawings/drawing106.xml" ContentType="application/vnd.openxmlformats-officedocument.drawingml.chartshapes+xml"/>
  <Override PartName="/xl/drawings/drawing107.xml" ContentType="application/vnd.openxmlformats-officedocument.drawing+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theme/themeOverride8.xml" ContentType="application/vnd.openxmlformats-officedocument.themeOverride+xml"/>
  <Override PartName="/xl/drawings/drawing108.xml" ContentType="application/vnd.openxmlformats-officedocument.drawingml.chartshapes+xml"/>
  <Override PartName="/xl/drawings/drawing109.xml" ContentType="application/vnd.openxmlformats-officedocument.drawing+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theme/themeOverride9.xml" ContentType="application/vnd.openxmlformats-officedocument.themeOverride+xml"/>
  <Override PartName="/xl/drawings/drawing110.xml" ContentType="application/vnd.openxmlformats-officedocument.drawingml.chartshapes+xml"/>
  <Override PartName="/xl/drawings/drawing111.xml" ContentType="application/vnd.openxmlformats-officedocument.drawing+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theme/themeOverride10.xml" ContentType="application/vnd.openxmlformats-officedocument.themeOverride+xml"/>
  <Override PartName="/xl/drawings/drawing112.xml" ContentType="application/vnd.openxmlformats-officedocument.drawingml.chartshapes+xml"/>
  <Override PartName="/xl/drawings/drawing113.xml" ContentType="application/vnd.openxmlformats-officedocument.drawing+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theme/themeOverride11.xml" ContentType="application/vnd.openxmlformats-officedocument.themeOverride+xml"/>
  <Override PartName="/xl/drawings/drawing114.xml" ContentType="application/vnd.openxmlformats-officedocument.drawingml.chartshapes+xml"/>
  <Override PartName="/xl/drawings/drawing115.xml" ContentType="application/vnd.openxmlformats-officedocument.drawing+xml"/>
  <Override PartName="/xl/charts/chart58.xml" ContentType="application/vnd.openxmlformats-officedocument.drawingml.chart+xml"/>
  <Override PartName="/xl/charts/style57.xml" ContentType="application/vnd.ms-office.chartstyle+xml"/>
  <Override PartName="/xl/charts/colors57.xml" ContentType="application/vnd.ms-office.chartcolorstyle+xml"/>
  <Override PartName="/xl/theme/themeOverride12.xml" ContentType="application/vnd.openxmlformats-officedocument.themeOverride+xml"/>
  <Override PartName="/xl/drawings/drawing116.xml" ContentType="application/vnd.openxmlformats-officedocument.drawingml.chartshapes+xml"/>
  <Override PartName="/xl/drawings/drawing117.xml" ContentType="application/vnd.openxmlformats-officedocument.drawing+xml"/>
  <Override PartName="/xl/charts/chart59.xml" ContentType="application/vnd.openxmlformats-officedocument.drawingml.chart+xml"/>
  <Override PartName="/xl/charts/style58.xml" ContentType="application/vnd.ms-office.chartstyle+xml"/>
  <Override PartName="/xl/charts/colors58.xml" ContentType="application/vnd.ms-office.chartcolorstyle+xml"/>
  <Override PartName="/xl/theme/themeOverride13.xml" ContentType="application/vnd.openxmlformats-officedocument.themeOverride+xml"/>
  <Override PartName="/xl/drawings/drawing118.xml" ContentType="application/vnd.openxmlformats-officedocument.drawingml.chartshapes+xml"/>
  <Override PartName="/xl/drawings/drawing119.xml" ContentType="application/vnd.openxmlformats-officedocument.drawing+xml"/>
  <Override PartName="/xl/charts/chart60.xml" ContentType="application/vnd.openxmlformats-officedocument.drawingml.chart+xml"/>
  <Override PartName="/xl/charts/style59.xml" ContentType="application/vnd.ms-office.chartstyle+xml"/>
  <Override PartName="/xl/charts/colors59.xml" ContentType="application/vnd.ms-office.chartcolorstyle+xml"/>
  <Override PartName="/xl/theme/themeOverride14.xml" ContentType="application/vnd.openxmlformats-officedocument.themeOverride+xml"/>
  <Override PartName="/xl/drawings/drawing120.xml" ContentType="application/vnd.openxmlformats-officedocument.drawingml.chartshapes+xml"/>
  <Override PartName="/xl/drawings/drawing121.xml" ContentType="application/vnd.openxmlformats-officedocument.drawing+xml"/>
  <Override PartName="/xl/charts/chart61.xml" ContentType="application/vnd.openxmlformats-officedocument.drawingml.chart+xml"/>
  <Override PartName="/xl/charts/style60.xml" ContentType="application/vnd.ms-office.chartstyle+xml"/>
  <Override PartName="/xl/charts/colors60.xml" ContentType="application/vnd.ms-office.chartcolorstyle+xml"/>
  <Override PartName="/xl/theme/themeOverride15.xml" ContentType="application/vnd.openxmlformats-officedocument.themeOverride+xml"/>
  <Override PartName="/xl/drawings/drawing122.xml" ContentType="application/vnd.openxmlformats-officedocument.drawingml.chartshapes+xml"/>
  <Override PartName="/xl/drawings/drawing123.xml" ContentType="application/vnd.openxmlformats-officedocument.drawing+xml"/>
  <Override PartName="/xl/charts/chart62.xml" ContentType="application/vnd.openxmlformats-officedocument.drawingml.chart+xml"/>
  <Override PartName="/xl/charts/style61.xml" ContentType="application/vnd.ms-office.chartstyle+xml"/>
  <Override PartName="/xl/charts/colors61.xml" ContentType="application/vnd.ms-office.chartcolorstyle+xml"/>
  <Override PartName="/xl/theme/themeOverride16.xml" ContentType="application/vnd.openxmlformats-officedocument.themeOverride+xml"/>
  <Override PartName="/xl/drawings/drawing124.xml" ContentType="application/vnd.openxmlformats-officedocument.drawingml.chartshapes+xml"/>
  <Override PartName="/xl/drawings/drawing125.xml" ContentType="application/vnd.openxmlformats-officedocument.drawing+xml"/>
  <Override PartName="/xl/charts/chart63.xml" ContentType="application/vnd.openxmlformats-officedocument.drawingml.chart+xml"/>
  <Override PartName="/xl/charts/style62.xml" ContentType="application/vnd.ms-office.chartstyle+xml"/>
  <Override PartName="/xl/charts/colors62.xml" ContentType="application/vnd.ms-office.chartcolorstyle+xml"/>
  <Override PartName="/xl/theme/themeOverride17.xml" ContentType="application/vnd.openxmlformats-officedocument.themeOverride+xml"/>
  <Override PartName="/xl/drawings/drawing126.xml" ContentType="application/vnd.openxmlformats-officedocument.drawingml.chartshapes+xml"/>
  <Override PartName="/xl/drawings/drawing127.xml" ContentType="application/vnd.openxmlformats-officedocument.drawing+xml"/>
  <Override PartName="/xl/charts/chart64.xml" ContentType="application/vnd.openxmlformats-officedocument.drawingml.chart+xml"/>
  <Override PartName="/xl/charts/style63.xml" ContentType="application/vnd.ms-office.chartstyle+xml"/>
  <Override PartName="/xl/charts/colors63.xml" ContentType="application/vnd.ms-office.chartcolorstyle+xml"/>
  <Override PartName="/xl/theme/themeOverride18.xml" ContentType="application/vnd.openxmlformats-officedocument.themeOverride+xml"/>
  <Override PartName="/xl/drawings/drawing128.xml" ContentType="application/vnd.openxmlformats-officedocument.drawingml.chartshapes+xml"/>
  <Override PartName="/xl/drawings/drawing129.xml" ContentType="application/vnd.openxmlformats-officedocument.drawing+xml"/>
  <Override PartName="/xl/charts/chart65.xml" ContentType="application/vnd.openxmlformats-officedocument.drawingml.chart+xml"/>
  <Override PartName="/xl/charts/style64.xml" ContentType="application/vnd.ms-office.chartstyle+xml"/>
  <Override PartName="/xl/charts/colors64.xml" ContentType="application/vnd.ms-office.chartcolorstyle+xml"/>
  <Override PartName="/xl/theme/themeOverride19.xml" ContentType="application/vnd.openxmlformats-officedocument.themeOverride+xml"/>
  <Override PartName="/xl/drawings/drawing130.xml" ContentType="application/vnd.openxmlformats-officedocument.drawingml.chartshapes+xml"/>
  <Override PartName="/xl/drawings/drawing131.xml" ContentType="application/vnd.openxmlformats-officedocument.drawing+xml"/>
  <Override PartName="/xl/charts/chart66.xml" ContentType="application/vnd.openxmlformats-officedocument.drawingml.chart+xml"/>
  <Override PartName="/xl/charts/style65.xml" ContentType="application/vnd.ms-office.chartstyle+xml"/>
  <Override PartName="/xl/charts/colors65.xml" ContentType="application/vnd.ms-office.chartcolorstyle+xml"/>
  <Override PartName="/xl/theme/themeOverride20.xml" ContentType="application/vnd.openxmlformats-officedocument.themeOverride+xml"/>
  <Override PartName="/xl/drawings/drawing132.xml" ContentType="application/vnd.openxmlformats-officedocument.drawingml.chartshapes+xml"/>
  <Override PartName="/xl/drawings/drawing133.xml" ContentType="application/vnd.openxmlformats-officedocument.drawing+xml"/>
  <Override PartName="/xl/charts/chart67.xml" ContentType="application/vnd.openxmlformats-officedocument.drawingml.chart+xml"/>
  <Override PartName="/xl/charts/style66.xml" ContentType="application/vnd.ms-office.chartstyle+xml"/>
  <Override PartName="/xl/charts/colors66.xml" ContentType="application/vnd.ms-office.chartcolorstyle+xml"/>
  <Override PartName="/xl/theme/themeOverride21.xml" ContentType="application/vnd.openxmlformats-officedocument.themeOverride+xml"/>
  <Override PartName="/xl/drawings/drawing134.xml" ContentType="application/vnd.openxmlformats-officedocument.drawingml.chartshapes+xml"/>
  <Override PartName="/xl/drawings/drawing135.xml" ContentType="application/vnd.openxmlformats-officedocument.drawing+xml"/>
  <Override PartName="/xl/charts/chart68.xml" ContentType="application/vnd.openxmlformats-officedocument.drawingml.chart+xml"/>
  <Override PartName="/xl/charts/style67.xml" ContentType="application/vnd.ms-office.chartstyle+xml"/>
  <Override PartName="/xl/charts/colors67.xml" ContentType="application/vnd.ms-office.chartcolorstyle+xml"/>
  <Override PartName="/xl/theme/themeOverride22.xml" ContentType="application/vnd.openxmlformats-officedocument.themeOverride+xml"/>
  <Override PartName="/xl/drawings/drawing136.xml" ContentType="application/vnd.openxmlformats-officedocument.drawingml.chartshapes+xml"/>
  <Override PartName="/xl/drawings/drawing137.xml" ContentType="application/vnd.openxmlformats-officedocument.drawing+xml"/>
  <Override PartName="/xl/charts/chart69.xml" ContentType="application/vnd.openxmlformats-officedocument.drawingml.chart+xml"/>
  <Override PartName="/xl/theme/themeOverride23.xml" ContentType="application/vnd.openxmlformats-officedocument.themeOverride+xml"/>
  <Override PartName="/xl/drawings/drawing138.xml" ContentType="application/vnd.openxmlformats-officedocument.drawingml.chartshapes+xml"/>
  <Override PartName="/xl/drawings/drawing139.xml" ContentType="application/vnd.openxmlformats-officedocument.drawing+xml"/>
  <Override PartName="/xl/charts/chart70.xml" ContentType="application/vnd.openxmlformats-officedocument.drawingml.chart+xml"/>
  <Override PartName="/xl/theme/themeOverride24.xml" ContentType="application/vnd.openxmlformats-officedocument.themeOverride+xml"/>
  <Override PartName="/xl/drawings/drawing140.xml" ContentType="application/vnd.openxmlformats-officedocument.drawingml.chartshapes+xml"/>
  <Override PartName="/xl/drawings/drawing141.xml" ContentType="application/vnd.openxmlformats-officedocument.drawing+xml"/>
  <Override PartName="/xl/charts/chart71.xml" ContentType="application/vnd.openxmlformats-officedocument.drawingml.chart+xml"/>
  <Override PartName="/xl/charts/style68.xml" ContentType="application/vnd.ms-office.chartstyle+xml"/>
  <Override PartName="/xl/charts/colors68.xml" ContentType="application/vnd.ms-office.chartcolorstyle+xml"/>
  <Override PartName="/xl/theme/themeOverride25.xml" ContentType="application/vnd.openxmlformats-officedocument.themeOverride+xml"/>
  <Override PartName="/xl/drawings/drawing142.xml" ContentType="application/vnd.openxmlformats-officedocument.drawingml.chartshapes+xml"/>
  <Override PartName="/xl/drawings/drawing143.xml" ContentType="application/vnd.openxmlformats-officedocument.drawing+xml"/>
  <Override PartName="/xl/charts/chart72.xml" ContentType="application/vnd.openxmlformats-officedocument.drawingml.chart+xml"/>
  <Override PartName="/xl/charts/style69.xml" ContentType="application/vnd.ms-office.chartstyle+xml"/>
  <Override PartName="/xl/charts/colors69.xml" ContentType="application/vnd.ms-office.chartcolorstyle+xml"/>
  <Override PartName="/xl/theme/themeOverride26.xml" ContentType="application/vnd.openxmlformats-officedocument.themeOverride+xml"/>
  <Override PartName="/xl/drawings/drawing144.xml" ContentType="application/vnd.openxmlformats-officedocument.drawingml.chartshapes+xml"/>
  <Override PartName="/xl/drawings/drawing145.xml" ContentType="application/vnd.openxmlformats-officedocument.drawing+xml"/>
  <Override PartName="/xl/charts/chart73.xml" ContentType="application/vnd.openxmlformats-officedocument.drawingml.chart+xml"/>
  <Override PartName="/xl/charts/style70.xml" ContentType="application/vnd.ms-office.chartstyle+xml"/>
  <Override PartName="/xl/charts/colors70.xml" ContentType="application/vnd.ms-office.chartcolorstyle+xml"/>
  <Override PartName="/xl/theme/themeOverride27.xml" ContentType="application/vnd.openxmlformats-officedocument.themeOverride+xml"/>
  <Override PartName="/xl/drawings/drawing146.xml" ContentType="application/vnd.openxmlformats-officedocument.drawingml.chartshapes+xml"/>
  <Override PartName="/xl/drawings/drawing147.xml" ContentType="application/vnd.openxmlformats-officedocument.drawing+xml"/>
  <Override PartName="/xl/charts/chart74.xml" ContentType="application/vnd.openxmlformats-officedocument.drawingml.chart+xml"/>
  <Override PartName="/xl/theme/themeOverride28.xml" ContentType="application/vnd.openxmlformats-officedocument.themeOverride+xml"/>
  <Override PartName="/xl/drawings/drawing148.xml" ContentType="application/vnd.openxmlformats-officedocument.drawingml.chartshapes+xml"/>
  <Override PartName="/xl/drawings/drawing149.xml" ContentType="application/vnd.openxmlformats-officedocument.drawing+xml"/>
  <Override PartName="/xl/charts/chart75.xml" ContentType="application/vnd.openxmlformats-officedocument.drawingml.chart+xml"/>
  <Override PartName="/xl/charts/style71.xml" ContentType="application/vnd.ms-office.chartstyle+xml"/>
  <Override PartName="/xl/charts/colors71.xml" ContentType="application/vnd.ms-office.chartcolorstyle+xml"/>
  <Override PartName="/xl/theme/themeOverride29.xml" ContentType="application/vnd.openxmlformats-officedocument.themeOverride+xml"/>
  <Override PartName="/xl/drawings/drawing150.xml" ContentType="application/vnd.openxmlformats-officedocument.drawingml.chartshapes+xml"/>
  <Override PartName="/xl/drawings/drawing151.xml" ContentType="application/vnd.openxmlformats-officedocument.drawing+xml"/>
  <Override PartName="/xl/charts/chart76.xml" ContentType="application/vnd.openxmlformats-officedocument.drawingml.chart+xml"/>
  <Override PartName="/xl/charts/style72.xml" ContentType="application/vnd.ms-office.chartstyle+xml"/>
  <Override PartName="/xl/charts/colors72.xml" ContentType="application/vnd.ms-office.chartcolorstyle+xml"/>
  <Override PartName="/xl/theme/themeOverride30.xml" ContentType="application/vnd.openxmlformats-officedocument.themeOverride+xml"/>
  <Override PartName="/xl/drawings/drawing152.xml" ContentType="application/vnd.openxmlformats-officedocument.drawingml.chartshapes+xml"/>
  <Override PartName="/xl/drawings/drawing153.xml" ContentType="application/vnd.openxmlformats-officedocument.drawing+xml"/>
  <Override PartName="/xl/charts/chart77.xml" ContentType="application/vnd.openxmlformats-officedocument.drawingml.chart+xml"/>
  <Override PartName="/xl/charts/style73.xml" ContentType="application/vnd.ms-office.chartstyle+xml"/>
  <Override PartName="/xl/charts/colors73.xml" ContentType="application/vnd.ms-office.chartcolorstyle+xml"/>
  <Override PartName="/xl/theme/themeOverride31.xml" ContentType="application/vnd.openxmlformats-officedocument.themeOverride+xml"/>
  <Override PartName="/xl/drawings/drawing154.xml" ContentType="application/vnd.openxmlformats-officedocument.drawingml.chartshapes+xml"/>
  <Override PartName="/xl/drawings/drawing155.xml" ContentType="application/vnd.openxmlformats-officedocument.drawing+xml"/>
  <Override PartName="/xl/charts/chart78.xml" ContentType="application/vnd.openxmlformats-officedocument.drawingml.chart+xml"/>
  <Override PartName="/xl/charts/style74.xml" ContentType="application/vnd.ms-office.chartstyle+xml"/>
  <Override PartName="/xl/charts/colors74.xml" ContentType="application/vnd.ms-office.chartcolorstyle+xml"/>
  <Override PartName="/xl/theme/themeOverride32.xml" ContentType="application/vnd.openxmlformats-officedocument.themeOverride+xml"/>
  <Override PartName="/xl/drawings/drawing156.xml" ContentType="application/vnd.openxmlformats-officedocument.drawingml.chartshapes+xml"/>
  <Override PartName="/xl/drawings/drawing157.xml" ContentType="application/vnd.openxmlformats-officedocument.drawing+xml"/>
  <Override PartName="/xl/charts/chart79.xml" ContentType="application/vnd.openxmlformats-officedocument.drawingml.chart+xml"/>
  <Override PartName="/xl/charts/style75.xml" ContentType="application/vnd.ms-office.chartstyle+xml"/>
  <Override PartName="/xl/charts/colors75.xml" ContentType="application/vnd.ms-office.chartcolorstyle+xml"/>
  <Override PartName="/xl/theme/themeOverride33.xml" ContentType="application/vnd.openxmlformats-officedocument.themeOverride+xml"/>
  <Override PartName="/xl/drawings/drawing158.xml" ContentType="application/vnd.openxmlformats-officedocument.drawingml.chartshapes+xml"/>
  <Override PartName="/xl/drawings/drawing159.xml" ContentType="application/vnd.openxmlformats-officedocument.drawing+xml"/>
  <Override PartName="/xl/charts/chart80.xml" ContentType="application/vnd.openxmlformats-officedocument.drawingml.chart+xml"/>
  <Override PartName="/xl/charts/style76.xml" ContentType="application/vnd.ms-office.chartstyle+xml"/>
  <Override PartName="/xl/charts/colors76.xml" ContentType="application/vnd.ms-office.chartcolorstyle+xml"/>
  <Override PartName="/xl/theme/themeOverride34.xml" ContentType="application/vnd.openxmlformats-officedocument.themeOverride+xml"/>
  <Override PartName="/xl/drawings/drawing160.xml" ContentType="application/vnd.openxmlformats-officedocument.drawingml.chartshapes+xml"/>
  <Override PartName="/xl/drawings/drawing161.xml" ContentType="application/vnd.openxmlformats-officedocument.drawing+xml"/>
  <Override PartName="/xl/charts/chart81.xml" ContentType="application/vnd.openxmlformats-officedocument.drawingml.chart+xml"/>
  <Override PartName="/xl/charts/style77.xml" ContentType="application/vnd.ms-office.chartstyle+xml"/>
  <Override PartName="/xl/charts/colors77.xml" ContentType="application/vnd.ms-office.chartcolorstyle+xml"/>
  <Override PartName="/xl/theme/themeOverride35.xml" ContentType="application/vnd.openxmlformats-officedocument.themeOverride+xml"/>
  <Override PartName="/xl/drawings/drawing162.xml" ContentType="application/vnd.openxmlformats-officedocument.drawingml.chartshapes+xml"/>
  <Override PartName="/xl/drawings/drawing163.xml" ContentType="application/vnd.openxmlformats-officedocument.drawing+xml"/>
  <Override PartName="/xl/charts/chart82.xml" ContentType="application/vnd.openxmlformats-officedocument.drawingml.chart+xml"/>
  <Override PartName="/xl/charts/style78.xml" ContentType="application/vnd.ms-office.chartstyle+xml"/>
  <Override PartName="/xl/charts/colors78.xml" ContentType="application/vnd.ms-office.chartcolorstyle+xml"/>
  <Override PartName="/xl/theme/themeOverride36.xml" ContentType="application/vnd.openxmlformats-officedocument.themeOverride+xml"/>
  <Override PartName="/xl/drawings/drawing164.xml" ContentType="application/vnd.openxmlformats-officedocument.drawingml.chartshapes+xml"/>
  <Override PartName="/xl/drawings/drawing165.xml" ContentType="application/vnd.openxmlformats-officedocument.drawing+xml"/>
  <Override PartName="/xl/charts/chart83.xml" ContentType="application/vnd.openxmlformats-officedocument.drawingml.chart+xml"/>
  <Override PartName="/xl/charts/style79.xml" ContentType="application/vnd.ms-office.chartstyle+xml"/>
  <Override PartName="/xl/charts/colors79.xml" ContentType="application/vnd.ms-office.chartcolorstyle+xml"/>
  <Override PartName="/xl/theme/themeOverride37.xml" ContentType="application/vnd.openxmlformats-officedocument.themeOverride+xml"/>
  <Override PartName="/xl/drawings/drawing166.xml" ContentType="application/vnd.openxmlformats-officedocument.drawingml.chartshapes+xml"/>
  <Override PartName="/xl/drawings/drawing167.xml" ContentType="application/vnd.openxmlformats-officedocument.drawing+xml"/>
  <Override PartName="/xl/charts/chart84.xml" ContentType="application/vnd.openxmlformats-officedocument.drawingml.chart+xml"/>
  <Override PartName="/xl/charts/style80.xml" ContentType="application/vnd.ms-office.chartstyle+xml"/>
  <Override PartName="/xl/charts/colors80.xml" ContentType="application/vnd.ms-office.chartcolorstyle+xml"/>
  <Override PartName="/xl/theme/themeOverride38.xml" ContentType="application/vnd.openxmlformats-officedocument.themeOverride+xml"/>
  <Override PartName="/xl/drawings/drawing168.xml" ContentType="application/vnd.openxmlformats-officedocument.drawingml.chartshapes+xml"/>
  <Override PartName="/xl/drawings/drawing169.xml" ContentType="application/vnd.openxmlformats-officedocument.drawing+xml"/>
  <Override PartName="/xl/charts/chart85.xml" ContentType="application/vnd.openxmlformats-officedocument.drawingml.chart+xml"/>
  <Override PartName="/xl/charts/style81.xml" ContentType="application/vnd.ms-office.chartstyle+xml"/>
  <Override PartName="/xl/charts/colors81.xml" ContentType="application/vnd.ms-office.chartcolorstyle+xml"/>
  <Override PartName="/xl/theme/themeOverride39.xml" ContentType="application/vnd.openxmlformats-officedocument.themeOverride+xml"/>
  <Override PartName="/xl/drawings/drawing170.xml" ContentType="application/vnd.openxmlformats-officedocument.drawingml.chartshapes+xml"/>
  <Override PartName="/xl/drawings/drawing171.xml" ContentType="application/vnd.openxmlformats-officedocument.drawing+xml"/>
  <Override PartName="/xl/charts/chart86.xml" ContentType="application/vnd.openxmlformats-officedocument.drawingml.chart+xml"/>
  <Override PartName="/xl/charts/style82.xml" ContentType="application/vnd.ms-office.chartstyle+xml"/>
  <Override PartName="/xl/charts/colors82.xml" ContentType="application/vnd.ms-office.chartcolorstyle+xml"/>
  <Override PartName="/xl/theme/themeOverride40.xml" ContentType="application/vnd.openxmlformats-officedocument.themeOverride+xml"/>
  <Override PartName="/xl/drawings/drawing172.xml" ContentType="application/vnd.openxmlformats-officedocument.drawingml.chartshapes+xml"/>
  <Override PartName="/xl/drawings/drawing173.xml" ContentType="application/vnd.openxmlformats-officedocument.drawing+xml"/>
  <Override PartName="/xl/charts/chart87.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174.xml" ContentType="application/vnd.openxmlformats-officedocument.drawingml.chartshapes+xml"/>
  <Override PartName="/xl/drawings/drawing175.xml" ContentType="application/vnd.openxmlformats-officedocument.drawing+xml"/>
  <Override PartName="/xl/charts/chart88.xml" ContentType="application/vnd.openxmlformats-officedocument.drawingml.chart+xml"/>
  <Override PartName="/xl/charts/style84.xml" ContentType="application/vnd.ms-office.chartstyle+xml"/>
  <Override PartName="/xl/charts/colors84.xml" ContentType="application/vnd.ms-office.chartcolorstyle+xml"/>
  <Override PartName="/xl/theme/themeOverride4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Z:\SADU\SADU_2024b\01_working\06_Webcharts\"/>
    </mc:Choice>
  </mc:AlternateContent>
  <xr:revisionPtr revIDLastSave="0" documentId="13_ncr:1_{79C8B480-38EB-48CE-995E-6B8BACC1D55F}" xr6:coauthVersionLast="47" xr6:coauthVersionMax="47" xr10:uidLastSave="{00000000-0000-0000-0000-000000000000}"/>
  <bookViews>
    <workbookView xWindow="28680" yWindow="-120" windowWidth="29040" windowHeight="15720" tabRatio="898" firstSheet="33" activeTab="61" xr2:uid="{DD21FA76-4FAD-4AB2-A690-C9D271E56D09}"/>
  </bookViews>
  <sheets>
    <sheet name="Read Me" sheetId="1" r:id="rId1"/>
    <sheet name="1.1A" sheetId="2" r:id="rId2"/>
    <sheet name="1.1B" sheetId="3" r:id="rId3"/>
    <sheet name="1.1C" sheetId="4" r:id="rId4"/>
    <sheet name="1.1D" sheetId="5" r:id="rId5"/>
    <sheet name="1.1E" sheetId="6" r:id="rId6"/>
    <sheet name="1.1F" sheetId="7" r:id="rId7"/>
    <sheet name="1.2A" sheetId="8" r:id="rId8"/>
    <sheet name="1.2B" sheetId="9" r:id="rId9"/>
    <sheet name="1.2C" sheetId="10" r:id="rId10"/>
    <sheet name="1.2D" sheetId="11" r:id="rId11"/>
    <sheet name="1.3A" sheetId="12" r:id="rId12"/>
    <sheet name="1.3B" sheetId="13" r:id="rId13"/>
    <sheet name="1.3C" sheetId="14" r:id="rId14"/>
    <sheet name="1.3D" sheetId="15" r:id="rId15"/>
    <sheet name="1.3E" sheetId="16" r:id="rId16"/>
    <sheet name="1.3F" sheetId="17" r:id="rId17"/>
    <sheet name="1.4A" sheetId="18" r:id="rId18"/>
    <sheet name="1.4B" sheetId="19" r:id="rId19"/>
    <sheet name="1.4C" sheetId="20" r:id="rId20"/>
    <sheet name="1.4D" sheetId="21" r:id="rId21"/>
    <sheet name="1.4E" sheetId="22" r:id="rId22"/>
    <sheet name="1.4F" sheetId="23" r:id="rId23"/>
    <sheet name="1.5A" sheetId="24" r:id="rId24"/>
    <sheet name="1.5B" sheetId="25" r:id="rId25"/>
    <sheet name="1.5C" sheetId="26" r:id="rId26"/>
    <sheet name="1.5D" sheetId="27" r:id="rId27"/>
    <sheet name="1.5E" sheetId="28" r:id="rId28"/>
    <sheet name="1.5F" sheetId="29" r:id="rId29"/>
    <sheet name="1.6A" sheetId="30" r:id="rId30"/>
    <sheet name="1.6B" sheetId="31" r:id="rId31"/>
    <sheet name="1.6C" sheetId="32" r:id="rId32"/>
    <sheet name="1.6D" sheetId="33" r:id="rId33"/>
    <sheet name="1.6E" sheetId="34" r:id="rId34"/>
    <sheet name="1.6F" sheetId="35" r:id="rId35"/>
    <sheet name="1.7A" sheetId="36" r:id="rId36"/>
    <sheet name="1.7B" sheetId="37" r:id="rId37"/>
    <sheet name="1.7C" sheetId="38" r:id="rId38"/>
    <sheet name="1.7D" sheetId="39" r:id="rId39"/>
    <sheet name="1.7E" sheetId="40" r:id="rId40"/>
    <sheet name="1.7F" sheetId="41" r:id="rId41"/>
    <sheet name="1.8A" sheetId="42" r:id="rId42"/>
    <sheet name="1.8B" sheetId="43" r:id="rId43"/>
    <sheet name="1.8C" sheetId="44" r:id="rId44"/>
    <sheet name="1.8D" sheetId="45" r:id="rId45"/>
    <sheet name="1.8E" sheetId="46" r:id="rId46"/>
    <sheet name="1.8F" sheetId="47" r:id="rId47"/>
    <sheet name="1.9A" sheetId="51" r:id="rId48"/>
    <sheet name="1.9B" sheetId="52" r:id="rId49"/>
    <sheet name="1.9C" sheetId="53" r:id="rId50"/>
    <sheet name="1.9D" sheetId="54" r:id="rId51"/>
    <sheet name="1.9E" sheetId="55" r:id="rId52"/>
    <sheet name="1.9F" sheetId="56" r:id="rId53"/>
    <sheet name="1.10A" sheetId="57" r:id="rId54"/>
    <sheet name="1.10B" sheetId="58" r:id="rId55"/>
    <sheet name="1.10C" sheetId="59" r:id="rId56"/>
    <sheet name="1.10D" sheetId="60" r:id="rId57"/>
    <sheet name="1.11A" sheetId="61" r:id="rId58"/>
    <sheet name="1.11B" sheetId="62" r:id="rId59"/>
    <sheet name="1.12A" sheetId="63" r:id="rId60"/>
    <sheet name="1.12B" sheetId="64" r:id="rId61"/>
    <sheet name="1.12C" sheetId="65" r:id="rId62"/>
    <sheet name="1.12D" sheetId="66" r:id="rId63"/>
    <sheet name="1.13A" sheetId="67" r:id="rId64"/>
    <sheet name="1.13B" sheetId="68" r:id="rId65"/>
    <sheet name="1.13C" sheetId="69" r:id="rId66"/>
    <sheet name="1.13D" sheetId="70" r:id="rId67"/>
    <sheet name="1.13E" sheetId="71" r:id="rId68"/>
    <sheet name="1.13F" sheetId="72" r:id="rId69"/>
    <sheet name="1.14A" sheetId="73" r:id="rId70"/>
    <sheet name="1.14B" sheetId="74" r:id="rId71"/>
    <sheet name="1.14C" sheetId="75" r:id="rId72"/>
    <sheet name="1.14D" sheetId="76" r:id="rId73"/>
    <sheet name="1.14E" sheetId="77" r:id="rId74"/>
    <sheet name="1.14F" sheetId="78" r:id="rId75"/>
    <sheet name="1.15A" sheetId="79" r:id="rId76"/>
    <sheet name="1.15B" sheetId="80" r:id="rId77"/>
    <sheet name="1.15C" sheetId="81" r:id="rId78"/>
    <sheet name="1.15D" sheetId="82" r:id="rId79"/>
    <sheet name="1.16A" sheetId="83" r:id="rId80"/>
    <sheet name="1.16B" sheetId="84" r:id="rId81"/>
    <sheet name="1.16C" sheetId="85" r:id="rId82"/>
    <sheet name="1.16D" sheetId="86" r:id="rId83"/>
    <sheet name="1.16E" sheetId="87" r:id="rId84"/>
    <sheet name="1.16F" sheetId="88" r:id="rId85"/>
    <sheet name="1.17A" sheetId="89" r:id="rId86"/>
    <sheet name="1.17B" sheetId="90" r:id="rId87"/>
    <sheet name="1.17C" sheetId="91" r:id="rId88"/>
    <sheet name="1.17D" sheetId="92" r:id="rId89"/>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91" l="1"/>
  <c r="S3" i="91"/>
  <c r="X8" i="69"/>
</calcChain>
</file>

<file path=xl/sharedStrings.xml><?xml version="1.0" encoding="utf-8"?>
<sst xmlns="http://schemas.openxmlformats.org/spreadsheetml/2006/main" count="1546" uniqueCount="648">
  <si>
    <t>April 2024 forecast</t>
  </si>
  <si>
    <t>Current forecast</t>
  </si>
  <si>
    <t>Other EMDEs (RHS)</t>
  </si>
  <si>
    <t>SAR</t>
  </si>
  <si>
    <t>2024e</t>
  </si>
  <si>
    <t>2025f</t>
  </si>
  <si>
    <t>2026f</t>
  </si>
  <si>
    <t>Figure 1.1.A. Output growth</t>
  </si>
  <si>
    <t>Sources: Macro Poverty Outlook (database); World Bank.</t>
  </si>
  <si>
    <t>Figure 1.2.B. Bank claims on government</t>
  </si>
  <si>
    <t>Median EMDE</t>
  </si>
  <si>
    <t>EAP</t>
  </si>
  <si>
    <t>LAC</t>
  </si>
  <si>
    <t>ECA</t>
  </si>
  <si>
    <t>MNA</t>
  </si>
  <si>
    <t>SSA</t>
  </si>
  <si>
    <t>Sources: Haver Analytics; World Bank.</t>
  </si>
  <si>
    <t>Figure 1.1.C. Relative wealth, by temperature in urban and rural areas in South Asia</t>
  </si>
  <si>
    <t>Sources: ERA5-Land database; Relative Wealth Index (Chi et al. 2022); World Bank.</t>
  </si>
  <si>
    <t>Note: OLS regression coefficients showing the relationship between relative wealth and temperature in urban and rural areas, respectively. Temperature bins (in degrees Celsius) are on the x-axis. The bars indicate the mean relative wealth index estimate for each temperature bin. Values are regression estimates relative to sample mean. Whiskers indicate 95 percent confidence intervals. State fixed effects are included. Data are from 2014–18.</t>
  </si>
  <si>
    <t>Figure 1.1.D. Openness to global trade, banking, and investment</t>
  </si>
  <si>
    <t>Urban</t>
  </si>
  <si>
    <t>29°C</t>
  </si>
  <si>
    <t>34°C</t>
  </si>
  <si>
    <t>Rural</t>
  </si>
  <si>
    <t>Range, SAR</t>
  </si>
  <si>
    <t>Range, EMDEs</t>
  </si>
  <si>
    <t>Trade</t>
  </si>
  <si>
    <t xml:space="preserve">Liab. to 
global banks </t>
  </si>
  <si>
    <t>FDI inflows 
(RHS)</t>
  </si>
  <si>
    <t>Portfolio inv. inflows (RHS)</t>
  </si>
  <si>
    <t>Figure 1.1.E. Female labor force participation</t>
  </si>
  <si>
    <t>PAK</t>
  </si>
  <si>
    <t>NPL</t>
  </si>
  <si>
    <t>LKA</t>
  </si>
  <si>
    <t>IND</t>
  </si>
  <si>
    <t>BGD</t>
  </si>
  <si>
    <t>MDV</t>
  </si>
  <si>
    <t>BTN</t>
  </si>
  <si>
    <t>diff</t>
  </si>
  <si>
    <t>other EMDEs p25</t>
  </si>
  <si>
    <t>flfp (ILO 15+)</t>
  </si>
  <si>
    <t>country</t>
  </si>
  <si>
    <t>Sources: ILOStat (International Labour Organization); World Bank.</t>
  </si>
  <si>
    <t>Figure 1.1.F. Firms' size and share of young among small firms</t>
  </si>
  <si>
    <t>Sources: World Bank Enterprise Survey (database); World Bank.</t>
  </si>
  <si>
    <t>countryx</t>
  </si>
  <si>
    <t>Average firm size in manufacturing sector</t>
  </si>
  <si>
    <t>Number of workers: other EMDEs</t>
  </si>
  <si>
    <t>Share of young firms among small firms (RHS)</t>
  </si>
  <si>
    <t>Share of young firms among small firms:Other EMDEs</t>
  </si>
  <si>
    <t>Figure 1.2.A. Global manufacturing and services PMI</t>
  </si>
  <si>
    <t>Manufacturing</t>
  </si>
  <si>
    <t>Services</t>
  </si>
  <si>
    <t>2015-19 avg.</t>
  </si>
  <si>
    <t>Period</t>
  </si>
  <si>
    <t>Figure 1.2.B. Consensus forecasts</t>
  </si>
  <si>
    <t>China</t>
  </si>
  <si>
    <t>Euro 
area</t>
  </si>
  <si>
    <t>United 
States</t>
  </si>
  <si>
    <t>2024 growth, latest estimates</t>
  </si>
  <si>
    <t>Sources: Consensus Economics; World Bank.</t>
  </si>
  <si>
    <t>Note: Bars denote the expected average real GDP growth from individual consensus forecasters’ predictions for calendar year 2024. Last estimate is from September 2024.</t>
  </si>
  <si>
    <t>Figure 1.2.C. Likelihood of U.S. policy interest rate by end-2024</t>
  </si>
  <si>
    <t>At least 100bp cut</t>
  </si>
  <si>
    <t>At least 50bp cut</t>
  </si>
  <si>
    <t>Sources: CME FedWatch; World Bank.</t>
  </si>
  <si>
    <t>Note: Probabilities refer to the likelihood—as implied by 30-day federal funds futures prices—of changes in the U.S. Federal Funds rate by December 18, 2024 of: at least 100 basis points and at least 50 basis points. Last data point is from September 18, 2024.</t>
  </si>
  <si>
    <t>Figure 1.2.D. Economic surprise index, 2024</t>
  </si>
  <si>
    <t>Dates</t>
  </si>
  <si>
    <t>BRICs</t>
  </si>
  <si>
    <t>EMDEs</t>
  </si>
  <si>
    <t>Euro area</t>
  </si>
  <si>
    <t>United States</t>
  </si>
  <si>
    <t>Sources: Bloomberg; World Bank.</t>
  </si>
  <si>
    <t>Figure 1.3.A. Manufacturing PMI</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</si>
  <si>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</si>
  <si>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</si>
  <si>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</si>
  <si>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</si>
  <si>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</si>
  <si>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</si>
  <si>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</si>
  <si>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</si>
  <si>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</si>
  <si>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</si>
  <si>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</si>
  <si>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</si>
  <si>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</si>
  <si>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</si>
  <si>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</si>
  <si>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</si>
  <si>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</si>
  <si>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</si>
  <si>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</si>
  <si>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</si>
  <si>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</si>
  <si>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</si>
  <si>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</si>
  <si>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</si>
  <si>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</si>
  <si>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</si>
  <si>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</si>
  <si>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</si>
  <si>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</si>
  <si>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</si>
  <si>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</si>
  <si>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Note: EMDE = emerging market and developing economies; IND = India; LKA = Sri Lanka; PAK = Pakistan; PMI = Purchasing Managers’ Index. Readings above (below) 50 indicate expansion (contraction). The series for Sri Lanka shows a three-month moving average. Last observation is from August 2024. “EMDE” is the weighted average value of 22 countries.</t>
  </si>
  <si>
    <t>Note: e = estimate; f = forecast; EMDE = emerging market and developing economies; SAR = South Asia. Bars show the average for fiscal year. Aggregation method is weighted average.</t>
  </si>
  <si>
    <t>Note: EAP = East Asia and Pacific; ECA = Europe and Central Asia; EMDEs = emerging market and developing economies; LAC = Latin America and the Caribbean; MNA = Middle East and North Africa; SAR = South Asia; SSA = Sub-Saharan Africa. Bars show banks’ claims on central government in percent of banks’ total assets. Latest observation is from June 2024. Sample comprises 121 countries, whereas the South Asia sample consists of 5 countries. Median values are used for aggregation.</t>
  </si>
  <si>
    <t>Note: BGD = Bangladesh; BTN = Bhutan; EMDE = emerging market and developing economies; IND = India; LKA = Sri Lanka; MDV = Maldives; NPL = Nepal; PAK = Pakistan. Pink shaded region indicates interquartile range of EMDEs, excluding South Asia. EMDE averages are weighted by working-age population. Female (male) labor force participation rate is the share of the female (male) working-age population (15+) employed or looking for work, measured using ILO’s ILOStat modeled data. Even when national data, based on national definitions, were used for South Asia, all countries except Bhutan and Maldives would remain in the bottom quartile among EMDEs. Afghanistan has not published any official statistics since 2021.</t>
  </si>
  <si>
    <t>Note: BGD = Bangladesh; BTN = Bhutan; EMDE = emerging market and developing economies; IND = India; LKA = Sri Lanka; MDV = Maldives; NPL = Nepal; PAK = Pakistan. Horizontal lines mark the median level firm size in manufacturing and share of young among small firms in other EMDEs.</t>
  </si>
  <si>
    <t>Other EMDEs</t>
  </si>
  <si>
    <t>Jan-22</t>
  </si>
  <si>
    <t>Figure 1.3.B. Merchandise export growth</t>
  </si>
  <si>
    <t>Note: EMDE = emerging market and developing economies; SAR = South Asia. Value is a three-month moving average of the median year-on-year growth rate in each country group. “Other EMDEs” include 68 countries. The South Asia sample consists of Bangladesh, India, Maldives, Pakistan, and Sri Lanka.</t>
  </si>
  <si>
    <t>Figure 1.3.C. India: Manufacturing and services PMI</t>
  </si>
  <si>
    <t>Note: PMI = Purchasing Managers’ Index. Readings above (below) 50 indicate expansion (contraction). Last observation is from August 2024.</t>
  </si>
  <si>
    <t>Figure 1.3.D. Consumer sentiment</t>
  </si>
  <si>
    <t>Note: EMDE = emerging market and developing economies. Standardized deviation of consumer confidence from the 2015-2019 average. The EMDE trend is based on the average across 12 economies. Latest data are for August 2024 for EMDE and Pakistan, and July 2024 for India.</t>
  </si>
  <si>
    <t>Pakistan</t>
  </si>
  <si>
    <t>India</t>
  </si>
  <si>
    <t>Figure 1.3.E. Tourist arrivals</t>
  </si>
  <si>
    <t>SAR excl. India</t>
  </si>
  <si>
    <t>World</t>
  </si>
  <si>
    <t>Latest 2024</t>
  </si>
  <si>
    <t>Sources: CEIC; UN turism; World Bank.</t>
  </si>
  <si>
    <t>Figure 1.3.F. Tourist spending</t>
  </si>
  <si>
    <t>2024Q1</t>
  </si>
  <si>
    <t>2023Q3</t>
  </si>
  <si>
    <t>2022Q3</t>
  </si>
  <si>
    <t>EMDE excl. SAR</t>
  </si>
  <si>
    <t>AFG</t>
  </si>
  <si>
    <t>Quarter</t>
  </si>
  <si>
    <t>Note: EMDE = emerging market and developing economies; SAR = South Asia. Bars show the deviation of tourist spending from the same quarter in 2019. Tourist spending includes personal travel credit and personal transport credit. The latest 2024 data are from 2024Q1. The South Asia sample consists of Bangladesh, India, Maldives, Nepal, Pakistan, and Sri Lanka. The EMDEs sample covers 52 countries.</t>
  </si>
  <si>
    <t>Figure 1.4.A. Headline CPI inflation</t>
  </si>
  <si>
    <t>AEs</t>
  </si>
  <si>
    <t>Dec-19</t>
  </si>
  <si>
    <t>Note: AEs = advanced economies; EMDEs = emerging market and developing economies; SAR = South Asia. Solid lines show the median of year-on-year headline inflation. Last observation is August 2024.</t>
  </si>
  <si>
    <t>Figure 1.4.B. Global commodity prices</t>
  </si>
  <si>
    <t>Metals &amp; Minerals</t>
  </si>
  <si>
    <t>Agriculture</t>
  </si>
  <si>
    <t>Energy</t>
  </si>
  <si>
    <t>Source: Commodity Markets Outlook (World Bank, April 2024); Haver Analytics; World Bank.</t>
  </si>
  <si>
    <t>Note: Diamonds show 2025 forecasted values from the April 2024 edition of the World Bank’s Commodity Markets Outlook. Last observation is August 2024.</t>
  </si>
  <si>
    <t>Figure 1.4.C. Monetary policy rates</t>
  </si>
  <si>
    <t>Sources: Haver Analytics;Reserve Bank of New York; World Bank.</t>
  </si>
  <si>
    <t>Note: Solid lines show the policy rate for each country/area. Last observation is August 2024 for China and September 2024 for the United States and euro area. Diamonds show policy rates as of December 2019.</t>
  </si>
  <si>
    <t>Figure 1.4.D. Headline CPI inflation in South Asia, latest</t>
  </si>
  <si>
    <t>range</t>
  </si>
  <si>
    <t>Inflation target 2</t>
  </si>
  <si>
    <t>Lower band</t>
  </si>
  <si>
    <t>Inflation target</t>
  </si>
  <si>
    <t>Non-food inflation contribution</t>
  </si>
  <si>
    <t>Food inflation contribution</t>
  </si>
  <si>
    <t>Sources: CEIC; Haver Analytics; World Bank.</t>
  </si>
  <si>
    <t>Note: Yellow whiskers denote inflation target bands of central banks. Last observation is from August 2024 for Bangladesh, India, Pakistan, and Sri Lanka, July 2024 for Afghanistan and Bhutan, and June 2024 for Maldives and Nepal.</t>
  </si>
  <si>
    <t>Figure 1.4.E. Currency depreciation against the U.S. dollar</t>
  </si>
  <si>
    <t>Dec-23 - Mar-24</t>
  </si>
  <si>
    <t>Apr-24 - Latest</t>
  </si>
  <si>
    <t>Note: BGD = Bangladesh; LKA = Sri Lanka; PAK = Pakistan; SAR = South Asia. Positive values denote year-on-year depreciation of monthly average exchange rates against the U.S. dollar. Latest data point is from August 2024.</t>
  </si>
  <si>
    <t>Figure 1.4.F. South Asia: Monetary policy rates</t>
  </si>
  <si>
    <t>PAK (RHS)</t>
  </si>
  <si>
    <t>Sources: CEIC; World Bank.</t>
  </si>
  <si>
    <t>Note: BGD = Bangladesh; IND = India; LKA = Sri Lanka; NPL = Nepal; PAK = Pakistan. Solid lines show the policy rate for each country, as of September 20, 2024. Diamonds show policy rates as of December 2019.</t>
  </si>
  <si>
    <t>Figure 1.5.A. U.S. financial conditions and stock market volatility</t>
  </si>
  <si>
    <t>U.S. financial conditions</t>
  </si>
  <si>
    <t>VIX (RHS)</t>
  </si>
  <si>
    <t>Sep-24</t>
  </si>
  <si>
    <t>Sources: Federal Reserve Bank of St. Louis; World Bank.</t>
  </si>
  <si>
    <t>Note: VIX = Chicago Board Options exchange volatility index. The U.S. index is the National Financial Conditions Index (NFCI), which provides a comprehensive weekly update on U.S. financial conditions in money markets, debt and equity markets and the traditional and "shadow" banking systems. Positive values of the NFCI indicate financial conditions that are tighter than average, while negative values indicate financial conditions that are looser than average. Last observation is from September 2024.</t>
  </si>
  <si>
    <t>Figure 1.5.B. U.S. Treasury yields</t>
  </si>
  <si>
    <t>1-Year Treasury Bill</t>
  </si>
  <si>
    <t>30-Year Treasury Bond</t>
  </si>
  <si>
    <t>EMDEs currency risk</t>
  </si>
  <si>
    <t>EMBI Global (RHS)</t>
  </si>
  <si>
    <t>Note: EMDEs = emerging market and developing economies; VIX = Chicago Board Options exchange volatility index. The EMDE currency risk uses the Citi Early Warning Signal, which measures stress in economic and financial variables that have historically been good predictors of currency weakness. Model is based on 12 equally weighted variables per country. The composite index equally weights 22 EMDE indices and ranges between 0 percent (low risk) and 100 percent (high risk), with 50 percent being neutral.</t>
  </si>
  <si>
    <t>Figure 1.5.C. EMDE interest rates and currency</t>
  </si>
  <si>
    <t>Figure 1.5.D. Exchange rates against the U.S. dollar</t>
  </si>
  <si>
    <t>Bangladesh</t>
  </si>
  <si>
    <t>Sri Lanka</t>
  </si>
  <si>
    <t>Note: Official nominal exchange rate, in units of local currency unit per U.S. dollar.</t>
  </si>
  <si>
    <t>Figure 1.5.E. Real monetary policy rates</t>
  </si>
  <si>
    <t>Nepal</t>
  </si>
  <si>
    <t>2017–19</t>
  </si>
  <si>
    <t>Latest</t>
  </si>
  <si>
    <t>Note: BGD = Bangladesh; IND = India; LKA = Sri Lanka; NPL = Nepal; PAK = Pakistan. Bars show real monetary policy rates for each country. Diamonds show the average real policy rate during 2017–19. Real policy rate is calculated as the difference between nominal policy rate and the headline inflation. Latest data are from August 2024 for Bangladesh, India, Nepal, Pakistan, and Sri Lanka.</t>
  </si>
  <si>
    <t>Figure 1.5.F. Private sector credit growth</t>
  </si>
  <si>
    <t>2015–19</t>
  </si>
  <si>
    <t>Maldives</t>
  </si>
  <si>
    <t>Note: BGD = Bangladesh; IND = India; LKA = Sri Lanka; NPL = Nepal; PAK = Pakistan. Year-on-year growth of private sector credit. Growth of commercial credit for India. Latest data are from July 2024 for Bangladesh, India, and Pakistan, and June 2024 for Maldives and Sri Lanka.</t>
  </si>
  <si>
    <t>Figure 1.6.A. Global PMI for new export orders</t>
  </si>
  <si>
    <t>Services exports</t>
  </si>
  <si>
    <t>Goods exports</t>
  </si>
  <si>
    <t>Composite</t>
  </si>
  <si>
    <t>Note: PMI = Purchasing Managers’ Index. Readings above (below) 50 indicate expansion (contraction).  Last observation is from August 2024.</t>
  </si>
  <si>
    <t>Figure 1.6.B. Global trade growth</t>
  </si>
  <si>
    <t>2022Q1</t>
  </si>
  <si>
    <t>2022Q2</t>
  </si>
  <si>
    <t>2022Q4</t>
  </si>
  <si>
    <t>2023Q1</t>
  </si>
  <si>
    <t>2023Q2</t>
  </si>
  <si>
    <t>2023Q4</t>
  </si>
  <si>
    <t>2024Q2</t>
  </si>
  <si>
    <t>2024f</t>
  </si>
  <si>
    <t>Total trade forecast</t>
  </si>
  <si>
    <t>Services trade</t>
  </si>
  <si>
    <t>Goods trade</t>
  </si>
  <si>
    <t>Note: 2024Q2 is based on April–May 2024 data. Year-on-year growth rates reflect volume growth.</t>
  </si>
  <si>
    <t>Figure 1.6.C. Remittance inflow</t>
  </si>
  <si>
    <t xml:space="preserve">Other EMDEs </t>
  </si>
  <si>
    <t>Note: EMDEs = emerging market and developing economies. Other EMDEs comprise Colombia, Georgia, Kenya, Morocco, Paraguay, the Philippines, and Türkiye.</t>
  </si>
  <si>
    <t>Figure 1.6.D. FDI inflows</t>
  </si>
  <si>
    <t>Inward FDI flow</t>
  </si>
  <si>
    <t>2010-19 average</t>
  </si>
  <si>
    <t>Note: BGD = Bangladesh; EMDEs = emerging market and developing economies; FDI = foreign direct investment; IND = India; LKA = Sri Lanka; PAK = Pakistan. Other EMDEs comprise 58 economies. Weighted by GDP at market price, in U.S. dollars. Quarterly GDPs are converted from annual GDPs for other EMDEs, Nepal, and Pakistan.</t>
  </si>
  <si>
    <t>Figure 1.6.E. Net portfolio investment inflows</t>
  </si>
  <si>
    <t>2021Q4</t>
  </si>
  <si>
    <t>2021Q3</t>
  </si>
  <si>
    <t>2021Q2</t>
  </si>
  <si>
    <t>2021Q1</t>
  </si>
  <si>
    <t>2020Q4</t>
  </si>
  <si>
    <t>2020Q3</t>
  </si>
  <si>
    <t>2020Q2</t>
  </si>
  <si>
    <t>2020Q1</t>
  </si>
  <si>
    <t>Note: Quarterly GDP for Nepal and Pakistan are derived from current-year GDP from the World Bank’s Macro Poverty Outlook. 2024Q2 GDP for Bangladesh is assumed to be the same as 2024Q1.</t>
  </si>
  <si>
    <t>Figure 1.6.F. International reserves</t>
  </si>
  <si>
    <t>Figure 1.7.A. Output growth</t>
  </si>
  <si>
    <t>Figure 1.7.B. Changes in growth forecast for South Asian countries since April</t>
  </si>
  <si>
    <t>Upgrades</t>
  </si>
  <si>
    <t>No change</t>
  </si>
  <si>
    <t>Downgrades</t>
  </si>
  <si>
    <t>2024
(FY23/24)</t>
  </si>
  <si>
    <t>2025
(FY24/25)</t>
  </si>
  <si>
    <t>Note: Sample includes seven South Asian countries with GDP forecast.</t>
  </si>
  <si>
    <t>Sources: Macro Poverty Outlook (World Bank); World Bank.</t>
  </si>
  <si>
    <t>Figure 1.7.C. Contributions to output growth: domestic and external demand</t>
  </si>
  <si>
    <t>Domestic demand</t>
  </si>
  <si>
    <t>External demand</t>
  </si>
  <si>
    <t>GDP Growth</t>
  </si>
  <si>
    <t>EMDEs excl. SAR</t>
  </si>
  <si>
    <t>Note: e = estimate; f = forecast. EMDE = emerging market and developing economies; SAR = South Asia. GDP aggregates are calculated using real U.S. dollar GDP weights at 2015 prices and market exchange rates. Contribution to growth from domestic demand and net exports is based on GDP forecasts. Sample comprises 117 EMDEs, of which 6 are in South Asia. Statistical discrepancies and change in inventories are included as part of the domestic demand.</t>
  </si>
  <si>
    <t>Figure 1.7.D. Fiscal balance</t>
  </si>
  <si>
    <t>Wght. Avg</t>
  </si>
  <si>
    <t>2015-19 average</t>
  </si>
  <si>
    <t>SAR excl. IND</t>
  </si>
  <si>
    <t>Figure 1.7.E. Current account balance</t>
  </si>
  <si>
    <t>2015–19 average</t>
  </si>
  <si>
    <t>Median</t>
  </si>
  <si>
    <t>Note: e = estimate; f = forecast. Bars show the median current account balance. Sample comprises seven countries in South Asia. Solid line shows the average median current account balance over the period 2015–19.</t>
  </si>
  <si>
    <t>Figure 1.7.F. Headline inflation</t>
  </si>
  <si>
    <t>Note: = estimate; f = forecast. IND = India; SAR = South Asia. Bars show the median of the expected inflation. Horizontal line shows the average of the median inflation from 2015–19. Sample includes seven countries in South Asia.</t>
  </si>
  <si>
    <t>Figure 1.8.A. Public and private debt, latest</t>
  </si>
  <si>
    <t>Private Debt</t>
  </si>
  <si>
    <t>Public Debt</t>
  </si>
  <si>
    <t>Sources: Global debt database (IMF); World Bank.</t>
  </si>
  <si>
    <t>Average</t>
  </si>
  <si>
    <t>Sources: World Economic Outlook (IMF); World Bank.</t>
  </si>
  <si>
    <t>Note: BGD = Bangladesh; EMDEs = emerging market and developing economies; IND = India; MDV = Maldives; NPL = Nepal; PAK = Pakistan. Bars show the average net government interest spending as a percent of general government gross debt. All indicators are in local currency. Other EMDEs consists of 147 countries. Median value is used for the aggregation.</t>
  </si>
  <si>
    <t>Figure 1.8.C. Government net interest spending</t>
  </si>
  <si>
    <t>2023e</t>
  </si>
  <si>
    <t>Note: e = estimate; f = forecast; EMDEs = emerging market and developing economies; SAR = South Asia. Bars show yearly net government interest spending in percent of general government revenue. All indicators are in local currency. SAR comprises Bangladesh, India, Nepal, Pakistan, and Maldives. Other EMDEs comprises 147 countries.</t>
  </si>
  <si>
    <t>Figure 1.8.D. Government Revenue</t>
  </si>
  <si>
    <t xml:space="preserve"> </t>
  </si>
  <si>
    <t>pos</t>
  </si>
  <si>
    <t>neg</t>
  </si>
  <si>
    <t>Revenue</t>
  </si>
  <si>
    <t>Note: EAP = East Asia and Pacific; ECA = Europe and Central Asia; EMDEs = emerging market and developing economies; LAC = Latin America and the Caribbean; MNA = Middle East and North Africa; SAR = South Asia; SSA = Sub-Saharan Africa. Bars show the average of monthly medians for FY2024 data. Whiskers show the interquartile range. Dotted line represents the median EMDE economy.</t>
  </si>
  <si>
    <t>Figure 1.8.E. International reserves, latest</t>
  </si>
  <si>
    <t>Avg. 2024</t>
  </si>
  <si>
    <t>Note: EAP = East Asia and Pacific; ECA = Europe and Central Asia; EMDEs = emerging market and developing economies; LAC = Latin America and the Caribbean; MNA = Middle East and North Africa; SAR = South Asia; SSA = Sub-Saharan Africa. Bars show simple average of monthly data in 2024 through July. Sample includes up to 55 EMDEs of which 5 are in SAR. Whiskers show the interquartile range. Dotted line shows the median EMDE economy.</t>
  </si>
  <si>
    <t>Figure 1.8.F. Bank claims on government, latest</t>
  </si>
  <si>
    <t>Sources: International Financial
Statistics (IMF); World Economic Outlook (IMF); World Bank.</t>
  </si>
  <si>
    <t>Figure 1.9.A. Number of extreme weather events</t>
  </si>
  <si>
    <t>Figure 1.14.A. Firms’ size and share of young among small firms</t>
  </si>
  <si>
    <t>Figure 1.9.B. Number of extreme weather events by region, 1980–2024</t>
  </si>
  <si>
    <t>Figure 1.14.B. Growth of young SMEs, deviation from average</t>
  </si>
  <si>
    <t>Figure 1.9.C. South Asia: Death by event type</t>
  </si>
  <si>
    <t>Figure 1.14.C. Firms’ entry and exit</t>
  </si>
  <si>
    <t>Figure 1.9.D. Relative wealth, by average temperature of urban and rural areas in South Asia, 2014–18</t>
  </si>
  <si>
    <t>Figure 1.14.D. Applied tariff rate and Logistic Performance Index</t>
  </si>
  <si>
    <t>Figure 1.9.E. Climate vulnerability and poverty across countries</t>
  </si>
  <si>
    <t>Figure 1.14.E. Obstacles faced by firms</t>
  </si>
  <si>
    <t>Figure 1.9.F. Climate vulnerability and overall fiscal balance</t>
  </si>
  <si>
    <t>Figure 1.14.F. South Asia: Firms facing lack of water and power outages</t>
  </si>
  <si>
    <t>Figure 1.10.A. South Asia: GDP per capita and life satisfaction, relative to other EMDEs</t>
  </si>
  <si>
    <t>Figure 1.15.A. Stock of migrants</t>
  </si>
  <si>
    <t>Figure 1.10.B. South Asia: Output growth</t>
  </si>
  <si>
    <t>Figure 1.15.B. Remittances, FDI, and ODA inflows, 2014–23 average</t>
  </si>
  <si>
    <t>Figure 1.10.C. Large protest events, 2022–May 2024</t>
  </si>
  <si>
    <t>Figure 1.15.C. Remittances, by convergence club for private consumption and investment</t>
  </si>
  <si>
    <t>Figure 1.15.D. Remittances, by convergence club for exports and imports</t>
  </si>
  <si>
    <t>Figure 1.11.A. Private investment</t>
  </si>
  <si>
    <t>Figure 1.16.A. Number of new industrial policy measures, 2023</t>
  </si>
  <si>
    <t>Figure 1.11.B. Growth impact of reform slippage</t>
  </si>
  <si>
    <t>Figure 1.16.B. Number of new industrial policy measures in EMDEs, 2023</t>
  </si>
  <si>
    <t>Figure 1.16.C. Composition of industrial policies by instrument, 2023</t>
  </si>
  <si>
    <t>Figure 1.16.D. Share of motives for industrial policy, 2023</t>
  </si>
  <si>
    <t>Figure 1.12.A. Changes in trade-to-GDP ratios</t>
  </si>
  <si>
    <t>Figure 1.16.E. Government effectiveness, 2018–22 average</t>
  </si>
  <si>
    <t>Figure 1.12.B. Number of new restrictions on trade by country origin</t>
  </si>
  <si>
    <t>Figure 1.16.F. Index of market share of the largest competitor, latest</t>
  </si>
  <si>
    <t>Figure 1.12.D. Financial openness, 2021</t>
  </si>
  <si>
    <t>Figure 1.13.A. Female labor force participation rate, 2023</t>
  </si>
  <si>
    <t>Figure 1.17.A. Average tariff rates, 2023</t>
  </si>
  <si>
    <t>Figure 1.13.B. South Asia: Labor force participation rate, 1991–2023</t>
  </si>
  <si>
    <t>Figure 1.17.B. Trade cost from non-tariff trade barriers, 2022</t>
  </si>
  <si>
    <t>Figure 1.13.C. Impact of higher female labor force participation on South Asia’s output</t>
  </si>
  <si>
    <t>Figure 1.17.C. Geoeconomic diversification of exports, 2023</t>
  </si>
  <si>
    <t>Figure 1.13.D. Female employment shares or labor force participation</t>
  </si>
  <si>
    <t>Figure 1.17.D. Composition of FDI stock and exports, 2023</t>
  </si>
  <si>
    <t>Figure 1.13.E. Legal framework for access to childcare, 2024</t>
  </si>
  <si>
    <t>Flood</t>
  </si>
  <si>
    <t>Extreme temperature</t>
  </si>
  <si>
    <t>Drought</t>
  </si>
  <si>
    <t>Wildfire</t>
  </si>
  <si>
    <t>1980s</t>
  </si>
  <si>
    <t>1990s</t>
  </si>
  <si>
    <t>2000s</t>
  </si>
  <si>
    <t>2010s</t>
  </si>
  <si>
    <t>Sources: EM-DAT (International Disaster database); World Bank.</t>
  </si>
  <si>
    <t>Earthquake</t>
  </si>
  <si>
    <t>Storm</t>
  </si>
  <si>
    <t>Others</t>
  </si>
  <si>
    <t>Note: EAP = East Asia and Pacific; ECA = Europe and Central Asia; LAC = Latin America and the Caribbean; MNA = Middle East and North Africa; SAR = South Asia; SSA = Sub-Saharan Africa. Regional aggregates are computed as population-weighted averages of cumulative extreme weather events from 1980 to 2024.</t>
  </si>
  <si>
    <t>2005–14</t>
  </si>
  <si>
    <t>2015–24</t>
  </si>
  <si>
    <t>Flood and storm</t>
  </si>
  <si>
    <t>Note: Chart shows the number of deaths due to extreme temperature events and flood and stormevents from 2005–14 and 2015–24. Numbers are indexed to 100 in the period 1975–84.</t>
  </si>
  <si>
    <t>RWI</t>
  </si>
  <si>
    <t>Std. error</t>
  </si>
  <si>
    <t>Note: Chart shows the estimated average relative wealth index by average maximum temperature between 2014 and 2018. The estimation controls for state fixed effects. Whiskers show the 95 percent confidence interval.</t>
  </si>
  <si>
    <t>Country</t>
  </si>
  <si>
    <t>ln_poverty</t>
  </si>
  <si>
    <t>ln_vuln</t>
  </si>
  <si>
    <t>Angola</t>
  </si>
  <si>
    <t>Argentina</t>
  </si>
  <si>
    <t>Armenia</t>
  </si>
  <si>
    <t>Australia</t>
  </si>
  <si>
    <t>Austria</t>
  </si>
  <si>
    <t>Benin</t>
  </si>
  <si>
    <t>Bolivia</t>
  </si>
  <si>
    <t>Brazil</t>
  </si>
  <si>
    <t>Bulgaria</t>
  </si>
  <si>
    <t>Burkina Faso</t>
  </si>
  <si>
    <t>Burundi</t>
  </si>
  <si>
    <t>Cameroon</t>
  </si>
  <si>
    <t>Canada</t>
  </si>
  <si>
    <t>Central African Republic</t>
  </si>
  <si>
    <t>Chad</t>
  </si>
  <si>
    <t>Chile</t>
  </si>
  <si>
    <t>Colombia</t>
  </si>
  <si>
    <t>Congo, Dem. Rep.</t>
  </si>
  <si>
    <t>Costa Rica</t>
  </si>
  <si>
    <t>Côte d'Ivoire</t>
  </si>
  <si>
    <t>Croatia</t>
  </si>
  <si>
    <t>Czechia</t>
  </si>
  <si>
    <t>Denmark</t>
  </si>
  <si>
    <t>Dominican Republic</t>
  </si>
  <si>
    <t>Ecuador</t>
  </si>
  <si>
    <t>Egypt, Arab Rep.</t>
  </si>
  <si>
    <t>El Salvador</t>
  </si>
  <si>
    <t>Estonia</t>
  </si>
  <si>
    <t>Fiji</t>
  </si>
  <si>
    <t>France</t>
  </si>
  <si>
    <t>Sources: Notre Dame-GAIN Index; Poverty and Inequality (World Bank database); World Bank.</t>
  </si>
  <si>
    <t>Gambia, The</t>
  </si>
  <si>
    <t>Georgia</t>
  </si>
  <si>
    <t>Greece</t>
  </si>
  <si>
    <t>Grenada</t>
  </si>
  <si>
    <t>Guinea</t>
  </si>
  <si>
    <t>Guinea-Bissau</t>
  </si>
  <si>
    <t>Honduras</t>
  </si>
  <si>
    <t>Hungary</t>
  </si>
  <si>
    <t>Indonesia</t>
  </si>
  <si>
    <t>Iran, Islamic Rep.</t>
  </si>
  <si>
    <t>Ireland</t>
  </si>
  <si>
    <t>Israel</t>
  </si>
  <si>
    <t>Italy</t>
  </si>
  <si>
    <t>Jamaica</t>
  </si>
  <si>
    <t>Kenya</t>
  </si>
  <si>
    <t>Kyrgyz Republic</t>
  </si>
  <si>
    <t>Lao PDR</t>
  </si>
  <si>
    <t>Latvia</t>
  </si>
  <si>
    <t>Lithuania</t>
  </si>
  <si>
    <t>Luxembourg</t>
  </si>
  <si>
    <t>Malawi</t>
  </si>
  <si>
    <t>Mali</t>
  </si>
  <si>
    <t>Malta</t>
  </si>
  <si>
    <t>Marshall Islands</t>
  </si>
  <si>
    <t>Mauritania</t>
  </si>
  <si>
    <t>Mexico</t>
  </si>
  <si>
    <t>Mongolia</t>
  </si>
  <si>
    <t>Montenegro</t>
  </si>
  <si>
    <t>Mozambique</t>
  </si>
  <si>
    <t>Netherlands</t>
  </si>
  <si>
    <t>Niger</t>
  </si>
  <si>
    <t>Nigeria</t>
  </si>
  <si>
    <t>North Macedonia</t>
  </si>
  <si>
    <t>Norway</t>
  </si>
  <si>
    <t>Panama</t>
  </si>
  <si>
    <t>Paraguay</t>
  </si>
  <si>
    <t>Peru</t>
  </si>
  <si>
    <t>Philippines</t>
  </si>
  <si>
    <t>Poland</t>
  </si>
  <si>
    <t>Portugal</t>
  </si>
  <si>
    <t>Romania</t>
  </si>
  <si>
    <t>Senegal</t>
  </si>
  <si>
    <t>Serbia</t>
  </si>
  <si>
    <t>Seychelles</t>
  </si>
  <si>
    <t>Sierra Leone</t>
  </si>
  <si>
    <t>Slovak Republic</t>
  </si>
  <si>
    <t>Spain</t>
  </si>
  <si>
    <t>Suriname</t>
  </si>
  <si>
    <t>Sweden</t>
  </si>
  <si>
    <t>Syrian Arab Republic</t>
  </si>
  <si>
    <t>Tanzania</t>
  </si>
  <si>
    <t>Togo</t>
  </si>
  <si>
    <t>Tunisia</t>
  </si>
  <si>
    <t>Türkiye</t>
  </si>
  <si>
    <t>Uganda</t>
  </si>
  <si>
    <t>United Kingdom</t>
  </si>
  <si>
    <t>Uruguay</t>
  </si>
  <si>
    <t>Uzbekistan</t>
  </si>
  <si>
    <t>Vanuatu</t>
  </si>
  <si>
    <t>Vietnam</t>
  </si>
  <si>
    <t>Zambia</t>
  </si>
  <si>
    <t>Zimbabwe</t>
  </si>
  <si>
    <t>Overall fiscal balance</t>
  </si>
  <si>
    <t>Vulnerability (RHS)</t>
  </si>
  <si>
    <t>GDP per capita</t>
  </si>
  <si>
    <t>Life satisfaction</t>
  </si>
  <si>
    <t>line</t>
  </si>
  <si>
    <t>Sources: World Bank; World Values Survey (database); World Development Indicators (database).</t>
  </si>
  <si>
    <t>Note: EMDEs = emerging market and developing economies. Chart shows trends in GDP per capita (PPP in constant 2021 international dollars) and life satisfaction in South Asia relative to other EMDEs over the past ten years. Survey data are interpolated within countries. For countries with only one survey observation, data are assumed constant for the two years prior and after. The regional aggregation uses population as a weight and is then normalized to 2013 = 100. The final series displays trends in South Asia relative to other EMDEs.</t>
  </si>
  <si>
    <t>Average 2015-19</t>
  </si>
  <si>
    <t>Average 2022-25</t>
  </si>
  <si>
    <t>SAR 
excl. India</t>
  </si>
  <si>
    <t>Other 
EMDEs</t>
  </si>
  <si>
    <t>Note: EMDEs = emerging market and developing economies; SAR = South Asia.</t>
  </si>
  <si>
    <t>Region</t>
  </si>
  <si>
    <t>Big</t>
  </si>
  <si>
    <t>Sources: Global Protest Tracker (database); World Bank.</t>
  </si>
  <si>
    <t>Note: ECA = Europe and Central Asia; LAC = Latin America and the Caribbean; MNA = Middle East and North Africa; SAR = South Asia; SSA = Sub-Saharan Africa. Large events are defined as having a peak crowd size of above 10,000 people.</t>
  </si>
  <si>
    <t>Interquartile range</t>
  </si>
  <si>
    <t>IQR Range</t>
  </si>
  <si>
    <t>Sources: Worldwide Governance Indicators; World Bank.</t>
  </si>
  <si>
    <t>Note: AE = advanced economy; avg. = average; EAP = East Asia and Pacific; ECA = Europe and Central Asia; EMDEs = emerging market and developing economies; LAC = Latin America and the Caribbean; MNA = Middle East and North Africa; SAR = South Asia; SSA = Sub-Saharan Africa. For each EMDE region, the bar shows the inter-quartile range in the region averaged over 2018–22, with the yellow line indicating the regional average, and the dashed red line showing the advanced-economy (“AE”) average. Scores range between -2.5 and 2.5. The aggregate number is an unweighted average.</t>
  </si>
  <si>
    <t>Note: EMDEs = emerging market and developing economies; SAR = South Asia. Sample comprises 89 countries of which 5 are in South Asia.</t>
  </si>
  <si>
    <t>Baseline</t>
  </si>
  <si>
    <t>GDP growth avg. 2025-26f</t>
  </si>
  <si>
    <t>Impact of reform slippage</t>
  </si>
  <si>
    <t>Investment decline</t>
  </si>
  <si>
    <t>Investment decline and prod. slowdown</t>
  </si>
  <si>
    <t>Note: f = forecast. avg. = average; prod. = productivity. The simulated impact of reform slippage assumes that fixed capital investment is, on average, one percentage point of baseline GDP lower in each year over 2025–26, and that the increase in trend productivity growth is 0.3 percentage point lower annually. South Asia excludes Afghanistan and Bhutan due to lack of data.</t>
  </si>
  <si>
    <t>2000-09</t>
  </si>
  <si>
    <t>2010-19</t>
  </si>
  <si>
    <t>2020-29</t>
  </si>
  <si>
    <t>Euro Area</t>
  </si>
  <si>
    <t>US</t>
  </si>
  <si>
    <t>Sources: World Bank; World Economic Outlook (IMF).</t>
  </si>
  <si>
    <t>Note: EMDEs = emerging market and developing economies. Chart A shows the change in trade-to-GDP ratio during each of the three decades. Trade in future years is based on projections in the IMF’s World Economic Outlook database. Other EMDEs comprise 76 economies.</t>
  </si>
  <si>
    <t>group</t>
  </si>
  <si>
    <t>Other AEs</t>
  </si>
  <si>
    <t>USA</t>
  </si>
  <si>
    <t>Sources: Global Trade Alert (database); World Bank.</t>
  </si>
  <si>
    <t>Note: AEs = advanced economies; EMDEs = emerging market and developing economies. Sample comprises 187 economies.</t>
  </si>
  <si>
    <t>Note: EMDEs = emerging market and developing economies; inv. = investment; liab. = liability; SAR = South Asia.
Trade is defined as the sum of goods and services exports and imports. Excludes small states and Afghanistan.</t>
  </si>
  <si>
    <t>ka_open</t>
  </si>
  <si>
    <t>Sources: Chinn and Ito (2008); World Bank.</t>
  </si>
  <si>
    <t>Note: EAP = East Asia and Pacific; ECA = Europe and Central Asia; EMDEs = emerging market and developing economies; LAC = Latin America and the Caribbean; MNA = Middle East and North Africa; SAR = South Asia; SSA = Sub-Saharan Africa. Bars show the normalized Chinn-Ito Index for the year 2021. Sample comprises 136 countries of which 7 are in South Asia. Simple average of country groups.</t>
  </si>
  <si>
    <t>other EMDEs p75</t>
  </si>
  <si>
    <t>Sources: LOStat (International Labour Organization); World Bank.</t>
  </si>
  <si>
    <t>Note: BGD = Bangladesh; BTN = Bhutan; EMDEs = emerging market and developing economies; IND = India; LKA = Sri Lanka; MDV = Maldives; NPL = Nepal; PAK = Pakistan. Shaded region indicates interquartile range of non-South Asia EMDEs, weighted by working-age population. Female (male) labor force participation rate is the share of the female (male) working-age population (15+) employed or looking for work, using ILOStat modeled data. Afghanistan has not published any official statistics since 2021.</t>
  </si>
  <si>
    <t>time</t>
  </si>
  <si>
    <t>Female</t>
  </si>
  <si>
    <t>Male</t>
  </si>
  <si>
    <t>Note: Female (male) labor force participation is the share of working-age women (men) aged 15 to 64 who are employed or looking for work.</t>
  </si>
  <si>
    <t>year</t>
  </si>
  <si>
    <t>median</t>
  </si>
  <si>
    <t>2023_counter</t>
  </si>
  <si>
    <t>Actual</t>
  </si>
  <si>
    <t>Counter-factuals</t>
  </si>
  <si>
    <t>Sources: Global Labor Database (World Bank, labor force survey microdata); ILOStat (International Labour Organization); Women, Business and the Law (World Bank); World Bank; World Bank-Facebook Survey on Gender Equality at Home; World Development Indicators (database).</t>
  </si>
  <si>
    <t>Note: Box indicates the range of model projections of the impact on South Asia’s regional real GDP if female employment is raised to parity with male employment. Black line indicates prior GDP data from 2020–23. See chapter 2 and annex 2.2 for details on the models.</t>
  </si>
  <si>
    <t>Female employment</t>
  </si>
  <si>
    <t>Exports</t>
  </si>
  <si>
    <t>Non-
traded</t>
  </si>
  <si>
    <t>Serv.</t>
  </si>
  <si>
    <t>Non-
serv.</t>
  </si>
  <si>
    <t>Female labor force (RHS)</t>
  </si>
  <si>
    <t>Sources: Global Labor Database (World Bank, labor force survey microdata); ILOStat (International Labour Organization); World Bank.</t>
  </si>
  <si>
    <t>WBL childcare index</t>
  </si>
  <si>
    <t>EMDE average</t>
  </si>
  <si>
    <t>Sources: Women, Business and the Law (World Bank); World Bank.</t>
  </si>
  <si>
    <t>Note: EAP = East Asia and Pacific; ECA = Europe and Central Asia; EMDEs = emerging market and developing economies; LAC = Latin America and the Caribbean; MNA = Middle East and North Africa; SAR = South Asia; SSA = Sub-Saharan Africa. Bars show the regional average score of childcare from the World Bank’s Women, Business and the Law database, which measures the adequacy of legal frameworks concerning the availability, affordability, and quality of childcare. Regional averages are weighted by working-age population.</t>
  </si>
  <si>
    <t>Figure 1.13.F. Laws and social norms, 2020</t>
  </si>
  <si>
    <t>Belief in homemaker norm (RHS)</t>
  </si>
  <si>
    <t>Legal gender equality</t>
  </si>
  <si>
    <t>OECD</t>
  </si>
  <si>
    <t>Sources: Women, Business and the Law (World Bank); World Bank; World Bank-Facebook Survey on Gender Equality at Home.</t>
  </si>
  <si>
    <t>Note: EAP = East Asia and Pacific; ECA = Europe and Central Asia; LAC = Latin America and the Caribbean; MNA = Middle East and North Africa; OECD = Organisation for Economic Co-operation and Development; SAR = South Asia; SSA = Sub-Saharan Africa. Bars show the share of respondents who agreed with the “female homemaker” norm by region, with data is from 2020. Diamonds represent the average legal index score by region. All regional averages are weighted by working-age population.</t>
  </si>
  <si>
    <t>Sources: World Bank; World Bank Enterprise Survey (database).</t>
  </si>
  <si>
    <t>Annual sales growth</t>
  </si>
  <si>
    <t>Annual employment growth</t>
  </si>
  <si>
    <t>Note: EMDEs = emerging market and developing economies; SAR = South Asia; SME = small and medium enterprises. Chart shows the deviation of the growth of young SMEs from the average growth of all firms in all countries, adjusted for country-level sector composition. This is estimated using OLS regressions of firms’ annual growth on year and sector fixed effects.</t>
  </si>
  <si>
    <t>25p/min</t>
  </si>
  <si>
    <t>75p/max</t>
  </si>
  <si>
    <t>New business</t>
  </si>
  <si>
    <t>Firm exit</t>
  </si>
  <si>
    <t>New business density</t>
  </si>
  <si>
    <t>Sources: Entrepreneurship Database (World Bank); World Bank.</t>
  </si>
  <si>
    <t>Note: EMDE = emerging market and developing economies; SAR = South Asia. For new business, the South Asia sample includes Bhutan, India, Maldives, Pakistan, and Sri Lanka for 2022, and Nepal for 2020. EMDEs comprise 99 countries between 2020 and 2022. For firms’ exit, the South Asia sample is India, Maldives, Pakistan, and Sri Lanka for 2022. EMDEs comprise 60 countries between 2020 and 2022.</t>
  </si>
  <si>
    <t>Average applied tariff</t>
  </si>
  <si>
    <t>Logistic Performance Index (RHS)</t>
  </si>
  <si>
    <t>Note: BGD = Bangladesh; EMDEs = emerging market and developing economies; IND = India; LKA = Sri Lanka; NPL = Nepal; PAK = Pakistan. Average applied tariffs are trade-weighted in 2021. The Logistic Performance Index is for 2023. Horizontal lines mark the median level of other EMDEs, which include 47 economies for applied tariff and 94 economies for the Logistic Performance Index.</t>
  </si>
  <si>
    <t>Access to land as a major constraint</t>
  </si>
  <si>
    <t>No access to foreign inputs (RHS)</t>
  </si>
  <si>
    <t>Large</t>
  </si>
  <si>
    <t>SMEs</t>
  </si>
  <si>
    <t>Young SMEs</t>
  </si>
  <si>
    <t>Other SMEs</t>
  </si>
  <si>
    <t>Note: EMDEs = emerging market and developing economies; SAR = South Asia; SME = small and medium enterprises.</t>
  </si>
  <si>
    <t>Lack of water</t>
  </si>
  <si>
    <t>Power outage</t>
  </si>
  <si>
    <t>Informal</t>
  </si>
  <si>
    <t>Formal</t>
  </si>
  <si>
    <t>Sources: World Bank; World Development Indicators (database).</t>
  </si>
  <si>
    <t>Note: For informal firms, South Asia uses 2021 data for India and 2022 data for Bangladesh and is the weighted average using real GDP in 2010–19 at average market prices and exchange rates.</t>
  </si>
  <si>
    <t>wbcode</t>
  </si>
  <si>
    <t>migration_stock_share</t>
  </si>
  <si>
    <t>p25</t>
  </si>
  <si>
    <t>p50</t>
  </si>
  <si>
    <t>p75</t>
  </si>
  <si>
    <t>Note: BGD = Bangladesh; BTN = Bhutan; EMDEs = emerging market and developing economies; IND = India; LKA = Sri Lanka; NPL = Nepal; PAK = Pakistan. Data is from 2020. Pink shaded region is the interquartile range of other EMDEs. Red line refers to median level of other EMDEs. Other EMDEs comprise 137 economies.</t>
  </si>
  <si>
    <t>Remittances</t>
  </si>
  <si>
    <t>FDI, ODA, and portfolio inv.</t>
  </si>
  <si>
    <t>FDI, ODA, and Portfolio Inv.</t>
  </si>
  <si>
    <t>(LHS)</t>
  </si>
  <si>
    <t>(RHS)</t>
  </si>
  <si>
    <t>Sources: Macro Poverty Outlook (World Bank); United Nations; World Bank; World Development Indicators (database).</t>
  </si>
  <si>
    <t>Note: BGD = Bangladesh; BTN = Bhutan; EMDE = emerging market and developing economies; SAR = South Asia; IND = India; FDI = foreign direct investment; IND = India; inv. = investment; LKA = Sri Lanka; MDV = Maldives; NPL = Nepal; ODA = official development assistance; PAK = Pakistan. Remittances as a percent of GDP, and the sum of FDI, ODA, and portfolio inflows as a percent of GDP for each SAR country except Afghanistan.</t>
  </si>
  <si>
    <t>Std. err.</t>
  </si>
  <si>
    <t>Private cons.</t>
  </si>
  <si>
    <t>High</t>
  </si>
  <si>
    <t>Low</t>
  </si>
  <si>
    <t>Private inv.</t>
  </si>
  <si>
    <t>Note: cons. = consumption; inv. = investment. Bars show average remittances as a percent of GDP for countries in the high and low convergence club during 1990–2022. “High” indicates the convergence club with the highest private consumption, or private investment as a percent of GDP; “low” indicates the club with the lowest private consumption, or private investment as a percent of GDP. Whiskers indicate 90 percent confidence intervals.</t>
  </si>
  <si>
    <t>Imports</t>
  </si>
  <si>
    <t>Note: Bars show average remittances as a percent of GDP for countries in the high and low convergence club during 1990–2022. “High” indicates the convergence club with the highest goods and services exports, or goods and services imports as a percent of GDP; “low” indicates the club with the lowest goods and services exports, or goods and services imports as a percent of GDP. Whiskers indicate 90 percent confidence intervals.</t>
  </si>
  <si>
    <t>month</t>
  </si>
  <si>
    <t>Sources: New Industrial Policy Observatory; World Bank.</t>
  </si>
  <si>
    <t>Note: AEs = advanced economies; EMDEs = emerging market and developing economies. Figure shows the number of trade-distorting new industrial policies implemented in 2023. Aggregate numbers are calculated as unweighted averages.</t>
  </si>
  <si>
    <t>Number of measures</t>
  </si>
  <si>
    <t xml:space="preserve">Note: EAP = East Asia and Pacific; ECA = Europe and Central Asia; EMDEs = emerging market and developing economies; LAC = Latin America and the Caribbean; MNA = Middle East and North Africa; SAR = South Asia; SSA = Sub-Saharan Africa. Figure shows the number of trade-distorting new industrial policies implemented in 2023. </t>
  </si>
  <si>
    <t>Export barrier</t>
  </si>
  <si>
    <t>Import barrier</t>
  </si>
  <si>
    <t>Domestic subsidy</t>
  </si>
  <si>
    <t>Export incentives</t>
  </si>
  <si>
    <t>FDI</t>
  </si>
  <si>
    <t>Procurement</t>
  </si>
  <si>
    <t>Localization</t>
  </si>
  <si>
    <t>Other</t>
  </si>
  <si>
    <t>Non-SAR EMDEs</t>
  </si>
  <si>
    <t>Sources: Global Trade Alert database; New Industrial Policy Observatory; World Bank.</t>
  </si>
  <si>
    <t>Strategic
competitiveness</t>
  </si>
  <si>
    <t>Resilience of
non-food supply</t>
  </si>
  <si>
    <t>Climate change
mitigation</t>
  </si>
  <si>
    <t>National
security</t>
  </si>
  <si>
    <t>Geopolitical
concerns</t>
  </si>
  <si>
    <t>Note: EMDEs = emerging market and developing economies; SAR = South Asia. Policy measures from 2023. Each policy measure can have more than one motive. “Other EMDEs” comprise 30 jurisdictions, including the economic areas of Eurasian Economic Union, the Gulf Cooperation Council, Mercosur, and Southern Africa Customs Union. South Asia comprises Bangladesh, India, Nepal, and Pakistan.</t>
  </si>
  <si>
    <t>Region average</t>
  </si>
  <si>
    <t>AE average</t>
  </si>
  <si>
    <t>Note: AEs = advanced economies; EAP = East Asia and Pacific; ECA = Europe and Central Asia; EMDEs = emerging market and developing economies; LAC = Latin America and the Caribbean; MNA = Middle East and North Africa; SAR = South Asia; SSA = Sub-Saharan Africa. Figure shows worldwide governance indicator (2018–22 average). The yellow line shows EMDE regional average, the blue bar shows the interquartile range in each EMDE region, and dashed red line shows the advanced economy average. The Worldwide Governance index captures perceptions of the quality of public services, the quality of the civil service and its independence from political pressures, the quality of policy formation and implementation, and the credibility of the government’s
commitment to these policies. WGI scores range between -2.5 and 2.5. Aggregate number is unweighted average.</t>
  </si>
  <si>
    <t>Market share of the largest competitor</t>
  </si>
  <si>
    <t>All countries</t>
  </si>
  <si>
    <t>Note: EAP = East Asia and Pacific; ECA = Europe and Central Asia; EMDEs = emerging market and developing economies; LAC = Latin America and the Caribbean; MNA = Middle East and North Africa; SAR = South Asia; SSA = Sub-Saharan Africa. Index reflects the market share of firms’ largest competitor, in terms of sales, in the market where these firms sold their main product or offered their main service. Sample comprises 50 EMDEs. South Asia includes Bangladesh, Nepal, and Pakistan. Latest data are from 2021–23.</t>
  </si>
  <si>
    <t>Tariffs</t>
  </si>
  <si>
    <t>Small EMDEs interquartile range</t>
  </si>
  <si>
    <t>EMDE interquartile range</t>
  </si>
  <si>
    <t>Note: BGD = Bangladesh; BTN = Bhutan; EMDEs = emerging market and developing economies; IND = India; LKA = Sri Lanka; MDV = Maldives; NPL = Nepal; PAK = Pakistan. Simple average of the ad valorem most favored nation duties applied in 2023. Sample comprises the South Asian countries and 120 other EMDEs, of which are 25 small states. Pink shading denotes interquartile ranges for other EMDEs. Grey shading denotes interquartile ranges for other small states.</t>
  </si>
  <si>
    <t>Outside region</t>
  </si>
  <si>
    <t>Within region</t>
  </si>
  <si>
    <t>South
Asia</t>
  </si>
  <si>
    <t>East
and South
Africa</t>
  </si>
  <si>
    <t>Caribbean</t>
  </si>
  <si>
    <t>West
Africa</t>
  </si>
  <si>
    <t>Latin
America</t>
  </si>
  <si>
    <t>North America</t>
  </si>
  <si>
    <t>Sources: UN ESCAP-World Bank Trade Costs database; World Bank.</t>
  </si>
  <si>
    <t>Note: Chart shows the non-tariff component of costs of goods traded internationally (within and outside the region) in excess of the same goods traded domestically, expressed as ad valorem tariff equivalents. Regional groups are South Asia (South Asian Association for Regional Cooperation), East and South Africa (Common Market for Eastern and Southern Africa), Caribbean (Caribbean Community), West Africa (Economic Community of West African States), and Latin America (Southern Common Market). Data are for 2022. Bilateral trade costs, defined as the excess cost of a good traded internationally compared with the same good traded domestically, are expressed as ad valorem tariff equivalents. When 2022 data are not available, latest available data are used.</t>
  </si>
  <si>
    <t>Small EMDE sp25</t>
  </si>
  <si>
    <t>Small EMDE interquartile range</t>
  </si>
  <si>
    <t>Sources: Aiyar and Ohnsorge (2024); World Bank.</t>
  </si>
  <si>
    <t xml:space="preserve">Note: BGD = Bangladesh; BTN = Bhutan; EMDEs = emerging market and developing economies; IND = India; LKA = Sri Lanka; MDV = Maldives; NPL = Nepal; PAK = Pakistan. Geoeconomic diversification is captured by the geoeconomic connectedness index of Aiyar and Ohnsorge (2024). Pink shading denotes interquartile ranges for other EMDEs. Grey shading denotes interquartile ranges for other small states. EMDEs consist of 153 economies for exports and 155 economies for FDI. </t>
  </si>
  <si>
    <t>USA, UK</t>
  </si>
  <si>
    <t>EU</t>
  </si>
  <si>
    <t>CHN</t>
  </si>
  <si>
    <t>FDI liab.</t>
  </si>
  <si>
    <t>Note: AEs = advanced economies; CHN = China; EMDEs = emerging market and developing economies; EU = European Union ; FDI = foreign direct investment; liab. = liability; SAR = South Asia. EMDEs consist of 153 economies for exports and 155 economies for FDI.</t>
  </si>
  <si>
    <t>Figure 1.8.B. Effective interest rate on government debt, 2023–24</t>
  </si>
  <si>
    <t>Return to Read Me</t>
  </si>
  <si>
    <t>Note: Lines show the daily U.S. 30-year Treasury bond yield and 1-year Treasury bill yield at constant maturity (percent per annum). Last data point is from September 16, 2024.</t>
  </si>
  <si>
    <t>Other EMDEs Mar-24</t>
  </si>
  <si>
    <t>Other EMDEs latest</t>
  </si>
  <si>
    <t>Other EMDE</t>
  </si>
  <si>
    <t>Figure 1.10.D. Regulatory quality, 2018–22</t>
  </si>
  <si>
    <t>Figure 1.1. Overview</t>
  </si>
  <si>
    <t>Figure 1.2. Global economic activity</t>
  </si>
  <si>
    <t>Figure 1.3. Economic activity in South Asia</t>
  </si>
  <si>
    <t>Figure 1.4. Inflation</t>
  </si>
  <si>
    <t>Figure 1.5. Financial conditions</t>
  </si>
  <si>
    <t>Figure 1.6. Trade and capital flows</t>
  </si>
  <si>
    <t>Figure 1.7. Outlook for output growth</t>
  </si>
  <si>
    <t>Figure 1.8. Limited room to absorb shocks</t>
  </si>
  <si>
    <t>Figure 1.9. Climate risk</t>
  </si>
  <si>
    <t>Figure 1.10. Risk of social unrest</t>
  </si>
  <si>
    <t>Figure 1.11. Risk of reform delays</t>
  </si>
  <si>
    <t>Figure 1.12. Risk from geoeconomic fragmentation</t>
  </si>
  <si>
    <t>Figure 1.13. Raising female labor force participation</t>
  </si>
  <si>
    <t>Figure 1.14. Reducing impediments to the growth of firms</t>
  </si>
  <si>
    <t>Figure 1.15. Boosting and using remittances</t>
  </si>
  <si>
    <t>Figure 1.16. Implementing well-designed industrial policy</t>
  </si>
  <si>
    <t>Figure 1.17. Opening to global trade and investment</t>
  </si>
  <si>
    <t>Sources: CEIC; Haver Analytics; J.P. Morgan EMBI emerging market bond index; World Bank.</t>
  </si>
  <si>
    <t>Sources: CPB Netherlands Bureau of Economic Analysis; Global Economic Prospects (World Bank, April 2024); World Bank.</t>
  </si>
  <si>
    <t>Sources: Haver Analytics; Macro Poverty Outlook (World Bank); World Bank.</t>
  </si>
  <si>
    <t>Source: World Development Indicators (database); World Bank.</t>
  </si>
  <si>
    <t>2024 growth forecast as of Mar. 2024</t>
  </si>
  <si>
    <t>Figure 1.5.C. EMDE interest rates and currency risk</t>
  </si>
  <si>
    <t>Note:  PMI = Purchasing Managers’ Index. Readings above (below) 50 indicate expansion (contraction). Last observation is from August 2024.</t>
  </si>
  <si>
    <t>Note: Other EMDEs comprise 37 countries. Latest is from July 2024 for all countries except for Pakistan and Sri Lanka (August 2024). Comparison data is from April 2024 for Maldives and March 2024 for all other countries.</t>
  </si>
  <si>
    <t>Figure 1.8.D. Government revenue</t>
  </si>
  <si>
    <t>Sources: World Bank; WTO World Tariff Profiles (database).</t>
  </si>
  <si>
    <t>Note: BRIC = Brazil, Russia, India, and China; EMDEs = emerging market and developing economies. Solid lines show the Citi Economic Surprise Index. A positive reading means that data releases have been stronger than expected, and a negative reading means that data releases have been worse than expected. Last observation is from September 23, 2024.</t>
  </si>
  <si>
    <t>Note: SAR = South Asia. Figure shows the percent deviation of monthly tourist arrival in South Asia and the World, compared to the same month in 2019. The latest 2024 data for South Asia are from June 2024, and for the World is from July 2024. The South Asia sample consists of India, Maldives, Nepal, and Sri Lanka.</t>
  </si>
  <si>
    <t>Note: e = estimate; f = forecast. IND = India; SAR = South Asia. Aggregation method is weighted average. Sample comprises seven countries in South Asia.</t>
  </si>
  <si>
    <t>Note: EAP = East Asia and Pacific; ECA = Europe and Central Asia; LAC = Latin America and the Caribbean; MNA = Middle East and North Africa; SAR = South Asia; SSA = Sub-Saharan Africa. Public debt is the total stock of debt liabilities issued by the central government. Private debt includes debt, loans and debt securities. Latest observation for both private and public debt is 2022. For Sri Lanka, private debt data are from 2019, and for Bhutan, they are from 2021.</t>
  </si>
  <si>
    <t>Note: EMDEs = emerging market and developing economies; SAR = South Asia. Scatterplot shows the relationship between the natural logarithm of climate vulnerability and the poverty headcount ratio at US$2.15 a day (2017 PPP), measured as a percent of the population. The poverty data are from the most recent period, 2018 to 2023, while the climate vulnerability data are from 2021.</t>
  </si>
  <si>
    <t>Note: EAP = East Asia and Pacific; ECA = Europe and Central Asia; LAC = Latin America and the Caribbean; MNA = Middle East and North Africa; SAR = South Asia; SSA = Sub-Saharan Africa. Bars show overall fiscal balance as a percent of GDP and the climate vulnerability index. The climate vulnerability index is re-weighted for clarity. Regional aggregates computed using a simple average for 2010–23. Sri Lanka is not included because of a lack of data.</t>
  </si>
  <si>
    <t>Sources: Macro Poverty Outlook (World Bank); Notre Dame-GAIN Index; World Bank.</t>
  </si>
  <si>
    <r>
      <t xml:space="preserve">Note: BGD = Blangadesh; EMDEs = emerging market and developing economies; IND = India; LKA = Sri Lanka; NPL = Nepal; PAK = Pakistan; serv. = services. Bars indicate the female share of employment in export, non-traded, services, or non-services sectors, as well as the female labor force participation of urban and rural women in South Asia. Diamonds indicate values in other EMDEs. Export sectors are defined as in chapter 2. Female shares of services and non-services sectors come from ILO, and are the averages of 2021–23 weighted by female population in 2023. Female labor force participation rates come from GLD and </t>
    </r>
    <r>
      <rPr>
        <sz val="14"/>
        <rFont val="Arial"/>
        <family val="2"/>
      </rPr>
      <t>SARLD microdata</t>
    </r>
    <r>
      <rPr>
        <sz val="14"/>
        <color theme="1"/>
        <rFont val="Arial"/>
        <family val="2"/>
      </rPr>
      <t xml:space="preserve"> for: 2022 for BGD and IND, 2021 for LKA, 2020 for PAK, and 2017 for NPL.</t>
    </r>
  </si>
  <si>
    <t>Note: BGD = Bangladesh; EMDE = emerging market and developing economies; IND = India; LKA = Sri Lanka; NPL = Nepal; PAK = Pakistan. Horizontal lines mark the median level firm size in manufacturing and share of young firms (five years old or young) among small firms in other EMDEs.</t>
  </si>
  <si>
    <t>Note: EMDEs = emerging market and developing economies; FDI = foreign direct investment; SAR = South Asia. Figure shows the share of distortive industrial policies by policy instrument in SAR and non-SAR EMDEs, 2023. Aggregate number is unweighted average.</t>
  </si>
  <si>
    <t>Sources: Aiyar and Ohnsorge (2024); Balance of Payments and International Investment Position Statistics (IMF); Consolidated Banking Statistics (BIS); Coordinated Direct Investment Survey (IMF database); World Bank.</t>
  </si>
  <si>
    <t>Sources:Aiyar and Ohnsorge (2024); Balance of Payments and International Investment Position Statistics (IMF); Consolidated Banking Statistics (BIS); Coordinated Direct Investment Survey (IMF database); World Bank.</t>
  </si>
  <si>
    <t>Figure 1.12.C. Openness to global trade, investment, and bank lending</t>
  </si>
  <si>
    <t>Note: FDI = foreign direct investment; inv = investment; liab. = liability. Trade is defined as the sum of goods and services exports and imports. Excludes small states and Afghanistan. Data are the average for 2021–23. Only India has FDI inflows in the interquartile range for EMDEs (1.7 percent of GDP, compared to bottom quartile of 1 percent of 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</si>
</sst>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0.0"/>
    <numFmt numFmtId="166" formatCode="0.0000"/>
    <numFmt numFmtId="167" formatCode="[$-409]mmm\-yy;@"/>
  </numFmts>
  <fonts count="16" x14ac:knownFonts="1">
    <font>
      <sz val="11"/>
      <color theme="1"/>
      <name val="Arial"/>
      <family val="2"/>
    </font>
    <font>
      <b/>
      <sz val="20"/>
      <color indexed="8"/>
      <name val="Arial"/>
      <family val="2"/>
    </font>
    <font>
      <sz val="14"/>
      <color theme="1"/>
      <name val="Arial"/>
      <family val="2"/>
    </font>
    <font>
      <sz val="14"/>
      <name val="Arial"/>
      <family val="2"/>
    </font>
    <font>
      <b/>
      <sz val="20"/>
      <color theme="1"/>
      <name val="Arial"/>
      <family val="2"/>
    </font>
    <font>
      <sz val="14"/>
      <color theme="1"/>
      <name val="Aptos Narrow"/>
      <family val="2"/>
      <scheme val="minor"/>
    </font>
    <font>
      <sz val="14"/>
      <color indexed="8"/>
      <name val="Arial"/>
      <family val="2"/>
    </font>
    <font>
      <sz val="11"/>
      <color theme="1"/>
      <name val="Aptos Narrow"/>
      <family val="2"/>
      <scheme val="minor"/>
    </font>
    <font>
      <sz val="10"/>
      <name val="Arial"/>
      <family val="2"/>
    </font>
    <font>
      <sz val="11"/>
      <color indexed="8"/>
      <name val="Aptos Narrow"/>
      <family val="2"/>
      <scheme val="minor"/>
    </font>
    <font>
      <sz val="11"/>
      <name val="Calibri"/>
      <family val="2"/>
    </font>
    <font>
      <u/>
      <sz val="11"/>
      <color theme="10"/>
      <name val="Arial"/>
      <family val="2"/>
    </font>
    <font>
      <b/>
      <sz val="14"/>
      <color theme="1"/>
      <name val="Arial"/>
      <family val="2"/>
    </font>
    <font>
      <u/>
      <sz val="14"/>
      <color theme="10"/>
      <name val="Arial"/>
      <family val="2"/>
    </font>
    <font>
      <sz val="14"/>
      <color rgb="FF000000"/>
      <name val="Arial"/>
      <family val="2"/>
    </font>
    <font>
      <b/>
      <sz val="14"/>
      <color rgb="FF000000"/>
      <name val="Arial"/>
      <family val="2"/>
    </font>
  </fonts>
  <fills count="2">
    <fill>
      <patternFill patternType="none"/>
    </fill>
    <fill>
      <patternFill patternType="gray125"/>
    </fill>
  </fills>
  <borders count="1">
    <border>
      <left/>
      <right/>
      <top/>
      <bottom/>
      <diagonal/>
    </border>
  </borders>
  <cellStyleXfs count="8">
    <xf numFmtId="0" fontId="0" fillId="0" borderId="0"/>
    <xf numFmtId="0" fontId="7" fillId="0" borderId="0"/>
    <xf numFmtId="0" fontId="8" fillId="0" borderId="0"/>
    <xf numFmtId="0" fontId="9" fillId="0" borderId="0"/>
    <xf numFmtId="0" fontId="10" fillId="0" borderId="0"/>
    <xf numFmtId="0" fontId="11" fillId="0" borderId="0" applyNumberFormat="0" applyFill="0" applyBorder="0" applyAlignment="0" applyProtection="0"/>
    <xf numFmtId="0" fontId="2" fillId="0" borderId="0"/>
    <xf numFmtId="0" fontId="10" fillId="0" borderId="0"/>
  </cellStyleXfs>
  <cellXfs count="68">
    <xf numFmtId="0" fontId="0" fillId="0" borderId="0" xfId="0"/>
    <xf numFmtId="0" fontId="1" fillId="0" borderId="0" xfId="0" applyFont="1"/>
    <xf numFmtId="0" fontId="2" fillId="0" borderId="0" xfId="0" applyFont="1"/>
    <xf numFmtId="164" fontId="2" fillId="0" borderId="0" xfId="0" applyNumberFormat="1" applyFont="1"/>
    <xf numFmtId="2" fontId="2" fillId="0" borderId="0" xfId="0" applyNumberFormat="1" applyFont="1"/>
    <xf numFmtId="0" fontId="3" fillId="0" borderId="0" xfId="0" applyFont="1"/>
    <xf numFmtId="0" fontId="2" fillId="0" borderId="0" xfId="0" applyFont="1" applyAlignment="1">
      <alignment horizontal="right"/>
    </xf>
    <xf numFmtId="0" fontId="4" fillId="0" borderId="0" xfId="0" applyFont="1"/>
    <xf numFmtId="0" fontId="2" fillId="0" borderId="0" xfId="0" applyFont="1" applyAlignment="1">
      <alignment wrapText="1"/>
    </xf>
    <xf numFmtId="0" fontId="2" fillId="0" borderId="0" xfId="0" applyFont="1" applyAlignment="1">
      <alignment horizontal="left" vertical="center" wrapText="1"/>
    </xf>
    <xf numFmtId="1" fontId="2" fillId="0" borderId="0" xfId="0" applyNumberFormat="1" applyFont="1"/>
    <xf numFmtId="165" fontId="2" fillId="0" borderId="0" xfId="0" applyNumberFormat="1" applyFont="1"/>
    <xf numFmtId="17" fontId="2" fillId="0" borderId="0" xfId="0" applyNumberFormat="1" applyFont="1"/>
    <xf numFmtId="165" fontId="5" fillId="0" borderId="0" xfId="0" applyNumberFormat="1" applyFont="1"/>
    <xf numFmtId="0" fontId="6" fillId="0" borderId="0" xfId="0" applyFont="1"/>
    <xf numFmtId="17" fontId="6" fillId="0" borderId="0" xfId="0" applyNumberFormat="1" applyFont="1"/>
    <xf numFmtId="2" fontId="6" fillId="0" borderId="0" xfId="0" applyNumberFormat="1" applyFont="1"/>
    <xf numFmtId="166" fontId="6" fillId="0" borderId="0" xfId="0" applyNumberFormat="1" applyFont="1"/>
    <xf numFmtId="0" fontId="2" fillId="0" borderId="0" xfId="1" applyFont="1"/>
    <xf numFmtId="0" fontId="3" fillId="0" borderId="0" xfId="2" applyFont="1"/>
    <xf numFmtId="0" fontId="3" fillId="0" borderId="0" xfId="2" quotePrefix="1" applyFont="1"/>
    <xf numFmtId="0" fontId="6" fillId="0" borderId="0" xfId="3" applyFont="1"/>
    <xf numFmtId="17" fontId="2" fillId="0" borderId="0" xfId="0" applyNumberFormat="1" applyFont="1" applyAlignment="1">
      <alignment horizontal="right"/>
    </xf>
    <xf numFmtId="167" fontId="2" fillId="0" borderId="0" xfId="0" applyNumberFormat="1" applyFont="1"/>
    <xf numFmtId="17" fontId="3" fillId="0" borderId="0" xfId="0" applyNumberFormat="1" applyFont="1"/>
    <xf numFmtId="11" fontId="2" fillId="0" borderId="0" xfId="0" applyNumberFormat="1" applyFont="1"/>
    <xf numFmtId="43" fontId="2" fillId="0" borderId="0" xfId="0" applyNumberFormat="1" applyFont="1"/>
    <xf numFmtId="0" fontId="2" fillId="0" borderId="0" xfId="0" applyFont="1" applyAlignment="1">
      <alignment horizontal="left"/>
    </xf>
    <xf numFmtId="0" fontId="2" fillId="0" borderId="0" xfId="0" applyFont="1" applyAlignment="1">
      <alignment vertical="center" wrapText="1"/>
    </xf>
    <xf numFmtId="1" fontId="3" fillId="0" borderId="0" xfId="4" applyNumberFormat="1" applyFont="1"/>
    <xf numFmtId="0" fontId="3" fillId="0" borderId="0" xfId="4" applyFont="1"/>
    <xf numFmtId="0" fontId="12" fillId="0" borderId="0" xfId="0" applyFont="1"/>
    <xf numFmtId="0" fontId="13" fillId="0" borderId="0" xfId="5" applyFont="1"/>
    <xf numFmtId="0" fontId="2" fillId="0" borderId="0" xfId="0" applyFont="1" applyAlignment="1">
      <alignment vertical="center"/>
    </xf>
    <xf numFmtId="2" fontId="3" fillId="0" borderId="0" xfId="4" applyNumberFormat="1" applyFont="1"/>
    <xf numFmtId="0" fontId="3" fillId="0" borderId="0" xfId="0" applyFont="1" applyAlignment="1">
      <alignment horizontal="right"/>
    </xf>
    <xf numFmtId="0" fontId="14" fillId="0" borderId="0" xfId="0" applyFont="1"/>
    <xf numFmtId="2" fontId="15" fillId="0" borderId="0" xfId="0" applyNumberFormat="1" applyFont="1"/>
    <xf numFmtId="2" fontId="14" fillId="0" borderId="0" xfId="0" applyNumberFormat="1" applyFont="1"/>
    <xf numFmtId="0" fontId="3" fillId="0" borderId="0" xfId="0" applyFont="1" applyAlignment="1">
      <alignment vertical="center" wrapText="1"/>
    </xf>
    <xf numFmtId="0" fontId="2" fillId="0" borderId="0" xfId="6"/>
    <xf numFmtId="0" fontId="2" fillId="0" borderId="0" xfId="6" applyAlignment="1">
      <alignment wrapText="1"/>
    </xf>
    <xf numFmtId="165" fontId="2" fillId="0" borderId="0" xfId="6" applyNumberFormat="1"/>
    <xf numFmtId="0" fontId="2" fillId="0" borderId="0" xfId="0" applyFont="1" applyAlignment="1">
      <alignment horizontal="center" vertical="top" wrapText="1"/>
    </xf>
    <xf numFmtId="0" fontId="2" fillId="0" borderId="0" xfId="0" applyFont="1" applyAlignment="1">
      <alignment vertical="top" wrapText="1"/>
    </xf>
    <xf numFmtId="0" fontId="3" fillId="0" borderId="0" xfId="6" applyFont="1"/>
    <xf numFmtId="1" fontId="2" fillId="0" borderId="0" xfId="6" applyNumberFormat="1"/>
    <xf numFmtId="0" fontId="3" fillId="0" borderId="0" xfId="0" applyFont="1" applyAlignment="1">
      <alignment vertical="top" wrapText="1"/>
    </xf>
    <xf numFmtId="0" fontId="3" fillId="0" borderId="0" xfId="0" applyFont="1" applyAlignment="1">
      <alignment vertical="top"/>
    </xf>
    <xf numFmtId="2" fontId="2" fillId="0" borderId="0" xfId="6" applyNumberFormat="1"/>
    <xf numFmtId="1" fontId="2" fillId="0" borderId="0" xfId="7" applyNumberFormat="1" applyFont="1"/>
    <xf numFmtId="0" fontId="2" fillId="0" borderId="0" xfId="7" applyFont="1"/>
    <xf numFmtId="165" fontId="2" fillId="0" borderId="0" xfId="7" applyNumberFormat="1" applyFont="1"/>
    <xf numFmtId="17" fontId="2" fillId="0" borderId="0" xfId="0" applyNumberFormat="1" applyFont="1" applyAlignment="1">
      <alignment horizontal="center"/>
    </xf>
    <xf numFmtId="165" fontId="2" fillId="0" borderId="0" xfId="1" applyNumberFormat="1" applyFont="1"/>
    <xf numFmtId="165" fontId="3" fillId="0" borderId="0" xfId="0" applyNumberFormat="1" applyFont="1"/>
    <xf numFmtId="165" fontId="2" fillId="0" borderId="0" xfId="0" applyNumberFormat="1" applyFont="1" applyAlignment="1">
      <alignment horizontal="center"/>
    </xf>
    <xf numFmtId="165" fontId="6" fillId="0" borderId="0" xfId="3" applyNumberFormat="1" applyFont="1"/>
    <xf numFmtId="165" fontId="3" fillId="0" borderId="0" xfId="4" applyNumberFormat="1" applyFont="1"/>
    <xf numFmtId="0" fontId="2" fillId="0" borderId="0" xfId="0" applyFont="1" applyAlignment="1">
      <alignment vertical="top"/>
    </xf>
    <xf numFmtId="0" fontId="3"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left" vertical="center"/>
    </xf>
    <xf numFmtId="0" fontId="2" fillId="0" borderId="0" xfId="0" applyFont="1" applyAlignment="1">
      <alignment horizontal="center"/>
    </xf>
    <xf numFmtId="0" fontId="3" fillId="0" borderId="0" xfId="0" applyFont="1" applyAlignment="1">
      <alignment horizontal="left" vertical="center" wrapText="1"/>
    </xf>
    <xf numFmtId="0" fontId="2" fillId="0" borderId="0" xfId="6" applyAlignment="1">
      <alignment horizontal="center"/>
    </xf>
    <xf numFmtId="0" fontId="2" fillId="0" borderId="0" xfId="0" applyFont="1" applyAlignment="1">
      <alignment horizontal="center" vertical="center"/>
    </xf>
  </cellXfs>
  <cellStyles count="8">
    <cellStyle name="Hyperlink" xfId="5" builtinId="8"/>
    <cellStyle name="Normal" xfId="0" builtinId="0"/>
    <cellStyle name="Normal 11 13" xfId="1" xr:uid="{8DFC8919-C934-44D8-825C-3E9D725ADB97}"/>
    <cellStyle name="Normal 2" xfId="3" xr:uid="{CB7AA182-99ED-4820-875D-D1C350A3C3C9}"/>
    <cellStyle name="Normal 2 2" xfId="6" xr:uid="{ECB777DF-17F7-443A-B5D1-F10DB14480D4}"/>
    <cellStyle name="Normal 3" xfId="2" xr:uid="{9684DF06-AC9C-438C-8281-1D689B962F91}"/>
    <cellStyle name="Normal 4 2" xfId="7" xr:uid="{24AE3D18-76FB-42C9-ADCF-1A8A5E6ABCE5}"/>
    <cellStyle name="Normal 5" xfId="4" xr:uid="{C1226DC0-544D-4324-B26F-768D7CD8D4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54.xml"/><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58.xml"/><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62.xml"/><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64.xml"/><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70.xml"/><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72.xml"/><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74.xml"/><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78.xml"/><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80.xml"/><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82.xml"/><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84.xml"/><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86.xml"/><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3" Type="http://schemas.openxmlformats.org/officeDocument/2006/relationships/chartUserShapes" Target="../drawings/drawing88.xml"/><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90.xml"/><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92.xml"/><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6.xml"/><Relationship Id="rId1" Type="http://schemas.microsoft.com/office/2011/relationships/chartStyle" Target="style46.xml"/><Relationship Id="rId4"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7.xml"/><Relationship Id="rId1" Type="http://schemas.microsoft.com/office/2011/relationships/chartStyle" Target="style47.xml"/><Relationship Id="rId4"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8.xml"/><Relationship Id="rId1" Type="http://schemas.microsoft.com/office/2011/relationships/chartStyle" Target="style48.xml"/><Relationship Id="rId4"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9.xml"/><Relationship Id="rId1" Type="http://schemas.microsoft.com/office/2011/relationships/chartStyle" Target="style49.xml"/><Relationship Id="rId4"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0.xml"/><Relationship Id="rId1" Type="http://schemas.microsoft.com/office/2011/relationships/chartStyle" Target="style50.xml"/><Relationship Id="rId4"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51.xml"/><Relationship Id="rId1" Type="http://schemas.microsoft.com/office/2011/relationships/chartStyle" Target="style51.xml"/><Relationship Id="rId4"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52.xml"/><Relationship Id="rId1" Type="http://schemas.microsoft.com/office/2011/relationships/chartStyle" Target="style52.xml"/><Relationship Id="rId4"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53.xml"/><Relationship Id="rId1" Type="http://schemas.microsoft.com/office/2011/relationships/chartStyle" Target="style53.xml"/><Relationship Id="rId4"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54.xml"/><Relationship Id="rId1" Type="http://schemas.microsoft.com/office/2011/relationships/chartStyle" Target="style54.xml"/><Relationship Id="rId4"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55.xml"/><Relationship Id="rId1" Type="http://schemas.microsoft.com/office/2011/relationships/chartStyle" Target="style55.xml"/><Relationship Id="rId4"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56.xml"/><Relationship Id="rId1" Type="http://schemas.microsoft.com/office/2011/relationships/chartStyle" Target="style56.xml"/><Relationship Id="rId4"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57.xml"/><Relationship Id="rId1" Type="http://schemas.microsoft.com/office/2011/relationships/chartStyle" Target="style57.xml"/><Relationship Id="rId4"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58.xml"/><Relationship Id="rId1" Type="http://schemas.microsoft.com/office/2011/relationships/chartStyle" Target="style58.xml"/><Relationship Id="rId4"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59.xml"/><Relationship Id="rId1" Type="http://schemas.microsoft.com/office/2011/relationships/chartStyle" Target="style59.xml"/><Relationship Id="rId4"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60.xml"/><Relationship Id="rId1" Type="http://schemas.microsoft.com/office/2011/relationships/chartStyle" Target="style60.xml"/><Relationship Id="rId4"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61.xml"/><Relationship Id="rId1" Type="http://schemas.microsoft.com/office/2011/relationships/chartStyle" Target="style61.xml"/><Relationship Id="rId4"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62.xml"/><Relationship Id="rId1" Type="http://schemas.microsoft.com/office/2011/relationships/chartStyle" Target="style62.xml"/><Relationship Id="rId4"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63.xml"/><Relationship Id="rId1" Type="http://schemas.microsoft.com/office/2011/relationships/chartStyle" Target="style63.xml"/><Relationship Id="rId4"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64.xml"/><Relationship Id="rId1" Type="http://schemas.microsoft.com/office/2011/relationships/chartStyle" Target="style64.xml"/><Relationship Id="rId4"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65.xml"/><Relationship Id="rId1" Type="http://schemas.microsoft.com/office/2011/relationships/chartStyle" Target="style65.xml"/><Relationship Id="rId4"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66.xml"/><Relationship Id="rId1" Type="http://schemas.microsoft.com/office/2011/relationships/chartStyle" Target="style66.xml"/><Relationship Id="rId4"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67.xml"/><Relationship Id="rId1" Type="http://schemas.microsoft.com/office/2011/relationships/chartStyle" Target="style67.xml"/><Relationship Id="rId4"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2" Type="http://schemas.openxmlformats.org/officeDocument/2006/relationships/chartUserShapes" Target="../drawings/drawing138.xml"/><Relationship Id="rId1" Type="http://schemas.openxmlformats.org/officeDocument/2006/relationships/themeOverride" Target="../theme/themeOverride23.xml"/></Relationships>
</file>

<file path=xl/charts/_rels/chart70.xml.rels><?xml version="1.0" encoding="UTF-8" standalone="yes"?>
<Relationships xmlns="http://schemas.openxmlformats.org/package/2006/relationships"><Relationship Id="rId2" Type="http://schemas.openxmlformats.org/officeDocument/2006/relationships/chartUserShapes" Target="../drawings/drawing140.xml"/><Relationship Id="rId1" Type="http://schemas.openxmlformats.org/officeDocument/2006/relationships/themeOverride" Target="../theme/themeOverride24.xml"/></Relationships>
</file>

<file path=xl/charts/_rels/chart7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68.xml"/><Relationship Id="rId1" Type="http://schemas.microsoft.com/office/2011/relationships/chartStyle" Target="style68.xml"/><Relationship Id="rId4"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69.xml"/><Relationship Id="rId1" Type="http://schemas.microsoft.com/office/2011/relationships/chartStyle" Target="style69.xml"/><Relationship Id="rId4"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70.xml"/><Relationship Id="rId1" Type="http://schemas.microsoft.com/office/2011/relationships/chartStyle" Target="style70.xml"/><Relationship Id="rId4"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2" Type="http://schemas.openxmlformats.org/officeDocument/2006/relationships/chartUserShapes" Target="../drawings/drawing148.xml"/><Relationship Id="rId1" Type="http://schemas.openxmlformats.org/officeDocument/2006/relationships/themeOverride" Target="../theme/themeOverride28.xml"/></Relationships>
</file>

<file path=xl/charts/_rels/chart75.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71.xml"/><Relationship Id="rId1" Type="http://schemas.microsoft.com/office/2011/relationships/chartStyle" Target="style71.xml"/><Relationship Id="rId4"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72.xml"/><Relationship Id="rId1" Type="http://schemas.microsoft.com/office/2011/relationships/chartStyle" Target="style72.xml"/><Relationship Id="rId4"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73.xml"/><Relationship Id="rId1" Type="http://schemas.microsoft.com/office/2011/relationships/chartStyle" Target="style73.xml"/><Relationship Id="rId4"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74.xml"/><Relationship Id="rId1" Type="http://schemas.microsoft.com/office/2011/relationships/chartStyle" Target="style74.xml"/><Relationship Id="rId4"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75.xml"/><Relationship Id="rId1" Type="http://schemas.microsoft.com/office/2011/relationships/chartStyle" Target="style75.xml"/><Relationship Id="rId4"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76.xml"/><Relationship Id="rId1" Type="http://schemas.microsoft.com/office/2011/relationships/chartStyle" Target="style76.xml"/><Relationship Id="rId4"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77.xml"/><Relationship Id="rId1" Type="http://schemas.microsoft.com/office/2011/relationships/chartStyle" Target="style77.xml"/><Relationship Id="rId4"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78.xml"/><Relationship Id="rId1" Type="http://schemas.microsoft.com/office/2011/relationships/chartStyle" Target="style78.xml"/><Relationship Id="rId4"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3" Type="http://schemas.openxmlformats.org/officeDocument/2006/relationships/themeOverride" Target="../theme/themeOverride37.xml"/><Relationship Id="rId2" Type="http://schemas.microsoft.com/office/2011/relationships/chartColorStyle" Target="colors79.xml"/><Relationship Id="rId1" Type="http://schemas.microsoft.com/office/2011/relationships/chartStyle" Target="style79.xml"/><Relationship Id="rId4"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3" Type="http://schemas.openxmlformats.org/officeDocument/2006/relationships/themeOverride" Target="../theme/themeOverride38.xml"/><Relationship Id="rId2" Type="http://schemas.microsoft.com/office/2011/relationships/chartColorStyle" Target="colors80.xml"/><Relationship Id="rId1" Type="http://schemas.microsoft.com/office/2011/relationships/chartStyle" Target="style80.xml"/><Relationship Id="rId4"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3" Type="http://schemas.openxmlformats.org/officeDocument/2006/relationships/themeOverride" Target="../theme/themeOverride39.xml"/><Relationship Id="rId2" Type="http://schemas.microsoft.com/office/2011/relationships/chartColorStyle" Target="colors81.xml"/><Relationship Id="rId1" Type="http://schemas.microsoft.com/office/2011/relationships/chartStyle" Target="style81.xml"/><Relationship Id="rId4"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3" Type="http://schemas.openxmlformats.org/officeDocument/2006/relationships/themeOverride" Target="../theme/themeOverride40.xml"/><Relationship Id="rId2" Type="http://schemas.microsoft.com/office/2011/relationships/chartColorStyle" Target="colors82.xml"/><Relationship Id="rId1" Type="http://schemas.microsoft.com/office/2011/relationships/chartStyle" Target="style82.xml"/><Relationship Id="rId4"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3" Type="http://schemas.openxmlformats.org/officeDocument/2006/relationships/chartUserShapes" Target="../drawings/drawing174.xml"/><Relationship Id="rId2" Type="http://schemas.microsoft.com/office/2011/relationships/chartColorStyle" Target="colors83.xml"/><Relationship Id="rId1" Type="http://schemas.microsoft.com/office/2011/relationships/chartStyle" Target="style83.xml"/></Relationships>
</file>

<file path=xl/charts/_rels/chart88.xml.rels><?xml version="1.0" encoding="UTF-8" standalone="yes"?>
<Relationships xmlns="http://schemas.openxmlformats.org/package/2006/relationships"><Relationship Id="rId3" Type="http://schemas.openxmlformats.org/officeDocument/2006/relationships/themeOverride" Target="../theme/themeOverride41.xml"/><Relationship Id="rId2" Type="http://schemas.microsoft.com/office/2011/relationships/chartColorStyle" Target="colors84.xml"/><Relationship Id="rId1" Type="http://schemas.microsoft.com/office/2011/relationships/chartStyle" Target="style8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03711505142947E-2"/>
          <c:y val="0.12144699577641831"/>
          <c:w val="0.91388558723452895"/>
          <c:h val="0.54152644356651447"/>
        </c:manualLayout>
      </c:layout>
      <c:barChart>
        <c:barDir val="col"/>
        <c:grouping val="clustered"/>
        <c:varyColors val="0"/>
        <c:ser>
          <c:idx val="0"/>
          <c:order val="0"/>
          <c:tx>
            <c:strRef>
              <c:f>'1.1A'!$U$3</c:f>
              <c:strCache>
                <c:ptCount val="1"/>
                <c:pt idx="0">
                  <c:v>Current forecast</c:v>
                </c:pt>
              </c:strCache>
            </c:strRef>
          </c:tx>
          <c:spPr>
            <a:solidFill>
              <a:schemeClr val="bg2"/>
            </a:solidFill>
            <a:ln w="76200">
              <a:noFill/>
            </a:ln>
            <a:effectLst/>
          </c:spPr>
          <c:invertIfNegative val="0"/>
          <c:dPt>
            <c:idx val="0"/>
            <c:invertIfNegative val="0"/>
            <c:bubble3D val="0"/>
            <c:spPr>
              <a:solidFill>
                <a:schemeClr val="bg2"/>
              </a:solidFill>
              <a:ln w="76200">
                <a:noFill/>
              </a:ln>
              <a:effectLst/>
            </c:spPr>
            <c:extLst>
              <c:ext xmlns:c16="http://schemas.microsoft.com/office/drawing/2014/chart" uri="{C3380CC4-5D6E-409C-BE32-E72D297353CC}">
                <c16:uniqueId val="{00000001-BF19-4A46-9770-171DD6738A09}"/>
              </c:ext>
            </c:extLst>
          </c:dPt>
          <c:dPt>
            <c:idx val="1"/>
            <c:invertIfNegative val="0"/>
            <c:bubble3D val="0"/>
            <c:spPr>
              <a:solidFill>
                <a:schemeClr val="bg2"/>
              </a:solidFill>
              <a:ln w="76200">
                <a:noFill/>
              </a:ln>
              <a:effectLst/>
            </c:spPr>
            <c:extLst>
              <c:ext xmlns:c16="http://schemas.microsoft.com/office/drawing/2014/chart" uri="{C3380CC4-5D6E-409C-BE32-E72D297353CC}">
                <c16:uniqueId val="{00000003-BF19-4A46-9770-171DD6738A09}"/>
              </c:ext>
            </c:extLst>
          </c:dPt>
          <c:dPt>
            <c:idx val="2"/>
            <c:invertIfNegative val="0"/>
            <c:bubble3D val="0"/>
            <c:spPr>
              <a:solidFill>
                <a:schemeClr val="bg2"/>
              </a:solidFill>
              <a:ln w="76200">
                <a:noFill/>
              </a:ln>
              <a:effectLst/>
            </c:spPr>
            <c:extLst>
              <c:ext xmlns:c16="http://schemas.microsoft.com/office/drawing/2014/chart" uri="{C3380CC4-5D6E-409C-BE32-E72D297353CC}">
                <c16:uniqueId val="{00000005-BF19-4A46-9770-171DD6738A09}"/>
              </c:ext>
            </c:extLst>
          </c:dPt>
          <c:dPt>
            <c:idx val="3"/>
            <c:invertIfNegative val="0"/>
            <c:bubble3D val="0"/>
            <c:spPr>
              <a:solidFill>
                <a:schemeClr val="bg2"/>
              </a:solidFill>
              <a:ln w="76200">
                <a:noFill/>
              </a:ln>
              <a:effectLst/>
            </c:spPr>
            <c:extLst>
              <c:ext xmlns:c16="http://schemas.microsoft.com/office/drawing/2014/chart" uri="{C3380CC4-5D6E-409C-BE32-E72D297353CC}">
                <c16:uniqueId val="{00000007-BF19-4A46-9770-171DD6738A09}"/>
              </c:ext>
            </c:extLst>
          </c:dPt>
          <c:cat>
            <c:multiLvlStrRef>
              <c:f>'1.1A'!$R$4:$S$11</c:f>
              <c:multiLvlStrCache>
                <c:ptCount val="8"/>
                <c:lvl>
                  <c:pt idx="0">
                    <c:v>2023</c:v>
                  </c:pt>
                  <c:pt idx="1">
                    <c:v>2024e</c:v>
                  </c:pt>
                  <c:pt idx="2">
                    <c:v>2025f</c:v>
                  </c:pt>
                  <c:pt idx="3">
                    <c:v>2026f</c:v>
                  </c:pt>
                  <c:pt idx="4">
                    <c:v>2023</c:v>
                  </c:pt>
                  <c:pt idx="5">
                    <c:v>2024e</c:v>
                  </c:pt>
                  <c:pt idx="6">
                    <c:v>2025f</c:v>
                  </c:pt>
                  <c:pt idx="7">
                    <c:v>2026f</c:v>
                  </c:pt>
                </c:lvl>
                <c:lvl>
                  <c:pt idx="0">
                    <c:v>SAR</c:v>
                  </c:pt>
                  <c:pt idx="4">
                    <c:v>Other EMDEs (RHS)</c:v>
                  </c:pt>
                </c:lvl>
              </c:multiLvlStrCache>
            </c:multiLvlStrRef>
          </c:cat>
          <c:val>
            <c:numRef>
              <c:f>'1.1A'!$U$4:$U$11</c:f>
              <c:numCache>
                <c:formatCode>0.0</c:formatCode>
                <c:ptCount val="8"/>
                <c:pt idx="0">
                  <c:v>6.6</c:v>
                </c:pt>
                <c:pt idx="1">
                  <c:v>6.4</c:v>
                </c:pt>
                <c:pt idx="2">
                  <c:v>6.2</c:v>
                </c:pt>
                <c:pt idx="3">
                  <c:v>6.2</c:v>
                </c:pt>
              </c:numCache>
            </c:numRef>
          </c:val>
          <c:extLst>
            <c:ext xmlns:c16="http://schemas.microsoft.com/office/drawing/2014/chart" uri="{C3380CC4-5D6E-409C-BE32-E72D297353CC}">
              <c16:uniqueId val="{00000008-BF19-4A46-9770-171DD6738A09}"/>
            </c:ext>
          </c:extLst>
        </c:ser>
        <c:dLbls>
          <c:showLegendKey val="0"/>
          <c:showVal val="0"/>
          <c:showCatName val="0"/>
          <c:showSerName val="0"/>
          <c:showPercent val="0"/>
          <c:showBubbleSize val="0"/>
        </c:dLbls>
        <c:gapWidth val="150"/>
        <c:axId val="79192511"/>
        <c:axId val="79193951"/>
      </c:barChart>
      <c:barChart>
        <c:barDir val="col"/>
        <c:grouping val="clustered"/>
        <c:varyColors val="0"/>
        <c:ser>
          <c:idx val="2"/>
          <c:order val="2"/>
          <c:tx>
            <c:strRef>
              <c:f>'1.1A'!$W$3</c:f>
              <c:strCache>
                <c:ptCount val="1"/>
                <c:pt idx="0">
                  <c:v>Current forecast</c:v>
                </c:pt>
              </c:strCache>
            </c:strRef>
          </c:tx>
          <c:spPr>
            <a:solidFill>
              <a:srgbClr val="002345"/>
            </a:solidFill>
            <a:ln w="25400">
              <a:noFill/>
            </a:ln>
            <a:effectLst/>
          </c:spPr>
          <c:invertIfNegative val="0"/>
          <c:val>
            <c:numRef>
              <c:f>'1.1A'!$W$4:$W$11</c:f>
              <c:numCache>
                <c:formatCode>0.0</c:formatCode>
                <c:ptCount val="8"/>
                <c:pt idx="4">
                  <c:v>4</c:v>
                </c:pt>
                <c:pt idx="5">
                  <c:v>3.8</c:v>
                </c:pt>
                <c:pt idx="6">
                  <c:v>3.7</c:v>
                </c:pt>
                <c:pt idx="7">
                  <c:v>3.8</c:v>
                </c:pt>
              </c:numCache>
            </c:numRef>
          </c:val>
          <c:extLst>
            <c:ext xmlns:c16="http://schemas.microsoft.com/office/drawing/2014/chart" uri="{C3380CC4-5D6E-409C-BE32-E72D297353CC}">
              <c16:uniqueId val="{00000009-BF19-4A46-9770-171DD6738A09}"/>
            </c:ext>
          </c:extLst>
        </c:ser>
        <c:dLbls>
          <c:showLegendKey val="0"/>
          <c:showVal val="0"/>
          <c:showCatName val="0"/>
          <c:showSerName val="0"/>
          <c:showPercent val="0"/>
          <c:showBubbleSize val="0"/>
        </c:dLbls>
        <c:gapWidth val="150"/>
        <c:axId val="667734608"/>
        <c:axId val="667719248"/>
      </c:barChart>
      <c:scatterChart>
        <c:scatterStyle val="lineMarker"/>
        <c:varyColors val="0"/>
        <c:ser>
          <c:idx val="1"/>
          <c:order val="1"/>
          <c:tx>
            <c:strRef>
              <c:f>'1.1A'!$T$3</c:f>
              <c:strCache>
                <c:ptCount val="1"/>
                <c:pt idx="0">
                  <c:v>April 2024 forecast</c:v>
                </c:pt>
              </c:strCache>
            </c:strRef>
          </c:tx>
          <c:spPr>
            <a:ln w="25400" cap="rnd">
              <a:noFill/>
              <a:round/>
            </a:ln>
            <a:effectLst/>
          </c:spPr>
          <c:marker>
            <c:symbol val="diamond"/>
            <c:size val="25"/>
            <c:spPr>
              <a:solidFill>
                <a:schemeClr val="accent2"/>
              </a:solidFill>
              <a:ln w="9525">
                <a:noFill/>
              </a:ln>
              <a:effectLst/>
            </c:spPr>
          </c:marker>
          <c:yVal>
            <c:numRef>
              <c:f>'1.1A'!$T$4:$T$11</c:f>
              <c:numCache>
                <c:formatCode>0.0</c:formatCode>
                <c:ptCount val="8"/>
                <c:pt idx="0">
                  <c:v>6.6</c:v>
                </c:pt>
                <c:pt idx="1">
                  <c:v>6</c:v>
                </c:pt>
                <c:pt idx="2">
                  <c:v>6.1</c:v>
                </c:pt>
              </c:numCache>
            </c:numRef>
          </c:yVal>
          <c:smooth val="0"/>
          <c:extLst>
            <c:ext xmlns:c16="http://schemas.microsoft.com/office/drawing/2014/chart" uri="{C3380CC4-5D6E-409C-BE32-E72D297353CC}">
              <c16:uniqueId val="{0000000A-BF19-4A46-9770-171DD6738A09}"/>
            </c:ext>
          </c:extLst>
        </c:ser>
        <c:dLbls>
          <c:showLegendKey val="0"/>
          <c:showVal val="0"/>
          <c:showCatName val="0"/>
          <c:showSerName val="0"/>
          <c:showPercent val="0"/>
          <c:showBubbleSize val="0"/>
        </c:dLbls>
        <c:axId val="79192511"/>
        <c:axId val="79193951"/>
      </c:scatterChart>
      <c:scatterChart>
        <c:scatterStyle val="lineMarker"/>
        <c:varyColors val="0"/>
        <c:ser>
          <c:idx val="3"/>
          <c:order val="3"/>
          <c:tx>
            <c:strRef>
              <c:f>'1.1A'!$V$3</c:f>
              <c:strCache>
                <c:ptCount val="1"/>
                <c:pt idx="0">
                  <c:v>April 2024 forecast</c:v>
                </c:pt>
              </c:strCache>
            </c:strRef>
          </c:tx>
          <c:spPr>
            <a:ln w="25400" cap="rnd">
              <a:noFill/>
              <a:round/>
            </a:ln>
            <a:effectLst/>
          </c:spPr>
          <c:marker>
            <c:symbol val="diamond"/>
            <c:size val="25"/>
            <c:spPr>
              <a:solidFill>
                <a:schemeClr val="accent2"/>
              </a:solidFill>
              <a:ln w="9525">
                <a:noFill/>
              </a:ln>
              <a:effectLst/>
            </c:spPr>
          </c:marker>
          <c:yVal>
            <c:numRef>
              <c:f>'1.1A'!$V$4:$V$11</c:f>
              <c:numCache>
                <c:formatCode>0.0</c:formatCode>
                <c:ptCount val="8"/>
                <c:pt idx="4">
                  <c:v>3.9</c:v>
                </c:pt>
                <c:pt idx="5">
                  <c:v>3.5</c:v>
                </c:pt>
                <c:pt idx="6">
                  <c:v>3.8</c:v>
                </c:pt>
              </c:numCache>
            </c:numRef>
          </c:yVal>
          <c:smooth val="0"/>
          <c:extLst>
            <c:ext xmlns:c16="http://schemas.microsoft.com/office/drawing/2014/chart" uri="{C3380CC4-5D6E-409C-BE32-E72D297353CC}">
              <c16:uniqueId val="{0000000B-BF19-4A46-9770-171DD6738A09}"/>
            </c:ext>
          </c:extLst>
        </c:ser>
        <c:dLbls>
          <c:showLegendKey val="0"/>
          <c:showVal val="0"/>
          <c:showCatName val="0"/>
          <c:showSerName val="0"/>
          <c:showPercent val="0"/>
          <c:showBubbleSize val="0"/>
        </c:dLbls>
        <c:axId val="667734608"/>
        <c:axId val="667719248"/>
      </c:scatterChart>
      <c:catAx>
        <c:axId val="7919251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93951"/>
        <c:crosses val="autoZero"/>
        <c:auto val="1"/>
        <c:lblAlgn val="ctr"/>
        <c:lblOffset val="100"/>
        <c:noMultiLvlLbl val="0"/>
      </c:catAx>
      <c:valAx>
        <c:axId val="79193951"/>
        <c:scaling>
          <c:orientation val="minMax"/>
          <c:max val="7"/>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92511"/>
        <c:crosses val="autoZero"/>
        <c:crossBetween val="between"/>
        <c:majorUnit val="0.5"/>
      </c:valAx>
      <c:valAx>
        <c:axId val="667719248"/>
        <c:scaling>
          <c:orientation val="minMax"/>
          <c:max val="5"/>
          <c:min val="3"/>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7734608"/>
        <c:crosses val="max"/>
        <c:crossBetween val="between"/>
        <c:majorUnit val="0.5"/>
      </c:valAx>
      <c:catAx>
        <c:axId val="667734608"/>
        <c:scaling>
          <c:orientation val="minMax"/>
        </c:scaling>
        <c:delete val="1"/>
        <c:axPos val="b"/>
        <c:majorTickMark val="out"/>
        <c:minorTickMark val="none"/>
        <c:tickLblPos val="nextTo"/>
        <c:crossAx val="667719248"/>
        <c:crosses val="autoZero"/>
        <c:auto val="1"/>
        <c:lblAlgn val="ctr"/>
        <c:lblOffset val="100"/>
        <c:noMultiLvlLbl val="0"/>
      </c:catAx>
      <c:spPr>
        <a:noFill/>
        <a:ln>
          <a:noFill/>
        </a:ln>
        <a:effectLst/>
      </c:spPr>
    </c:plotArea>
    <c:legend>
      <c:legendPos val="r"/>
      <c:legendEntry>
        <c:idx val="1"/>
        <c:delete val="1"/>
      </c:legendEntry>
      <c:legendEntry>
        <c:idx val="2"/>
        <c:delete val="1"/>
      </c:legendEntry>
      <c:layout>
        <c:manualLayout>
          <c:xMode val="edge"/>
          <c:yMode val="edge"/>
          <c:x val="0.26504604111986002"/>
          <c:y val="4.4906969962088095E-2"/>
          <c:w val="0.57952810586176728"/>
          <c:h val="0.15584476316038665"/>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'1.1B'!$S$4</c:f>
              <c:strCache>
                <c:ptCount val="1"/>
              </c:strCache>
            </c:strRef>
          </c:tx>
          <c:spPr>
            <a:solidFill>
              <a:srgbClr val="002345"/>
            </a:solidFill>
            <a:ln w="76200">
              <a:noFill/>
            </a:ln>
            <a:effectLst/>
          </c:spPr>
          <c:invertIfNegative val="0"/>
          <c:dPt>
            <c:idx val="5"/>
            <c:invertIfNegative val="0"/>
            <c:bubble3D val="0"/>
            <c:spPr>
              <a:solidFill>
                <a:schemeClr val="bg2"/>
              </a:solidFill>
              <a:ln w="76200">
                <a:noFill/>
              </a:ln>
              <a:effectLst/>
            </c:spPr>
            <c:extLst>
              <c:ext xmlns:c16="http://schemas.microsoft.com/office/drawing/2014/chart" uri="{C3380CC4-5D6E-409C-BE32-E72D297353CC}">
                <c16:uniqueId val="{00000001-23D5-4750-9CAE-4DA249C332E1}"/>
              </c:ext>
            </c:extLst>
          </c:dPt>
          <c:cat>
            <c:strRef>
              <c:f>'1.1B'!$R$5:$R$10</c:f>
              <c:strCache>
                <c:ptCount val="6"/>
                <c:pt idx="0">
                  <c:v>EAP</c:v>
                </c:pt>
                <c:pt idx="1">
                  <c:v>LAC</c:v>
                </c:pt>
                <c:pt idx="2">
                  <c:v>ECA</c:v>
                </c:pt>
                <c:pt idx="3">
                  <c:v>MNA</c:v>
                </c:pt>
                <c:pt idx="4">
                  <c:v>SSA</c:v>
                </c:pt>
                <c:pt idx="5">
                  <c:v>SAR</c:v>
                </c:pt>
              </c:strCache>
            </c:strRef>
          </c:cat>
          <c:val>
            <c:numRef>
              <c:f>'1.1B'!$S$5:$S$10</c:f>
              <c:numCache>
                <c:formatCode>General</c:formatCode>
                <c:ptCount val="6"/>
                <c:pt idx="0">
                  <c:v>3.1</c:v>
                </c:pt>
                <c:pt idx="1">
                  <c:v>8.5</c:v>
                </c:pt>
                <c:pt idx="2">
                  <c:v>10.5</c:v>
                </c:pt>
                <c:pt idx="3">
                  <c:v>15.1</c:v>
                </c:pt>
                <c:pt idx="4">
                  <c:v>16.2</c:v>
                </c:pt>
                <c:pt idx="5">
                  <c:v>24.7</c:v>
                </c:pt>
              </c:numCache>
            </c:numRef>
          </c:val>
          <c:extLst>
            <c:ext xmlns:c16="http://schemas.microsoft.com/office/drawing/2014/chart" uri="{C3380CC4-5D6E-409C-BE32-E72D297353CC}">
              <c16:uniqueId val="{00000002-23D5-4750-9CAE-4DA249C332E1}"/>
            </c:ext>
          </c:extLst>
        </c:ser>
        <c:dLbls>
          <c:showLegendKey val="0"/>
          <c:showVal val="0"/>
          <c:showCatName val="0"/>
          <c:showSerName val="0"/>
          <c:showPercent val="0"/>
          <c:showBubbleSize val="0"/>
        </c:dLbls>
        <c:gapWidth val="150"/>
        <c:overlap val="-27"/>
        <c:axId val="1644925168"/>
        <c:axId val="1644942448"/>
      </c:barChart>
      <c:lineChart>
        <c:grouping val="standard"/>
        <c:varyColors val="0"/>
        <c:ser>
          <c:idx val="1"/>
          <c:order val="1"/>
          <c:tx>
            <c:strRef>
              <c:f>'1.1B'!$T$4</c:f>
              <c:strCache>
                <c:ptCount val="1"/>
                <c:pt idx="0">
                  <c:v>Median EMDE</c:v>
                </c:pt>
              </c:strCache>
            </c:strRef>
          </c:tx>
          <c:spPr>
            <a:ln w="76200" cap="rnd">
              <a:solidFill>
                <a:schemeClr val="accent2"/>
              </a:solidFill>
              <a:prstDash val="sysDash"/>
              <a:round/>
            </a:ln>
            <a:effectLst/>
          </c:spPr>
          <c:marker>
            <c:symbol val="none"/>
          </c:marker>
          <c:cat>
            <c:strRef>
              <c:f>'1.1B'!$R$5:$R$10</c:f>
              <c:strCache>
                <c:ptCount val="6"/>
                <c:pt idx="0">
                  <c:v>EAP</c:v>
                </c:pt>
                <c:pt idx="1">
                  <c:v>LAC</c:v>
                </c:pt>
                <c:pt idx="2">
                  <c:v>ECA</c:v>
                </c:pt>
                <c:pt idx="3">
                  <c:v>MNA</c:v>
                </c:pt>
                <c:pt idx="4">
                  <c:v>SSA</c:v>
                </c:pt>
                <c:pt idx="5">
                  <c:v>SAR</c:v>
                </c:pt>
              </c:strCache>
            </c:strRef>
          </c:cat>
          <c:val>
            <c:numRef>
              <c:f>'1.1B'!$T$5:$T$10</c:f>
              <c:numCache>
                <c:formatCode>General</c:formatCode>
                <c:ptCount val="6"/>
                <c:pt idx="0">
                  <c:v>12.5</c:v>
                </c:pt>
                <c:pt idx="1">
                  <c:v>12.5</c:v>
                </c:pt>
                <c:pt idx="2">
                  <c:v>12.5</c:v>
                </c:pt>
                <c:pt idx="3">
                  <c:v>12.5</c:v>
                </c:pt>
                <c:pt idx="4">
                  <c:v>12.5</c:v>
                </c:pt>
                <c:pt idx="5">
                  <c:v>12.5</c:v>
                </c:pt>
              </c:numCache>
            </c:numRef>
          </c:val>
          <c:smooth val="0"/>
          <c:extLst>
            <c:ext xmlns:c16="http://schemas.microsoft.com/office/drawing/2014/chart" uri="{C3380CC4-5D6E-409C-BE32-E72D297353CC}">
              <c16:uniqueId val="{00000003-23D5-4750-9CAE-4DA249C332E1}"/>
            </c:ext>
          </c:extLst>
        </c:ser>
        <c:dLbls>
          <c:showLegendKey val="0"/>
          <c:showVal val="0"/>
          <c:showCatName val="0"/>
          <c:showSerName val="0"/>
          <c:showPercent val="0"/>
          <c:showBubbleSize val="0"/>
        </c:dLbls>
        <c:marker val="1"/>
        <c:smooth val="0"/>
        <c:axId val="1644925168"/>
        <c:axId val="1644942448"/>
      </c:lineChart>
      <c:catAx>
        <c:axId val="164492516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44942448"/>
        <c:crosses val="autoZero"/>
        <c:auto val="1"/>
        <c:lblAlgn val="ctr"/>
        <c:lblOffset val="100"/>
        <c:noMultiLvlLbl val="0"/>
      </c:catAx>
      <c:valAx>
        <c:axId val="1644942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44925168"/>
        <c:crosses val="autoZero"/>
        <c:crossBetween val="between"/>
      </c:valAx>
      <c:spPr>
        <a:noFill/>
        <a:ln>
          <a:noFill/>
        </a:ln>
        <a:effectLst/>
      </c:spPr>
    </c:plotArea>
    <c:legend>
      <c:legendPos val="t"/>
      <c:legendEntry>
        <c:idx val="0"/>
        <c:delete val="1"/>
      </c:legendEntry>
      <c:layout>
        <c:manualLayout>
          <c:xMode val="edge"/>
          <c:yMode val="edge"/>
          <c:x val="0.2651774934383202"/>
          <c:y val="0.20200554097404491"/>
          <c:w val="0.38928073053368328"/>
          <c:h val="7.9562408865558473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04399970836978"/>
          <c:y val="0.12062700495771361"/>
          <c:w val="0.86032206911636044"/>
          <c:h val="0.65969437153689126"/>
        </c:manualLayout>
      </c:layout>
      <c:barChart>
        <c:barDir val="col"/>
        <c:grouping val="clustered"/>
        <c:varyColors val="0"/>
        <c:ser>
          <c:idx val="0"/>
          <c:order val="0"/>
          <c:spPr>
            <a:solidFill>
              <a:srgbClr val="002345"/>
            </a:solidFill>
            <a:ln>
              <a:noFill/>
            </a:ln>
            <a:effectLst/>
          </c:spPr>
          <c:invertIfNegative val="0"/>
          <c:errBars>
            <c:errBarType val="both"/>
            <c:errValType val="cust"/>
            <c:noEndCap val="0"/>
            <c:plus>
              <c:numRef>
                <c:f>'1.1C'!$U$3:$U$6</c:f>
                <c:numCache>
                  <c:formatCode>General</c:formatCode>
                  <c:ptCount val="4"/>
                  <c:pt idx="0">
                    <c:v>2.5999999999999999E-2</c:v>
                  </c:pt>
                  <c:pt idx="1">
                    <c:v>0.06</c:v>
                  </c:pt>
                  <c:pt idx="2">
                    <c:v>1.9E-2</c:v>
                  </c:pt>
                  <c:pt idx="3">
                    <c:v>0.03</c:v>
                  </c:pt>
                </c:numCache>
              </c:numRef>
            </c:plus>
            <c:minus>
              <c:numRef>
                <c:f>'1.1C'!$U$3:$U$6</c:f>
                <c:numCache>
                  <c:formatCode>General</c:formatCode>
                  <c:ptCount val="4"/>
                  <c:pt idx="0">
                    <c:v>2.5999999999999999E-2</c:v>
                  </c:pt>
                  <c:pt idx="1">
                    <c:v>0.06</c:v>
                  </c:pt>
                  <c:pt idx="2">
                    <c:v>1.9E-2</c:v>
                  </c:pt>
                  <c:pt idx="3">
                    <c:v>0.03</c:v>
                  </c:pt>
                </c:numCache>
              </c:numRef>
            </c:minus>
            <c:spPr>
              <a:noFill/>
              <a:ln w="76200" cap="sq" cmpd="sng" algn="ctr">
                <a:solidFill>
                  <a:srgbClr val="FFC000"/>
                </a:solidFill>
                <a:round/>
              </a:ln>
              <a:effectLst/>
            </c:spPr>
          </c:errBars>
          <c:cat>
            <c:multiLvlStrRef>
              <c:f>'1.1C'!$R$3:$S$6</c:f>
              <c:multiLvlStrCache>
                <c:ptCount val="4"/>
                <c:lvl>
                  <c:pt idx="0">
                    <c:v>29°C</c:v>
                  </c:pt>
                  <c:pt idx="1">
                    <c:v>34°C</c:v>
                  </c:pt>
                  <c:pt idx="2">
                    <c:v>29°C</c:v>
                  </c:pt>
                  <c:pt idx="3">
                    <c:v>34°C</c:v>
                  </c:pt>
                </c:lvl>
                <c:lvl>
                  <c:pt idx="0">
                    <c:v>Urban</c:v>
                  </c:pt>
                  <c:pt idx="2">
                    <c:v>Rural</c:v>
                  </c:pt>
                </c:lvl>
              </c:multiLvlStrCache>
            </c:multiLvlStrRef>
          </c:cat>
          <c:val>
            <c:numRef>
              <c:f>'1.1C'!$T$3:$T$6</c:f>
              <c:numCache>
                <c:formatCode>0.000</c:formatCode>
                <c:ptCount val="4"/>
                <c:pt idx="0">
                  <c:v>3.9E-2</c:v>
                </c:pt>
                <c:pt idx="1">
                  <c:v>-0.184</c:v>
                </c:pt>
                <c:pt idx="2">
                  <c:v>2.1999999999999999E-2</c:v>
                </c:pt>
                <c:pt idx="3">
                  <c:v>-9.0999999999999998E-2</c:v>
                </c:pt>
              </c:numCache>
            </c:numRef>
          </c:val>
          <c:extLst>
            <c:ext xmlns:c16="http://schemas.microsoft.com/office/drawing/2014/chart" uri="{C3380CC4-5D6E-409C-BE32-E72D297353CC}">
              <c16:uniqueId val="{00000000-1944-433E-940B-5AF4D7BD0C75}"/>
            </c:ext>
          </c:extLst>
        </c:ser>
        <c:dLbls>
          <c:showLegendKey val="0"/>
          <c:showVal val="0"/>
          <c:showCatName val="0"/>
          <c:showSerName val="0"/>
          <c:showPercent val="0"/>
          <c:showBubbleSize val="0"/>
        </c:dLbls>
        <c:gapWidth val="150"/>
        <c:overlap val="-27"/>
        <c:axId val="761270799"/>
        <c:axId val="761285199"/>
      </c:barChart>
      <c:catAx>
        <c:axId val="76127079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61285199"/>
        <c:crosses val="autoZero"/>
        <c:auto val="1"/>
        <c:lblAlgn val="ctr"/>
        <c:lblOffset val="100"/>
        <c:noMultiLvlLbl val="0"/>
      </c:catAx>
      <c:valAx>
        <c:axId val="76128519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61270799"/>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529126074617"/>
          <c:y val="0.1162219737777147"/>
          <c:w val="0.8022694012130589"/>
          <c:h val="0.54594566600897898"/>
        </c:manualLayout>
      </c:layout>
      <c:barChart>
        <c:barDir val="col"/>
        <c:grouping val="stacked"/>
        <c:varyColors val="0"/>
        <c:ser>
          <c:idx val="0"/>
          <c:order val="0"/>
          <c:spPr>
            <a:solidFill>
              <a:schemeClr val="bg1"/>
            </a:solidFill>
            <a:ln>
              <a:noFill/>
            </a:ln>
            <a:effectLst/>
          </c:spPr>
          <c:invertIfNegative val="0"/>
          <c:cat>
            <c:strRef>
              <c:f>'1.1D'!$R$4:$R$7</c:f>
              <c:strCache>
                <c:ptCount val="4"/>
                <c:pt idx="0">
                  <c:v>Trade</c:v>
                </c:pt>
                <c:pt idx="1">
                  <c:v>Liab. to 
global banks </c:v>
                </c:pt>
                <c:pt idx="2">
                  <c:v>FDI inflows 
(RHS)</c:v>
                </c:pt>
                <c:pt idx="3">
                  <c:v>Portfolio inv. inflows (RHS)</c:v>
                </c:pt>
              </c:strCache>
            </c:strRef>
          </c:cat>
          <c:val>
            <c:numRef>
              <c:f>'1.1D'!$S$4:$S$6</c:f>
              <c:numCache>
                <c:formatCode>0.00</c:formatCode>
                <c:ptCount val="3"/>
                <c:pt idx="0">
                  <c:v>28.57</c:v>
                </c:pt>
                <c:pt idx="1">
                  <c:v>2.95</c:v>
                </c:pt>
              </c:numCache>
            </c:numRef>
          </c:val>
          <c:extLst>
            <c:ext xmlns:c16="http://schemas.microsoft.com/office/drawing/2014/chart" uri="{C3380CC4-5D6E-409C-BE32-E72D297353CC}">
              <c16:uniqueId val="{00000000-A69A-442D-B532-F00EF666B9D2}"/>
            </c:ext>
          </c:extLst>
        </c:ser>
        <c:ser>
          <c:idx val="1"/>
          <c:order val="1"/>
          <c:tx>
            <c:strRef>
              <c:f>'1.1D'!$S$3</c:f>
              <c:strCache>
                <c:ptCount val="1"/>
                <c:pt idx="0">
                  <c:v>Range, SAR</c:v>
                </c:pt>
              </c:strCache>
            </c:strRef>
          </c:tx>
          <c:spPr>
            <a:solidFill>
              <a:schemeClr val="bg2"/>
            </a:solidFill>
            <a:ln>
              <a:noFill/>
            </a:ln>
            <a:effectLst/>
          </c:spPr>
          <c:invertIfNegative val="0"/>
          <c:cat>
            <c:strRef>
              <c:f>'1.1D'!$R$4:$R$7</c:f>
              <c:strCache>
                <c:ptCount val="4"/>
                <c:pt idx="0">
                  <c:v>Trade</c:v>
                </c:pt>
                <c:pt idx="1">
                  <c:v>Liab. to 
global banks </c:v>
                </c:pt>
                <c:pt idx="2">
                  <c:v>FDI inflows 
(RHS)</c:v>
                </c:pt>
                <c:pt idx="3">
                  <c:v>Portfolio inv. inflows (RHS)</c:v>
                </c:pt>
              </c:strCache>
            </c:strRef>
          </c:cat>
          <c:val>
            <c:numRef>
              <c:f>'1.1D'!$T$4:$T$7</c:f>
              <c:numCache>
                <c:formatCode>0.00</c:formatCode>
                <c:ptCount val="4"/>
                <c:pt idx="0">
                  <c:v>16.809999999999999</c:v>
                </c:pt>
                <c:pt idx="1">
                  <c:v>6.45</c:v>
                </c:pt>
              </c:numCache>
            </c:numRef>
          </c:val>
          <c:extLst>
            <c:ext xmlns:c16="http://schemas.microsoft.com/office/drawing/2014/chart" uri="{C3380CC4-5D6E-409C-BE32-E72D297353CC}">
              <c16:uniqueId val="{00000001-A69A-442D-B532-F00EF666B9D2}"/>
            </c:ext>
          </c:extLst>
        </c:ser>
        <c:ser>
          <c:idx val="4"/>
          <c:order val="4"/>
          <c:spPr>
            <a:noFill/>
            <a:ln>
              <a:noFill/>
            </a:ln>
            <a:effectLst/>
          </c:spPr>
          <c:invertIfNegative val="0"/>
          <c:cat>
            <c:strRef>
              <c:f>'1.1D'!$R$4:$R$7</c:f>
              <c:strCache>
                <c:ptCount val="4"/>
                <c:pt idx="0">
                  <c:v>Trade</c:v>
                </c:pt>
                <c:pt idx="1">
                  <c:v>Liab. to 
global banks </c:v>
                </c:pt>
                <c:pt idx="2">
                  <c:v>FDI inflows 
(RHS)</c:v>
                </c:pt>
                <c:pt idx="3">
                  <c:v>Portfolio inv. inflows (RHS)</c:v>
                </c:pt>
              </c:strCache>
            </c:strRef>
          </c:cat>
          <c:val>
            <c:numRef>
              <c:f>'1.1D'!$U$4:$U$6</c:f>
              <c:numCache>
                <c:formatCode>0.00</c:formatCode>
                <c:ptCount val="3"/>
                <c:pt idx="0">
                  <c:v>9.7899999999999991</c:v>
                </c:pt>
                <c:pt idx="1">
                  <c:v>1.32</c:v>
                </c:pt>
              </c:numCache>
            </c:numRef>
          </c:val>
          <c:extLst>
            <c:ext xmlns:c16="http://schemas.microsoft.com/office/drawing/2014/chart" uri="{C3380CC4-5D6E-409C-BE32-E72D297353CC}">
              <c16:uniqueId val="{00000002-A69A-442D-B532-F00EF666B9D2}"/>
            </c:ext>
          </c:extLst>
        </c:ser>
        <c:ser>
          <c:idx val="5"/>
          <c:order val="5"/>
          <c:tx>
            <c:strRef>
              <c:f>'1.1D'!$U$3</c:f>
              <c:strCache>
                <c:ptCount val="1"/>
                <c:pt idx="0">
                  <c:v>Range, EMDEs</c:v>
                </c:pt>
              </c:strCache>
            </c:strRef>
          </c:tx>
          <c:spPr>
            <a:solidFill>
              <a:schemeClr val="tx2"/>
            </a:solidFill>
            <a:ln>
              <a:noFill/>
            </a:ln>
            <a:effectLst/>
          </c:spPr>
          <c:invertIfNegative val="0"/>
          <c:cat>
            <c:strRef>
              <c:f>'1.1D'!$R$4:$R$7</c:f>
              <c:strCache>
                <c:ptCount val="4"/>
                <c:pt idx="0">
                  <c:v>Trade</c:v>
                </c:pt>
                <c:pt idx="1">
                  <c:v>Liab. to 
global banks </c:v>
                </c:pt>
                <c:pt idx="2">
                  <c:v>FDI inflows 
(RHS)</c:v>
                </c:pt>
                <c:pt idx="3">
                  <c:v>Portfolio inv. inflows (RHS)</c:v>
                </c:pt>
              </c:strCache>
            </c:strRef>
          </c:cat>
          <c:val>
            <c:numRef>
              <c:f>'1.1D'!$V$4:$V$6</c:f>
              <c:numCache>
                <c:formatCode>0.00</c:formatCode>
                <c:ptCount val="3"/>
                <c:pt idx="0">
                  <c:v>42.97</c:v>
                </c:pt>
                <c:pt idx="1">
                  <c:v>31.29</c:v>
                </c:pt>
              </c:numCache>
            </c:numRef>
          </c:val>
          <c:extLst>
            <c:ext xmlns:c16="http://schemas.microsoft.com/office/drawing/2014/chart" uri="{C3380CC4-5D6E-409C-BE32-E72D297353CC}">
              <c16:uniqueId val="{00000003-A69A-442D-B532-F00EF666B9D2}"/>
            </c:ext>
          </c:extLst>
        </c:ser>
        <c:dLbls>
          <c:showLegendKey val="0"/>
          <c:showVal val="0"/>
          <c:showCatName val="0"/>
          <c:showSerName val="0"/>
          <c:showPercent val="0"/>
          <c:showBubbleSize val="0"/>
        </c:dLbls>
        <c:gapWidth val="150"/>
        <c:overlap val="100"/>
        <c:axId val="2029201808"/>
        <c:axId val="2029203248"/>
      </c:barChart>
      <c:barChart>
        <c:barDir val="col"/>
        <c:grouping val="stacked"/>
        <c:varyColors val="0"/>
        <c:ser>
          <c:idx val="2"/>
          <c:order val="2"/>
          <c:spPr>
            <a:solidFill>
              <a:schemeClr val="bg1"/>
            </a:solidFill>
            <a:ln>
              <a:noFill/>
            </a:ln>
            <a:effectLst/>
          </c:spPr>
          <c:invertIfNegative val="0"/>
          <c:dPt>
            <c:idx val="3"/>
            <c:invertIfNegative val="0"/>
            <c:bubble3D val="0"/>
            <c:spPr>
              <a:gradFill>
                <a:gsLst>
                  <a:gs pos="0">
                    <a:schemeClr val="bg2"/>
                  </a:gs>
                  <a:gs pos="74000">
                    <a:schemeClr val="bg2"/>
                  </a:gs>
                  <a:gs pos="83000">
                    <a:schemeClr val="bg2"/>
                  </a:gs>
                  <a:gs pos="100000">
                    <a:schemeClr val="tx2"/>
                  </a:gs>
                </a:gsLst>
                <a:lin ang="5400000" scaled="1"/>
              </a:gradFill>
              <a:ln>
                <a:noFill/>
              </a:ln>
              <a:effectLst/>
            </c:spPr>
            <c:extLst>
              <c:ext xmlns:c16="http://schemas.microsoft.com/office/drawing/2014/chart" uri="{C3380CC4-5D6E-409C-BE32-E72D297353CC}">
                <c16:uniqueId val="{00000005-A69A-442D-B532-F00EF666B9D2}"/>
              </c:ext>
            </c:extLst>
          </c:dPt>
          <c:cat>
            <c:strRef>
              <c:f>'1.1D'!$R$4:$R$7</c:f>
              <c:strCache>
                <c:ptCount val="4"/>
                <c:pt idx="0">
                  <c:v>Trade</c:v>
                </c:pt>
                <c:pt idx="1">
                  <c:v>Liab. to 
global banks </c:v>
                </c:pt>
                <c:pt idx="2">
                  <c:v>FDI inflows 
(RHS)</c:v>
                </c:pt>
                <c:pt idx="3">
                  <c:v>Portfolio inv. inflows (RHS)</c:v>
                </c:pt>
              </c:strCache>
            </c:strRef>
          </c:cat>
          <c:val>
            <c:numRef>
              <c:f>'1.1D'!$W$4:$W$7</c:f>
              <c:numCache>
                <c:formatCode>0.00</c:formatCode>
                <c:ptCount val="4"/>
                <c:pt idx="2">
                  <c:v>0.36</c:v>
                </c:pt>
                <c:pt idx="3">
                  <c:v>-0.69</c:v>
                </c:pt>
              </c:numCache>
            </c:numRef>
          </c:val>
          <c:extLst>
            <c:ext xmlns:c16="http://schemas.microsoft.com/office/drawing/2014/chart" uri="{C3380CC4-5D6E-409C-BE32-E72D297353CC}">
              <c16:uniqueId val="{00000006-A69A-442D-B532-F00EF666B9D2}"/>
            </c:ext>
          </c:extLst>
        </c:ser>
        <c:ser>
          <c:idx val="3"/>
          <c:order val="3"/>
          <c:spPr>
            <a:solidFill>
              <a:schemeClr val="bg2"/>
            </a:solidFill>
            <a:ln>
              <a:noFill/>
            </a:ln>
            <a:effectLst/>
          </c:spPr>
          <c:invertIfNegative val="0"/>
          <c:dPt>
            <c:idx val="3"/>
            <c:invertIfNegative val="0"/>
            <c:bubble3D val="0"/>
            <c:spPr>
              <a:solidFill>
                <a:schemeClr val="tx2"/>
              </a:solidFill>
              <a:ln>
                <a:noFill/>
              </a:ln>
              <a:effectLst/>
            </c:spPr>
            <c:extLst>
              <c:ext xmlns:c16="http://schemas.microsoft.com/office/drawing/2014/chart" uri="{C3380CC4-5D6E-409C-BE32-E72D297353CC}">
                <c16:uniqueId val="{00000008-A69A-442D-B532-F00EF666B9D2}"/>
              </c:ext>
            </c:extLst>
          </c:dPt>
          <c:cat>
            <c:strRef>
              <c:f>'1.1D'!$R$4:$R$7</c:f>
              <c:strCache>
                <c:ptCount val="4"/>
                <c:pt idx="0">
                  <c:v>Trade</c:v>
                </c:pt>
                <c:pt idx="1">
                  <c:v>Liab. to 
global banks </c:v>
                </c:pt>
                <c:pt idx="2">
                  <c:v>FDI inflows 
(RHS)</c:v>
                </c:pt>
                <c:pt idx="3">
                  <c:v>Portfolio inv. inflows (RHS)</c:v>
                </c:pt>
              </c:strCache>
            </c:strRef>
          </c:cat>
          <c:val>
            <c:numRef>
              <c:f>'1.1D'!$X$4:$X$7</c:f>
              <c:numCache>
                <c:formatCode>0.00</c:formatCode>
                <c:ptCount val="4"/>
                <c:pt idx="2">
                  <c:v>0.59</c:v>
                </c:pt>
                <c:pt idx="3">
                  <c:v>-0.26</c:v>
                </c:pt>
              </c:numCache>
            </c:numRef>
          </c:val>
          <c:extLst>
            <c:ext xmlns:c16="http://schemas.microsoft.com/office/drawing/2014/chart" uri="{C3380CC4-5D6E-409C-BE32-E72D297353CC}">
              <c16:uniqueId val="{00000009-A69A-442D-B532-F00EF666B9D2}"/>
            </c:ext>
          </c:extLst>
        </c:ser>
        <c:ser>
          <c:idx val="6"/>
          <c:order val="6"/>
          <c:spPr>
            <a:gradFill flip="none" rotWithShape="1">
              <a:gsLst>
                <a:gs pos="0">
                  <a:schemeClr val="bg2"/>
                </a:gs>
                <a:gs pos="100000">
                  <a:schemeClr val="tx2"/>
                </a:gs>
              </a:gsLst>
              <a:lin ang="16200000" scaled="1"/>
              <a:tileRect/>
            </a:gradFill>
            <a:ln>
              <a:noFill/>
            </a:ln>
            <a:effectLst/>
          </c:spPr>
          <c:invertIfNegative val="0"/>
          <c:cat>
            <c:strRef>
              <c:f>'1.1D'!$R$4:$R$7</c:f>
              <c:strCache>
                <c:ptCount val="4"/>
                <c:pt idx="0">
                  <c:v>Trade</c:v>
                </c:pt>
                <c:pt idx="1">
                  <c:v>Liab. to 
global banks </c:v>
                </c:pt>
                <c:pt idx="2">
                  <c:v>FDI inflows 
(RHS)</c:v>
                </c:pt>
                <c:pt idx="3">
                  <c:v>Portfolio inv. inflows (RHS)</c:v>
                </c:pt>
              </c:strCache>
            </c:strRef>
          </c:cat>
          <c:val>
            <c:numRef>
              <c:f>'1.1D'!$Y$4:$Y$7</c:f>
              <c:numCache>
                <c:formatCode>0.00</c:formatCode>
                <c:ptCount val="4"/>
                <c:pt idx="2">
                  <c:v>0.78</c:v>
                </c:pt>
                <c:pt idx="3">
                  <c:v>7.0000000000000007E-2</c:v>
                </c:pt>
              </c:numCache>
            </c:numRef>
          </c:val>
          <c:extLst>
            <c:ext xmlns:c16="http://schemas.microsoft.com/office/drawing/2014/chart" uri="{C3380CC4-5D6E-409C-BE32-E72D297353CC}">
              <c16:uniqueId val="{0000000A-A69A-442D-B532-F00EF666B9D2}"/>
            </c:ext>
          </c:extLst>
        </c:ser>
        <c:ser>
          <c:idx val="7"/>
          <c:order val="7"/>
          <c:spPr>
            <a:solidFill>
              <a:schemeClr val="bg2"/>
            </a:solidFill>
            <a:ln>
              <a:noFill/>
            </a:ln>
            <a:effectLst/>
          </c:spPr>
          <c:invertIfNegative val="0"/>
          <c:dPt>
            <c:idx val="2"/>
            <c:invertIfNegative val="0"/>
            <c:bubble3D val="0"/>
            <c:spPr>
              <a:solidFill>
                <a:schemeClr val="tx2"/>
              </a:solidFill>
              <a:ln>
                <a:noFill/>
              </a:ln>
              <a:effectLst/>
            </c:spPr>
            <c:extLst>
              <c:ext xmlns:c16="http://schemas.microsoft.com/office/drawing/2014/chart" uri="{C3380CC4-5D6E-409C-BE32-E72D297353CC}">
                <c16:uniqueId val="{0000000C-A69A-442D-B532-F00EF666B9D2}"/>
              </c:ext>
            </c:extLst>
          </c:dPt>
          <c:dPt>
            <c:idx val="3"/>
            <c:invertIfNegative val="0"/>
            <c:bubble3D val="0"/>
            <c:spPr>
              <a:solidFill>
                <a:schemeClr val="tx2"/>
              </a:solidFill>
              <a:ln>
                <a:noFill/>
              </a:ln>
              <a:effectLst/>
            </c:spPr>
            <c:extLst>
              <c:ext xmlns:c16="http://schemas.microsoft.com/office/drawing/2014/chart" uri="{C3380CC4-5D6E-409C-BE32-E72D297353CC}">
                <c16:uniqueId val="{0000000E-A69A-442D-B532-F00EF666B9D2}"/>
              </c:ext>
            </c:extLst>
          </c:dPt>
          <c:cat>
            <c:strRef>
              <c:f>'1.1D'!$R$4:$R$7</c:f>
              <c:strCache>
                <c:ptCount val="4"/>
                <c:pt idx="0">
                  <c:v>Trade</c:v>
                </c:pt>
                <c:pt idx="1">
                  <c:v>Liab. to 
global banks </c:v>
                </c:pt>
                <c:pt idx="2">
                  <c:v>FDI inflows 
(RHS)</c:v>
                </c:pt>
                <c:pt idx="3">
                  <c:v>Portfolio inv. inflows (RHS)</c:v>
                </c:pt>
              </c:strCache>
            </c:strRef>
          </c:cat>
          <c:val>
            <c:numRef>
              <c:f>'1.1D'!$Z$4:$Z$7</c:f>
              <c:numCache>
                <c:formatCode>0.00</c:formatCode>
                <c:ptCount val="4"/>
                <c:pt idx="2">
                  <c:v>2.99</c:v>
                </c:pt>
                <c:pt idx="3">
                  <c:v>2.0699999999999998</c:v>
                </c:pt>
              </c:numCache>
            </c:numRef>
          </c:val>
          <c:extLst>
            <c:ext xmlns:c16="http://schemas.microsoft.com/office/drawing/2014/chart" uri="{C3380CC4-5D6E-409C-BE32-E72D297353CC}">
              <c16:uniqueId val="{0000000F-A69A-442D-B532-F00EF666B9D2}"/>
            </c:ext>
          </c:extLst>
        </c:ser>
        <c:dLbls>
          <c:showLegendKey val="0"/>
          <c:showVal val="0"/>
          <c:showCatName val="0"/>
          <c:showSerName val="0"/>
          <c:showPercent val="0"/>
          <c:showBubbleSize val="0"/>
        </c:dLbls>
        <c:gapWidth val="150"/>
        <c:overlap val="100"/>
        <c:axId val="1315728672"/>
        <c:axId val="1315728192"/>
      </c:barChart>
      <c:catAx>
        <c:axId val="202920180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29203248"/>
        <c:crossesAt val="0"/>
        <c:auto val="1"/>
        <c:lblAlgn val="ctr"/>
        <c:lblOffset val="100"/>
        <c:noMultiLvlLbl val="0"/>
      </c:catAx>
      <c:valAx>
        <c:axId val="2029203248"/>
        <c:scaling>
          <c:orientation val="minMax"/>
          <c:max val="100"/>
          <c:min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29201808"/>
        <c:crossesAt val="0"/>
        <c:crossBetween val="between"/>
        <c:majorUnit val="20"/>
      </c:valAx>
      <c:valAx>
        <c:axId val="1315728192"/>
        <c:scaling>
          <c:orientation val="minMax"/>
          <c:max val="5"/>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15728672"/>
        <c:crosses val="max"/>
        <c:crossBetween val="between"/>
        <c:majorUnit val="1"/>
      </c:valAx>
      <c:catAx>
        <c:axId val="1315728672"/>
        <c:scaling>
          <c:orientation val="minMax"/>
        </c:scaling>
        <c:delete val="1"/>
        <c:axPos val="b"/>
        <c:numFmt formatCode="General" sourceLinked="1"/>
        <c:majorTickMark val="out"/>
        <c:minorTickMark val="none"/>
        <c:tickLblPos val="nextTo"/>
        <c:crossAx val="1315728192"/>
        <c:crossesAt val="0"/>
        <c:auto val="1"/>
        <c:lblAlgn val="ctr"/>
        <c:lblOffset val="100"/>
        <c:noMultiLvlLbl val="0"/>
      </c:catAx>
      <c:spPr>
        <a:noFill/>
        <a:ln>
          <a:noFill/>
        </a:ln>
        <a:effectLst/>
      </c:spPr>
    </c:plotArea>
    <c:legend>
      <c:legendPos val="t"/>
      <c:legendEntry>
        <c:idx val="0"/>
        <c:delete val="1"/>
      </c:legendEntry>
      <c:legendEntry>
        <c:idx val="2"/>
        <c:delete val="1"/>
      </c:legendEntry>
      <c:legendEntry>
        <c:idx val="4"/>
        <c:delete val="1"/>
      </c:legendEntry>
      <c:legendEntry>
        <c:idx val="5"/>
        <c:delete val="1"/>
      </c:legendEntry>
      <c:legendEntry>
        <c:idx val="6"/>
        <c:delete val="1"/>
      </c:legendEntry>
      <c:legendEntry>
        <c:idx val="7"/>
        <c:delete val="1"/>
      </c:legendEntry>
      <c:layout>
        <c:manualLayout>
          <c:xMode val="edge"/>
          <c:yMode val="edge"/>
          <c:x val="0.27826563867016624"/>
          <c:y val="1.4044380816034354E-3"/>
          <c:w val="0.46944444444444439"/>
          <c:h val="0.13084836758379609"/>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90812585761557"/>
          <c:y val="0.10573750672087463"/>
          <c:w val="0.85670092813904508"/>
          <c:h val="0.78696824124282727"/>
        </c:manualLayout>
      </c:layout>
      <c:areaChart>
        <c:grouping val="stacked"/>
        <c:varyColors val="0"/>
        <c:ser>
          <c:idx val="3"/>
          <c:order val="1"/>
          <c:tx>
            <c:strRef>
              <c:f>'1.1E'!$T$3</c:f>
              <c:strCache>
                <c:ptCount val="1"/>
                <c:pt idx="0">
                  <c:v>other EMDEs p25</c:v>
                </c:pt>
              </c:strCache>
            </c:strRef>
          </c:tx>
          <c:spPr>
            <a:noFill/>
            <a:ln w="76200">
              <a:noFill/>
            </a:ln>
            <a:effectLst/>
          </c:spPr>
          <c:cat>
            <c:strRef>
              <c:f>'1.1E'!$R$4:$R$10</c:f>
              <c:strCache>
                <c:ptCount val="7"/>
                <c:pt idx="0">
                  <c:v>BTN</c:v>
                </c:pt>
                <c:pt idx="1">
                  <c:v>MDV</c:v>
                </c:pt>
                <c:pt idx="2">
                  <c:v>BGD</c:v>
                </c:pt>
                <c:pt idx="3">
                  <c:v>IND</c:v>
                </c:pt>
                <c:pt idx="4">
                  <c:v>LKA</c:v>
                </c:pt>
                <c:pt idx="5">
                  <c:v>NPL</c:v>
                </c:pt>
                <c:pt idx="6">
                  <c:v>PAK</c:v>
                </c:pt>
              </c:strCache>
            </c:strRef>
          </c:cat>
          <c:val>
            <c:numRef>
              <c:f>'1.1E'!$T$4:$T$10</c:f>
              <c:numCache>
                <c:formatCode>0.0</c:formatCode>
                <c:ptCount val="7"/>
                <c:pt idx="0">
                  <c:v>43</c:v>
                </c:pt>
                <c:pt idx="1">
                  <c:v>43</c:v>
                </c:pt>
                <c:pt idx="2">
                  <c:v>43</c:v>
                </c:pt>
                <c:pt idx="3">
                  <c:v>43</c:v>
                </c:pt>
                <c:pt idx="4">
                  <c:v>43</c:v>
                </c:pt>
                <c:pt idx="5">
                  <c:v>43</c:v>
                </c:pt>
                <c:pt idx="6">
                  <c:v>43</c:v>
                </c:pt>
              </c:numCache>
            </c:numRef>
          </c:val>
          <c:extLst>
            <c:ext xmlns:c16="http://schemas.microsoft.com/office/drawing/2014/chart" uri="{C3380CC4-5D6E-409C-BE32-E72D297353CC}">
              <c16:uniqueId val="{00000000-C909-455E-A704-679E8C5012B6}"/>
            </c:ext>
          </c:extLst>
        </c:ser>
        <c:ser>
          <c:idx val="5"/>
          <c:order val="2"/>
          <c:tx>
            <c:v>Interquartile range</c:v>
          </c:tx>
          <c:spPr>
            <a:solidFill>
              <a:schemeClr val="bg2">
                <a:lumMod val="20000"/>
                <a:lumOff val="80000"/>
              </a:schemeClr>
            </a:solidFill>
            <a:ln w="76200">
              <a:noFill/>
            </a:ln>
            <a:effectLst/>
          </c:spPr>
          <c:cat>
            <c:strRef>
              <c:f>'1.1E'!$R$4:$R$10</c:f>
              <c:strCache>
                <c:ptCount val="7"/>
                <c:pt idx="0">
                  <c:v>BTN</c:v>
                </c:pt>
                <c:pt idx="1">
                  <c:v>MDV</c:v>
                </c:pt>
                <c:pt idx="2">
                  <c:v>BGD</c:v>
                </c:pt>
                <c:pt idx="3">
                  <c:v>IND</c:v>
                </c:pt>
                <c:pt idx="4">
                  <c:v>LKA</c:v>
                </c:pt>
                <c:pt idx="5">
                  <c:v>NPL</c:v>
                </c:pt>
                <c:pt idx="6">
                  <c:v>PAK</c:v>
                </c:pt>
              </c:strCache>
            </c:strRef>
          </c:cat>
          <c:val>
            <c:numRef>
              <c:f>'1.1E'!$U$4:$U$10</c:f>
              <c:numCache>
                <c:formatCode>0.0</c:formatCode>
                <c:ptCount val="7"/>
                <c:pt idx="0">
                  <c:v>17.5</c:v>
                </c:pt>
                <c:pt idx="1">
                  <c:v>17.5</c:v>
                </c:pt>
                <c:pt idx="2">
                  <c:v>17.5</c:v>
                </c:pt>
                <c:pt idx="3">
                  <c:v>17.5</c:v>
                </c:pt>
                <c:pt idx="4">
                  <c:v>17.5</c:v>
                </c:pt>
                <c:pt idx="5">
                  <c:v>17.5</c:v>
                </c:pt>
                <c:pt idx="6">
                  <c:v>17.5</c:v>
                </c:pt>
              </c:numCache>
            </c:numRef>
          </c:val>
          <c:extLst>
            <c:ext xmlns:c16="http://schemas.microsoft.com/office/drawing/2014/chart" uri="{C3380CC4-5D6E-409C-BE32-E72D297353CC}">
              <c16:uniqueId val="{00000001-C909-455E-A704-679E8C5012B6}"/>
            </c:ext>
          </c:extLst>
        </c:ser>
        <c:dLbls>
          <c:showLegendKey val="0"/>
          <c:showVal val="0"/>
          <c:showCatName val="0"/>
          <c:showSerName val="0"/>
          <c:showPercent val="0"/>
          <c:showBubbleSize val="0"/>
        </c:dLbls>
        <c:axId val="1188248399"/>
        <c:axId val="1016444335"/>
      </c:areaChart>
      <c:barChart>
        <c:barDir val="col"/>
        <c:grouping val="clustered"/>
        <c:varyColors val="0"/>
        <c:ser>
          <c:idx val="1"/>
          <c:order val="0"/>
          <c:tx>
            <c:strRef>
              <c:f>'1.1E'!$S$3</c:f>
              <c:strCache>
                <c:ptCount val="1"/>
                <c:pt idx="0">
                  <c:v>flfp (ILO 15+)</c:v>
                </c:pt>
              </c:strCache>
            </c:strRef>
          </c:tx>
          <c:spPr>
            <a:solidFill>
              <a:srgbClr val="002345"/>
            </a:solidFill>
            <a:ln w="76200">
              <a:noFill/>
            </a:ln>
            <a:effectLst/>
          </c:spPr>
          <c:invertIfNegative val="0"/>
          <c:cat>
            <c:strRef>
              <c:f>'1.1E'!$R$4:$R$10</c:f>
              <c:strCache>
                <c:ptCount val="7"/>
                <c:pt idx="0">
                  <c:v>BTN</c:v>
                </c:pt>
                <c:pt idx="1">
                  <c:v>MDV</c:v>
                </c:pt>
                <c:pt idx="2">
                  <c:v>BGD</c:v>
                </c:pt>
                <c:pt idx="3">
                  <c:v>IND</c:v>
                </c:pt>
                <c:pt idx="4">
                  <c:v>LKA</c:v>
                </c:pt>
                <c:pt idx="5">
                  <c:v>NPL</c:v>
                </c:pt>
                <c:pt idx="6">
                  <c:v>PAK</c:v>
                </c:pt>
              </c:strCache>
            </c:strRef>
          </c:cat>
          <c:val>
            <c:numRef>
              <c:f>'1.1E'!$S$4:$S$10</c:f>
              <c:numCache>
                <c:formatCode>0.0</c:formatCode>
                <c:ptCount val="7"/>
                <c:pt idx="0">
                  <c:v>64.5</c:v>
                </c:pt>
                <c:pt idx="1">
                  <c:v>42.6</c:v>
                </c:pt>
                <c:pt idx="2">
                  <c:v>37</c:v>
                </c:pt>
                <c:pt idx="3">
                  <c:v>32.700000000000003</c:v>
                </c:pt>
                <c:pt idx="4">
                  <c:v>32.1</c:v>
                </c:pt>
                <c:pt idx="5">
                  <c:v>28.7</c:v>
                </c:pt>
                <c:pt idx="6">
                  <c:v>24.5</c:v>
                </c:pt>
              </c:numCache>
            </c:numRef>
          </c:val>
          <c:extLst>
            <c:ext xmlns:c16="http://schemas.microsoft.com/office/drawing/2014/chart" uri="{C3380CC4-5D6E-409C-BE32-E72D297353CC}">
              <c16:uniqueId val="{00000002-C909-455E-A704-679E8C5012B6}"/>
            </c:ext>
          </c:extLst>
        </c:ser>
        <c:dLbls>
          <c:showLegendKey val="0"/>
          <c:showVal val="0"/>
          <c:showCatName val="0"/>
          <c:showSerName val="0"/>
          <c:showPercent val="0"/>
          <c:showBubbleSize val="0"/>
        </c:dLbls>
        <c:gapWidth val="150"/>
        <c:overlap val="-27"/>
        <c:axId val="1188248399"/>
        <c:axId val="1016444335"/>
      </c:barChart>
      <c:catAx>
        <c:axId val="118824839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16444335"/>
        <c:crosses val="autoZero"/>
        <c:auto val="1"/>
        <c:lblAlgn val="ctr"/>
        <c:lblOffset val="100"/>
        <c:noMultiLvlLbl val="0"/>
      </c:catAx>
      <c:valAx>
        <c:axId val="1016444335"/>
        <c:scaling>
          <c:orientation val="minMax"/>
          <c:max val="108"/>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8824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112816940870873"/>
          <c:y val="0.31189909594634002"/>
          <c:w val="0.78240120051078876"/>
          <c:h val="0.51184106153397491"/>
        </c:manualLayout>
      </c:layout>
      <c:barChart>
        <c:barDir val="col"/>
        <c:grouping val="clustered"/>
        <c:varyColors val="0"/>
        <c:ser>
          <c:idx val="0"/>
          <c:order val="0"/>
          <c:tx>
            <c:strRef>
              <c:f>'1.1F'!$S$3</c:f>
              <c:strCache>
                <c:ptCount val="1"/>
                <c:pt idx="0">
                  <c:v>Average firm size in manufacturing sector</c:v>
                </c:pt>
              </c:strCache>
            </c:strRef>
          </c:tx>
          <c:spPr>
            <a:solidFill>
              <a:srgbClr val="002345"/>
            </a:solidFill>
            <a:ln w="50800">
              <a:noFill/>
            </a:ln>
            <a:effectLst/>
          </c:spPr>
          <c:invertIfNegative val="0"/>
          <c:cat>
            <c:strRef>
              <c:f>'1.1F'!$R$4:$R$13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'1.1F'!$S$4:$S$13</c:f>
              <c:numCache>
                <c:formatCode>General</c:formatCode>
                <c:ptCount val="10"/>
                <c:pt idx="0">
                  <c:v>185.8</c:v>
                </c:pt>
                <c:pt idx="1">
                  <c:v>81.599999999999994</c:v>
                </c:pt>
                <c:pt idx="2">
                  <c:v>59.9</c:v>
                </c:pt>
                <c:pt idx="3">
                  <c:v>44.1</c:v>
                </c:pt>
                <c:pt idx="4">
                  <c:v>31.4</c:v>
                </c:pt>
              </c:numCache>
            </c:numRef>
          </c:val>
          <c:extLst>
            <c:ext xmlns:c16="http://schemas.microsoft.com/office/drawing/2014/chart" uri="{C3380CC4-5D6E-409C-BE32-E72D297353CC}">
              <c16:uniqueId val="{00000000-EE25-4F26-B07B-4846E2A93495}"/>
            </c:ext>
          </c:extLst>
        </c:ser>
        <c:dLbls>
          <c:showLegendKey val="0"/>
          <c:showVal val="0"/>
          <c:showCatName val="0"/>
          <c:showSerName val="0"/>
          <c:showPercent val="0"/>
          <c:showBubbleSize val="0"/>
        </c:dLbls>
        <c:gapWidth val="150"/>
        <c:axId val="1047680575"/>
        <c:axId val="1"/>
      </c:barChart>
      <c:barChart>
        <c:barDir val="col"/>
        <c:grouping val="clustered"/>
        <c:varyColors val="0"/>
        <c:ser>
          <c:idx val="2"/>
          <c:order val="2"/>
          <c:tx>
            <c:strRef>
              <c:f>'1.1F'!$U$3</c:f>
              <c:strCache>
                <c:ptCount val="1"/>
                <c:pt idx="0">
                  <c:v>Share of young firms among small firms (RHS)</c:v>
                </c:pt>
              </c:strCache>
            </c:strRef>
          </c:tx>
          <c:spPr>
            <a:solidFill>
              <a:schemeClr val="bg2"/>
            </a:solidFill>
          </c:spPr>
          <c:invertIfNegative val="0"/>
          <c:cat>
            <c:strRef>
              <c:f>'1.1F'!$R$4:$R$13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'1.1F'!$U$4:$U$13</c:f>
              <c:numCache>
                <c:formatCode>General</c:formatCode>
                <c:ptCount val="10"/>
                <c:pt idx="5">
                  <c:v>21.7</c:v>
                </c:pt>
                <c:pt idx="6">
                  <c:v>10.6</c:v>
                </c:pt>
                <c:pt idx="7">
                  <c:v>9.9</c:v>
                </c:pt>
                <c:pt idx="8">
                  <c:v>7.3</c:v>
                </c:pt>
                <c:pt idx="9">
                  <c:v>2.1</c:v>
                </c:pt>
              </c:numCache>
            </c:numRef>
          </c:val>
          <c:extLst>
            <c:ext xmlns:c16="http://schemas.microsoft.com/office/drawing/2014/chart" uri="{C3380CC4-5D6E-409C-BE32-E72D297353CC}">
              <c16:uniqueId val="{00000001-EE25-4F26-B07B-4846E2A93495}"/>
            </c:ext>
          </c:extLst>
        </c:ser>
        <c:dLbls>
          <c:showLegendKey val="0"/>
          <c:showVal val="0"/>
          <c:showCatName val="0"/>
          <c:showSerName val="0"/>
          <c:showPercent val="0"/>
          <c:showBubbleSize val="0"/>
        </c:dLbls>
        <c:gapWidth val="150"/>
        <c:axId val="1047741823"/>
        <c:axId val="376870511"/>
      </c:barChart>
      <c:lineChart>
        <c:grouping val="standard"/>
        <c:varyColors val="0"/>
        <c:ser>
          <c:idx val="1"/>
          <c:order val="1"/>
          <c:tx>
            <c:strRef>
              <c:f>'1.1F'!$T$3</c:f>
              <c:strCache>
                <c:ptCount val="1"/>
                <c:pt idx="0">
                  <c:v>Number of workers: other EMDEs</c:v>
                </c:pt>
              </c:strCache>
            </c:strRef>
          </c:tx>
          <c:spPr>
            <a:ln w="76200" cap="rnd">
              <a:solidFill>
                <a:srgbClr val="EB1C2D"/>
              </a:solidFill>
              <a:round/>
            </a:ln>
            <a:effectLst/>
          </c:spPr>
          <c:marker>
            <c:symbol val="none"/>
          </c:marker>
          <c:cat>
            <c:strRef>
              <c:f>'1.1F'!$R$4:$R$13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'1.1F'!$T$4:$T$13</c:f>
              <c:numCache>
                <c:formatCode>General</c:formatCode>
                <c:ptCount val="10"/>
                <c:pt idx="0">
                  <c:v>67</c:v>
                </c:pt>
                <c:pt idx="1">
                  <c:v>67</c:v>
                </c:pt>
                <c:pt idx="2">
                  <c:v>67</c:v>
                </c:pt>
                <c:pt idx="3">
                  <c:v>67</c:v>
                </c:pt>
                <c:pt idx="4">
                  <c:v>67</c:v>
                </c:pt>
              </c:numCache>
            </c:numRef>
          </c:val>
          <c:smooth val="0"/>
          <c:extLst>
            <c:ext xmlns:c16="http://schemas.microsoft.com/office/drawing/2014/chart" uri="{C3380CC4-5D6E-409C-BE32-E72D297353CC}">
              <c16:uniqueId val="{00000002-EE25-4F26-B07B-4846E2A93495}"/>
            </c:ext>
          </c:extLst>
        </c:ser>
        <c:dLbls>
          <c:showLegendKey val="0"/>
          <c:showVal val="0"/>
          <c:showCatName val="0"/>
          <c:showSerName val="0"/>
          <c:showPercent val="0"/>
          <c:showBubbleSize val="0"/>
        </c:dLbls>
        <c:marker val="1"/>
        <c:smooth val="0"/>
        <c:axId val="1047680575"/>
        <c:axId val="1"/>
      </c:lineChart>
      <c:lineChart>
        <c:grouping val="standard"/>
        <c:varyColors val="0"/>
        <c:ser>
          <c:idx val="3"/>
          <c:order val="3"/>
          <c:tx>
            <c:strRef>
              <c:f>'1.1F'!$V$3</c:f>
              <c:strCache>
                <c:ptCount val="1"/>
                <c:pt idx="0">
                  <c:v>Share of young firms among small firms:Other EMDEs</c:v>
                </c:pt>
              </c:strCache>
            </c:strRef>
          </c:tx>
          <c:spPr>
            <a:ln w="76200">
              <a:solidFill>
                <a:schemeClr val="tx2"/>
              </a:solidFill>
            </a:ln>
          </c:spPr>
          <c:marker>
            <c:symbol val="none"/>
          </c:marker>
          <c:cat>
            <c:strRef>
              <c:f>'1.1F'!$R$4:$R$13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'1.1F'!$V$4:$V$13</c:f>
              <c:numCache>
                <c:formatCode>General</c:formatCode>
                <c:ptCount val="10"/>
                <c:pt idx="5">
                  <c:v>12.6</c:v>
                </c:pt>
                <c:pt idx="6">
                  <c:v>12.6</c:v>
                </c:pt>
                <c:pt idx="7">
                  <c:v>12.6</c:v>
                </c:pt>
                <c:pt idx="8">
                  <c:v>12.6</c:v>
                </c:pt>
                <c:pt idx="9">
                  <c:v>12.6</c:v>
                </c:pt>
              </c:numCache>
            </c:numRef>
          </c:val>
          <c:smooth val="0"/>
          <c:extLst>
            <c:ext xmlns:c16="http://schemas.microsoft.com/office/drawing/2014/chart" uri="{C3380CC4-5D6E-409C-BE32-E72D297353CC}">
              <c16:uniqueId val="{00000003-EE25-4F26-B07B-4846E2A93495}"/>
            </c:ext>
          </c:extLst>
        </c:ser>
        <c:dLbls>
          <c:showLegendKey val="0"/>
          <c:showVal val="0"/>
          <c:showCatName val="0"/>
          <c:showSerName val="0"/>
          <c:showPercent val="0"/>
          <c:showBubbleSize val="0"/>
        </c:dLbls>
        <c:marker val="1"/>
        <c:smooth val="0"/>
        <c:axId val="1047741823"/>
        <c:axId val="376870511"/>
      </c:lineChart>
      <c:catAx>
        <c:axId val="1047680575"/>
        <c:scaling>
          <c:orientation val="minMax"/>
        </c:scaling>
        <c:delete val="0"/>
        <c:axPos val="b"/>
        <c:numFmt formatCode="General" sourceLinked="1"/>
        <c:majorTickMark val="none"/>
        <c:minorTickMark val="none"/>
        <c:tickLblPos val="low"/>
        <c:spPr>
          <a:ln w="3175">
            <a:solidFill>
              <a:srgbClr val="000000"/>
            </a:solidFill>
            <a:prstDash val="solid"/>
          </a:ln>
        </c:spPr>
        <c:txPr>
          <a:bodyPr rot="-5400000" vert="horz"/>
          <a:lstStyle/>
          <a:p>
            <a:pPr>
              <a:defRPr sz="3200" b="0" i="0" u="none" strike="noStrike" baseline="0">
                <a:solidFill>
                  <a:srgbClr val="000000"/>
                </a:solidFill>
                <a:latin typeface="Arial"/>
                <a:ea typeface="Arial"/>
                <a:cs typeface="Arial"/>
              </a:defRPr>
            </a:pPr>
            <a:endParaRPr lang="en-US"/>
          </a:p>
        </c:txPr>
        <c:crossAx val="1"/>
        <c:crosses val="autoZero"/>
        <c:auto val="1"/>
        <c:lblAlgn val="ctr"/>
        <c:lblOffset val="100"/>
        <c:noMultiLvlLbl val="0"/>
      </c:catAx>
      <c:valAx>
        <c:axId val="1"/>
        <c:scaling>
          <c:orientation val="minMax"/>
        </c:scaling>
        <c:delete val="0"/>
        <c:axPos val="l"/>
        <c:numFmt formatCode="#,##0" sourceLinked="0"/>
        <c:majorTickMark val="none"/>
        <c:minorTickMark val="none"/>
        <c:tickLblPos val="nextTo"/>
        <c:spPr>
          <a:ln w="6350">
            <a:noFill/>
          </a:ln>
        </c:spPr>
        <c:txPr>
          <a:bodyPr rot="0" vert="horz"/>
          <a:lstStyle/>
          <a:p>
            <a:pPr>
              <a:defRPr sz="3200" b="0" i="0" u="none" strike="noStrike" baseline="0">
                <a:solidFill>
                  <a:srgbClr val="000000"/>
                </a:solidFill>
                <a:latin typeface="Arial"/>
                <a:ea typeface="Arial"/>
                <a:cs typeface="Arial"/>
              </a:defRPr>
            </a:pPr>
            <a:endParaRPr lang="en-US"/>
          </a:p>
        </c:txPr>
        <c:crossAx val="1047680575"/>
        <c:crosses val="autoZero"/>
        <c:crossBetween val="between"/>
        <c:majorUnit val="50"/>
      </c:valAx>
      <c:valAx>
        <c:axId val="376870511"/>
        <c:scaling>
          <c:orientation val="minMax"/>
        </c:scaling>
        <c:delete val="0"/>
        <c:axPos val="r"/>
        <c:numFmt formatCode="General" sourceLinked="1"/>
        <c:majorTickMark val="none"/>
        <c:minorTickMark val="none"/>
        <c:tickLblPos val="nextTo"/>
        <c:spPr>
          <a:noFill/>
          <a:ln>
            <a:noFill/>
          </a:ln>
        </c:spPr>
        <c:txPr>
          <a:bodyPr/>
          <a:lstStyle/>
          <a:p>
            <a:pPr>
              <a:defRPr sz="3200">
                <a:latin typeface="Arial" panose="020B0604020202020204" pitchFamily="34" charset="0"/>
                <a:cs typeface="Arial" panose="020B0604020202020204" pitchFamily="34" charset="0"/>
              </a:defRPr>
            </a:pPr>
            <a:endParaRPr lang="en-US"/>
          </a:p>
        </c:txPr>
        <c:crossAx val="1047741823"/>
        <c:crosses val="max"/>
        <c:crossBetween val="between"/>
      </c:valAx>
      <c:catAx>
        <c:axId val="1047741823"/>
        <c:scaling>
          <c:orientation val="minMax"/>
        </c:scaling>
        <c:delete val="1"/>
        <c:axPos val="b"/>
        <c:numFmt formatCode="General" sourceLinked="1"/>
        <c:majorTickMark val="out"/>
        <c:minorTickMark val="none"/>
        <c:tickLblPos val="nextTo"/>
        <c:crossAx val="376870511"/>
        <c:crosses val="autoZero"/>
        <c:auto val="1"/>
        <c:lblAlgn val="ctr"/>
        <c:lblOffset val="100"/>
        <c:noMultiLvlLbl val="0"/>
      </c:catAx>
      <c:spPr>
        <a:noFill/>
        <a:ln w="25400">
          <a:noFill/>
        </a:ln>
      </c:spPr>
    </c:plotArea>
    <c:legend>
      <c:legendPos val="r"/>
      <c:legendEntry>
        <c:idx val="2"/>
        <c:delete val="1"/>
      </c:legendEntry>
      <c:legendEntry>
        <c:idx val="3"/>
        <c:delete val="1"/>
      </c:legendEntry>
      <c:layout>
        <c:manualLayout>
          <c:xMode val="edge"/>
          <c:yMode val="edge"/>
          <c:x val="1.1267497812773404E-2"/>
          <c:y val="9.7901482889084984E-2"/>
          <c:w val="0.98873250218722641"/>
          <c:h val="0.1577723826188393"/>
        </c:manualLayout>
      </c:layout>
      <c:overlay val="0"/>
      <c:txPr>
        <a:bodyPr/>
        <a:lstStyle/>
        <a:p>
          <a:pPr>
            <a:defRPr sz="32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634139482564676E-2"/>
          <c:y val="0.13783410800858967"/>
          <c:w val="0.88925597040754523"/>
          <c:h val="0.60907729769097807"/>
        </c:manualLayout>
      </c:layout>
      <c:lineChart>
        <c:grouping val="standard"/>
        <c:varyColors val="0"/>
        <c:ser>
          <c:idx val="0"/>
          <c:order val="0"/>
          <c:tx>
            <c:strRef>
              <c:f>'1.2A'!$S$5</c:f>
              <c:strCache>
                <c:ptCount val="1"/>
                <c:pt idx="0">
                  <c:v>Manufacturing</c:v>
                </c:pt>
              </c:strCache>
            </c:strRef>
          </c:tx>
          <c:spPr>
            <a:ln w="76200" cap="rnd">
              <a:solidFill>
                <a:srgbClr val="002345"/>
              </a:solidFill>
              <a:round/>
            </a:ln>
            <a:effectLst/>
          </c:spPr>
          <c:marker>
            <c:symbol val="none"/>
          </c:marker>
          <c:cat>
            <c:numRef>
              <c:f>'1.2A'!$R$6:$R$20</c:f>
              <c:numCache>
                <c:formatCode>mmm\-yy</c:formatCode>
                <c:ptCount val="15"/>
                <c:pt idx="0">
                  <c:v>45107</c:v>
                </c:pt>
                <c:pt idx="1">
                  <c:v>45138</c:v>
                </c:pt>
                <c:pt idx="2">
                  <c:v>45169</c:v>
                </c:pt>
                <c:pt idx="3">
                  <c:v>45199</c:v>
                </c:pt>
                <c:pt idx="4">
                  <c:v>45230</c:v>
                </c:pt>
                <c:pt idx="5">
                  <c:v>45260</c:v>
                </c:pt>
                <c:pt idx="6">
                  <c:v>45291</c:v>
                </c:pt>
                <c:pt idx="7">
                  <c:v>45322</c:v>
                </c:pt>
                <c:pt idx="8">
                  <c:v>45351</c:v>
                </c:pt>
                <c:pt idx="9">
                  <c:v>45382</c:v>
                </c:pt>
                <c:pt idx="10">
                  <c:v>45412</c:v>
                </c:pt>
                <c:pt idx="11">
                  <c:v>45443</c:v>
                </c:pt>
                <c:pt idx="12">
                  <c:v>45473</c:v>
                </c:pt>
                <c:pt idx="13">
                  <c:v>45504</c:v>
                </c:pt>
                <c:pt idx="14">
                  <c:v>45535</c:v>
                </c:pt>
              </c:numCache>
            </c:numRef>
          </c:cat>
          <c:val>
            <c:numRef>
              <c:f>'1.2A'!$S$6:$S$20</c:f>
              <c:numCache>
                <c:formatCode>General</c:formatCode>
                <c:ptCount val="15"/>
                <c:pt idx="0">
                  <c:v>48.7</c:v>
                </c:pt>
                <c:pt idx="1">
                  <c:v>48.62</c:v>
                </c:pt>
                <c:pt idx="2">
                  <c:v>49.04</c:v>
                </c:pt>
                <c:pt idx="3">
                  <c:v>49.17</c:v>
                </c:pt>
                <c:pt idx="4">
                  <c:v>48.76</c:v>
                </c:pt>
                <c:pt idx="5">
                  <c:v>49.27</c:v>
                </c:pt>
                <c:pt idx="6">
                  <c:v>48.99</c:v>
                </c:pt>
                <c:pt idx="7">
                  <c:v>49.97</c:v>
                </c:pt>
                <c:pt idx="8">
                  <c:v>50.33</c:v>
                </c:pt>
                <c:pt idx="9">
                  <c:v>50.63</c:v>
                </c:pt>
                <c:pt idx="10">
                  <c:v>50.27</c:v>
                </c:pt>
                <c:pt idx="11">
                  <c:v>50.98</c:v>
                </c:pt>
                <c:pt idx="12">
                  <c:v>50.84</c:v>
                </c:pt>
                <c:pt idx="13">
                  <c:v>49.69</c:v>
                </c:pt>
                <c:pt idx="14">
                  <c:v>49.54</c:v>
                </c:pt>
              </c:numCache>
            </c:numRef>
          </c:val>
          <c:smooth val="0"/>
          <c:extLst>
            <c:ext xmlns:c16="http://schemas.microsoft.com/office/drawing/2014/chart" uri="{C3380CC4-5D6E-409C-BE32-E72D297353CC}">
              <c16:uniqueId val="{00000000-D6A1-4CA9-B827-A634B2D96745}"/>
            </c:ext>
          </c:extLst>
        </c:ser>
        <c:ser>
          <c:idx val="2"/>
          <c:order val="1"/>
          <c:tx>
            <c:strRef>
              <c:f>'1.2A'!$U$5</c:f>
              <c:strCache>
                <c:ptCount val="1"/>
                <c:pt idx="0">
                  <c:v>2015-19 avg.</c:v>
                </c:pt>
              </c:strCache>
            </c:strRef>
          </c:tx>
          <c:spPr>
            <a:ln w="76200" cap="rnd">
              <a:solidFill>
                <a:schemeClr val="tx2"/>
              </a:solidFill>
              <a:prstDash val="sysDash"/>
              <a:round/>
            </a:ln>
            <a:effectLst/>
          </c:spPr>
          <c:marker>
            <c:symbol val="none"/>
          </c:marker>
          <c:cat>
            <c:numRef>
              <c:f>'1.2A'!$R$6:$R$20</c:f>
              <c:numCache>
                <c:formatCode>mmm\-yy</c:formatCode>
                <c:ptCount val="15"/>
                <c:pt idx="0">
                  <c:v>45107</c:v>
                </c:pt>
                <c:pt idx="1">
                  <c:v>45138</c:v>
                </c:pt>
                <c:pt idx="2">
                  <c:v>45169</c:v>
                </c:pt>
                <c:pt idx="3">
                  <c:v>45199</c:v>
                </c:pt>
                <c:pt idx="4">
                  <c:v>45230</c:v>
                </c:pt>
                <c:pt idx="5">
                  <c:v>45260</c:v>
                </c:pt>
                <c:pt idx="6">
                  <c:v>45291</c:v>
                </c:pt>
                <c:pt idx="7">
                  <c:v>45322</c:v>
                </c:pt>
                <c:pt idx="8">
                  <c:v>45351</c:v>
                </c:pt>
                <c:pt idx="9">
                  <c:v>45382</c:v>
                </c:pt>
                <c:pt idx="10">
                  <c:v>45412</c:v>
                </c:pt>
                <c:pt idx="11">
                  <c:v>45443</c:v>
                </c:pt>
                <c:pt idx="12">
                  <c:v>45473</c:v>
                </c:pt>
                <c:pt idx="13">
                  <c:v>45504</c:v>
                </c:pt>
                <c:pt idx="14">
                  <c:v>45535</c:v>
                </c:pt>
              </c:numCache>
            </c:numRef>
          </c:cat>
          <c:val>
            <c:numRef>
              <c:f>'1.2A'!$U$6:$U$20</c:f>
              <c:numCache>
                <c:formatCode>General</c:formatCode>
                <c:ptCount val="15"/>
                <c:pt idx="0">
                  <c:v>51.5</c:v>
                </c:pt>
                <c:pt idx="1">
                  <c:v>51.5</c:v>
                </c:pt>
                <c:pt idx="2">
                  <c:v>51.5</c:v>
                </c:pt>
                <c:pt idx="3">
                  <c:v>51.5</c:v>
                </c:pt>
                <c:pt idx="4">
                  <c:v>51.5</c:v>
                </c:pt>
                <c:pt idx="5">
                  <c:v>51.5</c:v>
                </c:pt>
                <c:pt idx="6">
                  <c:v>51.5</c:v>
                </c:pt>
                <c:pt idx="7">
                  <c:v>51.5</c:v>
                </c:pt>
                <c:pt idx="8">
                  <c:v>51.5</c:v>
                </c:pt>
                <c:pt idx="9">
                  <c:v>51.5</c:v>
                </c:pt>
                <c:pt idx="10">
                  <c:v>51.5</c:v>
                </c:pt>
                <c:pt idx="11">
                  <c:v>51.5</c:v>
                </c:pt>
                <c:pt idx="12">
                  <c:v>51.5</c:v>
                </c:pt>
                <c:pt idx="13">
                  <c:v>51.5</c:v>
                </c:pt>
                <c:pt idx="14">
                  <c:v>51.5</c:v>
                </c:pt>
              </c:numCache>
            </c:numRef>
          </c:val>
          <c:smooth val="0"/>
          <c:extLst>
            <c:ext xmlns:c16="http://schemas.microsoft.com/office/drawing/2014/chart" uri="{C3380CC4-5D6E-409C-BE32-E72D297353CC}">
              <c16:uniqueId val="{00000001-D6A1-4CA9-B827-A634B2D96745}"/>
            </c:ext>
          </c:extLst>
        </c:ser>
        <c:ser>
          <c:idx val="1"/>
          <c:order val="2"/>
          <c:tx>
            <c:strRef>
              <c:f>'1.2A'!$T$5</c:f>
              <c:strCache>
                <c:ptCount val="1"/>
                <c:pt idx="0">
                  <c:v>Services</c:v>
                </c:pt>
              </c:strCache>
            </c:strRef>
          </c:tx>
          <c:spPr>
            <a:ln w="76200" cap="rnd">
              <a:solidFill>
                <a:srgbClr val="EB1C2D"/>
              </a:solidFill>
              <a:round/>
            </a:ln>
            <a:effectLst/>
          </c:spPr>
          <c:marker>
            <c:symbol val="none"/>
          </c:marker>
          <c:cat>
            <c:numRef>
              <c:f>'1.2A'!$R$6:$R$20</c:f>
              <c:numCache>
                <c:formatCode>mmm\-yy</c:formatCode>
                <c:ptCount val="15"/>
                <c:pt idx="0">
                  <c:v>45107</c:v>
                </c:pt>
                <c:pt idx="1">
                  <c:v>45138</c:v>
                </c:pt>
                <c:pt idx="2">
                  <c:v>45169</c:v>
                </c:pt>
                <c:pt idx="3">
                  <c:v>45199</c:v>
                </c:pt>
                <c:pt idx="4">
                  <c:v>45230</c:v>
                </c:pt>
                <c:pt idx="5">
                  <c:v>45260</c:v>
                </c:pt>
                <c:pt idx="6">
                  <c:v>45291</c:v>
                </c:pt>
                <c:pt idx="7">
                  <c:v>45322</c:v>
                </c:pt>
                <c:pt idx="8">
                  <c:v>45351</c:v>
                </c:pt>
                <c:pt idx="9">
                  <c:v>45382</c:v>
                </c:pt>
                <c:pt idx="10">
                  <c:v>45412</c:v>
                </c:pt>
                <c:pt idx="11">
                  <c:v>45443</c:v>
                </c:pt>
                <c:pt idx="12">
                  <c:v>45473</c:v>
                </c:pt>
                <c:pt idx="13">
                  <c:v>45504</c:v>
                </c:pt>
                <c:pt idx="14">
                  <c:v>45535</c:v>
                </c:pt>
              </c:numCache>
            </c:numRef>
          </c:cat>
          <c:val>
            <c:numRef>
              <c:f>'1.2A'!$T$6:$T$20</c:f>
              <c:numCache>
                <c:formatCode>General</c:formatCode>
                <c:ptCount val="15"/>
                <c:pt idx="0">
                  <c:v>53.79</c:v>
                </c:pt>
                <c:pt idx="1">
                  <c:v>52.58</c:v>
                </c:pt>
                <c:pt idx="2">
                  <c:v>51</c:v>
                </c:pt>
                <c:pt idx="3">
                  <c:v>50.7</c:v>
                </c:pt>
                <c:pt idx="4">
                  <c:v>50.42</c:v>
                </c:pt>
                <c:pt idx="5">
                  <c:v>50.66</c:v>
                </c:pt>
                <c:pt idx="6">
                  <c:v>51.59</c:v>
                </c:pt>
                <c:pt idx="7">
                  <c:v>52.28</c:v>
                </c:pt>
                <c:pt idx="8">
                  <c:v>52.39</c:v>
                </c:pt>
                <c:pt idx="9">
                  <c:v>52.44</c:v>
                </c:pt>
                <c:pt idx="10">
                  <c:v>52.69</c:v>
                </c:pt>
                <c:pt idx="11">
                  <c:v>54.03</c:v>
                </c:pt>
                <c:pt idx="12">
                  <c:v>53.08</c:v>
                </c:pt>
                <c:pt idx="13">
                  <c:v>53.34</c:v>
                </c:pt>
                <c:pt idx="14">
                  <c:v>53.8</c:v>
                </c:pt>
              </c:numCache>
            </c:numRef>
          </c:val>
          <c:smooth val="0"/>
          <c:extLst>
            <c:ext xmlns:c16="http://schemas.microsoft.com/office/drawing/2014/chart" uri="{C3380CC4-5D6E-409C-BE32-E72D297353CC}">
              <c16:uniqueId val="{00000002-D6A1-4CA9-B827-A634B2D96745}"/>
            </c:ext>
          </c:extLst>
        </c:ser>
        <c:ser>
          <c:idx val="3"/>
          <c:order val="3"/>
          <c:tx>
            <c:strRef>
              <c:f>'1.2A'!$V$5</c:f>
              <c:strCache>
                <c:ptCount val="1"/>
                <c:pt idx="0">
                  <c:v>2015-19 avg.</c:v>
                </c:pt>
              </c:strCache>
            </c:strRef>
          </c:tx>
          <c:spPr>
            <a:ln w="76200" cap="rnd">
              <a:solidFill>
                <a:schemeClr val="bg2"/>
              </a:solidFill>
              <a:prstDash val="sysDash"/>
              <a:round/>
            </a:ln>
            <a:effectLst/>
          </c:spPr>
          <c:marker>
            <c:symbol val="none"/>
          </c:marker>
          <c:cat>
            <c:numRef>
              <c:f>'1.2A'!$R$6:$R$20</c:f>
              <c:numCache>
                <c:formatCode>mmm\-yy</c:formatCode>
                <c:ptCount val="15"/>
                <c:pt idx="0">
                  <c:v>45107</c:v>
                </c:pt>
                <c:pt idx="1">
                  <c:v>45138</c:v>
                </c:pt>
                <c:pt idx="2">
                  <c:v>45169</c:v>
                </c:pt>
                <c:pt idx="3">
                  <c:v>45199</c:v>
                </c:pt>
                <c:pt idx="4">
                  <c:v>45230</c:v>
                </c:pt>
                <c:pt idx="5">
                  <c:v>45260</c:v>
                </c:pt>
                <c:pt idx="6">
                  <c:v>45291</c:v>
                </c:pt>
                <c:pt idx="7">
                  <c:v>45322</c:v>
                </c:pt>
                <c:pt idx="8">
                  <c:v>45351</c:v>
                </c:pt>
                <c:pt idx="9">
                  <c:v>45382</c:v>
                </c:pt>
                <c:pt idx="10">
                  <c:v>45412</c:v>
                </c:pt>
                <c:pt idx="11">
                  <c:v>45443</c:v>
                </c:pt>
                <c:pt idx="12">
                  <c:v>45473</c:v>
                </c:pt>
                <c:pt idx="13">
                  <c:v>45504</c:v>
                </c:pt>
                <c:pt idx="14">
                  <c:v>45535</c:v>
                </c:pt>
              </c:numCache>
            </c:numRef>
          </c:cat>
          <c:val>
            <c:numRef>
              <c:f>'1.2A'!$V$6:$V$20</c:f>
              <c:numCache>
                <c:formatCode>General</c:formatCode>
                <c:ptCount val="15"/>
                <c:pt idx="0">
                  <c:v>53.11</c:v>
                </c:pt>
                <c:pt idx="1">
                  <c:v>53.11</c:v>
                </c:pt>
                <c:pt idx="2">
                  <c:v>53.11</c:v>
                </c:pt>
                <c:pt idx="3">
                  <c:v>53.11</c:v>
                </c:pt>
                <c:pt idx="4">
                  <c:v>53.11</c:v>
                </c:pt>
                <c:pt idx="5">
                  <c:v>53.11</c:v>
                </c:pt>
                <c:pt idx="6">
                  <c:v>53.11</c:v>
                </c:pt>
                <c:pt idx="7">
                  <c:v>53.11</c:v>
                </c:pt>
                <c:pt idx="8">
                  <c:v>53.11</c:v>
                </c:pt>
                <c:pt idx="9">
                  <c:v>53.11</c:v>
                </c:pt>
                <c:pt idx="10">
                  <c:v>53.11</c:v>
                </c:pt>
                <c:pt idx="11">
                  <c:v>53.11</c:v>
                </c:pt>
                <c:pt idx="12">
                  <c:v>53.11</c:v>
                </c:pt>
                <c:pt idx="13">
                  <c:v>53.11</c:v>
                </c:pt>
                <c:pt idx="14">
                  <c:v>53.11</c:v>
                </c:pt>
              </c:numCache>
            </c:numRef>
          </c:val>
          <c:smooth val="0"/>
          <c:extLst>
            <c:ext xmlns:c16="http://schemas.microsoft.com/office/drawing/2014/chart" uri="{C3380CC4-5D6E-409C-BE32-E72D297353CC}">
              <c16:uniqueId val="{00000003-D6A1-4CA9-B827-A634B2D96745}"/>
            </c:ext>
          </c:extLst>
        </c:ser>
        <c:dLbls>
          <c:showLegendKey val="0"/>
          <c:showVal val="0"/>
          <c:showCatName val="0"/>
          <c:showSerName val="0"/>
          <c:showPercent val="0"/>
          <c:showBubbleSize val="0"/>
        </c:dLbls>
        <c:smooth val="0"/>
        <c:axId val="156670048"/>
        <c:axId val="2078636591"/>
      </c:lineChart>
      <c:dateAx>
        <c:axId val="156670048"/>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78636591"/>
        <c:crossesAt val="50"/>
        <c:auto val="1"/>
        <c:lblOffset val="100"/>
        <c:baseTimeUnit val="months"/>
        <c:majorUnit val="1"/>
        <c:majorTimeUnit val="months"/>
      </c:dateAx>
      <c:valAx>
        <c:axId val="2078636591"/>
        <c:scaling>
          <c:orientation val="minMax"/>
          <c:min val="48"/>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6670048"/>
        <c:crosses val="autoZero"/>
        <c:crossBetween val="between"/>
      </c:valAx>
      <c:spPr>
        <a:noFill/>
        <a:ln>
          <a:noFill/>
        </a:ln>
        <a:effectLst/>
      </c:spPr>
    </c:plotArea>
    <c:legend>
      <c:legendPos val="t"/>
      <c:layout>
        <c:manualLayout>
          <c:xMode val="edge"/>
          <c:yMode val="edge"/>
          <c:x val="0.18741261312528545"/>
          <c:y val="9.2583278892469645E-2"/>
          <c:w val="0.81037185255689204"/>
          <c:h val="0.1311508448262825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29901234756777E-2"/>
          <c:y val="0.11330630602382949"/>
          <c:w val="0.90729196231385589"/>
          <c:h val="0.68973286672499268"/>
        </c:manualLayout>
      </c:layout>
      <c:barChart>
        <c:barDir val="col"/>
        <c:grouping val="clustered"/>
        <c:varyColors val="0"/>
        <c:ser>
          <c:idx val="0"/>
          <c:order val="0"/>
          <c:tx>
            <c:strRef>
              <c:f>'1.2B'!$S$3</c:f>
              <c:strCache>
                <c:ptCount val="1"/>
                <c:pt idx="0">
                  <c:v>2024 growth forecast as of Mar. 2024</c:v>
                </c:pt>
              </c:strCache>
            </c:strRef>
          </c:tx>
          <c:spPr>
            <a:solidFill>
              <a:srgbClr val="002345"/>
            </a:solidFill>
            <a:ln w="50800">
              <a:noFill/>
            </a:ln>
            <a:effectLst/>
          </c:spPr>
          <c:invertIfNegative val="0"/>
          <c:cat>
            <c:strRef>
              <c:f>'1.2B'!$R$4:$R$6</c:f>
              <c:strCache>
                <c:ptCount val="3"/>
                <c:pt idx="0">
                  <c:v>United 
States</c:v>
                </c:pt>
                <c:pt idx="1">
                  <c:v>Euro 
area</c:v>
                </c:pt>
                <c:pt idx="2">
                  <c:v>China</c:v>
                </c:pt>
              </c:strCache>
            </c:strRef>
          </c:cat>
          <c:val>
            <c:numRef>
              <c:f>'1.2B'!$S$4:$S$6</c:f>
              <c:numCache>
                <c:formatCode>0.0</c:formatCode>
                <c:ptCount val="3"/>
                <c:pt idx="0">
                  <c:v>2.2000000000000002</c:v>
                </c:pt>
                <c:pt idx="1">
                  <c:v>0.5</c:v>
                </c:pt>
                <c:pt idx="2">
                  <c:v>4.7</c:v>
                </c:pt>
              </c:numCache>
            </c:numRef>
          </c:val>
          <c:extLst>
            <c:ext xmlns:c16="http://schemas.microsoft.com/office/drawing/2014/chart" uri="{C3380CC4-5D6E-409C-BE32-E72D297353CC}">
              <c16:uniqueId val="{00000000-3598-4BEA-A268-EB77E04F8B1E}"/>
            </c:ext>
          </c:extLst>
        </c:ser>
        <c:ser>
          <c:idx val="1"/>
          <c:order val="1"/>
          <c:tx>
            <c:strRef>
              <c:f>'1.2B'!$T$3</c:f>
              <c:strCache>
                <c:ptCount val="1"/>
                <c:pt idx="0">
                  <c:v>2024 growth, latest estimates</c:v>
                </c:pt>
              </c:strCache>
            </c:strRef>
          </c:tx>
          <c:spPr>
            <a:solidFill>
              <a:srgbClr val="EB1C2D"/>
            </a:solidFill>
            <a:ln w="50800">
              <a:noFill/>
            </a:ln>
            <a:effectLst/>
          </c:spPr>
          <c:invertIfNegative val="0"/>
          <c:cat>
            <c:strRef>
              <c:f>'1.2B'!$R$4:$R$6</c:f>
              <c:strCache>
                <c:ptCount val="3"/>
                <c:pt idx="0">
                  <c:v>United 
States</c:v>
                </c:pt>
                <c:pt idx="1">
                  <c:v>Euro 
area</c:v>
                </c:pt>
                <c:pt idx="2">
                  <c:v>China</c:v>
                </c:pt>
              </c:strCache>
            </c:strRef>
          </c:cat>
          <c:val>
            <c:numRef>
              <c:f>'1.2B'!$T$4:$T$6</c:f>
              <c:numCache>
                <c:formatCode>0.0</c:formatCode>
                <c:ptCount val="3"/>
                <c:pt idx="0">
                  <c:v>2.5</c:v>
                </c:pt>
                <c:pt idx="1">
                  <c:v>0.7</c:v>
                </c:pt>
                <c:pt idx="2">
                  <c:v>4.8</c:v>
                </c:pt>
              </c:numCache>
            </c:numRef>
          </c:val>
          <c:extLst>
            <c:ext xmlns:c16="http://schemas.microsoft.com/office/drawing/2014/chart" uri="{C3380CC4-5D6E-409C-BE32-E72D297353CC}">
              <c16:uniqueId val="{00000001-3598-4BEA-A268-EB77E04F8B1E}"/>
            </c:ext>
          </c:extLst>
        </c:ser>
        <c:dLbls>
          <c:showLegendKey val="0"/>
          <c:showVal val="0"/>
          <c:showCatName val="0"/>
          <c:showSerName val="0"/>
          <c:showPercent val="0"/>
          <c:showBubbleSize val="0"/>
        </c:dLbls>
        <c:gapWidth val="150"/>
        <c:overlap val="-7"/>
        <c:axId val="692860576"/>
        <c:axId val="897812735"/>
      </c:barChart>
      <c:catAx>
        <c:axId val="69286057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97812735"/>
        <c:crosses val="autoZero"/>
        <c:auto val="1"/>
        <c:lblAlgn val="ctr"/>
        <c:lblOffset val="100"/>
        <c:noMultiLvlLbl val="0"/>
      </c:catAx>
      <c:valAx>
        <c:axId val="89781273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92860576"/>
        <c:crosses val="autoZero"/>
        <c:crossBetween val="between"/>
        <c:majorUnit val="2"/>
      </c:valAx>
      <c:spPr>
        <a:noFill/>
        <a:ln w="25400">
          <a:noFill/>
        </a:ln>
        <a:effectLst/>
      </c:spPr>
    </c:plotArea>
    <c:legend>
      <c:legendPos val="t"/>
      <c:layout>
        <c:manualLayout>
          <c:xMode val="edge"/>
          <c:yMode val="edge"/>
          <c:x val="9.3524606299212595E-2"/>
          <c:y val="8.4835759166467822E-2"/>
          <c:w val="0.81111154855643053"/>
          <c:h val="0.177239481428457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4167925258844"/>
          <c:y val="0.13323250429398975"/>
          <c:w val="0.82183394487702854"/>
          <c:h val="0.61895931758530187"/>
        </c:manualLayout>
      </c:layout>
      <c:lineChart>
        <c:grouping val="standard"/>
        <c:varyColors val="0"/>
        <c:ser>
          <c:idx val="0"/>
          <c:order val="0"/>
          <c:tx>
            <c:strRef>
              <c:f>'1.2C'!$S$3</c:f>
              <c:strCache>
                <c:ptCount val="1"/>
                <c:pt idx="0">
                  <c:v>At least 50bp cut</c:v>
                </c:pt>
              </c:strCache>
            </c:strRef>
          </c:tx>
          <c:spPr>
            <a:ln w="76200" cap="rnd">
              <a:solidFill>
                <a:srgbClr val="002345"/>
              </a:solidFill>
              <a:round/>
            </a:ln>
            <a:effectLst/>
          </c:spPr>
          <c:marker>
            <c:symbol val="none"/>
          </c:marker>
          <c:cat>
            <c:numRef>
              <c:f>'1.2C'!$R$4:$R$180</c:f>
              <c:numCache>
                <c:formatCode>mmm\-yy</c:formatCode>
                <c:ptCount val="177"/>
                <c:pt idx="0">
                  <c:v>45296</c:v>
                </c:pt>
                <c:pt idx="1">
                  <c:v>45299</c:v>
                </c:pt>
                <c:pt idx="2">
                  <c:v>45300</c:v>
                </c:pt>
                <c:pt idx="3">
                  <c:v>45301</c:v>
                </c:pt>
                <c:pt idx="4">
                  <c:v>45302</c:v>
                </c:pt>
                <c:pt idx="5">
                  <c:v>45303</c:v>
                </c:pt>
                <c:pt idx="6">
                  <c:v>45307</c:v>
                </c:pt>
                <c:pt idx="7">
                  <c:v>45308</c:v>
                </c:pt>
                <c:pt idx="8">
                  <c:v>45309</c:v>
                </c:pt>
                <c:pt idx="9">
                  <c:v>45310</c:v>
                </c:pt>
                <c:pt idx="10">
                  <c:v>45313</c:v>
                </c:pt>
                <c:pt idx="11">
                  <c:v>45314</c:v>
                </c:pt>
                <c:pt idx="12">
                  <c:v>45315</c:v>
                </c:pt>
                <c:pt idx="13">
                  <c:v>45316</c:v>
                </c:pt>
                <c:pt idx="14">
                  <c:v>45317</c:v>
                </c:pt>
                <c:pt idx="15">
                  <c:v>45320</c:v>
                </c:pt>
                <c:pt idx="16">
                  <c:v>45321</c:v>
                </c:pt>
                <c:pt idx="17">
                  <c:v>45322</c:v>
                </c:pt>
                <c:pt idx="18">
                  <c:v>45323</c:v>
                </c:pt>
                <c:pt idx="19">
                  <c:v>45324</c:v>
                </c:pt>
                <c:pt idx="20">
                  <c:v>45327</c:v>
                </c:pt>
                <c:pt idx="21">
                  <c:v>45328</c:v>
                </c:pt>
                <c:pt idx="22">
                  <c:v>45329</c:v>
                </c:pt>
                <c:pt idx="23">
                  <c:v>45330</c:v>
                </c:pt>
                <c:pt idx="24">
                  <c:v>45331</c:v>
                </c:pt>
                <c:pt idx="25">
                  <c:v>45334</c:v>
                </c:pt>
                <c:pt idx="26">
                  <c:v>45335</c:v>
                </c:pt>
                <c:pt idx="27">
                  <c:v>45336</c:v>
                </c:pt>
                <c:pt idx="28">
                  <c:v>45337</c:v>
                </c:pt>
                <c:pt idx="29">
                  <c:v>45338</c:v>
                </c:pt>
                <c:pt idx="30">
                  <c:v>45342</c:v>
                </c:pt>
                <c:pt idx="31">
                  <c:v>45343</c:v>
                </c:pt>
                <c:pt idx="32">
                  <c:v>45344</c:v>
                </c:pt>
                <c:pt idx="33">
                  <c:v>45345</c:v>
                </c:pt>
                <c:pt idx="34">
                  <c:v>45348</c:v>
                </c:pt>
                <c:pt idx="35">
                  <c:v>45349</c:v>
                </c:pt>
                <c:pt idx="36">
                  <c:v>45350</c:v>
                </c:pt>
                <c:pt idx="37">
                  <c:v>45351</c:v>
                </c:pt>
                <c:pt idx="38">
                  <c:v>45352</c:v>
                </c:pt>
                <c:pt idx="39">
                  <c:v>45355</c:v>
                </c:pt>
                <c:pt idx="40">
                  <c:v>45356</c:v>
                </c:pt>
                <c:pt idx="41">
                  <c:v>45357</c:v>
                </c:pt>
                <c:pt idx="42">
                  <c:v>45358</c:v>
                </c:pt>
                <c:pt idx="43">
                  <c:v>45359</c:v>
                </c:pt>
                <c:pt idx="44">
                  <c:v>45362</c:v>
                </c:pt>
                <c:pt idx="45">
                  <c:v>45363</c:v>
                </c:pt>
                <c:pt idx="46">
                  <c:v>45364</c:v>
                </c:pt>
                <c:pt idx="47">
                  <c:v>45365</c:v>
                </c:pt>
                <c:pt idx="48">
                  <c:v>45366</c:v>
                </c:pt>
                <c:pt idx="49">
                  <c:v>45369</c:v>
                </c:pt>
                <c:pt idx="50">
                  <c:v>45370</c:v>
                </c:pt>
                <c:pt idx="51">
                  <c:v>45371</c:v>
                </c:pt>
                <c:pt idx="52">
                  <c:v>45372</c:v>
                </c:pt>
                <c:pt idx="53">
                  <c:v>45373</c:v>
                </c:pt>
                <c:pt idx="54">
                  <c:v>45376</c:v>
                </c:pt>
                <c:pt idx="55">
                  <c:v>45377</c:v>
                </c:pt>
                <c:pt idx="56">
                  <c:v>45378</c:v>
                </c:pt>
                <c:pt idx="57">
                  <c:v>45379</c:v>
                </c:pt>
                <c:pt idx="58">
                  <c:v>45383</c:v>
                </c:pt>
                <c:pt idx="59">
                  <c:v>45384</c:v>
                </c:pt>
                <c:pt idx="60">
                  <c:v>45385</c:v>
                </c:pt>
                <c:pt idx="61">
                  <c:v>45386</c:v>
                </c:pt>
                <c:pt idx="62">
                  <c:v>45387</c:v>
                </c:pt>
                <c:pt idx="63">
                  <c:v>45390</c:v>
                </c:pt>
                <c:pt idx="64">
                  <c:v>45391</c:v>
                </c:pt>
                <c:pt idx="65">
                  <c:v>45392</c:v>
                </c:pt>
                <c:pt idx="66">
                  <c:v>45393</c:v>
                </c:pt>
                <c:pt idx="67">
                  <c:v>45394</c:v>
                </c:pt>
                <c:pt idx="68">
                  <c:v>45397</c:v>
                </c:pt>
                <c:pt idx="69">
                  <c:v>45398</c:v>
                </c:pt>
                <c:pt idx="70">
                  <c:v>45399</c:v>
                </c:pt>
                <c:pt idx="71">
                  <c:v>45400</c:v>
                </c:pt>
                <c:pt idx="72">
                  <c:v>45401</c:v>
                </c:pt>
                <c:pt idx="73">
                  <c:v>45404</c:v>
                </c:pt>
                <c:pt idx="74">
                  <c:v>45405</c:v>
                </c:pt>
                <c:pt idx="75">
                  <c:v>45406</c:v>
                </c:pt>
                <c:pt idx="76">
                  <c:v>45407</c:v>
                </c:pt>
                <c:pt idx="77">
                  <c:v>45408</c:v>
                </c:pt>
                <c:pt idx="78">
                  <c:v>45411</c:v>
                </c:pt>
                <c:pt idx="79">
                  <c:v>45412</c:v>
                </c:pt>
                <c:pt idx="80">
                  <c:v>45413</c:v>
                </c:pt>
                <c:pt idx="81">
                  <c:v>45414</c:v>
                </c:pt>
                <c:pt idx="82">
                  <c:v>45415</c:v>
                </c:pt>
                <c:pt idx="83">
                  <c:v>45418</c:v>
                </c:pt>
                <c:pt idx="84">
                  <c:v>45419</c:v>
                </c:pt>
                <c:pt idx="85">
                  <c:v>45420</c:v>
                </c:pt>
                <c:pt idx="86">
                  <c:v>45421</c:v>
                </c:pt>
                <c:pt idx="87">
                  <c:v>45422</c:v>
                </c:pt>
                <c:pt idx="88">
                  <c:v>45425</c:v>
                </c:pt>
                <c:pt idx="89">
                  <c:v>45426</c:v>
                </c:pt>
                <c:pt idx="90">
                  <c:v>45427</c:v>
                </c:pt>
                <c:pt idx="91">
                  <c:v>45428</c:v>
                </c:pt>
                <c:pt idx="92">
                  <c:v>45429</c:v>
                </c:pt>
                <c:pt idx="93">
                  <c:v>45432</c:v>
                </c:pt>
                <c:pt idx="94">
                  <c:v>45433</c:v>
                </c:pt>
                <c:pt idx="95">
                  <c:v>45434</c:v>
                </c:pt>
                <c:pt idx="96">
                  <c:v>45435</c:v>
                </c:pt>
                <c:pt idx="97">
                  <c:v>45436</c:v>
                </c:pt>
                <c:pt idx="98">
                  <c:v>45440</c:v>
                </c:pt>
                <c:pt idx="99">
                  <c:v>45441</c:v>
                </c:pt>
                <c:pt idx="100">
                  <c:v>45442</c:v>
                </c:pt>
                <c:pt idx="101">
                  <c:v>45443</c:v>
                </c:pt>
                <c:pt idx="102">
                  <c:v>45446</c:v>
                </c:pt>
                <c:pt idx="103">
                  <c:v>45447</c:v>
                </c:pt>
                <c:pt idx="104">
                  <c:v>45448</c:v>
                </c:pt>
                <c:pt idx="105">
                  <c:v>45449</c:v>
                </c:pt>
                <c:pt idx="106">
                  <c:v>45450</c:v>
                </c:pt>
                <c:pt idx="107">
                  <c:v>45453</c:v>
                </c:pt>
                <c:pt idx="108">
                  <c:v>45454</c:v>
                </c:pt>
                <c:pt idx="109">
                  <c:v>45455</c:v>
                </c:pt>
                <c:pt idx="110">
                  <c:v>45456</c:v>
                </c:pt>
                <c:pt idx="111">
                  <c:v>45457</c:v>
                </c:pt>
                <c:pt idx="112">
                  <c:v>45460</c:v>
                </c:pt>
                <c:pt idx="113">
                  <c:v>45461</c:v>
                </c:pt>
                <c:pt idx="114">
                  <c:v>45463</c:v>
                </c:pt>
                <c:pt idx="115">
                  <c:v>45464</c:v>
                </c:pt>
                <c:pt idx="116">
                  <c:v>45467</c:v>
                </c:pt>
                <c:pt idx="117">
                  <c:v>45468</c:v>
                </c:pt>
                <c:pt idx="118">
                  <c:v>45469</c:v>
                </c:pt>
                <c:pt idx="119">
                  <c:v>45470</c:v>
                </c:pt>
                <c:pt idx="120">
                  <c:v>45471</c:v>
                </c:pt>
                <c:pt idx="121">
                  <c:v>45474</c:v>
                </c:pt>
                <c:pt idx="122">
                  <c:v>45475</c:v>
                </c:pt>
                <c:pt idx="123">
                  <c:v>45476</c:v>
                </c:pt>
                <c:pt idx="124">
                  <c:v>45478</c:v>
                </c:pt>
                <c:pt idx="125">
                  <c:v>45481</c:v>
                </c:pt>
                <c:pt idx="126">
                  <c:v>45482</c:v>
                </c:pt>
                <c:pt idx="127">
                  <c:v>45483</c:v>
                </c:pt>
                <c:pt idx="128">
                  <c:v>45484</c:v>
                </c:pt>
                <c:pt idx="129">
                  <c:v>45485</c:v>
                </c:pt>
                <c:pt idx="130">
                  <c:v>45488</c:v>
                </c:pt>
                <c:pt idx="131">
                  <c:v>45489</c:v>
                </c:pt>
                <c:pt idx="132">
                  <c:v>45490</c:v>
                </c:pt>
                <c:pt idx="133">
                  <c:v>45491</c:v>
                </c:pt>
                <c:pt idx="134">
                  <c:v>45492</c:v>
                </c:pt>
                <c:pt idx="135">
                  <c:v>45495</c:v>
                </c:pt>
                <c:pt idx="136">
                  <c:v>45496</c:v>
                </c:pt>
                <c:pt idx="137">
                  <c:v>45497</c:v>
                </c:pt>
                <c:pt idx="138">
                  <c:v>45498</c:v>
                </c:pt>
                <c:pt idx="139">
                  <c:v>45499</c:v>
                </c:pt>
                <c:pt idx="140">
                  <c:v>45502</c:v>
                </c:pt>
                <c:pt idx="141">
                  <c:v>45503</c:v>
                </c:pt>
                <c:pt idx="142">
                  <c:v>45504</c:v>
                </c:pt>
                <c:pt idx="143">
                  <c:v>45505</c:v>
                </c:pt>
                <c:pt idx="144">
                  <c:v>45506</c:v>
                </c:pt>
                <c:pt idx="145">
                  <c:v>45509</c:v>
                </c:pt>
                <c:pt idx="146">
                  <c:v>45510</c:v>
                </c:pt>
                <c:pt idx="147">
                  <c:v>45511</c:v>
                </c:pt>
                <c:pt idx="148">
                  <c:v>45512</c:v>
                </c:pt>
                <c:pt idx="149">
                  <c:v>45513</c:v>
                </c:pt>
                <c:pt idx="150">
                  <c:v>45516</c:v>
                </c:pt>
                <c:pt idx="151">
                  <c:v>45517</c:v>
                </c:pt>
                <c:pt idx="152">
                  <c:v>45518</c:v>
                </c:pt>
                <c:pt idx="153">
                  <c:v>45519</c:v>
                </c:pt>
                <c:pt idx="154">
                  <c:v>45520</c:v>
                </c:pt>
                <c:pt idx="155">
                  <c:v>45523</c:v>
                </c:pt>
                <c:pt idx="156">
                  <c:v>45524</c:v>
                </c:pt>
                <c:pt idx="157">
                  <c:v>45525</c:v>
                </c:pt>
                <c:pt idx="158">
                  <c:v>45526</c:v>
                </c:pt>
                <c:pt idx="159">
                  <c:v>45527</c:v>
                </c:pt>
                <c:pt idx="160">
                  <c:v>45530</c:v>
                </c:pt>
                <c:pt idx="161">
                  <c:v>45531</c:v>
                </c:pt>
                <c:pt idx="162">
                  <c:v>45532</c:v>
                </c:pt>
                <c:pt idx="163">
                  <c:v>45533</c:v>
                </c:pt>
                <c:pt idx="164">
                  <c:v>45534</c:v>
                </c:pt>
                <c:pt idx="165">
                  <c:v>45538</c:v>
                </c:pt>
                <c:pt idx="166">
                  <c:v>45539</c:v>
                </c:pt>
                <c:pt idx="167">
                  <c:v>45540</c:v>
                </c:pt>
                <c:pt idx="168">
                  <c:v>45541</c:v>
                </c:pt>
                <c:pt idx="169">
                  <c:v>45544</c:v>
                </c:pt>
                <c:pt idx="170">
                  <c:v>45545</c:v>
                </c:pt>
                <c:pt idx="171">
                  <c:v>45546</c:v>
                </c:pt>
                <c:pt idx="172">
                  <c:v>45547</c:v>
                </c:pt>
                <c:pt idx="173">
                  <c:v>45548</c:v>
                </c:pt>
                <c:pt idx="174">
                  <c:v>45551</c:v>
                </c:pt>
                <c:pt idx="175">
                  <c:v>45552</c:v>
                </c:pt>
                <c:pt idx="176">
                  <c:v>45553</c:v>
                </c:pt>
              </c:numCache>
            </c:numRef>
          </c:cat>
          <c:val>
            <c:numRef>
              <c:f>'1.2C'!$S$4:$S$180</c:f>
              <c:numCache>
                <c:formatCode>General</c:formatCode>
                <c:ptCount val="177"/>
                <c:pt idx="0">
                  <c:v>99.96</c:v>
                </c:pt>
                <c:pt idx="1">
                  <c:v>99.98</c:v>
                </c:pt>
                <c:pt idx="2">
                  <c:v>99.97</c:v>
                </c:pt>
                <c:pt idx="3">
                  <c:v>99.99</c:v>
                </c:pt>
                <c:pt idx="4">
                  <c:v>100</c:v>
                </c:pt>
                <c:pt idx="5">
                  <c:v>100</c:v>
                </c:pt>
                <c:pt idx="6">
                  <c:v>100</c:v>
                </c:pt>
                <c:pt idx="7">
                  <c:v>99.99</c:v>
                </c:pt>
                <c:pt idx="8">
                  <c:v>99.99</c:v>
                </c:pt>
                <c:pt idx="9">
                  <c:v>99.95</c:v>
                </c:pt>
                <c:pt idx="10">
                  <c:v>99.99</c:v>
                </c:pt>
                <c:pt idx="11">
                  <c:v>99.97</c:v>
                </c:pt>
                <c:pt idx="12">
                  <c:v>99.99</c:v>
                </c:pt>
                <c:pt idx="13">
                  <c:v>100</c:v>
                </c:pt>
                <c:pt idx="14">
                  <c:v>99.96</c:v>
                </c:pt>
                <c:pt idx="15">
                  <c:v>99.99</c:v>
                </c:pt>
                <c:pt idx="16">
                  <c:v>99.95</c:v>
                </c:pt>
                <c:pt idx="17">
                  <c:v>100</c:v>
                </c:pt>
                <c:pt idx="18">
                  <c:v>100</c:v>
                </c:pt>
                <c:pt idx="19">
                  <c:v>99.92</c:v>
                </c:pt>
                <c:pt idx="20">
                  <c:v>99.63</c:v>
                </c:pt>
                <c:pt idx="21">
                  <c:v>99.89</c:v>
                </c:pt>
                <c:pt idx="22">
                  <c:v>99.9</c:v>
                </c:pt>
                <c:pt idx="23">
                  <c:v>99.75</c:v>
                </c:pt>
                <c:pt idx="24">
                  <c:v>99.43</c:v>
                </c:pt>
                <c:pt idx="25">
                  <c:v>99.49</c:v>
                </c:pt>
                <c:pt idx="26">
                  <c:v>95.47</c:v>
                </c:pt>
                <c:pt idx="27">
                  <c:v>97.68</c:v>
                </c:pt>
                <c:pt idx="28">
                  <c:v>98.02</c:v>
                </c:pt>
                <c:pt idx="29">
                  <c:v>96.17</c:v>
                </c:pt>
                <c:pt idx="30">
                  <c:v>96.98</c:v>
                </c:pt>
                <c:pt idx="31">
                  <c:v>95.91</c:v>
                </c:pt>
                <c:pt idx="32">
                  <c:v>93.11</c:v>
                </c:pt>
                <c:pt idx="33">
                  <c:v>93.83</c:v>
                </c:pt>
                <c:pt idx="34">
                  <c:v>92.03</c:v>
                </c:pt>
                <c:pt idx="35">
                  <c:v>91.01</c:v>
                </c:pt>
                <c:pt idx="36">
                  <c:v>94.18</c:v>
                </c:pt>
                <c:pt idx="37">
                  <c:v>93.75</c:v>
                </c:pt>
                <c:pt idx="38">
                  <c:v>97.02</c:v>
                </c:pt>
                <c:pt idx="39">
                  <c:v>94.65</c:v>
                </c:pt>
                <c:pt idx="40">
                  <c:v>96.42</c:v>
                </c:pt>
                <c:pt idx="41">
                  <c:v>96.09</c:v>
                </c:pt>
                <c:pt idx="42">
                  <c:v>97.13</c:v>
                </c:pt>
                <c:pt idx="43">
                  <c:v>97.97</c:v>
                </c:pt>
                <c:pt idx="44">
                  <c:v>97.11</c:v>
                </c:pt>
                <c:pt idx="45">
                  <c:v>95.33</c:v>
                </c:pt>
                <c:pt idx="46">
                  <c:v>94.03</c:v>
                </c:pt>
                <c:pt idx="47">
                  <c:v>91.37</c:v>
                </c:pt>
                <c:pt idx="48">
                  <c:v>89.92</c:v>
                </c:pt>
                <c:pt idx="49">
                  <c:v>87.93</c:v>
                </c:pt>
                <c:pt idx="50">
                  <c:v>89.34</c:v>
                </c:pt>
                <c:pt idx="51">
                  <c:v>94.86</c:v>
                </c:pt>
                <c:pt idx="52">
                  <c:v>94.2</c:v>
                </c:pt>
                <c:pt idx="53">
                  <c:v>95.03</c:v>
                </c:pt>
                <c:pt idx="54">
                  <c:v>93.56</c:v>
                </c:pt>
                <c:pt idx="55">
                  <c:v>92.72</c:v>
                </c:pt>
                <c:pt idx="56">
                  <c:v>93.68</c:v>
                </c:pt>
                <c:pt idx="57">
                  <c:v>90.7</c:v>
                </c:pt>
                <c:pt idx="58">
                  <c:v>84.86</c:v>
                </c:pt>
                <c:pt idx="59">
                  <c:v>87.31</c:v>
                </c:pt>
                <c:pt idx="60">
                  <c:v>88.77</c:v>
                </c:pt>
                <c:pt idx="61">
                  <c:v>90.72</c:v>
                </c:pt>
                <c:pt idx="62">
                  <c:v>84.93</c:v>
                </c:pt>
                <c:pt idx="63">
                  <c:v>80.989999999999995</c:v>
                </c:pt>
                <c:pt idx="64">
                  <c:v>85.22</c:v>
                </c:pt>
                <c:pt idx="65">
                  <c:v>53.11</c:v>
                </c:pt>
                <c:pt idx="66">
                  <c:v>54.65</c:v>
                </c:pt>
                <c:pt idx="67">
                  <c:v>63.1</c:v>
                </c:pt>
                <c:pt idx="68">
                  <c:v>55.85</c:v>
                </c:pt>
                <c:pt idx="69">
                  <c:v>56</c:v>
                </c:pt>
                <c:pt idx="70">
                  <c:v>57.09</c:v>
                </c:pt>
                <c:pt idx="71">
                  <c:v>48.22</c:v>
                </c:pt>
                <c:pt idx="72">
                  <c:v>51.47</c:v>
                </c:pt>
                <c:pt idx="73">
                  <c:v>51.47</c:v>
                </c:pt>
                <c:pt idx="74">
                  <c:v>58.81</c:v>
                </c:pt>
                <c:pt idx="75">
                  <c:v>54.05</c:v>
                </c:pt>
                <c:pt idx="76">
                  <c:v>41.13</c:v>
                </c:pt>
                <c:pt idx="77">
                  <c:v>40.700000000000003</c:v>
                </c:pt>
                <c:pt idx="78">
                  <c:v>43.27</c:v>
                </c:pt>
                <c:pt idx="79">
                  <c:v>31.34</c:v>
                </c:pt>
                <c:pt idx="80">
                  <c:v>43.29</c:v>
                </c:pt>
                <c:pt idx="81">
                  <c:v>51.22</c:v>
                </c:pt>
                <c:pt idx="82">
                  <c:v>62.55</c:v>
                </c:pt>
                <c:pt idx="83">
                  <c:v>58.52</c:v>
                </c:pt>
                <c:pt idx="84">
                  <c:v>58.58</c:v>
                </c:pt>
                <c:pt idx="85">
                  <c:v>57.69</c:v>
                </c:pt>
                <c:pt idx="86">
                  <c:v>61.72</c:v>
                </c:pt>
                <c:pt idx="87">
                  <c:v>53.5</c:v>
                </c:pt>
                <c:pt idx="88">
                  <c:v>53.5</c:v>
                </c:pt>
                <c:pt idx="89">
                  <c:v>57.85</c:v>
                </c:pt>
                <c:pt idx="90">
                  <c:v>68.34</c:v>
                </c:pt>
                <c:pt idx="91">
                  <c:v>60.58</c:v>
                </c:pt>
                <c:pt idx="92">
                  <c:v>57.96</c:v>
                </c:pt>
                <c:pt idx="93">
                  <c:v>53.75</c:v>
                </c:pt>
                <c:pt idx="94">
                  <c:v>57.21</c:v>
                </c:pt>
                <c:pt idx="95">
                  <c:v>50.38</c:v>
                </c:pt>
                <c:pt idx="96">
                  <c:v>42.27</c:v>
                </c:pt>
                <c:pt idx="97">
                  <c:v>40.33</c:v>
                </c:pt>
                <c:pt idx="98">
                  <c:v>36.49</c:v>
                </c:pt>
                <c:pt idx="99">
                  <c:v>36.549999999999997</c:v>
                </c:pt>
                <c:pt idx="100">
                  <c:v>43.11</c:v>
                </c:pt>
                <c:pt idx="101">
                  <c:v>46.09</c:v>
                </c:pt>
                <c:pt idx="102">
                  <c:v>54.2</c:v>
                </c:pt>
                <c:pt idx="103">
                  <c:v>62.36</c:v>
                </c:pt>
                <c:pt idx="104">
                  <c:v>67.180000000000007</c:v>
                </c:pt>
                <c:pt idx="105">
                  <c:v>68.66</c:v>
                </c:pt>
                <c:pt idx="106">
                  <c:v>46.97</c:v>
                </c:pt>
                <c:pt idx="107">
                  <c:v>48.93</c:v>
                </c:pt>
                <c:pt idx="108">
                  <c:v>52.54</c:v>
                </c:pt>
                <c:pt idx="109">
                  <c:v>63.46</c:v>
                </c:pt>
                <c:pt idx="110">
                  <c:v>71.459999999999994</c:v>
                </c:pt>
                <c:pt idx="111">
                  <c:v>73.64</c:v>
                </c:pt>
                <c:pt idx="112">
                  <c:v>63.2</c:v>
                </c:pt>
                <c:pt idx="113">
                  <c:v>69.98</c:v>
                </c:pt>
                <c:pt idx="114">
                  <c:v>65.36</c:v>
                </c:pt>
                <c:pt idx="115">
                  <c:v>66.87</c:v>
                </c:pt>
                <c:pt idx="116">
                  <c:v>68.5</c:v>
                </c:pt>
                <c:pt idx="117">
                  <c:v>67.48</c:v>
                </c:pt>
                <c:pt idx="118">
                  <c:v>61.13</c:v>
                </c:pt>
                <c:pt idx="119">
                  <c:v>63.11</c:v>
                </c:pt>
                <c:pt idx="120">
                  <c:v>64.03</c:v>
                </c:pt>
                <c:pt idx="121">
                  <c:v>63.78</c:v>
                </c:pt>
                <c:pt idx="122">
                  <c:v>65.45</c:v>
                </c:pt>
                <c:pt idx="123">
                  <c:v>70.459999999999994</c:v>
                </c:pt>
                <c:pt idx="124">
                  <c:v>77.12</c:v>
                </c:pt>
                <c:pt idx="125">
                  <c:v>74.86</c:v>
                </c:pt>
                <c:pt idx="126">
                  <c:v>73.3</c:v>
                </c:pt>
                <c:pt idx="127">
                  <c:v>74.37</c:v>
                </c:pt>
                <c:pt idx="128">
                  <c:v>91.47</c:v>
                </c:pt>
                <c:pt idx="129">
                  <c:v>94.5</c:v>
                </c:pt>
                <c:pt idx="130">
                  <c:v>96.4</c:v>
                </c:pt>
                <c:pt idx="131">
                  <c:v>96.18</c:v>
                </c:pt>
                <c:pt idx="132">
                  <c:v>97.29</c:v>
                </c:pt>
                <c:pt idx="133">
                  <c:v>96.39</c:v>
                </c:pt>
                <c:pt idx="134">
                  <c:v>93.83</c:v>
                </c:pt>
                <c:pt idx="135">
                  <c:v>92.25</c:v>
                </c:pt>
                <c:pt idx="136">
                  <c:v>94.11</c:v>
                </c:pt>
                <c:pt idx="137">
                  <c:v>97.23</c:v>
                </c:pt>
                <c:pt idx="138">
                  <c:v>96.65</c:v>
                </c:pt>
                <c:pt idx="139">
                  <c:v>97.77</c:v>
                </c:pt>
                <c:pt idx="140">
                  <c:v>97.43</c:v>
                </c:pt>
                <c:pt idx="141">
                  <c:v>98.53</c:v>
                </c:pt>
                <c:pt idx="142">
                  <c:v>99.66</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numCache>
            </c:numRef>
          </c:val>
          <c:smooth val="0"/>
          <c:extLst>
            <c:ext xmlns:c16="http://schemas.microsoft.com/office/drawing/2014/chart" uri="{C3380CC4-5D6E-409C-BE32-E72D297353CC}">
              <c16:uniqueId val="{00000000-91F4-4D5C-A3AA-94750915CDEA}"/>
            </c:ext>
          </c:extLst>
        </c:ser>
        <c:ser>
          <c:idx val="3"/>
          <c:order val="1"/>
          <c:tx>
            <c:strRef>
              <c:f>'1.2C'!$T$3</c:f>
              <c:strCache>
                <c:ptCount val="1"/>
                <c:pt idx="0">
                  <c:v>At least 100bp cut</c:v>
                </c:pt>
              </c:strCache>
            </c:strRef>
          </c:tx>
          <c:spPr>
            <a:ln w="76200" cap="rnd">
              <a:solidFill>
                <a:schemeClr val="bg2"/>
              </a:solidFill>
              <a:round/>
            </a:ln>
            <a:effectLst/>
          </c:spPr>
          <c:marker>
            <c:symbol val="none"/>
          </c:marker>
          <c:cat>
            <c:numRef>
              <c:f>'1.2C'!$R$4:$R$180</c:f>
              <c:numCache>
                <c:formatCode>mmm\-yy</c:formatCode>
                <c:ptCount val="177"/>
                <c:pt idx="0">
                  <c:v>45296</c:v>
                </c:pt>
                <c:pt idx="1">
                  <c:v>45299</c:v>
                </c:pt>
                <c:pt idx="2">
                  <c:v>45300</c:v>
                </c:pt>
                <c:pt idx="3">
                  <c:v>45301</c:v>
                </c:pt>
                <c:pt idx="4">
                  <c:v>45302</c:v>
                </c:pt>
                <c:pt idx="5">
                  <c:v>45303</c:v>
                </c:pt>
                <c:pt idx="6">
                  <c:v>45307</c:v>
                </c:pt>
                <c:pt idx="7">
                  <c:v>45308</c:v>
                </c:pt>
                <c:pt idx="8">
                  <c:v>45309</c:v>
                </c:pt>
                <c:pt idx="9">
                  <c:v>45310</c:v>
                </c:pt>
                <c:pt idx="10">
                  <c:v>45313</c:v>
                </c:pt>
                <c:pt idx="11">
                  <c:v>45314</c:v>
                </c:pt>
                <c:pt idx="12">
                  <c:v>45315</c:v>
                </c:pt>
                <c:pt idx="13">
                  <c:v>45316</c:v>
                </c:pt>
                <c:pt idx="14">
                  <c:v>45317</c:v>
                </c:pt>
                <c:pt idx="15">
                  <c:v>45320</c:v>
                </c:pt>
                <c:pt idx="16">
                  <c:v>45321</c:v>
                </c:pt>
                <c:pt idx="17">
                  <c:v>45322</c:v>
                </c:pt>
                <c:pt idx="18">
                  <c:v>45323</c:v>
                </c:pt>
                <c:pt idx="19">
                  <c:v>45324</c:v>
                </c:pt>
                <c:pt idx="20">
                  <c:v>45327</c:v>
                </c:pt>
                <c:pt idx="21">
                  <c:v>45328</c:v>
                </c:pt>
                <c:pt idx="22">
                  <c:v>45329</c:v>
                </c:pt>
                <c:pt idx="23">
                  <c:v>45330</c:v>
                </c:pt>
                <c:pt idx="24">
                  <c:v>45331</c:v>
                </c:pt>
                <c:pt idx="25">
                  <c:v>45334</c:v>
                </c:pt>
                <c:pt idx="26">
                  <c:v>45335</c:v>
                </c:pt>
                <c:pt idx="27">
                  <c:v>45336</c:v>
                </c:pt>
                <c:pt idx="28">
                  <c:v>45337</c:v>
                </c:pt>
                <c:pt idx="29">
                  <c:v>45338</c:v>
                </c:pt>
                <c:pt idx="30">
                  <c:v>45342</c:v>
                </c:pt>
                <c:pt idx="31">
                  <c:v>45343</c:v>
                </c:pt>
                <c:pt idx="32">
                  <c:v>45344</c:v>
                </c:pt>
                <c:pt idx="33">
                  <c:v>45345</c:v>
                </c:pt>
                <c:pt idx="34">
                  <c:v>45348</c:v>
                </c:pt>
                <c:pt idx="35">
                  <c:v>45349</c:v>
                </c:pt>
                <c:pt idx="36">
                  <c:v>45350</c:v>
                </c:pt>
                <c:pt idx="37">
                  <c:v>45351</c:v>
                </c:pt>
                <c:pt idx="38">
                  <c:v>45352</c:v>
                </c:pt>
                <c:pt idx="39">
                  <c:v>45355</c:v>
                </c:pt>
                <c:pt idx="40">
                  <c:v>45356</c:v>
                </c:pt>
                <c:pt idx="41">
                  <c:v>45357</c:v>
                </c:pt>
                <c:pt idx="42">
                  <c:v>45358</c:v>
                </c:pt>
                <c:pt idx="43">
                  <c:v>45359</c:v>
                </c:pt>
                <c:pt idx="44">
                  <c:v>45362</c:v>
                </c:pt>
                <c:pt idx="45">
                  <c:v>45363</c:v>
                </c:pt>
                <c:pt idx="46">
                  <c:v>45364</c:v>
                </c:pt>
                <c:pt idx="47">
                  <c:v>45365</c:v>
                </c:pt>
                <c:pt idx="48">
                  <c:v>45366</c:v>
                </c:pt>
                <c:pt idx="49">
                  <c:v>45369</c:v>
                </c:pt>
                <c:pt idx="50">
                  <c:v>45370</c:v>
                </c:pt>
                <c:pt idx="51">
                  <c:v>45371</c:v>
                </c:pt>
                <c:pt idx="52">
                  <c:v>45372</c:v>
                </c:pt>
                <c:pt idx="53">
                  <c:v>45373</c:v>
                </c:pt>
                <c:pt idx="54">
                  <c:v>45376</c:v>
                </c:pt>
                <c:pt idx="55">
                  <c:v>45377</c:v>
                </c:pt>
                <c:pt idx="56">
                  <c:v>45378</c:v>
                </c:pt>
                <c:pt idx="57">
                  <c:v>45379</c:v>
                </c:pt>
                <c:pt idx="58">
                  <c:v>45383</c:v>
                </c:pt>
                <c:pt idx="59">
                  <c:v>45384</c:v>
                </c:pt>
                <c:pt idx="60">
                  <c:v>45385</c:v>
                </c:pt>
                <c:pt idx="61">
                  <c:v>45386</c:v>
                </c:pt>
                <c:pt idx="62">
                  <c:v>45387</c:v>
                </c:pt>
                <c:pt idx="63">
                  <c:v>45390</c:v>
                </c:pt>
                <c:pt idx="64">
                  <c:v>45391</c:v>
                </c:pt>
                <c:pt idx="65">
                  <c:v>45392</c:v>
                </c:pt>
                <c:pt idx="66">
                  <c:v>45393</c:v>
                </c:pt>
                <c:pt idx="67">
                  <c:v>45394</c:v>
                </c:pt>
                <c:pt idx="68">
                  <c:v>45397</c:v>
                </c:pt>
                <c:pt idx="69">
                  <c:v>45398</c:v>
                </c:pt>
                <c:pt idx="70">
                  <c:v>45399</c:v>
                </c:pt>
                <c:pt idx="71">
                  <c:v>45400</c:v>
                </c:pt>
                <c:pt idx="72">
                  <c:v>45401</c:v>
                </c:pt>
                <c:pt idx="73">
                  <c:v>45404</c:v>
                </c:pt>
                <c:pt idx="74">
                  <c:v>45405</c:v>
                </c:pt>
                <c:pt idx="75">
                  <c:v>45406</c:v>
                </c:pt>
                <c:pt idx="76">
                  <c:v>45407</c:v>
                </c:pt>
                <c:pt idx="77">
                  <c:v>45408</c:v>
                </c:pt>
                <c:pt idx="78">
                  <c:v>45411</c:v>
                </c:pt>
                <c:pt idx="79">
                  <c:v>45412</c:v>
                </c:pt>
                <c:pt idx="80">
                  <c:v>45413</c:v>
                </c:pt>
                <c:pt idx="81">
                  <c:v>45414</c:v>
                </c:pt>
                <c:pt idx="82">
                  <c:v>45415</c:v>
                </c:pt>
                <c:pt idx="83">
                  <c:v>45418</c:v>
                </c:pt>
                <c:pt idx="84">
                  <c:v>45419</c:v>
                </c:pt>
                <c:pt idx="85">
                  <c:v>45420</c:v>
                </c:pt>
                <c:pt idx="86">
                  <c:v>45421</c:v>
                </c:pt>
                <c:pt idx="87">
                  <c:v>45422</c:v>
                </c:pt>
                <c:pt idx="88">
                  <c:v>45425</c:v>
                </c:pt>
                <c:pt idx="89">
                  <c:v>45426</c:v>
                </c:pt>
                <c:pt idx="90">
                  <c:v>45427</c:v>
                </c:pt>
                <c:pt idx="91">
                  <c:v>45428</c:v>
                </c:pt>
                <c:pt idx="92">
                  <c:v>45429</c:v>
                </c:pt>
                <c:pt idx="93">
                  <c:v>45432</c:v>
                </c:pt>
                <c:pt idx="94">
                  <c:v>45433</c:v>
                </c:pt>
                <c:pt idx="95">
                  <c:v>45434</c:v>
                </c:pt>
                <c:pt idx="96">
                  <c:v>45435</c:v>
                </c:pt>
                <c:pt idx="97">
                  <c:v>45436</c:v>
                </c:pt>
                <c:pt idx="98">
                  <c:v>45440</c:v>
                </c:pt>
                <c:pt idx="99">
                  <c:v>45441</c:v>
                </c:pt>
                <c:pt idx="100">
                  <c:v>45442</c:v>
                </c:pt>
                <c:pt idx="101">
                  <c:v>45443</c:v>
                </c:pt>
                <c:pt idx="102">
                  <c:v>45446</c:v>
                </c:pt>
                <c:pt idx="103">
                  <c:v>45447</c:v>
                </c:pt>
                <c:pt idx="104">
                  <c:v>45448</c:v>
                </c:pt>
                <c:pt idx="105">
                  <c:v>45449</c:v>
                </c:pt>
                <c:pt idx="106">
                  <c:v>45450</c:v>
                </c:pt>
                <c:pt idx="107">
                  <c:v>45453</c:v>
                </c:pt>
                <c:pt idx="108">
                  <c:v>45454</c:v>
                </c:pt>
                <c:pt idx="109">
                  <c:v>45455</c:v>
                </c:pt>
                <c:pt idx="110">
                  <c:v>45456</c:v>
                </c:pt>
                <c:pt idx="111">
                  <c:v>45457</c:v>
                </c:pt>
                <c:pt idx="112">
                  <c:v>45460</c:v>
                </c:pt>
                <c:pt idx="113">
                  <c:v>45461</c:v>
                </c:pt>
                <c:pt idx="114">
                  <c:v>45463</c:v>
                </c:pt>
                <c:pt idx="115">
                  <c:v>45464</c:v>
                </c:pt>
                <c:pt idx="116">
                  <c:v>45467</c:v>
                </c:pt>
                <c:pt idx="117">
                  <c:v>45468</c:v>
                </c:pt>
                <c:pt idx="118">
                  <c:v>45469</c:v>
                </c:pt>
                <c:pt idx="119">
                  <c:v>45470</c:v>
                </c:pt>
                <c:pt idx="120">
                  <c:v>45471</c:v>
                </c:pt>
                <c:pt idx="121">
                  <c:v>45474</c:v>
                </c:pt>
                <c:pt idx="122">
                  <c:v>45475</c:v>
                </c:pt>
                <c:pt idx="123">
                  <c:v>45476</c:v>
                </c:pt>
                <c:pt idx="124">
                  <c:v>45478</c:v>
                </c:pt>
                <c:pt idx="125">
                  <c:v>45481</c:v>
                </c:pt>
                <c:pt idx="126">
                  <c:v>45482</c:v>
                </c:pt>
                <c:pt idx="127">
                  <c:v>45483</c:v>
                </c:pt>
                <c:pt idx="128">
                  <c:v>45484</c:v>
                </c:pt>
                <c:pt idx="129">
                  <c:v>45485</c:v>
                </c:pt>
                <c:pt idx="130">
                  <c:v>45488</c:v>
                </c:pt>
                <c:pt idx="131">
                  <c:v>45489</c:v>
                </c:pt>
                <c:pt idx="132">
                  <c:v>45490</c:v>
                </c:pt>
                <c:pt idx="133">
                  <c:v>45491</c:v>
                </c:pt>
                <c:pt idx="134">
                  <c:v>45492</c:v>
                </c:pt>
                <c:pt idx="135">
                  <c:v>45495</c:v>
                </c:pt>
                <c:pt idx="136">
                  <c:v>45496</c:v>
                </c:pt>
                <c:pt idx="137">
                  <c:v>45497</c:v>
                </c:pt>
                <c:pt idx="138">
                  <c:v>45498</c:v>
                </c:pt>
                <c:pt idx="139">
                  <c:v>45499</c:v>
                </c:pt>
                <c:pt idx="140">
                  <c:v>45502</c:v>
                </c:pt>
                <c:pt idx="141">
                  <c:v>45503</c:v>
                </c:pt>
                <c:pt idx="142">
                  <c:v>45504</c:v>
                </c:pt>
                <c:pt idx="143">
                  <c:v>45505</c:v>
                </c:pt>
                <c:pt idx="144">
                  <c:v>45506</c:v>
                </c:pt>
                <c:pt idx="145">
                  <c:v>45509</c:v>
                </c:pt>
                <c:pt idx="146">
                  <c:v>45510</c:v>
                </c:pt>
                <c:pt idx="147">
                  <c:v>45511</c:v>
                </c:pt>
                <c:pt idx="148">
                  <c:v>45512</c:v>
                </c:pt>
                <c:pt idx="149">
                  <c:v>45513</c:v>
                </c:pt>
                <c:pt idx="150">
                  <c:v>45516</c:v>
                </c:pt>
                <c:pt idx="151">
                  <c:v>45517</c:v>
                </c:pt>
                <c:pt idx="152">
                  <c:v>45518</c:v>
                </c:pt>
                <c:pt idx="153">
                  <c:v>45519</c:v>
                </c:pt>
                <c:pt idx="154">
                  <c:v>45520</c:v>
                </c:pt>
                <c:pt idx="155">
                  <c:v>45523</c:v>
                </c:pt>
                <c:pt idx="156">
                  <c:v>45524</c:v>
                </c:pt>
                <c:pt idx="157">
                  <c:v>45525</c:v>
                </c:pt>
                <c:pt idx="158">
                  <c:v>45526</c:v>
                </c:pt>
                <c:pt idx="159">
                  <c:v>45527</c:v>
                </c:pt>
                <c:pt idx="160">
                  <c:v>45530</c:v>
                </c:pt>
                <c:pt idx="161">
                  <c:v>45531</c:v>
                </c:pt>
                <c:pt idx="162">
                  <c:v>45532</c:v>
                </c:pt>
                <c:pt idx="163">
                  <c:v>45533</c:v>
                </c:pt>
                <c:pt idx="164">
                  <c:v>45534</c:v>
                </c:pt>
                <c:pt idx="165">
                  <c:v>45538</c:v>
                </c:pt>
                <c:pt idx="166">
                  <c:v>45539</c:v>
                </c:pt>
                <c:pt idx="167">
                  <c:v>45540</c:v>
                </c:pt>
                <c:pt idx="168">
                  <c:v>45541</c:v>
                </c:pt>
                <c:pt idx="169">
                  <c:v>45544</c:v>
                </c:pt>
                <c:pt idx="170">
                  <c:v>45545</c:v>
                </c:pt>
                <c:pt idx="171">
                  <c:v>45546</c:v>
                </c:pt>
                <c:pt idx="172">
                  <c:v>45547</c:v>
                </c:pt>
                <c:pt idx="173">
                  <c:v>45548</c:v>
                </c:pt>
                <c:pt idx="174">
                  <c:v>45551</c:v>
                </c:pt>
                <c:pt idx="175">
                  <c:v>45552</c:v>
                </c:pt>
                <c:pt idx="176">
                  <c:v>45553</c:v>
                </c:pt>
              </c:numCache>
            </c:numRef>
          </c:cat>
          <c:val>
            <c:numRef>
              <c:f>'1.2C'!$T$4:$T$180</c:f>
              <c:numCache>
                <c:formatCode>General</c:formatCode>
                <c:ptCount val="177"/>
                <c:pt idx="0">
                  <c:v>96.2</c:v>
                </c:pt>
                <c:pt idx="1">
                  <c:v>97.02</c:v>
                </c:pt>
                <c:pt idx="2">
                  <c:v>96.31</c:v>
                </c:pt>
                <c:pt idx="3">
                  <c:v>97.27</c:v>
                </c:pt>
                <c:pt idx="4">
                  <c:v>99.67</c:v>
                </c:pt>
                <c:pt idx="5">
                  <c:v>99.98</c:v>
                </c:pt>
                <c:pt idx="6">
                  <c:v>99.92</c:v>
                </c:pt>
                <c:pt idx="7">
                  <c:v>97.36</c:v>
                </c:pt>
                <c:pt idx="8">
                  <c:v>97.72</c:v>
                </c:pt>
                <c:pt idx="9">
                  <c:v>94.65</c:v>
                </c:pt>
                <c:pt idx="10">
                  <c:v>96.47</c:v>
                </c:pt>
                <c:pt idx="11">
                  <c:v>96.04</c:v>
                </c:pt>
                <c:pt idx="12">
                  <c:v>96</c:v>
                </c:pt>
                <c:pt idx="13">
                  <c:v>97.84</c:v>
                </c:pt>
                <c:pt idx="14">
                  <c:v>95.24</c:v>
                </c:pt>
                <c:pt idx="15">
                  <c:v>97.11</c:v>
                </c:pt>
                <c:pt idx="16">
                  <c:v>94.46</c:v>
                </c:pt>
                <c:pt idx="17">
                  <c:v>99.36</c:v>
                </c:pt>
                <c:pt idx="18">
                  <c:v>99.6</c:v>
                </c:pt>
                <c:pt idx="19">
                  <c:v>91.83</c:v>
                </c:pt>
                <c:pt idx="20">
                  <c:v>83.33</c:v>
                </c:pt>
                <c:pt idx="21">
                  <c:v>90.14</c:v>
                </c:pt>
                <c:pt idx="22">
                  <c:v>89.54</c:v>
                </c:pt>
                <c:pt idx="23">
                  <c:v>85.76</c:v>
                </c:pt>
                <c:pt idx="24">
                  <c:v>80.27</c:v>
                </c:pt>
                <c:pt idx="25">
                  <c:v>81.36</c:v>
                </c:pt>
                <c:pt idx="26">
                  <c:v>51.02</c:v>
                </c:pt>
                <c:pt idx="27">
                  <c:v>62.44</c:v>
                </c:pt>
                <c:pt idx="28">
                  <c:v>64.569999999999993</c:v>
                </c:pt>
                <c:pt idx="29">
                  <c:v>53.57</c:v>
                </c:pt>
                <c:pt idx="30">
                  <c:v>57.77</c:v>
                </c:pt>
                <c:pt idx="31">
                  <c:v>52.21</c:v>
                </c:pt>
                <c:pt idx="32">
                  <c:v>41.9</c:v>
                </c:pt>
                <c:pt idx="33">
                  <c:v>43.66</c:v>
                </c:pt>
                <c:pt idx="34">
                  <c:v>37.090000000000003</c:v>
                </c:pt>
                <c:pt idx="35">
                  <c:v>35.08</c:v>
                </c:pt>
                <c:pt idx="36">
                  <c:v>44.03</c:v>
                </c:pt>
                <c:pt idx="37">
                  <c:v>42.59</c:v>
                </c:pt>
                <c:pt idx="38">
                  <c:v>56.94</c:v>
                </c:pt>
                <c:pt idx="39">
                  <c:v>45.4</c:v>
                </c:pt>
                <c:pt idx="40">
                  <c:v>52.67</c:v>
                </c:pt>
                <c:pt idx="41">
                  <c:v>51.01</c:v>
                </c:pt>
                <c:pt idx="42">
                  <c:v>56.79</c:v>
                </c:pt>
                <c:pt idx="43">
                  <c:v>61.38</c:v>
                </c:pt>
                <c:pt idx="44">
                  <c:v>55.79</c:v>
                </c:pt>
                <c:pt idx="45">
                  <c:v>46.4</c:v>
                </c:pt>
                <c:pt idx="46">
                  <c:v>41.89</c:v>
                </c:pt>
                <c:pt idx="47">
                  <c:v>34.18</c:v>
                </c:pt>
                <c:pt idx="48">
                  <c:v>30.97</c:v>
                </c:pt>
                <c:pt idx="49">
                  <c:v>27.06</c:v>
                </c:pt>
                <c:pt idx="50">
                  <c:v>29.55</c:v>
                </c:pt>
                <c:pt idx="51">
                  <c:v>44.09</c:v>
                </c:pt>
                <c:pt idx="52">
                  <c:v>41.02</c:v>
                </c:pt>
                <c:pt idx="53">
                  <c:v>43.96</c:v>
                </c:pt>
                <c:pt idx="54">
                  <c:v>38.880000000000003</c:v>
                </c:pt>
                <c:pt idx="55">
                  <c:v>36.880000000000003</c:v>
                </c:pt>
                <c:pt idx="56">
                  <c:v>39.72</c:v>
                </c:pt>
                <c:pt idx="57">
                  <c:v>31.66</c:v>
                </c:pt>
                <c:pt idx="58">
                  <c:v>21.52</c:v>
                </c:pt>
                <c:pt idx="59">
                  <c:v>24.53</c:v>
                </c:pt>
                <c:pt idx="60">
                  <c:v>26.58</c:v>
                </c:pt>
                <c:pt idx="61">
                  <c:v>32.11</c:v>
                </c:pt>
                <c:pt idx="62">
                  <c:v>22.04</c:v>
                </c:pt>
                <c:pt idx="63">
                  <c:v>17.2</c:v>
                </c:pt>
                <c:pt idx="64">
                  <c:v>22.36</c:v>
                </c:pt>
                <c:pt idx="65">
                  <c:v>3.87</c:v>
                </c:pt>
                <c:pt idx="66">
                  <c:v>4.42</c:v>
                </c:pt>
                <c:pt idx="67">
                  <c:v>7.34</c:v>
                </c:pt>
                <c:pt idx="68">
                  <c:v>4.7</c:v>
                </c:pt>
                <c:pt idx="69">
                  <c:v>4.6100000000000003</c:v>
                </c:pt>
                <c:pt idx="70">
                  <c:v>4.87</c:v>
                </c:pt>
                <c:pt idx="71">
                  <c:v>3</c:v>
                </c:pt>
                <c:pt idx="72">
                  <c:v>3.69</c:v>
                </c:pt>
                <c:pt idx="73">
                  <c:v>3.64</c:v>
                </c:pt>
                <c:pt idx="74">
                  <c:v>5.23</c:v>
                </c:pt>
                <c:pt idx="75">
                  <c:v>4</c:v>
                </c:pt>
                <c:pt idx="76">
                  <c:v>1.78</c:v>
                </c:pt>
                <c:pt idx="77">
                  <c:v>1.72</c:v>
                </c:pt>
                <c:pt idx="78">
                  <c:v>2.02</c:v>
                </c:pt>
                <c:pt idx="79">
                  <c:v>0.81</c:v>
                </c:pt>
                <c:pt idx="80">
                  <c:v>1.83</c:v>
                </c:pt>
                <c:pt idx="81">
                  <c:v>3.13</c:v>
                </c:pt>
                <c:pt idx="82">
                  <c:v>5.07</c:v>
                </c:pt>
                <c:pt idx="83">
                  <c:v>4.0999999999999996</c:v>
                </c:pt>
                <c:pt idx="84">
                  <c:v>4.04</c:v>
                </c:pt>
                <c:pt idx="85">
                  <c:v>3.93</c:v>
                </c:pt>
                <c:pt idx="86">
                  <c:v>4.91</c:v>
                </c:pt>
                <c:pt idx="87">
                  <c:v>2.69</c:v>
                </c:pt>
                <c:pt idx="88">
                  <c:v>2.69</c:v>
                </c:pt>
                <c:pt idx="89">
                  <c:v>3.35</c:v>
                </c:pt>
                <c:pt idx="90">
                  <c:v>5.69</c:v>
                </c:pt>
                <c:pt idx="91">
                  <c:v>4.1500000000000004</c:v>
                </c:pt>
                <c:pt idx="92">
                  <c:v>3.8</c:v>
                </c:pt>
                <c:pt idx="93">
                  <c:v>2.5099999999999998</c:v>
                </c:pt>
                <c:pt idx="94">
                  <c:v>3.08</c:v>
                </c:pt>
                <c:pt idx="95">
                  <c:v>1.45</c:v>
                </c:pt>
                <c:pt idx="96">
                  <c:v>0.67</c:v>
                </c:pt>
                <c:pt idx="97">
                  <c:v>0.6</c:v>
                </c:pt>
                <c:pt idx="98">
                  <c:v>0.46</c:v>
                </c:pt>
                <c:pt idx="99">
                  <c:v>0.55000000000000004</c:v>
                </c:pt>
                <c:pt idx="100">
                  <c:v>0.83</c:v>
                </c:pt>
                <c:pt idx="101">
                  <c:v>1.31</c:v>
                </c:pt>
                <c:pt idx="102">
                  <c:v>1.79</c:v>
                </c:pt>
                <c:pt idx="103">
                  <c:v>2.75</c:v>
                </c:pt>
                <c:pt idx="104">
                  <c:v>3.68</c:v>
                </c:pt>
                <c:pt idx="105">
                  <c:v>4.3499999999999996</c:v>
                </c:pt>
                <c:pt idx="106">
                  <c:v>0.76</c:v>
                </c:pt>
                <c:pt idx="107">
                  <c:v>1.0900000000000001</c:v>
                </c:pt>
                <c:pt idx="108">
                  <c:v>1.45</c:v>
                </c:pt>
                <c:pt idx="109">
                  <c:v>1.34</c:v>
                </c:pt>
                <c:pt idx="110">
                  <c:v>2.17</c:v>
                </c:pt>
                <c:pt idx="111">
                  <c:v>2.81</c:v>
                </c:pt>
                <c:pt idx="112">
                  <c:v>1.33</c:v>
                </c:pt>
                <c:pt idx="113">
                  <c:v>1.65</c:v>
                </c:pt>
                <c:pt idx="114">
                  <c:v>2.0699999999999998</c:v>
                </c:pt>
                <c:pt idx="115">
                  <c:v>1.8</c:v>
                </c:pt>
                <c:pt idx="116">
                  <c:v>2.23</c:v>
                </c:pt>
                <c:pt idx="117">
                  <c:v>2.16</c:v>
                </c:pt>
                <c:pt idx="118">
                  <c:v>1.49</c:v>
                </c:pt>
                <c:pt idx="119">
                  <c:v>1.59</c:v>
                </c:pt>
                <c:pt idx="120">
                  <c:v>1.64</c:v>
                </c:pt>
                <c:pt idx="121">
                  <c:v>1.51</c:v>
                </c:pt>
                <c:pt idx="122">
                  <c:v>1.43</c:v>
                </c:pt>
                <c:pt idx="123">
                  <c:v>1.66</c:v>
                </c:pt>
                <c:pt idx="124">
                  <c:v>1.88</c:v>
                </c:pt>
                <c:pt idx="125">
                  <c:v>1.56</c:v>
                </c:pt>
                <c:pt idx="126">
                  <c:v>1.01</c:v>
                </c:pt>
                <c:pt idx="127">
                  <c:v>1.32</c:v>
                </c:pt>
                <c:pt idx="128">
                  <c:v>3.78</c:v>
                </c:pt>
                <c:pt idx="129">
                  <c:v>3.21</c:v>
                </c:pt>
                <c:pt idx="130">
                  <c:v>4.7</c:v>
                </c:pt>
                <c:pt idx="131">
                  <c:v>4.59</c:v>
                </c:pt>
                <c:pt idx="132">
                  <c:v>2.41</c:v>
                </c:pt>
                <c:pt idx="133">
                  <c:v>2.29</c:v>
                </c:pt>
                <c:pt idx="134">
                  <c:v>2.08</c:v>
                </c:pt>
                <c:pt idx="135">
                  <c:v>1.92</c:v>
                </c:pt>
                <c:pt idx="136">
                  <c:v>2.0699999999999998</c:v>
                </c:pt>
                <c:pt idx="137">
                  <c:v>5.61</c:v>
                </c:pt>
                <c:pt idx="138">
                  <c:v>6.85</c:v>
                </c:pt>
                <c:pt idx="139">
                  <c:v>7.36</c:v>
                </c:pt>
                <c:pt idx="140">
                  <c:v>6.93</c:v>
                </c:pt>
                <c:pt idx="141">
                  <c:v>8.44</c:v>
                </c:pt>
                <c:pt idx="142">
                  <c:v>8.32</c:v>
                </c:pt>
                <c:pt idx="143">
                  <c:v>30.62</c:v>
                </c:pt>
                <c:pt idx="144">
                  <c:v>94.47</c:v>
                </c:pt>
                <c:pt idx="145">
                  <c:v>95.67</c:v>
                </c:pt>
                <c:pt idx="146">
                  <c:v>84.18</c:v>
                </c:pt>
                <c:pt idx="147">
                  <c:v>86.24</c:v>
                </c:pt>
                <c:pt idx="148">
                  <c:v>77.52</c:v>
                </c:pt>
                <c:pt idx="149">
                  <c:v>75.430000000000007</c:v>
                </c:pt>
                <c:pt idx="150">
                  <c:v>74.010000000000005</c:v>
                </c:pt>
                <c:pt idx="151">
                  <c:v>82.98</c:v>
                </c:pt>
                <c:pt idx="152">
                  <c:v>77.39</c:v>
                </c:pt>
                <c:pt idx="153">
                  <c:v>55.5</c:v>
                </c:pt>
                <c:pt idx="154">
                  <c:v>58.89</c:v>
                </c:pt>
                <c:pt idx="155">
                  <c:v>57.28</c:v>
                </c:pt>
                <c:pt idx="156">
                  <c:v>65.87</c:v>
                </c:pt>
                <c:pt idx="157">
                  <c:v>78.75</c:v>
                </c:pt>
                <c:pt idx="158">
                  <c:v>64.33</c:v>
                </c:pt>
                <c:pt idx="159">
                  <c:v>76.45</c:v>
                </c:pt>
                <c:pt idx="160">
                  <c:v>71.84</c:v>
                </c:pt>
                <c:pt idx="161">
                  <c:v>77.290000000000006</c:v>
                </c:pt>
                <c:pt idx="162">
                  <c:v>75.69</c:v>
                </c:pt>
                <c:pt idx="163">
                  <c:v>73.5</c:v>
                </c:pt>
                <c:pt idx="164">
                  <c:v>70.05</c:v>
                </c:pt>
                <c:pt idx="165">
                  <c:v>72.650000000000006</c:v>
                </c:pt>
                <c:pt idx="166">
                  <c:v>86.14</c:v>
                </c:pt>
                <c:pt idx="167">
                  <c:v>83.75</c:v>
                </c:pt>
                <c:pt idx="168">
                  <c:v>91.3</c:v>
                </c:pt>
                <c:pt idx="169">
                  <c:v>87.89</c:v>
                </c:pt>
                <c:pt idx="170">
                  <c:v>90.65</c:v>
                </c:pt>
                <c:pt idx="171">
                  <c:v>81.37</c:v>
                </c:pt>
                <c:pt idx="172">
                  <c:v>84.99</c:v>
                </c:pt>
                <c:pt idx="173">
                  <c:v>91.31</c:v>
                </c:pt>
                <c:pt idx="174">
                  <c:v>93.72</c:v>
                </c:pt>
                <c:pt idx="175">
                  <c:v>91.93</c:v>
                </c:pt>
                <c:pt idx="176">
                  <c:v>100</c:v>
                </c:pt>
              </c:numCache>
            </c:numRef>
          </c:val>
          <c:smooth val="0"/>
          <c:extLst>
            <c:ext xmlns:c16="http://schemas.microsoft.com/office/drawing/2014/chart" uri="{C3380CC4-5D6E-409C-BE32-E72D297353CC}">
              <c16:uniqueId val="{00000001-91F4-4D5C-A3AA-94750915CDEA}"/>
            </c:ext>
          </c:extLst>
        </c:ser>
        <c:dLbls>
          <c:showLegendKey val="0"/>
          <c:showVal val="0"/>
          <c:showCatName val="0"/>
          <c:showSerName val="0"/>
          <c:showPercent val="0"/>
          <c:showBubbleSize val="0"/>
        </c:dLbls>
        <c:smooth val="0"/>
        <c:axId val="1663402880"/>
        <c:axId val="1663404320"/>
        <c:extLst/>
      </c:lineChart>
      <c:dateAx>
        <c:axId val="1663402880"/>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663404320"/>
        <c:crosses val="autoZero"/>
        <c:auto val="1"/>
        <c:lblOffset val="100"/>
        <c:baseTimeUnit val="days"/>
        <c:majorUnit val="30"/>
        <c:majorTimeUnit val="days"/>
      </c:dateAx>
      <c:valAx>
        <c:axId val="1663404320"/>
        <c:scaling>
          <c:orientation val="minMax"/>
          <c:max val="101"/>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63402880"/>
        <c:crosses val="autoZero"/>
        <c:crossBetween val="between"/>
        <c:majorUnit val="20"/>
      </c:valAx>
      <c:spPr>
        <a:noFill/>
        <a:ln>
          <a:noFill/>
        </a:ln>
        <a:effectLst/>
      </c:spPr>
    </c:plotArea>
    <c:legend>
      <c:legendPos val="t"/>
      <c:layout>
        <c:manualLayout>
          <c:xMode val="edge"/>
          <c:yMode val="edge"/>
          <c:x val="0.20349198916944414"/>
          <c:y val="7.5480343233199042E-3"/>
          <c:w val="0.62792873187546339"/>
          <c:h val="0.1597765056345792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82446250826088"/>
          <c:y val="0.11698710738080817"/>
          <c:w val="0.86100712368688503"/>
          <c:h val="0.6281363387268899"/>
        </c:manualLayout>
      </c:layout>
      <c:lineChart>
        <c:grouping val="standard"/>
        <c:varyColors val="0"/>
        <c:ser>
          <c:idx val="0"/>
          <c:order val="0"/>
          <c:tx>
            <c:strRef>
              <c:f>'1.2D'!$S$3</c:f>
              <c:strCache>
                <c:ptCount val="1"/>
                <c:pt idx="0">
                  <c:v>United States</c:v>
                </c:pt>
              </c:strCache>
            </c:strRef>
          </c:tx>
          <c:spPr>
            <a:ln w="76200" cap="rnd">
              <a:solidFill>
                <a:srgbClr val="002345"/>
              </a:solidFill>
              <a:round/>
            </a:ln>
            <a:effectLst/>
          </c:spPr>
          <c:marker>
            <c:symbol val="none"/>
          </c:marker>
          <c:cat>
            <c:numRef>
              <c:f>'1.2D'!$R$4:$R$194</c:f>
              <c:numCache>
                <c:formatCode>mmm\-yy</c:formatCode>
                <c:ptCount val="191"/>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numCache>
            </c:numRef>
          </c:cat>
          <c:val>
            <c:numRef>
              <c:f>'1.2D'!$S$4:$S$194</c:f>
              <c:numCache>
                <c:formatCode>General</c:formatCode>
                <c:ptCount val="191"/>
                <c:pt idx="0">
                  <c:v>8.1999999999999993</c:v>
                </c:pt>
                <c:pt idx="1">
                  <c:v>1.1000000000000001</c:v>
                </c:pt>
                <c:pt idx="2">
                  <c:v>0.4</c:v>
                </c:pt>
                <c:pt idx="3">
                  <c:v>6.4</c:v>
                </c:pt>
                <c:pt idx="4">
                  <c:v>6.1</c:v>
                </c:pt>
                <c:pt idx="5">
                  <c:v>5.9</c:v>
                </c:pt>
                <c:pt idx="6">
                  <c:v>6.5</c:v>
                </c:pt>
                <c:pt idx="7">
                  <c:v>6.8</c:v>
                </c:pt>
                <c:pt idx="8">
                  <c:v>8.1</c:v>
                </c:pt>
                <c:pt idx="9">
                  <c:v>7.5</c:v>
                </c:pt>
                <c:pt idx="10">
                  <c:v>5.4</c:v>
                </c:pt>
                <c:pt idx="11">
                  <c:v>-2.4</c:v>
                </c:pt>
                <c:pt idx="12">
                  <c:v>1.4</c:v>
                </c:pt>
                <c:pt idx="13">
                  <c:v>4.9000000000000004</c:v>
                </c:pt>
                <c:pt idx="14">
                  <c:v>13.5</c:v>
                </c:pt>
                <c:pt idx="15">
                  <c:v>11.1</c:v>
                </c:pt>
                <c:pt idx="16">
                  <c:v>8.3000000000000007</c:v>
                </c:pt>
                <c:pt idx="17">
                  <c:v>16.8</c:v>
                </c:pt>
                <c:pt idx="18">
                  <c:v>25.3</c:v>
                </c:pt>
                <c:pt idx="19">
                  <c:v>27.3</c:v>
                </c:pt>
                <c:pt idx="20">
                  <c:v>30</c:v>
                </c:pt>
                <c:pt idx="21">
                  <c:v>27.8</c:v>
                </c:pt>
                <c:pt idx="22">
                  <c:v>25.7</c:v>
                </c:pt>
                <c:pt idx="23">
                  <c:v>30.7</c:v>
                </c:pt>
                <c:pt idx="24">
                  <c:v>39.5</c:v>
                </c:pt>
                <c:pt idx="25">
                  <c:v>42.6</c:v>
                </c:pt>
                <c:pt idx="26">
                  <c:v>42.9</c:v>
                </c:pt>
                <c:pt idx="27">
                  <c:v>43.5</c:v>
                </c:pt>
                <c:pt idx="28">
                  <c:v>44</c:v>
                </c:pt>
                <c:pt idx="29">
                  <c:v>44.1</c:v>
                </c:pt>
                <c:pt idx="30">
                  <c:v>44.3</c:v>
                </c:pt>
                <c:pt idx="31">
                  <c:v>47.7</c:v>
                </c:pt>
                <c:pt idx="32">
                  <c:v>47.2</c:v>
                </c:pt>
                <c:pt idx="33">
                  <c:v>45.8</c:v>
                </c:pt>
                <c:pt idx="34">
                  <c:v>40.4</c:v>
                </c:pt>
                <c:pt idx="35">
                  <c:v>40.9</c:v>
                </c:pt>
                <c:pt idx="36">
                  <c:v>40.299999999999997</c:v>
                </c:pt>
                <c:pt idx="37">
                  <c:v>40.200000000000003</c:v>
                </c:pt>
                <c:pt idx="38">
                  <c:v>43.8</c:v>
                </c:pt>
                <c:pt idx="39">
                  <c:v>43.8</c:v>
                </c:pt>
                <c:pt idx="40">
                  <c:v>42.2</c:v>
                </c:pt>
                <c:pt idx="41">
                  <c:v>38.299999999999997</c:v>
                </c:pt>
                <c:pt idx="42">
                  <c:v>37.799999999999997</c:v>
                </c:pt>
                <c:pt idx="43">
                  <c:v>40.6</c:v>
                </c:pt>
                <c:pt idx="44">
                  <c:v>34.1</c:v>
                </c:pt>
                <c:pt idx="45">
                  <c:v>34.200000000000003</c:v>
                </c:pt>
                <c:pt idx="46">
                  <c:v>27.6</c:v>
                </c:pt>
                <c:pt idx="47">
                  <c:v>25.4</c:v>
                </c:pt>
                <c:pt idx="48">
                  <c:v>24.9</c:v>
                </c:pt>
                <c:pt idx="49">
                  <c:v>27.8</c:v>
                </c:pt>
                <c:pt idx="50">
                  <c:v>26.5</c:v>
                </c:pt>
                <c:pt idx="51">
                  <c:v>29</c:v>
                </c:pt>
                <c:pt idx="52">
                  <c:v>29.7</c:v>
                </c:pt>
                <c:pt idx="53">
                  <c:v>29.2</c:v>
                </c:pt>
                <c:pt idx="54">
                  <c:v>24.6</c:v>
                </c:pt>
                <c:pt idx="55">
                  <c:v>23</c:v>
                </c:pt>
                <c:pt idx="56">
                  <c:v>25</c:v>
                </c:pt>
                <c:pt idx="57">
                  <c:v>24.6</c:v>
                </c:pt>
                <c:pt idx="58">
                  <c:v>31.8</c:v>
                </c:pt>
                <c:pt idx="59">
                  <c:v>31.6</c:v>
                </c:pt>
                <c:pt idx="60">
                  <c:v>32.5</c:v>
                </c:pt>
                <c:pt idx="61">
                  <c:v>31</c:v>
                </c:pt>
                <c:pt idx="62">
                  <c:v>30.7</c:v>
                </c:pt>
                <c:pt idx="63">
                  <c:v>33.5</c:v>
                </c:pt>
                <c:pt idx="64">
                  <c:v>33.5</c:v>
                </c:pt>
                <c:pt idx="65">
                  <c:v>39</c:v>
                </c:pt>
                <c:pt idx="66">
                  <c:v>41</c:v>
                </c:pt>
                <c:pt idx="67">
                  <c:v>38.6</c:v>
                </c:pt>
                <c:pt idx="68">
                  <c:v>36.6</c:v>
                </c:pt>
                <c:pt idx="69">
                  <c:v>41.2</c:v>
                </c:pt>
                <c:pt idx="70">
                  <c:v>39.200000000000003</c:v>
                </c:pt>
                <c:pt idx="71">
                  <c:v>37.6</c:v>
                </c:pt>
                <c:pt idx="72">
                  <c:v>40.9</c:v>
                </c:pt>
                <c:pt idx="73">
                  <c:v>41.1</c:v>
                </c:pt>
                <c:pt idx="74">
                  <c:v>39.5</c:v>
                </c:pt>
                <c:pt idx="75">
                  <c:v>40</c:v>
                </c:pt>
                <c:pt idx="76">
                  <c:v>33.799999999999997</c:v>
                </c:pt>
                <c:pt idx="77">
                  <c:v>31.6</c:v>
                </c:pt>
                <c:pt idx="78">
                  <c:v>33.4</c:v>
                </c:pt>
                <c:pt idx="79">
                  <c:v>33.1</c:v>
                </c:pt>
                <c:pt idx="80">
                  <c:v>28.4</c:v>
                </c:pt>
                <c:pt idx="81">
                  <c:v>20.399999999999999</c:v>
                </c:pt>
                <c:pt idx="82">
                  <c:v>20.100000000000001</c:v>
                </c:pt>
                <c:pt idx="83">
                  <c:v>13.2</c:v>
                </c:pt>
                <c:pt idx="84">
                  <c:v>15.1</c:v>
                </c:pt>
                <c:pt idx="85">
                  <c:v>14</c:v>
                </c:pt>
                <c:pt idx="86">
                  <c:v>7.6</c:v>
                </c:pt>
                <c:pt idx="87">
                  <c:v>2</c:v>
                </c:pt>
                <c:pt idx="88">
                  <c:v>2.6</c:v>
                </c:pt>
                <c:pt idx="89">
                  <c:v>-7.3</c:v>
                </c:pt>
                <c:pt idx="90">
                  <c:v>-7.5</c:v>
                </c:pt>
                <c:pt idx="91">
                  <c:v>-7.5</c:v>
                </c:pt>
                <c:pt idx="92">
                  <c:v>-7.4</c:v>
                </c:pt>
                <c:pt idx="93">
                  <c:v>-11.5</c:v>
                </c:pt>
                <c:pt idx="94">
                  <c:v>-18.5</c:v>
                </c:pt>
                <c:pt idx="95">
                  <c:v>-17.899999999999999</c:v>
                </c:pt>
                <c:pt idx="96">
                  <c:v>-16.2</c:v>
                </c:pt>
                <c:pt idx="97">
                  <c:v>-18.2</c:v>
                </c:pt>
                <c:pt idx="98">
                  <c:v>-21.6</c:v>
                </c:pt>
                <c:pt idx="99">
                  <c:v>-23.2</c:v>
                </c:pt>
                <c:pt idx="100">
                  <c:v>-23.2</c:v>
                </c:pt>
                <c:pt idx="101">
                  <c:v>-23.5</c:v>
                </c:pt>
                <c:pt idx="102">
                  <c:v>-23.8</c:v>
                </c:pt>
                <c:pt idx="103">
                  <c:v>-16.7</c:v>
                </c:pt>
                <c:pt idx="104">
                  <c:v>-10.9</c:v>
                </c:pt>
                <c:pt idx="105">
                  <c:v>-10.9</c:v>
                </c:pt>
                <c:pt idx="106">
                  <c:v>-5.2</c:v>
                </c:pt>
                <c:pt idx="107">
                  <c:v>-3.7</c:v>
                </c:pt>
                <c:pt idx="108">
                  <c:v>-4.0999999999999996</c:v>
                </c:pt>
                <c:pt idx="109">
                  <c:v>-7.6</c:v>
                </c:pt>
                <c:pt idx="110">
                  <c:v>-8.9</c:v>
                </c:pt>
                <c:pt idx="111">
                  <c:v>-11.8</c:v>
                </c:pt>
                <c:pt idx="112">
                  <c:v>-7.6</c:v>
                </c:pt>
                <c:pt idx="113">
                  <c:v>-9.9</c:v>
                </c:pt>
                <c:pt idx="114">
                  <c:v>-5.5</c:v>
                </c:pt>
                <c:pt idx="115">
                  <c:v>-6.6</c:v>
                </c:pt>
                <c:pt idx="116">
                  <c:v>-6.1</c:v>
                </c:pt>
                <c:pt idx="117">
                  <c:v>-9.9</c:v>
                </c:pt>
                <c:pt idx="118">
                  <c:v>-14.2</c:v>
                </c:pt>
                <c:pt idx="119">
                  <c:v>-19.899999999999999</c:v>
                </c:pt>
                <c:pt idx="120">
                  <c:v>-21.5</c:v>
                </c:pt>
                <c:pt idx="121">
                  <c:v>-22.4</c:v>
                </c:pt>
                <c:pt idx="122">
                  <c:v>-23.6</c:v>
                </c:pt>
                <c:pt idx="123">
                  <c:v>-28.1</c:v>
                </c:pt>
                <c:pt idx="124">
                  <c:v>-25.6</c:v>
                </c:pt>
                <c:pt idx="125">
                  <c:v>-26.7</c:v>
                </c:pt>
                <c:pt idx="126">
                  <c:v>-26</c:v>
                </c:pt>
                <c:pt idx="127">
                  <c:v>-26.9</c:v>
                </c:pt>
                <c:pt idx="128">
                  <c:v>-29.2</c:v>
                </c:pt>
                <c:pt idx="129">
                  <c:v>-28.5</c:v>
                </c:pt>
                <c:pt idx="130">
                  <c:v>-32.4</c:v>
                </c:pt>
                <c:pt idx="131">
                  <c:v>-30.4</c:v>
                </c:pt>
                <c:pt idx="132">
                  <c:v>-47.5</c:v>
                </c:pt>
                <c:pt idx="133">
                  <c:v>-47.3</c:v>
                </c:pt>
                <c:pt idx="134">
                  <c:v>-46.8</c:v>
                </c:pt>
                <c:pt idx="135">
                  <c:v>-46.7</c:v>
                </c:pt>
                <c:pt idx="136">
                  <c:v>-45.7</c:v>
                </c:pt>
                <c:pt idx="137">
                  <c:v>-45.1</c:v>
                </c:pt>
                <c:pt idx="138">
                  <c:v>-45.8</c:v>
                </c:pt>
                <c:pt idx="139">
                  <c:v>-47.5</c:v>
                </c:pt>
                <c:pt idx="140">
                  <c:v>-45.5</c:v>
                </c:pt>
                <c:pt idx="141">
                  <c:v>-42.7</c:v>
                </c:pt>
                <c:pt idx="142">
                  <c:v>-36.9</c:v>
                </c:pt>
                <c:pt idx="143">
                  <c:v>-36.1</c:v>
                </c:pt>
                <c:pt idx="144">
                  <c:v>-35</c:v>
                </c:pt>
                <c:pt idx="145">
                  <c:v>-30.1</c:v>
                </c:pt>
                <c:pt idx="146">
                  <c:v>-31.1</c:v>
                </c:pt>
                <c:pt idx="147">
                  <c:v>-35.1</c:v>
                </c:pt>
                <c:pt idx="148">
                  <c:v>-33.4</c:v>
                </c:pt>
                <c:pt idx="149">
                  <c:v>-34</c:v>
                </c:pt>
                <c:pt idx="150">
                  <c:v>-29.3</c:v>
                </c:pt>
                <c:pt idx="151">
                  <c:v>-25.5</c:v>
                </c:pt>
                <c:pt idx="152">
                  <c:v>-25.2</c:v>
                </c:pt>
                <c:pt idx="153">
                  <c:v>-34.4</c:v>
                </c:pt>
                <c:pt idx="154">
                  <c:v>-40.6</c:v>
                </c:pt>
                <c:pt idx="155">
                  <c:v>-39.1</c:v>
                </c:pt>
                <c:pt idx="156">
                  <c:v>-37.6</c:v>
                </c:pt>
                <c:pt idx="157">
                  <c:v>-36.299999999999997</c:v>
                </c:pt>
                <c:pt idx="158">
                  <c:v>-34.6</c:v>
                </c:pt>
                <c:pt idx="159">
                  <c:v>-34.299999999999997</c:v>
                </c:pt>
                <c:pt idx="160">
                  <c:v>-32.9</c:v>
                </c:pt>
                <c:pt idx="161">
                  <c:v>-31.1</c:v>
                </c:pt>
                <c:pt idx="162">
                  <c:v>-31</c:v>
                </c:pt>
                <c:pt idx="163">
                  <c:v>-34.9</c:v>
                </c:pt>
                <c:pt idx="164">
                  <c:v>-36.6</c:v>
                </c:pt>
                <c:pt idx="165">
                  <c:v>-39.200000000000003</c:v>
                </c:pt>
                <c:pt idx="166">
                  <c:v>-40.5</c:v>
                </c:pt>
                <c:pt idx="167">
                  <c:v>-41.2</c:v>
                </c:pt>
                <c:pt idx="168">
                  <c:v>-44.5</c:v>
                </c:pt>
                <c:pt idx="169">
                  <c:v>-38.6</c:v>
                </c:pt>
                <c:pt idx="170">
                  <c:v>-31.1</c:v>
                </c:pt>
                <c:pt idx="171">
                  <c:v>-28.1</c:v>
                </c:pt>
                <c:pt idx="172">
                  <c:v>-27.2</c:v>
                </c:pt>
                <c:pt idx="173">
                  <c:v>-24.8</c:v>
                </c:pt>
                <c:pt idx="174">
                  <c:v>-24.2</c:v>
                </c:pt>
                <c:pt idx="175">
                  <c:v>-23.9</c:v>
                </c:pt>
                <c:pt idx="176">
                  <c:v>-25.1</c:v>
                </c:pt>
                <c:pt idx="177">
                  <c:v>-28.9</c:v>
                </c:pt>
                <c:pt idx="178">
                  <c:v>-29.5</c:v>
                </c:pt>
                <c:pt idx="179">
                  <c:v>-30.1</c:v>
                </c:pt>
                <c:pt idx="180">
                  <c:v>-26.8</c:v>
                </c:pt>
                <c:pt idx="181">
                  <c:v>-26.8</c:v>
                </c:pt>
                <c:pt idx="182">
                  <c:v>-21.8</c:v>
                </c:pt>
                <c:pt idx="183">
                  <c:v>-22.4</c:v>
                </c:pt>
                <c:pt idx="184">
                  <c:v>-21.8</c:v>
                </c:pt>
                <c:pt idx="185">
                  <c:v>-17.100000000000001</c:v>
                </c:pt>
                <c:pt idx="186">
                  <c:v>-14.1</c:v>
                </c:pt>
                <c:pt idx="187">
                  <c:v>-12.3</c:v>
                </c:pt>
                <c:pt idx="188">
                  <c:v>-8.8000000000000007</c:v>
                </c:pt>
                <c:pt idx="189">
                  <c:v>-8.5</c:v>
                </c:pt>
                <c:pt idx="190">
                  <c:v>-9.6</c:v>
                </c:pt>
              </c:numCache>
            </c:numRef>
          </c:val>
          <c:smooth val="0"/>
          <c:extLst>
            <c:ext xmlns:c16="http://schemas.microsoft.com/office/drawing/2014/chart" uri="{C3380CC4-5D6E-409C-BE32-E72D297353CC}">
              <c16:uniqueId val="{00000000-4DF8-40B1-942A-ED30C264129B}"/>
            </c:ext>
          </c:extLst>
        </c:ser>
        <c:ser>
          <c:idx val="1"/>
          <c:order val="1"/>
          <c:tx>
            <c:strRef>
              <c:f>'1.2D'!$T$3</c:f>
              <c:strCache>
                <c:ptCount val="1"/>
                <c:pt idx="0">
                  <c:v>Euro area</c:v>
                </c:pt>
              </c:strCache>
            </c:strRef>
          </c:tx>
          <c:spPr>
            <a:ln w="76200" cap="rnd">
              <a:solidFill>
                <a:srgbClr val="EB1C2D"/>
              </a:solidFill>
              <a:round/>
            </a:ln>
            <a:effectLst/>
          </c:spPr>
          <c:marker>
            <c:symbol val="none"/>
          </c:marker>
          <c:cat>
            <c:numRef>
              <c:f>'1.2D'!$R$4:$R$194</c:f>
              <c:numCache>
                <c:formatCode>mmm\-yy</c:formatCode>
                <c:ptCount val="191"/>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numCache>
            </c:numRef>
          </c:cat>
          <c:val>
            <c:numRef>
              <c:f>'1.2D'!$T$4:$T$194</c:f>
              <c:numCache>
                <c:formatCode>General</c:formatCode>
                <c:ptCount val="191"/>
                <c:pt idx="0">
                  <c:v>-41</c:v>
                </c:pt>
                <c:pt idx="1">
                  <c:v>-40.5</c:v>
                </c:pt>
                <c:pt idx="2">
                  <c:v>-40</c:v>
                </c:pt>
                <c:pt idx="3">
                  <c:v>-30.4</c:v>
                </c:pt>
                <c:pt idx="4">
                  <c:v>-31.3</c:v>
                </c:pt>
                <c:pt idx="5">
                  <c:v>-17.399999999999999</c:v>
                </c:pt>
                <c:pt idx="6">
                  <c:v>-17.5</c:v>
                </c:pt>
                <c:pt idx="7">
                  <c:v>-16</c:v>
                </c:pt>
                <c:pt idx="8">
                  <c:v>-15.9</c:v>
                </c:pt>
                <c:pt idx="9">
                  <c:v>-14.8</c:v>
                </c:pt>
                <c:pt idx="10">
                  <c:v>-16.5</c:v>
                </c:pt>
                <c:pt idx="11">
                  <c:v>-14.4</c:v>
                </c:pt>
                <c:pt idx="12">
                  <c:v>-13.9</c:v>
                </c:pt>
                <c:pt idx="13">
                  <c:v>-13.2</c:v>
                </c:pt>
                <c:pt idx="14">
                  <c:v>-12.4</c:v>
                </c:pt>
                <c:pt idx="15">
                  <c:v>-9.5</c:v>
                </c:pt>
                <c:pt idx="16">
                  <c:v>-11.4</c:v>
                </c:pt>
                <c:pt idx="17">
                  <c:v>-4.7</c:v>
                </c:pt>
                <c:pt idx="18">
                  <c:v>-10.5</c:v>
                </c:pt>
                <c:pt idx="19">
                  <c:v>-10.1</c:v>
                </c:pt>
                <c:pt idx="20">
                  <c:v>-9.1999999999999993</c:v>
                </c:pt>
                <c:pt idx="21">
                  <c:v>-1.3</c:v>
                </c:pt>
                <c:pt idx="22">
                  <c:v>-1.1000000000000001</c:v>
                </c:pt>
                <c:pt idx="23">
                  <c:v>4.4000000000000004</c:v>
                </c:pt>
                <c:pt idx="24">
                  <c:v>7</c:v>
                </c:pt>
                <c:pt idx="25">
                  <c:v>9</c:v>
                </c:pt>
                <c:pt idx="26">
                  <c:v>22.5</c:v>
                </c:pt>
                <c:pt idx="27">
                  <c:v>20.6</c:v>
                </c:pt>
                <c:pt idx="28">
                  <c:v>20.7</c:v>
                </c:pt>
                <c:pt idx="29">
                  <c:v>20.9</c:v>
                </c:pt>
                <c:pt idx="30">
                  <c:v>21.1</c:v>
                </c:pt>
                <c:pt idx="31">
                  <c:v>22.3</c:v>
                </c:pt>
                <c:pt idx="32">
                  <c:v>34.6</c:v>
                </c:pt>
                <c:pt idx="33">
                  <c:v>34.6</c:v>
                </c:pt>
                <c:pt idx="34">
                  <c:v>34.700000000000003</c:v>
                </c:pt>
                <c:pt idx="35">
                  <c:v>34.5</c:v>
                </c:pt>
                <c:pt idx="36">
                  <c:v>34.299999999999997</c:v>
                </c:pt>
                <c:pt idx="37">
                  <c:v>34.799999999999997</c:v>
                </c:pt>
                <c:pt idx="38">
                  <c:v>41.4</c:v>
                </c:pt>
                <c:pt idx="39">
                  <c:v>42</c:v>
                </c:pt>
                <c:pt idx="40">
                  <c:v>44.7</c:v>
                </c:pt>
                <c:pt idx="41">
                  <c:v>47.1</c:v>
                </c:pt>
                <c:pt idx="42">
                  <c:v>35.200000000000003</c:v>
                </c:pt>
                <c:pt idx="43">
                  <c:v>37.299999999999997</c:v>
                </c:pt>
                <c:pt idx="44">
                  <c:v>51.3</c:v>
                </c:pt>
                <c:pt idx="45">
                  <c:v>53.3</c:v>
                </c:pt>
                <c:pt idx="46">
                  <c:v>54.8</c:v>
                </c:pt>
                <c:pt idx="47">
                  <c:v>57.1</c:v>
                </c:pt>
                <c:pt idx="48">
                  <c:v>50.1</c:v>
                </c:pt>
                <c:pt idx="49">
                  <c:v>51.4</c:v>
                </c:pt>
                <c:pt idx="50">
                  <c:v>54.7</c:v>
                </c:pt>
                <c:pt idx="51">
                  <c:v>56.2</c:v>
                </c:pt>
                <c:pt idx="52">
                  <c:v>51.4</c:v>
                </c:pt>
                <c:pt idx="53">
                  <c:v>51.2</c:v>
                </c:pt>
                <c:pt idx="54">
                  <c:v>51.1</c:v>
                </c:pt>
                <c:pt idx="55">
                  <c:v>50</c:v>
                </c:pt>
                <c:pt idx="56">
                  <c:v>54.3</c:v>
                </c:pt>
                <c:pt idx="57">
                  <c:v>53.8</c:v>
                </c:pt>
                <c:pt idx="58">
                  <c:v>40.5</c:v>
                </c:pt>
                <c:pt idx="59">
                  <c:v>46.7</c:v>
                </c:pt>
                <c:pt idx="60">
                  <c:v>44.7</c:v>
                </c:pt>
                <c:pt idx="61">
                  <c:v>43.9</c:v>
                </c:pt>
                <c:pt idx="62">
                  <c:v>41.8</c:v>
                </c:pt>
                <c:pt idx="63">
                  <c:v>42.8</c:v>
                </c:pt>
                <c:pt idx="64">
                  <c:v>42.8</c:v>
                </c:pt>
                <c:pt idx="65">
                  <c:v>37</c:v>
                </c:pt>
                <c:pt idx="66">
                  <c:v>40.299999999999997</c:v>
                </c:pt>
                <c:pt idx="67">
                  <c:v>34.1</c:v>
                </c:pt>
                <c:pt idx="68">
                  <c:v>40.700000000000003</c:v>
                </c:pt>
                <c:pt idx="69">
                  <c:v>36.6</c:v>
                </c:pt>
                <c:pt idx="70">
                  <c:v>36.4</c:v>
                </c:pt>
                <c:pt idx="71">
                  <c:v>36</c:v>
                </c:pt>
                <c:pt idx="72">
                  <c:v>35.5</c:v>
                </c:pt>
                <c:pt idx="73">
                  <c:v>34.9</c:v>
                </c:pt>
                <c:pt idx="74">
                  <c:v>34.6</c:v>
                </c:pt>
                <c:pt idx="75">
                  <c:v>31.3</c:v>
                </c:pt>
                <c:pt idx="76">
                  <c:v>34.1</c:v>
                </c:pt>
                <c:pt idx="77">
                  <c:v>33.5</c:v>
                </c:pt>
                <c:pt idx="78">
                  <c:v>33</c:v>
                </c:pt>
                <c:pt idx="79">
                  <c:v>32.4</c:v>
                </c:pt>
                <c:pt idx="80">
                  <c:v>29.6</c:v>
                </c:pt>
                <c:pt idx="81">
                  <c:v>34</c:v>
                </c:pt>
                <c:pt idx="82">
                  <c:v>32.700000000000003</c:v>
                </c:pt>
                <c:pt idx="83">
                  <c:v>31.6</c:v>
                </c:pt>
                <c:pt idx="84">
                  <c:v>28.7</c:v>
                </c:pt>
                <c:pt idx="85">
                  <c:v>15.5</c:v>
                </c:pt>
                <c:pt idx="86">
                  <c:v>29.9</c:v>
                </c:pt>
                <c:pt idx="87">
                  <c:v>28.7</c:v>
                </c:pt>
                <c:pt idx="88">
                  <c:v>29.3</c:v>
                </c:pt>
                <c:pt idx="89">
                  <c:v>27.2</c:v>
                </c:pt>
                <c:pt idx="90">
                  <c:v>27</c:v>
                </c:pt>
                <c:pt idx="91">
                  <c:v>25.8</c:v>
                </c:pt>
                <c:pt idx="92">
                  <c:v>25.7</c:v>
                </c:pt>
                <c:pt idx="93">
                  <c:v>25</c:v>
                </c:pt>
                <c:pt idx="94">
                  <c:v>24.2</c:v>
                </c:pt>
                <c:pt idx="95">
                  <c:v>19.8</c:v>
                </c:pt>
                <c:pt idx="96">
                  <c:v>19.899999999999999</c:v>
                </c:pt>
                <c:pt idx="97">
                  <c:v>20.3</c:v>
                </c:pt>
                <c:pt idx="98">
                  <c:v>20.100000000000001</c:v>
                </c:pt>
                <c:pt idx="99">
                  <c:v>19.8</c:v>
                </c:pt>
                <c:pt idx="100">
                  <c:v>18.5</c:v>
                </c:pt>
                <c:pt idx="101">
                  <c:v>17.600000000000001</c:v>
                </c:pt>
                <c:pt idx="102">
                  <c:v>17.600000000000001</c:v>
                </c:pt>
                <c:pt idx="103">
                  <c:v>26</c:v>
                </c:pt>
                <c:pt idx="104">
                  <c:v>26</c:v>
                </c:pt>
                <c:pt idx="105">
                  <c:v>26</c:v>
                </c:pt>
                <c:pt idx="106">
                  <c:v>21.7</c:v>
                </c:pt>
                <c:pt idx="107">
                  <c:v>20.3</c:v>
                </c:pt>
                <c:pt idx="108">
                  <c:v>20.9</c:v>
                </c:pt>
                <c:pt idx="109">
                  <c:v>27.5</c:v>
                </c:pt>
                <c:pt idx="110">
                  <c:v>26.7</c:v>
                </c:pt>
                <c:pt idx="111">
                  <c:v>27.1</c:v>
                </c:pt>
                <c:pt idx="112">
                  <c:v>27.5</c:v>
                </c:pt>
                <c:pt idx="113">
                  <c:v>26.1</c:v>
                </c:pt>
                <c:pt idx="114">
                  <c:v>26.1</c:v>
                </c:pt>
                <c:pt idx="115">
                  <c:v>28.2</c:v>
                </c:pt>
                <c:pt idx="116">
                  <c:v>28.1</c:v>
                </c:pt>
                <c:pt idx="117">
                  <c:v>27.9</c:v>
                </c:pt>
                <c:pt idx="118">
                  <c:v>25.6</c:v>
                </c:pt>
                <c:pt idx="119">
                  <c:v>25.4</c:v>
                </c:pt>
                <c:pt idx="120">
                  <c:v>25.1</c:v>
                </c:pt>
                <c:pt idx="121">
                  <c:v>25.1</c:v>
                </c:pt>
                <c:pt idx="122">
                  <c:v>23.8</c:v>
                </c:pt>
                <c:pt idx="123">
                  <c:v>23.3</c:v>
                </c:pt>
                <c:pt idx="124">
                  <c:v>-9.8000000000000007</c:v>
                </c:pt>
                <c:pt idx="125">
                  <c:v>-14.2</c:v>
                </c:pt>
                <c:pt idx="126">
                  <c:v>-13.4</c:v>
                </c:pt>
                <c:pt idx="127">
                  <c:v>-13.7</c:v>
                </c:pt>
                <c:pt idx="128">
                  <c:v>-16.2</c:v>
                </c:pt>
                <c:pt idx="129">
                  <c:v>-14.2</c:v>
                </c:pt>
                <c:pt idx="130">
                  <c:v>-14</c:v>
                </c:pt>
                <c:pt idx="131">
                  <c:v>-10.4</c:v>
                </c:pt>
                <c:pt idx="132">
                  <c:v>-8.5</c:v>
                </c:pt>
                <c:pt idx="133">
                  <c:v>-11.7</c:v>
                </c:pt>
                <c:pt idx="134">
                  <c:v>-21.6</c:v>
                </c:pt>
                <c:pt idx="135">
                  <c:v>-25.4</c:v>
                </c:pt>
                <c:pt idx="136">
                  <c:v>-25.5</c:v>
                </c:pt>
                <c:pt idx="137">
                  <c:v>-25.6</c:v>
                </c:pt>
                <c:pt idx="138">
                  <c:v>-25.7</c:v>
                </c:pt>
                <c:pt idx="139">
                  <c:v>-25.9</c:v>
                </c:pt>
                <c:pt idx="140">
                  <c:v>-25.4</c:v>
                </c:pt>
                <c:pt idx="141">
                  <c:v>-25.2</c:v>
                </c:pt>
                <c:pt idx="142">
                  <c:v>-25.4</c:v>
                </c:pt>
                <c:pt idx="143">
                  <c:v>-25.7</c:v>
                </c:pt>
                <c:pt idx="144">
                  <c:v>-26</c:v>
                </c:pt>
                <c:pt idx="145">
                  <c:v>-27.3</c:v>
                </c:pt>
                <c:pt idx="146">
                  <c:v>-26.7</c:v>
                </c:pt>
                <c:pt idx="147">
                  <c:v>-45.7</c:v>
                </c:pt>
                <c:pt idx="148">
                  <c:v>-53.4</c:v>
                </c:pt>
                <c:pt idx="149">
                  <c:v>-52.9</c:v>
                </c:pt>
                <c:pt idx="150">
                  <c:v>-55.7</c:v>
                </c:pt>
                <c:pt idx="151">
                  <c:v>-53.4</c:v>
                </c:pt>
                <c:pt idx="152">
                  <c:v>-49</c:v>
                </c:pt>
                <c:pt idx="153">
                  <c:v>-48.3</c:v>
                </c:pt>
                <c:pt idx="154">
                  <c:v>-49.7</c:v>
                </c:pt>
                <c:pt idx="155">
                  <c:v>-55.9</c:v>
                </c:pt>
                <c:pt idx="156">
                  <c:v>-51.5</c:v>
                </c:pt>
                <c:pt idx="157">
                  <c:v>-51.6</c:v>
                </c:pt>
                <c:pt idx="158">
                  <c:v>-51.4</c:v>
                </c:pt>
                <c:pt idx="159">
                  <c:v>-50.9</c:v>
                </c:pt>
                <c:pt idx="160">
                  <c:v>-50.8</c:v>
                </c:pt>
                <c:pt idx="161">
                  <c:v>-57.1</c:v>
                </c:pt>
                <c:pt idx="162">
                  <c:v>-59</c:v>
                </c:pt>
                <c:pt idx="163">
                  <c:v>-59</c:v>
                </c:pt>
                <c:pt idx="164">
                  <c:v>-58.9</c:v>
                </c:pt>
                <c:pt idx="165">
                  <c:v>-59.5</c:v>
                </c:pt>
                <c:pt idx="166">
                  <c:v>-60.3</c:v>
                </c:pt>
                <c:pt idx="167">
                  <c:v>-59.9</c:v>
                </c:pt>
                <c:pt idx="168">
                  <c:v>-60.4</c:v>
                </c:pt>
                <c:pt idx="169">
                  <c:v>-59.9</c:v>
                </c:pt>
                <c:pt idx="170">
                  <c:v>-56.2</c:v>
                </c:pt>
                <c:pt idx="171">
                  <c:v>-56.3</c:v>
                </c:pt>
                <c:pt idx="172">
                  <c:v>-56.6</c:v>
                </c:pt>
                <c:pt idx="173">
                  <c:v>-50.2</c:v>
                </c:pt>
                <c:pt idx="174">
                  <c:v>-50.9</c:v>
                </c:pt>
                <c:pt idx="175">
                  <c:v>-40.4</c:v>
                </c:pt>
                <c:pt idx="176">
                  <c:v>-39.5</c:v>
                </c:pt>
                <c:pt idx="177">
                  <c:v>-43.3</c:v>
                </c:pt>
                <c:pt idx="178">
                  <c:v>-36.4</c:v>
                </c:pt>
                <c:pt idx="179">
                  <c:v>-43.6</c:v>
                </c:pt>
                <c:pt idx="180">
                  <c:v>-41.9</c:v>
                </c:pt>
                <c:pt idx="181">
                  <c:v>-41.4</c:v>
                </c:pt>
                <c:pt idx="182">
                  <c:v>-40.299999999999997</c:v>
                </c:pt>
                <c:pt idx="183">
                  <c:v>-39</c:v>
                </c:pt>
                <c:pt idx="184">
                  <c:v>-37.299999999999997</c:v>
                </c:pt>
                <c:pt idx="185">
                  <c:v>-31.1</c:v>
                </c:pt>
                <c:pt idx="186">
                  <c:v>-33.6</c:v>
                </c:pt>
                <c:pt idx="187">
                  <c:v>-28.2</c:v>
                </c:pt>
                <c:pt idx="188">
                  <c:v>-27.8</c:v>
                </c:pt>
                <c:pt idx="189">
                  <c:v>-26.8</c:v>
                </c:pt>
                <c:pt idx="190">
                  <c:v>-56.2</c:v>
                </c:pt>
              </c:numCache>
            </c:numRef>
          </c:val>
          <c:smooth val="0"/>
          <c:extLst>
            <c:ext xmlns:c16="http://schemas.microsoft.com/office/drawing/2014/chart" uri="{C3380CC4-5D6E-409C-BE32-E72D297353CC}">
              <c16:uniqueId val="{00000001-4DF8-40B1-942A-ED30C264129B}"/>
            </c:ext>
          </c:extLst>
        </c:ser>
        <c:ser>
          <c:idx val="2"/>
          <c:order val="2"/>
          <c:tx>
            <c:strRef>
              <c:f>'1.2D'!$U$3</c:f>
              <c:strCache>
                <c:ptCount val="1"/>
                <c:pt idx="0">
                  <c:v>China</c:v>
                </c:pt>
              </c:strCache>
            </c:strRef>
          </c:tx>
          <c:spPr>
            <a:ln w="76200" cap="rnd">
              <a:solidFill>
                <a:schemeClr val="accent2"/>
              </a:solidFill>
              <a:round/>
            </a:ln>
            <a:effectLst/>
          </c:spPr>
          <c:marker>
            <c:symbol val="none"/>
          </c:marker>
          <c:cat>
            <c:numRef>
              <c:f>'1.2D'!$R$4:$R$194</c:f>
              <c:numCache>
                <c:formatCode>mmm\-yy</c:formatCode>
                <c:ptCount val="191"/>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numCache>
            </c:numRef>
          </c:cat>
          <c:val>
            <c:numRef>
              <c:f>'1.2D'!$U$4:$U$194</c:f>
              <c:numCache>
                <c:formatCode>General</c:formatCode>
                <c:ptCount val="191"/>
                <c:pt idx="0">
                  <c:v>-8.5</c:v>
                </c:pt>
                <c:pt idx="1">
                  <c:v>-8.8000000000000007</c:v>
                </c:pt>
                <c:pt idx="2">
                  <c:v>-9</c:v>
                </c:pt>
                <c:pt idx="3">
                  <c:v>-6.3</c:v>
                </c:pt>
                <c:pt idx="4">
                  <c:v>-6.6</c:v>
                </c:pt>
                <c:pt idx="5">
                  <c:v>-0.5</c:v>
                </c:pt>
                <c:pt idx="6">
                  <c:v>-1.5</c:v>
                </c:pt>
                <c:pt idx="7">
                  <c:v>-3.1</c:v>
                </c:pt>
                <c:pt idx="8">
                  <c:v>-3.6</c:v>
                </c:pt>
                <c:pt idx="9">
                  <c:v>-8.6999999999999993</c:v>
                </c:pt>
                <c:pt idx="10">
                  <c:v>-13.8</c:v>
                </c:pt>
                <c:pt idx="11">
                  <c:v>-13.5</c:v>
                </c:pt>
                <c:pt idx="12">
                  <c:v>-19.399999999999999</c:v>
                </c:pt>
                <c:pt idx="13">
                  <c:v>-19</c:v>
                </c:pt>
                <c:pt idx="14">
                  <c:v>-18.600000000000001</c:v>
                </c:pt>
                <c:pt idx="15">
                  <c:v>-17.2</c:v>
                </c:pt>
                <c:pt idx="16">
                  <c:v>-16.600000000000001</c:v>
                </c:pt>
                <c:pt idx="17">
                  <c:v>-16</c:v>
                </c:pt>
                <c:pt idx="18">
                  <c:v>-15.2</c:v>
                </c:pt>
                <c:pt idx="19">
                  <c:v>-14.2</c:v>
                </c:pt>
                <c:pt idx="20">
                  <c:v>-9.6999999999999993</c:v>
                </c:pt>
                <c:pt idx="21">
                  <c:v>-9.4</c:v>
                </c:pt>
                <c:pt idx="22">
                  <c:v>-9</c:v>
                </c:pt>
                <c:pt idx="23">
                  <c:v>-8.8000000000000007</c:v>
                </c:pt>
                <c:pt idx="24">
                  <c:v>-8.4</c:v>
                </c:pt>
                <c:pt idx="25">
                  <c:v>-7.8</c:v>
                </c:pt>
                <c:pt idx="26">
                  <c:v>-7.9</c:v>
                </c:pt>
                <c:pt idx="27">
                  <c:v>-8</c:v>
                </c:pt>
                <c:pt idx="28">
                  <c:v>-8.1</c:v>
                </c:pt>
                <c:pt idx="29">
                  <c:v>11.3</c:v>
                </c:pt>
                <c:pt idx="30">
                  <c:v>10.3</c:v>
                </c:pt>
                <c:pt idx="31">
                  <c:v>10.3</c:v>
                </c:pt>
                <c:pt idx="32">
                  <c:v>10.3</c:v>
                </c:pt>
                <c:pt idx="33">
                  <c:v>10.3</c:v>
                </c:pt>
                <c:pt idx="34">
                  <c:v>10.3</c:v>
                </c:pt>
                <c:pt idx="35">
                  <c:v>10.199999999999999</c:v>
                </c:pt>
                <c:pt idx="36">
                  <c:v>10.199999999999999</c:v>
                </c:pt>
                <c:pt idx="37">
                  <c:v>10.199999999999999</c:v>
                </c:pt>
                <c:pt idx="38">
                  <c:v>10.1</c:v>
                </c:pt>
                <c:pt idx="39">
                  <c:v>10.1</c:v>
                </c:pt>
                <c:pt idx="40">
                  <c:v>10</c:v>
                </c:pt>
                <c:pt idx="41">
                  <c:v>10.1</c:v>
                </c:pt>
                <c:pt idx="42">
                  <c:v>9.1999999999999993</c:v>
                </c:pt>
                <c:pt idx="43">
                  <c:v>9.1</c:v>
                </c:pt>
                <c:pt idx="44">
                  <c:v>12.9</c:v>
                </c:pt>
                <c:pt idx="45">
                  <c:v>11.8</c:v>
                </c:pt>
                <c:pt idx="46">
                  <c:v>10.199999999999999</c:v>
                </c:pt>
                <c:pt idx="47">
                  <c:v>10.7</c:v>
                </c:pt>
                <c:pt idx="48">
                  <c:v>12.6</c:v>
                </c:pt>
                <c:pt idx="49">
                  <c:v>13.3</c:v>
                </c:pt>
                <c:pt idx="50">
                  <c:v>16.8</c:v>
                </c:pt>
                <c:pt idx="51">
                  <c:v>18</c:v>
                </c:pt>
                <c:pt idx="52">
                  <c:v>20.100000000000001</c:v>
                </c:pt>
                <c:pt idx="53">
                  <c:v>20</c:v>
                </c:pt>
                <c:pt idx="54">
                  <c:v>19.899999999999999</c:v>
                </c:pt>
                <c:pt idx="55">
                  <c:v>22.9</c:v>
                </c:pt>
                <c:pt idx="56">
                  <c:v>22.8</c:v>
                </c:pt>
                <c:pt idx="57">
                  <c:v>22.6</c:v>
                </c:pt>
                <c:pt idx="58">
                  <c:v>22.5</c:v>
                </c:pt>
                <c:pt idx="59">
                  <c:v>22.3</c:v>
                </c:pt>
                <c:pt idx="60">
                  <c:v>21.8</c:v>
                </c:pt>
                <c:pt idx="61">
                  <c:v>21.6</c:v>
                </c:pt>
                <c:pt idx="62">
                  <c:v>21.4</c:v>
                </c:pt>
                <c:pt idx="63">
                  <c:v>21.2</c:v>
                </c:pt>
                <c:pt idx="64">
                  <c:v>21.2</c:v>
                </c:pt>
                <c:pt idx="65">
                  <c:v>28.8</c:v>
                </c:pt>
                <c:pt idx="66">
                  <c:v>28.1</c:v>
                </c:pt>
                <c:pt idx="67">
                  <c:v>28.2</c:v>
                </c:pt>
                <c:pt idx="68">
                  <c:v>27.8</c:v>
                </c:pt>
                <c:pt idx="69">
                  <c:v>27.2</c:v>
                </c:pt>
                <c:pt idx="70">
                  <c:v>29.2</c:v>
                </c:pt>
                <c:pt idx="71">
                  <c:v>29.6</c:v>
                </c:pt>
                <c:pt idx="72">
                  <c:v>30.2</c:v>
                </c:pt>
                <c:pt idx="73">
                  <c:v>30.3</c:v>
                </c:pt>
                <c:pt idx="74">
                  <c:v>19.899999999999999</c:v>
                </c:pt>
                <c:pt idx="75">
                  <c:v>21.2</c:v>
                </c:pt>
                <c:pt idx="76">
                  <c:v>26</c:v>
                </c:pt>
                <c:pt idx="77">
                  <c:v>25.8</c:v>
                </c:pt>
                <c:pt idx="78">
                  <c:v>25.5</c:v>
                </c:pt>
                <c:pt idx="79">
                  <c:v>25.3</c:v>
                </c:pt>
                <c:pt idx="80">
                  <c:v>24.4</c:v>
                </c:pt>
                <c:pt idx="81">
                  <c:v>24.1</c:v>
                </c:pt>
                <c:pt idx="82">
                  <c:v>23.8</c:v>
                </c:pt>
                <c:pt idx="83">
                  <c:v>23.5</c:v>
                </c:pt>
                <c:pt idx="84">
                  <c:v>23.1</c:v>
                </c:pt>
                <c:pt idx="85">
                  <c:v>21.8</c:v>
                </c:pt>
                <c:pt idx="86">
                  <c:v>19.7</c:v>
                </c:pt>
                <c:pt idx="87">
                  <c:v>19.2</c:v>
                </c:pt>
                <c:pt idx="88">
                  <c:v>18.600000000000001</c:v>
                </c:pt>
                <c:pt idx="89">
                  <c:v>17.899999999999999</c:v>
                </c:pt>
                <c:pt idx="90">
                  <c:v>14.8</c:v>
                </c:pt>
                <c:pt idx="91">
                  <c:v>8.5</c:v>
                </c:pt>
                <c:pt idx="92">
                  <c:v>5.4</c:v>
                </c:pt>
                <c:pt idx="93">
                  <c:v>5.6</c:v>
                </c:pt>
                <c:pt idx="94">
                  <c:v>5.5</c:v>
                </c:pt>
                <c:pt idx="95">
                  <c:v>5.2</c:v>
                </c:pt>
                <c:pt idx="96">
                  <c:v>5.0999999999999996</c:v>
                </c:pt>
                <c:pt idx="97">
                  <c:v>5</c:v>
                </c:pt>
                <c:pt idx="98">
                  <c:v>4.9000000000000004</c:v>
                </c:pt>
                <c:pt idx="99">
                  <c:v>5.5</c:v>
                </c:pt>
                <c:pt idx="100">
                  <c:v>5.0999999999999996</c:v>
                </c:pt>
                <c:pt idx="101">
                  <c:v>4.9000000000000004</c:v>
                </c:pt>
                <c:pt idx="102">
                  <c:v>4.8</c:v>
                </c:pt>
                <c:pt idx="103">
                  <c:v>4.5999999999999996</c:v>
                </c:pt>
                <c:pt idx="104">
                  <c:v>4.4000000000000004</c:v>
                </c:pt>
                <c:pt idx="105">
                  <c:v>4.4000000000000004</c:v>
                </c:pt>
                <c:pt idx="106">
                  <c:v>3.1</c:v>
                </c:pt>
                <c:pt idx="107">
                  <c:v>2.5</c:v>
                </c:pt>
                <c:pt idx="108">
                  <c:v>2.4</c:v>
                </c:pt>
                <c:pt idx="109">
                  <c:v>-3.4</c:v>
                </c:pt>
                <c:pt idx="110">
                  <c:v>-3.2</c:v>
                </c:pt>
                <c:pt idx="111">
                  <c:v>-3.5</c:v>
                </c:pt>
                <c:pt idx="112">
                  <c:v>0</c:v>
                </c:pt>
                <c:pt idx="113">
                  <c:v>-0.1</c:v>
                </c:pt>
                <c:pt idx="114">
                  <c:v>3.6</c:v>
                </c:pt>
                <c:pt idx="115">
                  <c:v>3.1</c:v>
                </c:pt>
                <c:pt idx="116">
                  <c:v>2.9</c:v>
                </c:pt>
                <c:pt idx="117">
                  <c:v>2.7</c:v>
                </c:pt>
                <c:pt idx="118">
                  <c:v>2.4</c:v>
                </c:pt>
                <c:pt idx="119">
                  <c:v>2</c:v>
                </c:pt>
                <c:pt idx="120">
                  <c:v>-0.9</c:v>
                </c:pt>
                <c:pt idx="121">
                  <c:v>-1</c:v>
                </c:pt>
                <c:pt idx="122">
                  <c:v>-1.1000000000000001</c:v>
                </c:pt>
                <c:pt idx="123">
                  <c:v>-1.2</c:v>
                </c:pt>
                <c:pt idx="124">
                  <c:v>-1.4</c:v>
                </c:pt>
                <c:pt idx="125">
                  <c:v>-2</c:v>
                </c:pt>
                <c:pt idx="126">
                  <c:v>-2.2999999999999998</c:v>
                </c:pt>
                <c:pt idx="127">
                  <c:v>-2.7</c:v>
                </c:pt>
                <c:pt idx="128">
                  <c:v>-3.2</c:v>
                </c:pt>
                <c:pt idx="129">
                  <c:v>-4</c:v>
                </c:pt>
                <c:pt idx="130">
                  <c:v>-5.6</c:v>
                </c:pt>
                <c:pt idx="131">
                  <c:v>-5.5</c:v>
                </c:pt>
                <c:pt idx="132">
                  <c:v>-10.6</c:v>
                </c:pt>
                <c:pt idx="133">
                  <c:v>-10.5</c:v>
                </c:pt>
                <c:pt idx="134">
                  <c:v>-10.4</c:v>
                </c:pt>
                <c:pt idx="135">
                  <c:v>-9.8000000000000007</c:v>
                </c:pt>
                <c:pt idx="136">
                  <c:v>-9</c:v>
                </c:pt>
                <c:pt idx="137">
                  <c:v>-7.5</c:v>
                </c:pt>
                <c:pt idx="138">
                  <c:v>-7.7</c:v>
                </c:pt>
                <c:pt idx="139">
                  <c:v>-7.2</c:v>
                </c:pt>
                <c:pt idx="140">
                  <c:v>-27.9</c:v>
                </c:pt>
                <c:pt idx="141">
                  <c:v>-27.7</c:v>
                </c:pt>
                <c:pt idx="142">
                  <c:v>-27.6</c:v>
                </c:pt>
                <c:pt idx="143">
                  <c:v>-27.5</c:v>
                </c:pt>
                <c:pt idx="144">
                  <c:v>-27.3</c:v>
                </c:pt>
                <c:pt idx="145">
                  <c:v>-26.8</c:v>
                </c:pt>
                <c:pt idx="146">
                  <c:v>-26.6</c:v>
                </c:pt>
                <c:pt idx="147">
                  <c:v>-26.4</c:v>
                </c:pt>
                <c:pt idx="148">
                  <c:v>-26.2</c:v>
                </c:pt>
                <c:pt idx="149">
                  <c:v>-25.9</c:v>
                </c:pt>
                <c:pt idx="150">
                  <c:v>-25</c:v>
                </c:pt>
                <c:pt idx="151">
                  <c:v>-24.7</c:v>
                </c:pt>
                <c:pt idx="152">
                  <c:v>-24.9</c:v>
                </c:pt>
                <c:pt idx="153">
                  <c:v>-32.9</c:v>
                </c:pt>
                <c:pt idx="154">
                  <c:v>-32.5</c:v>
                </c:pt>
                <c:pt idx="155">
                  <c:v>-29.7</c:v>
                </c:pt>
                <c:pt idx="156">
                  <c:v>-29.7</c:v>
                </c:pt>
                <c:pt idx="157">
                  <c:v>-32.200000000000003</c:v>
                </c:pt>
                <c:pt idx="158">
                  <c:v>-32.1</c:v>
                </c:pt>
                <c:pt idx="159">
                  <c:v>-32</c:v>
                </c:pt>
                <c:pt idx="160">
                  <c:v>-31.7</c:v>
                </c:pt>
                <c:pt idx="161">
                  <c:v>-31.6</c:v>
                </c:pt>
                <c:pt idx="162">
                  <c:v>-31.6</c:v>
                </c:pt>
                <c:pt idx="163">
                  <c:v>-41.7</c:v>
                </c:pt>
                <c:pt idx="164">
                  <c:v>-41.5</c:v>
                </c:pt>
                <c:pt idx="165">
                  <c:v>-41</c:v>
                </c:pt>
                <c:pt idx="166">
                  <c:v>-40.799999999999997</c:v>
                </c:pt>
                <c:pt idx="167">
                  <c:v>-40.6</c:v>
                </c:pt>
                <c:pt idx="168">
                  <c:v>-40.4</c:v>
                </c:pt>
                <c:pt idx="169">
                  <c:v>-40.1</c:v>
                </c:pt>
                <c:pt idx="170">
                  <c:v>-39.1</c:v>
                </c:pt>
                <c:pt idx="171">
                  <c:v>-38.6</c:v>
                </c:pt>
                <c:pt idx="172">
                  <c:v>-37.799999999999997</c:v>
                </c:pt>
                <c:pt idx="173">
                  <c:v>-37.9</c:v>
                </c:pt>
                <c:pt idx="174">
                  <c:v>-38</c:v>
                </c:pt>
                <c:pt idx="175">
                  <c:v>-38</c:v>
                </c:pt>
                <c:pt idx="176">
                  <c:v>-38.1</c:v>
                </c:pt>
                <c:pt idx="177">
                  <c:v>-38.9</c:v>
                </c:pt>
                <c:pt idx="178">
                  <c:v>-38.6</c:v>
                </c:pt>
                <c:pt idx="179">
                  <c:v>-38.299999999999997</c:v>
                </c:pt>
                <c:pt idx="180">
                  <c:v>-38</c:v>
                </c:pt>
                <c:pt idx="181">
                  <c:v>-34.9</c:v>
                </c:pt>
                <c:pt idx="182">
                  <c:v>-34.6</c:v>
                </c:pt>
                <c:pt idx="183">
                  <c:v>-34.200000000000003</c:v>
                </c:pt>
                <c:pt idx="184">
                  <c:v>-33.700000000000003</c:v>
                </c:pt>
                <c:pt idx="185">
                  <c:v>-40.6</c:v>
                </c:pt>
                <c:pt idx="186">
                  <c:v>-40.200000000000003</c:v>
                </c:pt>
                <c:pt idx="187">
                  <c:v>-39.799999999999997</c:v>
                </c:pt>
                <c:pt idx="188">
                  <c:v>-39.5</c:v>
                </c:pt>
                <c:pt idx="189">
                  <c:v>-39.1</c:v>
                </c:pt>
                <c:pt idx="190">
                  <c:v>-37.700000000000003</c:v>
                </c:pt>
              </c:numCache>
            </c:numRef>
          </c:val>
          <c:smooth val="0"/>
          <c:extLst>
            <c:ext xmlns:c16="http://schemas.microsoft.com/office/drawing/2014/chart" uri="{C3380CC4-5D6E-409C-BE32-E72D297353CC}">
              <c16:uniqueId val="{00000002-4DF8-40B1-942A-ED30C264129B}"/>
            </c:ext>
          </c:extLst>
        </c:ser>
        <c:ser>
          <c:idx val="3"/>
          <c:order val="3"/>
          <c:tx>
            <c:strRef>
              <c:f>'1.2D'!$V$3</c:f>
              <c:strCache>
                <c:ptCount val="1"/>
                <c:pt idx="0">
                  <c:v>EMDEs</c:v>
                </c:pt>
              </c:strCache>
            </c:strRef>
          </c:tx>
          <c:spPr>
            <a:ln w="76200" cap="rnd">
              <a:solidFill>
                <a:srgbClr val="00B0F0"/>
              </a:solidFill>
              <a:round/>
            </a:ln>
            <a:effectLst/>
          </c:spPr>
          <c:marker>
            <c:symbol val="none"/>
          </c:marker>
          <c:cat>
            <c:numRef>
              <c:f>'1.2D'!$R$4:$R$194</c:f>
              <c:numCache>
                <c:formatCode>mmm\-yy</c:formatCode>
                <c:ptCount val="191"/>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numCache>
            </c:numRef>
          </c:cat>
          <c:val>
            <c:numRef>
              <c:f>'1.2D'!$V$4:$V$194</c:f>
              <c:numCache>
                <c:formatCode>General</c:formatCode>
                <c:ptCount val="191"/>
                <c:pt idx="0">
                  <c:v>14.9</c:v>
                </c:pt>
                <c:pt idx="1">
                  <c:v>13.8</c:v>
                </c:pt>
                <c:pt idx="2">
                  <c:v>14.4</c:v>
                </c:pt>
                <c:pt idx="3">
                  <c:v>15.5</c:v>
                </c:pt>
                <c:pt idx="4">
                  <c:v>15.5</c:v>
                </c:pt>
                <c:pt idx="5">
                  <c:v>17.5</c:v>
                </c:pt>
                <c:pt idx="6">
                  <c:v>16.899999999999999</c:v>
                </c:pt>
                <c:pt idx="7">
                  <c:v>16.399999999999999</c:v>
                </c:pt>
                <c:pt idx="8">
                  <c:v>13.6</c:v>
                </c:pt>
                <c:pt idx="9">
                  <c:v>9.9</c:v>
                </c:pt>
                <c:pt idx="10">
                  <c:v>8.6999999999999993</c:v>
                </c:pt>
                <c:pt idx="11">
                  <c:v>8.5</c:v>
                </c:pt>
                <c:pt idx="12">
                  <c:v>6.4</c:v>
                </c:pt>
                <c:pt idx="13">
                  <c:v>6.4</c:v>
                </c:pt>
                <c:pt idx="14">
                  <c:v>4.5</c:v>
                </c:pt>
                <c:pt idx="15">
                  <c:v>2.1</c:v>
                </c:pt>
                <c:pt idx="16">
                  <c:v>0.7</c:v>
                </c:pt>
                <c:pt idx="17">
                  <c:v>0.3</c:v>
                </c:pt>
                <c:pt idx="18">
                  <c:v>1.9</c:v>
                </c:pt>
                <c:pt idx="19">
                  <c:v>1</c:v>
                </c:pt>
                <c:pt idx="20">
                  <c:v>1.5</c:v>
                </c:pt>
                <c:pt idx="21">
                  <c:v>-2.6</c:v>
                </c:pt>
                <c:pt idx="22">
                  <c:v>-1.5</c:v>
                </c:pt>
                <c:pt idx="23">
                  <c:v>-4.9000000000000004</c:v>
                </c:pt>
                <c:pt idx="24">
                  <c:v>-2.4</c:v>
                </c:pt>
                <c:pt idx="25">
                  <c:v>-2.4</c:v>
                </c:pt>
                <c:pt idx="26">
                  <c:v>-1.7</c:v>
                </c:pt>
                <c:pt idx="27">
                  <c:v>-2.2000000000000002</c:v>
                </c:pt>
                <c:pt idx="28">
                  <c:v>-4.0999999999999996</c:v>
                </c:pt>
                <c:pt idx="29">
                  <c:v>-0.5</c:v>
                </c:pt>
                <c:pt idx="30">
                  <c:v>1</c:v>
                </c:pt>
                <c:pt idx="31">
                  <c:v>0.2</c:v>
                </c:pt>
                <c:pt idx="32">
                  <c:v>-0.3</c:v>
                </c:pt>
                <c:pt idx="33">
                  <c:v>-2.4</c:v>
                </c:pt>
                <c:pt idx="34">
                  <c:v>-2.1</c:v>
                </c:pt>
                <c:pt idx="35">
                  <c:v>-3.2</c:v>
                </c:pt>
                <c:pt idx="36">
                  <c:v>-2.5</c:v>
                </c:pt>
                <c:pt idx="37">
                  <c:v>-4.9000000000000004</c:v>
                </c:pt>
                <c:pt idx="38">
                  <c:v>-4.2</c:v>
                </c:pt>
                <c:pt idx="39">
                  <c:v>-4.3</c:v>
                </c:pt>
                <c:pt idx="40">
                  <c:v>-5.8</c:v>
                </c:pt>
                <c:pt idx="41">
                  <c:v>-3.3</c:v>
                </c:pt>
                <c:pt idx="42">
                  <c:v>-3.8</c:v>
                </c:pt>
                <c:pt idx="43">
                  <c:v>8.8000000000000007</c:v>
                </c:pt>
                <c:pt idx="44">
                  <c:v>13.7</c:v>
                </c:pt>
                <c:pt idx="45">
                  <c:v>14.2</c:v>
                </c:pt>
                <c:pt idx="46">
                  <c:v>12.9</c:v>
                </c:pt>
                <c:pt idx="47">
                  <c:v>14.2</c:v>
                </c:pt>
                <c:pt idx="48">
                  <c:v>14.4</c:v>
                </c:pt>
                <c:pt idx="49">
                  <c:v>14.3</c:v>
                </c:pt>
                <c:pt idx="50">
                  <c:v>14.8</c:v>
                </c:pt>
                <c:pt idx="51">
                  <c:v>16.3</c:v>
                </c:pt>
                <c:pt idx="52">
                  <c:v>17.3</c:v>
                </c:pt>
                <c:pt idx="53">
                  <c:v>19.399999999999999</c:v>
                </c:pt>
                <c:pt idx="54">
                  <c:v>20.6</c:v>
                </c:pt>
                <c:pt idx="55">
                  <c:v>20.100000000000001</c:v>
                </c:pt>
                <c:pt idx="56">
                  <c:v>20.5</c:v>
                </c:pt>
                <c:pt idx="57">
                  <c:v>19.3</c:v>
                </c:pt>
                <c:pt idx="58">
                  <c:v>18.5</c:v>
                </c:pt>
                <c:pt idx="59">
                  <c:v>18.2</c:v>
                </c:pt>
                <c:pt idx="60">
                  <c:v>17.7</c:v>
                </c:pt>
                <c:pt idx="61">
                  <c:v>17.3</c:v>
                </c:pt>
                <c:pt idx="62">
                  <c:v>17.7</c:v>
                </c:pt>
                <c:pt idx="63">
                  <c:v>21.1</c:v>
                </c:pt>
                <c:pt idx="64">
                  <c:v>21.1</c:v>
                </c:pt>
                <c:pt idx="65">
                  <c:v>22.8</c:v>
                </c:pt>
                <c:pt idx="66">
                  <c:v>22.8</c:v>
                </c:pt>
                <c:pt idx="67">
                  <c:v>21.3</c:v>
                </c:pt>
                <c:pt idx="68">
                  <c:v>26</c:v>
                </c:pt>
                <c:pt idx="69">
                  <c:v>26.8</c:v>
                </c:pt>
                <c:pt idx="70">
                  <c:v>27.8</c:v>
                </c:pt>
                <c:pt idx="71">
                  <c:v>28.5</c:v>
                </c:pt>
                <c:pt idx="72">
                  <c:v>30.5</c:v>
                </c:pt>
                <c:pt idx="73">
                  <c:v>33.799999999999997</c:v>
                </c:pt>
                <c:pt idx="74">
                  <c:v>29</c:v>
                </c:pt>
                <c:pt idx="75">
                  <c:v>29.6</c:v>
                </c:pt>
                <c:pt idx="76">
                  <c:v>31.4</c:v>
                </c:pt>
                <c:pt idx="77">
                  <c:v>29.6</c:v>
                </c:pt>
                <c:pt idx="78">
                  <c:v>28.9</c:v>
                </c:pt>
                <c:pt idx="79">
                  <c:v>29.2</c:v>
                </c:pt>
                <c:pt idx="80">
                  <c:v>30.6</c:v>
                </c:pt>
                <c:pt idx="81">
                  <c:v>29</c:v>
                </c:pt>
                <c:pt idx="82">
                  <c:v>29.1</c:v>
                </c:pt>
                <c:pt idx="83">
                  <c:v>39</c:v>
                </c:pt>
                <c:pt idx="84">
                  <c:v>38.299999999999997</c:v>
                </c:pt>
                <c:pt idx="85">
                  <c:v>41.6</c:v>
                </c:pt>
                <c:pt idx="86">
                  <c:v>34.1</c:v>
                </c:pt>
                <c:pt idx="87">
                  <c:v>32.700000000000003</c:v>
                </c:pt>
                <c:pt idx="88">
                  <c:v>34</c:v>
                </c:pt>
                <c:pt idx="89">
                  <c:v>32</c:v>
                </c:pt>
                <c:pt idx="90">
                  <c:v>31.3</c:v>
                </c:pt>
                <c:pt idx="91">
                  <c:v>29.7</c:v>
                </c:pt>
                <c:pt idx="92">
                  <c:v>27.8</c:v>
                </c:pt>
                <c:pt idx="93">
                  <c:v>27.4</c:v>
                </c:pt>
                <c:pt idx="94">
                  <c:v>26.5</c:v>
                </c:pt>
                <c:pt idx="95">
                  <c:v>25.7</c:v>
                </c:pt>
                <c:pt idx="96">
                  <c:v>25.1</c:v>
                </c:pt>
                <c:pt idx="97">
                  <c:v>24.3</c:v>
                </c:pt>
                <c:pt idx="98">
                  <c:v>23</c:v>
                </c:pt>
                <c:pt idx="99">
                  <c:v>23.1</c:v>
                </c:pt>
                <c:pt idx="100">
                  <c:v>21.4</c:v>
                </c:pt>
                <c:pt idx="101">
                  <c:v>20.6</c:v>
                </c:pt>
                <c:pt idx="102">
                  <c:v>20</c:v>
                </c:pt>
                <c:pt idx="103">
                  <c:v>21.2</c:v>
                </c:pt>
                <c:pt idx="104">
                  <c:v>19.8</c:v>
                </c:pt>
                <c:pt idx="105">
                  <c:v>19.8</c:v>
                </c:pt>
                <c:pt idx="106">
                  <c:v>13.8</c:v>
                </c:pt>
                <c:pt idx="107">
                  <c:v>13.3</c:v>
                </c:pt>
                <c:pt idx="108">
                  <c:v>14.6</c:v>
                </c:pt>
                <c:pt idx="109">
                  <c:v>15.3</c:v>
                </c:pt>
                <c:pt idx="110">
                  <c:v>11.5</c:v>
                </c:pt>
                <c:pt idx="111">
                  <c:v>12.9</c:v>
                </c:pt>
                <c:pt idx="112">
                  <c:v>11.8</c:v>
                </c:pt>
                <c:pt idx="113">
                  <c:v>9.4</c:v>
                </c:pt>
                <c:pt idx="114">
                  <c:v>8.3000000000000007</c:v>
                </c:pt>
                <c:pt idx="115">
                  <c:v>4.9000000000000004</c:v>
                </c:pt>
                <c:pt idx="116">
                  <c:v>6.2</c:v>
                </c:pt>
                <c:pt idx="117">
                  <c:v>7.3</c:v>
                </c:pt>
                <c:pt idx="118">
                  <c:v>6.2</c:v>
                </c:pt>
                <c:pt idx="119">
                  <c:v>6.2</c:v>
                </c:pt>
                <c:pt idx="120">
                  <c:v>6.9</c:v>
                </c:pt>
                <c:pt idx="121">
                  <c:v>7</c:v>
                </c:pt>
                <c:pt idx="122">
                  <c:v>7.9</c:v>
                </c:pt>
                <c:pt idx="123">
                  <c:v>8.5</c:v>
                </c:pt>
                <c:pt idx="124">
                  <c:v>9.9</c:v>
                </c:pt>
                <c:pt idx="125">
                  <c:v>10.3</c:v>
                </c:pt>
                <c:pt idx="126">
                  <c:v>10.8</c:v>
                </c:pt>
                <c:pt idx="127">
                  <c:v>10.7</c:v>
                </c:pt>
                <c:pt idx="128">
                  <c:v>12.9</c:v>
                </c:pt>
                <c:pt idx="129">
                  <c:v>11.1</c:v>
                </c:pt>
                <c:pt idx="130">
                  <c:v>9.1</c:v>
                </c:pt>
                <c:pt idx="131">
                  <c:v>7.7</c:v>
                </c:pt>
                <c:pt idx="132">
                  <c:v>6.8</c:v>
                </c:pt>
                <c:pt idx="133">
                  <c:v>7.1</c:v>
                </c:pt>
                <c:pt idx="134">
                  <c:v>8.1</c:v>
                </c:pt>
                <c:pt idx="135">
                  <c:v>7</c:v>
                </c:pt>
                <c:pt idx="136">
                  <c:v>8.1999999999999993</c:v>
                </c:pt>
                <c:pt idx="137">
                  <c:v>6.8</c:v>
                </c:pt>
                <c:pt idx="138">
                  <c:v>8.8000000000000007</c:v>
                </c:pt>
                <c:pt idx="139">
                  <c:v>10.8</c:v>
                </c:pt>
                <c:pt idx="140">
                  <c:v>4.8</c:v>
                </c:pt>
                <c:pt idx="141">
                  <c:v>5</c:v>
                </c:pt>
                <c:pt idx="142">
                  <c:v>3.5</c:v>
                </c:pt>
                <c:pt idx="143">
                  <c:v>3.3</c:v>
                </c:pt>
                <c:pt idx="144">
                  <c:v>4.7</c:v>
                </c:pt>
                <c:pt idx="145">
                  <c:v>1.7</c:v>
                </c:pt>
                <c:pt idx="146">
                  <c:v>-0.8</c:v>
                </c:pt>
                <c:pt idx="147">
                  <c:v>-0.5</c:v>
                </c:pt>
                <c:pt idx="148">
                  <c:v>-4.4000000000000004</c:v>
                </c:pt>
                <c:pt idx="149">
                  <c:v>-5.3</c:v>
                </c:pt>
                <c:pt idx="150">
                  <c:v>-3.5</c:v>
                </c:pt>
                <c:pt idx="151">
                  <c:v>-5.4</c:v>
                </c:pt>
                <c:pt idx="152">
                  <c:v>-2.6</c:v>
                </c:pt>
                <c:pt idx="153">
                  <c:v>-5.9</c:v>
                </c:pt>
                <c:pt idx="154">
                  <c:v>-5</c:v>
                </c:pt>
                <c:pt idx="155">
                  <c:v>-4</c:v>
                </c:pt>
                <c:pt idx="156">
                  <c:v>-5.5</c:v>
                </c:pt>
                <c:pt idx="157">
                  <c:v>-6.3</c:v>
                </c:pt>
                <c:pt idx="158">
                  <c:v>-6.9</c:v>
                </c:pt>
                <c:pt idx="159">
                  <c:v>-7.1</c:v>
                </c:pt>
                <c:pt idx="160">
                  <c:v>-11.1</c:v>
                </c:pt>
                <c:pt idx="161">
                  <c:v>-10.9</c:v>
                </c:pt>
                <c:pt idx="162">
                  <c:v>-9.9</c:v>
                </c:pt>
                <c:pt idx="163">
                  <c:v>-12.3</c:v>
                </c:pt>
                <c:pt idx="164">
                  <c:v>-11.2</c:v>
                </c:pt>
                <c:pt idx="165">
                  <c:v>-11.1</c:v>
                </c:pt>
                <c:pt idx="166">
                  <c:v>-11.8</c:v>
                </c:pt>
                <c:pt idx="167">
                  <c:v>-12.1</c:v>
                </c:pt>
                <c:pt idx="168">
                  <c:v>-13.6</c:v>
                </c:pt>
                <c:pt idx="169">
                  <c:v>-13.6</c:v>
                </c:pt>
                <c:pt idx="170">
                  <c:v>-14.2</c:v>
                </c:pt>
                <c:pt idx="171">
                  <c:v>-12.7</c:v>
                </c:pt>
                <c:pt idx="172">
                  <c:v>-12.7</c:v>
                </c:pt>
                <c:pt idx="173">
                  <c:v>-11</c:v>
                </c:pt>
                <c:pt idx="174">
                  <c:v>-11.4</c:v>
                </c:pt>
                <c:pt idx="175">
                  <c:v>-10.1</c:v>
                </c:pt>
                <c:pt idx="176">
                  <c:v>-7.7</c:v>
                </c:pt>
                <c:pt idx="177">
                  <c:v>-8</c:v>
                </c:pt>
                <c:pt idx="178">
                  <c:v>-8</c:v>
                </c:pt>
                <c:pt idx="179">
                  <c:v>-8.8000000000000007</c:v>
                </c:pt>
                <c:pt idx="180">
                  <c:v>-7.8</c:v>
                </c:pt>
                <c:pt idx="181">
                  <c:v>-6.8</c:v>
                </c:pt>
                <c:pt idx="182">
                  <c:v>-4.8</c:v>
                </c:pt>
                <c:pt idx="183">
                  <c:v>-4.8</c:v>
                </c:pt>
                <c:pt idx="184">
                  <c:v>-4.4000000000000004</c:v>
                </c:pt>
                <c:pt idx="185">
                  <c:v>-6.3</c:v>
                </c:pt>
                <c:pt idx="186">
                  <c:v>-6.6</c:v>
                </c:pt>
                <c:pt idx="187">
                  <c:v>-7</c:v>
                </c:pt>
                <c:pt idx="188">
                  <c:v>-7.3</c:v>
                </c:pt>
                <c:pt idx="189">
                  <c:v>-7.5</c:v>
                </c:pt>
                <c:pt idx="190">
                  <c:v>-7.7</c:v>
                </c:pt>
              </c:numCache>
            </c:numRef>
          </c:val>
          <c:smooth val="0"/>
          <c:extLst>
            <c:ext xmlns:c16="http://schemas.microsoft.com/office/drawing/2014/chart" uri="{C3380CC4-5D6E-409C-BE32-E72D297353CC}">
              <c16:uniqueId val="{00000003-4DF8-40B1-942A-ED30C264129B}"/>
            </c:ext>
          </c:extLst>
        </c:ser>
        <c:ser>
          <c:idx val="4"/>
          <c:order val="4"/>
          <c:tx>
            <c:strRef>
              <c:f>'1.2D'!$W$3</c:f>
              <c:strCache>
                <c:ptCount val="1"/>
                <c:pt idx="0">
                  <c:v>BRICs</c:v>
                </c:pt>
              </c:strCache>
            </c:strRef>
          </c:tx>
          <c:spPr>
            <a:ln w="76200" cap="rnd">
              <a:solidFill>
                <a:schemeClr val="accent3"/>
              </a:solidFill>
              <a:round/>
            </a:ln>
            <a:effectLst/>
          </c:spPr>
          <c:marker>
            <c:symbol val="none"/>
          </c:marker>
          <c:cat>
            <c:numRef>
              <c:f>'1.2D'!$R$4:$R$194</c:f>
              <c:numCache>
                <c:formatCode>mmm\-yy</c:formatCode>
                <c:ptCount val="191"/>
                <c:pt idx="0">
                  <c:v>45292</c:v>
                </c:pt>
                <c:pt idx="1">
                  <c:v>45293</c:v>
                </c:pt>
                <c:pt idx="2">
                  <c:v>45294</c:v>
                </c:pt>
                <c:pt idx="3">
                  <c:v>45295</c:v>
                </c:pt>
                <c:pt idx="4">
                  <c:v>45296</c:v>
                </c:pt>
                <c:pt idx="5">
                  <c:v>45299</c:v>
                </c:pt>
                <c:pt idx="6">
                  <c:v>45300</c:v>
                </c:pt>
                <c:pt idx="7">
                  <c:v>45301</c:v>
                </c:pt>
                <c:pt idx="8">
                  <c:v>45302</c:v>
                </c:pt>
                <c:pt idx="9">
                  <c:v>45303</c:v>
                </c:pt>
                <c:pt idx="10">
                  <c:v>45306</c:v>
                </c:pt>
                <c:pt idx="11">
                  <c:v>45307</c:v>
                </c:pt>
                <c:pt idx="12">
                  <c:v>45308</c:v>
                </c:pt>
                <c:pt idx="13">
                  <c:v>45309</c:v>
                </c:pt>
                <c:pt idx="14">
                  <c:v>45310</c:v>
                </c:pt>
                <c:pt idx="15">
                  <c:v>45313</c:v>
                </c:pt>
                <c:pt idx="16">
                  <c:v>45314</c:v>
                </c:pt>
                <c:pt idx="17">
                  <c:v>45315</c:v>
                </c:pt>
                <c:pt idx="18">
                  <c:v>45316</c:v>
                </c:pt>
                <c:pt idx="19">
                  <c:v>45317</c:v>
                </c:pt>
                <c:pt idx="20">
                  <c:v>45320</c:v>
                </c:pt>
                <c:pt idx="21">
                  <c:v>45321</c:v>
                </c:pt>
                <c:pt idx="22">
                  <c:v>45322</c:v>
                </c:pt>
                <c:pt idx="23">
                  <c:v>45323</c:v>
                </c:pt>
                <c:pt idx="24">
                  <c:v>45324</c:v>
                </c:pt>
                <c:pt idx="25">
                  <c:v>45327</c:v>
                </c:pt>
                <c:pt idx="26">
                  <c:v>45328</c:v>
                </c:pt>
                <c:pt idx="27">
                  <c:v>45329</c:v>
                </c:pt>
                <c:pt idx="28">
                  <c:v>45330</c:v>
                </c:pt>
                <c:pt idx="29">
                  <c:v>45331</c:v>
                </c:pt>
                <c:pt idx="30">
                  <c:v>45334</c:v>
                </c:pt>
                <c:pt idx="31">
                  <c:v>45335</c:v>
                </c:pt>
                <c:pt idx="32">
                  <c:v>45336</c:v>
                </c:pt>
                <c:pt idx="33">
                  <c:v>45337</c:v>
                </c:pt>
                <c:pt idx="34">
                  <c:v>45338</c:v>
                </c:pt>
                <c:pt idx="35">
                  <c:v>45341</c:v>
                </c:pt>
                <c:pt idx="36">
                  <c:v>45342</c:v>
                </c:pt>
                <c:pt idx="37">
                  <c:v>45343</c:v>
                </c:pt>
                <c:pt idx="38">
                  <c:v>45344</c:v>
                </c:pt>
                <c:pt idx="39">
                  <c:v>45345</c:v>
                </c:pt>
                <c:pt idx="40">
                  <c:v>45348</c:v>
                </c:pt>
                <c:pt idx="41">
                  <c:v>45349</c:v>
                </c:pt>
                <c:pt idx="42">
                  <c:v>45350</c:v>
                </c:pt>
                <c:pt idx="43">
                  <c:v>45351</c:v>
                </c:pt>
                <c:pt idx="44">
                  <c:v>45352</c:v>
                </c:pt>
                <c:pt idx="45">
                  <c:v>45355</c:v>
                </c:pt>
                <c:pt idx="46">
                  <c:v>45356</c:v>
                </c:pt>
                <c:pt idx="47">
                  <c:v>45357</c:v>
                </c:pt>
                <c:pt idx="48">
                  <c:v>45358</c:v>
                </c:pt>
                <c:pt idx="49">
                  <c:v>45359</c:v>
                </c:pt>
                <c:pt idx="50">
                  <c:v>45362</c:v>
                </c:pt>
                <c:pt idx="51">
                  <c:v>45363</c:v>
                </c:pt>
                <c:pt idx="52">
                  <c:v>45364</c:v>
                </c:pt>
                <c:pt idx="53">
                  <c:v>45365</c:v>
                </c:pt>
                <c:pt idx="54">
                  <c:v>45366</c:v>
                </c:pt>
                <c:pt idx="55">
                  <c:v>45369</c:v>
                </c:pt>
                <c:pt idx="56">
                  <c:v>45370</c:v>
                </c:pt>
                <c:pt idx="57">
                  <c:v>45371</c:v>
                </c:pt>
                <c:pt idx="58">
                  <c:v>45372</c:v>
                </c:pt>
                <c:pt idx="59">
                  <c:v>45373</c:v>
                </c:pt>
                <c:pt idx="60">
                  <c:v>45376</c:v>
                </c:pt>
                <c:pt idx="61">
                  <c:v>45377</c:v>
                </c:pt>
                <c:pt idx="62">
                  <c:v>45378</c:v>
                </c:pt>
                <c:pt idx="63">
                  <c:v>45379</c:v>
                </c:pt>
                <c:pt idx="64">
                  <c:v>45380</c:v>
                </c:pt>
                <c:pt idx="65">
                  <c:v>45383</c:v>
                </c:pt>
                <c:pt idx="66">
                  <c:v>45384</c:v>
                </c:pt>
                <c:pt idx="67">
                  <c:v>45385</c:v>
                </c:pt>
                <c:pt idx="68">
                  <c:v>45386</c:v>
                </c:pt>
                <c:pt idx="69">
                  <c:v>45387</c:v>
                </c:pt>
                <c:pt idx="70">
                  <c:v>45390</c:v>
                </c:pt>
                <c:pt idx="71">
                  <c:v>45391</c:v>
                </c:pt>
                <c:pt idx="72">
                  <c:v>45392</c:v>
                </c:pt>
                <c:pt idx="73">
                  <c:v>45393</c:v>
                </c:pt>
                <c:pt idx="74">
                  <c:v>45394</c:v>
                </c:pt>
                <c:pt idx="75">
                  <c:v>45397</c:v>
                </c:pt>
                <c:pt idx="76">
                  <c:v>45398</c:v>
                </c:pt>
                <c:pt idx="77">
                  <c:v>45399</c:v>
                </c:pt>
                <c:pt idx="78">
                  <c:v>45400</c:v>
                </c:pt>
                <c:pt idx="79">
                  <c:v>45401</c:v>
                </c:pt>
                <c:pt idx="80">
                  <c:v>45404</c:v>
                </c:pt>
                <c:pt idx="81">
                  <c:v>45405</c:v>
                </c:pt>
                <c:pt idx="82">
                  <c:v>45406</c:v>
                </c:pt>
                <c:pt idx="83">
                  <c:v>45407</c:v>
                </c:pt>
                <c:pt idx="84">
                  <c:v>45408</c:v>
                </c:pt>
                <c:pt idx="85">
                  <c:v>45411</c:v>
                </c:pt>
                <c:pt idx="86">
                  <c:v>45412</c:v>
                </c:pt>
                <c:pt idx="87">
                  <c:v>45413</c:v>
                </c:pt>
                <c:pt idx="88">
                  <c:v>45414</c:v>
                </c:pt>
                <c:pt idx="89">
                  <c:v>45415</c:v>
                </c:pt>
                <c:pt idx="90">
                  <c:v>45418</c:v>
                </c:pt>
                <c:pt idx="91">
                  <c:v>45419</c:v>
                </c:pt>
                <c:pt idx="92">
                  <c:v>45420</c:v>
                </c:pt>
                <c:pt idx="93">
                  <c:v>45421</c:v>
                </c:pt>
                <c:pt idx="94">
                  <c:v>45422</c:v>
                </c:pt>
                <c:pt idx="95">
                  <c:v>45425</c:v>
                </c:pt>
                <c:pt idx="96">
                  <c:v>45426</c:v>
                </c:pt>
                <c:pt idx="97">
                  <c:v>45427</c:v>
                </c:pt>
                <c:pt idx="98">
                  <c:v>45428</c:v>
                </c:pt>
                <c:pt idx="99">
                  <c:v>45429</c:v>
                </c:pt>
                <c:pt idx="100">
                  <c:v>45432</c:v>
                </c:pt>
                <c:pt idx="101">
                  <c:v>45433</c:v>
                </c:pt>
                <c:pt idx="102">
                  <c:v>45434</c:v>
                </c:pt>
                <c:pt idx="103">
                  <c:v>45435</c:v>
                </c:pt>
                <c:pt idx="104">
                  <c:v>45436</c:v>
                </c:pt>
                <c:pt idx="105">
                  <c:v>45439</c:v>
                </c:pt>
                <c:pt idx="106">
                  <c:v>45440</c:v>
                </c:pt>
                <c:pt idx="107">
                  <c:v>45441</c:v>
                </c:pt>
                <c:pt idx="108">
                  <c:v>45442</c:v>
                </c:pt>
                <c:pt idx="109">
                  <c:v>45443</c:v>
                </c:pt>
                <c:pt idx="110">
                  <c:v>45446</c:v>
                </c:pt>
                <c:pt idx="111">
                  <c:v>45447</c:v>
                </c:pt>
                <c:pt idx="112">
                  <c:v>45448</c:v>
                </c:pt>
                <c:pt idx="113">
                  <c:v>45449</c:v>
                </c:pt>
                <c:pt idx="114">
                  <c:v>45450</c:v>
                </c:pt>
                <c:pt idx="115">
                  <c:v>45453</c:v>
                </c:pt>
                <c:pt idx="116">
                  <c:v>45454</c:v>
                </c:pt>
                <c:pt idx="117">
                  <c:v>45455</c:v>
                </c:pt>
                <c:pt idx="118">
                  <c:v>45456</c:v>
                </c:pt>
                <c:pt idx="119">
                  <c:v>45457</c:v>
                </c:pt>
                <c:pt idx="120">
                  <c:v>45460</c:v>
                </c:pt>
                <c:pt idx="121">
                  <c:v>45461</c:v>
                </c:pt>
                <c:pt idx="122">
                  <c:v>45462</c:v>
                </c:pt>
                <c:pt idx="123">
                  <c:v>45463</c:v>
                </c:pt>
                <c:pt idx="124">
                  <c:v>45464</c:v>
                </c:pt>
                <c:pt idx="125">
                  <c:v>45467</c:v>
                </c:pt>
                <c:pt idx="126">
                  <c:v>45468</c:v>
                </c:pt>
                <c:pt idx="127">
                  <c:v>45469</c:v>
                </c:pt>
                <c:pt idx="128">
                  <c:v>45470</c:v>
                </c:pt>
                <c:pt idx="129">
                  <c:v>45471</c:v>
                </c:pt>
                <c:pt idx="130">
                  <c:v>45474</c:v>
                </c:pt>
                <c:pt idx="131">
                  <c:v>45475</c:v>
                </c:pt>
                <c:pt idx="132">
                  <c:v>45476</c:v>
                </c:pt>
                <c:pt idx="133">
                  <c:v>45477</c:v>
                </c:pt>
                <c:pt idx="134">
                  <c:v>45478</c:v>
                </c:pt>
                <c:pt idx="135">
                  <c:v>45481</c:v>
                </c:pt>
                <c:pt idx="136">
                  <c:v>45482</c:v>
                </c:pt>
                <c:pt idx="137">
                  <c:v>45483</c:v>
                </c:pt>
                <c:pt idx="138">
                  <c:v>45484</c:v>
                </c:pt>
                <c:pt idx="139">
                  <c:v>45485</c:v>
                </c:pt>
                <c:pt idx="140">
                  <c:v>45488</c:v>
                </c:pt>
                <c:pt idx="141">
                  <c:v>45489</c:v>
                </c:pt>
                <c:pt idx="142">
                  <c:v>45490</c:v>
                </c:pt>
                <c:pt idx="143">
                  <c:v>45491</c:v>
                </c:pt>
                <c:pt idx="144">
                  <c:v>45492</c:v>
                </c:pt>
                <c:pt idx="145">
                  <c:v>45495</c:v>
                </c:pt>
                <c:pt idx="146">
                  <c:v>45496</c:v>
                </c:pt>
                <c:pt idx="147">
                  <c:v>45497</c:v>
                </c:pt>
                <c:pt idx="148">
                  <c:v>45498</c:v>
                </c:pt>
                <c:pt idx="149">
                  <c:v>45499</c:v>
                </c:pt>
                <c:pt idx="150">
                  <c:v>45502</c:v>
                </c:pt>
                <c:pt idx="151">
                  <c:v>45503</c:v>
                </c:pt>
                <c:pt idx="152">
                  <c:v>45504</c:v>
                </c:pt>
                <c:pt idx="153">
                  <c:v>45505</c:v>
                </c:pt>
                <c:pt idx="154">
                  <c:v>45506</c:v>
                </c:pt>
                <c:pt idx="155">
                  <c:v>45509</c:v>
                </c:pt>
                <c:pt idx="156">
                  <c:v>45510</c:v>
                </c:pt>
                <c:pt idx="157">
                  <c:v>45511</c:v>
                </c:pt>
                <c:pt idx="158">
                  <c:v>45512</c:v>
                </c:pt>
                <c:pt idx="159">
                  <c:v>45513</c:v>
                </c:pt>
                <c:pt idx="160">
                  <c:v>45516</c:v>
                </c:pt>
                <c:pt idx="161">
                  <c:v>45517</c:v>
                </c:pt>
                <c:pt idx="162">
                  <c:v>45518</c:v>
                </c:pt>
                <c:pt idx="163">
                  <c:v>45519</c:v>
                </c:pt>
                <c:pt idx="164">
                  <c:v>45520</c:v>
                </c:pt>
                <c:pt idx="165">
                  <c:v>45523</c:v>
                </c:pt>
                <c:pt idx="166">
                  <c:v>45524</c:v>
                </c:pt>
                <c:pt idx="167">
                  <c:v>45525</c:v>
                </c:pt>
                <c:pt idx="168">
                  <c:v>45526</c:v>
                </c:pt>
                <c:pt idx="169">
                  <c:v>45527</c:v>
                </c:pt>
                <c:pt idx="170">
                  <c:v>45530</c:v>
                </c:pt>
                <c:pt idx="171">
                  <c:v>45531</c:v>
                </c:pt>
                <c:pt idx="172">
                  <c:v>45532</c:v>
                </c:pt>
                <c:pt idx="173">
                  <c:v>45533</c:v>
                </c:pt>
                <c:pt idx="174">
                  <c:v>45534</c:v>
                </c:pt>
                <c:pt idx="175">
                  <c:v>45537</c:v>
                </c:pt>
                <c:pt idx="176">
                  <c:v>45538</c:v>
                </c:pt>
                <c:pt idx="177">
                  <c:v>45539</c:v>
                </c:pt>
                <c:pt idx="178">
                  <c:v>45540</c:v>
                </c:pt>
                <c:pt idx="179">
                  <c:v>45541</c:v>
                </c:pt>
                <c:pt idx="180">
                  <c:v>45544</c:v>
                </c:pt>
                <c:pt idx="181">
                  <c:v>45545</c:v>
                </c:pt>
                <c:pt idx="182">
                  <c:v>45546</c:v>
                </c:pt>
                <c:pt idx="183">
                  <c:v>45547</c:v>
                </c:pt>
                <c:pt idx="184">
                  <c:v>45548</c:v>
                </c:pt>
                <c:pt idx="185">
                  <c:v>45551</c:v>
                </c:pt>
                <c:pt idx="186">
                  <c:v>45552</c:v>
                </c:pt>
                <c:pt idx="187">
                  <c:v>45553</c:v>
                </c:pt>
                <c:pt idx="188">
                  <c:v>45554</c:v>
                </c:pt>
                <c:pt idx="189">
                  <c:v>45555</c:v>
                </c:pt>
                <c:pt idx="190">
                  <c:v>45558</c:v>
                </c:pt>
              </c:numCache>
            </c:numRef>
          </c:cat>
          <c:val>
            <c:numRef>
              <c:f>'1.2D'!$W$4:$W$194</c:f>
              <c:numCache>
                <c:formatCode>General</c:formatCode>
                <c:ptCount val="191"/>
                <c:pt idx="0">
                  <c:v>3.6</c:v>
                </c:pt>
                <c:pt idx="1">
                  <c:v>2.9</c:v>
                </c:pt>
                <c:pt idx="2">
                  <c:v>4.0999999999999996</c:v>
                </c:pt>
                <c:pt idx="3">
                  <c:v>5.4</c:v>
                </c:pt>
                <c:pt idx="4">
                  <c:v>5.7</c:v>
                </c:pt>
                <c:pt idx="5">
                  <c:v>10.9</c:v>
                </c:pt>
                <c:pt idx="6">
                  <c:v>9.6</c:v>
                </c:pt>
                <c:pt idx="7">
                  <c:v>8.8000000000000007</c:v>
                </c:pt>
                <c:pt idx="8">
                  <c:v>7.4</c:v>
                </c:pt>
                <c:pt idx="9">
                  <c:v>0.5</c:v>
                </c:pt>
                <c:pt idx="10">
                  <c:v>-2.5</c:v>
                </c:pt>
                <c:pt idx="11">
                  <c:v>-2.2999999999999998</c:v>
                </c:pt>
                <c:pt idx="12">
                  <c:v>-5.3</c:v>
                </c:pt>
                <c:pt idx="13">
                  <c:v>-5.2</c:v>
                </c:pt>
                <c:pt idx="14">
                  <c:v>-4.8</c:v>
                </c:pt>
                <c:pt idx="15">
                  <c:v>-4.0999999999999996</c:v>
                </c:pt>
                <c:pt idx="16">
                  <c:v>-3.3</c:v>
                </c:pt>
                <c:pt idx="17">
                  <c:v>-3</c:v>
                </c:pt>
                <c:pt idx="18">
                  <c:v>-2.6</c:v>
                </c:pt>
                <c:pt idx="19">
                  <c:v>-2.1</c:v>
                </c:pt>
                <c:pt idx="20">
                  <c:v>0.3</c:v>
                </c:pt>
                <c:pt idx="21">
                  <c:v>0.3</c:v>
                </c:pt>
                <c:pt idx="22">
                  <c:v>1.2</c:v>
                </c:pt>
                <c:pt idx="23">
                  <c:v>-0.5</c:v>
                </c:pt>
                <c:pt idx="24">
                  <c:v>2.2000000000000002</c:v>
                </c:pt>
                <c:pt idx="25">
                  <c:v>1.4</c:v>
                </c:pt>
                <c:pt idx="26">
                  <c:v>1.7</c:v>
                </c:pt>
                <c:pt idx="27">
                  <c:v>1.7</c:v>
                </c:pt>
                <c:pt idx="28">
                  <c:v>-1.6</c:v>
                </c:pt>
                <c:pt idx="29">
                  <c:v>8.9</c:v>
                </c:pt>
                <c:pt idx="30">
                  <c:v>12.7</c:v>
                </c:pt>
                <c:pt idx="31">
                  <c:v>12.2</c:v>
                </c:pt>
                <c:pt idx="32">
                  <c:v>12.1</c:v>
                </c:pt>
                <c:pt idx="33">
                  <c:v>11.9</c:v>
                </c:pt>
                <c:pt idx="34">
                  <c:v>11.7</c:v>
                </c:pt>
                <c:pt idx="35">
                  <c:v>12.1</c:v>
                </c:pt>
                <c:pt idx="36">
                  <c:v>11.9</c:v>
                </c:pt>
                <c:pt idx="37">
                  <c:v>11.6</c:v>
                </c:pt>
                <c:pt idx="38">
                  <c:v>11.4</c:v>
                </c:pt>
                <c:pt idx="39">
                  <c:v>11</c:v>
                </c:pt>
                <c:pt idx="40">
                  <c:v>9</c:v>
                </c:pt>
                <c:pt idx="41">
                  <c:v>7.7</c:v>
                </c:pt>
                <c:pt idx="42">
                  <c:v>7.4</c:v>
                </c:pt>
                <c:pt idx="43">
                  <c:v>27.9</c:v>
                </c:pt>
                <c:pt idx="44">
                  <c:v>29.2</c:v>
                </c:pt>
                <c:pt idx="45">
                  <c:v>28.3</c:v>
                </c:pt>
                <c:pt idx="46">
                  <c:v>27.3</c:v>
                </c:pt>
                <c:pt idx="47">
                  <c:v>30.3</c:v>
                </c:pt>
                <c:pt idx="48">
                  <c:v>29.8</c:v>
                </c:pt>
                <c:pt idx="49">
                  <c:v>29.9</c:v>
                </c:pt>
                <c:pt idx="50">
                  <c:v>31.2</c:v>
                </c:pt>
                <c:pt idx="51">
                  <c:v>31</c:v>
                </c:pt>
                <c:pt idx="52">
                  <c:v>32.200000000000003</c:v>
                </c:pt>
                <c:pt idx="53">
                  <c:v>36</c:v>
                </c:pt>
                <c:pt idx="54">
                  <c:v>39.799999999999997</c:v>
                </c:pt>
                <c:pt idx="55">
                  <c:v>41.1</c:v>
                </c:pt>
                <c:pt idx="56">
                  <c:v>41</c:v>
                </c:pt>
                <c:pt idx="57">
                  <c:v>40.799999999999997</c:v>
                </c:pt>
                <c:pt idx="58">
                  <c:v>41</c:v>
                </c:pt>
                <c:pt idx="59">
                  <c:v>40.9</c:v>
                </c:pt>
                <c:pt idx="60">
                  <c:v>40.6</c:v>
                </c:pt>
                <c:pt idx="61">
                  <c:v>40.700000000000003</c:v>
                </c:pt>
                <c:pt idx="62">
                  <c:v>40.4</c:v>
                </c:pt>
                <c:pt idx="63">
                  <c:v>47.8</c:v>
                </c:pt>
                <c:pt idx="64">
                  <c:v>47.8</c:v>
                </c:pt>
                <c:pt idx="65">
                  <c:v>50.9</c:v>
                </c:pt>
                <c:pt idx="66">
                  <c:v>50.3</c:v>
                </c:pt>
                <c:pt idx="67">
                  <c:v>48.9</c:v>
                </c:pt>
                <c:pt idx="68">
                  <c:v>59.5</c:v>
                </c:pt>
                <c:pt idx="69">
                  <c:v>59.5</c:v>
                </c:pt>
                <c:pt idx="70">
                  <c:v>53.6</c:v>
                </c:pt>
                <c:pt idx="71">
                  <c:v>54.1</c:v>
                </c:pt>
                <c:pt idx="72">
                  <c:v>55</c:v>
                </c:pt>
                <c:pt idx="73">
                  <c:v>60</c:v>
                </c:pt>
                <c:pt idx="74">
                  <c:v>50.8</c:v>
                </c:pt>
                <c:pt idx="75">
                  <c:v>50.8</c:v>
                </c:pt>
                <c:pt idx="76">
                  <c:v>53.2</c:v>
                </c:pt>
                <c:pt idx="77">
                  <c:v>52.9</c:v>
                </c:pt>
                <c:pt idx="78">
                  <c:v>52.5</c:v>
                </c:pt>
                <c:pt idx="79">
                  <c:v>52.2</c:v>
                </c:pt>
                <c:pt idx="80">
                  <c:v>50.9</c:v>
                </c:pt>
                <c:pt idx="81">
                  <c:v>50.5</c:v>
                </c:pt>
                <c:pt idx="82">
                  <c:v>50</c:v>
                </c:pt>
                <c:pt idx="83">
                  <c:v>49.6</c:v>
                </c:pt>
                <c:pt idx="84">
                  <c:v>49.2</c:v>
                </c:pt>
                <c:pt idx="85">
                  <c:v>57</c:v>
                </c:pt>
                <c:pt idx="86">
                  <c:v>57.5</c:v>
                </c:pt>
                <c:pt idx="87">
                  <c:v>56.6</c:v>
                </c:pt>
                <c:pt idx="88">
                  <c:v>57.2</c:v>
                </c:pt>
                <c:pt idx="89">
                  <c:v>56</c:v>
                </c:pt>
                <c:pt idx="90">
                  <c:v>53.9</c:v>
                </c:pt>
                <c:pt idx="91">
                  <c:v>50.3</c:v>
                </c:pt>
                <c:pt idx="92">
                  <c:v>48.6</c:v>
                </c:pt>
                <c:pt idx="93">
                  <c:v>47.9</c:v>
                </c:pt>
                <c:pt idx="94">
                  <c:v>45.8</c:v>
                </c:pt>
                <c:pt idx="95">
                  <c:v>43.6</c:v>
                </c:pt>
                <c:pt idx="96">
                  <c:v>43.2</c:v>
                </c:pt>
                <c:pt idx="97">
                  <c:v>42.4</c:v>
                </c:pt>
                <c:pt idx="98">
                  <c:v>41.8</c:v>
                </c:pt>
                <c:pt idx="99">
                  <c:v>41.5</c:v>
                </c:pt>
                <c:pt idx="100">
                  <c:v>39.200000000000003</c:v>
                </c:pt>
                <c:pt idx="101">
                  <c:v>38.4</c:v>
                </c:pt>
                <c:pt idx="102">
                  <c:v>37.5</c:v>
                </c:pt>
                <c:pt idx="103">
                  <c:v>36.5</c:v>
                </c:pt>
                <c:pt idx="104">
                  <c:v>34.9</c:v>
                </c:pt>
                <c:pt idx="105">
                  <c:v>34.9</c:v>
                </c:pt>
                <c:pt idx="106">
                  <c:v>25.7</c:v>
                </c:pt>
                <c:pt idx="107">
                  <c:v>26.1</c:v>
                </c:pt>
                <c:pt idx="108">
                  <c:v>26</c:v>
                </c:pt>
                <c:pt idx="109">
                  <c:v>29.7</c:v>
                </c:pt>
                <c:pt idx="110">
                  <c:v>28.3</c:v>
                </c:pt>
                <c:pt idx="111">
                  <c:v>29.7</c:v>
                </c:pt>
                <c:pt idx="112">
                  <c:v>30.7</c:v>
                </c:pt>
                <c:pt idx="113">
                  <c:v>24.9</c:v>
                </c:pt>
                <c:pt idx="114">
                  <c:v>25.5</c:v>
                </c:pt>
                <c:pt idx="115">
                  <c:v>23.4</c:v>
                </c:pt>
                <c:pt idx="116">
                  <c:v>22.1</c:v>
                </c:pt>
                <c:pt idx="117">
                  <c:v>24.2</c:v>
                </c:pt>
                <c:pt idx="118">
                  <c:v>21.8</c:v>
                </c:pt>
                <c:pt idx="119">
                  <c:v>21.5</c:v>
                </c:pt>
                <c:pt idx="120">
                  <c:v>19</c:v>
                </c:pt>
                <c:pt idx="121">
                  <c:v>18.5</c:v>
                </c:pt>
                <c:pt idx="122">
                  <c:v>18</c:v>
                </c:pt>
                <c:pt idx="123">
                  <c:v>17.5</c:v>
                </c:pt>
                <c:pt idx="124">
                  <c:v>16.899999999999999</c:v>
                </c:pt>
                <c:pt idx="125">
                  <c:v>13.6</c:v>
                </c:pt>
                <c:pt idx="126">
                  <c:v>12</c:v>
                </c:pt>
                <c:pt idx="127">
                  <c:v>11.5</c:v>
                </c:pt>
                <c:pt idx="128">
                  <c:v>16.7</c:v>
                </c:pt>
                <c:pt idx="129">
                  <c:v>15.7</c:v>
                </c:pt>
                <c:pt idx="130">
                  <c:v>12.9</c:v>
                </c:pt>
                <c:pt idx="131">
                  <c:v>11.3</c:v>
                </c:pt>
                <c:pt idx="132">
                  <c:v>9.8000000000000007</c:v>
                </c:pt>
                <c:pt idx="133">
                  <c:v>11.1</c:v>
                </c:pt>
                <c:pt idx="134">
                  <c:v>13.6</c:v>
                </c:pt>
                <c:pt idx="135">
                  <c:v>14</c:v>
                </c:pt>
                <c:pt idx="136">
                  <c:v>13.7</c:v>
                </c:pt>
                <c:pt idx="137">
                  <c:v>14.9</c:v>
                </c:pt>
                <c:pt idx="138">
                  <c:v>18.8</c:v>
                </c:pt>
                <c:pt idx="139">
                  <c:v>23.4</c:v>
                </c:pt>
                <c:pt idx="140">
                  <c:v>11.5</c:v>
                </c:pt>
                <c:pt idx="141">
                  <c:v>11.3</c:v>
                </c:pt>
                <c:pt idx="142">
                  <c:v>11.1</c:v>
                </c:pt>
                <c:pt idx="143">
                  <c:v>10.9</c:v>
                </c:pt>
                <c:pt idx="144">
                  <c:v>10.6</c:v>
                </c:pt>
                <c:pt idx="145">
                  <c:v>9.6999999999999993</c:v>
                </c:pt>
                <c:pt idx="146">
                  <c:v>9.3000000000000007</c:v>
                </c:pt>
                <c:pt idx="147">
                  <c:v>8.8000000000000007</c:v>
                </c:pt>
                <c:pt idx="148">
                  <c:v>4.3</c:v>
                </c:pt>
                <c:pt idx="149">
                  <c:v>3.1</c:v>
                </c:pt>
                <c:pt idx="150">
                  <c:v>1.4</c:v>
                </c:pt>
                <c:pt idx="151">
                  <c:v>1.4</c:v>
                </c:pt>
                <c:pt idx="152">
                  <c:v>1.9</c:v>
                </c:pt>
                <c:pt idx="153">
                  <c:v>0</c:v>
                </c:pt>
                <c:pt idx="154">
                  <c:v>2.8</c:v>
                </c:pt>
                <c:pt idx="155">
                  <c:v>4.0999999999999996</c:v>
                </c:pt>
                <c:pt idx="156">
                  <c:v>4.0999999999999996</c:v>
                </c:pt>
                <c:pt idx="157">
                  <c:v>2.2999999999999998</c:v>
                </c:pt>
                <c:pt idx="158">
                  <c:v>2.2000000000000002</c:v>
                </c:pt>
                <c:pt idx="159">
                  <c:v>2.2000000000000002</c:v>
                </c:pt>
                <c:pt idx="160">
                  <c:v>-6</c:v>
                </c:pt>
                <c:pt idx="161">
                  <c:v>-5.7</c:v>
                </c:pt>
                <c:pt idx="162">
                  <c:v>-7.7</c:v>
                </c:pt>
                <c:pt idx="163">
                  <c:v>-13.4</c:v>
                </c:pt>
                <c:pt idx="164">
                  <c:v>-12.6</c:v>
                </c:pt>
                <c:pt idx="165">
                  <c:v>-12.8</c:v>
                </c:pt>
                <c:pt idx="166">
                  <c:v>-12.8</c:v>
                </c:pt>
                <c:pt idx="167">
                  <c:v>-12.9</c:v>
                </c:pt>
                <c:pt idx="168">
                  <c:v>-13</c:v>
                </c:pt>
                <c:pt idx="169">
                  <c:v>-13.1</c:v>
                </c:pt>
                <c:pt idx="170">
                  <c:v>-13.9</c:v>
                </c:pt>
                <c:pt idx="171">
                  <c:v>-14.3</c:v>
                </c:pt>
                <c:pt idx="172">
                  <c:v>-14.9</c:v>
                </c:pt>
                <c:pt idx="173">
                  <c:v>-11.6</c:v>
                </c:pt>
                <c:pt idx="174">
                  <c:v>-12.5</c:v>
                </c:pt>
                <c:pt idx="175">
                  <c:v>-11.9</c:v>
                </c:pt>
                <c:pt idx="176">
                  <c:v>-6.3</c:v>
                </c:pt>
                <c:pt idx="177">
                  <c:v>-7.8</c:v>
                </c:pt>
                <c:pt idx="178">
                  <c:v>-7.8</c:v>
                </c:pt>
                <c:pt idx="179">
                  <c:v>-9.1999999999999993</c:v>
                </c:pt>
                <c:pt idx="180">
                  <c:v>-10</c:v>
                </c:pt>
                <c:pt idx="181">
                  <c:v>-8.1999999999999993</c:v>
                </c:pt>
                <c:pt idx="182">
                  <c:v>-6.6</c:v>
                </c:pt>
                <c:pt idx="183">
                  <c:v>-5.8</c:v>
                </c:pt>
                <c:pt idx="184">
                  <c:v>-5.2</c:v>
                </c:pt>
                <c:pt idx="185">
                  <c:v>-7.9</c:v>
                </c:pt>
                <c:pt idx="186">
                  <c:v>-8</c:v>
                </c:pt>
                <c:pt idx="187">
                  <c:v>-8.1</c:v>
                </c:pt>
                <c:pt idx="188">
                  <c:v>-8.4</c:v>
                </c:pt>
                <c:pt idx="189">
                  <c:v>-8.5</c:v>
                </c:pt>
                <c:pt idx="190">
                  <c:v>-9.4</c:v>
                </c:pt>
              </c:numCache>
            </c:numRef>
          </c:val>
          <c:smooth val="0"/>
          <c:extLst>
            <c:ext xmlns:c16="http://schemas.microsoft.com/office/drawing/2014/chart" uri="{C3380CC4-5D6E-409C-BE32-E72D297353CC}">
              <c16:uniqueId val="{00000004-4DF8-40B1-942A-ED30C264129B}"/>
            </c:ext>
          </c:extLst>
        </c:ser>
        <c:dLbls>
          <c:showLegendKey val="0"/>
          <c:showVal val="0"/>
          <c:showCatName val="0"/>
          <c:showSerName val="0"/>
          <c:showPercent val="0"/>
          <c:showBubbleSize val="0"/>
        </c:dLbls>
        <c:smooth val="0"/>
        <c:axId val="402256832"/>
        <c:axId val="402260192"/>
      </c:lineChart>
      <c:dateAx>
        <c:axId val="402256832"/>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02260192"/>
        <c:crosses val="autoZero"/>
        <c:auto val="1"/>
        <c:lblOffset val="100"/>
        <c:baseTimeUnit val="days"/>
        <c:majorUnit val="36"/>
        <c:majorTimeUnit val="days"/>
      </c:dateAx>
      <c:valAx>
        <c:axId val="40226019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2256832"/>
        <c:crosses val="autoZero"/>
        <c:crossBetween val="between"/>
      </c:valAx>
      <c:spPr>
        <a:noFill/>
        <a:ln>
          <a:noFill/>
        </a:ln>
        <a:effectLst/>
      </c:spPr>
    </c:plotArea>
    <c:legend>
      <c:legendPos val="r"/>
      <c:layout>
        <c:manualLayout>
          <c:xMode val="edge"/>
          <c:yMode val="edge"/>
          <c:x val="0.18736076253709946"/>
          <c:y val="1.0661979585254224E-2"/>
          <c:w val="0.718194772528434"/>
          <c:h val="0.19847652376786235"/>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'1.3A'!$S$3</c:f>
              <c:strCache>
                <c:ptCount val="1"/>
                <c:pt idx="0">
                  <c:v>IND</c:v>
                </c:pt>
              </c:strCache>
            </c:strRef>
          </c:tx>
          <c:spPr>
            <a:ln w="76200" cap="rnd">
              <a:solidFill>
                <a:schemeClr val="accent1"/>
              </a:solidFill>
              <a:round/>
            </a:ln>
            <a:effectLst/>
          </c:spPr>
          <c:marker>
            <c:symbol val="none"/>
          </c:marker>
          <c:cat>
            <c:strRef>
              <c:f>'1.3A'!$R$4:$R$34</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f>'1.3A'!$S$4:$S$34</c:f>
              <c:numCache>
                <c:formatCode>General</c:formatCode>
                <c:ptCount val="31"/>
                <c:pt idx="0">
                  <c:v>54.85</c:v>
                </c:pt>
                <c:pt idx="1">
                  <c:v>54.03</c:v>
                </c:pt>
                <c:pt idx="2">
                  <c:v>54.72</c:v>
                </c:pt>
                <c:pt idx="3">
                  <c:v>54.57</c:v>
                </c:pt>
                <c:pt idx="4">
                  <c:v>53.91</c:v>
                </c:pt>
                <c:pt idx="5">
                  <c:v>56.43</c:v>
                </c:pt>
                <c:pt idx="6">
                  <c:v>56.23</c:v>
                </c:pt>
                <c:pt idx="7">
                  <c:v>55.09</c:v>
                </c:pt>
                <c:pt idx="8">
                  <c:v>55.33</c:v>
                </c:pt>
                <c:pt idx="9">
                  <c:v>55.72</c:v>
                </c:pt>
                <c:pt idx="10">
                  <c:v>57.81</c:v>
                </c:pt>
                <c:pt idx="11">
                  <c:v>55.38</c:v>
                </c:pt>
                <c:pt idx="12">
                  <c:v>55.35</c:v>
                </c:pt>
                <c:pt idx="13">
                  <c:v>56.39</c:v>
                </c:pt>
                <c:pt idx="14">
                  <c:v>57.22</c:v>
                </c:pt>
                <c:pt idx="15">
                  <c:v>58.7</c:v>
                </c:pt>
                <c:pt idx="16">
                  <c:v>57.79</c:v>
                </c:pt>
                <c:pt idx="17">
                  <c:v>57.67</c:v>
                </c:pt>
                <c:pt idx="18">
                  <c:v>58.61</c:v>
                </c:pt>
                <c:pt idx="19">
                  <c:v>57.51</c:v>
                </c:pt>
                <c:pt idx="20">
                  <c:v>55.53</c:v>
                </c:pt>
                <c:pt idx="21">
                  <c:v>55.97</c:v>
                </c:pt>
                <c:pt idx="22">
                  <c:v>54.88</c:v>
                </c:pt>
                <c:pt idx="23">
                  <c:v>56.51</c:v>
                </c:pt>
                <c:pt idx="24">
                  <c:v>56.9</c:v>
                </c:pt>
                <c:pt idx="25">
                  <c:v>59.14</c:v>
                </c:pt>
                <c:pt idx="26">
                  <c:v>58.85</c:v>
                </c:pt>
                <c:pt idx="27">
                  <c:v>57.53</c:v>
                </c:pt>
                <c:pt idx="28">
                  <c:v>58.35</c:v>
                </c:pt>
                <c:pt idx="29">
                  <c:v>58.07</c:v>
                </c:pt>
                <c:pt idx="30">
                  <c:v>57.49</c:v>
                </c:pt>
              </c:numCache>
            </c:numRef>
          </c:val>
          <c:smooth val="0"/>
          <c:extLst>
            <c:ext xmlns:c16="http://schemas.microsoft.com/office/drawing/2014/chart" uri="{C3380CC4-5D6E-409C-BE32-E72D297353CC}">
              <c16:uniqueId val="{00000000-A758-4B33-BFB5-54BBEE2F8C04}"/>
            </c:ext>
          </c:extLst>
        </c:ser>
        <c:ser>
          <c:idx val="1"/>
          <c:order val="1"/>
          <c:tx>
            <c:strRef>
              <c:f>'1.3A'!$T$3</c:f>
              <c:strCache>
                <c:ptCount val="1"/>
                <c:pt idx="0">
                  <c:v>LKA</c:v>
                </c:pt>
              </c:strCache>
            </c:strRef>
          </c:tx>
          <c:spPr>
            <a:ln w="76200" cap="rnd">
              <a:solidFill>
                <a:schemeClr val="tx2"/>
              </a:solidFill>
              <a:round/>
            </a:ln>
            <a:effectLst/>
          </c:spPr>
          <c:marker>
            <c:symbol val="none"/>
          </c:marker>
          <c:cat>
            <c:strRef>
              <c:f>'1.3A'!$R$4:$R$34</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f>'1.3A'!$T$4:$T$34</c:f>
              <c:numCache>
                <c:formatCode>General</c:formatCode>
                <c:ptCount val="31"/>
                <c:pt idx="0">
                  <c:v>56.43</c:v>
                </c:pt>
                <c:pt idx="1">
                  <c:v>56.33</c:v>
                </c:pt>
                <c:pt idx="2">
                  <c:v>48.9</c:v>
                </c:pt>
                <c:pt idx="3">
                  <c:v>48.17</c:v>
                </c:pt>
                <c:pt idx="4">
                  <c:v>43.6</c:v>
                </c:pt>
                <c:pt idx="5">
                  <c:v>45.27</c:v>
                </c:pt>
                <c:pt idx="6">
                  <c:v>45.03</c:v>
                </c:pt>
                <c:pt idx="7">
                  <c:v>44.53</c:v>
                </c:pt>
                <c:pt idx="8">
                  <c:v>43.53</c:v>
                </c:pt>
                <c:pt idx="9">
                  <c:v>41.03</c:v>
                </c:pt>
                <c:pt idx="10">
                  <c:v>41.77</c:v>
                </c:pt>
                <c:pt idx="11">
                  <c:v>42.57</c:v>
                </c:pt>
                <c:pt idx="12">
                  <c:v>42.63</c:v>
                </c:pt>
                <c:pt idx="13">
                  <c:v>44.83</c:v>
                </c:pt>
                <c:pt idx="14">
                  <c:v>42.8</c:v>
                </c:pt>
                <c:pt idx="15">
                  <c:v>44.1</c:v>
                </c:pt>
                <c:pt idx="16">
                  <c:v>42.73</c:v>
                </c:pt>
                <c:pt idx="17">
                  <c:v>46.03</c:v>
                </c:pt>
                <c:pt idx="18">
                  <c:v>47.07</c:v>
                </c:pt>
                <c:pt idx="19">
                  <c:v>46.53</c:v>
                </c:pt>
                <c:pt idx="20">
                  <c:v>48.17</c:v>
                </c:pt>
                <c:pt idx="21">
                  <c:v>50.73</c:v>
                </c:pt>
                <c:pt idx="22">
                  <c:v>53.07</c:v>
                </c:pt>
                <c:pt idx="23">
                  <c:v>55.1</c:v>
                </c:pt>
                <c:pt idx="24">
                  <c:v>54.77</c:v>
                </c:pt>
                <c:pt idx="25">
                  <c:v>58.03</c:v>
                </c:pt>
                <c:pt idx="26">
                  <c:v>53.5</c:v>
                </c:pt>
                <c:pt idx="27">
                  <c:v>54.23</c:v>
                </c:pt>
                <c:pt idx="28">
                  <c:v>52.27</c:v>
                </c:pt>
                <c:pt idx="29">
                  <c:v>58.1</c:v>
                </c:pt>
                <c:pt idx="30">
                  <c:v>57.2</c:v>
                </c:pt>
              </c:numCache>
            </c:numRef>
          </c:val>
          <c:smooth val="0"/>
          <c:extLst>
            <c:ext xmlns:c16="http://schemas.microsoft.com/office/drawing/2014/chart" uri="{C3380CC4-5D6E-409C-BE32-E72D297353CC}">
              <c16:uniqueId val="{00000001-A758-4B33-BFB5-54BBEE2F8C04}"/>
            </c:ext>
          </c:extLst>
        </c:ser>
        <c:ser>
          <c:idx val="2"/>
          <c:order val="2"/>
          <c:tx>
            <c:strRef>
              <c:f>'1.3A'!$U$3</c:f>
              <c:strCache>
                <c:ptCount val="1"/>
                <c:pt idx="0">
                  <c:v>PAK</c:v>
                </c:pt>
              </c:strCache>
            </c:strRef>
          </c:tx>
          <c:spPr>
            <a:ln w="76200" cap="rnd">
              <a:solidFill>
                <a:schemeClr val="bg2"/>
              </a:solidFill>
              <a:round/>
            </a:ln>
            <a:effectLst/>
          </c:spPr>
          <c:marker>
            <c:symbol val="none"/>
          </c:marker>
          <c:cat>
            <c:strRef>
              <c:f>'1.3A'!$R$4:$R$34</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f>'1.3A'!$U$4:$U$34</c:f>
              <c:numCache>
                <c:formatCode>General</c:formatCode>
                <c:ptCount val="31"/>
                <c:pt idx="0">
                  <c:v>55</c:v>
                </c:pt>
                <c:pt idx="2">
                  <c:v>55</c:v>
                </c:pt>
                <c:pt idx="4">
                  <c:v>54.2</c:v>
                </c:pt>
                <c:pt idx="6">
                  <c:v>48.6</c:v>
                </c:pt>
                <c:pt idx="8">
                  <c:v>48.6</c:v>
                </c:pt>
                <c:pt idx="10">
                  <c:v>45.7</c:v>
                </c:pt>
                <c:pt idx="12">
                  <c:v>43.6</c:v>
                </c:pt>
                <c:pt idx="13">
                  <c:v>39.6</c:v>
                </c:pt>
                <c:pt idx="14">
                  <c:v>39.1</c:v>
                </c:pt>
                <c:pt idx="15">
                  <c:v>44.2</c:v>
                </c:pt>
                <c:pt idx="16">
                  <c:v>47.2</c:v>
                </c:pt>
                <c:pt idx="17">
                  <c:v>47.7</c:v>
                </c:pt>
                <c:pt idx="18">
                  <c:v>47.1</c:v>
                </c:pt>
                <c:pt idx="19">
                  <c:v>47.7</c:v>
                </c:pt>
                <c:pt idx="20">
                  <c:v>47.4</c:v>
                </c:pt>
                <c:pt idx="21">
                  <c:v>47.4</c:v>
                </c:pt>
                <c:pt idx="22">
                  <c:v>48.8</c:v>
                </c:pt>
                <c:pt idx="23">
                  <c:v>49.1</c:v>
                </c:pt>
                <c:pt idx="24">
                  <c:v>49.6</c:v>
                </c:pt>
                <c:pt idx="25">
                  <c:v>49.7</c:v>
                </c:pt>
                <c:pt idx="26">
                  <c:v>49.9</c:v>
                </c:pt>
                <c:pt idx="27">
                  <c:v>49.3</c:v>
                </c:pt>
                <c:pt idx="28">
                  <c:v>50.7</c:v>
                </c:pt>
                <c:pt idx="29">
                  <c:v>50.1</c:v>
                </c:pt>
                <c:pt idx="30">
                  <c:v>50.1</c:v>
                </c:pt>
              </c:numCache>
            </c:numRef>
          </c:val>
          <c:smooth val="0"/>
          <c:extLst>
            <c:ext xmlns:c16="http://schemas.microsoft.com/office/drawing/2014/chart" uri="{C3380CC4-5D6E-409C-BE32-E72D297353CC}">
              <c16:uniqueId val="{00000002-A758-4B33-BFB5-54BBEE2F8C04}"/>
            </c:ext>
          </c:extLst>
        </c:ser>
        <c:ser>
          <c:idx val="3"/>
          <c:order val="3"/>
          <c:tx>
            <c:strRef>
              <c:f>'1.3A'!$V$3</c:f>
              <c:strCache>
                <c:ptCount val="1"/>
                <c:pt idx="0">
                  <c:v>EMDEs</c:v>
                </c:pt>
              </c:strCache>
            </c:strRef>
          </c:tx>
          <c:spPr>
            <a:ln w="76200" cap="rnd">
              <a:solidFill>
                <a:schemeClr val="accent2"/>
              </a:solidFill>
              <a:round/>
            </a:ln>
            <a:effectLst/>
          </c:spPr>
          <c:marker>
            <c:symbol val="none"/>
          </c:marker>
          <c:cat>
            <c:strRef>
              <c:f>'1.3A'!$R$4:$R$34</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f>'1.3A'!$V$4:$V$34</c:f>
              <c:numCache>
                <c:formatCode>General</c:formatCode>
                <c:ptCount val="31"/>
                <c:pt idx="0">
                  <c:v>50.91</c:v>
                </c:pt>
                <c:pt idx="1">
                  <c:v>49.19</c:v>
                </c:pt>
                <c:pt idx="2">
                  <c:v>48.1</c:v>
                </c:pt>
                <c:pt idx="3">
                  <c:v>49.49</c:v>
                </c:pt>
                <c:pt idx="4">
                  <c:v>51.65</c:v>
                </c:pt>
                <c:pt idx="5">
                  <c:v>50.79</c:v>
                </c:pt>
                <c:pt idx="6">
                  <c:v>50.16</c:v>
                </c:pt>
                <c:pt idx="7">
                  <c:v>49.36</c:v>
                </c:pt>
                <c:pt idx="8">
                  <c:v>49.79</c:v>
                </c:pt>
                <c:pt idx="9">
                  <c:v>49.68</c:v>
                </c:pt>
                <c:pt idx="10">
                  <c:v>49.77</c:v>
                </c:pt>
                <c:pt idx="11">
                  <c:v>49.89</c:v>
                </c:pt>
                <c:pt idx="12">
                  <c:v>51.65</c:v>
                </c:pt>
                <c:pt idx="13">
                  <c:v>50.66</c:v>
                </c:pt>
                <c:pt idx="14">
                  <c:v>50.51</c:v>
                </c:pt>
                <c:pt idx="15">
                  <c:v>51.4</c:v>
                </c:pt>
                <c:pt idx="16">
                  <c:v>51.04</c:v>
                </c:pt>
                <c:pt idx="17">
                  <c:v>50.19</c:v>
                </c:pt>
                <c:pt idx="18">
                  <c:v>51.35</c:v>
                </c:pt>
                <c:pt idx="19">
                  <c:v>50.88</c:v>
                </c:pt>
                <c:pt idx="20">
                  <c:v>50.06</c:v>
                </c:pt>
                <c:pt idx="21">
                  <c:v>50.89</c:v>
                </c:pt>
                <c:pt idx="22">
                  <c:v>50.95</c:v>
                </c:pt>
                <c:pt idx="23">
                  <c:v>51.12</c:v>
                </c:pt>
                <c:pt idx="24">
                  <c:v>51.46</c:v>
                </c:pt>
                <c:pt idx="25">
                  <c:v>51.97</c:v>
                </c:pt>
                <c:pt idx="26">
                  <c:v>51.97</c:v>
                </c:pt>
                <c:pt idx="27">
                  <c:v>51.94</c:v>
                </c:pt>
                <c:pt idx="28">
                  <c:v>52.09</c:v>
                </c:pt>
                <c:pt idx="29">
                  <c:v>50.67</c:v>
                </c:pt>
                <c:pt idx="30">
                  <c:v>50.79</c:v>
                </c:pt>
              </c:numCache>
            </c:numRef>
          </c:val>
          <c:smooth val="0"/>
          <c:extLst>
            <c:ext xmlns:c16="http://schemas.microsoft.com/office/drawing/2014/chart" uri="{C3380CC4-5D6E-409C-BE32-E72D297353CC}">
              <c16:uniqueId val="{00000003-A758-4B33-BFB5-54BBEE2F8C04}"/>
            </c:ext>
          </c:extLst>
        </c:ser>
        <c:ser>
          <c:idx val="4"/>
          <c:order val="4"/>
          <c:tx>
            <c:strRef>
              <c:f>'1.3A'!$W$3</c:f>
              <c:strCache>
                <c:ptCount val="1"/>
              </c:strCache>
            </c:strRef>
          </c:tx>
          <c:spPr>
            <a:ln w="25400" cap="rnd">
              <a:solidFill>
                <a:schemeClr val="tx1"/>
              </a:solidFill>
              <a:round/>
            </a:ln>
            <a:effectLst/>
          </c:spPr>
          <c:marker>
            <c:symbol val="none"/>
          </c:marker>
          <c:cat>
            <c:strRef>
              <c:f>'1.3A'!$R$4:$R$34</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f>'1.3A'!$W$4:$W$34</c:f>
              <c:numCache>
                <c:formatCode>General</c:formatCode>
                <c:ptCount val="31"/>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numCache>
            </c:numRef>
          </c:val>
          <c:smooth val="0"/>
          <c:extLst>
            <c:ext xmlns:c16="http://schemas.microsoft.com/office/drawing/2014/chart" uri="{C3380CC4-5D6E-409C-BE32-E72D297353CC}">
              <c16:uniqueId val="{00000004-A758-4B33-BFB5-54BBEE2F8C04}"/>
            </c:ext>
          </c:extLst>
        </c:ser>
        <c:dLbls>
          <c:showLegendKey val="0"/>
          <c:showVal val="0"/>
          <c:showCatName val="0"/>
          <c:showSerName val="0"/>
          <c:showPercent val="0"/>
          <c:showBubbleSize val="0"/>
        </c:dLbls>
        <c:smooth val="0"/>
        <c:axId val="1718350800"/>
        <c:axId val="1718352240"/>
      </c:lineChart>
      <c:catAx>
        <c:axId val="1718350800"/>
        <c:scaling>
          <c:orientation val="minMax"/>
        </c:scaling>
        <c:delete val="0"/>
        <c:axPos val="b"/>
        <c:numFmt formatCode="General" sourceLinked="1"/>
        <c:majorTickMark val="none"/>
        <c:minorTickMark val="none"/>
        <c:tickLblPos val="nextTo"/>
        <c:spPr>
          <a:noFill/>
          <a:ln w="9525" cap="flat" cmpd="sng" algn="ctr">
            <a:solidFill>
              <a:schemeClr val="tx1">
                <a:alpha val="99000"/>
              </a:schemeClr>
            </a:solidFill>
            <a:round/>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8352240"/>
        <c:crosses val="autoZero"/>
        <c:auto val="1"/>
        <c:lblAlgn val="ctr"/>
        <c:lblOffset val="100"/>
        <c:tickLblSkip val="2"/>
        <c:tickMarkSkip val="3"/>
        <c:noMultiLvlLbl val="0"/>
      </c:catAx>
      <c:valAx>
        <c:axId val="1718352240"/>
        <c:scaling>
          <c:orientation val="minMax"/>
          <c:max val="65"/>
          <c:min val="35"/>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8350800"/>
        <c:crosses val="autoZero"/>
        <c:crossBetween val="between"/>
        <c:majorUnit val="5"/>
      </c:valAx>
      <c:spPr>
        <a:noFill/>
        <a:ln>
          <a:noFill/>
        </a:ln>
        <a:effectLst/>
      </c:spPr>
    </c:plotArea>
    <c:legend>
      <c:legendPos val="t"/>
      <c:legendEntry>
        <c:idx val="4"/>
        <c:delete val="1"/>
      </c:legendEntry>
      <c:layout>
        <c:manualLayout>
          <c:xMode val="edge"/>
          <c:yMode val="edge"/>
          <c:x val="0.1356012685914261"/>
          <c:y val="0.12235433799267229"/>
          <c:w val="0.70958431758530172"/>
          <c:h val="7.298414556177775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86249537599747"/>
          <c:y val="0.12345125751979506"/>
          <c:w val="0.88668835188704853"/>
          <c:h val="0.62861570188341842"/>
        </c:manualLayout>
      </c:layout>
      <c:lineChart>
        <c:grouping val="standard"/>
        <c:varyColors val="0"/>
        <c:ser>
          <c:idx val="0"/>
          <c:order val="0"/>
          <c:tx>
            <c:strRef>
              <c:f>'1.3B'!$S$4</c:f>
              <c:strCache>
                <c:ptCount val="1"/>
                <c:pt idx="0">
                  <c:v>SAR</c:v>
                </c:pt>
              </c:strCache>
            </c:strRef>
          </c:tx>
          <c:spPr>
            <a:ln w="76200" cap="rnd">
              <a:solidFill>
                <a:schemeClr val="bg2"/>
              </a:solidFill>
              <a:round/>
            </a:ln>
            <a:effectLst/>
          </c:spPr>
          <c:marker>
            <c:symbol val="none"/>
          </c:marker>
          <c:cat>
            <c:strRef>
              <c:f>'1.3B'!$R$5:$R$35</c:f>
              <c:strCache>
                <c:ptCount val="31"/>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strCache>
            </c:strRef>
          </c:cat>
          <c:val>
            <c:numRef>
              <c:f>'1.3B'!$S$5:$S$35</c:f>
              <c:numCache>
                <c:formatCode>General</c:formatCode>
                <c:ptCount val="31"/>
                <c:pt idx="0">
                  <c:v>27.45</c:v>
                </c:pt>
                <c:pt idx="1">
                  <c:v>27.42</c:v>
                </c:pt>
                <c:pt idx="2">
                  <c:v>29.38</c:v>
                </c:pt>
                <c:pt idx="3">
                  <c:v>30.27</c:v>
                </c:pt>
                <c:pt idx="4">
                  <c:v>25.68</c:v>
                </c:pt>
                <c:pt idx="5">
                  <c:v>27.16</c:v>
                </c:pt>
                <c:pt idx="6">
                  <c:v>19.61</c:v>
                </c:pt>
                <c:pt idx="7">
                  <c:v>16.32</c:v>
                </c:pt>
                <c:pt idx="8">
                  <c:v>7.73</c:v>
                </c:pt>
                <c:pt idx="9">
                  <c:v>2.4700000000000002</c:v>
                </c:pt>
                <c:pt idx="10">
                  <c:v>2.08</c:v>
                </c:pt>
                <c:pt idx="11">
                  <c:v>-0.38</c:v>
                </c:pt>
                <c:pt idx="12">
                  <c:v>4.2</c:v>
                </c:pt>
                <c:pt idx="13">
                  <c:v>0.83</c:v>
                </c:pt>
                <c:pt idx="14">
                  <c:v>1.01</c:v>
                </c:pt>
                <c:pt idx="15">
                  <c:v>-5.22</c:v>
                </c:pt>
                <c:pt idx="16">
                  <c:v>-5.98</c:v>
                </c:pt>
                <c:pt idx="17">
                  <c:v>-11.43</c:v>
                </c:pt>
                <c:pt idx="18">
                  <c:v>-9.92</c:v>
                </c:pt>
                <c:pt idx="19">
                  <c:v>-10.6</c:v>
                </c:pt>
                <c:pt idx="20">
                  <c:v>-5.25</c:v>
                </c:pt>
                <c:pt idx="21">
                  <c:v>-6.01</c:v>
                </c:pt>
                <c:pt idx="22">
                  <c:v>-4.3099999999999996</c:v>
                </c:pt>
                <c:pt idx="23">
                  <c:v>-3.73</c:v>
                </c:pt>
                <c:pt idx="24">
                  <c:v>-0.22</c:v>
                </c:pt>
                <c:pt idx="25">
                  <c:v>3.6</c:v>
                </c:pt>
                <c:pt idx="26">
                  <c:v>6.77</c:v>
                </c:pt>
                <c:pt idx="27">
                  <c:v>7.43</c:v>
                </c:pt>
                <c:pt idx="28">
                  <c:v>3.18</c:v>
                </c:pt>
                <c:pt idx="29">
                  <c:v>1.97</c:v>
                </c:pt>
                <c:pt idx="30">
                  <c:v>3.99</c:v>
                </c:pt>
              </c:numCache>
            </c:numRef>
          </c:val>
          <c:smooth val="0"/>
          <c:extLst>
            <c:ext xmlns:c16="http://schemas.microsoft.com/office/drawing/2014/chart" uri="{C3380CC4-5D6E-409C-BE32-E72D297353CC}">
              <c16:uniqueId val="{00000000-B40A-4F61-B929-525D21998D29}"/>
            </c:ext>
          </c:extLst>
        </c:ser>
        <c:ser>
          <c:idx val="1"/>
          <c:order val="1"/>
          <c:tx>
            <c:strRef>
              <c:f>'1.3B'!$T$4</c:f>
              <c:strCache>
                <c:ptCount val="1"/>
                <c:pt idx="0">
                  <c:v>Other EMDEs</c:v>
                </c:pt>
              </c:strCache>
            </c:strRef>
          </c:tx>
          <c:spPr>
            <a:ln w="76200" cap="rnd">
              <a:solidFill>
                <a:schemeClr val="tx2"/>
              </a:solidFill>
              <a:round/>
            </a:ln>
            <a:effectLst/>
          </c:spPr>
          <c:marker>
            <c:symbol val="none"/>
          </c:marker>
          <c:cat>
            <c:strRef>
              <c:f>'1.3B'!$R$5:$R$35</c:f>
              <c:strCache>
                <c:ptCount val="31"/>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pt idx="12">
                  <c:v>Jan-23</c:v>
                </c:pt>
                <c:pt idx="13">
                  <c:v>Feb-23</c:v>
                </c:pt>
                <c:pt idx="14">
                  <c:v>Mar-23</c:v>
                </c:pt>
                <c:pt idx="15">
                  <c:v>Apr-23</c:v>
                </c:pt>
                <c:pt idx="16">
                  <c:v>May-23</c:v>
                </c:pt>
                <c:pt idx="17">
                  <c:v>Jun-23</c:v>
                </c:pt>
                <c:pt idx="18">
                  <c:v>Jul-23</c:v>
                </c:pt>
                <c:pt idx="19">
                  <c:v>Aug-23</c:v>
                </c:pt>
                <c:pt idx="20">
                  <c:v>Sep-23</c:v>
                </c:pt>
                <c:pt idx="21">
                  <c:v>Oct-23</c:v>
                </c:pt>
                <c:pt idx="22">
                  <c:v>Nov-23</c:v>
                </c:pt>
                <c:pt idx="23">
                  <c:v>Dec-23</c:v>
                </c:pt>
                <c:pt idx="24">
                  <c:v>Jan-24</c:v>
                </c:pt>
                <c:pt idx="25">
                  <c:v>Feb-24</c:v>
                </c:pt>
                <c:pt idx="26">
                  <c:v>Mar-24</c:v>
                </c:pt>
                <c:pt idx="27">
                  <c:v>Apr-24</c:v>
                </c:pt>
                <c:pt idx="28">
                  <c:v>May-24</c:v>
                </c:pt>
                <c:pt idx="29">
                  <c:v>Jun-24</c:v>
                </c:pt>
                <c:pt idx="30">
                  <c:v>Jul-24</c:v>
                </c:pt>
              </c:strCache>
            </c:strRef>
          </c:cat>
          <c:val>
            <c:numRef>
              <c:f>'1.3B'!$T$5:$T$35</c:f>
              <c:numCache>
                <c:formatCode>General</c:formatCode>
                <c:ptCount val="31"/>
                <c:pt idx="0">
                  <c:v>25.42</c:v>
                </c:pt>
                <c:pt idx="1">
                  <c:v>23.82</c:v>
                </c:pt>
                <c:pt idx="2">
                  <c:v>22.88</c:v>
                </c:pt>
                <c:pt idx="3">
                  <c:v>21.03</c:v>
                </c:pt>
                <c:pt idx="4">
                  <c:v>20.51</c:v>
                </c:pt>
                <c:pt idx="5">
                  <c:v>19.93</c:v>
                </c:pt>
                <c:pt idx="6">
                  <c:v>19.190000000000001</c:v>
                </c:pt>
                <c:pt idx="7">
                  <c:v>17.059999999999999</c:v>
                </c:pt>
                <c:pt idx="8">
                  <c:v>13.09</c:v>
                </c:pt>
                <c:pt idx="9">
                  <c:v>9.33</c:v>
                </c:pt>
                <c:pt idx="10">
                  <c:v>4.95</c:v>
                </c:pt>
                <c:pt idx="11">
                  <c:v>2.5</c:v>
                </c:pt>
                <c:pt idx="12">
                  <c:v>1.86</c:v>
                </c:pt>
                <c:pt idx="13">
                  <c:v>0.89</c:v>
                </c:pt>
                <c:pt idx="14">
                  <c:v>-0.66</c:v>
                </c:pt>
                <c:pt idx="15">
                  <c:v>-3.9</c:v>
                </c:pt>
                <c:pt idx="16">
                  <c:v>-4.57</c:v>
                </c:pt>
                <c:pt idx="17">
                  <c:v>-6.54</c:v>
                </c:pt>
                <c:pt idx="18">
                  <c:v>-5.52</c:v>
                </c:pt>
                <c:pt idx="19">
                  <c:v>-5.77</c:v>
                </c:pt>
                <c:pt idx="20">
                  <c:v>-3.97</c:v>
                </c:pt>
                <c:pt idx="21">
                  <c:v>-1.81</c:v>
                </c:pt>
                <c:pt idx="22">
                  <c:v>-0.75</c:v>
                </c:pt>
                <c:pt idx="23">
                  <c:v>-0.1</c:v>
                </c:pt>
                <c:pt idx="24">
                  <c:v>-0.64</c:v>
                </c:pt>
                <c:pt idx="25">
                  <c:v>-0.31</c:v>
                </c:pt>
                <c:pt idx="26">
                  <c:v>-2.2000000000000002</c:v>
                </c:pt>
                <c:pt idx="27">
                  <c:v>0.62</c:v>
                </c:pt>
                <c:pt idx="28">
                  <c:v>1.21</c:v>
                </c:pt>
                <c:pt idx="29">
                  <c:v>4.29</c:v>
                </c:pt>
                <c:pt idx="30">
                  <c:v>4.1900000000000004</c:v>
                </c:pt>
              </c:numCache>
            </c:numRef>
          </c:val>
          <c:smooth val="0"/>
          <c:extLst>
            <c:ext xmlns:c16="http://schemas.microsoft.com/office/drawing/2014/chart" uri="{C3380CC4-5D6E-409C-BE32-E72D297353CC}">
              <c16:uniqueId val="{00000001-B40A-4F61-B929-525D21998D29}"/>
            </c:ext>
          </c:extLst>
        </c:ser>
        <c:dLbls>
          <c:showLegendKey val="0"/>
          <c:showVal val="0"/>
          <c:showCatName val="0"/>
          <c:showSerName val="0"/>
          <c:showPercent val="0"/>
          <c:showBubbleSize val="0"/>
        </c:dLbls>
        <c:smooth val="0"/>
        <c:axId val="1493940976"/>
        <c:axId val="1493938096"/>
      </c:lineChart>
      <c:catAx>
        <c:axId val="149394097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93938096"/>
        <c:crosses val="autoZero"/>
        <c:auto val="1"/>
        <c:lblAlgn val="ctr"/>
        <c:lblOffset val="100"/>
        <c:noMultiLvlLbl val="0"/>
      </c:catAx>
      <c:valAx>
        <c:axId val="149393809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93940976"/>
        <c:crosses val="autoZero"/>
        <c:crossBetween val="between"/>
        <c:majorUnit val="10"/>
      </c:valAx>
      <c:spPr>
        <a:noFill/>
        <a:ln>
          <a:noFill/>
        </a:ln>
        <a:effectLst/>
      </c:spPr>
    </c:plotArea>
    <c:legend>
      <c:legendPos val="t"/>
      <c:layout>
        <c:manualLayout>
          <c:xMode val="edge"/>
          <c:yMode val="edge"/>
          <c:x val="0.27909534873714559"/>
          <c:y val="6.8463842533162178E-2"/>
          <c:w val="0.51011520588614945"/>
          <c:h val="7.084713897284020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'1.3C'!$S$3</c:f>
              <c:strCache>
                <c:ptCount val="1"/>
                <c:pt idx="0">
                  <c:v>Manufacturing</c:v>
                </c:pt>
              </c:strCache>
            </c:strRef>
          </c:tx>
          <c:spPr>
            <a:ln w="76200" cap="rnd">
              <a:solidFill>
                <a:schemeClr val="tx2"/>
              </a:solidFill>
              <a:round/>
            </a:ln>
            <a:effectLst/>
          </c:spPr>
          <c:marker>
            <c:symbol val="none"/>
          </c:marker>
          <c:cat>
            <c:strRef>
              <c:extLst>
                <c:ext xmlns:c15="http://schemas.microsoft.com/office/drawing/2012/chart" uri="{02D57815-91ED-43cb-92C2-25804820EDAC}">
                  <c15:fullRef>
                    <c15:sqref>'1.3C'!$R$4:$R$35</c15:sqref>
                  </c15:fullRef>
                </c:ext>
              </c:extLst>
              <c:f>'1.3C'!$R$5:$R$35</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extLst>
                <c:ext xmlns:c15="http://schemas.microsoft.com/office/drawing/2012/chart" uri="{02D57815-91ED-43cb-92C2-25804820EDAC}">
                  <c15:fullRef>
                    <c15:sqref>'1.3C'!$S$4:$S$35</c15:sqref>
                  </c15:fullRef>
                </c:ext>
              </c:extLst>
              <c:f>'1.3C'!$S$5:$S$35</c:f>
              <c:numCache>
                <c:formatCode>General</c:formatCode>
                <c:ptCount val="31"/>
                <c:pt idx="0">
                  <c:v>54.85</c:v>
                </c:pt>
                <c:pt idx="1">
                  <c:v>54.03</c:v>
                </c:pt>
                <c:pt idx="2">
                  <c:v>54.72</c:v>
                </c:pt>
                <c:pt idx="3">
                  <c:v>54.57</c:v>
                </c:pt>
                <c:pt idx="4">
                  <c:v>53.91</c:v>
                </c:pt>
                <c:pt idx="5">
                  <c:v>56.43</c:v>
                </c:pt>
                <c:pt idx="6">
                  <c:v>56.23</c:v>
                </c:pt>
                <c:pt idx="7">
                  <c:v>55.09</c:v>
                </c:pt>
                <c:pt idx="8">
                  <c:v>55.33</c:v>
                </c:pt>
                <c:pt idx="9">
                  <c:v>55.72</c:v>
                </c:pt>
                <c:pt idx="10">
                  <c:v>57.81</c:v>
                </c:pt>
                <c:pt idx="11">
                  <c:v>55.38</c:v>
                </c:pt>
                <c:pt idx="12">
                  <c:v>55.35</c:v>
                </c:pt>
                <c:pt idx="13">
                  <c:v>56.39</c:v>
                </c:pt>
                <c:pt idx="14">
                  <c:v>57.22</c:v>
                </c:pt>
                <c:pt idx="15">
                  <c:v>58.7</c:v>
                </c:pt>
                <c:pt idx="16">
                  <c:v>57.79</c:v>
                </c:pt>
                <c:pt idx="17">
                  <c:v>57.67</c:v>
                </c:pt>
                <c:pt idx="18">
                  <c:v>58.61</c:v>
                </c:pt>
                <c:pt idx="19">
                  <c:v>57.51</c:v>
                </c:pt>
                <c:pt idx="20">
                  <c:v>55.53</c:v>
                </c:pt>
                <c:pt idx="21">
                  <c:v>55.97</c:v>
                </c:pt>
                <c:pt idx="22">
                  <c:v>54.88</c:v>
                </c:pt>
                <c:pt idx="23">
                  <c:v>56.51</c:v>
                </c:pt>
                <c:pt idx="24">
                  <c:v>56.9</c:v>
                </c:pt>
                <c:pt idx="25">
                  <c:v>59.14</c:v>
                </c:pt>
                <c:pt idx="26">
                  <c:v>58.85</c:v>
                </c:pt>
                <c:pt idx="27">
                  <c:v>57.53</c:v>
                </c:pt>
                <c:pt idx="28">
                  <c:v>58.35</c:v>
                </c:pt>
                <c:pt idx="29">
                  <c:v>58.07</c:v>
                </c:pt>
                <c:pt idx="30">
                  <c:v>57.49</c:v>
                </c:pt>
              </c:numCache>
            </c:numRef>
          </c:val>
          <c:smooth val="0"/>
          <c:extLst>
            <c:ext xmlns:c16="http://schemas.microsoft.com/office/drawing/2014/chart" uri="{C3380CC4-5D6E-409C-BE32-E72D297353CC}">
              <c16:uniqueId val="{00000000-AFDC-4514-B5B1-3A48333C59D3}"/>
            </c:ext>
          </c:extLst>
        </c:ser>
        <c:ser>
          <c:idx val="1"/>
          <c:order val="1"/>
          <c:tx>
            <c:strRef>
              <c:f>'1.3C'!$T$3</c:f>
              <c:strCache>
                <c:ptCount val="1"/>
                <c:pt idx="0">
                  <c:v>Services</c:v>
                </c:pt>
              </c:strCache>
            </c:strRef>
          </c:tx>
          <c:spPr>
            <a:ln w="76200" cap="rnd">
              <a:solidFill>
                <a:schemeClr val="bg2"/>
              </a:solidFill>
              <a:round/>
            </a:ln>
            <a:effectLst/>
          </c:spPr>
          <c:marker>
            <c:symbol val="none"/>
          </c:marker>
          <c:cat>
            <c:strRef>
              <c:extLst>
                <c:ext xmlns:c15="http://schemas.microsoft.com/office/drawing/2012/chart" uri="{02D57815-91ED-43cb-92C2-25804820EDAC}">
                  <c15:fullRef>
                    <c15:sqref>'1.3C'!$R$4:$R$35</c15:sqref>
                  </c15:fullRef>
                </c:ext>
              </c:extLst>
              <c:f>'1.3C'!$R$5:$R$35</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extLst>
                <c:ext xmlns:c15="http://schemas.microsoft.com/office/drawing/2012/chart" uri="{02D57815-91ED-43cb-92C2-25804820EDAC}">
                  <c15:fullRef>
                    <c15:sqref>'1.3C'!$T$4:$T$35</c15:sqref>
                  </c15:fullRef>
                </c:ext>
              </c:extLst>
              <c:f>'1.3C'!$T$5:$T$35</c:f>
              <c:numCache>
                <c:formatCode>General</c:formatCode>
                <c:ptCount val="31"/>
                <c:pt idx="0">
                  <c:v>51.82</c:v>
                </c:pt>
                <c:pt idx="1">
                  <c:v>53.56</c:v>
                </c:pt>
                <c:pt idx="2">
                  <c:v>57.89</c:v>
                </c:pt>
                <c:pt idx="3">
                  <c:v>58.92</c:v>
                </c:pt>
                <c:pt idx="4">
                  <c:v>59.2</c:v>
                </c:pt>
                <c:pt idx="5">
                  <c:v>55.46</c:v>
                </c:pt>
                <c:pt idx="6">
                  <c:v>57.21</c:v>
                </c:pt>
                <c:pt idx="7">
                  <c:v>54.29</c:v>
                </c:pt>
                <c:pt idx="8">
                  <c:v>55.05</c:v>
                </c:pt>
                <c:pt idx="9">
                  <c:v>56.41</c:v>
                </c:pt>
                <c:pt idx="10">
                  <c:v>58.48</c:v>
                </c:pt>
                <c:pt idx="11">
                  <c:v>57.24</c:v>
                </c:pt>
                <c:pt idx="12">
                  <c:v>59.36</c:v>
                </c:pt>
                <c:pt idx="13">
                  <c:v>57.82</c:v>
                </c:pt>
                <c:pt idx="14">
                  <c:v>62.01</c:v>
                </c:pt>
                <c:pt idx="15">
                  <c:v>61.17</c:v>
                </c:pt>
                <c:pt idx="16">
                  <c:v>58.48</c:v>
                </c:pt>
                <c:pt idx="17">
                  <c:v>62.27</c:v>
                </c:pt>
                <c:pt idx="18">
                  <c:v>60.07</c:v>
                </c:pt>
                <c:pt idx="19">
                  <c:v>61.04</c:v>
                </c:pt>
                <c:pt idx="20">
                  <c:v>58.44</c:v>
                </c:pt>
                <c:pt idx="21">
                  <c:v>56.94</c:v>
                </c:pt>
                <c:pt idx="22">
                  <c:v>59</c:v>
                </c:pt>
                <c:pt idx="23">
                  <c:v>61.82</c:v>
                </c:pt>
                <c:pt idx="24">
                  <c:v>60.62</c:v>
                </c:pt>
                <c:pt idx="25">
                  <c:v>61.21</c:v>
                </c:pt>
                <c:pt idx="26">
                  <c:v>60.83</c:v>
                </c:pt>
                <c:pt idx="27">
                  <c:v>60.22</c:v>
                </c:pt>
                <c:pt idx="28">
                  <c:v>60.49</c:v>
                </c:pt>
                <c:pt idx="29">
                  <c:v>60.3</c:v>
                </c:pt>
                <c:pt idx="30">
                  <c:v>60.92</c:v>
                </c:pt>
              </c:numCache>
            </c:numRef>
          </c:val>
          <c:smooth val="0"/>
          <c:extLst>
            <c:ext xmlns:c16="http://schemas.microsoft.com/office/drawing/2014/chart" uri="{C3380CC4-5D6E-409C-BE32-E72D297353CC}">
              <c16:uniqueId val="{00000001-AFDC-4514-B5B1-3A48333C59D3}"/>
            </c:ext>
          </c:extLst>
        </c:ser>
        <c:ser>
          <c:idx val="2"/>
          <c:order val="2"/>
          <c:tx>
            <c:strRef>
              <c:f>'1.3C'!$U$3</c:f>
              <c:strCache>
                <c:ptCount val="1"/>
              </c:strCache>
            </c:strRef>
          </c:tx>
          <c:spPr>
            <a:ln w="19050" cap="rnd">
              <a:solidFill>
                <a:schemeClr val="tx1"/>
              </a:solidFill>
              <a:round/>
            </a:ln>
            <a:effectLst/>
          </c:spPr>
          <c:marker>
            <c:symbol val="none"/>
          </c:marker>
          <c:cat>
            <c:strRef>
              <c:extLst>
                <c:ext xmlns:c15="http://schemas.microsoft.com/office/drawing/2012/chart" uri="{02D57815-91ED-43cb-92C2-25804820EDAC}">
                  <c15:fullRef>
                    <c15:sqref>'1.3C'!$R$4:$R$35</c15:sqref>
                  </c15:fullRef>
                </c:ext>
              </c:extLst>
              <c:f>'1.3C'!$R$5:$R$35</c:f>
              <c:strCache>
                <c:ptCount val="31"/>
                <c:pt idx="0">
                  <c:v>Feb-22</c:v>
                </c:pt>
                <c:pt idx="1">
                  <c:v>Mar-22</c:v>
                </c:pt>
                <c:pt idx="2">
                  <c:v>Apr-22</c:v>
                </c:pt>
                <c:pt idx="3">
                  <c:v>May-22</c:v>
                </c:pt>
                <c:pt idx="4">
                  <c:v>Jun-22</c:v>
                </c:pt>
                <c:pt idx="5">
                  <c:v>Jul-22</c:v>
                </c:pt>
                <c:pt idx="6">
                  <c:v>Aug-22</c:v>
                </c:pt>
                <c:pt idx="7">
                  <c:v>Sep-22</c:v>
                </c:pt>
                <c:pt idx="8">
                  <c:v>Oct-22</c:v>
                </c:pt>
                <c:pt idx="9">
                  <c:v>Nov-22</c:v>
                </c:pt>
                <c:pt idx="10">
                  <c:v>Dec-22</c:v>
                </c:pt>
                <c:pt idx="11">
                  <c:v>Jan-23</c:v>
                </c:pt>
                <c:pt idx="12">
                  <c:v>Feb-23</c:v>
                </c:pt>
                <c:pt idx="13">
                  <c:v>Mar-23</c:v>
                </c:pt>
                <c:pt idx="14">
                  <c:v>Apr-23</c:v>
                </c:pt>
                <c:pt idx="15">
                  <c:v>May-23</c:v>
                </c:pt>
                <c:pt idx="16">
                  <c:v>Jun-23</c:v>
                </c:pt>
                <c:pt idx="17">
                  <c:v>Jul-23</c:v>
                </c:pt>
                <c:pt idx="18">
                  <c:v>Aug-23</c:v>
                </c:pt>
                <c:pt idx="19">
                  <c:v>Sep-23</c:v>
                </c:pt>
                <c:pt idx="20">
                  <c:v>Oct-23</c:v>
                </c:pt>
                <c:pt idx="21">
                  <c:v>Nov-23</c:v>
                </c:pt>
                <c:pt idx="22">
                  <c:v>Dec-23</c:v>
                </c:pt>
                <c:pt idx="23">
                  <c:v>Jan-24</c:v>
                </c:pt>
                <c:pt idx="24">
                  <c:v>Feb-24</c:v>
                </c:pt>
                <c:pt idx="25">
                  <c:v>Mar-24</c:v>
                </c:pt>
                <c:pt idx="26">
                  <c:v>Apr-24</c:v>
                </c:pt>
                <c:pt idx="27">
                  <c:v>May-24</c:v>
                </c:pt>
                <c:pt idx="28">
                  <c:v>Jun-24</c:v>
                </c:pt>
                <c:pt idx="29">
                  <c:v>Jul-24</c:v>
                </c:pt>
                <c:pt idx="30">
                  <c:v>Aug-24</c:v>
                </c:pt>
              </c:strCache>
            </c:strRef>
          </c:cat>
          <c:val>
            <c:numRef>
              <c:extLst>
                <c:ext xmlns:c15="http://schemas.microsoft.com/office/drawing/2012/chart" uri="{02D57815-91ED-43cb-92C2-25804820EDAC}">
                  <c15:fullRef>
                    <c15:sqref>'1.3C'!$U$4:$U$35</c15:sqref>
                  </c15:fullRef>
                </c:ext>
              </c:extLst>
              <c:f>'1.3C'!$U$5:$U$35</c:f>
              <c:numCache>
                <c:formatCode>General</c:formatCode>
                <c:ptCount val="31"/>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numCache>
            </c:numRef>
          </c:val>
          <c:smooth val="0"/>
          <c:extLst>
            <c:ext xmlns:c16="http://schemas.microsoft.com/office/drawing/2014/chart" uri="{C3380CC4-5D6E-409C-BE32-E72D297353CC}">
              <c16:uniqueId val="{00000002-AFDC-4514-B5B1-3A48333C59D3}"/>
            </c:ext>
          </c:extLst>
        </c:ser>
        <c:dLbls>
          <c:showLegendKey val="0"/>
          <c:showVal val="0"/>
          <c:showCatName val="0"/>
          <c:showSerName val="0"/>
          <c:showPercent val="0"/>
          <c:showBubbleSize val="0"/>
        </c:dLbls>
        <c:smooth val="0"/>
        <c:axId val="1719126208"/>
        <c:axId val="1718577952"/>
      </c:lineChart>
      <c:catAx>
        <c:axId val="171912620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8577952"/>
        <c:crosses val="autoZero"/>
        <c:auto val="1"/>
        <c:lblAlgn val="ctr"/>
        <c:lblOffset val="100"/>
        <c:noMultiLvlLbl val="0"/>
      </c:catAx>
      <c:valAx>
        <c:axId val="1718577952"/>
        <c:scaling>
          <c:orientation val="minMax"/>
          <c:max val="72"/>
          <c:min val="4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19126208"/>
        <c:crosses val="autoZero"/>
        <c:crossBetween val="between"/>
        <c:majorUnit val="10"/>
      </c:valAx>
      <c:spPr>
        <a:noFill/>
        <a:ln>
          <a:noFill/>
        </a:ln>
        <a:effectLst/>
      </c:spPr>
    </c:plotArea>
    <c:legend>
      <c:legendPos val="t"/>
      <c:legendEntry>
        <c:idx val="2"/>
        <c:delete val="1"/>
      </c:legendEntry>
      <c:layout>
        <c:manualLayout>
          <c:xMode val="edge"/>
          <c:yMode val="edge"/>
          <c:x val="0.20885614987781703"/>
          <c:y val="0.13171783249564709"/>
          <c:w val="0.62244247594050739"/>
          <c:h val="7.9371890594212638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52635618427535"/>
          <c:y val="0.13359205557837656"/>
          <c:w val="0.85015214762901459"/>
          <c:h val="0.62116617225608117"/>
        </c:manualLayout>
      </c:layout>
      <c:lineChart>
        <c:grouping val="standard"/>
        <c:varyColors val="0"/>
        <c:ser>
          <c:idx val="0"/>
          <c:order val="0"/>
          <c:tx>
            <c:strRef>
              <c:f>'1.3D'!$S$3</c:f>
              <c:strCache>
                <c:ptCount val="1"/>
                <c:pt idx="0">
                  <c:v>EMDEs</c:v>
                </c:pt>
              </c:strCache>
            </c:strRef>
          </c:tx>
          <c:spPr>
            <a:ln w="76200" cap="rnd">
              <a:solidFill>
                <a:schemeClr val="tx2"/>
              </a:solidFill>
              <a:round/>
            </a:ln>
            <a:effectLst/>
          </c:spPr>
          <c:marker>
            <c:symbol val="none"/>
          </c:marker>
          <c:cat>
            <c:numRef>
              <c:f>'1.3D'!$R$4:$R$58</c:f>
              <c:numCache>
                <c:formatCode>mmm\-yy</c:formatCode>
                <c:ptCount val="55"/>
                <c:pt idx="0">
                  <c:v>43862</c:v>
                </c:pt>
                <c:pt idx="1">
                  <c:v>43891</c:v>
                </c:pt>
                <c:pt idx="2">
                  <c:v>43922</c:v>
                </c:pt>
                <c:pt idx="3">
                  <c:v>43952</c:v>
                </c:pt>
                <c:pt idx="4">
                  <c:v>43983</c:v>
                </c:pt>
                <c:pt idx="5">
                  <c:v>44013</c:v>
                </c:pt>
                <c:pt idx="6">
                  <c:v>44044</c:v>
                </c:pt>
                <c:pt idx="7">
                  <c:v>44075</c:v>
                </c:pt>
                <c:pt idx="8">
                  <c:v>44105</c:v>
                </c:pt>
                <c:pt idx="9">
                  <c:v>44136</c:v>
                </c:pt>
                <c:pt idx="10">
                  <c:v>44166</c:v>
                </c:pt>
                <c:pt idx="11">
                  <c:v>44197</c:v>
                </c:pt>
                <c:pt idx="12">
                  <c:v>44228</c:v>
                </c:pt>
                <c:pt idx="13">
                  <c:v>44256</c:v>
                </c:pt>
                <c:pt idx="14">
                  <c:v>44287</c:v>
                </c:pt>
                <c:pt idx="15">
                  <c:v>44317</c:v>
                </c:pt>
                <c:pt idx="16">
                  <c:v>44348</c:v>
                </c:pt>
                <c:pt idx="17">
                  <c:v>44378</c:v>
                </c:pt>
                <c:pt idx="18">
                  <c:v>44409</c:v>
                </c:pt>
                <c:pt idx="19">
                  <c:v>44440</c:v>
                </c:pt>
                <c:pt idx="20">
                  <c:v>44470</c:v>
                </c:pt>
                <c:pt idx="21">
                  <c:v>44501</c:v>
                </c:pt>
                <c:pt idx="22">
                  <c:v>44531</c:v>
                </c:pt>
                <c:pt idx="23">
                  <c:v>44562</c:v>
                </c:pt>
                <c:pt idx="24">
                  <c:v>44593</c:v>
                </c:pt>
                <c:pt idx="25">
                  <c:v>44621</c:v>
                </c:pt>
                <c:pt idx="26">
                  <c:v>44652</c:v>
                </c:pt>
                <c:pt idx="27">
                  <c:v>44682</c:v>
                </c:pt>
                <c:pt idx="28">
                  <c:v>44713</c:v>
                </c:pt>
                <c:pt idx="29">
                  <c:v>44743</c:v>
                </c:pt>
                <c:pt idx="30">
                  <c:v>44774</c:v>
                </c:pt>
                <c:pt idx="31">
                  <c:v>44805</c:v>
                </c:pt>
                <c:pt idx="32">
                  <c:v>44835</c:v>
                </c:pt>
                <c:pt idx="33">
                  <c:v>44866</c:v>
                </c:pt>
                <c:pt idx="34">
                  <c:v>44896</c:v>
                </c:pt>
                <c:pt idx="35">
                  <c:v>44927</c:v>
                </c:pt>
                <c:pt idx="36">
                  <c:v>44958</c:v>
                </c:pt>
                <c:pt idx="37">
                  <c:v>44986</c:v>
                </c:pt>
                <c:pt idx="38">
                  <c:v>45017</c:v>
                </c:pt>
                <c:pt idx="39">
                  <c:v>45047</c:v>
                </c:pt>
                <c:pt idx="40">
                  <c:v>45078</c:v>
                </c:pt>
                <c:pt idx="41">
                  <c:v>45108</c:v>
                </c:pt>
                <c:pt idx="42">
                  <c:v>45139</c:v>
                </c:pt>
                <c:pt idx="43">
                  <c:v>45170</c:v>
                </c:pt>
                <c:pt idx="44">
                  <c:v>45200</c:v>
                </c:pt>
                <c:pt idx="45">
                  <c:v>45231</c:v>
                </c:pt>
                <c:pt idx="46">
                  <c:v>45261</c:v>
                </c:pt>
                <c:pt idx="47">
                  <c:v>45292</c:v>
                </c:pt>
                <c:pt idx="48">
                  <c:v>45323</c:v>
                </c:pt>
                <c:pt idx="49">
                  <c:v>45352</c:v>
                </c:pt>
                <c:pt idx="50">
                  <c:v>45383</c:v>
                </c:pt>
                <c:pt idx="51">
                  <c:v>45413</c:v>
                </c:pt>
                <c:pt idx="52">
                  <c:v>45444</c:v>
                </c:pt>
                <c:pt idx="53">
                  <c:v>45474</c:v>
                </c:pt>
                <c:pt idx="54">
                  <c:v>45505</c:v>
                </c:pt>
              </c:numCache>
            </c:numRef>
          </c:cat>
          <c:val>
            <c:numRef>
              <c:f>'1.3D'!$S$4:$S$58</c:f>
              <c:numCache>
                <c:formatCode>General</c:formatCode>
                <c:ptCount val="55"/>
                <c:pt idx="0">
                  <c:v>0.19</c:v>
                </c:pt>
                <c:pt idx="1">
                  <c:v>0.06</c:v>
                </c:pt>
                <c:pt idx="2">
                  <c:v>-1.05</c:v>
                </c:pt>
                <c:pt idx="3">
                  <c:v>-1.1000000000000001</c:v>
                </c:pt>
                <c:pt idx="4">
                  <c:v>-1.03</c:v>
                </c:pt>
                <c:pt idx="5">
                  <c:v>-0.95</c:v>
                </c:pt>
                <c:pt idx="6">
                  <c:v>-0.86</c:v>
                </c:pt>
                <c:pt idx="7">
                  <c:v>-0.7</c:v>
                </c:pt>
                <c:pt idx="8">
                  <c:v>-0.74</c:v>
                </c:pt>
                <c:pt idx="9">
                  <c:v>-0.65</c:v>
                </c:pt>
                <c:pt idx="10">
                  <c:v>-0.67</c:v>
                </c:pt>
                <c:pt idx="11">
                  <c:v>-0.69</c:v>
                </c:pt>
                <c:pt idx="12">
                  <c:v>-0.57999999999999996</c:v>
                </c:pt>
                <c:pt idx="13">
                  <c:v>-0.4</c:v>
                </c:pt>
                <c:pt idx="14">
                  <c:v>-0.56000000000000005</c:v>
                </c:pt>
                <c:pt idx="15">
                  <c:v>-0.56999999999999995</c:v>
                </c:pt>
                <c:pt idx="16">
                  <c:v>-0.31</c:v>
                </c:pt>
                <c:pt idx="17">
                  <c:v>-0.38</c:v>
                </c:pt>
                <c:pt idx="18">
                  <c:v>-0.47</c:v>
                </c:pt>
                <c:pt idx="19">
                  <c:v>-0.23</c:v>
                </c:pt>
                <c:pt idx="20">
                  <c:v>-0.25</c:v>
                </c:pt>
                <c:pt idx="21">
                  <c:v>-0.35</c:v>
                </c:pt>
                <c:pt idx="22">
                  <c:v>-0.43</c:v>
                </c:pt>
                <c:pt idx="23">
                  <c:v>-0.4</c:v>
                </c:pt>
                <c:pt idx="24">
                  <c:v>-0.49</c:v>
                </c:pt>
                <c:pt idx="25">
                  <c:v>-0.67</c:v>
                </c:pt>
                <c:pt idx="26">
                  <c:v>-0.77</c:v>
                </c:pt>
                <c:pt idx="27">
                  <c:v>-0.65</c:v>
                </c:pt>
                <c:pt idx="28">
                  <c:v>-0.7</c:v>
                </c:pt>
                <c:pt idx="29">
                  <c:v>-0.9</c:v>
                </c:pt>
                <c:pt idx="30">
                  <c:v>-0.79</c:v>
                </c:pt>
                <c:pt idx="31">
                  <c:v>-0.88</c:v>
                </c:pt>
                <c:pt idx="32">
                  <c:v>-0.9</c:v>
                </c:pt>
                <c:pt idx="33">
                  <c:v>-0.89</c:v>
                </c:pt>
                <c:pt idx="34">
                  <c:v>-0.79</c:v>
                </c:pt>
                <c:pt idx="35">
                  <c:v>-0.62</c:v>
                </c:pt>
                <c:pt idx="36">
                  <c:v>-0.53</c:v>
                </c:pt>
                <c:pt idx="37">
                  <c:v>-0.39</c:v>
                </c:pt>
                <c:pt idx="38">
                  <c:v>-0.24</c:v>
                </c:pt>
                <c:pt idx="39">
                  <c:v>-0.14000000000000001</c:v>
                </c:pt>
                <c:pt idx="40">
                  <c:v>-0.05</c:v>
                </c:pt>
                <c:pt idx="41">
                  <c:v>-0.15</c:v>
                </c:pt>
                <c:pt idx="42">
                  <c:v>-0.27</c:v>
                </c:pt>
                <c:pt idx="43">
                  <c:v>-0.33</c:v>
                </c:pt>
                <c:pt idx="44">
                  <c:v>-0.11</c:v>
                </c:pt>
                <c:pt idx="45">
                  <c:v>-0.1</c:v>
                </c:pt>
                <c:pt idx="46">
                  <c:v>-0.16</c:v>
                </c:pt>
                <c:pt idx="47">
                  <c:v>-0.03</c:v>
                </c:pt>
                <c:pt idx="48">
                  <c:v>-0.06</c:v>
                </c:pt>
                <c:pt idx="49">
                  <c:v>0.01</c:v>
                </c:pt>
                <c:pt idx="50">
                  <c:v>0.17</c:v>
                </c:pt>
                <c:pt idx="51">
                  <c:v>0</c:v>
                </c:pt>
                <c:pt idx="52">
                  <c:v>-0.05</c:v>
                </c:pt>
                <c:pt idx="53">
                  <c:v>-0.11</c:v>
                </c:pt>
                <c:pt idx="54">
                  <c:v>-0.05</c:v>
                </c:pt>
              </c:numCache>
            </c:numRef>
          </c:val>
          <c:smooth val="0"/>
          <c:extLst>
            <c:ext xmlns:c16="http://schemas.microsoft.com/office/drawing/2014/chart" uri="{C3380CC4-5D6E-409C-BE32-E72D297353CC}">
              <c16:uniqueId val="{00000000-B42B-4604-BE97-2137E0308187}"/>
            </c:ext>
          </c:extLst>
        </c:ser>
        <c:ser>
          <c:idx val="1"/>
          <c:order val="1"/>
          <c:tx>
            <c:strRef>
              <c:f>'1.3D'!$T$3</c:f>
              <c:strCache>
                <c:ptCount val="1"/>
                <c:pt idx="0">
                  <c:v>India</c:v>
                </c:pt>
              </c:strCache>
            </c:strRef>
          </c:tx>
          <c:spPr>
            <a:ln w="76200" cap="rnd">
              <a:solidFill>
                <a:schemeClr val="bg2"/>
              </a:solidFill>
              <a:round/>
            </a:ln>
            <a:effectLst/>
          </c:spPr>
          <c:marker>
            <c:symbol val="none"/>
          </c:marker>
          <c:cat>
            <c:numRef>
              <c:f>'1.3D'!$R$4:$R$58</c:f>
              <c:numCache>
                <c:formatCode>mmm\-yy</c:formatCode>
                <c:ptCount val="55"/>
                <c:pt idx="0">
                  <c:v>43862</c:v>
                </c:pt>
                <c:pt idx="1">
                  <c:v>43891</c:v>
                </c:pt>
                <c:pt idx="2">
                  <c:v>43922</c:v>
                </c:pt>
                <c:pt idx="3">
                  <c:v>43952</c:v>
                </c:pt>
                <c:pt idx="4">
                  <c:v>43983</c:v>
                </c:pt>
                <c:pt idx="5">
                  <c:v>44013</c:v>
                </c:pt>
                <c:pt idx="6">
                  <c:v>44044</c:v>
                </c:pt>
                <c:pt idx="7">
                  <c:v>44075</c:v>
                </c:pt>
                <c:pt idx="8">
                  <c:v>44105</c:v>
                </c:pt>
                <c:pt idx="9">
                  <c:v>44136</c:v>
                </c:pt>
                <c:pt idx="10">
                  <c:v>44166</c:v>
                </c:pt>
                <c:pt idx="11">
                  <c:v>44197</c:v>
                </c:pt>
                <c:pt idx="12">
                  <c:v>44228</c:v>
                </c:pt>
                <c:pt idx="13">
                  <c:v>44256</c:v>
                </c:pt>
                <c:pt idx="14">
                  <c:v>44287</c:v>
                </c:pt>
                <c:pt idx="15">
                  <c:v>44317</c:v>
                </c:pt>
                <c:pt idx="16">
                  <c:v>44348</c:v>
                </c:pt>
                <c:pt idx="17">
                  <c:v>44378</c:v>
                </c:pt>
                <c:pt idx="18">
                  <c:v>44409</c:v>
                </c:pt>
                <c:pt idx="19">
                  <c:v>44440</c:v>
                </c:pt>
                <c:pt idx="20">
                  <c:v>44470</c:v>
                </c:pt>
                <c:pt idx="21">
                  <c:v>44501</c:v>
                </c:pt>
                <c:pt idx="22">
                  <c:v>44531</c:v>
                </c:pt>
                <c:pt idx="23">
                  <c:v>44562</c:v>
                </c:pt>
                <c:pt idx="24">
                  <c:v>44593</c:v>
                </c:pt>
                <c:pt idx="25">
                  <c:v>44621</c:v>
                </c:pt>
                <c:pt idx="26">
                  <c:v>44652</c:v>
                </c:pt>
                <c:pt idx="27">
                  <c:v>44682</c:v>
                </c:pt>
                <c:pt idx="28">
                  <c:v>44713</c:v>
                </c:pt>
                <c:pt idx="29">
                  <c:v>44743</c:v>
                </c:pt>
                <c:pt idx="30">
                  <c:v>44774</c:v>
                </c:pt>
                <c:pt idx="31">
                  <c:v>44805</c:v>
                </c:pt>
                <c:pt idx="32">
                  <c:v>44835</c:v>
                </c:pt>
                <c:pt idx="33">
                  <c:v>44866</c:v>
                </c:pt>
                <c:pt idx="34">
                  <c:v>44896</c:v>
                </c:pt>
                <c:pt idx="35">
                  <c:v>44927</c:v>
                </c:pt>
                <c:pt idx="36">
                  <c:v>44958</c:v>
                </c:pt>
                <c:pt idx="37">
                  <c:v>44986</c:v>
                </c:pt>
                <c:pt idx="38">
                  <c:v>45017</c:v>
                </c:pt>
                <c:pt idx="39">
                  <c:v>45047</c:v>
                </c:pt>
                <c:pt idx="40">
                  <c:v>45078</c:v>
                </c:pt>
                <c:pt idx="41">
                  <c:v>45108</c:v>
                </c:pt>
                <c:pt idx="42">
                  <c:v>45139</c:v>
                </c:pt>
                <c:pt idx="43">
                  <c:v>45170</c:v>
                </c:pt>
                <c:pt idx="44">
                  <c:v>45200</c:v>
                </c:pt>
                <c:pt idx="45">
                  <c:v>45231</c:v>
                </c:pt>
                <c:pt idx="46">
                  <c:v>45261</c:v>
                </c:pt>
                <c:pt idx="47">
                  <c:v>45292</c:v>
                </c:pt>
                <c:pt idx="48">
                  <c:v>45323</c:v>
                </c:pt>
                <c:pt idx="49">
                  <c:v>45352</c:v>
                </c:pt>
                <c:pt idx="50">
                  <c:v>45383</c:v>
                </c:pt>
                <c:pt idx="51">
                  <c:v>45413</c:v>
                </c:pt>
                <c:pt idx="52">
                  <c:v>45444</c:v>
                </c:pt>
                <c:pt idx="53">
                  <c:v>45474</c:v>
                </c:pt>
                <c:pt idx="54">
                  <c:v>45505</c:v>
                </c:pt>
              </c:numCache>
            </c:numRef>
          </c:cat>
          <c:val>
            <c:numRef>
              <c:f>'1.3D'!$T$4:$T$58</c:f>
              <c:numCache>
                <c:formatCode>0.00</c:formatCode>
                <c:ptCount val="55"/>
                <c:pt idx="0">
                  <c:v>#N/A</c:v>
                </c:pt>
                <c:pt idx="1">
                  <c:v>-1.03</c:v>
                </c:pt>
                <c:pt idx="2">
                  <c:v>#N/A</c:v>
                </c:pt>
                <c:pt idx="3">
                  <c:v>-2.0099999999999998</c:v>
                </c:pt>
                <c:pt idx="4">
                  <c:v>#N/A</c:v>
                </c:pt>
                <c:pt idx="5">
                  <c:v>-2.5299999999999998</c:v>
                </c:pt>
                <c:pt idx="6">
                  <c:v>#N/A</c:v>
                </c:pt>
                <c:pt idx="7">
                  <c:v>-2.77</c:v>
                </c:pt>
                <c:pt idx="8">
                  <c:v>#N/A</c:v>
                </c:pt>
                <c:pt idx="9">
                  <c:v>-2.69</c:v>
                </c:pt>
                <c:pt idx="10">
                  <c:v>#N/A</c:v>
                </c:pt>
                <c:pt idx="11">
                  <c:v>-2.57</c:v>
                </c:pt>
                <c:pt idx="12">
                  <c:v>#N/A</c:v>
                </c:pt>
                <c:pt idx="13">
                  <c:v>-2.69</c:v>
                </c:pt>
                <c:pt idx="14">
                  <c:v>#N/A</c:v>
                </c:pt>
                <c:pt idx="15">
                  <c:v>-2.81</c:v>
                </c:pt>
                <c:pt idx="16">
                  <c:v>#N/A</c:v>
                </c:pt>
                <c:pt idx="17">
                  <c:v>-2.77</c:v>
                </c:pt>
                <c:pt idx="18">
                  <c:v>#N/A</c:v>
                </c:pt>
                <c:pt idx="19">
                  <c:v>-2.27</c:v>
                </c:pt>
                <c:pt idx="20">
                  <c:v>#N/A</c:v>
                </c:pt>
                <c:pt idx="21">
                  <c:v>-2.0699999999999998</c:v>
                </c:pt>
                <c:pt idx="22">
                  <c:v>#N/A</c:v>
                </c:pt>
                <c:pt idx="23">
                  <c:v>-2.06</c:v>
                </c:pt>
                <c:pt idx="24">
                  <c:v>#N/A</c:v>
                </c:pt>
                <c:pt idx="25">
                  <c:v>-1.75</c:v>
                </c:pt>
                <c:pt idx="26">
                  <c:v>#N/A</c:v>
                </c:pt>
                <c:pt idx="27">
                  <c:v>-1.31</c:v>
                </c:pt>
                <c:pt idx="28">
                  <c:v>#N/A</c:v>
                </c:pt>
                <c:pt idx="29">
                  <c:v>-1.1299999999999999</c:v>
                </c:pt>
                <c:pt idx="30">
                  <c:v>#N/A</c:v>
                </c:pt>
                <c:pt idx="31">
                  <c:v>-1.03</c:v>
                </c:pt>
                <c:pt idx="32">
                  <c:v>#N/A</c:v>
                </c:pt>
                <c:pt idx="33">
                  <c:v>-0.94</c:v>
                </c:pt>
                <c:pt idx="34">
                  <c:v>#N/A</c:v>
                </c:pt>
                <c:pt idx="35">
                  <c:v>-0.9</c:v>
                </c:pt>
                <c:pt idx="36">
                  <c:v>#N/A</c:v>
                </c:pt>
                <c:pt idx="37">
                  <c:v>-0.88</c:v>
                </c:pt>
                <c:pt idx="38">
                  <c:v>#N/A</c:v>
                </c:pt>
                <c:pt idx="39">
                  <c:v>-0.6</c:v>
                </c:pt>
                <c:pt idx="40">
                  <c:v>#N/A</c:v>
                </c:pt>
                <c:pt idx="41">
                  <c:v>-0.52</c:v>
                </c:pt>
                <c:pt idx="42">
                  <c:v>#N/A</c:v>
                </c:pt>
                <c:pt idx="43">
                  <c:v>-0.38</c:v>
                </c:pt>
                <c:pt idx="44">
                  <c:v>#N/A</c:v>
                </c:pt>
                <c:pt idx="45">
                  <c:v>-0.44</c:v>
                </c:pt>
                <c:pt idx="46">
                  <c:v>#N/A</c:v>
                </c:pt>
                <c:pt idx="47">
                  <c:v>-0.3</c:v>
                </c:pt>
                <c:pt idx="48">
                  <c:v>#N/A</c:v>
                </c:pt>
                <c:pt idx="49">
                  <c:v>-0.22</c:v>
                </c:pt>
                <c:pt idx="50">
                  <c:v>#N/A</c:v>
                </c:pt>
                <c:pt idx="51">
                  <c:v>-0.12</c:v>
                </c:pt>
                <c:pt idx="52">
                  <c:v>#N/A</c:v>
                </c:pt>
                <c:pt idx="53">
                  <c:v>-0.2</c:v>
                </c:pt>
              </c:numCache>
            </c:numRef>
          </c:val>
          <c:smooth val="0"/>
          <c:extLst>
            <c:ext xmlns:c16="http://schemas.microsoft.com/office/drawing/2014/chart" uri="{C3380CC4-5D6E-409C-BE32-E72D297353CC}">
              <c16:uniqueId val="{00000001-B42B-4604-BE97-2137E0308187}"/>
            </c:ext>
          </c:extLst>
        </c:ser>
        <c:ser>
          <c:idx val="2"/>
          <c:order val="2"/>
          <c:tx>
            <c:strRef>
              <c:f>'1.3D'!$U$3</c:f>
              <c:strCache>
                <c:ptCount val="1"/>
                <c:pt idx="0">
                  <c:v>Pakistan</c:v>
                </c:pt>
              </c:strCache>
            </c:strRef>
          </c:tx>
          <c:spPr>
            <a:ln w="76200" cap="rnd">
              <a:solidFill>
                <a:schemeClr val="accent1"/>
              </a:solidFill>
              <a:round/>
            </a:ln>
            <a:effectLst/>
          </c:spPr>
          <c:marker>
            <c:symbol val="none"/>
          </c:marker>
          <c:cat>
            <c:numRef>
              <c:f>'1.3D'!$R$4:$R$58</c:f>
              <c:numCache>
                <c:formatCode>mmm\-yy</c:formatCode>
                <c:ptCount val="55"/>
                <c:pt idx="0">
                  <c:v>43862</c:v>
                </c:pt>
                <c:pt idx="1">
                  <c:v>43891</c:v>
                </c:pt>
                <c:pt idx="2">
                  <c:v>43922</c:v>
                </c:pt>
                <c:pt idx="3">
                  <c:v>43952</c:v>
                </c:pt>
                <c:pt idx="4">
                  <c:v>43983</c:v>
                </c:pt>
                <c:pt idx="5">
                  <c:v>44013</c:v>
                </c:pt>
                <c:pt idx="6">
                  <c:v>44044</c:v>
                </c:pt>
                <c:pt idx="7">
                  <c:v>44075</c:v>
                </c:pt>
                <c:pt idx="8">
                  <c:v>44105</c:v>
                </c:pt>
                <c:pt idx="9">
                  <c:v>44136</c:v>
                </c:pt>
                <c:pt idx="10">
                  <c:v>44166</c:v>
                </c:pt>
                <c:pt idx="11">
                  <c:v>44197</c:v>
                </c:pt>
                <c:pt idx="12">
                  <c:v>44228</c:v>
                </c:pt>
                <c:pt idx="13">
                  <c:v>44256</c:v>
                </c:pt>
                <c:pt idx="14">
                  <c:v>44287</c:v>
                </c:pt>
                <c:pt idx="15">
                  <c:v>44317</c:v>
                </c:pt>
                <c:pt idx="16">
                  <c:v>44348</c:v>
                </c:pt>
                <c:pt idx="17">
                  <c:v>44378</c:v>
                </c:pt>
                <c:pt idx="18">
                  <c:v>44409</c:v>
                </c:pt>
                <c:pt idx="19">
                  <c:v>44440</c:v>
                </c:pt>
                <c:pt idx="20">
                  <c:v>44470</c:v>
                </c:pt>
                <c:pt idx="21">
                  <c:v>44501</c:v>
                </c:pt>
                <c:pt idx="22">
                  <c:v>44531</c:v>
                </c:pt>
                <c:pt idx="23">
                  <c:v>44562</c:v>
                </c:pt>
                <c:pt idx="24">
                  <c:v>44593</c:v>
                </c:pt>
                <c:pt idx="25">
                  <c:v>44621</c:v>
                </c:pt>
                <c:pt idx="26">
                  <c:v>44652</c:v>
                </c:pt>
                <c:pt idx="27">
                  <c:v>44682</c:v>
                </c:pt>
                <c:pt idx="28">
                  <c:v>44713</c:v>
                </c:pt>
                <c:pt idx="29">
                  <c:v>44743</c:v>
                </c:pt>
                <c:pt idx="30">
                  <c:v>44774</c:v>
                </c:pt>
                <c:pt idx="31">
                  <c:v>44805</c:v>
                </c:pt>
                <c:pt idx="32">
                  <c:v>44835</c:v>
                </c:pt>
                <c:pt idx="33">
                  <c:v>44866</c:v>
                </c:pt>
                <c:pt idx="34">
                  <c:v>44896</c:v>
                </c:pt>
                <c:pt idx="35">
                  <c:v>44927</c:v>
                </c:pt>
                <c:pt idx="36">
                  <c:v>44958</c:v>
                </c:pt>
                <c:pt idx="37">
                  <c:v>44986</c:v>
                </c:pt>
                <c:pt idx="38">
                  <c:v>45017</c:v>
                </c:pt>
                <c:pt idx="39">
                  <c:v>45047</c:v>
                </c:pt>
                <c:pt idx="40">
                  <c:v>45078</c:v>
                </c:pt>
                <c:pt idx="41">
                  <c:v>45108</c:v>
                </c:pt>
                <c:pt idx="42">
                  <c:v>45139</c:v>
                </c:pt>
                <c:pt idx="43">
                  <c:v>45170</c:v>
                </c:pt>
                <c:pt idx="44">
                  <c:v>45200</c:v>
                </c:pt>
                <c:pt idx="45">
                  <c:v>45231</c:v>
                </c:pt>
                <c:pt idx="46">
                  <c:v>45261</c:v>
                </c:pt>
                <c:pt idx="47">
                  <c:v>45292</c:v>
                </c:pt>
                <c:pt idx="48">
                  <c:v>45323</c:v>
                </c:pt>
                <c:pt idx="49">
                  <c:v>45352</c:v>
                </c:pt>
                <c:pt idx="50">
                  <c:v>45383</c:v>
                </c:pt>
                <c:pt idx="51">
                  <c:v>45413</c:v>
                </c:pt>
                <c:pt idx="52">
                  <c:v>45444</c:v>
                </c:pt>
                <c:pt idx="53">
                  <c:v>45474</c:v>
                </c:pt>
                <c:pt idx="54">
                  <c:v>45505</c:v>
                </c:pt>
              </c:numCache>
            </c:numRef>
          </c:cat>
          <c:val>
            <c:numRef>
              <c:f>'1.3D'!$U$4:$U$58</c:f>
              <c:numCache>
                <c:formatCode>0.0000</c:formatCode>
                <c:ptCount val="55"/>
                <c:pt idx="0">
                  <c:v>#N/A</c:v>
                </c:pt>
                <c:pt idx="1">
                  <c:v>-0.84</c:v>
                </c:pt>
                <c:pt idx="2">
                  <c:v>#N/A</c:v>
                </c:pt>
                <c:pt idx="3">
                  <c:v>-1.35</c:v>
                </c:pt>
                <c:pt idx="4">
                  <c:v>#N/A</c:v>
                </c:pt>
                <c:pt idx="5">
                  <c:v>-1.86</c:v>
                </c:pt>
                <c:pt idx="6">
                  <c:v>#N/A</c:v>
                </c:pt>
                <c:pt idx="7">
                  <c:v>-0.92</c:v>
                </c:pt>
                <c:pt idx="8">
                  <c:v>#N/A</c:v>
                </c:pt>
                <c:pt idx="9">
                  <c:v>-1.24</c:v>
                </c:pt>
                <c:pt idx="10">
                  <c:v>#N/A</c:v>
                </c:pt>
                <c:pt idx="11">
                  <c:v>-0.85</c:v>
                </c:pt>
                <c:pt idx="12">
                  <c:v>#N/A</c:v>
                </c:pt>
                <c:pt idx="13">
                  <c:v>-1.18</c:v>
                </c:pt>
                <c:pt idx="14">
                  <c:v>#N/A</c:v>
                </c:pt>
                <c:pt idx="15">
                  <c:v>-1.28</c:v>
                </c:pt>
                <c:pt idx="16">
                  <c:v>#N/A</c:v>
                </c:pt>
                <c:pt idx="17">
                  <c:v>-0.66</c:v>
                </c:pt>
                <c:pt idx="18">
                  <c:v>#N/A</c:v>
                </c:pt>
                <c:pt idx="19">
                  <c:v>-1.05</c:v>
                </c:pt>
                <c:pt idx="20">
                  <c:v>#N/A</c:v>
                </c:pt>
                <c:pt idx="21">
                  <c:v>-1.55</c:v>
                </c:pt>
                <c:pt idx="22">
                  <c:v>#N/A</c:v>
                </c:pt>
                <c:pt idx="23">
                  <c:v>-1.56</c:v>
                </c:pt>
                <c:pt idx="24">
                  <c:v>#N/A</c:v>
                </c:pt>
                <c:pt idx="25">
                  <c:v>-1.34</c:v>
                </c:pt>
                <c:pt idx="26">
                  <c:v>#N/A</c:v>
                </c:pt>
                <c:pt idx="27">
                  <c:v>-1.25</c:v>
                </c:pt>
                <c:pt idx="28">
                  <c:v>#N/A</c:v>
                </c:pt>
                <c:pt idx="29">
                  <c:v>-2.5099999999999998</c:v>
                </c:pt>
                <c:pt idx="30">
                  <c:v>#N/A</c:v>
                </c:pt>
                <c:pt idx="31">
                  <c:v>-1.99</c:v>
                </c:pt>
                <c:pt idx="32">
                  <c:v>#N/A</c:v>
                </c:pt>
                <c:pt idx="33">
                  <c:v>-2.09</c:v>
                </c:pt>
                <c:pt idx="34">
                  <c:v>#N/A</c:v>
                </c:pt>
                <c:pt idx="35">
                  <c:v>-2.2799999999999998</c:v>
                </c:pt>
                <c:pt idx="36">
                  <c:v>-2.66</c:v>
                </c:pt>
                <c:pt idx="37">
                  <c:v>-2.67</c:v>
                </c:pt>
                <c:pt idx="38">
                  <c:v>-2.86</c:v>
                </c:pt>
                <c:pt idx="39">
                  <c:v>-2.25</c:v>
                </c:pt>
                <c:pt idx="40">
                  <c:v>-1.85</c:v>
                </c:pt>
                <c:pt idx="41">
                  <c:v>-1.91</c:v>
                </c:pt>
                <c:pt idx="42">
                  <c:v>-2.2000000000000002</c:v>
                </c:pt>
                <c:pt idx="43">
                  <c:v>-3.14</c:v>
                </c:pt>
                <c:pt idx="44">
                  <c:v>-2.35</c:v>
                </c:pt>
                <c:pt idx="45">
                  <c:v>-1.94</c:v>
                </c:pt>
                <c:pt idx="46">
                  <c:v>-2.21</c:v>
                </c:pt>
                <c:pt idx="47">
                  <c:v>-2.2999999999999998</c:v>
                </c:pt>
                <c:pt idx="48">
                  <c:v>-2.2799999999999998</c:v>
                </c:pt>
                <c:pt idx="49">
                  <c:v>-2.0699999999999998</c:v>
                </c:pt>
                <c:pt idx="50">
                  <c:v>-2.25</c:v>
                </c:pt>
                <c:pt idx="51">
                  <c:v>-1.89</c:v>
                </c:pt>
                <c:pt idx="52">
                  <c:v>-1.34</c:v>
                </c:pt>
                <c:pt idx="53">
                  <c:v>-2.4900000000000002</c:v>
                </c:pt>
                <c:pt idx="54">
                  <c:v>-2.57</c:v>
                </c:pt>
              </c:numCache>
            </c:numRef>
          </c:val>
          <c:smooth val="0"/>
          <c:extLst>
            <c:ext xmlns:c16="http://schemas.microsoft.com/office/drawing/2014/chart" uri="{C3380CC4-5D6E-409C-BE32-E72D297353CC}">
              <c16:uniqueId val="{00000002-B42B-4604-BE97-2137E0308187}"/>
            </c:ext>
          </c:extLst>
        </c:ser>
        <c:dLbls>
          <c:showLegendKey val="0"/>
          <c:showVal val="0"/>
          <c:showCatName val="0"/>
          <c:showSerName val="0"/>
          <c:showPercent val="0"/>
          <c:showBubbleSize val="0"/>
        </c:dLbls>
        <c:smooth val="0"/>
        <c:axId val="698479775"/>
        <c:axId val="698477855"/>
      </c:lineChart>
      <c:dateAx>
        <c:axId val="698479775"/>
        <c:scaling>
          <c:orientation val="minMax"/>
        </c:scaling>
        <c:delete val="0"/>
        <c:axPos val="b"/>
        <c:numFmt formatCode="mmm\-yy" sourceLinked="1"/>
        <c:majorTickMark val="none"/>
        <c:minorTickMark val="none"/>
        <c:tickLblPos val="low"/>
        <c:spPr>
          <a:noFill/>
          <a:ln w="9525" cap="flat" cmpd="sng" algn="ctr">
            <a:solidFill>
              <a:schemeClr val="tx1"/>
            </a:solidFill>
            <a:round/>
          </a:ln>
          <a:effectLst/>
        </c:spPr>
        <c:txPr>
          <a:bodyPr rot="-5400000" spcFirstLastPara="1" vertOverflow="ellipsis" wrap="square" anchor="b"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98477855"/>
        <c:crossesAt val="0"/>
        <c:auto val="0"/>
        <c:lblOffset val="100"/>
        <c:baseTimeUnit val="months"/>
        <c:majorUnit val="6"/>
        <c:majorTimeUnit val="months"/>
      </c:dateAx>
      <c:valAx>
        <c:axId val="698477855"/>
        <c:scaling>
          <c:orientation val="minMax"/>
          <c:max val="0.5"/>
          <c:min val="-3.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98479775"/>
        <c:crosses val="autoZero"/>
        <c:crossBetween val="between"/>
        <c:majorUnit val="1"/>
      </c:valAx>
      <c:spPr>
        <a:noFill/>
        <a:ln>
          <a:noFill/>
        </a:ln>
        <a:effectLst/>
      </c:spPr>
    </c:plotArea>
    <c:legend>
      <c:legendPos val="t"/>
      <c:layout>
        <c:manualLayout>
          <c:xMode val="edge"/>
          <c:yMode val="edge"/>
          <c:x val="0.17450122361737247"/>
          <c:y val="8.1481481481481488E-2"/>
          <c:w val="0.7023462091355781"/>
          <c:h val="0.15072674249052201"/>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'1.3E'!$U$3</c:f>
              <c:strCache>
                <c:ptCount val="1"/>
                <c:pt idx="0">
                  <c:v>World</c:v>
                </c:pt>
              </c:strCache>
            </c:strRef>
          </c:tx>
          <c:spPr>
            <a:solidFill>
              <a:schemeClr val="tx2"/>
            </a:solidFill>
            <a:ln>
              <a:noFill/>
            </a:ln>
            <a:effectLst/>
          </c:spPr>
          <c:invertIfNegative val="0"/>
          <c:cat>
            <c:strRef>
              <c:f>'1.3E'!$R$4:$R$6</c:f>
              <c:strCache>
                <c:ptCount val="3"/>
                <c:pt idx="0">
                  <c:v>Jul-22</c:v>
                </c:pt>
                <c:pt idx="1">
                  <c:v>Jul-23</c:v>
                </c:pt>
                <c:pt idx="2">
                  <c:v>Latest 2024</c:v>
                </c:pt>
              </c:strCache>
            </c:strRef>
          </c:cat>
          <c:val>
            <c:numRef>
              <c:f>'1.3E'!$U$4:$U$6</c:f>
              <c:numCache>
                <c:formatCode>0</c:formatCode>
                <c:ptCount val="3"/>
                <c:pt idx="0">
                  <c:v>-24</c:v>
                </c:pt>
                <c:pt idx="1">
                  <c:v>-6.7</c:v>
                </c:pt>
                <c:pt idx="2">
                  <c:v>-2</c:v>
                </c:pt>
              </c:numCache>
            </c:numRef>
          </c:val>
          <c:extLst>
            <c:ext xmlns:c16="http://schemas.microsoft.com/office/drawing/2014/chart" uri="{C3380CC4-5D6E-409C-BE32-E72D297353CC}">
              <c16:uniqueId val="{00000000-664C-498B-B47C-19B92ACAAF36}"/>
            </c:ext>
          </c:extLst>
        </c:ser>
        <c:ser>
          <c:idx val="1"/>
          <c:order val="1"/>
          <c:tx>
            <c:strRef>
              <c:f>'1.3E'!$S$3</c:f>
              <c:strCache>
                <c:ptCount val="1"/>
                <c:pt idx="0">
                  <c:v>SAR</c:v>
                </c:pt>
              </c:strCache>
            </c:strRef>
          </c:tx>
          <c:spPr>
            <a:solidFill>
              <a:schemeClr val="bg2"/>
            </a:solidFill>
            <a:ln>
              <a:noFill/>
            </a:ln>
            <a:effectLst/>
          </c:spPr>
          <c:invertIfNegative val="0"/>
          <c:cat>
            <c:strRef>
              <c:f>'1.3E'!$R$4:$R$6</c:f>
              <c:strCache>
                <c:ptCount val="3"/>
                <c:pt idx="0">
                  <c:v>Jul-22</c:v>
                </c:pt>
                <c:pt idx="1">
                  <c:v>Jul-23</c:v>
                </c:pt>
                <c:pt idx="2">
                  <c:v>Latest 2024</c:v>
                </c:pt>
              </c:strCache>
            </c:strRef>
          </c:cat>
          <c:val>
            <c:numRef>
              <c:f>'1.3E'!$S$4:$S$6</c:f>
              <c:numCache>
                <c:formatCode>0</c:formatCode>
                <c:ptCount val="3"/>
                <c:pt idx="0">
                  <c:v>-21.3</c:v>
                </c:pt>
                <c:pt idx="1">
                  <c:v>-2.6</c:v>
                </c:pt>
                <c:pt idx="2">
                  <c:v>4.3</c:v>
                </c:pt>
              </c:numCache>
            </c:numRef>
          </c:val>
          <c:extLst>
            <c:ext xmlns:c16="http://schemas.microsoft.com/office/drawing/2014/chart" uri="{C3380CC4-5D6E-409C-BE32-E72D297353CC}">
              <c16:uniqueId val="{00000001-664C-498B-B47C-19B92ACAAF36}"/>
            </c:ext>
          </c:extLst>
        </c:ser>
        <c:ser>
          <c:idx val="2"/>
          <c:order val="2"/>
          <c:tx>
            <c:strRef>
              <c:f>'1.3E'!$T$3</c:f>
              <c:strCache>
                <c:ptCount val="1"/>
                <c:pt idx="0">
                  <c:v>SAR excl. India</c:v>
                </c:pt>
              </c:strCache>
            </c:strRef>
          </c:tx>
          <c:spPr>
            <a:solidFill>
              <a:schemeClr val="accent1"/>
            </a:solidFill>
            <a:ln>
              <a:noFill/>
            </a:ln>
            <a:effectLst/>
          </c:spPr>
          <c:invertIfNegative val="0"/>
          <c:cat>
            <c:strRef>
              <c:f>'1.3E'!$R$4:$R$6</c:f>
              <c:strCache>
                <c:ptCount val="3"/>
                <c:pt idx="0">
                  <c:v>Jul-22</c:v>
                </c:pt>
                <c:pt idx="1">
                  <c:v>Jul-23</c:v>
                </c:pt>
                <c:pt idx="2">
                  <c:v>Latest 2024</c:v>
                </c:pt>
              </c:strCache>
            </c:strRef>
          </c:cat>
          <c:val>
            <c:numRef>
              <c:f>'1.3E'!$T$4:$T$6</c:f>
              <c:numCache>
                <c:formatCode>0</c:formatCode>
                <c:ptCount val="3"/>
                <c:pt idx="0">
                  <c:v>-29.3</c:v>
                </c:pt>
                <c:pt idx="1">
                  <c:v>8.6999999999999993</c:v>
                </c:pt>
                <c:pt idx="2">
                  <c:v>24.7</c:v>
                </c:pt>
              </c:numCache>
            </c:numRef>
          </c:val>
          <c:extLst>
            <c:ext xmlns:c16="http://schemas.microsoft.com/office/drawing/2014/chart" uri="{C3380CC4-5D6E-409C-BE32-E72D297353CC}">
              <c16:uniqueId val="{00000002-664C-498B-B47C-19B92ACAAF36}"/>
            </c:ext>
          </c:extLst>
        </c:ser>
        <c:dLbls>
          <c:showLegendKey val="0"/>
          <c:showVal val="0"/>
          <c:showCatName val="0"/>
          <c:showSerName val="0"/>
          <c:showPercent val="0"/>
          <c:showBubbleSize val="0"/>
        </c:dLbls>
        <c:gapWidth val="150"/>
        <c:overlap val="-11"/>
        <c:axId val="1159656336"/>
        <c:axId val="1159656816"/>
      </c:barChart>
      <c:catAx>
        <c:axId val="115965633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59656816"/>
        <c:crosses val="autoZero"/>
        <c:auto val="1"/>
        <c:lblAlgn val="ctr"/>
        <c:lblOffset val="100"/>
        <c:noMultiLvlLbl val="0"/>
      </c:catAx>
      <c:valAx>
        <c:axId val="1159656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59656336"/>
        <c:crosses val="autoZero"/>
        <c:crossBetween val="between"/>
        <c:majorUnit val="20"/>
      </c:valAx>
      <c:spPr>
        <a:noFill/>
        <a:ln>
          <a:noFill/>
        </a:ln>
        <a:effectLst/>
      </c:spPr>
    </c:plotArea>
    <c:legend>
      <c:legendPos val="t"/>
      <c:layout>
        <c:manualLayout>
          <c:xMode val="edge"/>
          <c:yMode val="edge"/>
          <c:x val="0.12938105835116279"/>
          <c:y val="0.10421460552725027"/>
          <c:w val="0.80356824146981642"/>
          <c:h val="8.107494115834432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'1.3F'!$S$3</c:f>
              <c:strCache>
                <c:ptCount val="1"/>
                <c:pt idx="0">
                  <c:v>EMDE excl. SAR</c:v>
                </c:pt>
              </c:strCache>
            </c:strRef>
          </c:tx>
          <c:spPr>
            <a:solidFill>
              <a:srgbClr val="002345"/>
            </a:solidFill>
            <a:ln w="76200">
              <a:noFill/>
            </a:ln>
            <a:effectLst/>
          </c:spPr>
          <c:invertIfNegative val="0"/>
          <c:cat>
            <c:strRef>
              <c:f>'1.3F'!$R$4:$R$6</c:f>
              <c:strCache>
                <c:ptCount val="3"/>
                <c:pt idx="0">
                  <c:v>2022Q3</c:v>
                </c:pt>
                <c:pt idx="1">
                  <c:v>2023Q3</c:v>
                </c:pt>
                <c:pt idx="2">
                  <c:v>2024Q1</c:v>
                </c:pt>
              </c:strCache>
            </c:strRef>
          </c:cat>
          <c:val>
            <c:numRef>
              <c:f>'1.3F'!$S$4:$S$6</c:f>
              <c:numCache>
                <c:formatCode>0.0</c:formatCode>
                <c:ptCount val="3"/>
                <c:pt idx="0">
                  <c:v>-35</c:v>
                </c:pt>
                <c:pt idx="1">
                  <c:v>-12.3</c:v>
                </c:pt>
                <c:pt idx="2">
                  <c:v>-4.3</c:v>
                </c:pt>
              </c:numCache>
            </c:numRef>
          </c:val>
          <c:extLst>
            <c:ext xmlns:c16="http://schemas.microsoft.com/office/drawing/2014/chart" uri="{C3380CC4-5D6E-409C-BE32-E72D297353CC}">
              <c16:uniqueId val="{00000000-C384-4929-8215-B076C2A8D42D}"/>
            </c:ext>
          </c:extLst>
        </c:ser>
        <c:ser>
          <c:idx val="1"/>
          <c:order val="1"/>
          <c:tx>
            <c:strRef>
              <c:f>'1.3F'!$T$3</c:f>
              <c:strCache>
                <c:ptCount val="1"/>
                <c:pt idx="0">
                  <c:v>SAR</c:v>
                </c:pt>
              </c:strCache>
            </c:strRef>
          </c:tx>
          <c:spPr>
            <a:solidFill>
              <a:srgbClr val="EB1C2D"/>
            </a:solidFill>
            <a:ln w="76200">
              <a:noFill/>
            </a:ln>
            <a:effectLst/>
          </c:spPr>
          <c:invertIfNegative val="0"/>
          <c:cat>
            <c:strRef>
              <c:f>'1.3F'!$R$4:$R$6</c:f>
              <c:strCache>
                <c:ptCount val="3"/>
                <c:pt idx="0">
                  <c:v>2022Q3</c:v>
                </c:pt>
                <c:pt idx="1">
                  <c:v>2023Q3</c:v>
                </c:pt>
                <c:pt idx="2">
                  <c:v>2024Q1</c:v>
                </c:pt>
              </c:strCache>
            </c:strRef>
          </c:cat>
          <c:val>
            <c:numRef>
              <c:f>'1.3F'!$T$4:$T$6</c:f>
              <c:numCache>
                <c:formatCode>0.0</c:formatCode>
                <c:ptCount val="3"/>
                <c:pt idx="0">
                  <c:v>-21.6</c:v>
                </c:pt>
                <c:pt idx="1">
                  <c:v>3.3</c:v>
                </c:pt>
                <c:pt idx="2">
                  <c:v>25.2</c:v>
                </c:pt>
              </c:numCache>
            </c:numRef>
          </c:val>
          <c:extLst>
            <c:ext xmlns:c16="http://schemas.microsoft.com/office/drawing/2014/chart" uri="{C3380CC4-5D6E-409C-BE32-E72D297353CC}">
              <c16:uniqueId val="{00000001-C384-4929-8215-B076C2A8D42D}"/>
            </c:ext>
          </c:extLst>
        </c:ser>
        <c:ser>
          <c:idx val="2"/>
          <c:order val="2"/>
          <c:tx>
            <c:strRef>
              <c:f>'1.3F'!$U$3</c:f>
              <c:strCache>
                <c:ptCount val="1"/>
                <c:pt idx="0">
                  <c:v>SAR excl. India</c:v>
                </c:pt>
              </c:strCache>
            </c:strRef>
          </c:tx>
          <c:spPr>
            <a:solidFill>
              <a:srgbClr val="F78D28"/>
            </a:solidFill>
            <a:ln w="76200">
              <a:noFill/>
            </a:ln>
            <a:effectLst/>
          </c:spPr>
          <c:invertIfNegative val="0"/>
          <c:cat>
            <c:strRef>
              <c:f>'1.3F'!$R$4:$R$6</c:f>
              <c:strCache>
                <c:ptCount val="3"/>
                <c:pt idx="0">
                  <c:v>2022Q3</c:v>
                </c:pt>
                <c:pt idx="1">
                  <c:v>2023Q3</c:v>
                </c:pt>
                <c:pt idx="2">
                  <c:v>2024Q1</c:v>
                </c:pt>
              </c:strCache>
            </c:strRef>
          </c:cat>
          <c:val>
            <c:numRef>
              <c:f>'1.3F'!$U$4:$U$6</c:f>
              <c:numCache>
                <c:formatCode>0.0</c:formatCode>
                <c:ptCount val="3"/>
                <c:pt idx="0">
                  <c:v>-29.5</c:v>
                </c:pt>
                <c:pt idx="1">
                  <c:v>-1</c:v>
                </c:pt>
                <c:pt idx="2">
                  <c:v>1</c:v>
                </c:pt>
              </c:numCache>
            </c:numRef>
          </c:val>
          <c:extLst>
            <c:ext xmlns:c16="http://schemas.microsoft.com/office/drawing/2014/chart" uri="{C3380CC4-5D6E-409C-BE32-E72D297353CC}">
              <c16:uniqueId val="{00000002-C384-4929-8215-B076C2A8D42D}"/>
            </c:ext>
          </c:extLst>
        </c:ser>
        <c:dLbls>
          <c:showLegendKey val="0"/>
          <c:showVal val="0"/>
          <c:showCatName val="0"/>
          <c:showSerName val="0"/>
          <c:showPercent val="0"/>
          <c:showBubbleSize val="0"/>
        </c:dLbls>
        <c:gapWidth val="150"/>
        <c:overlap val="-11"/>
        <c:axId val="2051748928"/>
        <c:axId val="2051749408"/>
      </c:barChart>
      <c:catAx>
        <c:axId val="205174892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51749408"/>
        <c:crosses val="autoZero"/>
        <c:auto val="1"/>
        <c:lblAlgn val="ctr"/>
        <c:lblOffset val="100"/>
        <c:noMultiLvlLbl val="0"/>
      </c:catAx>
      <c:valAx>
        <c:axId val="20517494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51748928"/>
        <c:crosses val="autoZero"/>
        <c:crossBetween val="between"/>
      </c:valAx>
      <c:spPr>
        <a:noFill/>
        <a:ln>
          <a:noFill/>
        </a:ln>
        <a:effectLst/>
      </c:spPr>
    </c:plotArea>
    <c:legend>
      <c:legendPos val="t"/>
      <c:layout>
        <c:manualLayout>
          <c:xMode val="edge"/>
          <c:yMode val="edge"/>
          <c:x val="0.11545931873316577"/>
          <c:y val="0.12028639802377644"/>
          <c:w val="0.47848756293138711"/>
          <c:h val="0.2295842811315252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80084662119185"/>
          <c:y val="0.18397688362349202"/>
          <c:w val="0.86814905796942521"/>
          <c:h val="0.56608235209130964"/>
        </c:manualLayout>
      </c:layout>
      <c:lineChart>
        <c:grouping val="standard"/>
        <c:varyColors val="0"/>
        <c:ser>
          <c:idx val="0"/>
          <c:order val="0"/>
          <c:tx>
            <c:strRef>
              <c:f>'1.4A'!$S$3</c:f>
              <c:strCache>
                <c:ptCount val="1"/>
                <c:pt idx="0">
                  <c:v>SAR</c:v>
                </c:pt>
              </c:strCache>
            </c:strRef>
          </c:tx>
          <c:spPr>
            <a:ln w="76200" cap="rnd">
              <a:solidFill>
                <a:srgbClr val="00B0F0"/>
              </a:solidFill>
              <a:round/>
            </a:ln>
            <a:effectLst/>
          </c:spPr>
          <c:marker>
            <c:symbol val="none"/>
          </c:marker>
          <c:dPt>
            <c:idx val="0"/>
            <c:marker>
              <c:symbol val="diamond"/>
              <c:size val="25"/>
              <c:spPr>
                <a:solidFill>
                  <a:srgbClr val="00B0F0"/>
                </a:solidFill>
                <a:ln w="76200">
                  <a:noFill/>
                </a:ln>
                <a:effectLst/>
              </c:spPr>
            </c:marker>
            <c:bubble3D val="0"/>
            <c:extLst>
              <c:ext xmlns:c16="http://schemas.microsoft.com/office/drawing/2014/chart" uri="{C3380CC4-5D6E-409C-BE32-E72D297353CC}">
                <c16:uniqueId val="{00000000-C085-4C9B-8E8D-1AFEDB9B19F1}"/>
              </c:ext>
            </c:extLst>
          </c:dPt>
          <c:dPt>
            <c:idx val="1"/>
            <c:marker>
              <c:symbol val="none"/>
            </c:marker>
            <c:bubble3D val="0"/>
            <c:spPr>
              <a:ln w="76200" cap="rnd">
                <a:noFill/>
                <a:round/>
              </a:ln>
              <a:effectLst/>
            </c:spPr>
            <c:extLst>
              <c:ext xmlns:c16="http://schemas.microsoft.com/office/drawing/2014/chart" uri="{C3380CC4-5D6E-409C-BE32-E72D297353CC}">
                <c16:uniqueId val="{00000002-C085-4C9B-8E8D-1AFEDB9B19F1}"/>
              </c:ext>
            </c:extLst>
          </c:dPt>
          <c:cat>
            <c:strRef>
              <c:f>'1.4A'!$R$4:$R$24</c:f>
              <c:strCache>
                <c:ptCount val="21"/>
                <c:pt idx="0">
                  <c:v>Dec-19</c:v>
                </c:pt>
                <c:pt idx="1">
                  <c:v>Jan-23</c:v>
                </c:pt>
                <c:pt idx="2">
                  <c:v>Feb-23</c:v>
                </c:pt>
                <c:pt idx="3">
                  <c:v>Mar-23</c:v>
                </c:pt>
                <c:pt idx="4">
                  <c:v>Apr-23</c:v>
                </c:pt>
                <c:pt idx="5">
                  <c:v>May-23</c:v>
                </c:pt>
                <c:pt idx="6">
                  <c:v>Jun-23</c:v>
                </c:pt>
                <c:pt idx="7">
                  <c:v>Jul-23</c:v>
                </c:pt>
                <c:pt idx="8">
                  <c:v>Aug-23</c:v>
                </c:pt>
                <c:pt idx="9">
                  <c:v>Sep-23</c:v>
                </c:pt>
                <c:pt idx="10">
                  <c:v>Oct-23</c:v>
                </c:pt>
                <c:pt idx="11">
                  <c:v>Nov-23</c:v>
                </c:pt>
                <c:pt idx="12">
                  <c:v>Dec-23</c:v>
                </c:pt>
                <c:pt idx="13">
                  <c:v>Jan-24</c:v>
                </c:pt>
                <c:pt idx="14">
                  <c:v>Feb-24</c:v>
                </c:pt>
                <c:pt idx="15">
                  <c:v>Mar-24</c:v>
                </c:pt>
                <c:pt idx="16">
                  <c:v>Apr-24</c:v>
                </c:pt>
                <c:pt idx="17">
                  <c:v>May-24</c:v>
                </c:pt>
                <c:pt idx="18">
                  <c:v>Jun-24</c:v>
                </c:pt>
                <c:pt idx="19">
                  <c:v>Jul-24</c:v>
                </c:pt>
                <c:pt idx="20">
                  <c:v>Aug-24</c:v>
                </c:pt>
              </c:strCache>
            </c:strRef>
          </c:cat>
          <c:val>
            <c:numRef>
              <c:f>'1.4A'!$S$4:$S$23</c:f>
              <c:numCache>
                <c:formatCode>General</c:formatCode>
                <c:ptCount val="20"/>
                <c:pt idx="0">
                  <c:v>6.3</c:v>
                </c:pt>
                <c:pt idx="1">
                  <c:v>7.3</c:v>
                </c:pt>
                <c:pt idx="2">
                  <c:v>7.9</c:v>
                </c:pt>
                <c:pt idx="3">
                  <c:v>7.4</c:v>
                </c:pt>
                <c:pt idx="4">
                  <c:v>7.8</c:v>
                </c:pt>
                <c:pt idx="5">
                  <c:v>7.4</c:v>
                </c:pt>
                <c:pt idx="6">
                  <c:v>6.8</c:v>
                </c:pt>
                <c:pt idx="7">
                  <c:v>7.4</c:v>
                </c:pt>
                <c:pt idx="8">
                  <c:v>6.8</c:v>
                </c:pt>
                <c:pt idx="9">
                  <c:v>5.0999999999999996</c:v>
                </c:pt>
                <c:pt idx="10">
                  <c:v>5.0999999999999996</c:v>
                </c:pt>
                <c:pt idx="11">
                  <c:v>5.4</c:v>
                </c:pt>
                <c:pt idx="12">
                  <c:v>5</c:v>
                </c:pt>
                <c:pt idx="13">
                  <c:v>5.3</c:v>
                </c:pt>
                <c:pt idx="14">
                  <c:v>5.0999999999999996</c:v>
                </c:pt>
                <c:pt idx="15">
                  <c:v>4.9000000000000004</c:v>
                </c:pt>
                <c:pt idx="16">
                  <c:v>4.8</c:v>
                </c:pt>
                <c:pt idx="17">
                  <c:v>4.4000000000000004</c:v>
                </c:pt>
                <c:pt idx="18">
                  <c:v>4.2</c:v>
                </c:pt>
                <c:pt idx="19">
                  <c:v>3</c:v>
                </c:pt>
              </c:numCache>
            </c:numRef>
          </c:val>
          <c:smooth val="0"/>
          <c:extLst>
            <c:ext xmlns:c16="http://schemas.microsoft.com/office/drawing/2014/chart" uri="{C3380CC4-5D6E-409C-BE32-E72D297353CC}">
              <c16:uniqueId val="{00000003-C085-4C9B-8E8D-1AFEDB9B19F1}"/>
            </c:ext>
          </c:extLst>
        </c:ser>
        <c:ser>
          <c:idx val="1"/>
          <c:order val="1"/>
          <c:tx>
            <c:strRef>
              <c:f>'1.4A'!$T$3</c:f>
              <c:strCache>
                <c:ptCount val="1"/>
                <c:pt idx="0">
                  <c:v>SAR excl. India</c:v>
                </c:pt>
              </c:strCache>
            </c:strRef>
          </c:tx>
          <c:spPr>
            <a:ln w="76200" cap="rnd">
              <a:solidFill>
                <a:schemeClr val="tx2"/>
              </a:solidFill>
              <a:round/>
            </a:ln>
            <a:effectLst/>
          </c:spPr>
          <c:marker>
            <c:symbol val="none"/>
          </c:marker>
          <c:dPt>
            <c:idx val="0"/>
            <c:marker>
              <c:symbol val="diamond"/>
              <c:size val="25"/>
              <c:spPr>
                <a:solidFill>
                  <a:schemeClr val="tx2"/>
                </a:solidFill>
                <a:ln w="76200">
                  <a:noFill/>
                </a:ln>
                <a:effectLst/>
              </c:spPr>
            </c:marker>
            <c:bubble3D val="0"/>
            <c:extLst>
              <c:ext xmlns:c16="http://schemas.microsoft.com/office/drawing/2014/chart" uri="{C3380CC4-5D6E-409C-BE32-E72D297353CC}">
                <c16:uniqueId val="{00000004-C085-4C9B-8E8D-1AFEDB9B19F1}"/>
              </c:ext>
            </c:extLst>
          </c:dPt>
          <c:dPt>
            <c:idx val="1"/>
            <c:marker>
              <c:symbol val="none"/>
            </c:marker>
            <c:bubble3D val="0"/>
            <c:spPr>
              <a:ln w="76200" cap="rnd">
                <a:noFill/>
                <a:round/>
              </a:ln>
              <a:effectLst/>
            </c:spPr>
            <c:extLst>
              <c:ext xmlns:c16="http://schemas.microsoft.com/office/drawing/2014/chart" uri="{C3380CC4-5D6E-409C-BE32-E72D297353CC}">
                <c16:uniqueId val="{00000006-C085-4C9B-8E8D-1AFEDB9B19F1}"/>
              </c:ext>
            </c:extLst>
          </c:dPt>
          <c:cat>
            <c:strRef>
              <c:f>'1.4A'!$R$4:$R$24</c:f>
              <c:strCache>
                <c:ptCount val="21"/>
                <c:pt idx="0">
                  <c:v>Dec-19</c:v>
                </c:pt>
                <c:pt idx="1">
                  <c:v>Jan-23</c:v>
                </c:pt>
                <c:pt idx="2">
                  <c:v>Feb-23</c:v>
                </c:pt>
                <c:pt idx="3">
                  <c:v>Mar-23</c:v>
                </c:pt>
                <c:pt idx="4">
                  <c:v>Apr-23</c:v>
                </c:pt>
                <c:pt idx="5">
                  <c:v>May-23</c:v>
                </c:pt>
                <c:pt idx="6">
                  <c:v>Jun-23</c:v>
                </c:pt>
                <c:pt idx="7">
                  <c:v>Jul-23</c:v>
                </c:pt>
                <c:pt idx="8">
                  <c:v>Aug-23</c:v>
                </c:pt>
                <c:pt idx="9">
                  <c:v>Sep-23</c:v>
                </c:pt>
                <c:pt idx="10">
                  <c:v>Oct-23</c:v>
                </c:pt>
                <c:pt idx="11">
                  <c:v>Nov-23</c:v>
                </c:pt>
                <c:pt idx="12">
                  <c:v>Dec-23</c:v>
                </c:pt>
                <c:pt idx="13">
                  <c:v>Jan-24</c:v>
                </c:pt>
                <c:pt idx="14">
                  <c:v>Feb-24</c:v>
                </c:pt>
                <c:pt idx="15">
                  <c:v>Mar-24</c:v>
                </c:pt>
                <c:pt idx="16">
                  <c:v>Apr-24</c:v>
                </c:pt>
                <c:pt idx="17">
                  <c:v>May-24</c:v>
                </c:pt>
                <c:pt idx="18">
                  <c:v>Jun-24</c:v>
                </c:pt>
                <c:pt idx="19">
                  <c:v>Jul-24</c:v>
                </c:pt>
                <c:pt idx="20">
                  <c:v>Aug-24</c:v>
                </c:pt>
              </c:strCache>
            </c:strRef>
          </c:cat>
          <c:val>
            <c:numRef>
              <c:f>'1.4A'!$T$4:$T$23</c:f>
              <c:numCache>
                <c:formatCode>General</c:formatCode>
                <c:ptCount val="20"/>
                <c:pt idx="0">
                  <c:v>6</c:v>
                </c:pt>
                <c:pt idx="1">
                  <c:v>7.9</c:v>
                </c:pt>
                <c:pt idx="2">
                  <c:v>8.3000000000000007</c:v>
                </c:pt>
                <c:pt idx="3">
                  <c:v>8.4</c:v>
                </c:pt>
                <c:pt idx="4">
                  <c:v>8.5</c:v>
                </c:pt>
                <c:pt idx="5">
                  <c:v>8.6999999999999993</c:v>
                </c:pt>
                <c:pt idx="6">
                  <c:v>8.3000000000000007</c:v>
                </c:pt>
                <c:pt idx="7">
                  <c:v>6</c:v>
                </c:pt>
                <c:pt idx="8">
                  <c:v>6.1</c:v>
                </c:pt>
                <c:pt idx="9">
                  <c:v>6.6</c:v>
                </c:pt>
                <c:pt idx="10">
                  <c:v>6.3</c:v>
                </c:pt>
                <c:pt idx="11">
                  <c:v>5</c:v>
                </c:pt>
                <c:pt idx="12">
                  <c:v>5</c:v>
                </c:pt>
                <c:pt idx="13">
                  <c:v>5.9</c:v>
                </c:pt>
                <c:pt idx="14">
                  <c:v>5.0999999999999996</c:v>
                </c:pt>
                <c:pt idx="15">
                  <c:v>4.9000000000000004</c:v>
                </c:pt>
                <c:pt idx="16">
                  <c:v>4.8</c:v>
                </c:pt>
                <c:pt idx="17">
                  <c:v>3.3</c:v>
                </c:pt>
                <c:pt idx="18">
                  <c:v>3.3</c:v>
                </c:pt>
                <c:pt idx="19">
                  <c:v>2.5</c:v>
                </c:pt>
              </c:numCache>
            </c:numRef>
          </c:val>
          <c:smooth val="0"/>
          <c:extLst>
            <c:ext xmlns:c16="http://schemas.microsoft.com/office/drawing/2014/chart" uri="{C3380CC4-5D6E-409C-BE32-E72D297353CC}">
              <c16:uniqueId val="{00000007-C085-4C9B-8E8D-1AFEDB9B19F1}"/>
            </c:ext>
          </c:extLst>
        </c:ser>
        <c:ser>
          <c:idx val="2"/>
          <c:order val="2"/>
          <c:tx>
            <c:strRef>
              <c:f>'1.4A'!$U$3</c:f>
              <c:strCache>
                <c:ptCount val="1"/>
                <c:pt idx="0">
                  <c:v>AEs</c:v>
                </c:pt>
              </c:strCache>
            </c:strRef>
          </c:tx>
          <c:spPr>
            <a:ln w="76200" cap="rnd">
              <a:solidFill>
                <a:schemeClr val="bg2"/>
              </a:solidFill>
              <a:round/>
            </a:ln>
            <a:effectLst/>
          </c:spPr>
          <c:marker>
            <c:symbol val="none"/>
          </c:marker>
          <c:dPt>
            <c:idx val="0"/>
            <c:marker>
              <c:symbol val="diamond"/>
              <c:size val="25"/>
              <c:spPr>
                <a:solidFill>
                  <a:schemeClr val="bg2"/>
                </a:solidFill>
                <a:ln w="76200">
                  <a:noFill/>
                </a:ln>
                <a:effectLst/>
              </c:spPr>
            </c:marker>
            <c:bubble3D val="0"/>
            <c:extLst>
              <c:ext xmlns:c16="http://schemas.microsoft.com/office/drawing/2014/chart" uri="{C3380CC4-5D6E-409C-BE32-E72D297353CC}">
                <c16:uniqueId val="{00000008-C085-4C9B-8E8D-1AFEDB9B19F1}"/>
              </c:ext>
            </c:extLst>
          </c:dPt>
          <c:dPt>
            <c:idx val="1"/>
            <c:marker>
              <c:symbol val="none"/>
            </c:marker>
            <c:bubble3D val="0"/>
            <c:spPr>
              <a:ln w="76200" cap="rnd">
                <a:noFill/>
                <a:round/>
              </a:ln>
              <a:effectLst/>
            </c:spPr>
            <c:extLst>
              <c:ext xmlns:c16="http://schemas.microsoft.com/office/drawing/2014/chart" uri="{C3380CC4-5D6E-409C-BE32-E72D297353CC}">
                <c16:uniqueId val="{0000000A-C085-4C9B-8E8D-1AFEDB9B19F1}"/>
              </c:ext>
            </c:extLst>
          </c:dPt>
          <c:cat>
            <c:strRef>
              <c:f>'1.4A'!$R$4:$R$24</c:f>
              <c:strCache>
                <c:ptCount val="21"/>
                <c:pt idx="0">
                  <c:v>Dec-19</c:v>
                </c:pt>
                <c:pt idx="1">
                  <c:v>Jan-23</c:v>
                </c:pt>
                <c:pt idx="2">
                  <c:v>Feb-23</c:v>
                </c:pt>
                <c:pt idx="3">
                  <c:v>Mar-23</c:v>
                </c:pt>
                <c:pt idx="4">
                  <c:v>Apr-23</c:v>
                </c:pt>
                <c:pt idx="5">
                  <c:v>May-23</c:v>
                </c:pt>
                <c:pt idx="6">
                  <c:v>Jun-23</c:v>
                </c:pt>
                <c:pt idx="7">
                  <c:v>Jul-23</c:v>
                </c:pt>
                <c:pt idx="8">
                  <c:v>Aug-23</c:v>
                </c:pt>
                <c:pt idx="9">
                  <c:v>Sep-23</c:v>
                </c:pt>
                <c:pt idx="10">
                  <c:v>Oct-23</c:v>
                </c:pt>
                <c:pt idx="11">
                  <c:v>Nov-23</c:v>
                </c:pt>
                <c:pt idx="12">
                  <c:v>Dec-23</c:v>
                </c:pt>
                <c:pt idx="13">
                  <c:v>Jan-24</c:v>
                </c:pt>
                <c:pt idx="14">
                  <c:v>Feb-24</c:v>
                </c:pt>
                <c:pt idx="15">
                  <c:v>Mar-24</c:v>
                </c:pt>
                <c:pt idx="16">
                  <c:v>Apr-24</c:v>
                </c:pt>
                <c:pt idx="17">
                  <c:v>May-24</c:v>
                </c:pt>
                <c:pt idx="18">
                  <c:v>Jun-24</c:v>
                </c:pt>
                <c:pt idx="19">
                  <c:v>Jul-24</c:v>
                </c:pt>
                <c:pt idx="20">
                  <c:v>Aug-24</c:v>
                </c:pt>
              </c:strCache>
            </c:strRef>
          </c:cat>
          <c:val>
            <c:numRef>
              <c:f>'1.4A'!$U$4:$U$24</c:f>
              <c:numCache>
                <c:formatCode>General</c:formatCode>
                <c:ptCount val="21"/>
                <c:pt idx="0">
                  <c:v>1.4</c:v>
                </c:pt>
                <c:pt idx="1">
                  <c:v>7.7</c:v>
                </c:pt>
                <c:pt idx="2">
                  <c:v>7.1</c:v>
                </c:pt>
                <c:pt idx="3">
                  <c:v>6.7</c:v>
                </c:pt>
                <c:pt idx="4">
                  <c:v>5.7</c:v>
                </c:pt>
                <c:pt idx="5">
                  <c:v>5.3</c:v>
                </c:pt>
                <c:pt idx="6">
                  <c:v>4.5</c:v>
                </c:pt>
                <c:pt idx="7">
                  <c:v>4.3</c:v>
                </c:pt>
                <c:pt idx="8">
                  <c:v>4.0999999999999996</c:v>
                </c:pt>
                <c:pt idx="9">
                  <c:v>3.8</c:v>
                </c:pt>
                <c:pt idx="10">
                  <c:v>3.5</c:v>
                </c:pt>
                <c:pt idx="11">
                  <c:v>3.2</c:v>
                </c:pt>
                <c:pt idx="12">
                  <c:v>3.4</c:v>
                </c:pt>
                <c:pt idx="13">
                  <c:v>2.9</c:v>
                </c:pt>
                <c:pt idx="14">
                  <c:v>2.9</c:v>
                </c:pt>
                <c:pt idx="15">
                  <c:v>2.7</c:v>
                </c:pt>
                <c:pt idx="16">
                  <c:v>2.7</c:v>
                </c:pt>
                <c:pt idx="17">
                  <c:v>2.7</c:v>
                </c:pt>
                <c:pt idx="18">
                  <c:v>2.4</c:v>
                </c:pt>
                <c:pt idx="19">
                  <c:v>2.5</c:v>
                </c:pt>
                <c:pt idx="20">
                  <c:v>2</c:v>
                </c:pt>
              </c:numCache>
            </c:numRef>
          </c:val>
          <c:smooth val="0"/>
          <c:extLst>
            <c:ext xmlns:c16="http://schemas.microsoft.com/office/drawing/2014/chart" uri="{C3380CC4-5D6E-409C-BE32-E72D297353CC}">
              <c16:uniqueId val="{0000000B-C085-4C9B-8E8D-1AFEDB9B19F1}"/>
            </c:ext>
          </c:extLst>
        </c:ser>
        <c:ser>
          <c:idx val="3"/>
          <c:order val="3"/>
          <c:tx>
            <c:strRef>
              <c:f>'1.4A'!$V$3</c:f>
              <c:strCache>
                <c:ptCount val="1"/>
                <c:pt idx="0">
                  <c:v>EMDEs</c:v>
                </c:pt>
              </c:strCache>
            </c:strRef>
          </c:tx>
          <c:spPr>
            <a:ln w="76200" cap="rnd">
              <a:solidFill>
                <a:srgbClr val="FDB714"/>
              </a:solidFill>
              <a:round/>
            </a:ln>
            <a:effectLst/>
          </c:spPr>
          <c:marker>
            <c:symbol val="none"/>
          </c:marker>
          <c:dPt>
            <c:idx val="0"/>
            <c:marker>
              <c:symbol val="diamond"/>
              <c:size val="25"/>
              <c:spPr>
                <a:solidFill>
                  <a:srgbClr val="FDB714"/>
                </a:solidFill>
                <a:ln w="76200">
                  <a:noFill/>
                </a:ln>
                <a:effectLst/>
              </c:spPr>
            </c:marker>
            <c:bubble3D val="0"/>
            <c:extLst>
              <c:ext xmlns:c16="http://schemas.microsoft.com/office/drawing/2014/chart" uri="{C3380CC4-5D6E-409C-BE32-E72D297353CC}">
                <c16:uniqueId val="{0000000C-C085-4C9B-8E8D-1AFEDB9B19F1}"/>
              </c:ext>
            </c:extLst>
          </c:dPt>
          <c:dPt>
            <c:idx val="1"/>
            <c:marker>
              <c:symbol val="none"/>
            </c:marker>
            <c:bubble3D val="0"/>
            <c:spPr>
              <a:ln w="76200" cap="rnd">
                <a:noFill/>
                <a:round/>
              </a:ln>
              <a:effectLst/>
            </c:spPr>
            <c:extLst>
              <c:ext xmlns:c16="http://schemas.microsoft.com/office/drawing/2014/chart" uri="{C3380CC4-5D6E-409C-BE32-E72D297353CC}">
                <c16:uniqueId val="{0000000E-C085-4C9B-8E8D-1AFEDB9B19F1}"/>
              </c:ext>
            </c:extLst>
          </c:dPt>
          <c:cat>
            <c:strRef>
              <c:f>'1.4A'!$R$4:$R$24</c:f>
              <c:strCache>
                <c:ptCount val="21"/>
                <c:pt idx="0">
                  <c:v>Dec-19</c:v>
                </c:pt>
                <c:pt idx="1">
                  <c:v>Jan-23</c:v>
                </c:pt>
                <c:pt idx="2">
                  <c:v>Feb-23</c:v>
                </c:pt>
                <c:pt idx="3">
                  <c:v>Mar-23</c:v>
                </c:pt>
                <c:pt idx="4">
                  <c:v>Apr-23</c:v>
                </c:pt>
                <c:pt idx="5">
                  <c:v>May-23</c:v>
                </c:pt>
                <c:pt idx="6">
                  <c:v>Jun-23</c:v>
                </c:pt>
                <c:pt idx="7">
                  <c:v>Jul-23</c:v>
                </c:pt>
                <c:pt idx="8">
                  <c:v>Aug-23</c:v>
                </c:pt>
                <c:pt idx="9">
                  <c:v>Sep-23</c:v>
                </c:pt>
                <c:pt idx="10">
                  <c:v>Oct-23</c:v>
                </c:pt>
                <c:pt idx="11">
                  <c:v>Nov-23</c:v>
                </c:pt>
                <c:pt idx="12">
                  <c:v>Dec-23</c:v>
                </c:pt>
                <c:pt idx="13">
                  <c:v>Jan-24</c:v>
                </c:pt>
                <c:pt idx="14">
                  <c:v>Feb-24</c:v>
                </c:pt>
                <c:pt idx="15">
                  <c:v>Mar-24</c:v>
                </c:pt>
                <c:pt idx="16">
                  <c:v>Apr-24</c:v>
                </c:pt>
                <c:pt idx="17">
                  <c:v>May-24</c:v>
                </c:pt>
                <c:pt idx="18">
                  <c:v>Jun-24</c:v>
                </c:pt>
                <c:pt idx="19">
                  <c:v>Jul-24</c:v>
                </c:pt>
                <c:pt idx="20">
                  <c:v>Aug-24</c:v>
                </c:pt>
              </c:strCache>
            </c:strRef>
          </c:cat>
          <c:val>
            <c:numRef>
              <c:f>'1.4A'!$V$4:$V$24</c:f>
              <c:numCache>
                <c:formatCode>General</c:formatCode>
                <c:ptCount val="21"/>
                <c:pt idx="0">
                  <c:v>3</c:v>
                </c:pt>
                <c:pt idx="1">
                  <c:v>8.8000000000000007</c:v>
                </c:pt>
                <c:pt idx="2">
                  <c:v>8.6999999999999993</c:v>
                </c:pt>
                <c:pt idx="3">
                  <c:v>7.6</c:v>
                </c:pt>
                <c:pt idx="4">
                  <c:v>7.4</c:v>
                </c:pt>
                <c:pt idx="5">
                  <c:v>6.5</c:v>
                </c:pt>
                <c:pt idx="6">
                  <c:v>5.6</c:v>
                </c:pt>
                <c:pt idx="7">
                  <c:v>4.8</c:v>
                </c:pt>
                <c:pt idx="8">
                  <c:v>4.9000000000000004</c:v>
                </c:pt>
                <c:pt idx="9">
                  <c:v>5</c:v>
                </c:pt>
                <c:pt idx="10">
                  <c:v>4.7</c:v>
                </c:pt>
                <c:pt idx="11">
                  <c:v>4.3</c:v>
                </c:pt>
                <c:pt idx="12">
                  <c:v>4.2</c:v>
                </c:pt>
                <c:pt idx="13">
                  <c:v>4.0999999999999996</c:v>
                </c:pt>
                <c:pt idx="14">
                  <c:v>4</c:v>
                </c:pt>
                <c:pt idx="15">
                  <c:v>3.6</c:v>
                </c:pt>
                <c:pt idx="16">
                  <c:v>3.6</c:v>
                </c:pt>
                <c:pt idx="17">
                  <c:v>3.7</c:v>
                </c:pt>
                <c:pt idx="18">
                  <c:v>3.8</c:v>
                </c:pt>
                <c:pt idx="19">
                  <c:v>4</c:v>
                </c:pt>
                <c:pt idx="20">
                  <c:v>4.3</c:v>
                </c:pt>
              </c:numCache>
            </c:numRef>
          </c:val>
          <c:smooth val="0"/>
          <c:extLst>
            <c:ext xmlns:c16="http://schemas.microsoft.com/office/drawing/2014/chart" uri="{C3380CC4-5D6E-409C-BE32-E72D297353CC}">
              <c16:uniqueId val="{0000000F-C085-4C9B-8E8D-1AFEDB9B19F1}"/>
            </c:ext>
          </c:extLst>
        </c:ser>
        <c:dLbls>
          <c:showLegendKey val="0"/>
          <c:showVal val="0"/>
          <c:showCatName val="0"/>
          <c:showSerName val="0"/>
          <c:showPercent val="0"/>
          <c:showBubbleSize val="0"/>
        </c:dLbls>
        <c:smooth val="0"/>
        <c:axId val="878151183"/>
        <c:axId val="878168463"/>
      </c:lineChart>
      <c:catAx>
        <c:axId val="87815118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878168463"/>
        <c:crosses val="autoZero"/>
        <c:auto val="1"/>
        <c:lblAlgn val="ctr"/>
        <c:lblOffset val="100"/>
        <c:tickLblSkip val="2"/>
        <c:noMultiLvlLbl val="0"/>
      </c:catAx>
      <c:valAx>
        <c:axId val="8781684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78151183"/>
        <c:crosses val="autoZero"/>
        <c:crossBetween val="between"/>
        <c:majorUnit val="2"/>
      </c:valAx>
      <c:spPr>
        <a:noFill/>
        <a:ln>
          <a:noFill/>
        </a:ln>
        <a:effectLst/>
      </c:spPr>
    </c:plotArea>
    <c:legend>
      <c:legendPos val="t"/>
      <c:layout>
        <c:manualLayout>
          <c:xMode val="edge"/>
          <c:yMode val="edge"/>
          <c:x val="5.0050306211723544E-2"/>
          <c:y val="7.8899082568807344E-2"/>
          <c:w val="0.93681353893263342"/>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'1.4B'!$S$3</c:f>
              <c:strCache>
                <c:ptCount val="1"/>
                <c:pt idx="0">
                  <c:v>Energy</c:v>
                </c:pt>
              </c:strCache>
            </c:strRef>
          </c:tx>
          <c:spPr>
            <a:ln w="76200" cap="rnd">
              <a:solidFill>
                <a:schemeClr val="tx2"/>
              </a:solidFill>
              <a:round/>
            </a:ln>
            <a:effectLst/>
          </c:spPr>
          <c:marker>
            <c:symbol val="none"/>
          </c:marker>
          <c:dPt>
            <c:idx val="19"/>
            <c:marker>
              <c:symbol val="none"/>
            </c:marker>
            <c:bubble3D val="0"/>
            <c:spPr>
              <a:ln w="76200" cap="rnd">
                <a:solidFill>
                  <a:schemeClr val="tx2"/>
                </a:solidFill>
                <a:round/>
              </a:ln>
              <a:effectLst/>
            </c:spPr>
            <c:extLst>
              <c:ext xmlns:c16="http://schemas.microsoft.com/office/drawing/2014/chart" uri="{C3380CC4-5D6E-409C-BE32-E72D297353CC}">
                <c16:uniqueId val="{00000001-30F7-424F-AE6A-120B05D45ACD}"/>
              </c:ext>
            </c:extLst>
          </c:dPt>
          <c:dPt>
            <c:idx val="20"/>
            <c:marker>
              <c:symbol val="none"/>
            </c:marker>
            <c:bubble3D val="0"/>
            <c:spPr>
              <a:ln w="76200" cap="rnd">
                <a:solidFill>
                  <a:schemeClr val="tx2"/>
                </a:solidFill>
                <a:round/>
              </a:ln>
              <a:effectLst/>
            </c:spPr>
            <c:extLst>
              <c:ext xmlns:c16="http://schemas.microsoft.com/office/drawing/2014/chart" uri="{C3380CC4-5D6E-409C-BE32-E72D297353CC}">
                <c16:uniqueId val="{00000003-30F7-424F-AE6A-120B05D45ACD}"/>
              </c:ext>
            </c:extLst>
          </c:dPt>
          <c:dPt>
            <c:idx val="21"/>
            <c:marker>
              <c:symbol val="diamond"/>
              <c:size val="25"/>
              <c:spPr>
                <a:solidFill>
                  <a:schemeClr val="tx2"/>
                </a:solidFill>
                <a:ln w="9525">
                  <a:noFill/>
                </a:ln>
                <a:effectLst/>
              </c:spPr>
            </c:marker>
            <c:bubble3D val="0"/>
            <c:spPr>
              <a:ln w="76200" cap="rnd">
                <a:noFill/>
                <a:round/>
              </a:ln>
              <a:effectLst/>
            </c:spPr>
            <c:extLst>
              <c:ext xmlns:c16="http://schemas.microsoft.com/office/drawing/2014/chart" uri="{C3380CC4-5D6E-409C-BE32-E72D297353CC}">
                <c16:uniqueId val="{00000005-30F7-424F-AE6A-120B05D45ACD}"/>
              </c:ext>
            </c:extLst>
          </c:dPt>
          <c:dPt>
            <c:idx val="56"/>
            <c:marker>
              <c:symbol val="none"/>
            </c:marker>
            <c:bubble3D val="0"/>
            <c:spPr>
              <a:ln w="76200" cap="rnd">
                <a:solidFill>
                  <a:schemeClr val="tx2"/>
                </a:solidFill>
                <a:round/>
              </a:ln>
              <a:effectLst/>
            </c:spPr>
            <c:extLst>
              <c:ext xmlns:c16="http://schemas.microsoft.com/office/drawing/2014/chart" uri="{C3380CC4-5D6E-409C-BE32-E72D297353CC}">
                <c16:uniqueId val="{00000007-30F7-424F-AE6A-120B05D45ACD}"/>
              </c:ext>
            </c:extLst>
          </c:dPt>
          <c:dPt>
            <c:idx val="57"/>
            <c:marker>
              <c:symbol val="none"/>
            </c:marker>
            <c:bubble3D val="0"/>
            <c:spPr>
              <a:ln w="76200" cap="rnd">
                <a:solidFill>
                  <a:schemeClr val="tx2"/>
                </a:solidFill>
                <a:round/>
              </a:ln>
              <a:effectLst/>
            </c:spPr>
            <c:extLst>
              <c:ext xmlns:c16="http://schemas.microsoft.com/office/drawing/2014/chart" uri="{C3380CC4-5D6E-409C-BE32-E72D297353CC}">
                <c16:uniqueId val="{00000009-30F7-424F-AE6A-120B05D45ACD}"/>
              </c:ext>
            </c:extLst>
          </c:dPt>
          <c:dPt>
            <c:idx val="58"/>
            <c:marker>
              <c:symbol val="diamond"/>
              <c:size val="20"/>
              <c:spPr>
                <a:solidFill>
                  <a:schemeClr val="accent1"/>
                </a:solidFill>
                <a:ln w="9525">
                  <a:solidFill>
                    <a:schemeClr val="tx2"/>
                  </a:solidFill>
                </a:ln>
                <a:effectLst/>
              </c:spPr>
            </c:marker>
            <c:bubble3D val="0"/>
            <c:spPr>
              <a:ln w="76200" cap="rnd">
                <a:solidFill>
                  <a:schemeClr val="tx2"/>
                </a:solidFill>
                <a:round/>
              </a:ln>
              <a:effectLst/>
            </c:spPr>
            <c:extLst>
              <c:ext xmlns:c16="http://schemas.microsoft.com/office/drawing/2014/chart" uri="{C3380CC4-5D6E-409C-BE32-E72D297353CC}">
                <c16:uniqueId val="{0000000B-30F7-424F-AE6A-120B05D45ACD}"/>
              </c:ext>
            </c:extLst>
          </c:dPt>
          <c:cat>
            <c:numRef>
              <c:f>'1.4B'!$R$4:$R$25</c:f>
              <c:numCache>
                <c:formatCode>mmm\-yy</c:formatCode>
                <c:ptCount val="22"/>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46022</c:v>
                </c:pt>
                <c:pt idx="21">
                  <c:v>46022</c:v>
                </c:pt>
              </c:numCache>
            </c:numRef>
          </c:cat>
          <c:val>
            <c:numRef>
              <c:f>'1.4B'!$S$4:$S$25</c:f>
              <c:numCache>
                <c:formatCode>0.0</c:formatCode>
                <c:ptCount val="22"/>
                <c:pt idx="0">
                  <c:v>125.1</c:v>
                </c:pt>
                <c:pt idx="1">
                  <c:v>115.9</c:v>
                </c:pt>
                <c:pt idx="2">
                  <c:v>108.5</c:v>
                </c:pt>
                <c:pt idx="3">
                  <c:v>114.6</c:v>
                </c:pt>
                <c:pt idx="4">
                  <c:v>101.6</c:v>
                </c:pt>
                <c:pt idx="5">
                  <c:v>99.8</c:v>
                </c:pt>
                <c:pt idx="6">
                  <c:v>105.7</c:v>
                </c:pt>
                <c:pt idx="7">
                  <c:v>114</c:v>
                </c:pt>
                <c:pt idx="8">
                  <c:v>123.4</c:v>
                </c:pt>
                <c:pt idx="9">
                  <c:v>121.3</c:v>
                </c:pt>
                <c:pt idx="10">
                  <c:v>111.3</c:v>
                </c:pt>
                <c:pt idx="11">
                  <c:v>104.4</c:v>
                </c:pt>
                <c:pt idx="12">
                  <c:v>106.1</c:v>
                </c:pt>
                <c:pt idx="13">
                  <c:v>107.2</c:v>
                </c:pt>
                <c:pt idx="14">
                  <c:v>109.3</c:v>
                </c:pt>
                <c:pt idx="15">
                  <c:v>114.9</c:v>
                </c:pt>
                <c:pt idx="16">
                  <c:v>107.6</c:v>
                </c:pt>
                <c:pt idx="17">
                  <c:v>108.8</c:v>
                </c:pt>
                <c:pt idx="18">
                  <c:v>111.1</c:v>
                </c:pt>
                <c:pt idx="19">
                  <c:v>107.5</c:v>
                </c:pt>
                <c:pt idx="20">
                  <c:v>104.8</c:v>
                </c:pt>
                <c:pt idx="21">
                  <c:v>104.8</c:v>
                </c:pt>
              </c:numCache>
            </c:numRef>
          </c:val>
          <c:smooth val="0"/>
          <c:extLst>
            <c:ext xmlns:c16="http://schemas.microsoft.com/office/drawing/2014/chart" uri="{C3380CC4-5D6E-409C-BE32-E72D297353CC}">
              <c16:uniqueId val="{0000000C-30F7-424F-AE6A-120B05D45ACD}"/>
            </c:ext>
          </c:extLst>
        </c:ser>
        <c:ser>
          <c:idx val="1"/>
          <c:order val="1"/>
          <c:tx>
            <c:strRef>
              <c:f>'1.4B'!$T$3</c:f>
              <c:strCache>
                <c:ptCount val="1"/>
                <c:pt idx="0">
                  <c:v>Agriculture</c:v>
                </c:pt>
              </c:strCache>
            </c:strRef>
          </c:tx>
          <c:spPr>
            <a:ln w="76200" cap="rnd">
              <a:solidFill>
                <a:schemeClr val="bg2"/>
              </a:solidFill>
              <a:round/>
            </a:ln>
            <a:effectLst/>
          </c:spPr>
          <c:marker>
            <c:symbol val="none"/>
          </c:marker>
          <c:dPt>
            <c:idx val="19"/>
            <c:marker>
              <c:symbol val="none"/>
            </c:marker>
            <c:bubble3D val="0"/>
            <c:spPr>
              <a:ln w="76200" cap="rnd">
                <a:solidFill>
                  <a:schemeClr val="bg2"/>
                </a:solidFill>
                <a:round/>
              </a:ln>
              <a:effectLst/>
            </c:spPr>
            <c:extLst>
              <c:ext xmlns:c16="http://schemas.microsoft.com/office/drawing/2014/chart" uri="{C3380CC4-5D6E-409C-BE32-E72D297353CC}">
                <c16:uniqueId val="{0000000E-30F7-424F-AE6A-120B05D45ACD}"/>
              </c:ext>
            </c:extLst>
          </c:dPt>
          <c:dPt>
            <c:idx val="20"/>
            <c:marker>
              <c:symbol val="none"/>
            </c:marker>
            <c:bubble3D val="0"/>
            <c:spPr>
              <a:ln w="76200" cap="rnd">
                <a:solidFill>
                  <a:schemeClr val="bg2"/>
                </a:solidFill>
                <a:round/>
              </a:ln>
              <a:effectLst/>
            </c:spPr>
            <c:extLst>
              <c:ext xmlns:c16="http://schemas.microsoft.com/office/drawing/2014/chart" uri="{C3380CC4-5D6E-409C-BE32-E72D297353CC}">
                <c16:uniqueId val="{00000010-30F7-424F-AE6A-120B05D45ACD}"/>
              </c:ext>
            </c:extLst>
          </c:dPt>
          <c:dPt>
            <c:idx val="21"/>
            <c:marker>
              <c:symbol val="diamond"/>
              <c:size val="25"/>
              <c:spPr>
                <a:solidFill>
                  <a:schemeClr val="bg2"/>
                </a:solidFill>
                <a:ln w="9525">
                  <a:noFill/>
                </a:ln>
                <a:effectLst/>
              </c:spPr>
            </c:marker>
            <c:bubble3D val="0"/>
            <c:spPr>
              <a:ln w="76200" cap="rnd">
                <a:noFill/>
                <a:round/>
              </a:ln>
              <a:effectLst/>
            </c:spPr>
            <c:extLst>
              <c:ext xmlns:c16="http://schemas.microsoft.com/office/drawing/2014/chart" uri="{C3380CC4-5D6E-409C-BE32-E72D297353CC}">
                <c16:uniqueId val="{00000012-30F7-424F-AE6A-120B05D45ACD}"/>
              </c:ext>
            </c:extLst>
          </c:dPt>
          <c:dPt>
            <c:idx val="56"/>
            <c:marker>
              <c:symbol val="none"/>
            </c:marker>
            <c:bubble3D val="0"/>
            <c:spPr>
              <a:ln w="76200" cap="rnd">
                <a:solidFill>
                  <a:schemeClr val="bg2"/>
                </a:solidFill>
                <a:round/>
              </a:ln>
              <a:effectLst/>
            </c:spPr>
            <c:extLst>
              <c:ext xmlns:c16="http://schemas.microsoft.com/office/drawing/2014/chart" uri="{C3380CC4-5D6E-409C-BE32-E72D297353CC}">
                <c16:uniqueId val="{00000014-30F7-424F-AE6A-120B05D45ACD}"/>
              </c:ext>
            </c:extLst>
          </c:dPt>
          <c:dPt>
            <c:idx val="57"/>
            <c:marker>
              <c:symbol val="none"/>
            </c:marker>
            <c:bubble3D val="0"/>
            <c:spPr>
              <a:ln w="76200" cap="rnd">
                <a:solidFill>
                  <a:schemeClr val="bg2"/>
                </a:solidFill>
                <a:round/>
              </a:ln>
              <a:effectLst/>
            </c:spPr>
            <c:extLst>
              <c:ext xmlns:c16="http://schemas.microsoft.com/office/drawing/2014/chart" uri="{C3380CC4-5D6E-409C-BE32-E72D297353CC}">
                <c16:uniqueId val="{00000016-30F7-424F-AE6A-120B05D45ACD}"/>
              </c:ext>
            </c:extLst>
          </c:dPt>
          <c:dPt>
            <c:idx val="58"/>
            <c:marker>
              <c:symbol val="diamond"/>
              <c:size val="20"/>
              <c:spPr>
                <a:solidFill>
                  <a:schemeClr val="accent2"/>
                </a:solidFill>
                <a:ln w="9525">
                  <a:solidFill>
                    <a:schemeClr val="bg2"/>
                  </a:solidFill>
                </a:ln>
                <a:effectLst/>
              </c:spPr>
            </c:marker>
            <c:bubble3D val="0"/>
            <c:spPr>
              <a:ln w="76200" cap="rnd">
                <a:solidFill>
                  <a:schemeClr val="bg2"/>
                </a:solidFill>
                <a:round/>
              </a:ln>
              <a:effectLst/>
            </c:spPr>
            <c:extLst>
              <c:ext xmlns:c16="http://schemas.microsoft.com/office/drawing/2014/chart" uri="{C3380CC4-5D6E-409C-BE32-E72D297353CC}">
                <c16:uniqueId val="{00000018-30F7-424F-AE6A-120B05D45ACD}"/>
              </c:ext>
            </c:extLst>
          </c:dPt>
          <c:cat>
            <c:numRef>
              <c:f>'1.4B'!$R$4:$R$25</c:f>
              <c:numCache>
                <c:formatCode>mmm\-yy</c:formatCode>
                <c:ptCount val="22"/>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46022</c:v>
                </c:pt>
                <c:pt idx="21">
                  <c:v>46022</c:v>
                </c:pt>
              </c:numCache>
            </c:numRef>
          </c:cat>
          <c:val>
            <c:numRef>
              <c:f>'1.4B'!$T$4:$T$25</c:f>
              <c:numCache>
                <c:formatCode>0.0</c:formatCode>
                <c:ptCount val="22"/>
                <c:pt idx="0">
                  <c:v>104.1</c:v>
                </c:pt>
                <c:pt idx="1">
                  <c:v>105.2</c:v>
                </c:pt>
                <c:pt idx="2">
                  <c:v>103</c:v>
                </c:pt>
                <c:pt idx="3">
                  <c:v>105.9</c:v>
                </c:pt>
                <c:pt idx="4">
                  <c:v>103.5</c:v>
                </c:pt>
                <c:pt idx="5">
                  <c:v>101.3</c:v>
                </c:pt>
                <c:pt idx="6">
                  <c:v>102</c:v>
                </c:pt>
                <c:pt idx="7">
                  <c:v>100.9</c:v>
                </c:pt>
                <c:pt idx="8">
                  <c:v>102.8</c:v>
                </c:pt>
                <c:pt idx="9">
                  <c:v>101.5</c:v>
                </c:pt>
                <c:pt idx="10">
                  <c:v>103</c:v>
                </c:pt>
                <c:pt idx="11">
                  <c:v>101.9</c:v>
                </c:pt>
                <c:pt idx="12">
                  <c:v>101.4</c:v>
                </c:pt>
                <c:pt idx="13">
                  <c:v>102.6</c:v>
                </c:pt>
                <c:pt idx="14">
                  <c:v>105.6</c:v>
                </c:pt>
                <c:pt idx="15">
                  <c:v>109.6</c:v>
                </c:pt>
                <c:pt idx="16">
                  <c:v>107.2</c:v>
                </c:pt>
                <c:pt idx="17">
                  <c:v>107.4</c:v>
                </c:pt>
                <c:pt idx="18">
                  <c:v>104.5</c:v>
                </c:pt>
                <c:pt idx="19">
                  <c:v>103.1</c:v>
                </c:pt>
                <c:pt idx="20">
                  <c:v>97.3</c:v>
                </c:pt>
                <c:pt idx="21">
                  <c:v>97.3</c:v>
                </c:pt>
              </c:numCache>
            </c:numRef>
          </c:val>
          <c:smooth val="0"/>
          <c:extLst>
            <c:ext xmlns:c16="http://schemas.microsoft.com/office/drawing/2014/chart" uri="{C3380CC4-5D6E-409C-BE32-E72D297353CC}">
              <c16:uniqueId val="{00000019-30F7-424F-AE6A-120B05D45ACD}"/>
            </c:ext>
          </c:extLst>
        </c:ser>
        <c:ser>
          <c:idx val="2"/>
          <c:order val="2"/>
          <c:tx>
            <c:strRef>
              <c:f>'1.4B'!$U$3</c:f>
              <c:strCache>
                <c:ptCount val="1"/>
                <c:pt idx="0">
                  <c:v>Metals &amp; Minerals</c:v>
                </c:pt>
              </c:strCache>
            </c:strRef>
          </c:tx>
          <c:spPr>
            <a:ln w="76200" cap="rnd">
              <a:solidFill>
                <a:schemeClr val="accent2"/>
              </a:solidFill>
              <a:round/>
            </a:ln>
            <a:effectLst/>
          </c:spPr>
          <c:marker>
            <c:symbol val="none"/>
          </c:marker>
          <c:dPt>
            <c:idx val="19"/>
            <c:marker>
              <c:symbol val="none"/>
            </c:marker>
            <c:bubble3D val="0"/>
            <c:spPr>
              <a:ln w="76200" cap="rnd">
                <a:solidFill>
                  <a:schemeClr val="accent2"/>
                </a:solidFill>
                <a:round/>
              </a:ln>
              <a:effectLst/>
            </c:spPr>
            <c:extLst>
              <c:ext xmlns:c16="http://schemas.microsoft.com/office/drawing/2014/chart" uri="{C3380CC4-5D6E-409C-BE32-E72D297353CC}">
                <c16:uniqueId val="{0000001B-30F7-424F-AE6A-120B05D45ACD}"/>
              </c:ext>
            </c:extLst>
          </c:dPt>
          <c:dPt>
            <c:idx val="20"/>
            <c:marker>
              <c:symbol val="none"/>
            </c:marker>
            <c:bubble3D val="0"/>
            <c:spPr>
              <a:ln w="76200" cap="rnd">
                <a:solidFill>
                  <a:schemeClr val="accent2"/>
                </a:solidFill>
                <a:round/>
              </a:ln>
              <a:effectLst/>
            </c:spPr>
            <c:extLst>
              <c:ext xmlns:c16="http://schemas.microsoft.com/office/drawing/2014/chart" uri="{C3380CC4-5D6E-409C-BE32-E72D297353CC}">
                <c16:uniqueId val="{0000001D-30F7-424F-AE6A-120B05D45ACD}"/>
              </c:ext>
            </c:extLst>
          </c:dPt>
          <c:dPt>
            <c:idx val="21"/>
            <c:marker>
              <c:symbol val="diamond"/>
              <c:size val="25"/>
              <c:spPr>
                <a:solidFill>
                  <a:schemeClr val="accent2"/>
                </a:solidFill>
                <a:ln w="9525">
                  <a:noFill/>
                </a:ln>
                <a:effectLst/>
              </c:spPr>
            </c:marker>
            <c:bubble3D val="0"/>
            <c:spPr>
              <a:ln w="76200" cap="rnd">
                <a:noFill/>
                <a:round/>
              </a:ln>
              <a:effectLst/>
            </c:spPr>
            <c:extLst>
              <c:ext xmlns:c16="http://schemas.microsoft.com/office/drawing/2014/chart" uri="{C3380CC4-5D6E-409C-BE32-E72D297353CC}">
                <c16:uniqueId val="{0000001F-30F7-424F-AE6A-120B05D45ACD}"/>
              </c:ext>
            </c:extLst>
          </c:dPt>
          <c:dPt>
            <c:idx val="56"/>
            <c:marker>
              <c:symbol val="none"/>
            </c:marker>
            <c:bubble3D val="0"/>
            <c:spPr>
              <a:ln w="76200" cap="rnd">
                <a:solidFill>
                  <a:schemeClr val="accent2"/>
                </a:solidFill>
                <a:round/>
              </a:ln>
              <a:effectLst/>
            </c:spPr>
            <c:extLst>
              <c:ext xmlns:c16="http://schemas.microsoft.com/office/drawing/2014/chart" uri="{C3380CC4-5D6E-409C-BE32-E72D297353CC}">
                <c16:uniqueId val="{00000021-30F7-424F-AE6A-120B05D45ACD}"/>
              </c:ext>
            </c:extLst>
          </c:dPt>
          <c:dPt>
            <c:idx val="57"/>
            <c:marker>
              <c:symbol val="none"/>
            </c:marker>
            <c:bubble3D val="0"/>
            <c:spPr>
              <a:ln w="76200" cap="rnd">
                <a:solidFill>
                  <a:schemeClr val="accent2"/>
                </a:solidFill>
                <a:round/>
              </a:ln>
              <a:effectLst/>
            </c:spPr>
            <c:extLst>
              <c:ext xmlns:c16="http://schemas.microsoft.com/office/drawing/2014/chart" uri="{C3380CC4-5D6E-409C-BE32-E72D297353CC}">
                <c16:uniqueId val="{00000023-30F7-424F-AE6A-120B05D45ACD}"/>
              </c:ext>
            </c:extLst>
          </c:dPt>
          <c:dPt>
            <c:idx val="58"/>
            <c:marker>
              <c:symbol val="none"/>
            </c:marker>
            <c:bubble3D val="0"/>
            <c:spPr>
              <a:ln w="76200" cap="rnd">
                <a:solidFill>
                  <a:schemeClr val="accent2"/>
                </a:solidFill>
                <a:round/>
              </a:ln>
              <a:effectLst/>
            </c:spPr>
            <c:extLst>
              <c:ext xmlns:c16="http://schemas.microsoft.com/office/drawing/2014/chart" uri="{C3380CC4-5D6E-409C-BE32-E72D297353CC}">
                <c16:uniqueId val="{00000025-30F7-424F-AE6A-120B05D45ACD}"/>
              </c:ext>
            </c:extLst>
          </c:dPt>
          <c:cat>
            <c:numRef>
              <c:f>'1.4B'!$R$4:$R$25</c:f>
              <c:numCache>
                <c:formatCode>mmm\-yy</c:formatCode>
                <c:ptCount val="22"/>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46022</c:v>
                </c:pt>
                <c:pt idx="21">
                  <c:v>46022</c:v>
                </c:pt>
              </c:numCache>
            </c:numRef>
          </c:cat>
          <c:val>
            <c:numRef>
              <c:f>'1.4B'!$U$4:$U$25</c:f>
              <c:numCache>
                <c:formatCode>0.0</c:formatCode>
                <c:ptCount val="22"/>
                <c:pt idx="0">
                  <c:v>97.9</c:v>
                </c:pt>
                <c:pt idx="1">
                  <c:v>96.2</c:v>
                </c:pt>
                <c:pt idx="2">
                  <c:v>93.1</c:v>
                </c:pt>
                <c:pt idx="3">
                  <c:v>92.2</c:v>
                </c:pt>
                <c:pt idx="4">
                  <c:v>86.3</c:v>
                </c:pt>
                <c:pt idx="5">
                  <c:v>86.9</c:v>
                </c:pt>
                <c:pt idx="6">
                  <c:v>87.2</c:v>
                </c:pt>
                <c:pt idx="7">
                  <c:v>85.6</c:v>
                </c:pt>
                <c:pt idx="8">
                  <c:v>86.9</c:v>
                </c:pt>
                <c:pt idx="9">
                  <c:v>84.6</c:v>
                </c:pt>
                <c:pt idx="10">
                  <c:v>86.9</c:v>
                </c:pt>
                <c:pt idx="11">
                  <c:v>87.9</c:v>
                </c:pt>
                <c:pt idx="12">
                  <c:v>87.6</c:v>
                </c:pt>
                <c:pt idx="13">
                  <c:v>86</c:v>
                </c:pt>
                <c:pt idx="14">
                  <c:v>87.1</c:v>
                </c:pt>
                <c:pt idx="15">
                  <c:v>94.9</c:v>
                </c:pt>
                <c:pt idx="16">
                  <c:v>100.2</c:v>
                </c:pt>
                <c:pt idx="17">
                  <c:v>95</c:v>
                </c:pt>
                <c:pt idx="18">
                  <c:v>91.8</c:v>
                </c:pt>
                <c:pt idx="19">
                  <c:v>88.9</c:v>
                </c:pt>
                <c:pt idx="20">
                  <c:v>89.4</c:v>
                </c:pt>
                <c:pt idx="21">
                  <c:v>89.4</c:v>
                </c:pt>
              </c:numCache>
            </c:numRef>
          </c:val>
          <c:smooth val="0"/>
          <c:extLst>
            <c:ext xmlns:c16="http://schemas.microsoft.com/office/drawing/2014/chart" uri="{C3380CC4-5D6E-409C-BE32-E72D297353CC}">
              <c16:uniqueId val="{00000026-30F7-424F-AE6A-120B05D45ACD}"/>
            </c:ext>
          </c:extLst>
        </c:ser>
        <c:dLbls>
          <c:showLegendKey val="0"/>
          <c:showVal val="0"/>
          <c:showCatName val="0"/>
          <c:showSerName val="0"/>
          <c:showPercent val="0"/>
          <c:showBubbleSize val="0"/>
        </c:dLbls>
        <c:smooth val="0"/>
        <c:axId val="2059049488"/>
        <c:axId val="130388224"/>
      </c:lineChart>
      <c:catAx>
        <c:axId val="2059049488"/>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0388224"/>
        <c:crosses val="autoZero"/>
        <c:auto val="0"/>
        <c:lblAlgn val="ctr"/>
        <c:lblOffset val="100"/>
        <c:tickLblSkip val="3"/>
        <c:noMultiLvlLbl val="0"/>
      </c:catAx>
      <c:valAx>
        <c:axId val="130388224"/>
        <c:scaling>
          <c:orientation val="minMax"/>
          <c:max val="130"/>
          <c:min val="8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59049488"/>
        <c:crosses val="autoZero"/>
        <c:crossBetween val="between"/>
        <c:majorUnit val="10"/>
      </c:valAx>
      <c:spPr>
        <a:noFill/>
        <a:ln>
          <a:noFill/>
        </a:ln>
        <a:effectLst/>
      </c:spPr>
    </c:plotArea>
    <c:legend>
      <c:legendPos val="t"/>
      <c:layout>
        <c:manualLayout>
          <c:xMode val="edge"/>
          <c:yMode val="edge"/>
          <c:x val="9.9733562601056786E-2"/>
          <c:y val="8.4529387117133897E-2"/>
          <c:w val="0.9"/>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'1.4C'!$S$3</c:f>
              <c:strCache>
                <c:ptCount val="1"/>
                <c:pt idx="0">
                  <c:v>China</c:v>
                </c:pt>
              </c:strCache>
            </c:strRef>
          </c:tx>
          <c:spPr>
            <a:ln w="76200" cap="rnd">
              <a:solidFill>
                <a:srgbClr val="002345"/>
              </a:solidFill>
              <a:round/>
            </a:ln>
            <a:effectLst/>
          </c:spPr>
          <c:marker>
            <c:symbol val="none"/>
          </c:marker>
          <c:dPt>
            <c:idx val="0"/>
            <c:marker>
              <c:symbol val="diamond"/>
              <c:size val="25"/>
              <c:spPr>
                <a:solidFill>
                  <a:srgbClr val="002345"/>
                </a:solidFill>
                <a:ln w="76200">
                  <a:noFill/>
                </a:ln>
                <a:effectLst/>
              </c:spPr>
            </c:marker>
            <c:bubble3D val="0"/>
            <c:spPr>
              <a:ln w="76200" cap="rnd">
                <a:noFill/>
                <a:round/>
              </a:ln>
              <a:effectLst/>
            </c:spPr>
            <c:extLst>
              <c:ext xmlns:c16="http://schemas.microsoft.com/office/drawing/2014/chart" uri="{C3380CC4-5D6E-409C-BE32-E72D297353CC}">
                <c16:uniqueId val="{00000001-10DB-488E-85D5-91A55ED7891C}"/>
              </c:ext>
            </c:extLst>
          </c:dPt>
          <c:dPt>
            <c:idx val="1"/>
            <c:marker>
              <c:symbol val="none"/>
            </c:marker>
            <c:bubble3D val="0"/>
            <c:spPr>
              <a:ln w="76200" cap="rnd">
                <a:noFill/>
                <a:prstDash val="sysDash"/>
                <a:round/>
              </a:ln>
              <a:effectLst/>
            </c:spPr>
            <c:extLst>
              <c:ext xmlns:c16="http://schemas.microsoft.com/office/drawing/2014/chart" uri="{C3380CC4-5D6E-409C-BE32-E72D297353CC}">
                <c16:uniqueId val="{00000003-10DB-488E-85D5-91A55ED7891C}"/>
              </c:ext>
            </c:extLst>
          </c:dPt>
          <c:cat>
            <c:numRef>
              <c:f>'1.4C'!$R$4:$R$13</c:f>
              <c:numCache>
                <c:formatCode>mmm\-yy</c:formatCode>
                <c:ptCount val="10"/>
                <c:pt idx="0">
                  <c:v>43830</c:v>
                </c:pt>
                <c:pt idx="1">
                  <c:v>45322</c:v>
                </c:pt>
                <c:pt idx="2">
                  <c:v>45351</c:v>
                </c:pt>
                <c:pt idx="3">
                  <c:v>45382</c:v>
                </c:pt>
                <c:pt idx="4">
                  <c:v>45412</c:v>
                </c:pt>
                <c:pt idx="5">
                  <c:v>45443</c:v>
                </c:pt>
                <c:pt idx="6">
                  <c:v>45473</c:v>
                </c:pt>
                <c:pt idx="7">
                  <c:v>45504</c:v>
                </c:pt>
                <c:pt idx="8">
                  <c:v>45535</c:v>
                </c:pt>
                <c:pt idx="9">
                  <c:v>45565</c:v>
                </c:pt>
              </c:numCache>
            </c:numRef>
          </c:cat>
          <c:val>
            <c:numRef>
              <c:f>'1.4C'!$S$4:$S$12</c:f>
              <c:numCache>
                <c:formatCode>General</c:formatCode>
                <c:ptCount val="9"/>
                <c:pt idx="0">
                  <c:v>4.1500000000000004</c:v>
                </c:pt>
                <c:pt idx="1">
                  <c:v>3.45</c:v>
                </c:pt>
                <c:pt idx="2">
                  <c:v>3.45</c:v>
                </c:pt>
                <c:pt idx="3">
                  <c:v>3.45</c:v>
                </c:pt>
                <c:pt idx="4">
                  <c:v>3.45</c:v>
                </c:pt>
                <c:pt idx="5">
                  <c:v>3.45</c:v>
                </c:pt>
                <c:pt idx="6">
                  <c:v>3.45</c:v>
                </c:pt>
                <c:pt idx="7">
                  <c:v>3.35</c:v>
                </c:pt>
                <c:pt idx="8">
                  <c:v>3.35</c:v>
                </c:pt>
              </c:numCache>
            </c:numRef>
          </c:val>
          <c:smooth val="0"/>
          <c:extLst>
            <c:ext xmlns:c16="http://schemas.microsoft.com/office/drawing/2014/chart" uri="{C3380CC4-5D6E-409C-BE32-E72D297353CC}">
              <c16:uniqueId val="{00000004-10DB-488E-85D5-91A55ED7891C}"/>
            </c:ext>
          </c:extLst>
        </c:ser>
        <c:ser>
          <c:idx val="1"/>
          <c:order val="1"/>
          <c:tx>
            <c:strRef>
              <c:f>'1.4C'!$T$3</c:f>
              <c:strCache>
                <c:ptCount val="1"/>
                <c:pt idx="0">
                  <c:v>United States</c:v>
                </c:pt>
              </c:strCache>
            </c:strRef>
          </c:tx>
          <c:spPr>
            <a:ln w="76200" cap="rnd">
              <a:solidFill>
                <a:srgbClr val="EB1C2D"/>
              </a:solidFill>
              <a:round/>
            </a:ln>
            <a:effectLst/>
          </c:spPr>
          <c:marker>
            <c:symbol val="none"/>
          </c:marker>
          <c:dPt>
            <c:idx val="0"/>
            <c:marker>
              <c:symbol val="diamond"/>
              <c:size val="25"/>
              <c:spPr>
                <a:solidFill>
                  <a:srgbClr val="EB1C2D"/>
                </a:solidFill>
                <a:ln w="76200">
                  <a:noFill/>
                </a:ln>
                <a:effectLst/>
              </c:spPr>
            </c:marker>
            <c:bubble3D val="0"/>
            <c:extLst>
              <c:ext xmlns:c16="http://schemas.microsoft.com/office/drawing/2014/chart" uri="{C3380CC4-5D6E-409C-BE32-E72D297353CC}">
                <c16:uniqueId val="{00000005-10DB-488E-85D5-91A55ED7891C}"/>
              </c:ext>
            </c:extLst>
          </c:dPt>
          <c:dPt>
            <c:idx val="1"/>
            <c:marker>
              <c:symbol val="none"/>
            </c:marker>
            <c:bubble3D val="0"/>
            <c:spPr>
              <a:ln w="76200" cap="rnd">
                <a:noFill/>
                <a:prstDash val="sysDash"/>
                <a:round/>
              </a:ln>
              <a:effectLst/>
            </c:spPr>
            <c:extLst>
              <c:ext xmlns:c16="http://schemas.microsoft.com/office/drawing/2014/chart" uri="{C3380CC4-5D6E-409C-BE32-E72D297353CC}">
                <c16:uniqueId val="{00000007-10DB-488E-85D5-91A55ED7891C}"/>
              </c:ext>
            </c:extLst>
          </c:dPt>
          <c:cat>
            <c:numRef>
              <c:f>'1.4C'!$R$4:$R$13</c:f>
              <c:numCache>
                <c:formatCode>mmm\-yy</c:formatCode>
                <c:ptCount val="10"/>
                <c:pt idx="0">
                  <c:v>43830</c:v>
                </c:pt>
                <c:pt idx="1">
                  <c:v>45322</c:v>
                </c:pt>
                <c:pt idx="2">
                  <c:v>45351</c:v>
                </c:pt>
                <c:pt idx="3">
                  <c:v>45382</c:v>
                </c:pt>
                <c:pt idx="4">
                  <c:v>45412</c:v>
                </c:pt>
                <c:pt idx="5">
                  <c:v>45443</c:v>
                </c:pt>
                <c:pt idx="6">
                  <c:v>45473</c:v>
                </c:pt>
                <c:pt idx="7">
                  <c:v>45504</c:v>
                </c:pt>
                <c:pt idx="8">
                  <c:v>45535</c:v>
                </c:pt>
                <c:pt idx="9">
                  <c:v>45565</c:v>
                </c:pt>
              </c:numCache>
            </c:numRef>
          </c:cat>
          <c:val>
            <c:numRef>
              <c:f>'1.4C'!$T$4:$T$13</c:f>
              <c:numCache>
                <c:formatCode>General</c:formatCode>
                <c:ptCount val="10"/>
                <c:pt idx="0">
                  <c:v>1.625</c:v>
                </c:pt>
                <c:pt idx="1">
                  <c:v>5.375</c:v>
                </c:pt>
                <c:pt idx="2">
                  <c:v>5.375</c:v>
                </c:pt>
                <c:pt idx="3">
                  <c:v>5.375</c:v>
                </c:pt>
                <c:pt idx="4">
                  <c:v>5.375</c:v>
                </c:pt>
                <c:pt idx="5">
                  <c:v>5.375</c:v>
                </c:pt>
                <c:pt idx="6">
                  <c:v>5.375</c:v>
                </c:pt>
                <c:pt idx="7">
                  <c:v>5.375</c:v>
                </c:pt>
                <c:pt idx="8">
                  <c:v>5.375</c:v>
                </c:pt>
                <c:pt idx="9">
                  <c:v>4.875</c:v>
                </c:pt>
              </c:numCache>
            </c:numRef>
          </c:val>
          <c:smooth val="0"/>
          <c:extLst>
            <c:ext xmlns:c16="http://schemas.microsoft.com/office/drawing/2014/chart" uri="{C3380CC4-5D6E-409C-BE32-E72D297353CC}">
              <c16:uniqueId val="{00000008-10DB-488E-85D5-91A55ED7891C}"/>
            </c:ext>
          </c:extLst>
        </c:ser>
        <c:ser>
          <c:idx val="2"/>
          <c:order val="2"/>
          <c:tx>
            <c:strRef>
              <c:f>'1.4C'!$U$3</c:f>
              <c:strCache>
                <c:ptCount val="1"/>
                <c:pt idx="0">
                  <c:v>Euro area</c:v>
                </c:pt>
              </c:strCache>
            </c:strRef>
          </c:tx>
          <c:spPr>
            <a:ln w="76200" cap="rnd">
              <a:solidFill>
                <a:schemeClr val="accent2"/>
              </a:solidFill>
              <a:round/>
            </a:ln>
            <a:effectLst/>
          </c:spPr>
          <c:marker>
            <c:symbol val="none"/>
          </c:marker>
          <c:dPt>
            <c:idx val="0"/>
            <c:marker>
              <c:symbol val="diamond"/>
              <c:size val="25"/>
              <c:spPr>
                <a:solidFill>
                  <a:schemeClr val="accent2"/>
                </a:solidFill>
                <a:ln w="76200">
                  <a:noFill/>
                </a:ln>
                <a:effectLst/>
              </c:spPr>
            </c:marker>
            <c:bubble3D val="0"/>
            <c:spPr>
              <a:ln w="76200" cap="rnd">
                <a:solidFill>
                  <a:schemeClr val="accent2"/>
                </a:solidFill>
                <a:round/>
              </a:ln>
              <a:effectLst/>
            </c:spPr>
            <c:extLst>
              <c:ext xmlns:c16="http://schemas.microsoft.com/office/drawing/2014/chart" uri="{C3380CC4-5D6E-409C-BE32-E72D297353CC}">
                <c16:uniqueId val="{0000000A-10DB-488E-85D5-91A55ED7891C}"/>
              </c:ext>
            </c:extLst>
          </c:dPt>
          <c:dPt>
            <c:idx val="1"/>
            <c:marker>
              <c:symbol val="none"/>
            </c:marker>
            <c:bubble3D val="0"/>
            <c:spPr>
              <a:ln w="76200" cap="rnd">
                <a:noFill/>
                <a:prstDash val="sysDash"/>
                <a:round/>
              </a:ln>
              <a:effectLst/>
            </c:spPr>
            <c:extLst>
              <c:ext xmlns:c16="http://schemas.microsoft.com/office/drawing/2014/chart" uri="{C3380CC4-5D6E-409C-BE32-E72D297353CC}">
                <c16:uniqueId val="{0000000C-10DB-488E-85D5-91A55ED7891C}"/>
              </c:ext>
            </c:extLst>
          </c:dPt>
          <c:cat>
            <c:numRef>
              <c:f>'1.4C'!$R$4:$R$13</c:f>
              <c:numCache>
                <c:formatCode>mmm\-yy</c:formatCode>
                <c:ptCount val="10"/>
                <c:pt idx="0">
                  <c:v>43830</c:v>
                </c:pt>
                <c:pt idx="1">
                  <c:v>45322</c:v>
                </c:pt>
                <c:pt idx="2">
                  <c:v>45351</c:v>
                </c:pt>
                <c:pt idx="3">
                  <c:v>45382</c:v>
                </c:pt>
                <c:pt idx="4">
                  <c:v>45412</c:v>
                </c:pt>
                <c:pt idx="5">
                  <c:v>45443</c:v>
                </c:pt>
                <c:pt idx="6">
                  <c:v>45473</c:v>
                </c:pt>
                <c:pt idx="7">
                  <c:v>45504</c:v>
                </c:pt>
                <c:pt idx="8">
                  <c:v>45535</c:v>
                </c:pt>
                <c:pt idx="9">
                  <c:v>45565</c:v>
                </c:pt>
              </c:numCache>
            </c:numRef>
          </c:cat>
          <c:val>
            <c:numRef>
              <c:f>'1.4C'!$U$4:$U$13</c:f>
              <c:numCache>
                <c:formatCode>General</c:formatCode>
                <c:ptCount val="10"/>
                <c:pt idx="0">
                  <c:v>0</c:v>
                </c:pt>
                <c:pt idx="1">
                  <c:v>4.5</c:v>
                </c:pt>
                <c:pt idx="2">
                  <c:v>4.5</c:v>
                </c:pt>
                <c:pt idx="3">
                  <c:v>4.5</c:v>
                </c:pt>
                <c:pt idx="4">
                  <c:v>4.5</c:v>
                </c:pt>
                <c:pt idx="5">
                  <c:v>4.5</c:v>
                </c:pt>
                <c:pt idx="6">
                  <c:v>4.25</c:v>
                </c:pt>
                <c:pt idx="7">
                  <c:v>4.25</c:v>
                </c:pt>
                <c:pt idx="8">
                  <c:v>4.25</c:v>
                </c:pt>
                <c:pt idx="9">
                  <c:v>3.65</c:v>
                </c:pt>
              </c:numCache>
            </c:numRef>
          </c:val>
          <c:smooth val="0"/>
          <c:extLst>
            <c:ext xmlns:c16="http://schemas.microsoft.com/office/drawing/2014/chart" uri="{C3380CC4-5D6E-409C-BE32-E72D297353CC}">
              <c16:uniqueId val="{0000000D-10DB-488E-85D5-91A55ED7891C}"/>
            </c:ext>
          </c:extLst>
        </c:ser>
        <c:dLbls>
          <c:showLegendKey val="0"/>
          <c:showVal val="0"/>
          <c:showCatName val="0"/>
          <c:showSerName val="0"/>
          <c:showPercent val="0"/>
          <c:showBubbleSize val="0"/>
        </c:dLbls>
        <c:smooth val="0"/>
        <c:axId val="668822895"/>
        <c:axId val="668842095"/>
      </c:lineChart>
      <c:catAx>
        <c:axId val="668822895"/>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68842095"/>
        <c:crosses val="autoZero"/>
        <c:auto val="0"/>
        <c:lblAlgn val="ctr"/>
        <c:lblOffset val="100"/>
        <c:noMultiLvlLbl val="0"/>
      </c:catAx>
      <c:valAx>
        <c:axId val="668842095"/>
        <c:scaling>
          <c:orientation val="minMax"/>
          <c:max val="6"/>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68822895"/>
        <c:crosses val="autoZero"/>
        <c:crossBetween val="between"/>
      </c:valAx>
      <c:spPr>
        <a:noFill/>
        <a:ln>
          <a:noFill/>
        </a:ln>
        <a:effectLst/>
      </c:spPr>
    </c:plotArea>
    <c:legend>
      <c:legendPos val="t"/>
      <c:layout>
        <c:manualLayout>
          <c:xMode val="edge"/>
          <c:yMode val="edge"/>
          <c:x val="0.14157220732023884"/>
          <c:y val="8.7948721500049329E-2"/>
          <c:w val="0.81370942694663162"/>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2636076415604"/>
          <c:y val="0.12528427534182743"/>
          <c:w val="0.87349037711242439"/>
          <c:h val="0.75938250608969149"/>
        </c:manualLayout>
      </c:layout>
      <c:barChart>
        <c:barDir val="col"/>
        <c:grouping val="stacked"/>
        <c:varyColors val="0"/>
        <c:ser>
          <c:idx val="0"/>
          <c:order val="0"/>
          <c:tx>
            <c:strRef>
              <c:f>'1.4D'!$R$4</c:f>
              <c:strCache>
                <c:ptCount val="1"/>
                <c:pt idx="0">
                  <c:v>Food inflation contribution</c:v>
                </c:pt>
              </c:strCache>
            </c:strRef>
          </c:tx>
          <c:spPr>
            <a:solidFill>
              <a:srgbClr val="002345"/>
            </a:solidFill>
            <a:ln w="76200">
              <a:noFill/>
            </a:ln>
            <a:effectLst/>
          </c:spPr>
          <c:invertIfNegative val="0"/>
          <c:cat>
            <c:strRef>
              <c:f>'1.4D'!$S$3:$Z$3</c:f>
              <c:strCache>
                <c:ptCount val="8"/>
                <c:pt idx="0">
                  <c:v>AFG</c:v>
                </c:pt>
                <c:pt idx="1">
                  <c:v>MDV</c:v>
                </c:pt>
                <c:pt idx="2">
                  <c:v>BTN</c:v>
                </c:pt>
                <c:pt idx="3">
                  <c:v>IND</c:v>
                </c:pt>
                <c:pt idx="4">
                  <c:v>NPL</c:v>
                </c:pt>
                <c:pt idx="5">
                  <c:v>LKA</c:v>
                </c:pt>
                <c:pt idx="6">
                  <c:v>BGD</c:v>
                </c:pt>
                <c:pt idx="7">
                  <c:v>PAK</c:v>
                </c:pt>
              </c:strCache>
            </c:strRef>
          </c:cat>
          <c:val>
            <c:numRef>
              <c:f>'1.4D'!$S$4:$Z$4</c:f>
              <c:numCache>
                <c:formatCode>0.0</c:formatCode>
                <c:ptCount val="8"/>
                <c:pt idx="0">
                  <c:v>-5</c:v>
                </c:pt>
                <c:pt idx="1">
                  <c:v>1.6</c:v>
                </c:pt>
                <c:pt idx="2">
                  <c:v>0.97</c:v>
                </c:pt>
                <c:pt idx="3">
                  <c:v>2.4300000000000002</c:v>
                </c:pt>
                <c:pt idx="4">
                  <c:v>2.2999999999999998</c:v>
                </c:pt>
                <c:pt idx="5">
                  <c:v>0.89</c:v>
                </c:pt>
                <c:pt idx="6">
                  <c:v>4.8099999999999996</c:v>
                </c:pt>
                <c:pt idx="7">
                  <c:v>0.85</c:v>
                </c:pt>
              </c:numCache>
            </c:numRef>
          </c:val>
          <c:extLst>
            <c:ext xmlns:c16="http://schemas.microsoft.com/office/drawing/2014/chart" uri="{C3380CC4-5D6E-409C-BE32-E72D297353CC}">
              <c16:uniqueId val="{00000000-798F-469D-992F-9E417516E920}"/>
            </c:ext>
          </c:extLst>
        </c:ser>
        <c:ser>
          <c:idx val="1"/>
          <c:order val="1"/>
          <c:tx>
            <c:strRef>
              <c:f>'1.4D'!$R$5</c:f>
              <c:strCache>
                <c:ptCount val="1"/>
                <c:pt idx="0">
                  <c:v>Non-food inflation contribution</c:v>
                </c:pt>
              </c:strCache>
            </c:strRef>
          </c:tx>
          <c:spPr>
            <a:solidFill>
              <a:srgbClr val="EB1C2D"/>
            </a:solidFill>
            <a:ln w="76200">
              <a:noFill/>
            </a:ln>
            <a:effectLst/>
          </c:spPr>
          <c:invertIfNegative val="0"/>
          <c:cat>
            <c:strRef>
              <c:f>'1.4D'!$S$3:$Z$3</c:f>
              <c:strCache>
                <c:ptCount val="8"/>
                <c:pt idx="0">
                  <c:v>AFG</c:v>
                </c:pt>
                <c:pt idx="1">
                  <c:v>MDV</c:v>
                </c:pt>
                <c:pt idx="2">
                  <c:v>BTN</c:v>
                </c:pt>
                <c:pt idx="3">
                  <c:v>IND</c:v>
                </c:pt>
                <c:pt idx="4">
                  <c:v>NPL</c:v>
                </c:pt>
                <c:pt idx="5">
                  <c:v>LKA</c:v>
                </c:pt>
                <c:pt idx="6">
                  <c:v>BGD</c:v>
                </c:pt>
                <c:pt idx="7">
                  <c:v>PAK</c:v>
                </c:pt>
              </c:strCache>
            </c:strRef>
          </c:cat>
          <c:val>
            <c:numRef>
              <c:f>'1.4D'!$S$5:$Z$5</c:f>
              <c:numCache>
                <c:formatCode>0.0</c:formatCode>
                <c:ptCount val="8"/>
                <c:pt idx="0">
                  <c:v>-1.57</c:v>
                </c:pt>
                <c:pt idx="1">
                  <c:v>-0.2</c:v>
                </c:pt>
                <c:pt idx="2">
                  <c:v>1.05</c:v>
                </c:pt>
                <c:pt idx="3">
                  <c:v>1.22</c:v>
                </c:pt>
                <c:pt idx="4">
                  <c:v>1.87</c:v>
                </c:pt>
                <c:pt idx="5">
                  <c:v>0.2</c:v>
                </c:pt>
                <c:pt idx="6">
                  <c:v>5.68</c:v>
                </c:pt>
                <c:pt idx="7">
                  <c:v>8.7799999999999994</c:v>
                </c:pt>
              </c:numCache>
            </c:numRef>
          </c:val>
          <c:extLst>
            <c:ext xmlns:c16="http://schemas.microsoft.com/office/drawing/2014/chart" uri="{C3380CC4-5D6E-409C-BE32-E72D297353CC}">
              <c16:uniqueId val="{00000001-798F-469D-992F-9E417516E920}"/>
            </c:ext>
          </c:extLst>
        </c:ser>
        <c:dLbls>
          <c:showLegendKey val="0"/>
          <c:showVal val="0"/>
          <c:showCatName val="0"/>
          <c:showSerName val="0"/>
          <c:showPercent val="0"/>
          <c:showBubbleSize val="0"/>
        </c:dLbls>
        <c:gapWidth val="150"/>
        <c:overlap val="100"/>
        <c:axId val="1834158688"/>
        <c:axId val="1807524032"/>
      </c:barChart>
      <c:lineChart>
        <c:grouping val="standard"/>
        <c:varyColors val="0"/>
        <c:ser>
          <c:idx val="2"/>
          <c:order val="2"/>
          <c:tx>
            <c:strRef>
              <c:f>'1.4D'!$R$6</c:f>
              <c:strCache>
                <c:ptCount val="1"/>
                <c:pt idx="0">
                  <c:v>Inflation target</c:v>
                </c:pt>
              </c:strCache>
            </c:strRef>
          </c:tx>
          <c:spPr>
            <a:ln w="76200" cap="rnd">
              <a:noFill/>
              <a:round/>
            </a:ln>
            <a:effectLst/>
          </c:spPr>
          <c:marker>
            <c:symbol val="dash"/>
            <c:size val="25"/>
            <c:spPr>
              <a:solidFill>
                <a:schemeClr val="accent2"/>
              </a:solidFill>
              <a:ln w="76200">
                <a:noFill/>
              </a:ln>
              <a:effectLst/>
            </c:spPr>
          </c:marker>
          <c:cat>
            <c:strRef>
              <c:f>'1.4D'!$S$3:$Z$3</c:f>
              <c:strCache>
                <c:ptCount val="8"/>
                <c:pt idx="0">
                  <c:v>AFG</c:v>
                </c:pt>
                <c:pt idx="1">
                  <c:v>MDV</c:v>
                </c:pt>
                <c:pt idx="2">
                  <c:v>BTN</c:v>
                </c:pt>
                <c:pt idx="3">
                  <c:v>IND</c:v>
                </c:pt>
                <c:pt idx="4">
                  <c:v>NPL</c:v>
                </c:pt>
                <c:pt idx="5">
                  <c:v>LKA</c:v>
                </c:pt>
                <c:pt idx="6">
                  <c:v>BGD</c:v>
                </c:pt>
                <c:pt idx="7">
                  <c:v>PAK</c:v>
                </c:pt>
              </c:strCache>
            </c:strRef>
          </c:cat>
          <c:val>
            <c:numRef>
              <c:f>'1.4D'!$S$6:$Z$6</c:f>
              <c:numCache>
                <c:formatCode>0.0</c:formatCode>
                <c:ptCount val="8"/>
                <c:pt idx="3">
                  <c:v>6</c:v>
                </c:pt>
                <c:pt idx="4">
                  <c:v>7</c:v>
                </c:pt>
                <c:pt idx="5">
                  <c:v>6</c:v>
                </c:pt>
                <c:pt idx="6">
                  <c:v>6.5</c:v>
                </c:pt>
              </c:numCache>
            </c:numRef>
          </c:val>
          <c:smooth val="0"/>
          <c:extLst>
            <c:ext xmlns:c16="http://schemas.microsoft.com/office/drawing/2014/chart" uri="{C3380CC4-5D6E-409C-BE32-E72D297353CC}">
              <c16:uniqueId val="{00000002-798F-469D-992F-9E417516E920}"/>
            </c:ext>
          </c:extLst>
        </c:ser>
        <c:ser>
          <c:idx val="3"/>
          <c:order val="3"/>
          <c:spPr>
            <a:ln w="76200" cap="rnd">
              <a:solidFill>
                <a:srgbClr val="FDB714"/>
              </a:solidFill>
              <a:round/>
            </a:ln>
            <a:effectLst/>
          </c:spPr>
          <c:marker>
            <c:symbol val="dash"/>
            <c:size val="25"/>
            <c:spPr>
              <a:solidFill>
                <a:schemeClr val="accent2"/>
              </a:solidFill>
              <a:ln w="76200">
                <a:noFill/>
              </a:ln>
              <a:effectLst/>
            </c:spPr>
          </c:marker>
          <c:cat>
            <c:strRef>
              <c:f>'1.4D'!$S$3:$Z$3</c:f>
              <c:strCache>
                <c:ptCount val="8"/>
                <c:pt idx="0">
                  <c:v>AFG</c:v>
                </c:pt>
                <c:pt idx="1">
                  <c:v>MDV</c:v>
                </c:pt>
                <c:pt idx="2">
                  <c:v>BTN</c:v>
                </c:pt>
                <c:pt idx="3">
                  <c:v>IND</c:v>
                </c:pt>
                <c:pt idx="4">
                  <c:v>NPL</c:v>
                </c:pt>
                <c:pt idx="5">
                  <c:v>LKA</c:v>
                </c:pt>
                <c:pt idx="6">
                  <c:v>BGD</c:v>
                </c:pt>
                <c:pt idx="7">
                  <c:v>PAK</c:v>
                </c:pt>
              </c:strCache>
            </c:strRef>
          </c:cat>
          <c:val>
            <c:numRef>
              <c:f>'1.4D'!$S$7:$Z$7</c:f>
              <c:numCache>
                <c:formatCode>0.0</c:formatCode>
                <c:ptCount val="8"/>
                <c:pt idx="3">
                  <c:v>2</c:v>
                </c:pt>
                <c:pt idx="5">
                  <c:v>4</c:v>
                </c:pt>
              </c:numCache>
            </c:numRef>
          </c:val>
          <c:smooth val="0"/>
          <c:extLst>
            <c:ext xmlns:c16="http://schemas.microsoft.com/office/drawing/2014/chart" uri="{C3380CC4-5D6E-409C-BE32-E72D297353CC}">
              <c16:uniqueId val="{00000003-798F-469D-992F-9E417516E920}"/>
            </c:ext>
          </c:extLst>
        </c:ser>
        <c:ser>
          <c:idx val="4"/>
          <c:order val="4"/>
          <c:spPr>
            <a:ln w="76200" cap="rnd">
              <a:noFill/>
              <a:round/>
            </a:ln>
            <a:effectLst/>
          </c:spPr>
          <c:marker>
            <c:symbol val="none"/>
          </c:marker>
          <c:errBars>
            <c:errDir val="y"/>
            <c:errBarType val="both"/>
            <c:errValType val="cust"/>
            <c:noEndCap val="1"/>
            <c:plus>
              <c:numRef>
                <c:f>'1.4D'!$S$9:$Z$9</c:f>
                <c:numCache>
                  <c:formatCode>General</c:formatCode>
                  <c:ptCount val="8"/>
                  <c:pt idx="3">
                    <c:v>2</c:v>
                  </c:pt>
                  <c:pt idx="4">
                    <c:v>0</c:v>
                  </c:pt>
                  <c:pt idx="5">
                    <c:v>1</c:v>
                  </c:pt>
                  <c:pt idx="7">
                    <c:v>0</c:v>
                  </c:pt>
                </c:numCache>
              </c:numRef>
            </c:plus>
            <c:minus>
              <c:numRef>
                <c:f>'1.4D'!$S$9:$Z$9</c:f>
                <c:numCache>
                  <c:formatCode>General</c:formatCode>
                  <c:ptCount val="8"/>
                  <c:pt idx="3">
                    <c:v>2</c:v>
                  </c:pt>
                  <c:pt idx="4">
                    <c:v>0</c:v>
                  </c:pt>
                  <c:pt idx="5">
                    <c:v>1</c:v>
                  </c:pt>
                  <c:pt idx="7">
                    <c:v>0</c:v>
                  </c:pt>
                </c:numCache>
              </c:numRef>
            </c:minus>
            <c:spPr>
              <a:noFill/>
              <a:ln w="57150" cap="flat" cmpd="sng" algn="ctr">
                <a:solidFill>
                  <a:schemeClr val="accent2"/>
                </a:solidFill>
                <a:round/>
              </a:ln>
              <a:effectLst/>
            </c:spPr>
          </c:errBars>
          <c:cat>
            <c:strRef>
              <c:f>'1.4D'!$S$3:$Z$3</c:f>
              <c:strCache>
                <c:ptCount val="8"/>
                <c:pt idx="0">
                  <c:v>AFG</c:v>
                </c:pt>
                <c:pt idx="1">
                  <c:v>MDV</c:v>
                </c:pt>
                <c:pt idx="2">
                  <c:v>BTN</c:v>
                </c:pt>
                <c:pt idx="3">
                  <c:v>IND</c:v>
                </c:pt>
                <c:pt idx="4">
                  <c:v>NPL</c:v>
                </c:pt>
                <c:pt idx="5">
                  <c:v>LKA</c:v>
                </c:pt>
                <c:pt idx="6">
                  <c:v>BGD</c:v>
                </c:pt>
                <c:pt idx="7">
                  <c:v>PAK</c:v>
                </c:pt>
              </c:strCache>
            </c:strRef>
          </c:cat>
          <c:val>
            <c:numRef>
              <c:f>'1.4D'!$S$8:$Z$8</c:f>
              <c:numCache>
                <c:formatCode>0.0</c:formatCode>
                <c:ptCount val="8"/>
                <c:pt idx="3">
                  <c:v>4</c:v>
                </c:pt>
                <c:pt idx="4">
                  <c:v>7</c:v>
                </c:pt>
                <c:pt idx="5">
                  <c:v>5</c:v>
                </c:pt>
                <c:pt idx="7">
                  <c:v>6</c:v>
                </c:pt>
              </c:numCache>
            </c:numRef>
          </c:val>
          <c:smooth val="0"/>
          <c:extLst>
            <c:ext xmlns:c16="http://schemas.microsoft.com/office/drawing/2014/chart" uri="{C3380CC4-5D6E-409C-BE32-E72D297353CC}">
              <c16:uniqueId val="{00000004-798F-469D-992F-9E417516E920}"/>
            </c:ext>
          </c:extLst>
        </c:ser>
        <c:dLbls>
          <c:showLegendKey val="0"/>
          <c:showVal val="0"/>
          <c:showCatName val="0"/>
          <c:showSerName val="0"/>
          <c:showPercent val="0"/>
          <c:showBubbleSize val="0"/>
        </c:dLbls>
        <c:marker val="1"/>
        <c:smooth val="0"/>
        <c:axId val="1834158688"/>
        <c:axId val="1807524032"/>
      </c:lineChart>
      <c:catAx>
        <c:axId val="183415868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07524032"/>
        <c:crosses val="autoZero"/>
        <c:auto val="1"/>
        <c:lblAlgn val="ctr"/>
        <c:lblOffset val="100"/>
        <c:noMultiLvlLbl val="0"/>
      </c:catAx>
      <c:valAx>
        <c:axId val="1807524032"/>
        <c:scaling>
          <c:orientation val="minMax"/>
          <c:max val="1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34158688"/>
        <c:crosses val="autoZero"/>
        <c:crossBetween val="between"/>
        <c:majorUnit val="3"/>
      </c:valAx>
      <c:spPr>
        <a:noFill/>
        <a:ln>
          <a:noFill/>
        </a:ln>
        <a:effectLst/>
      </c:spPr>
    </c:plotArea>
    <c:legend>
      <c:legendPos val="r"/>
      <c:legendEntry>
        <c:idx val="3"/>
        <c:delete val="1"/>
      </c:legendEntry>
      <c:legendEntry>
        <c:idx val="4"/>
        <c:delete val="1"/>
      </c:legendEntry>
      <c:layout>
        <c:manualLayout>
          <c:xMode val="edge"/>
          <c:yMode val="edge"/>
          <c:x val="0.21652755905511811"/>
          <c:y val="5.496573344998542E-2"/>
          <c:w val="0.7583471128608924"/>
          <c:h val="0.2205724791837517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890616640988534E-2"/>
          <c:y val="0.12447329026554008"/>
          <c:w val="0.89281946030483716"/>
          <c:h val="0.7599073387003018"/>
        </c:manualLayout>
      </c:layout>
      <c:barChart>
        <c:barDir val="col"/>
        <c:grouping val="clustered"/>
        <c:varyColors val="0"/>
        <c:ser>
          <c:idx val="3"/>
          <c:order val="0"/>
          <c:tx>
            <c:strRef>
              <c:f>'1.4E'!$R$5</c:f>
              <c:strCache>
                <c:ptCount val="1"/>
                <c:pt idx="0">
                  <c:v>Dec-23 - Mar-24</c:v>
                </c:pt>
              </c:strCache>
            </c:strRef>
          </c:tx>
          <c:spPr>
            <a:solidFill>
              <a:schemeClr val="tx2"/>
            </a:solidFill>
            <a:ln>
              <a:noFill/>
            </a:ln>
            <a:effectLst/>
          </c:spPr>
          <c:invertIfNegative val="0"/>
          <c:cat>
            <c:strRef>
              <c:f>'1.4E'!$S$4:$U$4</c:f>
              <c:strCache>
                <c:ptCount val="3"/>
                <c:pt idx="0">
                  <c:v>LKA</c:v>
                </c:pt>
                <c:pt idx="1">
                  <c:v>BGD</c:v>
                </c:pt>
                <c:pt idx="2">
                  <c:v>PAK</c:v>
                </c:pt>
              </c:strCache>
            </c:strRef>
          </c:cat>
          <c:val>
            <c:numRef>
              <c:f>'1.4E'!$S$5:$U$5</c:f>
              <c:numCache>
                <c:formatCode>General</c:formatCode>
                <c:ptCount val="3"/>
                <c:pt idx="0">
                  <c:v>-6.54</c:v>
                </c:pt>
                <c:pt idx="1">
                  <c:v>-0.13</c:v>
                </c:pt>
                <c:pt idx="2">
                  <c:v>-1.61</c:v>
                </c:pt>
              </c:numCache>
            </c:numRef>
          </c:val>
          <c:extLst>
            <c:ext xmlns:c16="http://schemas.microsoft.com/office/drawing/2014/chart" uri="{C3380CC4-5D6E-409C-BE32-E72D297353CC}">
              <c16:uniqueId val="{00000000-F0F8-4322-AA7E-C2FB44BCFB94}"/>
            </c:ext>
          </c:extLst>
        </c:ser>
        <c:ser>
          <c:idx val="0"/>
          <c:order val="1"/>
          <c:tx>
            <c:strRef>
              <c:f>'1.4E'!$R$6</c:f>
              <c:strCache>
                <c:ptCount val="1"/>
                <c:pt idx="0">
                  <c:v>Apr-24 - Latest</c:v>
                </c:pt>
              </c:strCache>
            </c:strRef>
          </c:tx>
          <c:spPr>
            <a:solidFill>
              <a:schemeClr val="bg2"/>
            </a:solidFill>
            <a:ln>
              <a:noFill/>
            </a:ln>
            <a:effectLst/>
          </c:spPr>
          <c:invertIfNegative val="0"/>
          <c:cat>
            <c:strRef>
              <c:f>'1.4E'!$S$4:$U$4</c:f>
              <c:strCache>
                <c:ptCount val="3"/>
                <c:pt idx="0">
                  <c:v>LKA</c:v>
                </c:pt>
                <c:pt idx="1">
                  <c:v>BGD</c:v>
                </c:pt>
                <c:pt idx="2">
                  <c:v>PAK</c:v>
                </c:pt>
              </c:strCache>
            </c:strRef>
          </c:cat>
          <c:val>
            <c:numRef>
              <c:f>'1.4E'!$S$6:$U$6</c:f>
              <c:numCache>
                <c:formatCode>General</c:formatCode>
                <c:ptCount val="3"/>
                <c:pt idx="0">
                  <c:v>0.4</c:v>
                </c:pt>
                <c:pt idx="1">
                  <c:v>7.99</c:v>
                </c:pt>
                <c:pt idx="2">
                  <c:v>0.2</c:v>
                </c:pt>
              </c:numCache>
            </c:numRef>
          </c:val>
          <c:extLst>
            <c:ext xmlns:c16="http://schemas.microsoft.com/office/drawing/2014/chart" uri="{C3380CC4-5D6E-409C-BE32-E72D297353CC}">
              <c16:uniqueId val="{00000001-F0F8-4322-AA7E-C2FB44BCFB94}"/>
            </c:ext>
          </c:extLst>
        </c:ser>
        <c:dLbls>
          <c:showLegendKey val="0"/>
          <c:showVal val="0"/>
          <c:showCatName val="0"/>
          <c:showSerName val="0"/>
          <c:showPercent val="0"/>
          <c:showBubbleSize val="0"/>
        </c:dLbls>
        <c:gapWidth val="150"/>
        <c:axId val="886781007"/>
        <c:axId val="1333444720"/>
        <c:extLst/>
      </c:barChart>
      <c:catAx>
        <c:axId val="88678100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33444720"/>
        <c:crosses val="autoZero"/>
        <c:auto val="1"/>
        <c:lblAlgn val="ctr"/>
        <c:lblOffset val="100"/>
        <c:noMultiLvlLbl val="0"/>
      </c:catAx>
      <c:valAx>
        <c:axId val="13334447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86781007"/>
        <c:crosses val="autoZero"/>
        <c:crossBetween val="between"/>
      </c:valAx>
      <c:spPr>
        <a:noFill/>
        <a:ln>
          <a:noFill/>
        </a:ln>
        <a:effectLst/>
      </c:spPr>
    </c:plotArea>
    <c:legend>
      <c:legendPos val="t"/>
      <c:layout>
        <c:manualLayout>
          <c:xMode val="edge"/>
          <c:yMode val="edge"/>
          <c:x val="9.1981883893434396E-2"/>
          <c:y val="6.8515538995681274E-2"/>
          <c:w val="0.89161482118153446"/>
          <c:h val="9.0157750982803986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29866956285639E-2"/>
          <c:y val="0.12179813886900501"/>
          <c:w val="0.88879771925061091"/>
          <c:h val="0.6141334605901535"/>
        </c:manualLayout>
      </c:layout>
      <c:lineChart>
        <c:grouping val="standard"/>
        <c:varyColors val="0"/>
        <c:ser>
          <c:idx val="0"/>
          <c:order val="0"/>
          <c:tx>
            <c:strRef>
              <c:f>'1.4F'!$S$3</c:f>
              <c:strCache>
                <c:ptCount val="1"/>
                <c:pt idx="0">
                  <c:v>BGD</c:v>
                </c:pt>
              </c:strCache>
            </c:strRef>
          </c:tx>
          <c:spPr>
            <a:ln w="76200" cap="rnd">
              <a:solidFill>
                <a:srgbClr val="002345"/>
              </a:solidFill>
              <a:round/>
            </a:ln>
            <a:effectLst/>
          </c:spPr>
          <c:marker>
            <c:symbol val="none"/>
          </c:marker>
          <c:dPt>
            <c:idx val="0"/>
            <c:marker>
              <c:symbol val="diamond"/>
              <c:size val="25"/>
              <c:spPr>
                <a:solidFill>
                  <a:schemeClr val="tx2"/>
                </a:solidFill>
                <a:ln w="9525">
                  <a:solidFill>
                    <a:schemeClr val="tx2"/>
                  </a:solidFill>
                </a:ln>
                <a:effectLst/>
              </c:spPr>
            </c:marker>
            <c:bubble3D val="0"/>
            <c:extLst>
              <c:ext xmlns:c16="http://schemas.microsoft.com/office/drawing/2014/chart" uri="{C3380CC4-5D6E-409C-BE32-E72D297353CC}">
                <c16:uniqueId val="{00000000-475F-423E-A459-FDBEAF1F376A}"/>
              </c:ext>
            </c:extLst>
          </c:dPt>
          <c:dPt>
            <c:idx val="1"/>
            <c:marker>
              <c:symbol val="none"/>
            </c:marker>
            <c:bubble3D val="0"/>
            <c:spPr>
              <a:ln w="76200" cap="rnd">
                <a:noFill/>
                <a:prstDash val="sysDot"/>
                <a:round/>
              </a:ln>
              <a:effectLst/>
            </c:spPr>
            <c:extLst>
              <c:ext xmlns:c16="http://schemas.microsoft.com/office/drawing/2014/chart" uri="{C3380CC4-5D6E-409C-BE32-E72D297353CC}">
                <c16:uniqueId val="{00000002-475F-423E-A459-FDBEAF1F376A}"/>
              </c:ext>
            </c:extLst>
          </c:dPt>
          <c:cat>
            <c:numRef>
              <c:f>'1.4F'!$R$4:$R$13</c:f>
              <c:numCache>
                <c:formatCode>mmm\-yy</c:formatCode>
                <c:ptCount val="10"/>
                <c:pt idx="0">
                  <c:v>43800</c:v>
                </c:pt>
                <c:pt idx="1">
                  <c:v>45292</c:v>
                </c:pt>
                <c:pt idx="2">
                  <c:v>45323</c:v>
                </c:pt>
                <c:pt idx="3">
                  <c:v>45352</c:v>
                </c:pt>
                <c:pt idx="4">
                  <c:v>45383</c:v>
                </c:pt>
                <c:pt idx="5">
                  <c:v>45413</c:v>
                </c:pt>
                <c:pt idx="6">
                  <c:v>45444</c:v>
                </c:pt>
                <c:pt idx="7">
                  <c:v>45474</c:v>
                </c:pt>
                <c:pt idx="8">
                  <c:v>45505</c:v>
                </c:pt>
                <c:pt idx="9">
                  <c:v>45536</c:v>
                </c:pt>
              </c:numCache>
            </c:numRef>
          </c:cat>
          <c:val>
            <c:numRef>
              <c:f>'1.4F'!$S$4:$S$13</c:f>
              <c:numCache>
                <c:formatCode>0.0</c:formatCode>
                <c:ptCount val="10"/>
                <c:pt idx="0">
                  <c:v>6</c:v>
                </c:pt>
                <c:pt idx="1">
                  <c:v>8</c:v>
                </c:pt>
                <c:pt idx="2">
                  <c:v>8</c:v>
                </c:pt>
                <c:pt idx="3">
                  <c:v>8</c:v>
                </c:pt>
                <c:pt idx="4">
                  <c:v>8</c:v>
                </c:pt>
                <c:pt idx="5">
                  <c:v>8.5</c:v>
                </c:pt>
                <c:pt idx="6">
                  <c:v>8.5</c:v>
                </c:pt>
                <c:pt idx="7">
                  <c:v>8.5</c:v>
                </c:pt>
                <c:pt idx="8">
                  <c:v>9</c:v>
                </c:pt>
                <c:pt idx="9">
                  <c:v>9</c:v>
                </c:pt>
              </c:numCache>
            </c:numRef>
          </c:val>
          <c:smooth val="0"/>
          <c:extLst>
            <c:ext xmlns:c16="http://schemas.microsoft.com/office/drawing/2014/chart" uri="{C3380CC4-5D6E-409C-BE32-E72D297353CC}">
              <c16:uniqueId val="{00000003-475F-423E-A459-FDBEAF1F376A}"/>
            </c:ext>
          </c:extLst>
        </c:ser>
        <c:ser>
          <c:idx val="1"/>
          <c:order val="1"/>
          <c:tx>
            <c:strRef>
              <c:f>'1.4F'!$T$3</c:f>
              <c:strCache>
                <c:ptCount val="1"/>
                <c:pt idx="0">
                  <c:v>IND</c:v>
                </c:pt>
              </c:strCache>
            </c:strRef>
          </c:tx>
          <c:spPr>
            <a:ln w="76200" cap="rnd">
              <a:solidFill>
                <a:schemeClr val="accent2"/>
              </a:solidFill>
              <a:round/>
            </a:ln>
            <a:effectLst/>
          </c:spPr>
          <c:marker>
            <c:symbol val="none"/>
          </c:marker>
          <c:dPt>
            <c:idx val="0"/>
            <c:marker>
              <c:symbol val="diamond"/>
              <c:size val="25"/>
              <c:spPr>
                <a:solidFill>
                  <a:schemeClr val="accent2"/>
                </a:solidFill>
                <a:ln w="9525">
                  <a:noFill/>
                </a:ln>
                <a:effectLst/>
              </c:spPr>
            </c:marker>
            <c:bubble3D val="0"/>
            <c:extLst>
              <c:ext xmlns:c16="http://schemas.microsoft.com/office/drawing/2014/chart" uri="{C3380CC4-5D6E-409C-BE32-E72D297353CC}">
                <c16:uniqueId val="{00000004-475F-423E-A459-FDBEAF1F376A}"/>
              </c:ext>
            </c:extLst>
          </c:dPt>
          <c:dPt>
            <c:idx val="1"/>
            <c:marker>
              <c:symbol val="none"/>
            </c:marker>
            <c:bubble3D val="0"/>
            <c:spPr>
              <a:ln w="76200" cap="rnd">
                <a:noFill/>
                <a:prstDash val="sysDot"/>
                <a:round/>
              </a:ln>
              <a:effectLst/>
            </c:spPr>
            <c:extLst>
              <c:ext xmlns:c16="http://schemas.microsoft.com/office/drawing/2014/chart" uri="{C3380CC4-5D6E-409C-BE32-E72D297353CC}">
                <c16:uniqueId val="{00000006-475F-423E-A459-FDBEAF1F376A}"/>
              </c:ext>
            </c:extLst>
          </c:dPt>
          <c:cat>
            <c:numRef>
              <c:f>'1.4F'!$R$4:$R$13</c:f>
              <c:numCache>
                <c:formatCode>mmm\-yy</c:formatCode>
                <c:ptCount val="10"/>
                <c:pt idx="0">
                  <c:v>43800</c:v>
                </c:pt>
                <c:pt idx="1">
                  <c:v>45292</c:v>
                </c:pt>
                <c:pt idx="2">
                  <c:v>45323</c:v>
                </c:pt>
                <c:pt idx="3">
                  <c:v>45352</c:v>
                </c:pt>
                <c:pt idx="4">
                  <c:v>45383</c:v>
                </c:pt>
                <c:pt idx="5">
                  <c:v>45413</c:v>
                </c:pt>
                <c:pt idx="6">
                  <c:v>45444</c:v>
                </c:pt>
                <c:pt idx="7">
                  <c:v>45474</c:v>
                </c:pt>
                <c:pt idx="8">
                  <c:v>45505</c:v>
                </c:pt>
                <c:pt idx="9">
                  <c:v>45536</c:v>
                </c:pt>
              </c:numCache>
            </c:numRef>
          </c:cat>
          <c:val>
            <c:numRef>
              <c:f>'1.4F'!$T$4:$T$13</c:f>
              <c:numCache>
                <c:formatCode>0.0</c:formatCode>
                <c:ptCount val="10"/>
                <c:pt idx="0">
                  <c:v>5.15</c:v>
                </c:pt>
                <c:pt idx="1">
                  <c:v>6.5</c:v>
                </c:pt>
                <c:pt idx="2">
                  <c:v>6.5</c:v>
                </c:pt>
                <c:pt idx="3">
                  <c:v>6.5</c:v>
                </c:pt>
                <c:pt idx="4">
                  <c:v>6.5</c:v>
                </c:pt>
                <c:pt idx="5">
                  <c:v>6.5</c:v>
                </c:pt>
                <c:pt idx="6">
                  <c:v>6.5</c:v>
                </c:pt>
                <c:pt idx="7">
                  <c:v>6.5</c:v>
                </c:pt>
                <c:pt idx="8">
                  <c:v>6.5</c:v>
                </c:pt>
                <c:pt idx="9">
                  <c:v>6.5</c:v>
                </c:pt>
              </c:numCache>
            </c:numRef>
          </c:val>
          <c:smooth val="0"/>
          <c:extLst>
            <c:ext xmlns:c16="http://schemas.microsoft.com/office/drawing/2014/chart" uri="{C3380CC4-5D6E-409C-BE32-E72D297353CC}">
              <c16:uniqueId val="{00000007-475F-423E-A459-FDBEAF1F376A}"/>
            </c:ext>
          </c:extLst>
        </c:ser>
        <c:ser>
          <c:idx val="2"/>
          <c:order val="2"/>
          <c:tx>
            <c:strRef>
              <c:f>'1.4F'!$U$3</c:f>
              <c:strCache>
                <c:ptCount val="1"/>
                <c:pt idx="0">
                  <c:v>NPL</c:v>
                </c:pt>
              </c:strCache>
            </c:strRef>
          </c:tx>
          <c:spPr>
            <a:ln w="76200" cap="rnd">
              <a:solidFill>
                <a:schemeClr val="bg2"/>
              </a:solidFill>
              <a:round/>
            </a:ln>
            <a:effectLst/>
          </c:spPr>
          <c:marker>
            <c:symbol val="none"/>
          </c:marker>
          <c:dPt>
            <c:idx val="0"/>
            <c:marker>
              <c:symbol val="diamond"/>
              <c:size val="20"/>
              <c:spPr>
                <a:solidFill>
                  <a:schemeClr val="bg2"/>
                </a:solidFill>
                <a:ln w="9525">
                  <a:solidFill>
                    <a:schemeClr val="bg2"/>
                  </a:solidFill>
                </a:ln>
                <a:effectLst/>
              </c:spPr>
            </c:marker>
            <c:bubble3D val="0"/>
            <c:extLst>
              <c:ext xmlns:c16="http://schemas.microsoft.com/office/drawing/2014/chart" uri="{C3380CC4-5D6E-409C-BE32-E72D297353CC}">
                <c16:uniqueId val="{00000008-475F-423E-A459-FDBEAF1F376A}"/>
              </c:ext>
            </c:extLst>
          </c:dPt>
          <c:dPt>
            <c:idx val="1"/>
            <c:marker>
              <c:symbol val="none"/>
            </c:marker>
            <c:bubble3D val="0"/>
            <c:spPr>
              <a:ln w="76200" cap="rnd">
                <a:noFill/>
                <a:prstDash val="sysDot"/>
                <a:round/>
              </a:ln>
              <a:effectLst/>
            </c:spPr>
            <c:extLst>
              <c:ext xmlns:c16="http://schemas.microsoft.com/office/drawing/2014/chart" uri="{C3380CC4-5D6E-409C-BE32-E72D297353CC}">
                <c16:uniqueId val="{0000000A-475F-423E-A459-FDBEAF1F376A}"/>
              </c:ext>
            </c:extLst>
          </c:dPt>
          <c:cat>
            <c:numRef>
              <c:f>'1.4F'!$R$4:$R$13</c:f>
              <c:numCache>
                <c:formatCode>mmm\-yy</c:formatCode>
                <c:ptCount val="10"/>
                <c:pt idx="0">
                  <c:v>43800</c:v>
                </c:pt>
                <c:pt idx="1">
                  <c:v>45292</c:v>
                </c:pt>
                <c:pt idx="2">
                  <c:v>45323</c:v>
                </c:pt>
                <c:pt idx="3">
                  <c:v>45352</c:v>
                </c:pt>
                <c:pt idx="4">
                  <c:v>45383</c:v>
                </c:pt>
                <c:pt idx="5">
                  <c:v>45413</c:v>
                </c:pt>
                <c:pt idx="6">
                  <c:v>45444</c:v>
                </c:pt>
                <c:pt idx="7">
                  <c:v>45474</c:v>
                </c:pt>
                <c:pt idx="8">
                  <c:v>45505</c:v>
                </c:pt>
                <c:pt idx="9">
                  <c:v>45536</c:v>
                </c:pt>
              </c:numCache>
            </c:numRef>
          </c:cat>
          <c:val>
            <c:numRef>
              <c:f>'1.4F'!$U$4:$U$13</c:f>
              <c:numCache>
                <c:formatCode>0.0</c:formatCode>
                <c:ptCount val="10"/>
                <c:pt idx="0">
                  <c:v>6</c:v>
                </c:pt>
                <c:pt idx="1">
                  <c:v>7</c:v>
                </c:pt>
                <c:pt idx="2">
                  <c:v>7</c:v>
                </c:pt>
                <c:pt idx="3">
                  <c:v>7</c:v>
                </c:pt>
                <c:pt idx="4">
                  <c:v>7</c:v>
                </c:pt>
                <c:pt idx="5">
                  <c:v>7</c:v>
                </c:pt>
                <c:pt idx="6">
                  <c:v>7</c:v>
                </c:pt>
                <c:pt idx="7">
                  <c:v>6.5</c:v>
                </c:pt>
                <c:pt idx="8">
                  <c:v>6.5</c:v>
                </c:pt>
                <c:pt idx="9">
                  <c:v>6.5</c:v>
                </c:pt>
              </c:numCache>
            </c:numRef>
          </c:val>
          <c:smooth val="0"/>
          <c:extLst>
            <c:ext xmlns:c16="http://schemas.microsoft.com/office/drawing/2014/chart" uri="{C3380CC4-5D6E-409C-BE32-E72D297353CC}">
              <c16:uniqueId val="{0000000B-475F-423E-A459-FDBEAF1F376A}"/>
            </c:ext>
          </c:extLst>
        </c:ser>
        <c:ser>
          <c:idx val="4"/>
          <c:order val="4"/>
          <c:tx>
            <c:strRef>
              <c:f>'1.4F'!$W$3</c:f>
              <c:strCache>
                <c:ptCount val="1"/>
                <c:pt idx="0">
                  <c:v>LKA</c:v>
                </c:pt>
              </c:strCache>
            </c:strRef>
          </c:tx>
          <c:spPr>
            <a:ln w="76200" cap="rnd">
              <a:solidFill>
                <a:srgbClr val="00B0F0"/>
              </a:solidFill>
              <a:round/>
            </a:ln>
            <a:effectLst/>
          </c:spPr>
          <c:marker>
            <c:symbol val="none"/>
          </c:marker>
          <c:dPt>
            <c:idx val="0"/>
            <c:marker>
              <c:symbol val="diamond"/>
              <c:size val="25"/>
              <c:spPr>
                <a:solidFill>
                  <a:srgbClr val="00B0F0"/>
                </a:solidFill>
                <a:ln w="9525">
                  <a:noFill/>
                </a:ln>
                <a:effectLst/>
              </c:spPr>
            </c:marker>
            <c:bubble3D val="0"/>
            <c:spPr>
              <a:ln w="76200" cap="rnd">
                <a:noFill/>
                <a:round/>
              </a:ln>
              <a:effectLst/>
            </c:spPr>
            <c:extLst>
              <c:ext xmlns:c16="http://schemas.microsoft.com/office/drawing/2014/chart" uri="{C3380CC4-5D6E-409C-BE32-E72D297353CC}">
                <c16:uniqueId val="{0000000C-475F-423E-A459-FDBEAF1F376A}"/>
              </c:ext>
            </c:extLst>
          </c:dPt>
          <c:dPt>
            <c:idx val="1"/>
            <c:marker>
              <c:symbol val="none"/>
            </c:marker>
            <c:bubble3D val="0"/>
            <c:spPr>
              <a:ln w="76200" cap="rnd">
                <a:noFill/>
                <a:prstDash val="sysDot"/>
                <a:round/>
              </a:ln>
              <a:effectLst/>
            </c:spPr>
            <c:extLst>
              <c:ext xmlns:c16="http://schemas.microsoft.com/office/drawing/2014/chart" uri="{C3380CC4-5D6E-409C-BE32-E72D297353CC}">
                <c16:uniqueId val="{0000000E-475F-423E-A459-FDBEAF1F376A}"/>
              </c:ext>
            </c:extLst>
          </c:dPt>
          <c:cat>
            <c:numRef>
              <c:f>'1.4F'!$R$4:$R$13</c:f>
              <c:numCache>
                <c:formatCode>mmm\-yy</c:formatCode>
                <c:ptCount val="10"/>
                <c:pt idx="0">
                  <c:v>43800</c:v>
                </c:pt>
                <c:pt idx="1">
                  <c:v>45292</c:v>
                </c:pt>
                <c:pt idx="2">
                  <c:v>45323</c:v>
                </c:pt>
                <c:pt idx="3">
                  <c:v>45352</c:v>
                </c:pt>
                <c:pt idx="4">
                  <c:v>45383</c:v>
                </c:pt>
                <c:pt idx="5">
                  <c:v>45413</c:v>
                </c:pt>
                <c:pt idx="6">
                  <c:v>45444</c:v>
                </c:pt>
                <c:pt idx="7">
                  <c:v>45474</c:v>
                </c:pt>
                <c:pt idx="8">
                  <c:v>45505</c:v>
                </c:pt>
                <c:pt idx="9">
                  <c:v>45536</c:v>
                </c:pt>
              </c:numCache>
            </c:numRef>
          </c:cat>
          <c:val>
            <c:numRef>
              <c:f>'1.4F'!$W$4:$W$13</c:f>
              <c:numCache>
                <c:formatCode>0.0</c:formatCode>
                <c:ptCount val="10"/>
                <c:pt idx="0">
                  <c:v>7</c:v>
                </c:pt>
                <c:pt idx="1">
                  <c:v>9</c:v>
                </c:pt>
                <c:pt idx="2">
                  <c:v>9</c:v>
                </c:pt>
                <c:pt idx="3">
                  <c:v>8.5</c:v>
                </c:pt>
                <c:pt idx="4">
                  <c:v>8.5</c:v>
                </c:pt>
                <c:pt idx="5">
                  <c:v>8.5</c:v>
                </c:pt>
                <c:pt idx="6">
                  <c:v>8.5</c:v>
                </c:pt>
                <c:pt idx="7">
                  <c:v>8.25</c:v>
                </c:pt>
                <c:pt idx="8">
                  <c:v>8.25</c:v>
                </c:pt>
                <c:pt idx="9">
                  <c:v>8.25</c:v>
                </c:pt>
              </c:numCache>
            </c:numRef>
          </c:val>
          <c:smooth val="0"/>
          <c:extLst>
            <c:ext xmlns:c16="http://schemas.microsoft.com/office/drawing/2014/chart" uri="{C3380CC4-5D6E-409C-BE32-E72D297353CC}">
              <c16:uniqueId val="{0000000F-475F-423E-A459-FDBEAF1F376A}"/>
            </c:ext>
          </c:extLst>
        </c:ser>
        <c:dLbls>
          <c:showLegendKey val="0"/>
          <c:showVal val="0"/>
          <c:showCatName val="0"/>
          <c:showSerName val="0"/>
          <c:showPercent val="0"/>
          <c:showBubbleSize val="0"/>
        </c:dLbls>
        <c:marker val="1"/>
        <c:smooth val="0"/>
        <c:axId val="2013379775"/>
        <c:axId val="1651673984"/>
      </c:lineChart>
      <c:lineChart>
        <c:grouping val="standard"/>
        <c:varyColors val="0"/>
        <c:ser>
          <c:idx val="3"/>
          <c:order val="3"/>
          <c:tx>
            <c:strRef>
              <c:f>'1.4F'!$V$3</c:f>
              <c:strCache>
                <c:ptCount val="1"/>
                <c:pt idx="0">
                  <c:v>PAK (RHS)</c:v>
                </c:pt>
              </c:strCache>
            </c:strRef>
          </c:tx>
          <c:spPr>
            <a:ln w="76200" cap="rnd">
              <a:solidFill>
                <a:schemeClr val="accent3"/>
              </a:solidFill>
              <a:round/>
            </a:ln>
            <a:effectLst/>
          </c:spPr>
          <c:marker>
            <c:symbol val="none"/>
          </c:marker>
          <c:dPt>
            <c:idx val="0"/>
            <c:marker>
              <c:symbol val="diamond"/>
              <c:size val="25"/>
              <c:spPr>
                <a:solidFill>
                  <a:schemeClr val="accent3"/>
                </a:solidFill>
                <a:ln w="9525">
                  <a:noFill/>
                </a:ln>
                <a:effectLst/>
              </c:spPr>
            </c:marker>
            <c:bubble3D val="0"/>
            <c:spPr>
              <a:ln w="76200" cap="rnd">
                <a:noFill/>
                <a:round/>
              </a:ln>
              <a:effectLst/>
            </c:spPr>
            <c:extLst>
              <c:ext xmlns:c16="http://schemas.microsoft.com/office/drawing/2014/chart" uri="{C3380CC4-5D6E-409C-BE32-E72D297353CC}">
                <c16:uniqueId val="{00000010-475F-423E-A459-FDBEAF1F376A}"/>
              </c:ext>
            </c:extLst>
          </c:dPt>
          <c:dPt>
            <c:idx val="1"/>
            <c:marker>
              <c:symbol val="none"/>
            </c:marker>
            <c:bubble3D val="0"/>
            <c:spPr>
              <a:ln w="76200" cap="rnd">
                <a:noFill/>
                <a:prstDash val="sysDot"/>
                <a:round/>
              </a:ln>
              <a:effectLst/>
            </c:spPr>
            <c:extLst>
              <c:ext xmlns:c16="http://schemas.microsoft.com/office/drawing/2014/chart" uri="{C3380CC4-5D6E-409C-BE32-E72D297353CC}">
                <c16:uniqueId val="{00000012-475F-423E-A459-FDBEAF1F376A}"/>
              </c:ext>
            </c:extLst>
          </c:dPt>
          <c:cat>
            <c:numRef>
              <c:f>'1.4F'!$R$4:$R$13</c:f>
              <c:numCache>
                <c:formatCode>mmm\-yy</c:formatCode>
                <c:ptCount val="10"/>
                <c:pt idx="0">
                  <c:v>43800</c:v>
                </c:pt>
                <c:pt idx="1">
                  <c:v>45292</c:v>
                </c:pt>
                <c:pt idx="2">
                  <c:v>45323</c:v>
                </c:pt>
                <c:pt idx="3">
                  <c:v>45352</c:v>
                </c:pt>
                <c:pt idx="4">
                  <c:v>45383</c:v>
                </c:pt>
                <c:pt idx="5">
                  <c:v>45413</c:v>
                </c:pt>
                <c:pt idx="6">
                  <c:v>45444</c:v>
                </c:pt>
                <c:pt idx="7">
                  <c:v>45474</c:v>
                </c:pt>
                <c:pt idx="8">
                  <c:v>45505</c:v>
                </c:pt>
                <c:pt idx="9">
                  <c:v>45536</c:v>
                </c:pt>
              </c:numCache>
            </c:numRef>
          </c:cat>
          <c:val>
            <c:numRef>
              <c:f>'1.4F'!$V$4:$V$13</c:f>
              <c:numCache>
                <c:formatCode>0.0</c:formatCode>
                <c:ptCount val="10"/>
                <c:pt idx="0">
                  <c:v>13.25</c:v>
                </c:pt>
                <c:pt idx="1">
                  <c:v>22</c:v>
                </c:pt>
                <c:pt idx="2">
                  <c:v>22</c:v>
                </c:pt>
                <c:pt idx="3">
                  <c:v>22</c:v>
                </c:pt>
                <c:pt idx="4">
                  <c:v>22</c:v>
                </c:pt>
                <c:pt idx="5">
                  <c:v>22</c:v>
                </c:pt>
                <c:pt idx="6">
                  <c:v>20.5</c:v>
                </c:pt>
                <c:pt idx="7">
                  <c:v>19.5</c:v>
                </c:pt>
                <c:pt idx="8">
                  <c:v>19.5</c:v>
                </c:pt>
                <c:pt idx="9">
                  <c:v>17.5</c:v>
                </c:pt>
              </c:numCache>
            </c:numRef>
          </c:val>
          <c:smooth val="0"/>
          <c:extLst>
            <c:ext xmlns:c16="http://schemas.microsoft.com/office/drawing/2014/chart" uri="{C3380CC4-5D6E-409C-BE32-E72D297353CC}">
              <c16:uniqueId val="{00000013-475F-423E-A459-FDBEAF1F376A}"/>
            </c:ext>
          </c:extLst>
        </c:ser>
        <c:dLbls>
          <c:showLegendKey val="0"/>
          <c:showVal val="0"/>
          <c:showCatName val="0"/>
          <c:showSerName val="0"/>
          <c:showPercent val="0"/>
          <c:showBubbleSize val="0"/>
        </c:dLbls>
        <c:marker val="1"/>
        <c:smooth val="0"/>
        <c:axId val="501681919"/>
        <c:axId val="501677119"/>
      </c:lineChart>
      <c:catAx>
        <c:axId val="2013379775"/>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651673984"/>
        <c:crosses val="autoZero"/>
        <c:auto val="0"/>
        <c:lblAlgn val="ctr"/>
        <c:lblOffset val="100"/>
        <c:tickLblSkip val="1"/>
        <c:noMultiLvlLbl val="0"/>
      </c:catAx>
      <c:valAx>
        <c:axId val="1651673984"/>
        <c:scaling>
          <c:orientation val="minMax"/>
          <c:min val="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3379775"/>
        <c:crossesAt val="1"/>
        <c:crossBetween val="between"/>
        <c:majorUnit val="1"/>
      </c:valAx>
      <c:valAx>
        <c:axId val="50167711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1681919"/>
        <c:crosses val="max"/>
        <c:crossBetween val="between"/>
      </c:valAx>
      <c:dateAx>
        <c:axId val="501681919"/>
        <c:scaling>
          <c:orientation val="minMax"/>
        </c:scaling>
        <c:delete val="1"/>
        <c:axPos val="b"/>
        <c:numFmt formatCode="mmm\-yy" sourceLinked="1"/>
        <c:majorTickMark val="out"/>
        <c:minorTickMark val="none"/>
        <c:tickLblPos val="nextTo"/>
        <c:crossAx val="501677119"/>
        <c:crosses val="autoZero"/>
        <c:auto val="1"/>
        <c:lblOffset val="100"/>
        <c:baseTimeUnit val="months"/>
      </c:dateAx>
      <c:spPr>
        <a:noFill/>
        <a:ln>
          <a:noFill/>
        </a:ln>
        <a:effectLst/>
      </c:spPr>
    </c:plotArea>
    <c:legend>
      <c:legendPos val="t"/>
      <c:layout>
        <c:manualLayout>
          <c:xMode val="edge"/>
          <c:yMode val="edge"/>
          <c:x val="6.3564652474671149E-2"/>
          <c:y val="8.4586030912802562E-2"/>
          <c:w val="0.86373574354923788"/>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1619262837995"/>
          <c:y val="0.16761142162693207"/>
          <c:w val="0.7555898009883828"/>
          <c:h val="0.58358638257733964"/>
        </c:manualLayout>
      </c:layout>
      <c:lineChart>
        <c:grouping val="standard"/>
        <c:varyColors val="0"/>
        <c:ser>
          <c:idx val="0"/>
          <c:order val="0"/>
          <c:tx>
            <c:strRef>
              <c:f>'1.5A'!$S$3</c:f>
              <c:strCache>
                <c:ptCount val="1"/>
                <c:pt idx="0">
                  <c:v>U.S. financial conditions</c:v>
                </c:pt>
              </c:strCache>
            </c:strRef>
          </c:tx>
          <c:spPr>
            <a:ln w="76200" cap="rnd">
              <a:solidFill>
                <a:srgbClr val="002345"/>
              </a:solidFill>
              <a:round/>
            </a:ln>
            <a:effectLst/>
          </c:spPr>
          <c:marker>
            <c:symbol val="none"/>
          </c:marker>
          <c:cat>
            <c:strRef>
              <c:f>'1.5A'!$R$4:$R$29</c:f>
              <c:strCache>
                <c:ptCount val="26"/>
                <c:pt idx="0">
                  <c:v>Aug-22</c:v>
                </c:pt>
                <c:pt idx="1">
                  <c:v>Sep-22</c:v>
                </c:pt>
                <c:pt idx="2">
                  <c:v>Oct-22</c:v>
                </c:pt>
                <c:pt idx="3">
                  <c:v>Nov-22</c:v>
                </c:pt>
                <c:pt idx="4">
                  <c:v>Dec-22</c:v>
                </c:pt>
                <c:pt idx="5">
                  <c:v>Jan-23</c:v>
                </c:pt>
                <c:pt idx="6">
                  <c:v>Feb-23</c:v>
                </c:pt>
                <c:pt idx="7">
                  <c:v>Mar-23</c:v>
                </c:pt>
                <c:pt idx="8">
                  <c:v>Apr-23</c:v>
                </c:pt>
                <c:pt idx="9">
                  <c:v>May-23</c:v>
                </c:pt>
                <c:pt idx="10">
                  <c:v>Jun-23</c:v>
                </c:pt>
                <c:pt idx="11">
                  <c:v>Jul-23</c:v>
                </c:pt>
                <c:pt idx="12">
                  <c:v>Aug-23</c:v>
                </c:pt>
                <c:pt idx="13">
                  <c:v>Sep-23</c:v>
                </c:pt>
                <c:pt idx="14">
                  <c:v>Oct-23</c:v>
                </c:pt>
                <c:pt idx="15">
                  <c:v>Nov-23</c:v>
                </c:pt>
                <c:pt idx="16">
                  <c:v>Dec-23</c:v>
                </c:pt>
                <c:pt idx="17">
                  <c:v>Jan-24</c:v>
                </c:pt>
                <c:pt idx="18">
                  <c:v>Feb-24</c:v>
                </c:pt>
                <c:pt idx="19">
                  <c:v>Mar-24</c:v>
                </c:pt>
                <c:pt idx="20">
                  <c:v>Apr-24</c:v>
                </c:pt>
                <c:pt idx="21">
                  <c:v>May-24</c:v>
                </c:pt>
                <c:pt idx="22">
                  <c:v>Jun-24</c:v>
                </c:pt>
                <c:pt idx="23">
                  <c:v>Jul-24</c:v>
                </c:pt>
                <c:pt idx="24">
                  <c:v>Aug-24</c:v>
                </c:pt>
                <c:pt idx="25">
                  <c:v>Sep-24</c:v>
                </c:pt>
              </c:strCache>
            </c:strRef>
          </c:cat>
          <c:val>
            <c:numRef>
              <c:f>'1.5A'!$S$4:$S$29</c:f>
              <c:numCache>
                <c:formatCode>General</c:formatCode>
                <c:ptCount val="26"/>
                <c:pt idx="0">
                  <c:v>-0.25</c:v>
                </c:pt>
                <c:pt idx="1">
                  <c:v>-0.16</c:v>
                </c:pt>
                <c:pt idx="2">
                  <c:v>-0.11</c:v>
                </c:pt>
                <c:pt idx="3">
                  <c:v>-0.2</c:v>
                </c:pt>
                <c:pt idx="4">
                  <c:v>-0.22</c:v>
                </c:pt>
                <c:pt idx="5">
                  <c:v>-0.31</c:v>
                </c:pt>
                <c:pt idx="6">
                  <c:v>-0.33</c:v>
                </c:pt>
                <c:pt idx="7">
                  <c:v>-0.16</c:v>
                </c:pt>
                <c:pt idx="8">
                  <c:v>-0.2</c:v>
                </c:pt>
                <c:pt idx="9">
                  <c:v>-0.25</c:v>
                </c:pt>
                <c:pt idx="10">
                  <c:v>-0.25</c:v>
                </c:pt>
                <c:pt idx="11">
                  <c:v>-0.28999999999999998</c:v>
                </c:pt>
                <c:pt idx="12">
                  <c:v>-0.34</c:v>
                </c:pt>
                <c:pt idx="13">
                  <c:v>-0.36</c:v>
                </c:pt>
                <c:pt idx="14">
                  <c:v>-0.33</c:v>
                </c:pt>
                <c:pt idx="15">
                  <c:v>-0.38</c:v>
                </c:pt>
                <c:pt idx="16">
                  <c:v>-0.46</c:v>
                </c:pt>
                <c:pt idx="17">
                  <c:v>-0.49</c:v>
                </c:pt>
                <c:pt idx="18">
                  <c:v>-0.48</c:v>
                </c:pt>
                <c:pt idx="19">
                  <c:v>-0.48</c:v>
                </c:pt>
                <c:pt idx="20">
                  <c:v>-0.47</c:v>
                </c:pt>
                <c:pt idx="21">
                  <c:v>-0.51</c:v>
                </c:pt>
                <c:pt idx="22">
                  <c:v>-0.52</c:v>
                </c:pt>
                <c:pt idx="23">
                  <c:v>-0.52</c:v>
                </c:pt>
                <c:pt idx="24">
                  <c:v>-0.51</c:v>
                </c:pt>
                <c:pt idx="25">
                  <c:v>-0.55000000000000004</c:v>
                </c:pt>
              </c:numCache>
            </c:numRef>
          </c:val>
          <c:smooth val="0"/>
          <c:extLst>
            <c:ext xmlns:c16="http://schemas.microsoft.com/office/drawing/2014/chart" uri="{C3380CC4-5D6E-409C-BE32-E72D297353CC}">
              <c16:uniqueId val="{00000000-DC4D-4CE1-ADA6-20F4060F6783}"/>
            </c:ext>
          </c:extLst>
        </c:ser>
        <c:dLbls>
          <c:showLegendKey val="0"/>
          <c:showVal val="0"/>
          <c:showCatName val="0"/>
          <c:showSerName val="0"/>
          <c:showPercent val="0"/>
          <c:showBubbleSize val="0"/>
        </c:dLbls>
        <c:marker val="1"/>
        <c:smooth val="0"/>
        <c:axId val="1786632512"/>
        <c:axId val="1786630592"/>
      </c:lineChart>
      <c:lineChart>
        <c:grouping val="standard"/>
        <c:varyColors val="0"/>
        <c:ser>
          <c:idx val="1"/>
          <c:order val="1"/>
          <c:tx>
            <c:strRef>
              <c:f>'1.5A'!$T$3</c:f>
              <c:strCache>
                <c:ptCount val="1"/>
                <c:pt idx="0">
                  <c:v>VIX (RHS)</c:v>
                </c:pt>
              </c:strCache>
            </c:strRef>
          </c:tx>
          <c:spPr>
            <a:ln w="76200" cap="rnd">
              <a:solidFill>
                <a:srgbClr val="EB1C2D"/>
              </a:solidFill>
              <a:round/>
            </a:ln>
            <a:effectLst/>
          </c:spPr>
          <c:marker>
            <c:symbol val="none"/>
          </c:marker>
          <c:cat>
            <c:strRef>
              <c:f>'1.5A'!$R$4:$R$29</c:f>
              <c:strCache>
                <c:ptCount val="26"/>
                <c:pt idx="0">
                  <c:v>Aug-22</c:v>
                </c:pt>
                <c:pt idx="1">
                  <c:v>Sep-22</c:v>
                </c:pt>
                <c:pt idx="2">
                  <c:v>Oct-22</c:v>
                </c:pt>
                <c:pt idx="3">
                  <c:v>Nov-22</c:v>
                </c:pt>
                <c:pt idx="4">
                  <c:v>Dec-22</c:v>
                </c:pt>
                <c:pt idx="5">
                  <c:v>Jan-23</c:v>
                </c:pt>
                <c:pt idx="6">
                  <c:v>Feb-23</c:v>
                </c:pt>
                <c:pt idx="7">
                  <c:v>Mar-23</c:v>
                </c:pt>
                <c:pt idx="8">
                  <c:v>Apr-23</c:v>
                </c:pt>
                <c:pt idx="9">
                  <c:v>May-23</c:v>
                </c:pt>
                <c:pt idx="10">
                  <c:v>Jun-23</c:v>
                </c:pt>
                <c:pt idx="11">
                  <c:v>Jul-23</c:v>
                </c:pt>
                <c:pt idx="12">
                  <c:v>Aug-23</c:v>
                </c:pt>
                <c:pt idx="13">
                  <c:v>Sep-23</c:v>
                </c:pt>
                <c:pt idx="14">
                  <c:v>Oct-23</c:v>
                </c:pt>
                <c:pt idx="15">
                  <c:v>Nov-23</c:v>
                </c:pt>
                <c:pt idx="16">
                  <c:v>Dec-23</c:v>
                </c:pt>
                <c:pt idx="17">
                  <c:v>Jan-24</c:v>
                </c:pt>
                <c:pt idx="18">
                  <c:v>Feb-24</c:v>
                </c:pt>
                <c:pt idx="19">
                  <c:v>Mar-24</c:v>
                </c:pt>
                <c:pt idx="20">
                  <c:v>Apr-24</c:v>
                </c:pt>
                <c:pt idx="21">
                  <c:v>May-24</c:v>
                </c:pt>
                <c:pt idx="22">
                  <c:v>Jun-24</c:v>
                </c:pt>
                <c:pt idx="23">
                  <c:v>Jul-24</c:v>
                </c:pt>
                <c:pt idx="24">
                  <c:v>Aug-24</c:v>
                </c:pt>
                <c:pt idx="25">
                  <c:v>Sep-24</c:v>
                </c:pt>
              </c:strCache>
            </c:strRef>
          </c:cat>
          <c:val>
            <c:numRef>
              <c:f>'1.5A'!$T$4:$T$29</c:f>
              <c:numCache>
                <c:formatCode>General</c:formatCode>
                <c:ptCount val="26"/>
                <c:pt idx="0">
                  <c:v>95.64</c:v>
                </c:pt>
                <c:pt idx="1">
                  <c:v>117.95</c:v>
                </c:pt>
                <c:pt idx="2">
                  <c:v>128.91</c:v>
                </c:pt>
                <c:pt idx="3">
                  <c:v>101.3</c:v>
                </c:pt>
                <c:pt idx="4">
                  <c:v>93.97</c:v>
                </c:pt>
                <c:pt idx="5">
                  <c:v>87.15</c:v>
                </c:pt>
                <c:pt idx="6">
                  <c:v>86.55</c:v>
                </c:pt>
                <c:pt idx="7">
                  <c:v>93.37</c:v>
                </c:pt>
                <c:pt idx="8">
                  <c:v>76.86</c:v>
                </c:pt>
                <c:pt idx="9">
                  <c:v>76.11</c:v>
                </c:pt>
                <c:pt idx="10">
                  <c:v>60.37</c:v>
                </c:pt>
                <c:pt idx="11">
                  <c:v>60.22</c:v>
                </c:pt>
                <c:pt idx="12">
                  <c:v>68.39</c:v>
                </c:pt>
                <c:pt idx="13">
                  <c:v>65.75</c:v>
                </c:pt>
                <c:pt idx="14">
                  <c:v>81.72</c:v>
                </c:pt>
                <c:pt idx="15">
                  <c:v>60.73</c:v>
                </c:pt>
                <c:pt idx="16">
                  <c:v>54.87</c:v>
                </c:pt>
                <c:pt idx="17">
                  <c:v>57.79</c:v>
                </c:pt>
                <c:pt idx="18">
                  <c:v>60.15</c:v>
                </c:pt>
                <c:pt idx="19">
                  <c:v>59.48</c:v>
                </c:pt>
                <c:pt idx="20">
                  <c:v>69.62</c:v>
                </c:pt>
                <c:pt idx="21">
                  <c:v>56.47</c:v>
                </c:pt>
                <c:pt idx="22">
                  <c:v>54.69</c:v>
                </c:pt>
                <c:pt idx="23">
                  <c:v>62.42</c:v>
                </c:pt>
                <c:pt idx="24">
                  <c:v>83.31</c:v>
                </c:pt>
                <c:pt idx="25">
                  <c:v>79.819999999999993</c:v>
                </c:pt>
              </c:numCache>
            </c:numRef>
          </c:val>
          <c:smooth val="0"/>
          <c:extLst>
            <c:ext xmlns:c16="http://schemas.microsoft.com/office/drawing/2014/chart" uri="{C3380CC4-5D6E-409C-BE32-E72D297353CC}">
              <c16:uniqueId val="{00000001-DC4D-4CE1-ADA6-20F4060F6783}"/>
            </c:ext>
          </c:extLst>
        </c:ser>
        <c:dLbls>
          <c:showLegendKey val="0"/>
          <c:showVal val="0"/>
          <c:showCatName val="0"/>
          <c:showSerName val="0"/>
          <c:showPercent val="0"/>
          <c:showBubbleSize val="0"/>
        </c:dLbls>
        <c:marker val="1"/>
        <c:smooth val="0"/>
        <c:axId val="1938737664"/>
        <c:axId val="1938737184"/>
      </c:lineChart>
      <c:catAx>
        <c:axId val="1786632512"/>
        <c:scaling>
          <c:orientation val="minMax"/>
        </c:scaling>
        <c:delete val="0"/>
        <c:axPos val="b"/>
        <c:numFmt formatCode="General"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86630592"/>
        <c:crosses val="autoZero"/>
        <c:auto val="0"/>
        <c:lblAlgn val="ctr"/>
        <c:lblOffset val="100"/>
        <c:noMultiLvlLbl val="0"/>
      </c:catAx>
      <c:valAx>
        <c:axId val="1786630592"/>
        <c:scaling>
          <c:orientation val="minMax"/>
          <c:max val="0.1"/>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86632512"/>
        <c:crossesAt val="1"/>
        <c:crossBetween val="between"/>
      </c:valAx>
      <c:valAx>
        <c:axId val="1938737184"/>
        <c:scaling>
          <c:orientation val="minMax"/>
          <c:max val="130"/>
          <c:min val="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38737664"/>
        <c:crosses val="max"/>
        <c:crossBetween val="between"/>
        <c:majorUnit val="10"/>
      </c:valAx>
      <c:catAx>
        <c:axId val="1938737664"/>
        <c:scaling>
          <c:orientation val="minMax"/>
        </c:scaling>
        <c:delete val="1"/>
        <c:axPos val="b"/>
        <c:numFmt formatCode="General" sourceLinked="1"/>
        <c:majorTickMark val="out"/>
        <c:minorTickMark val="none"/>
        <c:tickLblPos val="nextTo"/>
        <c:crossAx val="1938737184"/>
        <c:crosses val="autoZero"/>
        <c:auto val="1"/>
        <c:lblAlgn val="ctr"/>
        <c:lblOffset val="100"/>
        <c:noMultiLvlLbl val="0"/>
      </c:catAx>
      <c:spPr>
        <a:noFill/>
        <a:ln>
          <a:noFill/>
        </a:ln>
        <a:effectLst/>
      </c:spPr>
    </c:plotArea>
    <c:legend>
      <c:legendPos val="t"/>
      <c:layout>
        <c:manualLayout>
          <c:xMode val="edge"/>
          <c:yMode val="edge"/>
          <c:x val="0.20297713146727958"/>
          <c:y val="9.0275557110402319E-2"/>
          <c:w val="0.71384711291202374"/>
          <c:h val="0.1599814329431336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8687065441459"/>
          <c:y val="0.12573481187122007"/>
          <c:w val="0.86452495545229036"/>
          <c:h val="0.57581413242552359"/>
        </c:manualLayout>
      </c:layout>
      <c:lineChart>
        <c:grouping val="standard"/>
        <c:varyColors val="0"/>
        <c:ser>
          <c:idx val="0"/>
          <c:order val="0"/>
          <c:tx>
            <c:strRef>
              <c:f>'1.5B'!$S$3</c:f>
              <c:strCache>
                <c:ptCount val="1"/>
                <c:pt idx="0">
                  <c:v>30-Year Treasury Bond</c:v>
                </c:pt>
              </c:strCache>
            </c:strRef>
          </c:tx>
          <c:spPr>
            <a:ln w="76200" cap="rnd">
              <a:solidFill>
                <a:srgbClr val="002345"/>
              </a:solidFill>
              <a:round/>
            </a:ln>
            <a:effectLst/>
          </c:spPr>
          <c:marker>
            <c:symbol val="none"/>
          </c:marker>
          <c:cat>
            <c:strRef>
              <c:f>'1.5B'!$R$4:$R$145</c:f>
              <c:strCache>
                <c:ptCount val="142"/>
                <c:pt idx="0">
                  <c:v>Mar-24</c:v>
                </c:pt>
                <c:pt idx="1">
                  <c:v>Mar-24</c:v>
                </c:pt>
                <c:pt idx="2">
                  <c:v>Mar-24</c:v>
                </c:pt>
                <c:pt idx="3">
                  <c:v>Mar-24</c:v>
                </c:pt>
                <c:pt idx="4">
                  <c:v>Mar-24</c:v>
                </c:pt>
                <c:pt idx="5">
                  <c:v>Mar-24</c:v>
                </c:pt>
                <c:pt idx="6">
                  <c:v>Mar-24</c:v>
                </c:pt>
                <c:pt idx="7">
                  <c:v>Mar-24</c:v>
                </c:pt>
                <c:pt idx="8">
                  <c:v>Mar-24</c:v>
                </c:pt>
                <c:pt idx="9">
                  <c:v>Mar-24</c:v>
                </c:pt>
                <c:pt idx="10">
                  <c:v>Mar-24</c:v>
                </c:pt>
                <c:pt idx="11">
                  <c:v>Mar-24</c:v>
                </c:pt>
                <c:pt idx="12">
                  <c:v>Mar-24</c:v>
                </c:pt>
                <c:pt idx="13">
                  <c:v>Mar-24</c:v>
                </c:pt>
                <c:pt idx="14">
                  <c:v>Mar-24</c:v>
                </c:pt>
                <c:pt idx="15">
                  <c:v>Mar-24</c:v>
                </c:pt>
                <c:pt idx="16">
                  <c:v>Mar-24</c:v>
                </c:pt>
                <c:pt idx="17">
                  <c:v>Mar-24</c:v>
                </c:pt>
                <c:pt idx="18">
                  <c:v>Mar-24</c:v>
                </c:pt>
                <c:pt idx="19">
                  <c:v>Mar-24</c:v>
                </c:pt>
                <c:pt idx="20">
                  <c:v>Mar-24</c:v>
                </c:pt>
                <c:pt idx="21">
                  <c:v>Apr-24</c:v>
                </c:pt>
                <c:pt idx="22">
                  <c:v>Apr-24</c:v>
                </c:pt>
                <c:pt idx="23">
                  <c:v>Apr-24</c:v>
                </c:pt>
                <c:pt idx="24">
                  <c:v>Apr-24</c:v>
                </c:pt>
                <c:pt idx="25">
                  <c:v>Apr-24</c:v>
                </c:pt>
                <c:pt idx="26">
                  <c:v>Apr-24</c:v>
                </c:pt>
                <c:pt idx="27">
                  <c:v>Apr-24</c:v>
                </c:pt>
                <c:pt idx="28">
                  <c:v>Apr-24</c:v>
                </c:pt>
                <c:pt idx="29">
                  <c:v>Apr-24</c:v>
                </c:pt>
                <c:pt idx="30">
                  <c:v>Apr-24</c:v>
                </c:pt>
                <c:pt idx="31">
                  <c:v>Apr-24</c:v>
                </c:pt>
                <c:pt idx="32">
                  <c:v>Apr-24</c:v>
                </c:pt>
                <c:pt idx="33">
                  <c:v>Apr-24</c:v>
                </c:pt>
                <c:pt idx="34">
                  <c:v>Apr-24</c:v>
                </c:pt>
                <c:pt idx="35">
                  <c:v>Apr-24</c:v>
                </c:pt>
                <c:pt idx="36">
                  <c:v>Apr-24</c:v>
                </c:pt>
                <c:pt idx="37">
                  <c:v>Apr-24</c:v>
                </c:pt>
                <c:pt idx="38">
                  <c:v>Apr-24</c:v>
                </c:pt>
                <c:pt idx="39">
                  <c:v>Apr-24</c:v>
                </c:pt>
                <c:pt idx="40">
                  <c:v>Apr-24</c:v>
                </c:pt>
                <c:pt idx="41">
                  <c:v>Apr-24</c:v>
                </c:pt>
                <c:pt idx="42">
                  <c:v>Apr-24</c:v>
                </c:pt>
                <c:pt idx="43">
                  <c:v>May-24</c:v>
                </c:pt>
                <c:pt idx="44">
                  <c:v>May-24</c:v>
                </c:pt>
                <c:pt idx="45">
                  <c:v>May-24</c:v>
                </c:pt>
                <c:pt idx="46">
                  <c:v>May-24</c:v>
                </c:pt>
                <c:pt idx="47">
                  <c:v>May-24</c:v>
                </c:pt>
                <c:pt idx="48">
                  <c:v>May-24</c:v>
                </c:pt>
                <c:pt idx="49">
                  <c:v>May-24</c:v>
                </c:pt>
                <c:pt idx="50">
                  <c:v>May-24</c:v>
                </c:pt>
                <c:pt idx="51">
                  <c:v>May-24</c:v>
                </c:pt>
                <c:pt idx="52">
                  <c:v>May-24</c:v>
                </c:pt>
                <c:pt idx="53">
                  <c:v>May-24</c:v>
                </c:pt>
                <c:pt idx="54">
                  <c:v>May-24</c:v>
                </c:pt>
                <c:pt idx="55">
                  <c:v>May-24</c:v>
                </c:pt>
                <c:pt idx="56">
                  <c:v>May-24</c:v>
                </c:pt>
                <c:pt idx="57">
                  <c:v>May-24</c:v>
                </c:pt>
                <c:pt idx="58">
                  <c:v>May-24</c:v>
                </c:pt>
                <c:pt idx="59">
                  <c:v>May-24</c:v>
                </c:pt>
                <c:pt idx="60">
                  <c:v>May-24</c:v>
                </c:pt>
                <c:pt idx="61">
                  <c:v>May-24</c:v>
                </c:pt>
                <c:pt idx="62">
                  <c:v>May-24</c:v>
                </c:pt>
                <c:pt idx="63">
                  <c:v>May-24</c:v>
                </c:pt>
                <c:pt idx="64">
                  <c:v>May-24</c:v>
                </c:pt>
                <c:pt idx="65">
                  <c:v>May-24</c:v>
                </c:pt>
                <c:pt idx="66">
                  <c:v>Jun-24</c:v>
                </c:pt>
                <c:pt idx="67">
                  <c:v>Jun-24</c:v>
                </c:pt>
                <c:pt idx="68">
                  <c:v>Jun-24</c:v>
                </c:pt>
                <c:pt idx="69">
                  <c:v>Jun-24</c:v>
                </c:pt>
                <c:pt idx="70">
                  <c:v>Jun-24</c:v>
                </c:pt>
                <c:pt idx="71">
                  <c:v>Jun-24</c:v>
                </c:pt>
                <c:pt idx="72">
                  <c:v>Jun-24</c:v>
                </c:pt>
                <c:pt idx="73">
                  <c:v>Jun-24</c:v>
                </c:pt>
                <c:pt idx="74">
                  <c:v>Jun-24</c:v>
                </c:pt>
                <c:pt idx="75">
                  <c:v>Jun-24</c:v>
                </c:pt>
                <c:pt idx="76">
                  <c:v>Jun-24</c:v>
                </c:pt>
                <c:pt idx="77">
                  <c:v>Jun-24</c:v>
                </c:pt>
                <c:pt idx="78">
                  <c:v>Jun-24</c:v>
                </c:pt>
                <c:pt idx="79">
                  <c:v>Jun-24</c:v>
                </c:pt>
                <c:pt idx="80">
                  <c:v>Jun-24</c:v>
                </c:pt>
                <c:pt idx="81">
                  <c:v>Jun-24</c:v>
                </c:pt>
                <c:pt idx="82">
                  <c:v>Jun-24</c:v>
                </c:pt>
                <c:pt idx="83">
                  <c:v>Jun-24</c:v>
                </c:pt>
                <c:pt idx="84">
                  <c:v>Jun-24</c:v>
                </c:pt>
                <c:pt idx="85">
                  <c:v>Jun-24</c:v>
                </c:pt>
                <c:pt idx="86">
                  <c:v>Jul-24</c:v>
                </c:pt>
                <c:pt idx="87">
                  <c:v>Jul-24</c:v>
                </c:pt>
                <c:pt idx="88">
                  <c:v>Jul-24</c:v>
                </c:pt>
                <c:pt idx="89">
                  <c:v>Jul-24</c:v>
                </c:pt>
                <c:pt idx="90">
                  <c:v>Jul-24</c:v>
                </c:pt>
                <c:pt idx="91">
                  <c:v>Jul-24</c:v>
                </c:pt>
                <c:pt idx="92">
                  <c:v>Jul-24</c:v>
                </c:pt>
                <c:pt idx="93">
                  <c:v>Jul-24</c:v>
                </c:pt>
                <c:pt idx="94">
                  <c:v>Jul-24</c:v>
                </c:pt>
                <c:pt idx="95">
                  <c:v>Jul-24</c:v>
                </c:pt>
                <c:pt idx="96">
                  <c:v>Jul-24</c:v>
                </c:pt>
                <c:pt idx="97">
                  <c:v>Jul-24</c:v>
                </c:pt>
                <c:pt idx="98">
                  <c:v>Jul-24</c:v>
                </c:pt>
                <c:pt idx="99">
                  <c:v>Jul-24</c:v>
                </c:pt>
                <c:pt idx="100">
                  <c:v>Jul-24</c:v>
                </c:pt>
                <c:pt idx="101">
                  <c:v>Jul-24</c:v>
                </c:pt>
                <c:pt idx="102">
                  <c:v>Jul-24</c:v>
                </c:pt>
                <c:pt idx="103">
                  <c:v>Jul-24</c:v>
                </c:pt>
                <c:pt idx="104">
                  <c:v>Jul-24</c:v>
                </c:pt>
                <c:pt idx="105">
                  <c:v>Jul-24</c:v>
                </c:pt>
                <c:pt idx="106">
                  <c:v>Jul-24</c:v>
                </c:pt>
                <c:pt idx="107">
                  <c:v>Jul-24</c:v>
                </c:pt>
                <c:pt idx="108">
                  <c:v>Jul-24</c:v>
                </c:pt>
                <c:pt idx="109">
                  <c:v>Aug-24</c:v>
                </c:pt>
                <c:pt idx="110">
                  <c:v>Aug-24</c:v>
                </c:pt>
                <c:pt idx="111">
                  <c:v>Aug-24</c:v>
                </c:pt>
                <c:pt idx="112">
                  <c:v>Aug-24</c:v>
                </c:pt>
                <c:pt idx="113">
                  <c:v>Aug-24</c:v>
                </c:pt>
                <c:pt idx="114">
                  <c:v>Aug-24</c:v>
                </c:pt>
                <c:pt idx="115">
                  <c:v>Aug-24</c:v>
                </c:pt>
                <c:pt idx="116">
                  <c:v>Aug-24</c:v>
                </c:pt>
                <c:pt idx="117">
                  <c:v>Aug-24</c:v>
                </c:pt>
                <c:pt idx="118">
                  <c:v>Aug-24</c:v>
                </c:pt>
                <c:pt idx="119">
                  <c:v>Aug-24</c:v>
                </c:pt>
                <c:pt idx="120">
                  <c:v>Aug-24</c:v>
                </c:pt>
                <c:pt idx="121">
                  <c:v>Aug-24</c:v>
                </c:pt>
                <c:pt idx="122">
                  <c:v>Aug-24</c:v>
                </c:pt>
                <c:pt idx="123">
                  <c:v>Aug-24</c:v>
                </c:pt>
                <c:pt idx="124">
                  <c:v>Aug-24</c:v>
                </c:pt>
                <c:pt idx="125">
                  <c:v>Aug-24</c:v>
                </c:pt>
                <c:pt idx="126">
                  <c:v>Aug-24</c:v>
                </c:pt>
                <c:pt idx="127">
                  <c:v>Aug-24</c:v>
                </c:pt>
                <c:pt idx="128">
                  <c:v>Aug-24</c:v>
                </c:pt>
                <c:pt idx="129">
                  <c:v>Aug-24</c:v>
                </c:pt>
                <c:pt idx="130">
                  <c:v>Aug-24</c:v>
                </c:pt>
                <c:pt idx="131">
                  <c:v>Sep-24</c:v>
                </c:pt>
                <c:pt idx="132">
                  <c:v>Sep-24</c:v>
                </c:pt>
                <c:pt idx="133">
                  <c:v>Sep-24</c:v>
                </c:pt>
                <c:pt idx="134">
                  <c:v>Sep-24</c:v>
                </c:pt>
                <c:pt idx="135">
                  <c:v>Sep-24</c:v>
                </c:pt>
                <c:pt idx="136">
                  <c:v>Sep-24</c:v>
                </c:pt>
                <c:pt idx="137">
                  <c:v>Sep-24</c:v>
                </c:pt>
                <c:pt idx="138">
                  <c:v>Sep-24</c:v>
                </c:pt>
                <c:pt idx="139">
                  <c:v>Sep-24</c:v>
                </c:pt>
                <c:pt idx="140">
                  <c:v>Sep-24</c:v>
                </c:pt>
                <c:pt idx="141">
                  <c:v>Sep-24</c:v>
                </c:pt>
              </c:strCache>
            </c:strRef>
          </c:cat>
          <c:val>
            <c:numRef>
              <c:f>'1.5B'!$S$4:$S$145</c:f>
              <c:numCache>
                <c:formatCode>0.00</c:formatCode>
                <c:ptCount val="142"/>
                <c:pt idx="0">
                  <c:v>4.33</c:v>
                </c:pt>
                <c:pt idx="1">
                  <c:v>4.3600000000000003</c:v>
                </c:pt>
                <c:pt idx="2">
                  <c:v>4.2699999999999996</c:v>
                </c:pt>
                <c:pt idx="3">
                  <c:v>4.24</c:v>
                </c:pt>
                <c:pt idx="4">
                  <c:v>4.25</c:v>
                </c:pt>
                <c:pt idx="5">
                  <c:v>4.26</c:v>
                </c:pt>
                <c:pt idx="6">
                  <c:v>4.26</c:v>
                </c:pt>
                <c:pt idx="7">
                  <c:v>4.3099999999999996</c:v>
                </c:pt>
                <c:pt idx="8">
                  <c:v>4.3499999999999996</c:v>
                </c:pt>
                <c:pt idx="9">
                  <c:v>4.4400000000000004</c:v>
                </c:pt>
                <c:pt idx="10">
                  <c:v>4.43</c:v>
                </c:pt>
                <c:pt idx="11">
                  <c:v>4.46</c:v>
                </c:pt>
                <c:pt idx="12">
                  <c:v>4.4400000000000004</c:v>
                </c:pt>
                <c:pt idx="13">
                  <c:v>4.45</c:v>
                </c:pt>
                <c:pt idx="14">
                  <c:v>4.4400000000000004</c:v>
                </c:pt>
                <c:pt idx="15">
                  <c:v>4.3899999999999997</c:v>
                </c:pt>
                <c:pt idx="16">
                  <c:v>4.42</c:v>
                </c:pt>
                <c:pt idx="17">
                  <c:v>4.4000000000000004</c:v>
                </c:pt>
                <c:pt idx="18">
                  <c:v>4.3600000000000003</c:v>
                </c:pt>
                <c:pt idx="19">
                  <c:v>4.34</c:v>
                </c:pt>
                <c:pt idx="20">
                  <c:v>#N/A</c:v>
                </c:pt>
                <c:pt idx="21">
                  <c:v>4.47</c:v>
                </c:pt>
                <c:pt idx="22">
                  <c:v>4.51</c:v>
                </c:pt>
                <c:pt idx="23">
                  <c:v>4.51</c:v>
                </c:pt>
                <c:pt idx="24">
                  <c:v>4.47</c:v>
                </c:pt>
                <c:pt idx="25">
                  <c:v>4.54</c:v>
                </c:pt>
                <c:pt idx="26">
                  <c:v>4.55</c:v>
                </c:pt>
                <c:pt idx="27">
                  <c:v>4.5</c:v>
                </c:pt>
                <c:pt idx="28">
                  <c:v>4.6399999999999997</c:v>
                </c:pt>
                <c:pt idx="29">
                  <c:v>4.6500000000000004</c:v>
                </c:pt>
                <c:pt idx="30">
                  <c:v>4.6100000000000003</c:v>
                </c:pt>
                <c:pt idx="31">
                  <c:v>4.74</c:v>
                </c:pt>
                <c:pt idx="32">
                  <c:v>4.7699999999999996</c:v>
                </c:pt>
                <c:pt idx="33">
                  <c:v>4.71</c:v>
                </c:pt>
                <c:pt idx="34">
                  <c:v>4.74</c:v>
                </c:pt>
                <c:pt idx="35">
                  <c:v>4.72</c:v>
                </c:pt>
                <c:pt idx="36">
                  <c:v>4.72</c:v>
                </c:pt>
                <c:pt idx="37">
                  <c:v>4.7300000000000004</c:v>
                </c:pt>
                <c:pt idx="38">
                  <c:v>4.78</c:v>
                </c:pt>
                <c:pt idx="39">
                  <c:v>4.82</c:v>
                </c:pt>
                <c:pt idx="40">
                  <c:v>4.78</c:v>
                </c:pt>
                <c:pt idx="41">
                  <c:v>4.75</c:v>
                </c:pt>
                <c:pt idx="42">
                  <c:v>4.79</c:v>
                </c:pt>
                <c:pt idx="43">
                  <c:v>4.74</c:v>
                </c:pt>
                <c:pt idx="44">
                  <c:v>4.72</c:v>
                </c:pt>
                <c:pt idx="45">
                  <c:v>4.66</c:v>
                </c:pt>
                <c:pt idx="46">
                  <c:v>4.6399999999999997</c:v>
                </c:pt>
                <c:pt idx="47">
                  <c:v>4.6100000000000003</c:v>
                </c:pt>
                <c:pt idx="48">
                  <c:v>4.6399999999999997</c:v>
                </c:pt>
                <c:pt idx="49">
                  <c:v>4.5999999999999996</c:v>
                </c:pt>
                <c:pt idx="50">
                  <c:v>4.6399999999999997</c:v>
                </c:pt>
                <c:pt idx="51">
                  <c:v>4.63</c:v>
                </c:pt>
                <c:pt idx="52">
                  <c:v>4.59</c:v>
                </c:pt>
                <c:pt idx="53">
                  <c:v>4.5199999999999996</c:v>
                </c:pt>
                <c:pt idx="54">
                  <c:v>4.5199999999999996</c:v>
                </c:pt>
                <c:pt idx="55">
                  <c:v>4.5599999999999996</c:v>
                </c:pt>
                <c:pt idx="56">
                  <c:v>4.58</c:v>
                </c:pt>
                <c:pt idx="57">
                  <c:v>4.55</c:v>
                </c:pt>
                <c:pt idx="58">
                  <c:v>4.55</c:v>
                </c:pt>
                <c:pt idx="59">
                  <c:v>4.58</c:v>
                </c:pt>
                <c:pt idx="60">
                  <c:v>4.57</c:v>
                </c:pt>
                <c:pt idx="61">
                  <c:v>#N/A</c:v>
                </c:pt>
                <c:pt idx="62">
                  <c:v>4.66</c:v>
                </c:pt>
                <c:pt idx="63">
                  <c:v>4.74</c:v>
                </c:pt>
                <c:pt idx="64">
                  <c:v>4.6900000000000004</c:v>
                </c:pt>
                <c:pt idx="65">
                  <c:v>4.6500000000000004</c:v>
                </c:pt>
                <c:pt idx="66">
                  <c:v>4.55</c:v>
                </c:pt>
                <c:pt idx="67">
                  <c:v>4.4800000000000004</c:v>
                </c:pt>
                <c:pt idx="68">
                  <c:v>4.4400000000000004</c:v>
                </c:pt>
                <c:pt idx="69">
                  <c:v>4.43</c:v>
                </c:pt>
                <c:pt idx="70">
                  <c:v>4.55</c:v>
                </c:pt>
                <c:pt idx="71">
                  <c:v>4.59</c:v>
                </c:pt>
                <c:pt idx="72">
                  <c:v>4.53</c:v>
                </c:pt>
                <c:pt idx="73">
                  <c:v>4.47</c:v>
                </c:pt>
                <c:pt idx="74">
                  <c:v>4.4000000000000004</c:v>
                </c:pt>
                <c:pt idx="75">
                  <c:v>4.34</c:v>
                </c:pt>
                <c:pt idx="76">
                  <c:v>4.4000000000000004</c:v>
                </c:pt>
                <c:pt idx="77">
                  <c:v>4.3600000000000003</c:v>
                </c:pt>
                <c:pt idx="78">
                  <c:v>#N/A</c:v>
                </c:pt>
                <c:pt idx="79">
                  <c:v>4.3899999999999997</c:v>
                </c:pt>
                <c:pt idx="80">
                  <c:v>4.3899999999999997</c:v>
                </c:pt>
                <c:pt idx="81">
                  <c:v>4.38</c:v>
                </c:pt>
                <c:pt idx="82">
                  <c:v>4.3600000000000003</c:v>
                </c:pt>
                <c:pt idx="83">
                  <c:v>4.45</c:v>
                </c:pt>
                <c:pt idx="84">
                  <c:v>4.43</c:v>
                </c:pt>
                <c:pt idx="85">
                  <c:v>4.51</c:v>
                </c:pt>
                <c:pt idx="86">
                  <c:v>4.6399999999999997</c:v>
                </c:pt>
                <c:pt idx="87">
                  <c:v>4.5999999999999996</c:v>
                </c:pt>
                <c:pt idx="88">
                  <c:v>4.53</c:v>
                </c:pt>
                <c:pt idx="89">
                  <c:v>#N/A</c:v>
                </c:pt>
                <c:pt idx="90">
                  <c:v>4.47</c:v>
                </c:pt>
                <c:pt idx="91">
                  <c:v>4.46</c:v>
                </c:pt>
                <c:pt idx="92">
                  <c:v>4.49</c:v>
                </c:pt>
                <c:pt idx="93">
                  <c:v>4.47</c:v>
                </c:pt>
                <c:pt idx="94">
                  <c:v>4.41</c:v>
                </c:pt>
                <c:pt idx="95">
                  <c:v>4.3899999999999997</c:v>
                </c:pt>
                <c:pt idx="96">
                  <c:v>4.46</c:v>
                </c:pt>
                <c:pt idx="97">
                  <c:v>4.38</c:v>
                </c:pt>
                <c:pt idx="98">
                  <c:v>4.37</c:v>
                </c:pt>
                <c:pt idx="99">
                  <c:v>4.41</c:v>
                </c:pt>
                <c:pt idx="100">
                  <c:v>4.45</c:v>
                </c:pt>
                <c:pt idx="101">
                  <c:v>4.4800000000000004</c:v>
                </c:pt>
                <c:pt idx="102">
                  <c:v>4.4800000000000004</c:v>
                </c:pt>
                <c:pt idx="103">
                  <c:v>4.54</c:v>
                </c:pt>
                <c:pt idx="104">
                  <c:v>4.5</c:v>
                </c:pt>
                <c:pt idx="105">
                  <c:v>4.45</c:v>
                </c:pt>
                <c:pt idx="106">
                  <c:v>4.42</c:v>
                </c:pt>
                <c:pt idx="107">
                  <c:v>4.4000000000000004</c:v>
                </c:pt>
                <c:pt idx="108">
                  <c:v>4.3499999999999996</c:v>
                </c:pt>
                <c:pt idx="109">
                  <c:v>4.2699999999999996</c:v>
                </c:pt>
                <c:pt idx="110">
                  <c:v>4.1100000000000003</c:v>
                </c:pt>
                <c:pt idx="111">
                  <c:v>4.0599999999999996</c:v>
                </c:pt>
                <c:pt idx="112">
                  <c:v>4.18</c:v>
                </c:pt>
                <c:pt idx="113">
                  <c:v>4.26</c:v>
                </c:pt>
                <c:pt idx="114">
                  <c:v>4.28</c:v>
                </c:pt>
                <c:pt idx="115">
                  <c:v>4.2300000000000004</c:v>
                </c:pt>
                <c:pt idx="116">
                  <c:v>4.1900000000000004</c:v>
                </c:pt>
                <c:pt idx="117">
                  <c:v>4.16</c:v>
                </c:pt>
                <c:pt idx="118">
                  <c:v>4.12</c:v>
                </c:pt>
                <c:pt idx="119">
                  <c:v>4.18</c:v>
                </c:pt>
                <c:pt idx="120">
                  <c:v>4.1500000000000004</c:v>
                </c:pt>
                <c:pt idx="121">
                  <c:v>4.1100000000000003</c:v>
                </c:pt>
                <c:pt idx="122">
                  <c:v>4.07</c:v>
                </c:pt>
                <c:pt idx="123">
                  <c:v>4.0599999999999996</c:v>
                </c:pt>
                <c:pt idx="124">
                  <c:v>4.13</c:v>
                </c:pt>
                <c:pt idx="125">
                  <c:v>4.0999999999999996</c:v>
                </c:pt>
                <c:pt idx="126">
                  <c:v>4.1100000000000003</c:v>
                </c:pt>
                <c:pt idx="127">
                  <c:v>4.13</c:v>
                </c:pt>
                <c:pt idx="128">
                  <c:v>4.13</c:v>
                </c:pt>
                <c:pt idx="129">
                  <c:v>4.1500000000000004</c:v>
                </c:pt>
                <c:pt idx="130">
                  <c:v>4.2</c:v>
                </c:pt>
                <c:pt idx="131">
                  <c:v>#N/A</c:v>
                </c:pt>
                <c:pt idx="132">
                  <c:v>4.13</c:v>
                </c:pt>
                <c:pt idx="133">
                  <c:v>4.0599999999999996</c:v>
                </c:pt>
                <c:pt idx="134">
                  <c:v>4.0199999999999996</c:v>
                </c:pt>
                <c:pt idx="135">
                  <c:v>4.03</c:v>
                </c:pt>
                <c:pt idx="136">
                  <c:v>4</c:v>
                </c:pt>
                <c:pt idx="137">
                  <c:v>3.97</c:v>
                </c:pt>
                <c:pt idx="138">
                  <c:v>3.96</c:v>
                </c:pt>
                <c:pt idx="139">
                  <c:v>4</c:v>
                </c:pt>
                <c:pt idx="140">
                  <c:v>3.98</c:v>
                </c:pt>
                <c:pt idx="141">
                  <c:v>3.94</c:v>
                </c:pt>
              </c:numCache>
            </c:numRef>
          </c:val>
          <c:smooth val="0"/>
          <c:extLst>
            <c:ext xmlns:c16="http://schemas.microsoft.com/office/drawing/2014/chart" uri="{C3380CC4-5D6E-409C-BE32-E72D297353CC}">
              <c16:uniqueId val="{00000000-DE9D-40FB-9729-84062EFD2539}"/>
            </c:ext>
          </c:extLst>
        </c:ser>
        <c:ser>
          <c:idx val="1"/>
          <c:order val="1"/>
          <c:tx>
            <c:strRef>
              <c:f>'1.5B'!$T$3</c:f>
              <c:strCache>
                <c:ptCount val="1"/>
                <c:pt idx="0">
                  <c:v>1-Year Treasury Bill</c:v>
                </c:pt>
              </c:strCache>
            </c:strRef>
          </c:tx>
          <c:spPr>
            <a:ln w="76200" cap="rnd">
              <a:solidFill>
                <a:srgbClr val="EB1C2D"/>
              </a:solidFill>
              <a:round/>
            </a:ln>
            <a:effectLst/>
          </c:spPr>
          <c:marker>
            <c:symbol val="none"/>
          </c:marker>
          <c:cat>
            <c:strRef>
              <c:f>'1.5B'!$R$4:$R$145</c:f>
              <c:strCache>
                <c:ptCount val="142"/>
                <c:pt idx="0">
                  <c:v>Mar-24</c:v>
                </c:pt>
                <c:pt idx="1">
                  <c:v>Mar-24</c:v>
                </c:pt>
                <c:pt idx="2">
                  <c:v>Mar-24</c:v>
                </c:pt>
                <c:pt idx="3">
                  <c:v>Mar-24</c:v>
                </c:pt>
                <c:pt idx="4">
                  <c:v>Mar-24</c:v>
                </c:pt>
                <c:pt idx="5">
                  <c:v>Mar-24</c:v>
                </c:pt>
                <c:pt idx="6">
                  <c:v>Mar-24</c:v>
                </c:pt>
                <c:pt idx="7">
                  <c:v>Mar-24</c:v>
                </c:pt>
                <c:pt idx="8">
                  <c:v>Mar-24</c:v>
                </c:pt>
                <c:pt idx="9">
                  <c:v>Mar-24</c:v>
                </c:pt>
                <c:pt idx="10">
                  <c:v>Mar-24</c:v>
                </c:pt>
                <c:pt idx="11">
                  <c:v>Mar-24</c:v>
                </c:pt>
                <c:pt idx="12">
                  <c:v>Mar-24</c:v>
                </c:pt>
                <c:pt idx="13">
                  <c:v>Mar-24</c:v>
                </c:pt>
                <c:pt idx="14">
                  <c:v>Mar-24</c:v>
                </c:pt>
                <c:pt idx="15">
                  <c:v>Mar-24</c:v>
                </c:pt>
                <c:pt idx="16">
                  <c:v>Mar-24</c:v>
                </c:pt>
                <c:pt idx="17">
                  <c:v>Mar-24</c:v>
                </c:pt>
                <c:pt idx="18">
                  <c:v>Mar-24</c:v>
                </c:pt>
                <c:pt idx="19">
                  <c:v>Mar-24</c:v>
                </c:pt>
                <c:pt idx="20">
                  <c:v>Mar-24</c:v>
                </c:pt>
                <c:pt idx="21">
                  <c:v>Apr-24</c:v>
                </c:pt>
                <c:pt idx="22">
                  <c:v>Apr-24</c:v>
                </c:pt>
                <c:pt idx="23">
                  <c:v>Apr-24</c:v>
                </c:pt>
                <c:pt idx="24">
                  <c:v>Apr-24</c:v>
                </c:pt>
                <c:pt idx="25">
                  <c:v>Apr-24</c:v>
                </c:pt>
                <c:pt idx="26">
                  <c:v>Apr-24</c:v>
                </c:pt>
                <c:pt idx="27">
                  <c:v>Apr-24</c:v>
                </c:pt>
                <c:pt idx="28">
                  <c:v>Apr-24</c:v>
                </c:pt>
                <c:pt idx="29">
                  <c:v>Apr-24</c:v>
                </c:pt>
                <c:pt idx="30">
                  <c:v>Apr-24</c:v>
                </c:pt>
                <c:pt idx="31">
                  <c:v>Apr-24</c:v>
                </c:pt>
                <c:pt idx="32">
                  <c:v>Apr-24</c:v>
                </c:pt>
                <c:pt idx="33">
                  <c:v>Apr-24</c:v>
                </c:pt>
                <c:pt idx="34">
                  <c:v>Apr-24</c:v>
                </c:pt>
                <c:pt idx="35">
                  <c:v>Apr-24</c:v>
                </c:pt>
                <c:pt idx="36">
                  <c:v>Apr-24</c:v>
                </c:pt>
                <c:pt idx="37">
                  <c:v>Apr-24</c:v>
                </c:pt>
                <c:pt idx="38">
                  <c:v>Apr-24</c:v>
                </c:pt>
                <c:pt idx="39">
                  <c:v>Apr-24</c:v>
                </c:pt>
                <c:pt idx="40">
                  <c:v>Apr-24</c:v>
                </c:pt>
                <c:pt idx="41">
                  <c:v>Apr-24</c:v>
                </c:pt>
                <c:pt idx="42">
                  <c:v>Apr-24</c:v>
                </c:pt>
                <c:pt idx="43">
                  <c:v>May-24</c:v>
                </c:pt>
                <c:pt idx="44">
                  <c:v>May-24</c:v>
                </c:pt>
                <c:pt idx="45">
                  <c:v>May-24</c:v>
                </c:pt>
                <c:pt idx="46">
                  <c:v>May-24</c:v>
                </c:pt>
                <c:pt idx="47">
                  <c:v>May-24</c:v>
                </c:pt>
                <c:pt idx="48">
                  <c:v>May-24</c:v>
                </c:pt>
                <c:pt idx="49">
                  <c:v>May-24</c:v>
                </c:pt>
                <c:pt idx="50">
                  <c:v>May-24</c:v>
                </c:pt>
                <c:pt idx="51">
                  <c:v>May-24</c:v>
                </c:pt>
                <c:pt idx="52">
                  <c:v>May-24</c:v>
                </c:pt>
                <c:pt idx="53">
                  <c:v>May-24</c:v>
                </c:pt>
                <c:pt idx="54">
                  <c:v>May-24</c:v>
                </c:pt>
                <c:pt idx="55">
                  <c:v>May-24</c:v>
                </c:pt>
                <c:pt idx="56">
                  <c:v>May-24</c:v>
                </c:pt>
                <c:pt idx="57">
                  <c:v>May-24</c:v>
                </c:pt>
                <c:pt idx="58">
                  <c:v>May-24</c:v>
                </c:pt>
                <c:pt idx="59">
                  <c:v>May-24</c:v>
                </c:pt>
                <c:pt idx="60">
                  <c:v>May-24</c:v>
                </c:pt>
                <c:pt idx="61">
                  <c:v>May-24</c:v>
                </c:pt>
                <c:pt idx="62">
                  <c:v>May-24</c:v>
                </c:pt>
                <c:pt idx="63">
                  <c:v>May-24</c:v>
                </c:pt>
                <c:pt idx="64">
                  <c:v>May-24</c:v>
                </c:pt>
                <c:pt idx="65">
                  <c:v>May-24</c:v>
                </c:pt>
                <c:pt idx="66">
                  <c:v>Jun-24</c:v>
                </c:pt>
                <c:pt idx="67">
                  <c:v>Jun-24</c:v>
                </c:pt>
                <c:pt idx="68">
                  <c:v>Jun-24</c:v>
                </c:pt>
                <c:pt idx="69">
                  <c:v>Jun-24</c:v>
                </c:pt>
                <c:pt idx="70">
                  <c:v>Jun-24</c:v>
                </c:pt>
                <c:pt idx="71">
                  <c:v>Jun-24</c:v>
                </c:pt>
                <c:pt idx="72">
                  <c:v>Jun-24</c:v>
                </c:pt>
                <c:pt idx="73">
                  <c:v>Jun-24</c:v>
                </c:pt>
                <c:pt idx="74">
                  <c:v>Jun-24</c:v>
                </c:pt>
                <c:pt idx="75">
                  <c:v>Jun-24</c:v>
                </c:pt>
                <c:pt idx="76">
                  <c:v>Jun-24</c:v>
                </c:pt>
                <c:pt idx="77">
                  <c:v>Jun-24</c:v>
                </c:pt>
                <c:pt idx="78">
                  <c:v>Jun-24</c:v>
                </c:pt>
                <c:pt idx="79">
                  <c:v>Jun-24</c:v>
                </c:pt>
                <c:pt idx="80">
                  <c:v>Jun-24</c:v>
                </c:pt>
                <c:pt idx="81">
                  <c:v>Jun-24</c:v>
                </c:pt>
                <c:pt idx="82">
                  <c:v>Jun-24</c:v>
                </c:pt>
                <c:pt idx="83">
                  <c:v>Jun-24</c:v>
                </c:pt>
                <c:pt idx="84">
                  <c:v>Jun-24</c:v>
                </c:pt>
                <c:pt idx="85">
                  <c:v>Jun-24</c:v>
                </c:pt>
                <c:pt idx="86">
                  <c:v>Jul-24</c:v>
                </c:pt>
                <c:pt idx="87">
                  <c:v>Jul-24</c:v>
                </c:pt>
                <c:pt idx="88">
                  <c:v>Jul-24</c:v>
                </c:pt>
                <c:pt idx="89">
                  <c:v>Jul-24</c:v>
                </c:pt>
                <c:pt idx="90">
                  <c:v>Jul-24</c:v>
                </c:pt>
                <c:pt idx="91">
                  <c:v>Jul-24</c:v>
                </c:pt>
                <c:pt idx="92">
                  <c:v>Jul-24</c:v>
                </c:pt>
                <c:pt idx="93">
                  <c:v>Jul-24</c:v>
                </c:pt>
                <c:pt idx="94">
                  <c:v>Jul-24</c:v>
                </c:pt>
                <c:pt idx="95">
                  <c:v>Jul-24</c:v>
                </c:pt>
                <c:pt idx="96">
                  <c:v>Jul-24</c:v>
                </c:pt>
                <c:pt idx="97">
                  <c:v>Jul-24</c:v>
                </c:pt>
                <c:pt idx="98">
                  <c:v>Jul-24</c:v>
                </c:pt>
                <c:pt idx="99">
                  <c:v>Jul-24</c:v>
                </c:pt>
                <c:pt idx="100">
                  <c:v>Jul-24</c:v>
                </c:pt>
                <c:pt idx="101">
                  <c:v>Jul-24</c:v>
                </c:pt>
                <c:pt idx="102">
                  <c:v>Jul-24</c:v>
                </c:pt>
                <c:pt idx="103">
                  <c:v>Jul-24</c:v>
                </c:pt>
                <c:pt idx="104">
                  <c:v>Jul-24</c:v>
                </c:pt>
                <c:pt idx="105">
                  <c:v>Jul-24</c:v>
                </c:pt>
                <c:pt idx="106">
                  <c:v>Jul-24</c:v>
                </c:pt>
                <c:pt idx="107">
                  <c:v>Jul-24</c:v>
                </c:pt>
                <c:pt idx="108">
                  <c:v>Jul-24</c:v>
                </c:pt>
                <c:pt idx="109">
                  <c:v>Aug-24</c:v>
                </c:pt>
                <c:pt idx="110">
                  <c:v>Aug-24</c:v>
                </c:pt>
                <c:pt idx="111">
                  <c:v>Aug-24</c:v>
                </c:pt>
                <c:pt idx="112">
                  <c:v>Aug-24</c:v>
                </c:pt>
                <c:pt idx="113">
                  <c:v>Aug-24</c:v>
                </c:pt>
                <c:pt idx="114">
                  <c:v>Aug-24</c:v>
                </c:pt>
                <c:pt idx="115">
                  <c:v>Aug-24</c:v>
                </c:pt>
                <c:pt idx="116">
                  <c:v>Aug-24</c:v>
                </c:pt>
                <c:pt idx="117">
                  <c:v>Aug-24</c:v>
                </c:pt>
                <c:pt idx="118">
                  <c:v>Aug-24</c:v>
                </c:pt>
                <c:pt idx="119">
                  <c:v>Aug-24</c:v>
                </c:pt>
                <c:pt idx="120">
                  <c:v>Aug-24</c:v>
                </c:pt>
                <c:pt idx="121">
                  <c:v>Aug-24</c:v>
                </c:pt>
                <c:pt idx="122">
                  <c:v>Aug-24</c:v>
                </c:pt>
                <c:pt idx="123">
                  <c:v>Aug-24</c:v>
                </c:pt>
                <c:pt idx="124">
                  <c:v>Aug-24</c:v>
                </c:pt>
                <c:pt idx="125">
                  <c:v>Aug-24</c:v>
                </c:pt>
                <c:pt idx="126">
                  <c:v>Aug-24</c:v>
                </c:pt>
                <c:pt idx="127">
                  <c:v>Aug-24</c:v>
                </c:pt>
                <c:pt idx="128">
                  <c:v>Aug-24</c:v>
                </c:pt>
                <c:pt idx="129">
                  <c:v>Aug-24</c:v>
                </c:pt>
                <c:pt idx="130">
                  <c:v>Aug-24</c:v>
                </c:pt>
                <c:pt idx="131">
                  <c:v>Sep-24</c:v>
                </c:pt>
                <c:pt idx="132">
                  <c:v>Sep-24</c:v>
                </c:pt>
                <c:pt idx="133">
                  <c:v>Sep-24</c:v>
                </c:pt>
                <c:pt idx="134">
                  <c:v>Sep-24</c:v>
                </c:pt>
                <c:pt idx="135">
                  <c:v>Sep-24</c:v>
                </c:pt>
                <c:pt idx="136">
                  <c:v>Sep-24</c:v>
                </c:pt>
                <c:pt idx="137">
                  <c:v>Sep-24</c:v>
                </c:pt>
                <c:pt idx="138">
                  <c:v>Sep-24</c:v>
                </c:pt>
                <c:pt idx="139">
                  <c:v>Sep-24</c:v>
                </c:pt>
                <c:pt idx="140">
                  <c:v>Sep-24</c:v>
                </c:pt>
                <c:pt idx="141">
                  <c:v>Sep-24</c:v>
                </c:pt>
              </c:strCache>
            </c:strRef>
          </c:cat>
          <c:val>
            <c:numRef>
              <c:f>'1.5B'!$T$4:$T$145</c:f>
              <c:numCache>
                <c:formatCode>0.00</c:formatCode>
                <c:ptCount val="142"/>
                <c:pt idx="0">
                  <c:v>4.9400000000000004</c:v>
                </c:pt>
                <c:pt idx="1">
                  <c:v>4.9800000000000004</c:v>
                </c:pt>
                <c:pt idx="2">
                  <c:v>4.9400000000000004</c:v>
                </c:pt>
                <c:pt idx="3">
                  <c:v>4.95</c:v>
                </c:pt>
                <c:pt idx="4">
                  <c:v>4.93</c:v>
                </c:pt>
                <c:pt idx="5">
                  <c:v>4.92</c:v>
                </c:pt>
                <c:pt idx="6">
                  <c:v>4.95</c:v>
                </c:pt>
                <c:pt idx="7">
                  <c:v>5</c:v>
                </c:pt>
                <c:pt idx="8">
                  <c:v>5.01</c:v>
                </c:pt>
                <c:pt idx="9">
                  <c:v>5.04</c:v>
                </c:pt>
                <c:pt idx="10">
                  <c:v>5.05</c:v>
                </c:pt>
                <c:pt idx="11">
                  <c:v>5.0599999999999996</c:v>
                </c:pt>
                <c:pt idx="12">
                  <c:v>5.0599999999999996</c:v>
                </c:pt>
                <c:pt idx="13">
                  <c:v>5.01</c:v>
                </c:pt>
                <c:pt idx="14">
                  <c:v>5.01</c:v>
                </c:pt>
                <c:pt idx="15">
                  <c:v>4.9800000000000004</c:v>
                </c:pt>
                <c:pt idx="16">
                  <c:v>5</c:v>
                </c:pt>
                <c:pt idx="17">
                  <c:v>5</c:v>
                </c:pt>
                <c:pt idx="18">
                  <c:v>4.99</c:v>
                </c:pt>
                <c:pt idx="19">
                  <c:v>5.03</c:v>
                </c:pt>
                <c:pt idx="20">
                  <c:v>#N/A</c:v>
                </c:pt>
                <c:pt idx="21">
                  <c:v>5.0599999999999996</c:v>
                </c:pt>
                <c:pt idx="22">
                  <c:v>5.05</c:v>
                </c:pt>
                <c:pt idx="23">
                  <c:v>5.03</c:v>
                </c:pt>
                <c:pt idx="24">
                  <c:v>5</c:v>
                </c:pt>
                <c:pt idx="25">
                  <c:v>5.05</c:v>
                </c:pt>
                <c:pt idx="26">
                  <c:v>5.07</c:v>
                </c:pt>
                <c:pt idx="27">
                  <c:v>5.03</c:v>
                </c:pt>
                <c:pt idx="28">
                  <c:v>5.19</c:v>
                </c:pt>
                <c:pt idx="29">
                  <c:v>5.17</c:v>
                </c:pt>
                <c:pt idx="30">
                  <c:v>5.13</c:v>
                </c:pt>
                <c:pt idx="31">
                  <c:v>5.16</c:v>
                </c:pt>
                <c:pt idx="32">
                  <c:v>5.18</c:v>
                </c:pt>
                <c:pt idx="33">
                  <c:v>5.16</c:v>
                </c:pt>
                <c:pt idx="34">
                  <c:v>5.18</c:v>
                </c:pt>
                <c:pt idx="35">
                  <c:v>5.17</c:v>
                </c:pt>
                <c:pt idx="36">
                  <c:v>5.16</c:v>
                </c:pt>
                <c:pt idx="37">
                  <c:v>5.14</c:v>
                </c:pt>
                <c:pt idx="38">
                  <c:v>5.17</c:v>
                </c:pt>
                <c:pt idx="39">
                  <c:v>5.21</c:v>
                </c:pt>
                <c:pt idx="40">
                  <c:v>5.21</c:v>
                </c:pt>
                <c:pt idx="41">
                  <c:v>5.2</c:v>
                </c:pt>
                <c:pt idx="42">
                  <c:v>5.25</c:v>
                </c:pt>
                <c:pt idx="43">
                  <c:v>5.21</c:v>
                </c:pt>
                <c:pt idx="44">
                  <c:v>5.16</c:v>
                </c:pt>
                <c:pt idx="45">
                  <c:v>5.12</c:v>
                </c:pt>
                <c:pt idx="46">
                  <c:v>5.12</c:v>
                </c:pt>
                <c:pt idx="47">
                  <c:v>5.13</c:v>
                </c:pt>
                <c:pt idx="48">
                  <c:v>5.13</c:v>
                </c:pt>
                <c:pt idx="49">
                  <c:v>5.12</c:v>
                </c:pt>
                <c:pt idx="50">
                  <c:v>5.17</c:v>
                </c:pt>
                <c:pt idx="51">
                  <c:v>5.16</c:v>
                </c:pt>
                <c:pt idx="52">
                  <c:v>5.16</c:v>
                </c:pt>
                <c:pt idx="53">
                  <c:v>5.0999999999999996</c:v>
                </c:pt>
                <c:pt idx="54">
                  <c:v>5.13</c:v>
                </c:pt>
                <c:pt idx="55">
                  <c:v>5.14</c:v>
                </c:pt>
                <c:pt idx="56">
                  <c:v>5.15</c:v>
                </c:pt>
                <c:pt idx="57">
                  <c:v>5.14</c:v>
                </c:pt>
                <c:pt idx="58">
                  <c:v>5.16</c:v>
                </c:pt>
                <c:pt idx="59">
                  <c:v>5.2</c:v>
                </c:pt>
                <c:pt idx="60">
                  <c:v>5.21</c:v>
                </c:pt>
                <c:pt idx="61">
                  <c:v>#N/A</c:v>
                </c:pt>
                <c:pt idx="62">
                  <c:v>5.21</c:v>
                </c:pt>
                <c:pt idx="63">
                  <c:v>5.22</c:v>
                </c:pt>
                <c:pt idx="64">
                  <c:v>5.19</c:v>
                </c:pt>
                <c:pt idx="65">
                  <c:v>5.18</c:v>
                </c:pt>
                <c:pt idx="66">
                  <c:v>5.14</c:v>
                </c:pt>
                <c:pt idx="67">
                  <c:v>5.1100000000000003</c:v>
                </c:pt>
                <c:pt idx="68">
                  <c:v>5.08</c:v>
                </c:pt>
                <c:pt idx="69">
                  <c:v>5.08</c:v>
                </c:pt>
                <c:pt idx="70">
                  <c:v>5.17</c:v>
                </c:pt>
                <c:pt idx="71">
                  <c:v>5.16</c:v>
                </c:pt>
                <c:pt idx="72">
                  <c:v>5.17</c:v>
                </c:pt>
                <c:pt idx="73">
                  <c:v>5.13</c:v>
                </c:pt>
                <c:pt idx="74">
                  <c:v>5.07</c:v>
                </c:pt>
                <c:pt idx="75">
                  <c:v>5.07</c:v>
                </c:pt>
                <c:pt idx="76">
                  <c:v>5.1100000000000003</c:v>
                </c:pt>
                <c:pt idx="77">
                  <c:v>5.09</c:v>
                </c:pt>
                <c:pt idx="78">
                  <c:v>#N/A</c:v>
                </c:pt>
                <c:pt idx="79">
                  <c:v>5.0999999999999996</c:v>
                </c:pt>
                <c:pt idx="80">
                  <c:v>5.0999999999999996</c:v>
                </c:pt>
                <c:pt idx="81">
                  <c:v>5.0999999999999996</c:v>
                </c:pt>
                <c:pt idx="82">
                  <c:v>5.0999999999999996</c:v>
                </c:pt>
                <c:pt idx="83">
                  <c:v>5.13</c:v>
                </c:pt>
                <c:pt idx="84">
                  <c:v>5.0999999999999996</c:v>
                </c:pt>
                <c:pt idx="85">
                  <c:v>5.09</c:v>
                </c:pt>
                <c:pt idx="86">
                  <c:v>5.0999999999999996</c:v>
                </c:pt>
                <c:pt idx="87">
                  <c:v>5.07</c:v>
                </c:pt>
                <c:pt idx="88">
                  <c:v>5.04</c:v>
                </c:pt>
                <c:pt idx="89">
                  <c:v>#N/A</c:v>
                </c:pt>
                <c:pt idx="90">
                  <c:v>4.9800000000000004</c:v>
                </c:pt>
                <c:pt idx="91">
                  <c:v>4.99</c:v>
                </c:pt>
                <c:pt idx="92">
                  <c:v>5.0199999999999996</c:v>
                </c:pt>
                <c:pt idx="93">
                  <c:v>5.01</c:v>
                </c:pt>
                <c:pt idx="94">
                  <c:v>4.91</c:v>
                </c:pt>
                <c:pt idx="95">
                  <c:v>4.87</c:v>
                </c:pt>
                <c:pt idx="96">
                  <c:v>4.8499999999999996</c:v>
                </c:pt>
                <c:pt idx="97">
                  <c:v>4.8499999999999996</c:v>
                </c:pt>
                <c:pt idx="98">
                  <c:v>4.8499999999999996</c:v>
                </c:pt>
                <c:pt idx="99">
                  <c:v>4.8600000000000003</c:v>
                </c:pt>
                <c:pt idx="100">
                  <c:v>4.87</c:v>
                </c:pt>
                <c:pt idx="101">
                  <c:v>4.88</c:v>
                </c:pt>
                <c:pt idx="102">
                  <c:v>4.8499999999999996</c:v>
                </c:pt>
                <c:pt idx="103">
                  <c:v>4.82</c:v>
                </c:pt>
                <c:pt idx="104">
                  <c:v>4.83</c:v>
                </c:pt>
                <c:pt idx="105">
                  <c:v>4.79</c:v>
                </c:pt>
                <c:pt idx="106">
                  <c:v>4.79</c:v>
                </c:pt>
                <c:pt idx="107">
                  <c:v>4.78</c:v>
                </c:pt>
                <c:pt idx="108">
                  <c:v>4.7300000000000004</c:v>
                </c:pt>
                <c:pt idx="109">
                  <c:v>4.62</c:v>
                </c:pt>
                <c:pt idx="110">
                  <c:v>4.33</c:v>
                </c:pt>
                <c:pt idx="111">
                  <c:v>4.34</c:v>
                </c:pt>
                <c:pt idx="112">
                  <c:v>4.46</c:v>
                </c:pt>
                <c:pt idx="113">
                  <c:v>4.45</c:v>
                </c:pt>
                <c:pt idx="114">
                  <c:v>4.4800000000000004</c:v>
                </c:pt>
                <c:pt idx="115">
                  <c:v>4.5</c:v>
                </c:pt>
                <c:pt idx="116">
                  <c:v>4.47</c:v>
                </c:pt>
                <c:pt idx="117">
                  <c:v>4.4000000000000004</c:v>
                </c:pt>
                <c:pt idx="118">
                  <c:v>4.42</c:v>
                </c:pt>
                <c:pt idx="119">
                  <c:v>4.5199999999999996</c:v>
                </c:pt>
                <c:pt idx="120">
                  <c:v>4.49</c:v>
                </c:pt>
                <c:pt idx="121">
                  <c:v>4.4800000000000004</c:v>
                </c:pt>
                <c:pt idx="122">
                  <c:v>4.43</c:v>
                </c:pt>
                <c:pt idx="123">
                  <c:v>4.3600000000000003</c:v>
                </c:pt>
                <c:pt idx="124">
                  <c:v>4.43</c:v>
                </c:pt>
                <c:pt idx="125">
                  <c:v>4.3600000000000003</c:v>
                </c:pt>
                <c:pt idx="126">
                  <c:v>4.38</c:v>
                </c:pt>
                <c:pt idx="127">
                  <c:v>4.34</c:v>
                </c:pt>
                <c:pt idx="128">
                  <c:v>4.3600000000000003</c:v>
                </c:pt>
                <c:pt idx="129">
                  <c:v>4.38</c:v>
                </c:pt>
                <c:pt idx="130">
                  <c:v>4.38</c:v>
                </c:pt>
                <c:pt idx="131">
                  <c:v>#N/A</c:v>
                </c:pt>
                <c:pt idx="132">
                  <c:v>4.3499999999999996</c:v>
                </c:pt>
                <c:pt idx="133">
                  <c:v>4.2300000000000004</c:v>
                </c:pt>
                <c:pt idx="134">
                  <c:v>4.21</c:v>
                </c:pt>
                <c:pt idx="135">
                  <c:v>4.0999999999999996</c:v>
                </c:pt>
                <c:pt idx="136">
                  <c:v>4.12</c:v>
                </c:pt>
                <c:pt idx="137">
                  <c:v>4.07</c:v>
                </c:pt>
                <c:pt idx="138">
                  <c:v>4.12</c:v>
                </c:pt>
                <c:pt idx="139">
                  <c:v>4.09</c:v>
                </c:pt>
                <c:pt idx="140">
                  <c:v>4</c:v>
                </c:pt>
                <c:pt idx="141">
                  <c:v>3.96</c:v>
                </c:pt>
              </c:numCache>
            </c:numRef>
          </c:val>
          <c:smooth val="0"/>
          <c:extLst>
            <c:ext xmlns:c16="http://schemas.microsoft.com/office/drawing/2014/chart" uri="{C3380CC4-5D6E-409C-BE32-E72D297353CC}">
              <c16:uniqueId val="{00000001-DE9D-40FB-9729-84062EFD2539}"/>
            </c:ext>
          </c:extLst>
        </c:ser>
        <c:dLbls>
          <c:showLegendKey val="0"/>
          <c:showVal val="0"/>
          <c:showCatName val="0"/>
          <c:showSerName val="0"/>
          <c:showPercent val="0"/>
          <c:showBubbleSize val="0"/>
        </c:dLbls>
        <c:smooth val="0"/>
        <c:axId val="433458271"/>
        <c:axId val="433458751"/>
      </c:lineChart>
      <c:dateAx>
        <c:axId val="43345827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33458751"/>
        <c:crosses val="autoZero"/>
        <c:auto val="0"/>
        <c:lblOffset val="100"/>
        <c:baseTimeUnit val="days"/>
        <c:majorUnit val="23"/>
        <c:minorUnit val="1"/>
      </c:dateAx>
      <c:valAx>
        <c:axId val="433458751"/>
        <c:scaling>
          <c:orientation val="minMax"/>
          <c:max val="5.5"/>
          <c:min val="3.8"/>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33458271"/>
        <c:crosses val="autoZero"/>
        <c:crossBetween val="between"/>
      </c:valAx>
      <c:spPr>
        <a:noFill/>
        <a:ln>
          <a:noFill/>
        </a:ln>
        <a:effectLst/>
      </c:spPr>
    </c:plotArea>
    <c:legend>
      <c:legendPos val="t"/>
      <c:layout>
        <c:manualLayout>
          <c:xMode val="edge"/>
          <c:yMode val="edge"/>
          <c:x val="0.18409137495779393"/>
          <c:y val="3.7987111599439495E-2"/>
          <c:w val="0.66179532196492918"/>
          <c:h val="0.1500254792712314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487505386667519E-2"/>
          <c:y val="0.24111568515912693"/>
          <c:w val="0.78236313663207813"/>
          <c:h val="0.50353207987784809"/>
        </c:manualLayout>
      </c:layout>
      <c:lineChart>
        <c:grouping val="standard"/>
        <c:varyColors val="0"/>
        <c:ser>
          <c:idx val="0"/>
          <c:order val="0"/>
          <c:tx>
            <c:strRef>
              <c:f>'1.5C'!$S$3</c:f>
              <c:strCache>
                <c:ptCount val="1"/>
              </c:strCache>
            </c:strRef>
          </c:tx>
          <c:spPr>
            <a:ln w="12700" cap="rnd">
              <a:solidFill>
                <a:schemeClr val="tx1"/>
              </a:solidFill>
              <a:round/>
            </a:ln>
            <a:effectLst/>
          </c:spPr>
          <c:marker>
            <c:symbol val="none"/>
          </c:marker>
          <c:cat>
            <c:numRef>
              <c:f>'1.5C'!$R$4:$R$28</c:f>
              <c:numCache>
                <c:formatCode>mmm\-yy</c:formatCode>
                <c:ptCount val="25"/>
                <c:pt idx="0">
                  <c:v>44834</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numCache>
            </c:numRef>
          </c:cat>
          <c:val>
            <c:numRef>
              <c:f>'1.5C'!$S$4:$S$28</c:f>
              <c:numCache>
                <c:formatCode>0</c:formatCode>
                <c:ptCount val="25"/>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numCache>
            </c:numRef>
          </c:val>
          <c:smooth val="0"/>
          <c:extLst>
            <c:ext xmlns:c16="http://schemas.microsoft.com/office/drawing/2014/chart" uri="{C3380CC4-5D6E-409C-BE32-E72D297353CC}">
              <c16:uniqueId val="{00000000-B61B-4B61-8578-7B7A39360E73}"/>
            </c:ext>
          </c:extLst>
        </c:ser>
        <c:ser>
          <c:idx val="1"/>
          <c:order val="1"/>
          <c:tx>
            <c:strRef>
              <c:f>'1.5C'!$T$3</c:f>
              <c:strCache>
                <c:ptCount val="1"/>
                <c:pt idx="0">
                  <c:v>EMDEs currency risk</c:v>
                </c:pt>
              </c:strCache>
            </c:strRef>
          </c:tx>
          <c:spPr>
            <a:ln w="76200" cap="rnd">
              <a:solidFill>
                <a:schemeClr val="tx2"/>
              </a:solidFill>
              <a:round/>
            </a:ln>
            <a:effectLst/>
          </c:spPr>
          <c:marker>
            <c:symbol val="none"/>
          </c:marker>
          <c:cat>
            <c:numRef>
              <c:f>'1.5C'!$R$4:$R$28</c:f>
              <c:numCache>
                <c:formatCode>mmm\-yy</c:formatCode>
                <c:ptCount val="25"/>
                <c:pt idx="0">
                  <c:v>44834</c:v>
                </c:pt>
                <c:pt idx="1">
                  <c:v>44865</c:v>
                </c:pt>
                <c:pt idx="2">
                  <c:v>44895</c:v>
                </c:pt>
                <c:pt idx="3">
                  <c:v>44926</c:v>
                </c:pt>
                <c:pt idx="4">
                  <c:v>44957</c:v>
                </c:pt>
                <c:pt idx="5">
                  <c:v>44985</c:v>
                </c:pt>
                <c:pt idx="6">
                  <c:v>45016</c:v>
                </c:pt>
                <c:pt idx="7">
                  <c:v>45046</c:v>
                </c:pt>
                <c:pt idx="8">
                  <c:v>45077</c:v>
                </c:pt>
                <c:pt idx="9">
                  <c:v>45107</c:v>
                </c:pt>
                <c:pt idx="10">
                  <c:v>45138</c:v>
                </c:pt>
                <c:pt idx="11">
                  <c:v>45169</c:v>
                </c:pt>
                <c:pt idx="12">
                  <c:v>45199</c:v>
                </c:pt>
                <c:pt idx="13">
                  <c:v>45230</c:v>
                </c:pt>
                <c:pt idx="14">
                  <c:v>45260</c:v>
                </c:pt>
                <c:pt idx="15">
                  <c:v>45291</c:v>
                </c:pt>
                <c:pt idx="16">
                  <c:v>45322</c:v>
                </c:pt>
                <c:pt idx="17">
                  <c:v>45351</c:v>
                </c:pt>
                <c:pt idx="18">
                  <c:v>45382</c:v>
                </c:pt>
                <c:pt idx="19">
                  <c:v>45412</c:v>
                </c:pt>
                <c:pt idx="20">
                  <c:v>45443</c:v>
                </c:pt>
                <c:pt idx="21">
                  <c:v>45473</c:v>
                </c:pt>
                <c:pt idx="22">
                  <c:v>45504</c:v>
                </c:pt>
                <c:pt idx="23">
                  <c:v>45535</c:v>
                </c:pt>
                <c:pt idx="24">
                  <c:v>45565</c:v>
                </c:pt>
              </c:numCache>
            </c:numRef>
          </c:cat>
          <c:val>
            <c:numRef>
              <c:f>'1.5C'!$T$5:$T$28</c:f>
              <c:numCache>
                <c:formatCode>General</c:formatCode>
                <c:ptCount val="24"/>
                <c:pt idx="0">
                  <c:v>50.8</c:v>
                </c:pt>
                <c:pt idx="1">
                  <c:v>51.2</c:v>
                </c:pt>
                <c:pt idx="2">
                  <c:v>53.3</c:v>
                </c:pt>
                <c:pt idx="3">
                  <c:v>47.1</c:v>
                </c:pt>
                <c:pt idx="4">
                  <c:v>50.4</c:v>
                </c:pt>
                <c:pt idx="5">
                  <c:v>49.6</c:v>
                </c:pt>
                <c:pt idx="6">
                  <c:v>44.3</c:v>
                </c:pt>
                <c:pt idx="7">
                  <c:v>47.7</c:v>
                </c:pt>
                <c:pt idx="8">
                  <c:v>49</c:v>
                </c:pt>
                <c:pt idx="9">
                  <c:v>47.3</c:v>
                </c:pt>
                <c:pt idx="10">
                  <c:v>53.3</c:v>
                </c:pt>
                <c:pt idx="11">
                  <c:v>52.4</c:v>
                </c:pt>
                <c:pt idx="12">
                  <c:v>50.6</c:v>
                </c:pt>
                <c:pt idx="13">
                  <c:v>50.6</c:v>
                </c:pt>
                <c:pt idx="14">
                  <c:v>43.2</c:v>
                </c:pt>
                <c:pt idx="15">
                  <c:v>44.7</c:v>
                </c:pt>
                <c:pt idx="16">
                  <c:v>45.6</c:v>
                </c:pt>
                <c:pt idx="17">
                  <c:v>43.6</c:v>
                </c:pt>
                <c:pt idx="18">
                  <c:v>45.2</c:v>
                </c:pt>
                <c:pt idx="19">
                  <c:v>41.6</c:v>
                </c:pt>
                <c:pt idx="20">
                  <c:v>43.8</c:v>
                </c:pt>
                <c:pt idx="21">
                  <c:v>44.5</c:v>
                </c:pt>
                <c:pt idx="22">
                  <c:v>45.5</c:v>
                </c:pt>
                <c:pt idx="23">
                  <c:v>45.5</c:v>
                </c:pt>
              </c:numCache>
            </c:numRef>
          </c:val>
          <c:smooth val="0"/>
          <c:extLst>
            <c:ext xmlns:c16="http://schemas.microsoft.com/office/drawing/2014/chart" uri="{C3380CC4-5D6E-409C-BE32-E72D297353CC}">
              <c16:uniqueId val="{00000001-B61B-4B61-8578-7B7A39360E73}"/>
            </c:ext>
          </c:extLst>
        </c:ser>
        <c:dLbls>
          <c:showLegendKey val="0"/>
          <c:showVal val="0"/>
          <c:showCatName val="0"/>
          <c:showSerName val="0"/>
          <c:showPercent val="0"/>
          <c:showBubbleSize val="0"/>
        </c:dLbls>
        <c:marker val="1"/>
        <c:smooth val="0"/>
        <c:axId val="1750218015"/>
        <c:axId val="1750213215"/>
        <c:extLst/>
      </c:lineChart>
      <c:lineChart>
        <c:grouping val="standard"/>
        <c:varyColors val="0"/>
        <c:ser>
          <c:idx val="2"/>
          <c:order val="2"/>
          <c:tx>
            <c:strRef>
              <c:f>'1.5C'!$U$3</c:f>
              <c:strCache>
                <c:ptCount val="1"/>
                <c:pt idx="0">
                  <c:v>EMBI Global (RHS)</c:v>
                </c:pt>
              </c:strCache>
            </c:strRef>
          </c:tx>
          <c:spPr>
            <a:ln w="76200" cap="rnd">
              <a:solidFill>
                <a:schemeClr val="bg2"/>
              </a:solidFill>
              <a:round/>
            </a:ln>
            <a:effectLst/>
          </c:spPr>
          <c:marker>
            <c:symbol val="none"/>
          </c:marker>
          <c:cat>
            <c:numRef>
              <c:f>'1.5C'!$R$5:$R$28</c:f>
              <c:numCache>
                <c:formatCode>mmm\-yy</c:formatCode>
                <c:ptCount val="24"/>
                <c:pt idx="0">
                  <c:v>44865</c:v>
                </c:pt>
                <c:pt idx="1">
                  <c:v>44895</c:v>
                </c:pt>
                <c:pt idx="2">
                  <c:v>44926</c:v>
                </c:pt>
                <c:pt idx="3">
                  <c:v>44957</c:v>
                </c:pt>
                <c:pt idx="4">
                  <c:v>44985</c:v>
                </c:pt>
                <c:pt idx="5">
                  <c:v>45016</c:v>
                </c:pt>
                <c:pt idx="6">
                  <c:v>45046</c:v>
                </c:pt>
                <c:pt idx="7">
                  <c:v>45077</c:v>
                </c:pt>
                <c:pt idx="8">
                  <c:v>45107</c:v>
                </c:pt>
                <c:pt idx="9">
                  <c:v>45138</c:v>
                </c:pt>
                <c:pt idx="10">
                  <c:v>45169</c:v>
                </c:pt>
                <c:pt idx="11">
                  <c:v>45199</c:v>
                </c:pt>
                <c:pt idx="12">
                  <c:v>45230</c:v>
                </c:pt>
                <c:pt idx="13">
                  <c:v>45260</c:v>
                </c:pt>
                <c:pt idx="14">
                  <c:v>45291</c:v>
                </c:pt>
                <c:pt idx="15">
                  <c:v>45322</c:v>
                </c:pt>
                <c:pt idx="16">
                  <c:v>45351</c:v>
                </c:pt>
                <c:pt idx="17">
                  <c:v>45382</c:v>
                </c:pt>
                <c:pt idx="18">
                  <c:v>45412</c:v>
                </c:pt>
                <c:pt idx="19">
                  <c:v>45443</c:v>
                </c:pt>
                <c:pt idx="20">
                  <c:v>45473</c:v>
                </c:pt>
                <c:pt idx="21">
                  <c:v>45504</c:v>
                </c:pt>
                <c:pt idx="22">
                  <c:v>45535</c:v>
                </c:pt>
                <c:pt idx="23">
                  <c:v>45565</c:v>
                </c:pt>
              </c:numCache>
            </c:numRef>
          </c:cat>
          <c:val>
            <c:numRef>
              <c:f>'1.5C'!$U$5:$U$28</c:f>
              <c:numCache>
                <c:formatCode>General</c:formatCode>
                <c:ptCount val="24"/>
                <c:pt idx="0">
                  <c:v>136.9</c:v>
                </c:pt>
                <c:pt idx="1">
                  <c:v>122.1</c:v>
                </c:pt>
                <c:pt idx="2">
                  <c:v>112.6</c:v>
                </c:pt>
                <c:pt idx="3">
                  <c:v>111.2</c:v>
                </c:pt>
                <c:pt idx="4">
                  <c:v>108.1</c:v>
                </c:pt>
                <c:pt idx="5">
                  <c:v>116.9</c:v>
                </c:pt>
                <c:pt idx="6">
                  <c:v>118.5</c:v>
                </c:pt>
                <c:pt idx="7">
                  <c:v>118.9</c:v>
                </c:pt>
                <c:pt idx="8">
                  <c:v>110.9</c:v>
                </c:pt>
                <c:pt idx="9">
                  <c:v>104</c:v>
                </c:pt>
                <c:pt idx="10">
                  <c:v>102.6</c:v>
                </c:pt>
                <c:pt idx="11">
                  <c:v>104.2</c:v>
                </c:pt>
                <c:pt idx="12">
                  <c:v>110.2</c:v>
                </c:pt>
                <c:pt idx="13">
                  <c:v>104.8</c:v>
                </c:pt>
                <c:pt idx="14">
                  <c:v>96.8</c:v>
                </c:pt>
                <c:pt idx="15">
                  <c:v>98.7</c:v>
                </c:pt>
                <c:pt idx="16">
                  <c:v>94.1</c:v>
                </c:pt>
                <c:pt idx="17">
                  <c:v>88.1</c:v>
                </c:pt>
                <c:pt idx="18">
                  <c:v>83.4</c:v>
                </c:pt>
                <c:pt idx="19">
                  <c:v>88.1</c:v>
                </c:pt>
                <c:pt idx="20">
                  <c:v>96.9</c:v>
                </c:pt>
                <c:pt idx="21">
                  <c:v>101.9</c:v>
                </c:pt>
                <c:pt idx="22">
                  <c:v>104.7</c:v>
                </c:pt>
                <c:pt idx="23">
                  <c:v>101.5</c:v>
                </c:pt>
              </c:numCache>
            </c:numRef>
          </c:val>
          <c:smooth val="0"/>
          <c:extLst>
            <c:ext xmlns:c16="http://schemas.microsoft.com/office/drawing/2014/chart" uri="{C3380CC4-5D6E-409C-BE32-E72D297353CC}">
              <c16:uniqueId val="{00000002-B61B-4B61-8578-7B7A39360E73}"/>
            </c:ext>
          </c:extLst>
        </c:ser>
        <c:ser>
          <c:idx val="3"/>
          <c:order val="3"/>
          <c:tx>
            <c:strRef>
              <c:f>'1.5C'!$V$3</c:f>
              <c:strCache>
                <c:ptCount val="1"/>
                <c:pt idx="0">
                  <c:v>VIX (RHS)</c:v>
                </c:pt>
              </c:strCache>
            </c:strRef>
          </c:tx>
          <c:spPr>
            <a:ln w="76200" cap="rnd">
              <a:solidFill>
                <a:schemeClr val="accent2"/>
              </a:solidFill>
              <a:round/>
            </a:ln>
            <a:effectLst/>
          </c:spPr>
          <c:marker>
            <c:symbol val="none"/>
          </c:marker>
          <c:cat>
            <c:numRef>
              <c:f>'1.5C'!$R$5:$R$28</c:f>
              <c:numCache>
                <c:formatCode>mmm\-yy</c:formatCode>
                <c:ptCount val="24"/>
                <c:pt idx="0">
                  <c:v>44865</c:v>
                </c:pt>
                <c:pt idx="1">
                  <c:v>44895</c:v>
                </c:pt>
                <c:pt idx="2">
                  <c:v>44926</c:v>
                </c:pt>
                <c:pt idx="3">
                  <c:v>44957</c:v>
                </c:pt>
                <c:pt idx="4">
                  <c:v>44985</c:v>
                </c:pt>
                <c:pt idx="5">
                  <c:v>45016</c:v>
                </c:pt>
                <c:pt idx="6">
                  <c:v>45046</c:v>
                </c:pt>
                <c:pt idx="7">
                  <c:v>45077</c:v>
                </c:pt>
                <c:pt idx="8">
                  <c:v>45107</c:v>
                </c:pt>
                <c:pt idx="9">
                  <c:v>45138</c:v>
                </c:pt>
                <c:pt idx="10">
                  <c:v>45169</c:v>
                </c:pt>
                <c:pt idx="11">
                  <c:v>45199</c:v>
                </c:pt>
                <c:pt idx="12">
                  <c:v>45230</c:v>
                </c:pt>
                <c:pt idx="13">
                  <c:v>45260</c:v>
                </c:pt>
                <c:pt idx="14">
                  <c:v>45291</c:v>
                </c:pt>
                <c:pt idx="15">
                  <c:v>45322</c:v>
                </c:pt>
                <c:pt idx="16">
                  <c:v>45351</c:v>
                </c:pt>
                <c:pt idx="17">
                  <c:v>45382</c:v>
                </c:pt>
                <c:pt idx="18">
                  <c:v>45412</c:v>
                </c:pt>
                <c:pt idx="19">
                  <c:v>45443</c:v>
                </c:pt>
                <c:pt idx="20">
                  <c:v>45473</c:v>
                </c:pt>
                <c:pt idx="21">
                  <c:v>45504</c:v>
                </c:pt>
                <c:pt idx="22">
                  <c:v>45535</c:v>
                </c:pt>
                <c:pt idx="23">
                  <c:v>45565</c:v>
                </c:pt>
              </c:numCache>
            </c:numRef>
          </c:cat>
          <c:val>
            <c:numRef>
              <c:f>'1.5C'!$V$5:$V$28</c:f>
              <c:numCache>
                <c:formatCode>General</c:formatCode>
                <c:ptCount val="24"/>
                <c:pt idx="0">
                  <c:v>128.9</c:v>
                </c:pt>
                <c:pt idx="1">
                  <c:v>101.3</c:v>
                </c:pt>
                <c:pt idx="2">
                  <c:v>94</c:v>
                </c:pt>
                <c:pt idx="3">
                  <c:v>87.2</c:v>
                </c:pt>
                <c:pt idx="4">
                  <c:v>86.5</c:v>
                </c:pt>
                <c:pt idx="5">
                  <c:v>93.4</c:v>
                </c:pt>
                <c:pt idx="6">
                  <c:v>76.900000000000006</c:v>
                </c:pt>
                <c:pt idx="7">
                  <c:v>76.099999999999994</c:v>
                </c:pt>
                <c:pt idx="8">
                  <c:v>60.4</c:v>
                </c:pt>
                <c:pt idx="9">
                  <c:v>60.2</c:v>
                </c:pt>
                <c:pt idx="10">
                  <c:v>68.400000000000006</c:v>
                </c:pt>
                <c:pt idx="11">
                  <c:v>64.900000000000006</c:v>
                </c:pt>
                <c:pt idx="12">
                  <c:v>81.8</c:v>
                </c:pt>
                <c:pt idx="13">
                  <c:v>60.7</c:v>
                </c:pt>
                <c:pt idx="14">
                  <c:v>54.9</c:v>
                </c:pt>
                <c:pt idx="15">
                  <c:v>57.8</c:v>
                </c:pt>
                <c:pt idx="16">
                  <c:v>60.2</c:v>
                </c:pt>
                <c:pt idx="17">
                  <c:v>59.5</c:v>
                </c:pt>
                <c:pt idx="18">
                  <c:v>69.599999999999994</c:v>
                </c:pt>
                <c:pt idx="19">
                  <c:v>56.5</c:v>
                </c:pt>
                <c:pt idx="20">
                  <c:v>54.7</c:v>
                </c:pt>
                <c:pt idx="21">
                  <c:v>62.4</c:v>
                </c:pt>
                <c:pt idx="22">
                  <c:v>83.3</c:v>
                </c:pt>
                <c:pt idx="23">
                  <c:v>79.8</c:v>
                </c:pt>
              </c:numCache>
            </c:numRef>
          </c:val>
          <c:smooth val="0"/>
          <c:extLst>
            <c:ext xmlns:c16="http://schemas.microsoft.com/office/drawing/2014/chart" uri="{C3380CC4-5D6E-409C-BE32-E72D297353CC}">
              <c16:uniqueId val="{00000003-B61B-4B61-8578-7B7A39360E73}"/>
            </c:ext>
          </c:extLst>
        </c:ser>
        <c:dLbls>
          <c:showLegendKey val="0"/>
          <c:showVal val="0"/>
          <c:showCatName val="0"/>
          <c:showSerName val="0"/>
          <c:showPercent val="0"/>
          <c:showBubbleSize val="0"/>
        </c:dLbls>
        <c:marker val="1"/>
        <c:smooth val="0"/>
        <c:axId val="134763263"/>
        <c:axId val="285671055"/>
      </c:lineChart>
      <c:dateAx>
        <c:axId val="1750218015"/>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50213215"/>
        <c:crosses val="autoZero"/>
        <c:auto val="1"/>
        <c:lblOffset val="100"/>
        <c:baseTimeUnit val="months"/>
      </c:dateAx>
      <c:valAx>
        <c:axId val="1750213215"/>
        <c:scaling>
          <c:orientation val="minMax"/>
          <c:min val="4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50218015"/>
        <c:crosses val="autoZero"/>
        <c:crossBetween val="between"/>
        <c:majorUnit val="3"/>
      </c:valAx>
      <c:valAx>
        <c:axId val="285671055"/>
        <c:scaling>
          <c:orientation val="minMax"/>
          <c:max val="140"/>
          <c:min val="4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4763263"/>
        <c:crosses val="max"/>
        <c:crossBetween val="between"/>
        <c:majorUnit val="20"/>
      </c:valAx>
      <c:dateAx>
        <c:axId val="134763263"/>
        <c:scaling>
          <c:orientation val="minMax"/>
        </c:scaling>
        <c:delete val="1"/>
        <c:axPos val="b"/>
        <c:numFmt formatCode="mmm\-yy" sourceLinked="1"/>
        <c:majorTickMark val="out"/>
        <c:minorTickMark val="none"/>
        <c:tickLblPos val="nextTo"/>
        <c:crossAx val="285671055"/>
        <c:crosses val="autoZero"/>
        <c:auto val="1"/>
        <c:lblOffset val="100"/>
        <c:baseTimeUnit val="months"/>
      </c:dateAx>
      <c:spPr>
        <a:noFill/>
        <a:ln>
          <a:noFill/>
        </a:ln>
        <a:effectLst/>
      </c:spPr>
    </c:plotArea>
    <c:legend>
      <c:legendPos val="t"/>
      <c:legendEntry>
        <c:idx val="0"/>
        <c:delete val="1"/>
      </c:legendEntry>
      <c:layout>
        <c:manualLayout>
          <c:xMode val="edge"/>
          <c:yMode val="edge"/>
          <c:x val="0.12407042033952077"/>
          <c:y val="8.483036797633059E-2"/>
          <c:w val="0.69961693829605087"/>
          <c:h val="0.2149323373551689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72626896524355"/>
          <c:y val="0.17810408733065072"/>
          <c:w val="0.86520808493530288"/>
          <c:h val="0.58328361499038617"/>
        </c:manualLayout>
      </c:layout>
      <c:lineChart>
        <c:grouping val="standard"/>
        <c:varyColors val="0"/>
        <c:ser>
          <c:idx val="0"/>
          <c:order val="0"/>
          <c:tx>
            <c:strRef>
              <c:f>'1.5D'!$S$3</c:f>
              <c:strCache>
                <c:ptCount val="1"/>
                <c:pt idx="0">
                  <c:v>Bangladesh</c:v>
                </c:pt>
              </c:strCache>
            </c:strRef>
          </c:tx>
          <c:spPr>
            <a:ln w="76200" cap="rnd">
              <a:solidFill>
                <a:srgbClr val="002345"/>
              </a:solidFill>
              <a:round/>
            </a:ln>
            <a:effectLst/>
          </c:spPr>
          <c:marker>
            <c:symbol val="none"/>
          </c:marker>
          <c:cat>
            <c:strRef>
              <c:f>'1.5D'!$R$4:$R$11</c:f>
              <c:strCache>
                <c:ptCount val="8"/>
                <c:pt idx="0">
                  <c:v>Jan-24</c:v>
                </c:pt>
                <c:pt idx="1">
                  <c:v>Feb-24</c:v>
                </c:pt>
                <c:pt idx="2">
                  <c:v>Mar-24</c:v>
                </c:pt>
                <c:pt idx="3">
                  <c:v>Apr-24</c:v>
                </c:pt>
                <c:pt idx="4">
                  <c:v>May-24</c:v>
                </c:pt>
                <c:pt idx="5">
                  <c:v>Jun-24</c:v>
                </c:pt>
                <c:pt idx="6">
                  <c:v>Jul-24</c:v>
                </c:pt>
                <c:pt idx="7">
                  <c:v>Aug-24</c:v>
                </c:pt>
              </c:strCache>
            </c:strRef>
          </c:cat>
          <c:val>
            <c:numRef>
              <c:f>'1.5D'!$S$4:$S$11</c:f>
              <c:numCache>
                <c:formatCode>General</c:formatCode>
                <c:ptCount val="8"/>
                <c:pt idx="0">
                  <c:v>100</c:v>
                </c:pt>
                <c:pt idx="1">
                  <c:v>100</c:v>
                </c:pt>
                <c:pt idx="2">
                  <c:v>100</c:v>
                </c:pt>
                <c:pt idx="3">
                  <c:v>100</c:v>
                </c:pt>
                <c:pt idx="4">
                  <c:v>104.9</c:v>
                </c:pt>
                <c:pt idx="5">
                  <c:v>107.3</c:v>
                </c:pt>
                <c:pt idx="6">
                  <c:v>107.3</c:v>
                </c:pt>
                <c:pt idx="7">
                  <c:v>107.9</c:v>
                </c:pt>
              </c:numCache>
            </c:numRef>
          </c:val>
          <c:smooth val="0"/>
          <c:extLst>
            <c:ext xmlns:c16="http://schemas.microsoft.com/office/drawing/2014/chart" uri="{C3380CC4-5D6E-409C-BE32-E72D297353CC}">
              <c16:uniqueId val="{00000000-611A-4848-A12A-6F1B5D4430E6}"/>
            </c:ext>
          </c:extLst>
        </c:ser>
        <c:ser>
          <c:idx val="1"/>
          <c:order val="1"/>
          <c:tx>
            <c:strRef>
              <c:f>'1.5D'!$T$3</c:f>
              <c:strCache>
                <c:ptCount val="1"/>
                <c:pt idx="0">
                  <c:v>India</c:v>
                </c:pt>
              </c:strCache>
            </c:strRef>
          </c:tx>
          <c:spPr>
            <a:ln w="76200" cap="rnd">
              <a:solidFill>
                <a:srgbClr val="EB1C2D"/>
              </a:solidFill>
              <a:round/>
            </a:ln>
            <a:effectLst/>
          </c:spPr>
          <c:marker>
            <c:symbol val="none"/>
          </c:marker>
          <c:cat>
            <c:strRef>
              <c:f>'1.5D'!$R$4:$R$11</c:f>
              <c:strCache>
                <c:ptCount val="8"/>
                <c:pt idx="0">
                  <c:v>Jan-24</c:v>
                </c:pt>
                <c:pt idx="1">
                  <c:v>Feb-24</c:v>
                </c:pt>
                <c:pt idx="2">
                  <c:v>Mar-24</c:v>
                </c:pt>
                <c:pt idx="3">
                  <c:v>Apr-24</c:v>
                </c:pt>
                <c:pt idx="4">
                  <c:v>May-24</c:v>
                </c:pt>
                <c:pt idx="5">
                  <c:v>Jun-24</c:v>
                </c:pt>
                <c:pt idx="6">
                  <c:v>Jul-24</c:v>
                </c:pt>
                <c:pt idx="7">
                  <c:v>Aug-24</c:v>
                </c:pt>
              </c:strCache>
            </c:strRef>
          </c:cat>
          <c:val>
            <c:numRef>
              <c:f>'1.5D'!$T$4:$T$11</c:f>
              <c:numCache>
                <c:formatCode>General</c:formatCode>
                <c:ptCount val="8"/>
                <c:pt idx="0">
                  <c:v>100</c:v>
                </c:pt>
                <c:pt idx="1">
                  <c:v>99.8</c:v>
                </c:pt>
                <c:pt idx="2">
                  <c:v>99.9</c:v>
                </c:pt>
                <c:pt idx="3">
                  <c:v>100.3</c:v>
                </c:pt>
                <c:pt idx="4">
                  <c:v>100.3</c:v>
                </c:pt>
                <c:pt idx="5">
                  <c:v>100.4</c:v>
                </c:pt>
                <c:pt idx="6">
                  <c:v>100.6</c:v>
                </c:pt>
                <c:pt idx="7">
                  <c:v>100.9</c:v>
                </c:pt>
              </c:numCache>
            </c:numRef>
          </c:val>
          <c:smooth val="0"/>
          <c:extLst>
            <c:ext xmlns:c16="http://schemas.microsoft.com/office/drawing/2014/chart" uri="{C3380CC4-5D6E-409C-BE32-E72D297353CC}">
              <c16:uniqueId val="{00000001-611A-4848-A12A-6F1B5D4430E6}"/>
            </c:ext>
          </c:extLst>
        </c:ser>
        <c:ser>
          <c:idx val="2"/>
          <c:order val="2"/>
          <c:tx>
            <c:strRef>
              <c:f>'1.5D'!$U$3</c:f>
              <c:strCache>
                <c:ptCount val="1"/>
                <c:pt idx="0">
                  <c:v>Pakistan</c:v>
                </c:pt>
              </c:strCache>
            </c:strRef>
          </c:tx>
          <c:spPr>
            <a:ln w="76200" cap="rnd">
              <a:solidFill>
                <a:srgbClr val="F78D28"/>
              </a:solidFill>
              <a:round/>
            </a:ln>
            <a:effectLst/>
          </c:spPr>
          <c:marker>
            <c:symbol val="none"/>
          </c:marker>
          <c:cat>
            <c:strRef>
              <c:f>'1.5D'!$R$4:$R$11</c:f>
              <c:strCache>
                <c:ptCount val="8"/>
                <c:pt idx="0">
                  <c:v>Jan-24</c:v>
                </c:pt>
                <c:pt idx="1">
                  <c:v>Feb-24</c:v>
                </c:pt>
                <c:pt idx="2">
                  <c:v>Mar-24</c:v>
                </c:pt>
                <c:pt idx="3">
                  <c:v>Apr-24</c:v>
                </c:pt>
                <c:pt idx="4">
                  <c:v>May-24</c:v>
                </c:pt>
                <c:pt idx="5">
                  <c:v>Jun-24</c:v>
                </c:pt>
                <c:pt idx="6">
                  <c:v>Jul-24</c:v>
                </c:pt>
                <c:pt idx="7">
                  <c:v>Aug-24</c:v>
                </c:pt>
              </c:strCache>
            </c:strRef>
          </c:cat>
          <c:val>
            <c:numRef>
              <c:f>'1.5D'!$U$4:$U$11</c:f>
              <c:numCache>
                <c:formatCode>General</c:formatCode>
                <c:ptCount val="8"/>
                <c:pt idx="0">
                  <c:v>100</c:v>
                </c:pt>
                <c:pt idx="1">
                  <c:v>99.6</c:v>
                </c:pt>
                <c:pt idx="2">
                  <c:v>99.4</c:v>
                </c:pt>
                <c:pt idx="3">
                  <c:v>99.2</c:v>
                </c:pt>
                <c:pt idx="4">
                  <c:v>99.2</c:v>
                </c:pt>
                <c:pt idx="5">
                  <c:v>99.3</c:v>
                </c:pt>
                <c:pt idx="6">
                  <c:v>99.3</c:v>
                </c:pt>
                <c:pt idx="7">
                  <c:v>99.3</c:v>
                </c:pt>
              </c:numCache>
            </c:numRef>
          </c:val>
          <c:smooth val="0"/>
          <c:extLst>
            <c:ext xmlns:c16="http://schemas.microsoft.com/office/drawing/2014/chart" uri="{C3380CC4-5D6E-409C-BE32-E72D297353CC}">
              <c16:uniqueId val="{00000002-611A-4848-A12A-6F1B5D4430E6}"/>
            </c:ext>
          </c:extLst>
        </c:ser>
        <c:ser>
          <c:idx val="3"/>
          <c:order val="3"/>
          <c:tx>
            <c:strRef>
              <c:f>'1.5D'!$V$3</c:f>
              <c:strCache>
                <c:ptCount val="1"/>
                <c:pt idx="0">
                  <c:v>Sri Lanka</c:v>
                </c:pt>
              </c:strCache>
            </c:strRef>
          </c:tx>
          <c:spPr>
            <a:ln w="76200" cap="rnd">
              <a:solidFill>
                <a:srgbClr val="FDB714"/>
              </a:solidFill>
              <a:round/>
            </a:ln>
            <a:effectLst/>
          </c:spPr>
          <c:marker>
            <c:symbol val="none"/>
          </c:marker>
          <c:cat>
            <c:strRef>
              <c:f>'1.5D'!$R$4:$R$11</c:f>
              <c:strCache>
                <c:ptCount val="8"/>
                <c:pt idx="0">
                  <c:v>Jan-24</c:v>
                </c:pt>
                <c:pt idx="1">
                  <c:v>Feb-24</c:v>
                </c:pt>
                <c:pt idx="2">
                  <c:v>Mar-24</c:v>
                </c:pt>
                <c:pt idx="3">
                  <c:v>Apr-24</c:v>
                </c:pt>
                <c:pt idx="4">
                  <c:v>May-24</c:v>
                </c:pt>
                <c:pt idx="5">
                  <c:v>Jun-24</c:v>
                </c:pt>
                <c:pt idx="6">
                  <c:v>Jul-24</c:v>
                </c:pt>
                <c:pt idx="7">
                  <c:v>Aug-24</c:v>
                </c:pt>
              </c:strCache>
            </c:strRef>
          </c:cat>
          <c:val>
            <c:numRef>
              <c:f>'1.5D'!$V$4:$V$11</c:f>
              <c:numCache>
                <c:formatCode>General</c:formatCode>
                <c:ptCount val="8"/>
                <c:pt idx="0">
                  <c:v>100</c:v>
                </c:pt>
                <c:pt idx="1">
                  <c:v>97.3</c:v>
                </c:pt>
                <c:pt idx="2">
                  <c:v>95.2</c:v>
                </c:pt>
                <c:pt idx="3">
                  <c:v>93.2</c:v>
                </c:pt>
                <c:pt idx="4">
                  <c:v>93.3</c:v>
                </c:pt>
                <c:pt idx="5">
                  <c:v>94.6</c:v>
                </c:pt>
                <c:pt idx="6">
                  <c:v>94.6</c:v>
                </c:pt>
                <c:pt idx="7">
                  <c:v>93.6</c:v>
                </c:pt>
              </c:numCache>
            </c:numRef>
          </c:val>
          <c:smooth val="0"/>
          <c:extLst>
            <c:ext xmlns:c16="http://schemas.microsoft.com/office/drawing/2014/chart" uri="{C3380CC4-5D6E-409C-BE32-E72D297353CC}">
              <c16:uniqueId val="{00000003-611A-4848-A12A-6F1B5D4430E6}"/>
            </c:ext>
          </c:extLst>
        </c:ser>
        <c:dLbls>
          <c:showLegendKey val="0"/>
          <c:showVal val="0"/>
          <c:showCatName val="0"/>
          <c:showSerName val="0"/>
          <c:showPercent val="0"/>
          <c:showBubbleSize val="0"/>
        </c:dLbls>
        <c:smooth val="0"/>
        <c:axId val="50866528"/>
        <c:axId val="50867968"/>
      </c:lineChart>
      <c:catAx>
        <c:axId val="5086652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50867968"/>
        <c:crosses val="autoZero"/>
        <c:auto val="1"/>
        <c:lblAlgn val="ctr"/>
        <c:lblOffset val="100"/>
        <c:noMultiLvlLbl val="0"/>
      </c:catAx>
      <c:valAx>
        <c:axId val="50867968"/>
        <c:scaling>
          <c:orientation val="minMax"/>
          <c:min val="8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0866528"/>
        <c:crosses val="autoZero"/>
        <c:crossBetween val="between"/>
      </c:valAx>
      <c:spPr>
        <a:noFill/>
        <a:ln>
          <a:noFill/>
        </a:ln>
        <a:effectLst/>
      </c:spPr>
    </c:plotArea>
    <c:legend>
      <c:legendPos val="t"/>
      <c:layout>
        <c:manualLayout>
          <c:xMode val="edge"/>
          <c:yMode val="edge"/>
          <c:x val="9.2457773053781667E-2"/>
          <c:y val="0.1033092644677211"/>
          <c:w val="0.89999991372572041"/>
          <c:h val="7.5021449623497022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74192292071131E-2"/>
          <c:y val="0.12528427534182743"/>
          <c:w val="0.88587971591790415"/>
          <c:h val="0.75938250608969149"/>
        </c:manualLayout>
      </c:layout>
      <c:barChart>
        <c:barDir val="col"/>
        <c:grouping val="clustered"/>
        <c:varyColors val="0"/>
        <c:ser>
          <c:idx val="1"/>
          <c:order val="1"/>
          <c:tx>
            <c:strRef>
              <c:f>'1.5E'!$R$6</c:f>
              <c:strCache>
                <c:ptCount val="1"/>
                <c:pt idx="0">
                  <c:v>Mar-24</c:v>
                </c:pt>
              </c:strCache>
            </c:strRef>
          </c:tx>
          <c:spPr>
            <a:solidFill>
              <a:schemeClr val="tx2"/>
            </a:solidFill>
            <a:ln w="76200">
              <a:noFill/>
            </a:ln>
            <a:effectLst/>
          </c:spPr>
          <c:invertIfNegative val="0"/>
          <c:cat>
            <c:strRef>
              <c:f>'1.5E'!$S$3:$W$3</c:f>
              <c:strCache>
                <c:ptCount val="5"/>
                <c:pt idx="0">
                  <c:v>BGD</c:v>
                </c:pt>
                <c:pt idx="1">
                  <c:v>IND</c:v>
                </c:pt>
                <c:pt idx="2">
                  <c:v>NPL</c:v>
                </c:pt>
                <c:pt idx="3">
                  <c:v>PAK</c:v>
                </c:pt>
                <c:pt idx="4">
                  <c:v>LKA</c:v>
                </c:pt>
              </c:strCache>
            </c:strRef>
          </c:cat>
          <c:val>
            <c:numRef>
              <c:f>'1.5E'!$S$6:$W$6</c:f>
              <c:numCache>
                <c:formatCode>0.0</c:formatCode>
                <c:ptCount val="5"/>
                <c:pt idx="0">
                  <c:v>-1.8</c:v>
                </c:pt>
                <c:pt idx="1">
                  <c:v>1.6</c:v>
                </c:pt>
                <c:pt idx="2">
                  <c:v>2.2000000000000002</c:v>
                </c:pt>
                <c:pt idx="3">
                  <c:v>1.3</c:v>
                </c:pt>
                <c:pt idx="4">
                  <c:v>6</c:v>
                </c:pt>
              </c:numCache>
            </c:numRef>
          </c:val>
          <c:extLst>
            <c:ext xmlns:c16="http://schemas.microsoft.com/office/drawing/2014/chart" uri="{C3380CC4-5D6E-409C-BE32-E72D297353CC}">
              <c16:uniqueId val="{00000000-10B9-4AE2-A529-050560BE9526}"/>
            </c:ext>
          </c:extLst>
        </c:ser>
        <c:ser>
          <c:idx val="2"/>
          <c:order val="2"/>
          <c:tx>
            <c:strRef>
              <c:f>'1.5E'!$R$7</c:f>
              <c:strCache>
                <c:ptCount val="1"/>
                <c:pt idx="0">
                  <c:v>Latest</c:v>
                </c:pt>
              </c:strCache>
            </c:strRef>
          </c:tx>
          <c:spPr>
            <a:solidFill>
              <a:schemeClr val="bg2"/>
            </a:solidFill>
            <a:ln w="76200">
              <a:noFill/>
            </a:ln>
            <a:effectLst/>
          </c:spPr>
          <c:invertIfNegative val="0"/>
          <c:cat>
            <c:strRef>
              <c:f>'1.5E'!$S$3:$W$3</c:f>
              <c:strCache>
                <c:ptCount val="5"/>
                <c:pt idx="0">
                  <c:v>BGD</c:v>
                </c:pt>
                <c:pt idx="1">
                  <c:v>IND</c:v>
                </c:pt>
                <c:pt idx="2">
                  <c:v>NPL</c:v>
                </c:pt>
                <c:pt idx="3">
                  <c:v>PAK</c:v>
                </c:pt>
                <c:pt idx="4">
                  <c:v>LKA</c:v>
                </c:pt>
              </c:strCache>
            </c:strRef>
          </c:cat>
          <c:val>
            <c:numRef>
              <c:f>'1.5E'!$S$7:$W$7</c:f>
              <c:numCache>
                <c:formatCode>0.0</c:formatCode>
                <c:ptCount val="5"/>
                <c:pt idx="0">
                  <c:v>-1.5</c:v>
                </c:pt>
                <c:pt idx="1">
                  <c:v>2.8</c:v>
                </c:pt>
                <c:pt idx="2">
                  <c:v>2.8</c:v>
                </c:pt>
                <c:pt idx="3">
                  <c:v>9.9</c:v>
                </c:pt>
                <c:pt idx="4">
                  <c:v>5.8</c:v>
                </c:pt>
              </c:numCache>
            </c:numRef>
          </c:val>
          <c:extLst>
            <c:ext xmlns:c16="http://schemas.microsoft.com/office/drawing/2014/chart" uri="{C3380CC4-5D6E-409C-BE32-E72D297353CC}">
              <c16:uniqueId val="{00000001-10B9-4AE2-A529-050560BE9526}"/>
            </c:ext>
          </c:extLst>
        </c:ser>
        <c:dLbls>
          <c:showLegendKey val="0"/>
          <c:showVal val="0"/>
          <c:showCatName val="0"/>
          <c:showSerName val="0"/>
          <c:showPercent val="0"/>
          <c:showBubbleSize val="0"/>
        </c:dLbls>
        <c:gapWidth val="150"/>
        <c:axId val="1834158688"/>
        <c:axId val="1807524032"/>
      </c:barChart>
      <c:scatterChart>
        <c:scatterStyle val="lineMarker"/>
        <c:varyColors val="0"/>
        <c:ser>
          <c:idx val="0"/>
          <c:order val="0"/>
          <c:tx>
            <c:strRef>
              <c:f>'1.5E'!$R$5</c:f>
              <c:strCache>
                <c:ptCount val="1"/>
                <c:pt idx="0">
                  <c:v>2017–19</c:v>
                </c:pt>
              </c:strCache>
            </c:strRef>
          </c:tx>
          <c:spPr>
            <a:ln w="25400" cap="rnd">
              <a:noFill/>
              <a:round/>
            </a:ln>
            <a:effectLst/>
          </c:spPr>
          <c:marker>
            <c:symbol val="diamond"/>
            <c:size val="25"/>
            <c:spPr>
              <a:solidFill>
                <a:schemeClr val="accent2"/>
              </a:solidFill>
              <a:ln w="9525">
                <a:solidFill>
                  <a:srgbClr val="FDB714"/>
                </a:solidFill>
              </a:ln>
              <a:effectLst/>
            </c:spPr>
          </c:marker>
          <c:xVal>
            <c:strRef>
              <c:f>'1.5E'!$S$3:$W$3</c:f>
              <c:strCache>
                <c:ptCount val="5"/>
                <c:pt idx="0">
                  <c:v>BGD</c:v>
                </c:pt>
                <c:pt idx="1">
                  <c:v>IND</c:v>
                </c:pt>
                <c:pt idx="2">
                  <c:v>NPL</c:v>
                </c:pt>
                <c:pt idx="3">
                  <c:v>PAK</c:v>
                </c:pt>
                <c:pt idx="4">
                  <c:v>LKA</c:v>
                </c:pt>
              </c:strCache>
            </c:strRef>
          </c:xVal>
          <c:yVal>
            <c:numRef>
              <c:f>'1.5E'!$S$5:$W$5</c:f>
              <c:numCache>
                <c:formatCode>0.0</c:formatCode>
                <c:ptCount val="5"/>
                <c:pt idx="0">
                  <c:v>0.7</c:v>
                </c:pt>
                <c:pt idx="1">
                  <c:v>2.4</c:v>
                </c:pt>
                <c:pt idx="2">
                  <c:v>1.9</c:v>
                </c:pt>
                <c:pt idx="3">
                  <c:v>1.8</c:v>
                </c:pt>
                <c:pt idx="4">
                  <c:v>2.9</c:v>
                </c:pt>
              </c:numCache>
            </c:numRef>
          </c:yVal>
          <c:smooth val="0"/>
          <c:extLst>
            <c:ext xmlns:c16="http://schemas.microsoft.com/office/drawing/2014/chart" uri="{C3380CC4-5D6E-409C-BE32-E72D297353CC}">
              <c16:uniqueId val="{00000002-10B9-4AE2-A529-050560BE9526}"/>
            </c:ext>
          </c:extLst>
        </c:ser>
        <c:dLbls>
          <c:showLegendKey val="0"/>
          <c:showVal val="0"/>
          <c:showCatName val="0"/>
          <c:showSerName val="0"/>
          <c:showPercent val="0"/>
          <c:showBubbleSize val="0"/>
        </c:dLbls>
        <c:axId val="1834158688"/>
        <c:axId val="1807524032"/>
      </c:scatterChart>
      <c:catAx>
        <c:axId val="183415868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07524032"/>
        <c:crosses val="autoZero"/>
        <c:auto val="1"/>
        <c:lblAlgn val="ctr"/>
        <c:lblOffset val="100"/>
        <c:noMultiLvlLbl val="0"/>
      </c:catAx>
      <c:valAx>
        <c:axId val="18075240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34158688"/>
        <c:crosses val="autoZero"/>
        <c:crossBetween val="between"/>
        <c:majorUnit val="3"/>
      </c:valAx>
      <c:spPr>
        <a:noFill/>
        <a:ln>
          <a:noFill/>
        </a:ln>
        <a:effectLst/>
      </c:spPr>
    </c:plotArea>
    <c:legend>
      <c:legendPos val="r"/>
      <c:layout>
        <c:manualLayout>
          <c:xMode val="edge"/>
          <c:yMode val="edge"/>
          <c:x val="0.18544344280393246"/>
          <c:y val="2.9039811758502735E-2"/>
          <c:w val="0.7583471128608924"/>
          <c:h val="9.8350262226634899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647971071355281E-2"/>
          <c:y val="0.13347253598871173"/>
          <c:w val="0.88923995347168294"/>
          <c:h val="0.74752901720618259"/>
        </c:manualLayout>
      </c:layout>
      <c:barChart>
        <c:barDir val="col"/>
        <c:grouping val="clustered"/>
        <c:varyColors val="0"/>
        <c:ser>
          <c:idx val="1"/>
          <c:order val="1"/>
          <c:tx>
            <c:strRef>
              <c:f>'1.5F'!$U$4</c:f>
              <c:strCache>
                <c:ptCount val="1"/>
                <c:pt idx="0">
                  <c:v>Jan-24</c:v>
                </c:pt>
              </c:strCache>
            </c:strRef>
          </c:tx>
          <c:spPr>
            <a:solidFill>
              <a:schemeClr val="tx2"/>
            </a:solidFill>
            <a:ln>
              <a:noFill/>
            </a:ln>
            <a:effectLst/>
          </c:spPr>
          <c:invertIfNegative val="0"/>
          <c:cat>
            <c:strRef>
              <c:f>'1.5F'!$R$5:$R$9</c:f>
              <c:strCache>
                <c:ptCount val="5"/>
                <c:pt idx="0">
                  <c:v>BGD</c:v>
                </c:pt>
                <c:pt idx="1">
                  <c:v>IND</c:v>
                </c:pt>
                <c:pt idx="2">
                  <c:v>MDV</c:v>
                </c:pt>
                <c:pt idx="3">
                  <c:v>PAK</c:v>
                </c:pt>
                <c:pt idx="4">
                  <c:v>LKA</c:v>
                </c:pt>
              </c:strCache>
            </c:strRef>
          </c:cat>
          <c:val>
            <c:numRef>
              <c:f>'1.5F'!$U$5:$U$9</c:f>
              <c:numCache>
                <c:formatCode>0.0</c:formatCode>
                <c:ptCount val="5"/>
                <c:pt idx="0">
                  <c:v>10</c:v>
                </c:pt>
                <c:pt idx="1">
                  <c:v>14.2</c:v>
                </c:pt>
                <c:pt idx="2">
                  <c:v>10</c:v>
                </c:pt>
                <c:pt idx="3">
                  <c:v>-1.8</c:v>
                </c:pt>
                <c:pt idx="4">
                  <c:v>1.4</c:v>
                </c:pt>
              </c:numCache>
            </c:numRef>
          </c:val>
          <c:extLst xmlns:c15="http://schemas.microsoft.com/office/drawing/2012/chart">
            <c:ext xmlns:c16="http://schemas.microsoft.com/office/drawing/2014/chart" uri="{C3380CC4-5D6E-409C-BE32-E72D297353CC}">
              <c16:uniqueId val="{00000000-16C2-4371-A85F-1D42891DC5A5}"/>
            </c:ext>
          </c:extLst>
        </c:ser>
        <c:ser>
          <c:idx val="3"/>
          <c:order val="2"/>
          <c:tx>
            <c:strRef>
              <c:f>'1.5F'!$V$4</c:f>
              <c:strCache>
                <c:ptCount val="1"/>
                <c:pt idx="0">
                  <c:v>Mar-24</c:v>
                </c:pt>
              </c:strCache>
            </c:strRef>
          </c:tx>
          <c:spPr>
            <a:solidFill>
              <a:schemeClr val="bg2"/>
            </a:solidFill>
            <a:ln>
              <a:noFill/>
            </a:ln>
            <a:effectLst/>
          </c:spPr>
          <c:invertIfNegative val="0"/>
          <c:cat>
            <c:strRef>
              <c:f>'1.5F'!$R$5:$R$9</c:f>
              <c:strCache>
                <c:ptCount val="5"/>
                <c:pt idx="0">
                  <c:v>BGD</c:v>
                </c:pt>
                <c:pt idx="1">
                  <c:v>IND</c:v>
                </c:pt>
                <c:pt idx="2">
                  <c:v>MDV</c:v>
                </c:pt>
                <c:pt idx="3">
                  <c:v>PAK</c:v>
                </c:pt>
                <c:pt idx="4">
                  <c:v>LKA</c:v>
                </c:pt>
              </c:strCache>
            </c:strRef>
          </c:cat>
          <c:val>
            <c:numRef>
              <c:f>'1.5F'!$V$5:$V$9</c:f>
              <c:numCache>
                <c:formatCode>0.0</c:formatCode>
                <c:ptCount val="5"/>
                <c:pt idx="0">
                  <c:v>10.5</c:v>
                </c:pt>
                <c:pt idx="1">
                  <c:v>14.4</c:v>
                </c:pt>
                <c:pt idx="2">
                  <c:v>8.4</c:v>
                </c:pt>
                <c:pt idx="3">
                  <c:v>1</c:v>
                </c:pt>
                <c:pt idx="4">
                  <c:v>4</c:v>
                </c:pt>
              </c:numCache>
            </c:numRef>
          </c:val>
          <c:extLst xmlns:c15="http://schemas.microsoft.com/office/drawing/2012/chart">
            <c:ext xmlns:c16="http://schemas.microsoft.com/office/drawing/2014/chart" uri="{C3380CC4-5D6E-409C-BE32-E72D297353CC}">
              <c16:uniqueId val="{00000001-16C2-4371-A85F-1D42891DC5A5}"/>
            </c:ext>
          </c:extLst>
        </c:ser>
        <c:ser>
          <c:idx val="7"/>
          <c:order val="3"/>
          <c:tx>
            <c:strRef>
              <c:f>'1.5F'!$W$4</c:f>
              <c:strCache>
                <c:ptCount val="1"/>
                <c:pt idx="0">
                  <c:v>Latest</c:v>
                </c:pt>
              </c:strCache>
            </c:strRef>
          </c:tx>
          <c:spPr>
            <a:solidFill>
              <a:schemeClr val="accent1"/>
            </a:solidFill>
            <a:ln>
              <a:noFill/>
            </a:ln>
            <a:effectLst/>
          </c:spPr>
          <c:invertIfNegative val="0"/>
          <c:cat>
            <c:strRef>
              <c:f>'1.5F'!$R$5:$R$9</c:f>
              <c:strCache>
                <c:ptCount val="5"/>
                <c:pt idx="0">
                  <c:v>BGD</c:v>
                </c:pt>
                <c:pt idx="1">
                  <c:v>IND</c:v>
                </c:pt>
                <c:pt idx="2">
                  <c:v>MDV</c:v>
                </c:pt>
                <c:pt idx="3">
                  <c:v>PAK</c:v>
                </c:pt>
                <c:pt idx="4">
                  <c:v>LKA</c:v>
                </c:pt>
              </c:strCache>
            </c:strRef>
          </c:cat>
          <c:val>
            <c:numRef>
              <c:f>'1.5F'!$W$5:$W$9</c:f>
              <c:numCache>
                <c:formatCode>0.0</c:formatCode>
                <c:ptCount val="5"/>
                <c:pt idx="0">
                  <c:v>10.1</c:v>
                </c:pt>
                <c:pt idx="1">
                  <c:v>13.5</c:v>
                </c:pt>
                <c:pt idx="2">
                  <c:v>11.1</c:v>
                </c:pt>
                <c:pt idx="3">
                  <c:v>2.2999999999999998</c:v>
                </c:pt>
                <c:pt idx="4">
                  <c:v>6.1</c:v>
                </c:pt>
              </c:numCache>
            </c:numRef>
          </c:val>
          <c:extLst>
            <c:ext xmlns:c16="http://schemas.microsoft.com/office/drawing/2014/chart" uri="{C3380CC4-5D6E-409C-BE32-E72D297353CC}">
              <c16:uniqueId val="{00000002-16C2-4371-A85F-1D42891DC5A5}"/>
            </c:ext>
          </c:extLst>
        </c:ser>
        <c:dLbls>
          <c:showLegendKey val="0"/>
          <c:showVal val="0"/>
          <c:showCatName val="0"/>
          <c:showSerName val="0"/>
          <c:showPercent val="0"/>
          <c:showBubbleSize val="0"/>
        </c:dLbls>
        <c:gapWidth val="150"/>
        <c:overlap val="-11"/>
        <c:axId val="1741914304"/>
        <c:axId val="1741912864"/>
        <c:extLst/>
      </c:barChart>
      <c:scatterChart>
        <c:scatterStyle val="lineMarker"/>
        <c:varyColors val="0"/>
        <c:ser>
          <c:idx val="0"/>
          <c:order val="0"/>
          <c:tx>
            <c:strRef>
              <c:f>'1.5F'!$T$4</c:f>
              <c:strCache>
                <c:ptCount val="1"/>
                <c:pt idx="0">
                  <c:v>2015–19</c:v>
                </c:pt>
              </c:strCache>
            </c:strRef>
          </c:tx>
          <c:spPr>
            <a:ln w="25400" cap="rnd">
              <a:noFill/>
              <a:round/>
            </a:ln>
            <a:effectLst/>
          </c:spPr>
          <c:marker>
            <c:symbol val="diamond"/>
            <c:size val="25"/>
            <c:spPr>
              <a:solidFill>
                <a:schemeClr val="accent2"/>
              </a:solidFill>
              <a:ln w="9525">
                <a:solidFill>
                  <a:schemeClr val="accent2"/>
                </a:solidFill>
              </a:ln>
              <a:effectLst/>
            </c:spPr>
          </c:marker>
          <c:xVal>
            <c:strRef>
              <c:f>'1.5F'!$R$5:$R$9</c:f>
              <c:strCache>
                <c:ptCount val="5"/>
                <c:pt idx="0">
                  <c:v>BGD</c:v>
                </c:pt>
                <c:pt idx="1">
                  <c:v>IND</c:v>
                </c:pt>
                <c:pt idx="2">
                  <c:v>MDV</c:v>
                </c:pt>
                <c:pt idx="3">
                  <c:v>PAK</c:v>
                </c:pt>
                <c:pt idx="4">
                  <c:v>LKA</c:v>
                </c:pt>
              </c:strCache>
            </c:strRef>
          </c:xVal>
          <c:yVal>
            <c:numRef>
              <c:f>'1.5F'!$T$5:$T$9</c:f>
              <c:numCache>
                <c:formatCode>0.0</c:formatCode>
                <c:ptCount val="5"/>
                <c:pt idx="0">
                  <c:v>14.7</c:v>
                </c:pt>
                <c:pt idx="1">
                  <c:v>9.9</c:v>
                </c:pt>
                <c:pt idx="2">
                  <c:v>10.199999999999999</c:v>
                </c:pt>
                <c:pt idx="3">
                  <c:v>15</c:v>
                </c:pt>
                <c:pt idx="4">
                  <c:v>17.8</c:v>
                </c:pt>
              </c:numCache>
            </c:numRef>
          </c:yVal>
          <c:smooth val="0"/>
          <c:extLst>
            <c:ext xmlns:c16="http://schemas.microsoft.com/office/drawing/2014/chart" uri="{C3380CC4-5D6E-409C-BE32-E72D297353CC}">
              <c16:uniqueId val="{00000003-16C2-4371-A85F-1D42891DC5A5}"/>
            </c:ext>
          </c:extLst>
        </c:ser>
        <c:dLbls>
          <c:showLegendKey val="0"/>
          <c:showVal val="0"/>
          <c:showCatName val="0"/>
          <c:showSerName val="0"/>
          <c:showPercent val="0"/>
          <c:showBubbleSize val="0"/>
        </c:dLbls>
        <c:axId val="1741914304"/>
        <c:axId val="1741912864"/>
      </c:scatterChart>
      <c:catAx>
        <c:axId val="1741914304"/>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41912864"/>
        <c:crosses val="autoZero"/>
        <c:auto val="1"/>
        <c:lblAlgn val="ctr"/>
        <c:lblOffset val="100"/>
        <c:noMultiLvlLbl val="0"/>
      </c:catAx>
      <c:valAx>
        <c:axId val="1741912864"/>
        <c:scaling>
          <c:orientation val="minMax"/>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41914304"/>
        <c:crosses val="autoZero"/>
        <c:crossBetween val="between"/>
      </c:valAx>
      <c:spPr>
        <a:noFill/>
        <a:ln>
          <a:noFill/>
        </a:ln>
        <a:effectLst/>
      </c:spPr>
    </c:plotArea>
    <c:legend>
      <c:legendPos val="b"/>
      <c:layout>
        <c:manualLayout>
          <c:xMode val="edge"/>
          <c:yMode val="edge"/>
          <c:x val="0.19132103627622735"/>
          <c:y val="7.0695975503062114E-2"/>
          <c:w val="0.80867901045881319"/>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196090844414133E-2"/>
          <c:y val="0.13396030458330277"/>
          <c:w val="0.88976322933839092"/>
          <c:h val="0.61303358306341715"/>
        </c:manualLayout>
      </c:layout>
      <c:lineChart>
        <c:grouping val="standard"/>
        <c:varyColors val="0"/>
        <c:ser>
          <c:idx val="0"/>
          <c:order val="0"/>
          <c:tx>
            <c:strRef>
              <c:f>'1.6A'!$S$3</c:f>
              <c:strCache>
                <c:ptCount val="1"/>
                <c:pt idx="0">
                  <c:v>Composite</c:v>
                </c:pt>
              </c:strCache>
            </c:strRef>
          </c:tx>
          <c:spPr>
            <a:ln w="76200" cap="rnd">
              <a:solidFill>
                <a:schemeClr val="accent1"/>
              </a:solidFill>
              <a:round/>
            </a:ln>
            <a:effectLst/>
          </c:spPr>
          <c:marker>
            <c:symbol val="none"/>
          </c:marker>
          <c:cat>
            <c:numRef>
              <c:f>'1.6A'!$R$4:$R$11</c:f>
              <c:numCache>
                <c:formatCode>mmm\-yy</c:formatCode>
                <c:ptCount val="8"/>
                <c:pt idx="0">
                  <c:v>45292</c:v>
                </c:pt>
                <c:pt idx="1">
                  <c:v>45323</c:v>
                </c:pt>
                <c:pt idx="2">
                  <c:v>45352</c:v>
                </c:pt>
                <c:pt idx="3">
                  <c:v>45383</c:v>
                </c:pt>
                <c:pt idx="4">
                  <c:v>45413</c:v>
                </c:pt>
                <c:pt idx="5">
                  <c:v>45444</c:v>
                </c:pt>
                <c:pt idx="6">
                  <c:v>45474</c:v>
                </c:pt>
                <c:pt idx="7">
                  <c:v>45505</c:v>
                </c:pt>
              </c:numCache>
            </c:numRef>
          </c:cat>
          <c:val>
            <c:numRef>
              <c:f>'1.6A'!$S$4:$S$11</c:f>
              <c:numCache>
                <c:formatCode>0.00</c:formatCode>
                <c:ptCount val="8"/>
                <c:pt idx="0">
                  <c:v>49.22</c:v>
                </c:pt>
                <c:pt idx="1">
                  <c:v>49.58</c:v>
                </c:pt>
                <c:pt idx="2">
                  <c:v>49.78</c:v>
                </c:pt>
                <c:pt idx="3">
                  <c:v>50.6</c:v>
                </c:pt>
                <c:pt idx="4">
                  <c:v>50.56</c:v>
                </c:pt>
                <c:pt idx="5">
                  <c:v>49.66</c:v>
                </c:pt>
                <c:pt idx="6">
                  <c:v>49.64</c:v>
                </c:pt>
                <c:pt idx="7">
                  <c:v>48.93</c:v>
                </c:pt>
              </c:numCache>
            </c:numRef>
          </c:val>
          <c:smooth val="0"/>
          <c:extLst>
            <c:ext xmlns:c16="http://schemas.microsoft.com/office/drawing/2014/chart" uri="{C3380CC4-5D6E-409C-BE32-E72D297353CC}">
              <c16:uniqueId val="{00000000-14DE-4929-9260-B92F3B8A4234}"/>
            </c:ext>
          </c:extLst>
        </c:ser>
        <c:ser>
          <c:idx val="1"/>
          <c:order val="1"/>
          <c:tx>
            <c:strRef>
              <c:f>'1.6A'!$T$3</c:f>
              <c:strCache>
                <c:ptCount val="1"/>
                <c:pt idx="0">
                  <c:v>Goods exports</c:v>
                </c:pt>
              </c:strCache>
            </c:strRef>
          </c:tx>
          <c:spPr>
            <a:ln w="76200" cap="rnd">
              <a:solidFill>
                <a:schemeClr val="tx2"/>
              </a:solidFill>
              <a:round/>
            </a:ln>
            <a:effectLst/>
          </c:spPr>
          <c:marker>
            <c:symbol val="none"/>
          </c:marker>
          <c:cat>
            <c:numRef>
              <c:f>'1.6A'!$R$4:$R$11</c:f>
              <c:numCache>
                <c:formatCode>mmm\-yy</c:formatCode>
                <c:ptCount val="8"/>
                <c:pt idx="0">
                  <c:v>45292</c:v>
                </c:pt>
                <c:pt idx="1">
                  <c:v>45323</c:v>
                </c:pt>
                <c:pt idx="2">
                  <c:v>45352</c:v>
                </c:pt>
                <c:pt idx="3">
                  <c:v>45383</c:v>
                </c:pt>
                <c:pt idx="4">
                  <c:v>45413</c:v>
                </c:pt>
                <c:pt idx="5">
                  <c:v>45444</c:v>
                </c:pt>
                <c:pt idx="6">
                  <c:v>45474</c:v>
                </c:pt>
                <c:pt idx="7">
                  <c:v>45505</c:v>
                </c:pt>
              </c:numCache>
            </c:numRef>
          </c:cat>
          <c:val>
            <c:numRef>
              <c:f>'1.6A'!$T$4:$T$11</c:f>
              <c:numCache>
                <c:formatCode>0.00</c:formatCode>
                <c:ptCount val="8"/>
                <c:pt idx="0">
                  <c:v>48.79</c:v>
                </c:pt>
                <c:pt idx="1">
                  <c:v>49.34</c:v>
                </c:pt>
                <c:pt idx="2">
                  <c:v>49.54</c:v>
                </c:pt>
                <c:pt idx="3">
                  <c:v>50.45</c:v>
                </c:pt>
                <c:pt idx="4">
                  <c:v>50.43</c:v>
                </c:pt>
                <c:pt idx="5">
                  <c:v>49.32</c:v>
                </c:pt>
                <c:pt idx="6">
                  <c:v>49.34</c:v>
                </c:pt>
                <c:pt idx="7">
                  <c:v>48.37</c:v>
                </c:pt>
              </c:numCache>
            </c:numRef>
          </c:val>
          <c:smooth val="0"/>
          <c:extLst>
            <c:ext xmlns:c16="http://schemas.microsoft.com/office/drawing/2014/chart" uri="{C3380CC4-5D6E-409C-BE32-E72D297353CC}">
              <c16:uniqueId val="{00000001-14DE-4929-9260-B92F3B8A4234}"/>
            </c:ext>
          </c:extLst>
        </c:ser>
        <c:ser>
          <c:idx val="2"/>
          <c:order val="2"/>
          <c:tx>
            <c:strRef>
              <c:f>'1.6A'!$U$3</c:f>
              <c:strCache>
                <c:ptCount val="1"/>
                <c:pt idx="0">
                  <c:v>Services exports</c:v>
                </c:pt>
              </c:strCache>
            </c:strRef>
          </c:tx>
          <c:spPr>
            <a:ln w="76200" cap="rnd">
              <a:solidFill>
                <a:schemeClr val="bg2"/>
              </a:solidFill>
              <a:round/>
            </a:ln>
            <a:effectLst/>
          </c:spPr>
          <c:marker>
            <c:symbol val="none"/>
          </c:marker>
          <c:cat>
            <c:numRef>
              <c:f>'1.6A'!$R$4:$R$11</c:f>
              <c:numCache>
                <c:formatCode>mmm\-yy</c:formatCode>
                <c:ptCount val="8"/>
                <c:pt idx="0">
                  <c:v>45292</c:v>
                </c:pt>
                <c:pt idx="1">
                  <c:v>45323</c:v>
                </c:pt>
                <c:pt idx="2">
                  <c:v>45352</c:v>
                </c:pt>
                <c:pt idx="3">
                  <c:v>45383</c:v>
                </c:pt>
                <c:pt idx="4">
                  <c:v>45413</c:v>
                </c:pt>
                <c:pt idx="5">
                  <c:v>45444</c:v>
                </c:pt>
                <c:pt idx="6">
                  <c:v>45474</c:v>
                </c:pt>
                <c:pt idx="7">
                  <c:v>45505</c:v>
                </c:pt>
              </c:numCache>
            </c:numRef>
          </c:cat>
          <c:val>
            <c:numRef>
              <c:f>'1.6A'!$U$4:$U$11</c:f>
              <c:numCache>
                <c:formatCode>0.00</c:formatCode>
                <c:ptCount val="8"/>
                <c:pt idx="0">
                  <c:v>50.61</c:v>
                </c:pt>
                <c:pt idx="1">
                  <c:v>50.36</c:v>
                </c:pt>
                <c:pt idx="2">
                  <c:v>50.55</c:v>
                </c:pt>
                <c:pt idx="3">
                  <c:v>51.1</c:v>
                </c:pt>
                <c:pt idx="4">
                  <c:v>50.98</c:v>
                </c:pt>
                <c:pt idx="5">
                  <c:v>50.78</c:v>
                </c:pt>
                <c:pt idx="6">
                  <c:v>50.62</c:v>
                </c:pt>
                <c:pt idx="7">
                  <c:v>50.74</c:v>
                </c:pt>
              </c:numCache>
            </c:numRef>
          </c:val>
          <c:smooth val="0"/>
          <c:extLst>
            <c:ext xmlns:c16="http://schemas.microsoft.com/office/drawing/2014/chart" uri="{C3380CC4-5D6E-409C-BE32-E72D297353CC}">
              <c16:uniqueId val="{00000002-14DE-4929-9260-B92F3B8A4234}"/>
            </c:ext>
          </c:extLst>
        </c:ser>
        <c:ser>
          <c:idx val="3"/>
          <c:order val="3"/>
          <c:spPr>
            <a:ln w="12700" cap="rnd">
              <a:solidFill>
                <a:schemeClr val="tx1"/>
              </a:solidFill>
              <a:round/>
            </a:ln>
            <a:effectLst/>
          </c:spPr>
          <c:marker>
            <c:symbol val="none"/>
          </c:marker>
          <c:cat>
            <c:numRef>
              <c:f>'1.6A'!$R$4:$R$11</c:f>
              <c:numCache>
                <c:formatCode>mmm\-yy</c:formatCode>
                <c:ptCount val="8"/>
                <c:pt idx="0">
                  <c:v>45292</c:v>
                </c:pt>
                <c:pt idx="1">
                  <c:v>45323</c:v>
                </c:pt>
                <c:pt idx="2">
                  <c:v>45352</c:v>
                </c:pt>
                <c:pt idx="3">
                  <c:v>45383</c:v>
                </c:pt>
                <c:pt idx="4">
                  <c:v>45413</c:v>
                </c:pt>
                <c:pt idx="5">
                  <c:v>45444</c:v>
                </c:pt>
                <c:pt idx="6">
                  <c:v>45474</c:v>
                </c:pt>
                <c:pt idx="7">
                  <c:v>45505</c:v>
                </c:pt>
              </c:numCache>
            </c:numRef>
          </c:cat>
          <c:val>
            <c:numRef>
              <c:f>'1.6A'!$V$4:$V$11</c:f>
              <c:numCache>
                <c:formatCode>0.00</c:formatCode>
                <c:ptCount val="8"/>
                <c:pt idx="0">
                  <c:v>50</c:v>
                </c:pt>
                <c:pt idx="1">
                  <c:v>50</c:v>
                </c:pt>
                <c:pt idx="2">
                  <c:v>50</c:v>
                </c:pt>
                <c:pt idx="3">
                  <c:v>50</c:v>
                </c:pt>
                <c:pt idx="4">
                  <c:v>50</c:v>
                </c:pt>
                <c:pt idx="5">
                  <c:v>50</c:v>
                </c:pt>
                <c:pt idx="6">
                  <c:v>50</c:v>
                </c:pt>
                <c:pt idx="7">
                  <c:v>50</c:v>
                </c:pt>
              </c:numCache>
            </c:numRef>
          </c:val>
          <c:smooth val="0"/>
          <c:extLst>
            <c:ext xmlns:c16="http://schemas.microsoft.com/office/drawing/2014/chart" uri="{C3380CC4-5D6E-409C-BE32-E72D297353CC}">
              <c16:uniqueId val="{00000003-14DE-4929-9260-B92F3B8A4234}"/>
            </c:ext>
          </c:extLst>
        </c:ser>
        <c:dLbls>
          <c:showLegendKey val="0"/>
          <c:showVal val="0"/>
          <c:showCatName val="0"/>
          <c:showSerName val="0"/>
          <c:showPercent val="0"/>
          <c:showBubbleSize val="0"/>
        </c:dLbls>
        <c:smooth val="0"/>
        <c:axId val="1791412928"/>
        <c:axId val="1791413888"/>
      </c:lineChart>
      <c:dateAx>
        <c:axId val="1791412928"/>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791413888"/>
        <c:crosses val="autoZero"/>
        <c:auto val="1"/>
        <c:lblOffset val="100"/>
        <c:baseTimeUnit val="months"/>
        <c:majorUnit val="1"/>
        <c:majorTimeUnit val="months"/>
      </c:dateAx>
      <c:valAx>
        <c:axId val="1791413888"/>
        <c:scaling>
          <c:orientation val="minMax"/>
          <c:min val="48"/>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91412928"/>
        <c:crosses val="autoZero"/>
        <c:crossBetween val="between"/>
        <c:majorUnit val="1"/>
      </c:valAx>
      <c:spPr>
        <a:noFill/>
        <a:ln w="25400">
          <a:noFill/>
        </a:ln>
        <a:effectLst/>
      </c:spPr>
    </c:plotArea>
    <c:legend>
      <c:legendPos val="t"/>
      <c:legendEntry>
        <c:idx val="3"/>
        <c:delete val="1"/>
      </c:legendEntry>
      <c:layout>
        <c:manualLayout>
          <c:xMode val="edge"/>
          <c:yMode val="edge"/>
          <c:x val="0.51184929949406455"/>
          <c:y val="5.0308143429821608E-2"/>
          <c:w val="0.46067448997345434"/>
          <c:h val="0.21535942248965939"/>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'1.6B'!$S$3</c:f>
              <c:strCache>
                <c:ptCount val="1"/>
                <c:pt idx="0">
                  <c:v>Goods trade</c:v>
                </c:pt>
              </c:strCache>
            </c:strRef>
          </c:tx>
          <c:spPr>
            <a:solidFill>
              <a:schemeClr val="tx2"/>
            </a:solidFill>
            <a:ln>
              <a:noFill/>
            </a:ln>
            <a:effectLst/>
          </c:spPr>
          <c:invertIfNegative val="0"/>
          <c:cat>
            <c:strRef>
              <c:extLst>
                <c:ext xmlns:c15="http://schemas.microsoft.com/office/drawing/2012/chart" uri="{02D57815-91ED-43cb-92C2-25804820EDAC}">
                  <c15:fullRef>
                    <c15:sqref>'1.6B'!$R$4:$R$15</c15:sqref>
                  </c15:fullRef>
                </c:ext>
              </c:extLst>
              <c:f>'1.6B'!$R$8:$R$15</c:f>
              <c:strCache>
                <c:ptCount val="8"/>
                <c:pt idx="0">
                  <c:v>2023Q1</c:v>
                </c:pt>
                <c:pt idx="1">
                  <c:v>2023Q2</c:v>
                </c:pt>
                <c:pt idx="2">
                  <c:v>2023Q3</c:v>
                </c:pt>
                <c:pt idx="3">
                  <c:v>2023Q4</c:v>
                </c:pt>
                <c:pt idx="4">
                  <c:v>2024Q1</c:v>
                </c:pt>
                <c:pt idx="5">
                  <c:v>2024Q2</c:v>
                </c:pt>
                <c:pt idx="6">
                  <c:v>2024f</c:v>
                </c:pt>
                <c:pt idx="7">
                  <c:v>2025f</c:v>
                </c:pt>
              </c:strCache>
            </c:strRef>
          </c:cat>
          <c:val>
            <c:numRef>
              <c:extLst>
                <c:ext xmlns:c15="http://schemas.microsoft.com/office/drawing/2012/chart" uri="{02D57815-91ED-43cb-92C2-25804820EDAC}">
                  <c15:fullRef>
                    <c15:sqref>'1.6B'!$S$4:$S$15</c15:sqref>
                  </c15:fullRef>
                </c:ext>
              </c:extLst>
              <c:f>'1.6B'!$S$8:$S$15</c:f>
              <c:numCache>
                <c:formatCode>0.0</c:formatCode>
                <c:ptCount val="8"/>
                <c:pt idx="0">
                  <c:v>-0.4</c:v>
                </c:pt>
                <c:pt idx="1">
                  <c:v>-1</c:v>
                </c:pt>
                <c:pt idx="2">
                  <c:v>-1.7</c:v>
                </c:pt>
                <c:pt idx="3">
                  <c:v>-0.4</c:v>
                </c:pt>
                <c:pt idx="4">
                  <c:v>-0.2</c:v>
                </c:pt>
                <c:pt idx="5">
                  <c:v>0.5</c:v>
                </c:pt>
              </c:numCache>
            </c:numRef>
          </c:val>
          <c:extLst>
            <c:ext xmlns:c16="http://schemas.microsoft.com/office/drawing/2014/chart" uri="{C3380CC4-5D6E-409C-BE32-E72D297353CC}">
              <c16:uniqueId val="{00000000-5DEE-4CA0-B9BA-5716D4348987}"/>
            </c:ext>
          </c:extLst>
        </c:ser>
        <c:ser>
          <c:idx val="2"/>
          <c:order val="2"/>
          <c:tx>
            <c:strRef>
              <c:f>'1.6B'!$U$3</c:f>
              <c:strCache>
                <c:ptCount val="1"/>
                <c:pt idx="0">
                  <c:v>Total trade forecast</c:v>
                </c:pt>
              </c:strCache>
            </c:strRef>
          </c:tx>
          <c:spPr>
            <a:solidFill>
              <a:schemeClr val="bg2"/>
            </a:solidFill>
            <a:ln>
              <a:noFill/>
            </a:ln>
            <a:effectLst/>
          </c:spPr>
          <c:invertIfNegative val="0"/>
          <c:cat>
            <c:strRef>
              <c:extLst>
                <c:ext xmlns:c15="http://schemas.microsoft.com/office/drawing/2012/chart" uri="{02D57815-91ED-43cb-92C2-25804820EDAC}">
                  <c15:fullRef>
                    <c15:sqref>'1.6B'!$R$4:$R$15</c15:sqref>
                  </c15:fullRef>
                </c:ext>
              </c:extLst>
              <c:f>'1.6B'!$R$8:$R$15</c:f>
              <c:strCache>
                <c:ptCount val="8"/>
                <c:pt idx="0">
                  <c:v>2023Q1</c:v>
                </c:pt>
                <c:pt idx="1">
                  <c:v>2023Q2</c:v>
                </c:pt>
                <c:pt idx="2">
                  <c:v>2023Q3</c:v>
                </c:pt>
                <c:pt idx="3">
                  <c:v>2023Q4</c:v>
                </c:pt>
                <c:pt idx="4">
                  <c:v>2024Q1</c:v>
                </c:pt>
                <c:pt idx="5">
                  <c:v>2024Q2</c:v>
                </c:pt>
                <c:pt idx="6">
                  <c:v>2024f</c:v>
                </c:pt>
                <c:pt idx="7">
                  <c:v>2025f</c:v>
                </c:pt>
              </c:strCache>
            </c:strRef>
          </c:cat>
          <c:val>
            <c:numRef>
              <c:extLst>
                <c:ext xmlns:c15="http://schemas.microsoft.com/office/drawing/2012/chart" uri="{02D57815-91ED-43cb-92C2-25804820EDAC}">
                  <c15:fullRef>
                    <c15:sqref>'1.6B'!$U$4:$U$15</c15:sqref>
                  </c15:fullRef>
                </c:ext>
              </c:extLst>
              <c:f>'1.6B'!$U$8:$U$15</c:f>
              <c:numCache>
                <c:formatCode>0.0</c:formatCode>
                <c:ptCount val="8"/>
                <c:pt idx="6">
                  <c:v>2.5</c:v>
                </c:pt>
                <c:pt idx="7">
                  <c:v>3.4</c:v>
                </c:pt>
              </c:numCache>
            </c:numRef>
          </c:val>
          <c:extLst>
            <c:ext xmlns:c16="http://schemas.microsoft.com/office/drawing/2014/chart" uri="{C3380CC4-5D6E-409C-BE32-E72D297353CC}">
              <c16:uniqueId val="{00000001-5DEE-4CA0-B9BA-5716D4348987}"/>
            </c:ext>
          </c:extLst>
        </c:ser>
        <c:dLbls>
          <c:showLegendKey val="0"/>
          <c:showVal val="0"/>
          <c:showCatName val="0"/>
          <c:showSerName val="0"/>
          <c:showPercent val="0"/>
          <c:showBubbleSize val="0"/>
        </c:dLbls>
        <c:gapWidth val="150"/>
        <c:overlap val="100"/>
        <c:axId val="970889184"/>
        <c:axId val="970886784"/>
        <c:extLst>
          <c:ext xmlns:c15="http://schemas.microsoft.com/office/drawing/2012/chart" uri="{02D57815-91ED-43cb-92C2-25804820EDAC}">
            <c15:filteredBarSeries>
              <c15:ser>
                <c:idx val="1"/>
                <c:order val="1"/>
                <c:tx>
                  <c:strRef>
                    <c:extLst>
                      <c:ext uri="{02D57815-91ED-43cb-92C2-25804820EDAC}">
                        <c15:formulaRef>
                          <c15:sqref>'1.6B'!$T$3</c15:sqref>
                        </c15:formulaRef>
                      </c:ext>
                    </c:extLst>
                    <c:strCache>
                      <c:ptCount val="1"/>
                      <c:pt idx="0">
                        <c:v>Services trade</c:v>
                      </c:pt>
                    </c:strCache>
                  </c:strRef>
                </c:tx>
                <c:spPr>
                  <a:solidFill>
                    <a:schemeClr val="bg2"/>
                  </a:solidFill>
                  <a:ln>
                    <a:noFill/>
                  </a:ln>
                  <a:effectLst/>
                </c:spPr>
                <c:invertIfNegative val="0"/>
                <c:cat>
                  <c:strRef>
                    <c:extLst>
                      <c:ext uri="{02D57815-91ED-43cb-92C2-25804820EDAC}">
                        <c15:fullRef>
                          <c15:sqref>'1.6B'!$R$4:$R$15</c15:sqref>
                        </c15:fullRef>
                        <c15:formulaRef>
                          <c15:sqref>'1.6B'!$R$8:$R$15</c15:sqref>
                        </c15:formulaRef>
                      </c:ext>
                    </c:extLst>
                    <c:strCache>
                      <c:ptCount val="8"/>
                      <c:pt idx="0">
                        <c:v>2023Q1</c:v>
                      </c:pt>
                      <c:pt idx="1">
                        <c:v>2023Q2</c:v>
                      </c:pt>
                      <c:pt idx="2">
                        <c:v>2023Q3</c:v>
                      </c:pt>
                      <c:pt idx="3">
                        <c:v>2023Q4</c:v>
                      </c:pt>
                      <c:pt idx="4">
                        <c:v>2024Q1</c:v>
                      </c:pt>
                      <c:pt idx="5">
                        <c:v>2024Q2</c:v>
                      </c:pt>
                      <c:pt idx="6">
                        <c:v>2024f</c:v>
                      </c:pt>
                      <c:pt idx="7">
                        <c:v>2025f</c:v>
                      </c:pt>
                    </c:strCache>
                  </c:strRef>
                </c:cat>
                <c:val>
                  <c:numRef>
                    <c:extLst>
                      <c:ext uri="{02D57815-91ED-43cb-92C2-25804820EDAC}">
                        <c15:fullRef>
                          <c15:sqref>'1.6B'!$T$4:$T$15</c15:sqref>
                        </c15:fullRef>
                        <c15:formulaRef>
                          <c15:sqref>'1.6B'!$T$8:$T$15</c15:sqref>
                        </c15:formulaRef>
                      </c:ext>
                    </c:extLst>
                    <c:numCache>
                      <c:formatCode>0.0</c:formatCode>
                      <c:ptCount val="8"/>
                      <c:pt idx="0">
                        <c:v>2.2999999999999998</c:v>
                      </c:pt>
                      <c:pt idx="1">
                        <c:v>3.1</c:v>
                      </c:pt>
                      <c:pt idx="2">
                        <c:v>3.1</c:v>
                      </c:pt>
                      <c:pt idx="3">
                        <c:v>2.2999999999999998</c:v>
                      </c:pt>
                      <c:pt idx="4">
                        <c:v>1.6</c:v>
                      </c:pt>
                      <c:pt idx="5">
                        <c:v>0.3</c:v>
                      </c:pt>
                    </c:numCache>
                  </c:numRef>
                </c:val>
                <c:extLst>
                  <c:ext xmlns:c16="http://schemas.microsoft.com/office/drawing/2014/chart" uri="{C3380CC4-5D6E-409C-BE32-E72D297353CC}">
                    <c16:uniqueId val="{00000002-5DEE-4CA0-B9BA-5716D4348987}"/>
                  </c:ext>
                </c:extLst>
              </c15:ser>
            </c15:filteredBarSeries>
          </c:ext>
        </c:extLst>
      </c:barChart>
      <c:catAx>
        <c:axId val="9708891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970886784"/>
        <c:crosses val="autoZero"/>
        <c:auto val="1"/>
        <c:lblAlgn val="ctr"/>
        <c:lblOffset val="100"/>
        <c:noMultiLvlLbl val="0"/>
      </c:catAx>
      <c:valAx>
        <c:axId val="9708867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70889184"/>
        <c:crosses val="autoZero"/>
        <c:crossBetween val="between"/>
      </c:valAx>
      <c:spPr>
        <a:noFill/>
        <a:ln>
          <a:noFill/>
        </a:ln>
        <a:effectLst/>
      </c:spPr>
    </c:plotArea>
    <c:legend>
      <c:legendPos val="t"/>
      <c:layout>
        <c:manualLayout>
          <c:xMode val="edge"/>
          <c:yMode val="edge"/>
          <c:x val="9.7040590358732193E-2"/>
          <c:y val="8.4456059108409046E-2"/>
          <c:w val="0.83927833006575636"/>
          <c:h val="6.7588946483507287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88579705328483"/>
          <c:y val="0.13442246788103202"/>
          <c:w val="0.86233947508091291"/>
          <c:h val="0.59382560513269167"/>
        </c:manualLayout>
      </c:layout>
      <c:lineChart>
        <c:grouping val="standard"/>
        <c:varyColors val="0"/>
        <c:ser>
          <c:idx val="0"/>
          <c:order val="0"/>
          <c:tx>
            <c:strRef>
              <c:f>'1.6C'!$U$3</c:f>
              <c:strCache>
                <c:ptCount val="1"/>
                <c:pt idx="0">
                  <c:v>Bangladesh</c:v>
                </c:pt>
              </c:strCache>
            </c:strRef>
          </c:tx>
          <c:spPr>
            <a:ln w="76200" cap="rnd">
              <a:solidFill>
                <a:schemeClr val="tx2"/>
              </a:solidFill>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'1.6C'!$U$4:$U$23</c:f>
              <c:numCache>
                <c:formatCode>0.0</c:formatCode>
                <c:ptCount val="20"/>
                <c:pt idx="0">
                  <c:v>114.6</c:v>
                </c:pt>
                <c:pt idx="1">
                  <c:v>113.9</c:v>
                </c:pt>
                <c:pt idx="2">
                  <c:v>120.9</c:v>
                </c:pt>
                <c:pt idx="3">
                  <c:v>114.9</c:v>
                </c:pt>
                <c:pt idx="4">
                  <c:v>117.8</c:v>
                </c:pt>
                <c:pt idx="5">
                  <c:v>121.7</c:v>
                </c:pt>
                <c:pt idx="6">
                  <c:v>127.9</c:v>
                </c:pt>
                <c:pt idx="7">
                  <c:v>125.9</c:v>
                </c:pt>
                <c:pt idx="8">
                  <c:v>107.1</c:v>
                </c:pt>
                <c:pt idx="9">
                  <c:v>107</c:v>
                </c:pt>
                <c:pt idx="10">
                  <c:v>114.2</c:v>
                </c:pt>
                <c:pt idx="11">
                  <c:v>128.6</c:v>
                </c:pt>
                <c:pt idx="12">
                  <c:v>131.69999999999999</c:v>
                </c:pt>
                <c:pt idx="13">
                  <c:v>136.80000000000001</c:v>
                </c:pt>
                <c:pt idx="14">
                  <c:v>136.9</c:v>
                </c:pt>
                <c:pt idx="15">
                  <c:v>135.4</c:v>
                </c:pt>
                <c:pt idx="16">
                  <c:v>137.4</c:v>
                </c:pt>
                <c:pt idx="17">
                  <c:v>149.19999999999999</c:v>
                </c:pt>
                <c:pt idx="18">
                  <c:v>146.4</c:v>
                </c:pt>
                <c:pt idx="19">
                  <c:v>145.69999999999999</c:v>
                </c:pt>
              </c:numCache>
            </c:numRef>
          </c:val>
          <c:smooth val="0"/>
          <c:extLst>
            <c:ext xmlns:c16="http://schemas.microsoft.com/office/drawing/2014/chart" uri="{C3380CC4-5D6E-409C-BE32-E72D297353CC}">
              <c16:uniqueId val="{00000000-374B-4BBE-9789-B00247C4C644}"/>
            </c:ext>
          </c:extLst>
        </c:ser>
        <c:ser>
          <c:idx val="1"/>
          <c:order val="1"/>
          <c:tx>
            <c:strRef>
              <c:f>'1.6C'!$T$3</c:f>
              <c:strCache>
                <c:ptCount val="1"/>
                <c:pt idx="0">
                  <c:v>Nepal</c:v>
                </c:pt>
              </c:strCache>
            </c:strRef>
          </c:tx>
          <c:spPr>
            <a:ln w="76200" cap="rnd">
              <a:solidFill>
                <a:srgbClr val="00B0F0"/>
              </a:solidFill>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'1.6C'!$T$4:$T$22</c:f>
              <c:numCache>
                <c:formatCode>0.0</c:formatCode>
                <c:ptCount val="19"/>
                <c:pt idx="0">
                  <c:v>118.4</c:v>
                </c:pt>
                <c:pt idx="1">
                  <c:v>121.7</c:v>
                </c:pt>
                <c:pt idx="2">
                  <c:v>122.2</c:v>
                </c:pt>
                <c:pt idx="3">
                  <c:v>124.1</c:v>
                </c:pt>
                <c:pt idx="4">
                  <c:v>122.8</c:v>
                </c:pt>
                <c:pt idx="5">
                  <c:v>123.9</c:v>
                </c:pt>
                <c:pt idx="6">
                  <c:v>131.5</c:v>
                </c:pt>
                <c:pt idx="7">
                  <c:v>136.9</c:v>
                </c:pt>
                <c:pt idx="8">
                  <c:v>138.5</c:v>
                </c:pt>
                <c:pt idx="9">
                  <c:v>141.19999999999999</c:v>
                </c:pt>
                <c:pt idx="10">
                  <c:v>139.4</c:v>
                </c:pt>
                <c:pt idx="11">
                  <c:v>148.1</c:v>
                </c:pt>
                <c:pt idx="12">
                  <c:v>141.6</c:v>
                </c:pt>
                <c:pt idx="13">
                  <c:v>139.1</c:v>
                </c:pt>
                <c:pt idx="14">
                  <c:v>134.19999999999999</c:v>
                </c:pt>
                <c:pt idx="15">
                  <c:v>134.80000000000001</c:v>
                </c:pt>
                <c:pt idx="16">
                  <c:v>138.5</c:v>
                </c:pt>
                <c:pt idx="17">
                  <c:v>140.80000000000001</c:v>
                </c:pt>
                <c:pt idx="18">
                  <c:v>139.30000000000001</c:v>
                </c:pt>
              </c:numCache>
            </c:numRef>
          </c:val>
          <c:smooth val="0"/>
          <c:extLst>
            <c:ext xmlns:c16="http://schemas.microsoft.com/office/drawing/2014/chart" uri="{C3380CC4-5D6E-409C-BE32-E72D297353CC}">
              <c16:uniqueId val="{00000001-374B-4BBE-9789-B00247C4C644}"/>
            </c:ext>
          </c:extLst>
        </c:ser>
        <c:ser>
          <c:idx val="2"/>
          <c:order val="2"/>
          <c:tx>
            <c:strRef>
              <c:f>'1.6C'!$V$3</c:f>
              <c:strCache>
                <c:ptCount val="1"/>
                <c:pt idx="0">
                  <c:v>Pakistan</c:v>
                </c:pt>
              </c:strCache>
            </c:strRef>
          </c:tx>
          <c:spPr>
            <a:ln w="76200" cap="rnd">
              <a:solidFill>
                <a:srgbClr val="F78D28"/>
              </a:solidFill>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'1.6C'!$V$4:$V$23</c:f>
              <c:numCache>
                <c:formatCode>0.0</c:formatCode>
                <c:ptCount val="20"/>
                <c:pt idx="0">
                  <c:v>111.6</c:v>
                </c:pt>
                <c:pt idx="1">
                  <c:v>108.3</c:v>
                </c:pt>
                <c:pt idx="2">
                  <c:v>116.2</c:v>
                </c:pt>
                <c:pt idx="3">
                  <c:v>121.6</c:v>
                </c:pt>
                <c:pt idx="4">
                  <c:v>123.6</c:v>
                </c:pt>
                <c:pt idx="5">
                  <c:v>117.3</c:v>
                </c:pt>
                <c:pt idx="6">
                  <c:v>114.2</c:v>
                </c:pt>
                <c:pt idx="7">
                  <c:v>114.1</c:v>
                </c:pt>
                <c:pt idx="8">
                  <c:v>114.5</c:v>
                </c:pt>
                <c:pt idx="9">
                  <c:v>122.3</c:v>
                </c:pt>
                <c:pt idx="10">
                  <c:v>125.3</c:v>
                </c:pt>
                <c:pt idx="11">
                  <c:v>128.4</c:v>
                </c:pt>
                <c:pt idx="12">
                  <c:v>127.3</c:v>
                </c:pt>
                <c:pt idx="13">
                  <c:v>127.1</c:v>
                </c:pt>
                <c:pt idx="14">
                  <c:v>137.4</c:v>
                </c:pt>
                <c:pt idx="15">
                  <c:v>145</c:v>
                </c:pt>
                <c:pt idx="16">
                  <c:v>162.9</c:v>
                </c:pt>
                <c:pt idx="17">
                  <c:v>166.6</c:v>
                </c:pt>
                <c:pt idx="18">
                  <c:v>169.9</c:v>
                </c:pt>
                <c:pt idx="19">
                  <c:v>164.4</c:v>
                </c:pt>
              </c:numCache>
            </c:numRef>
          </c:val>
          <c:smooth val="0"/>
          <c:extLst>
            <c:ext xmlns:c16="http://schemas.microsoft.com/office/drawing/2014/chart" uri="{C3380CC4-5D6E-409C-BE32-E72D297353CC}">
              <c16:uniqueId val="{00000002-374B-4BBE-9789-B00247C4C644}"/>
            </c:ext>
          </c:extLst>
        </c:ser>
        <c:ser>
          <c:idx val="3"/>
          <c:order val="3"/>
          <c:tx>
            <c:strRef>
              <c:f>'1.6C'!$W$3</c:f>
              <c:strCache>
                <c:ptCount val="1"/>
                <c:pt idx="0">
                  <c:v>Sri Lanka</c:v>
                </c:pt>
              </c:strCache>
            </c:strRef>
          </c:tx>
          <c:spPr>
            <a:ln w="76200" cap="rnd">
              <a:solidFill>
                <a:schemeClr val="accent2"/>
              </a:solidFill>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'1.6C'!$W$4:$W$23</c:f>
              <c:numCache>
                <c:formatCode>0.0</c:formatCode>
                <c:ptCount val="20"/>
                <c:pt idx="0">
                  <c:v>77.3</c:v>
                </c:pt>
                <c:pt idx="1">
                  <c:v>78.599999999999994</c:v>
                </c:pt>
                <c:pt idx="2">
                  <c:v>84.2</c:v>
                </c:pt>
                <c:pt idx="3">
                  <c:v>85.1</c:v>
                </c:pt>
                <c:pt idx="4">
                  <c:v>89.4</c:v>
                </c:pt>
                <c:pt idx="5">
                  <c:v>83.9</c:v>
                </c:pt>
                <c:pt idx="6">
                  <c:v>89.1</c:v>
                </c:pt>
                <c:pt idx="7">
                  <c:v>90.3</c:v>
                </c:pt>
                <c:pt idx="8">
                  <c:v>90.7</c:v>
                </c:pt>
                <c:pt idx="9">
                  <c:v>89.3</c:v>
                </c:pt>
                <c:pt idx="10">
                  <c:v>91.5</c:v>
                </c:pt>
                <c:pt idx="11">
                  <c:v>96.7</c:v>
                </c:pt>
                <c:pt idx="12">
                  <c:v>95</c:v>
                </c:pt>
                <c:pt idx="13">
                  <c:v>91.3</c:v>
                </c:pt>
                <c:pt idx="14">
                  <c:v>91.5</c:v>
                </c:pt>
                <c:pt idx="15">
                  <c:v>94.8</c:v>
                </c:pt>
                <c:pt idx="16">
                  <c:v>98.9</c:v>
                </c:pt>
                <c:pt idx="17">
                  <c:v>95.7</c:v>
                </c:pt>
                <c:pt idx="18">
                  <c:v>97.1</c:v>
                </c:pt>
                <c:pt idx="19">
                  <c:v>99.1</c:v>
                </c:pt>
              </c:numCache>
            </c:numRef>
          </c:val>
          <c:smooth val="0"/>
          <c:extLst>
            <c:ext xmlns:c16="http://schemas.microsoft.com/office/drawing/2014/chart" uri="{C3380CC4-5D6E-409C-BE32-E72D297353CC}">
              <c16:uniqueId val="{00000003-374B-4BBE-9789-B00247C4C644}"/>
            </c:ext>
          </c:extLst>
        </c:ser>
        <c:ser>
          <c:idx val="5"/>
          <c:order val="4"/>
          <c:spPr>
            <a:ln w="76200" cap="rnd">
              <a:solidFill>
                <a:sysClr val="windowText" lastClr="000000"/>
              </a:solidFill>
              <a:prstDash val="sysDot"/>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'1.6C'!$X$4:$X$23</c:f>
              <c:numCache>
                <c:formatCode>0.0</c:formatCode>
                <c:ptCount val="20"/>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numCache>
            </c:numRef>
          </c:val>
          <c:smooth val="0"/>
          <c:extLst>
            <c:ext xmlns:c16="http://schemas.microsoft.com/office/drawing/2014/chart" uri="{C3380CC4-5D6E-409C-BE32-E72D297353CC}">
              <c16:uniqueId val="{00000004-374B-4BBE-9789-B00247C4C644}"/>
            </c:ext>
          </c:extLst>
        </c:ser>
        <c:dLbls>
          <c:showLegendKey val="0"/>
          <c:showVal val="0"/>
          <c:showCatName val="0"/>
          <c:showSerName val="0"/>
          <c:showPercent val="0"/>
          <c:showBubbleSize val="0"/>
        </c:dLbls>
        <c:marker val="1"/>
        <c:smooth val="0"/>
        <c:axId val="1039142639"/>
        <c:axId val="956802447"/>
      </c:lineChart>
      <c:lineChart>
        <c:grouping val="standard"/>
        <c:varyColors val="0"/>
        <c:ser>
          <c:idx val="15"/>
          <c:order val="5"/>
          <c:tx>
            <c:strRef>
              <c:f>'1.6C'!$S$3</c:f>
              <c:strCache>
                <c:ptCount val="1"/>
                <c:pt idx="0">
                  <c:v>Other EMDEs </c:v>
                </c:pt>
              </c:strCache>
            </c:strRef>
          </c:tx>
          <c:spPr>
            <a:ln w="76200" cap="rnd">
              <a:solidFill>
                <a:schemeClr val="bg2"/>
              </a:solidFill>
              <a:prstDash val="solid"/>
              <a:round/>
            </a:ln>
            <a:effectLst/>
          </c:spPr>
          <c:marker>
            <c:symbol val="none"/>
          </c:marker>
          <c:cat>
            <c:numRef>
              <c:f>'1.6C'!$R$4:$R$23</c:f>
              <c:numCache>
                <c:formatCode>mmm\-yy</c:formatCode>
                <c:ptCount val="2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numCache>
            </c:numRef>
          </c:cat>
          <c:val>
            <c:numRef>
              <c:f>'1.6C'!$S$4:$S$22</c:f>
              <c:numCache>
                <c:formatCode>0.0</c:formatCode>
                <c:ptCount val="19"/>
                <c:pt idx="0">
                  <c:v>159</c:v>
                </c:pt>
                <c:pt idx="1">
                  <c:v>152.69999999999999</c:v>
                </c:pt>
                <c:pt idx="2">
                  <c:v>154.80000000000001</c:v>
                </c:pt>
                <c:pt idx="3">
                  <c:v>148.4</c:v>
                </c:pt>
                <c:pt idx="4">
                  <c:v>151.1</c:v>
                </c:pt>
                <c:pt idx="5">
                  <c:v>144.6</c:v>
                </c:pt>
                <c:pt idx="6">
                  <c:v>147.6</c:v>
                </c:pt>
                <c:pt idx="7">
                  <c:v>146.69999999999999</c:v>
                </c:pt>
                <c:pt idx="8">
                  <c:v>143.69999999999999</c:v>
                </c:pt>
                <c:pt idx="9">
                  <c:v>138.19999999999999</c:v>
                </c:pt>
                <c:pt idx="10">
                  <c:v>133.19999999999999</c:v>
                </c:pt>
                <c:pt idx="11">
                  <c:v>134</c:v>
                </c:pt>
                <c:pt idx="12">
                  <c:v>135.5</c:v>
                </c:pt>
                <c:pt idx="13">
                  <c:v>133.30000000000001</c:v>
                </c:pt>
                <c:pt idx="14">
                  <c:v>132.30000000000001</c:v>
                </c:pt>
                <c:pt idx="15">
                  <c:v>131.6</c:v>
                </c:pt>
                <c:pt idx="16">
                  <c:v>134.69999999999999</c:v>
                </c:pt>
                <c:pt idx="17">
                  <c:v>134.5</c:v>
                </c:pt>
                <c:pt idx="18">
                  <c:v>139.80000000000001</c:v>
                </c:pt>
              </c:numCache>
            </c:numRef>
          </c:val>
          <c:smooth val="0"/>
          <c:extLst>
            <c:ext xmlns:c16="http://schemas.microsoft.com/office/drawing/2014/chart" uri="{C3380CC4-5D6E-409C-BE32-E72D297353CC}">
              <c16:uniqueId val="{00000006-374B-4BBE-9789-B00247C4C644}"/>
            </c:ext>
          </c:extLst>
        </c:ser>
        <c:dLbls>
          <c:showLegendKey val="0"/>
          <c:showVal val="0"/>
          <c:showCatName val="0"/>
          <c:showSerName val="0"/>
          <c:showPercent val="0"/>
          <c:showBubbleSize val="0"/>
        </c:dLbls>
        <c:marker val="1"/>
        <c:smooth val="0"/>
        <c:axId val="1581703743"/>
        <c:axId val="956806191"/>
        <c:extLst/>
      </c:lineChart>
      <c:dateAx>
        <c:axId val="1039142639"/>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b" anchorCtr="0"/>
          <a:lstStyle/>
          <a:p>
            <a:pPr>
              <a:defRPr sz="3200" b="0" i="0" u="none" strike="noStrike" kern="1200" baseline="0">
                <a:solidFill>
                  <a:srgbClr val="000000"/>
                </a:solidFill>
                <a:latin typeface="Arial"/>
                <a:ea typeface="Arial"/>
                <a:cs typeface="Arial"/>
              </a:defRPr>
            </a:pPr>
            <a:endParaRPr lang="en-US"/>
          </a:p>
        </c:txPr>
        <c:crossAx val="956802447"/>
        <c:crosses val="autoZero"/>
        <c:auto val="1"/>
        <c:lblOffset val="200"/>
        <c:baseTimeUnit val="months"/>
        <c:majorUnit val="1"/>
        <c:majorTimeUnit val="months"/>
        <c:minorUnit val="1"/>
        <c:minorTimeUnit val="days"/>
      </c:dateAx>
      <c:valAx>
        <c:axId val="956802447"/>
        <c:scaling>
          <c:orientation val="minMax"/>
          <c:max val="171"/>
          <c:min val="7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39142639"/>
        <c:crossesAt val="1"/>
        <c:crossBetween val="between"/>
        <c:majorUnit val="20"/>
      </c:valAx>
      <c:valAx>
        <c:axId val="956806191"/>
        <c:scaling>
          <c:orientation val="minMax"/>
          <c:max val="500"/>
        </c:scaling>
        <c:delete val="1"/>
        <c:axPos val="r"/>
        <c:numFmt formatCode="0" sourceLinked="0"/>
        <c:majorTickMark val="none"/>
        <c:minorTickMark val="none"/>
        <c:tickLblPos val="nextTo"/>
        <c:crossAx val="1581703743"/>
        <c:crosses val="max"/>
        <c:crossBetween val="between"/>
        <c:majorUnit val="100"/>
      </c:valAx>
      <c:dateAx>
        <c:axId val="1581703743"/>
        <c:scaling>
          <c:orientation val="minMax"/>
        </c:scaling>
        <c:delete val="1"/>
        <c:axPos val="b"/>
        <c:numFmt formatCode="mmm\-yy" sourceLinked="1"/>
        <c:majorTickMark val="out"/>
        <c:minorTickMark val="none"/>
        <c:tickLblPos val="nextTo"/>
        <c:crossAx val="956806191"/>
        <c:crosses val="autoZero"/>
        <c:auto val="1"/>
        <c:lblOffset val="100"/>
        <c:baseTimeUnit val="days"/>
      </c:dateAx>
      <c:spPr>
        <a:noFill/>
        <a:ln w="25400">
          <a:noFill/>
        </a:ln>
        <a:effectLst/>
      </c:spPr>
    </c:plotArea>
    <c:legend>
      <c:legendPos val="t"/>
      <c:legendEntry>
        <c:idx val="4"/>
        <c:delete val="1"/>
      </c:legendEntry>
      <c:layout>
        <c:manualLayout>
          <c:xMode val="edge"/>
          <c:yMode val="edge"/>
          <c:x val="0.23363506660034436"/>
          <c:y val="6.3716243802857966E-2"/>
          <c:w val="0.65478488626421694"/>
          <c:h val="0.1937251385243511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'1.6D'!$T$3</c:f>
              <c:strCache>
                <c:ptCount val="1"/>
                <c:pt idx="0">
                  <c:v>Inward FDI flow</c:v>
                </c:pt>
              </c:strCache>
            </c:strRef>
          </c:tx>
          <c:spPr>
            <a:solidFill>
              <a:srgbClr val="002345"/>
            </a:solidFill>
            <a:ln w="50800">
              <a:noFill/>
            </a:ln>
            <a:effectLst/>
          </c:spPr>
          <c:invertIfNegative val="0"/>
          <c:cat>
            <c:multiLvlStrRef>
              <c:extLst>
                <c:ext xmlns:c15="http://schemas.microsoft.com/office/drawing/2012/chart" uri="{02D57815-91ED-43cb-92C2-25804820EDAC}">
                  <c15:fullRef>
                    <c15:sqref>'1.6D'!$R$4:$S$28</c15:sqref>
                  </c15:fullRef>
                </c:ext>
              </c:extLst>
              <c:f>('1.6D'!$R$4:$S$4,'1.6D'!$R$7:$S$9,'1.6D'!$R$12:$S$14,'1.6D'!$R$17:$S$19,'1.6D'!$R$22:$S$24,'1.6D'!$R$27:$S$28)</c:f>
              <c:multiLvlStrCache>
                <c:ptCount val="15"/>
                <c:lvl>
                  <c:pt idx="0">
                    <c:v>2023Q1</c:v>
                  </c:pt>
                  <c:pt idx="1">
                    <c:v>2023Q4</c:v>
                  </c:pt>
                  <c:pt idx="2">
                    <c:v>2024Q1</c:v>
                  </c:pt>
                  <c:pt idx="3">
                    <c:v>2023Q1</c:v>
                  </c:pt>
                  <c:pt idx="4">
                    <c:v>2023Q4</c:v>
                  </c:pt>
                  <c:pt idx="5">
                    <c:v>2024Q1</c:v>
                  </c:pt>
                  <c:pt idx="6">
                    <c:v>2023Q1</c:v>
                  </c:pt>
                  <c:pt idx="7">
                    <c:v>2023Q4</c:v>
                  </c:pt>
                  <c:pt idx="8">
                    <c:v>2024Q1</c:v>
                  </c:pt>
                  <c:pt idx="9">
                    <c:v>2023Q1</c:v>
                  </c:pt>
                  <c:pt idx="10">
                    <c:v>2023Q4</c:v>
                  </c:pt>
                  <c:pt idx="11">
                    <c:v>2024Q1</c:v>
                  </c:pt>
                  <c:pt idx="12">
                    <c:v>2023Q1</c:v>
                  </c:pt>
                  <c:pt idx="13">
                    <c:v>2023Q4</c:v>
                  </c:pt>
                  <c:pt idx="14">
                    <c:v>2024Q1</c:v>
                  </c:pt>
                </c:lvl>
                <c:lvl>
                  <c:pt idx="0">
                    <c:v>BGD</c:v>
                  </c:pt>
                  <c:pt idx="3">
                    <c:v>IND</c:v>
                  </c:pt>
                  <c:pt idx="6">
                    <c:v>LKA</c:v>
                  </c:pt>
                  <c:pt idx="9">
                    <c:v>PAK</c:v>
                  </c:pt>
                  <c:pt idx="12">
                    <c:v>Other EMDEs</c:v>
                  </c:pt>
                </c:lvl>
              </c:multiLvlStrCache>
            </c:multiLvlStrRef>
          </c:cat>
          <c:val>
            <c:numRef>
              <c:extLst>
                <c:ext xmlns:c15="http://schemas.microsoft.com/office/drawing/2012/chart" uri="{02D57815-91ED-43cb-92C2-25804820EDAC}">
                  <c15:fullRef>
                    <c15:sqref>'1.6D'!$T$4:$T$28</c15:sqref>
                  </c15:fullRef>
                </c:ext>
              </c:extLst>
              <c:f>('1.6D'!$T$4,'1.6D'!$T$7:$T$9,'1.6D'!$T$12:$T$14,'1.6D'!$T$17:$T$19,'1.6D'!$T$22:$T$24,'1.6D'!$T$27:$T$28)</c:f>
              <c:numCache>
                <c:formatCode>_(* #,##0.00_);_(* \(#,##0.00\);_(* "-"??_);_(@_)</c:formatCode>
                <c:ptCount val="15"/>
                <c:pt idx="0">
                  <c:v>0.27</c:v>
                </c:pt>
                <c:pt idx="1">
                  <c:v>0.27</c:v>
                </c:pt>
                <c:pt idx="2">
                  <c:v>0.31</c:v>
                </c:pt>
                <c:pt idx="3">
                  <c:v>1.08</c:v>
                </c:pt>
                <c:pt idx="4">
                  <c:v>0.92</c:v>
                </c:pt>
                <c:pt idx="5">
                  <c:v>0.82</c:v>
                </c:pt>
                <c:pt idx="6">
                  <c:v>0.84</c:v>
                </c:pt>
                <c:pt idx="7">
                  <c:v>1.1200000000000001</c:v>
                </c:pt>
                <c:pt idx="8">
                  <c:v>0.38</c:v>
                </c:pt>
                <c:pt idx="9">
                  <c:v>0.63</c:v>
                </c:pt>
                <c:pt idx="10">
                  <c:v>0.56999999999999995</c:v>
                </c:pt>
                <c:pt idx="11">
                  <c:v>0.23</c:v>
                </c:pt>
                <c:pt idx="12">
                  <c:v>1.8</c:v>
                </c:pt>
                <c:pt idx="13">
                  <c:v>0.99</c:v>
                </c:pt>
                <c:pt idx="14">
                  <c:v>1.45</c:v>
                </c:pt>
              </c:numCache>
            </c:numRef>
          </c:val>
          <c:extLst>
            <c:ext xmlns:c16="http://schemas.microsoft.com/office/drawing/2014/chart" uri="{C3380CC4-5D6E-409C-BE32-E72D297353CC}">
              <c16:uniqueId val="{00000000-FC4B-4C12-8202-ACFC238294D7}"/>
            </c:ext>
          </c:extLst>
        </c:ser>
        <c:dLbls>
          <c:showLegendKey val="0"/>
          <c:showVal val="0"/>
          <c:showCatName val="0"/>
          <c:showSerName val="0"/>
          <c:showPercent val="0"/>
          <c:showBubbleSize val="0"/>
        </c:dLbls>
        <c:gapWidth val="150"/>
        <c:axId val="37613520"/>
        <c:axId val="37614000"/>
      </c:barChart>
      <c:lineChart>
        <c:grouping val="standard"/>
        <c:varyColors val="0"/>
        <c:ser>
          <c:idx val="1"/>
          <c:order val="1"/>
          <c:tx>
            <c:strRef>
              <c:f>'1.6D'!$U$3</c:f>
              <c:strCache>
                <c:ptCount val="1"/>
                <c:pt idx="0">
                  <c:v>2010-19 average</c:v>
                </c:pt>
              </c:strCache>
            </c:strRef>
          </c:tx>
          <c:spPr>
            <a:ln w="76200" cap="rnd">
              <a:solidFill>
                <a:srgbClr val="EB1C2D"/>
              </a:solidFill>
              <a:round/>
            </a:ln>
            <a:effectLst/>
          </c:spPr>
          <c:marker>
            <c:symbol val="none"/>
          </c:marker>
          <c:dPt>
            <c:idx val="3"/>
            <c:marker>
              <c:symbol val="none"/>
            </c:marker>
            <c:bubble3D val="0"/>
            <c:spPr>
              <a:ln w="76200" cap="rnd">
                <a:noFill/>
                <a:round/>
              </a:ln>
              <a:effectLst/>
            </c:spPr>
            <c:extLst>
              <c:ext xmlns:c16="http://schemas.microsoft.com/office/drawing/2014/chart" uri="{C3380CC4-5D6E-409C-BE32-E72D297353CC}">
                <c16:uniqueId val="{00000002-FC4B-4C12-8202-ACFC238294D7}"/>
              </c:ext>
            </c:extLst>
          </c:dPt>
          <c:dPt>
            <c:idx val="6"/>
            <c:marker>
              <c:symbol val="none"/>
            </c:marker>
            <c:bubble3D val="0"/>
            <c:spPr>
              <a:ln w="76200" cap="rnd">
                <a:noFill/>
                <a:round/>
              </a:ln>
              <a:effectLst/>
            </c:spPr>
            <c:extLst>
              <c:ext xmlns:c16="http://schemas.microsoft.com/office/drawing/2014/chart" uri="{C3380CC4-5D6E-409C-BE32-E72D297353CC}">
                <c16:uniqueId val="{00000004-FC4B-4C12-8202-ACFC238294D7}"/>
              </c:ext>
            </c:extLst>
          </c:dPt>
          <c:dPt>
            <c:idx val="9"/>
            <c:marker>
              <c:symbol val="none"/>
            </c:marker>
            <c:bubble3D val="0"/>
            <c:spPr>
              <a:ln w="76200" cap="rnd">
                <a:noFill/>
                <a:round/>
              </a:ln>
              <a:effectLst/>
            </c:spPr>
            <c:extLst>
              <c:ext xmlns:c16="http://schemas.microsoft.com/office/drawing/2014/chart" uri="{C3380CC4-5D6E-409C-BE32-E72D297353CC}">
                <c16:uniqueId val="{00000006-FC4B-4C12-8202-ACFC238294D7}"/>
              </c:ext>
            </c:extLst>
          </c:dPt>
          <c:dPt>
            <c:idx val="12"/>
            <c:marker>
              <c:symbol val="none"/>
            </c:marker>
            <c:bubble3D val="0"/>
            <c:spPr>
              <a:ln w="76200" cap="rnd">
                <a:noFill/>
                <a:round/>
              </a:ln>
              <a:effectLst/>
            </c:spPr>
            <c:extLst>
              <c:ext xmlns:c16="http://schemas.microsoft.com/office/drawing/2014/chart" uri="{C3380CC4-5D6E-409C-BE32-E72D297353CC}">
                <c16:uniqueId val="{00000008-FC4B-4C12-8202-ACFC238294D7}"/>
              </c:ext>
            </c:extLst>
          </c:dPt>
          <c:cat>
            <c:multiLvlStrRef>
              <c:extLst>
                <c:ext xmlns:c15="http://schemas.microsoft.com/office/drawing/2012/chart" uri="{02D57815-91ED-43cb-92C2-25804820EDAC}">
                  <c15:fullRef>
                    <c15:sqref>'1.6D'!$R$4:$S$28</c15:sqref>
                  </c15:fullRef>
                </c:ext>
              </c:extLst>
              <c:f>('1.6D'!$R$4:$S$4,'1.6D'!$R$7:$S$9,'1.6D'!$R$12:$S$14,'1.6D'!$R$17:$S$19,'1.6D'!$R$22:$S$24,'1.6D'!$R$27:$S$28)</c:f>
              <c:multiLvlStrCache>
                <c:ptCount val="15"/>
                <c:lvl>
                  <c:pt idx="0">
                    <c:v>2023Q1</c:v>
                  </c:pt>
                  <c:pt idx="1">
                    <c:v>2023Q4</c:v>
                  </c:pt>
                  <c:pt idx="2">
                    <c:v>2024Q1</c:v>
                  </c:pt>
                  <c:pt idx="3">
                    <c:v>2023Q1</c:v>
                  </c:pt>
                  <c:pt idx="4">
                    <c:v>2023Q4</c:v>
                  </c:pt>
                  <c:pt idx="5">
                    <c:v>2024Q1</c:v>
                  </c:pt>
                  <c:pt idx="6">
                    <c:v>2023Q1</c:v>
                  </c:pt>
                  <c:pt idx="7">
                    <c:v>2023Q4</c:v>
                  </c:pt>
                  <c:pt idx="8">
                    <c:v>2024Q1</c:v>
                  </c:pt>
                  <c:pt idx="9">
                    <c:v>2023Q1</c:v>
                  </c:pt>
                  <c:pt idx="10">
                    <c:v>2023Q4</c:v>
                  </c:pt>
                  <c:pt idx="11">
                    <c:v>2024Q1</c:v>
                  </c:pt>
                  <c:pt idx="12">
                    <c:v>2023Q1</c:v>
                  </c:pt>
                  <c:pt idx="13">
                    <c:v>2023Q4</c:v>
                  </c:pt>
                  <c:pt idx="14">
                    <c:v>2024Q1</c:v>
                  </c:pt>
                </c:lvl>
                <c:lvl>
                  <c:pt idx="0">
                    <c:v>BGD</c:v>
                  </c:pt>
                  <c:pt idx="3">
                    <c:v>IND</c:v>
                  </c:pt>
                  <c:pt idx="6">
                    <c:v>LKA</c:v>
                  </c:pt>
                  <c:pt idx="9">
                    <c:v>PAK</c:v>
                  </c:pt>
                  <c:pt idx="12">
                    <c:v>Other EMDEs</c:v>
                  </c:pt>
                </c:lvl>
              </c:multiLvlStrCache>
            </c:multiLvlStrRef>
          </c:cat>
          <c:val>
            <c:numRef>
              <c:extLst>
                <c:ext xmlns:c15="http://schemas.microsoft.com/office/drawing/2012/chart" uri="{02D57815-91ED-43cb-92C2-25804820EDAC}">
                  <c15:fullRef>
                    <c15:sqref>'1.6D'!$U$4:$U$28</c15:sqref>
                  </c15:fullRef>
                </c:ext>
              </c:extLst>
              <c:f>('1.6D'!$U$4,'1.6D'!$U$7:$U$9,'1.6D'!$U$12:$U$14,'1.6D'!$U$17:$U$19,'1.6D'!$U$22:$U$24,'1.6D'!$U$27:$U$28)</c:f>
              <c:numCache>
                <c:formatCode>_(* #,##0.00_);_(* \(#,##0.00\);_(* "-"??_);_(@_)</c:formatCode>
                <c:ptCount val="15"/>
                <c:pt idx="0">
                  <c:v>1.07</c:v>
                </c:pt>
                <c:pt idx="1">
                  <c:v>1.07</c:v>
                </c:pt>
                <c:pt idx="2">
                  <c:v>1.07</c:v>
                </c:pt>
                <c:pt idx="3">
                  <c:v>1.7</c:v>
                </c:pt>
                <c:pt idx="4">
                  <c:v>1.7</c:v>
                </c:pt>
                <c:pt idx="5">
                  <c:v>1.7</c:v>
                </c:pt>
                <c:pt idx="6">
                  <c:v>1.17</c:v>
                </c:pt>
                <c:pt idx="7">
                  <c:v>1.17</c:v>
                </c:pt>
                <c:pt idx="8">
                  <c:v>1.17</c:v>
                </c:pt>
                <c:pt idx="9">
                  <c:v>0.65</c:v>
                </c:pt>
                <c:pt idx="10">
                  <c:v>0.65</c:v>
                </c:pt>
                <c:pt idx="11">
                  <c:v>0.65</c:v>
                </c:pt>
                <c:pt idx="12">
                  <c:v>3.06</c:v>
                </c:pt>
                <c:pt idx="13">
                  <c:v>3.06</c:v>
                </c:pt>
                <c:pt idx="14">
                  <c:v>3.06</c:v>
                </c:pt>
              </c:numCache>
            </c:numRef>
          </c:val>
          <c:smooth val="0"/>
          <c:extLst>
            <c:ext xmlns:c16="http://schemas.microsoft.com/office/drawing/2014/chart" uri="{C3380CC4-5D6E-409C-BE32-E72D297353CC}">
              <c16:uniqueId val="{00000009-FC4B-4C12-8202-ACFC238294D7}"/>
            </c:ext>
          </c:extLst>
        </c:ser>
        <c:dLbls>
          <c:showLegendKey val="0"/>
          <c:showVal val="0"/>
          <c:showCatName val="0"/>
          <c:showSerName val="0"/>
          <c:showPercent val="0"/>
          <c:showBubbleSize val="0"/>
        </c:dLbls>
        <c:marker val="1"/>
        <c:smooth val="0"/>
        <c:axId val="37613520"/>
        <c:axId val="37614000"/>
      </c:lineChart>
      <c:catAx>
        <c:axId val="3761352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7614000"/>
        <c:crosses val="autoZero"/>
        <c:auto val="1"/>
        <c:lblAlgn val="ctr"/>
        <c:lblOffset val="100"/>
        <c:noMultiLvlLbl val="0"/>
      </c:catAx>
      <c:valAx>
        <c:axId val="3761400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7613520"/>
        <c:crosses val="autoZero"/>
        <c:crossBetween val="between"/>
      </c:valAx>
      <c:spPr>
        <a:noFill/>
        <a:ln w="25400">
          <a:noFill/>
        </a:ln>
        <a:effectLst/>
      </c:spPr>
    </c:plotArea>
    <c:legend>
      <c:legendPos val="t"/>
      <c:layout>
        <c:manualLayout>
          <c:xMode val="edge"/>
          <c:yMode val="edge"/>
          <c:x val="0.14654440069991254"/>
          <c:y val="4.4365558471857684E-2"/>
          <c:w val="0.8369311023622048"/>
          <c:h val="9.3761154855643028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780074365704285E-2"/>
          <c:y val="0.11531000291630213"/>
          <c:w val="0.89794214785651794"/>
          <c:h val="0.62602624671916007"/>
        </c:manualLayout>
      </c:layout>
      <c:lineChart>
        <c:grouping val="standard"/>
        <c:varyColors val="0"/>
        <c:ser>
          <c:idx val="0"/>
          <c:order val="0"/>
          <c:tx>
            <c:strRef>
              <c:f>'1.6E'!$S$3</c:f>
              <c:strCache>
                <c:ptCount val="1"/>
                <c:pt idx="0">
                  <c:v>Pakistan</c:v>
                </c:pt>
              </c:strCache>
            </c:strRef>
          </c:tx>
          <c:spPr>
            <a:ln w="76200" cap="rnd">
              <a:solidFill>
                <a:schemeClr val="bg2"/>
              </a:solidFill>
              <a:round/>
            </a:ln>
            <a:effectLst/>
          </c:spPr>
          <c:marker>
            <c:symbol val="none"/>
          </c:marker>
          <c:cat>
            <c:strRef>
              <c:f>'1.6E'!$R$4:$R$21</c:f>
              <c:strCache>
                <c:ptCount val="18"/>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strCache>
            </c:strRef>
          </c:cat>
          <c:val>
            <c:numRef>
              <c:f>'1.6E'!$S$4:$S$21</c:f>
              <c:numCache>
                <c:formatCode>0.00</c:formatCode>
                <c:ptCount val="18"/>
                <c:pt idx="0">
                  <c:v>-0.32</c:v>
                </c:pt>
                <c:pt idx="1">
                  <c:v>-0.52</c:v>
                </c:pt>
                <c:pt idx="2">
                  <c:v>-0.53</c:v>
                </c:pt>
                <c:pt idx="3">
                  <c:v>-0.14000000000000001</c:v>
                </c:pt>
                <c:pt idx="4">
                  <c:v>1.1100000000000001</c:v>
                </c:pt>
                <c:pt idx="5">
                  <c:v>1.59</c:v>
                </c:pt>
                <c:pt idx="6">
                  <c:v>1.03</c:v>
                </c:pt>
                <c:pt idx="7">
                  <c:v>0.05</c:v>
                </c:pt>
                <c:pt idx="8">
                  <c:v>-0.39</c:v>
                </c:pt>
                <c:pt idx="9">
                  <c:v>0.1</c:v>
                </c:pt>
                <c:pt idx="10">
                  <c:v>-0.45</c:v>
                </c:pt>
                <c:pt idx="11">
                  <c:v>-0.36</c:v>
                </c:pt>
                <c:pt idx="12">
                  <c:v>-0.35</c:v>
                </c:pt>
                <c:pt idx="13">
                  <c:v>0.01</c:v>
                </c:pt>
                <c:pt idx="14">
                  <c:v>0.03</c:v>
                </c:pt>
                <c:pt idx="15">
                  <c:v>0.06</c:v>
                </c:pt>
                <c:pt idx="16">
                  <c:v>0.1</c:v>
                </c:pt>
                <c:pt idx="17">
                  <c:v>-0.57999999999999996</c:v>
                </c:pt>
              </c:numCache>
            </c:numRef>
          </c:val>
          <c:smooth val="0"/>
          <c:extLst>
            <c:ext xmlns:c16="http://schemas.microsoft.com/office/drawing/2014/chart" uri="{C3380CC4-5D6E-409C-BE32-E72D297353CC}">
              <c16:uniqueId val="{00000000-98B8-47E8-8637-2E12BBEA0D29}"/>
            </c:ext>
          </c:extLst>
        </c:ser>
        <c:ser>
          <c:idx val="1"/>
          <c:order val="1"/>
          <c:tx>
            <c:strRef>
              <c:f>'1.6E'!$T$3</c:f>
              <c:strCache>
                <c:ptCount val="1"/>
                <c:pt idx="0">
                  <c:v>India</c:v>
                </c:pt>
              </c:strCache>
            </c:strRef>
          </c:tx>
          <c:spPr>
            <a:ln w="76200" cap="rnd">
              <a:solidFill>
                <a:schemeClr val="accent1"/>
              </a:solidFill>
              <a:round/>
            </a:ln>
            <a:effectLst/>
          </c:spPr>
          <c:marker>
            <c:symbol val="none"/>
          </c:marker>
          <c:cat>
            <c:strRef>
              <c:f>'1.6E'!$R$4:$R$21</c:f>
              <c:strCache>
                <c:ptCount val="18"/>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strCache>
            </c:strRef>
          </c:cat>
          <c:val>
            <c:numRef>
              <c:f>'1.6E'!$T$4:$T$21</c:f>
              <c:numCache>
                <c:formatCode>0.00</c:formatCode>
                <c:ptCount val="18"/>
                <c:pt idx="0">
                  <c:v>-1.93</c:v>
                </c:pt>
                <c:pt idx="1">
                  <c:v>-0.24</c:v>
                </c:pt>
                <c:pt idx="2">
                  <c:v>1.36</c:v>
                </c:pt>
                <c:pt idx="3">
                  <c:v>1.63</c:v>
                </c:pt>
                <c:pt idx="4">
                  <c:v>1.28</c:v>
                </c:pt>
                <c:pt idx="5">
                  <c:v>0.5</c:v>
                </c:pt>
                <c:pt idx="6">
                  <c:v>-0.04</c:v>
                </c:pt>
                <c:pt idx="7">
                  <c:v>-0.65</c:v>
                </c:pt>
                <c:pt idx="8">
                  <c:v>-1.4</c:v>
                </c:pt>
                <c:pt idx="9">
                  <c:v>-0.9</c:v>
                </c:pt>
                <c:pt idx="10">
                  <c:v>-0.13</c:v>
                </c:pt>
                <c:pt idx="11">
                  <c:v>0.39</c:v>
                </c:pt>
                <c:pt idx="12">
                  <c:v>0.73</c:v>
                </c:pt>
                <c:pt idx="13">
                  <c:v>0.74</c:v>
                </c:pt>
                <c:pt idx="14">
                  <c:v>1.24</c:v>
                </c:pt>
                <c:pt idx="15">
                  <c:v>1.04</c:v>
                </c:pt>
                <c:pt idx="16">
                  <c:v>1.21</c:v>
                </c:pt>
              </c:numCache>
            </c:numRef>
          </c:val>
          <c:smooth val="0"/>
          <c:extLst>
            <c:ext xmlns:c16="http://schemas.microsoft.com/office/drawing/2014/chart" uri="{C3380CC4-5D6E-409C-BE32-E72D297353CC}">
              <c16:uniqueId val="{00000001-98B8-47E8-8637-2E12BBEA0D29}"/>
            </c:ext>
          </c:extLst>
        </c:ser>
        <c:ser>
          <c:idx val="4"/>
          <c:order val="2"/>
          <c:tx>
            <c:strRef>
              <c:f>'1.6E'!$U$3</c:f>
              <c:strCache>
                <c:ptCount val="1"/>
                <c:pt idx="0">
                  <c:v>Bangladesh</c:v>
                </c:pt>
              </c:strCache>
            </c:strRef>
          </c:tx>
          <c:spPr>
            <a:ln w="76200" cap="rnd">
              <a:solidFill>
                <a:schemeClr val="accent2"/>
              </a:solidFill>
              <a:round/>
            </a:ln>
            <a:effectLst/>
          </c:spPr>
          <c:marker>
            <c:symbol val="none"/>
          </c:marker>
          <c:cat>
            <c:strRef>
              <c:f>'1.6E'!$R$4:$R$21</c:f>
              <c:strCache>
                <c:ptCount val="18"/>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strCache>
            </c:strRef>
          </c:cat>
          <c:val>
            <c:numRef>
              <c:f>'1.6E'!$U$4:$U$21</c:f>
              <c:numCache>
                <c:formatCode>0.00</c:formatCode>
                <c:ptCount val="18"/>
                <c:pt idx="0">
                  <c:v>0</c:v>
                </c:pt>
                <c:pt idx="1">
                  <c:v>0</c:v>
                </c:pt>
                <c:pt idx="2">
                  <c:v>0</c:v>
                </c:pt>
                <c:pt idx="3">
                  <c:v>0.02</c:v>
                </c:pt>
                <c:pt idx="4">
                  <c:v>0.04</c:v>
                </c:pt>
                <c:pt idx="5">
                  <c:v>0.05</c:v>
                </c:pt>
                <c:pt idx="6">
                  <c:v>0.02</c:v>
                </c:pt>
                <c:pt idx="7">
                  <c:v>0.01</c:v>
                </c:pt>
                <c:pt idx="8">
                  <c:v>-0.03</c:v>
                </c:pt>
                <c:pt idx="9">
                  <c:v>-0.02</c:v>
                </c:pt>
                <c:pt idx="10">
                  <c:v>-0.02</c:v>
                </c:pt>
                <c:pt idx="11">
                  <c:v>-0.01</c:v>
                </c:pt>
                <c:pt idx="12">
                  <c:v>0</c:v>
                </c:pt>
                <c:pt idx="13">
                  <c:v>-0.01</c:v>
                </c:pt>
                <c:pt idx="14">
                  <c:v>-0.02</c:v>
                </c:pt>
                <c:pt idx="15">
                  <c:v>-0.03</c:v>
                </c:pt>
                <c:pt idx="16">
                  <c:v>-0.01</c:v>
                </c:pt>
                <c:pt idx="17">
                  <c:v>0.02</c:v>
                </c:pt>
              </c:numCache>
            </c:numRef>
          </c:val>
          <c:smooth val="0"/>
          <c:extLst>
            <c:ext xmlns:c16="http://schemas.microsoft.com/office/drawing/2014/chart" uri="{C3380CC4-5D6E-409C-BE32-E72D297353CC}">
              <c16:uniqueId val="{00000002-98B8-47E8-8637-2E12BBEA0D29}"/>
            </c:ext>
          </c:extLst>
        </c:ser>
        <c:ser>
          <c:idx val="5"/>
          <c:order val="3"/>
          <c:tx>
            <c:strRef>
              <c:f>'1.6E'!$V$3</c:f>
              <c:strCache>
                <c:ptCount val="1"/>
                <c:pt idx="0">
                  <c:v>Sri Lanka</c:v>
                </c:pt>
              </c:strCache>
            </c:strRef>
          </c:tx>
          <c:spPr>
            <a:ln w="76200" cap="rnd">
              <a:solidFill>
                <a:schemeClr val="tx2"/>
              </a:solidFill>
              <a:round/>
            </a:ln>
            <a:effectLst/>
          </c:spPr>
          <c:marker>
            <c:symbol val="none"/>
          </c:marker>
          <c:cat>
            <c:strRef>
              <c:f>'1.6E'!$R$4:$R$21</c:f>
              <c:strCache>
                <c:ptCount val="18"/>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strCache>
            </c:strRef>
          </c:cat>
          <c:val>
            <c:numRef>
              <c:f>'1.6E'!$V$4:$V$21</c:f>
              <c:numCache>
                <c:formatCode>0.00</c:formatCode>
                <c:ptCount val="18"/>
                <c:pt idx="0">
                  <c:v>-2.27</c:v>
                </c:pt>
                <c:pt idx="1">
                  <c:v>-1.94</c:v>
                </c:pt>
                <c:pt idx="2">
                  <c:v>-2.91</c:v>
                </c:pt>
                <c:pt idx="3">
                  <c:v>-3.45</c:v>
                </c:pt>
                <c:pt idx="4">
                  <c:v>-2.77</c:v>
                </c:pt>
                <c:pt idx="5">
                  <c:v>-2.23</c:v>
                </c:pt>
                <c:pt idx="6">
                  <c:v>-1.21</c:v>
                </c:pt>
                <c:pt idx="7">
                  <c:v>-1.54</c:v>
                </c:pt>
                <c:pt idx="8">
                  <c:v>0.06</c:v>
                </c:pt>
                <c:pt idx="9">
                  <c:v>0.47</c:v>
                </c:pt>
                <c:pt idx="10">
                  <c:v>1.19</c:v>
                </c:pt>
                <c:pt idx="11">
                  <c:v>1.25</c:v>
                </c:pt>
                <c:pt idx="12">
                  <c:v>1.73</c:v>
                </c:pt>
                <c:pt idx="13">
                  <c:v>1.46</c:v>
                </c:pt>
                <c:pt idx="14">
                  <c:v>0.81</c:v>
                </c:pt>
                <c:pt idx="15">
                  <c:v>-0.04</c:v>
                </c:pt>
                <c:pt idx="16">
                  <c:v>7.0000000000000007E-2</c:v>
                </c:pt>
              </c:numCache>
            </c:numRef>
          </c:val>
          <c:smooth val="0"/>
          <c:extLst>
            <c:ext xmlns:c16="http://schemas.microsoft.com/office/drawing/2014/chart" uri="{C3380CC4-5D6E-409C-BE32-E72D297353CC}">
              <c16:uniqueId val="{00000003-98B8-47E8-8637-2E12BBEA0D29}"/>
            </c:ext>
          </c:extLst>
        </c:ser>
        <c:dLbls>
          <c:showLegendKey val="0"/>
          <c:showVal val="0"/>
          <c:showCatName val="0"/>
          <c:showSerName val="0"/>
          <c:showPercent val="0"/>
          <c:showBubbleSize val="0"/>
        </c:dLbls>
        <c:smooth val="0"/>
        <c:axId val="349907327"/>
        <c:axId val="342099359"/>
        <c:extLst/>
      </c:lineChart>
      <c:catAx>
        <c:axId val="34990732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42099359"/>
        <c:crosses val="autoZero"/>
        <c:auto val="1"/>
        <c:lblAlgn val="ctr"/>
        <c:lblOffset val="100"/>
        <c:noMultiLvlLbl val="0"/>
      </c:catAx>
      <c:valAx>
        <c:axId val="342099359"/>
        <c:scaling>
          <c:orientation val="minMax"/>
          <c:max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49907327"/>
        <c:crosses val="autoZero"/>
        <c:crossBetween val="between"/>
      </c:valAx>
      <c:spPr>
        <a:noFill/>
        <a:ln w="25400">
          <a:noFill/>
        </a:ln>
        <a:effectLst/>
      </c:spPr>
    </c:plotArea>
    <c:legend>
      <c:legendPos val="t"/>
      <c:layout>
        <c:manualLayout>
          <c:xMode val="edge"/>
          <c:yMode val="edge"/>
          <c:x val="4.3687992125984253E-2"/>
          <c:y val="6.1186351706036743E-2"/>
          <c:w val="0.95631200787401571"/>
          <c:h val="9.7115631379410927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48518064395552E-2"/>
          <c:y val="0.13188066170627755"/>
          <c:w val="0.89635881452318455"/>
          <c:h val="0.75515928628187534"/>
        </c:manualLayout>
      </c:layout>
      <c:barChart>
        <c:barDir val="col"/>
        <c:grouping val="clustered"/>
        <c:varyColors val="0"/>
        <c:ser>
          <c:idx val="2"/>
          <c:order val="0"/>
          <c:tx>
            <c:strRef>
              <c:f>'1.6F'!$S$5</c:f>
              <c:strCache>
                <c:ptCount val="1"/>
                <c:pt idx="0">
                  <c:v>Mar-24</c:v>
                </c:pt>
              </c:strCache>
            </c:strRef>
          </c:tx>
          <c:spPr>
            <a:solidFill>
              <a:schemeClr val="tx2"/>
            </a:solidFill>
            <a:ln>
              <a:noFill/>
            </a:ln>
            <a:effectLst/>
          </c:spPr>
          <c:invertIfNegative val="0"/>
          <c:cat>
            <c:strRef>
              <c:f>'1.6F'!$R$6:$R$11</c:f>
              <c:strCache>
                <c:ptCount val="6"/>
                <c:pt idx="0">
                  <c:v>NPL</c:v>
                </c:pt>
                <c:pt idx="1">
                  <c:v>IND</c:v>
                </c:pt>
                <c:pt idx="2">
                  <c:v>BGD</c:v>
                </c:pt>
                <c:pt idx="3">
                  <c:v>LKA</c:v>
                </c:pt>
                <c:pt idx="4">
                  <c:v>MDV</c:v>
                </c:pt>
                <c:pt idx="5">
                  <c:v>PAK</c:v>
                </c:pt>
              </c:strCache>
            </c:strRef>
          </c:cat>
          <c:val>
            <c:numRef>
              <c:f>'1.6F'!$S$6:$S$11</c:f>
              <c:numCache>
                <c:formatCode>0.0</c:formatCode>
                <c:ptCount val="6"/>
                <c:pt idx="0">
                  <c:v>12.4</c:v>
                </c:pt>
                <c:pt idx="1">
                  <c:v>10</c:v>
                </c:pt>
                <c:pt idx="2">
                  <c:v>3.2</c:v>
                </c:pt>
                <c:pt idx="3">
                  <c:v>3.3</c:v>
                </c:pt>
                <c:pt idx="4">
                  <c:v>1.7</c:v>
                </c:pt>
                <c:pt idx="5">
                  <c:v>2.6</c:v>
                </c:pt>
              </c:numCache>
            </c:numRef>
          </c:val>
          <c:extLst>
            <c:ext xmlns:c16="http://schemas.microsoft.com/office/drawing/2014/chart" uri="{C3380CC4-5D6E-409C-BE32-E72D297353CC}">
              <c16:uniqueId val="{00000000-B836-4339-8C69-A844E15A2B4F}"/>
            </c:ext>
          </c:extLst>
        </c:ser>
        <c:ser>
          <c:idx val="0"/>
          <c:order val="1"/>
          <c:tx>
            <c:strRef>
              <c:f>'1.6F'!$T$4</c:f>
              <c:strCache>
                <c:ptCount val="1"/>
                <c:pt idx="0">
                  <c:v>Latest</c:v>
                </c:pt>
              </c:strCache>
            </c:strRef>
          </c:tx>
          <c:spPr>
            <a:solidFill>
              <a:schemeClr val="bg2"/>
            </a:solidFill>
            <a:ln w="76200">
              <a:noFill/>
            </a:ln>
            <a:effectLst/>
          </c:spPr>
          <c:invertIfNegative val="0"/>
          <c:cat>
            <c:strRef>
              <c:f>'1.6F'!$R$6:$R$11</c:f>
              <c:strCache>
                <c:ptCount val="6"/>
                <c:pt idx="0">
                  <c:v>NPL</c:v>
                </c:pt>
                <c:pt idx="1">
                  <c:v>IND</c:v>
                </c:pt>
                <c:pt idx="2">
                  <c:v>BGD</c:v>
                </c:pt>
                <c:pt idx="3">
                  <c:v>LKA</c:v>
                </c:pt>
                <c:pt idx="4">
                  <c:v>MDV</c:v>
                </c:pt>
                <c:pt idx="5">
                  <c:v>PAK</c:v>
                </c:pt>
              </c:strCache>
            </c:strRef>
          </c:cat>
          <c:val>
            <c:numRef>
              <c:f>'1.6F'!$T$6:$T$11</c:f>
              <c:numCache>
                <c:formatCode>0.0</c:formatCode>
                <c:ptCount val="6"/>
                <c:pt idx="0">
                  <c:v>13.3</c:v>
                </c:pt>
                <c:pt idx="1">
                  <c:v>10.3</c:v>
                </c:pt>
                <c:pt idx="2">
                  <c:v>3.5</c:v>
                </c:pt>
                <c:pt idx="3">
                  <c:v>3.6</c:v>
                </c:pt>
                <c:pt idx="4">
                  <c:v>0.9</c:v>
                </c:pt>
                <c:pt idx="5">
                  <c:v>3.1</c:v>
                </c:pt>
              </c:numCache>
            </c:numRef>
          </c:val>
          <c:extLst>
            <c:ext xmlns:c16="http://schemas.microsoft.com/office/drawing/2014/chart" uri="{C3380CC4-5D6E-409C-BE32-E72D297353CC}">
              <c16:uniqueId val="{00000001-B836-4339-8C69-A844E15A2B4F}"/>
            </c:ext>
          </c:extLst>
        </c:ser>
        <c:dLbls>
          <c:showLegendKey val="0"/>
          <c:showVal val="0"/>
          <c:showCatName val="0"/>
          <c:showSerName val="0"/>
          <c:showPercent val="0"/>
          <c:showBubbleSize val="0"/>
        </c:dLbls>
        <c:gapWidth val="150"/>
        <c:axId val="317433728"/>
        <c:axId val="32099663"/>
      </c:barChart>
      <c:lineChart>
        <c:grouping val="standard"/>
        <c:varyColors val="0"/>
        <c:ser>
          <c:idx val="1"/>
          <c:order val="2"/>
          <c:tx>
            <c:strRef>
              <c:f>'1.6F'!$U$4</c:f>
              <c:strCache>
                <c:ptCount val="1"/>
                <c:pt idx="0">
                  <c:v>Other EMDEs Mar-24</c:v>
                </c:pt>
              </c:strCache>
            </c:strRef>
          </c:tx>
          <c:spPr>
            <a:ln w="76200" cap="rnd">
              <a:solidFill>
                <a:schemeClr val="accent2"/>
              </a:solidFill>
              <a:round/>
            </a:ln>
            <a:effectLst/>
          </c:spPr>
          <c:marker>
            <c:symbol val="none"/>
          </c:marker>
          <c:cat>
            <c:strRef>
              <c:f>'1.6F'!$R$6:$R$11</c:f>
              <c:strCache>
                <c:ptCount val="6"/>
                <c:pt idx="0">
                  <c:v>NPL</c:v>
                </c:pt>
                <c:pt idx="1">
                  <c:v>IND</c:v>
                </c:pt>
                <c:pt idx="2">
                  <c:v>BGD</c:v>
                </c:pt>
                <c:pt idx="3">
                  <c:v>LKA</c:v>
                </c:pt>
                <c:pt idx="4">
                  <c:v>MDV</c:v>
                </c:pt>
                <c:pt idx="5">
                  <c:v>PAK</c:v>
                </c:pt>
              </c:strCache>
            </c:strRef>
          </c:cat>
          <c:val>
            <c:numRef>
              <c:f>'1.6F'!$U$6:$U$11</c:f>
              <c:numCache>
                <c:formatCode>0.0</c:formatCode>
                <c:ptCount val="6"/>
                <c:pt idx="0">
                  <c:v>6.3</c:v>
                </c:pt>
                <c:pt idx="1">
                  <c:v>6.3</c:v>
                </c:pt>
                <c:pt idx="2">
                  <c:v>6.3</c:v>
                </c:pt>
                <c:pt idx="3">
                  <c:v>6.3</c:v>
                </c:pt>
                <c:pt idx="4">
                  <c:v>6.3</c:v>
                </c:pt>
                <c:pt idx="5">
                  <c:v>6.3</c:v>
                </c:pt>
              </c:numCache>
            </c:numRef>
          </c:val>
          <c:smooth val="0"/>
          <c:extLst>
            <c:ext xmlns:c16="http://schemas.microsoft.com/office/drawing/2014/chart" uri="{C3380CC4-5D6E-409C-BE32-E72D297353CC}">
              <c16:uniqueId val="{00000002-B836-4339-8C69-A844E15A2B4F}"/>
            </c:ext>
          </c:extLst>
        </c:ser>
        <c:ser>
          <c:idx val="3"/>
          <c:order val="3"/>
          <c:tx>
            <c:strRef>
              <c:f>'1.6F'!$V$4</c:f>
              <c:strCache>
                <c:ptCount val="1"/>
                <c:pt idx="0">
                  <c:v>Other EMDEs latest</c:v>
                </c:pt>
              </c:strCache>
            </c:strRef>
          </c:tx>
          <c:spPr>
            <a:ln w="76200" cap="rnd">
              <a:solidFill>
                <a:schemeClr val="accent2"/>
              </a:solidFill>
              <a:prstDash val="sysDash"/>
              <a:round/>
            </a:ln>
            <a:effectLst/>
          </c:spPr>
          <c:marker>
            <c:symbol val="none"/>
          </c:marker>
          <c:cat>
            <c:strRef>
              <c:f>'1.6F'!$R$6:$R$11</c:f>
              <c:strCache>
                <c:ptCount val="6"/>
                <c:pt idx="0">
                  <c:v>NPL</c:v>
                </c:pt>
                <c:pt idx="1">
                  <c:v>IND</c:v>
                </c:pt>
                <c:pt idx="2">
                  <c:v>BGD</c:v>
                </c:pt>
                <c:pt idx="3">
                  <c:v>LKA</c:v>
                </c:pt>
                <c:pt idx="4">
                  <c:v>MDV</c:v>
                </c:pt>
                <c:pt idx="5">
                  <c:v>PAK</c:v>
                </c:pt>
              </c:strCache>
            </c:strRef>
          </c:cat>
          <c:val>
            <c:numRef>
              <c:f>'1.6F'!$V$6:$V$11</c:f>
              <c:numCache>
                <c:formatCode>0.0</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3-B836-4339-8C69-A844E15A2B4F}"/>
            </c:ext>
          </c:extLst>
        </c:ser>
        <c:dLbls>
          <c:showLegendKey val="0"/>
          <c:showVal val="0"/>
          <c:showCatName val="0"/>
          <c:showSerName val="0"/>
          <c:showPercent val="0"/>
          <c:showBubbleSize val="0"/>
        </c:dLbls>
        <c:marker val="1"/>
        <c:smooth val="0"/>
        <c:axId val="317433728"/>
        <c:axId val="32099663"/>
      </c:lineChart>
      <c:catAx>
        <c:axId val="31743372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2099663"/>
        <c:crosses val="autoZero"/>
        <c:auto val="1"/>
        <c:lblAlgn val="ctr"/>
        <c:lblOffset val="100"/>
        <c:noMultiLvlLbl val="0"/>
      </c:catAx>
      <c:valAx>
        <c:axId val="320996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17433728"/>
        <c:crosses val="autoZero"/>
        <c:crossBetween val="between"/>
        <c:majorUnit val="2"/>
      </c:valAx>
      <c:spPr>
        <a:noFill/>
        <a:ln>
          <a:noFill/>
        </a:ln>
        <a:effectLst/>
      </c:spPr>
    </c:plotArea>
    <c:legend>
      <c:legendPos val="r"/>
      <c:layout>
        <c:manualLayout>
          <c:xMode val="edge"/>
          <c:yMode val="edge"/>
          <c:x val="0.36699901885448621"/>
          <c:y val="7.2333845269991287E-2"/>
          <c:w val="0.53028693578751629"/>
          <c:h val="0.25032744601548801"/>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03711505142947E-2"/>
          <c:y val="0.12144699577641831"/>
          <c:w val="0.91388558723452895"/>
          <c:h val="0.54152644356651447"/>
        </c:manualLayout>
      </c:layout>
      <c:barChart>
        <c:barDir val="col"/>
        <c:grouping val="clustered"/>
        <c:varyColors val="0"/>
        <c:ser>
          <c:idx val="0"/>
          <c:order val="0"/>
          <c:tx>
            <c:strRef>
              <c:f>'1.1A'!$U$3</c:f>
              <c:strCache>
                <c:ptCount val="1"/>
                <c:pt idx="0">
                  <c:v>Current forecast</c:v>
                </c:pt>
              </c:strCache>
            </c:strRef>
          </c:tx>
          <c:spPr>
            <a:solidFill>
              <a:schemeClr val="bg2"/>
            </a:solidFill>
            <a:ln w="76200">
              <a:noFill/>
            </a:ln>
            <a:effectLst/>
          </c:spPr>
          <c:invertIfNegative val="0"/>
          <c:dPt>
            <c:idx val="0"/>
            <c:invertIfNegative val="0"/>
            <c:bubble3D val="0"/>
            <c:spPr>
              <a:solidFill>
                <a:schemeClr val="bg2"/>
              </a:solidFill>
              <a:ln w="76200">
                <a:noFill/>
              </a:ln>
              <a:effectLst/>
            </c:spPr>
            <c:extLst>
              <c:ext xmlns:c16="http://schemas.microsoft.com/office/drawing/2014/chart" uri="{C3380CC4-5D6E-409C-BE32-E72D297353CC}">
                <c16:uniqueId val="{00000001-BBF5-4691-AC4E-09311D9948CF}"/>
              </c:ext>
            </c:extLst>
          </c:dPt>
          <c:dPt>
            <c:idx val="1"/>
            <c:invertIfNegative val="0"/>
            <c:bubble3D val="0"/>
            <c:spPr>
              <a:solidFill>
                <a:schemeClr val="bg2"/>
              </a:solidFill>
              <a:ln w="76200">
                <a:noFill/>
              </a:ln>
              <a:effectLst/>
            </c:spPr>
            <c:extLst>
              <c:ext xmlns:c16="http://schemas.microsoft.com/office/drawing/2014/chart" uri="{C3380CC4-5D6E-409C-BE32-E72D297353CC}">
                <c16:uniqueId val="{00000003-BBF5-4691-AC4E-09311D9948CF}"/>
              </c:ext>
            </c:extLst>
          </c:dPt>
          <c:dPt>
            <c:idx val="2"/>
            <c:invertIfNegative val="0"/>
            <c:bubble3D val="0"/>
            <c:spPr>
              <a:solidFill>
                <a:schemeClr val="bg2"/>
              </a:solidFill>
              <a:ln w="76200">
                <a:noFill/>
              </a:ln>
              <a:effectLst/>
            </c:spPr>
            <c:extLst>
              <c:ext xmlns:c16="http://schemas.microsoft.com/office/drawing/2014/chart" uri="{C3380CC4-5D6E-409C-BE32-E72D297353CC}">
                <c16:uniqueId val="{00000005-BBF5-4691-AC4E-09311D9948CF}"/>
              </c:ext>
            </c:extLst>
          </c:dPt>
          <c:dPt>
            <c:idx val="3"/>
            <c:invertIfNegative val="0"/>
            <c:bubble3D val="0"/>
            <c:spPr>
              <a:solidFill>
                <a:schemeClr val="bg2"/>
              </a:solidFill>
              <a:ln w="76200">
                <a:noFill/>
              </a:ln>
              <a:effectLst/>
            </c:spPr>
            <c:extLst>
              <c:ext xmlns:c16="http://schemas.microsoft.com/office/drawing/2014/chart" uri="{C3380CC4-5D6E-409C-BE32-E72D297353CC}">
                <c16:uniqueId val="{00000007-BBF5-4691-AC4E-09311D9948CF}"/>
              </c:ext>
            </c:extLst>
          </c:dPt>
          <c:cat>
            <c:multiLvlStrRef>
              <c:f>'1.1A'!$R$4:$S$11</c:f>
              <c:multiLvlStrCache>
                <c:ptCount val="8"/>
                <c:lvl>
                  <c:pt idx="0">
                    <c:v>2023</c:v>
                  </c:pt>
                  <c:pt idx="1">
                    <c:v>2024e</c:v>
                  </c:pt>
                  <c:pt idx="2">
                    <c:v>2025f</c:v>
                  </c:pt>
                  <c:pt idx="3">
                    <c:v>2026f</c:v>
                  </c:pt>
                  <c:pt idx="4">
                    <c:v>2023</c:v>
                  </c:pt>
                  <c:pt idx="5">
                    <c:v>2024e</c:v>
                  </c:pt>
                  <c:pt idx="6">
                    <c:v>2025f</c:v>
                  </c:pt>
                  <c:pt idx="7">
                    <c:v>2026f</c:v>
                  </c:pt>
                </c:lvl>
                <c:lvl>
                  <c:pt idx="0">
                    <c:v>SAR</c:v>
                  </c:pt>
                  <c:pt idx="4">
                    <c:v>Other EMDEs (RHS)</c:v>
                  </c:pt>
                </c:lvl>
              </c:multiLvlStrCache>
            </c:multiLvlStrRef>
          </c:cat>
          <c:val>
            <c:numRef>
              <c:f>'1.1A'!$U$4:$U$11</c:f>
              <c:numCache>
                <c:formatCode>0.0</c:formatCode>
                <c:ptCount val="8"/>
                <c:pt idx="0">
                  <c:v>6.6</c:v>
                </c:pt>
                <c:pt idx="1">
                  <c:v>6.4</c:v>
                </c:pt>
                <c:pt idx="2">
                  <c:v>6.2</c:v>
                </c:pt>
                <c:pt idx="3">
                  <c:v>6.2</c:v>
                </c:pt>
              </c:numCache>
            </c:numRef>
          </c:val>
          <c:extLst>
            <c:ext xmlns:c16="http://schemas.microsoft.com/office/drawing/2014/chart" uri="{C3380CC4-5D6E-409C-BE32-E72D297353CC}">
              <c16:uniqueId val="{00000008-BBF5-4691-AC4E-09311D9948CF}"/>
            </c:ext>
          </c:extLst>
        </c:ser>
        <c:dLbls>
          <c:showLegendKey val="0"/>
          <c:showVal val="0"/>
          <c:showCatName val="0"/>
          <c:showSerName val="0"/>
          <c:showPercent val="0"/>
          <c:showBubbleSize val="0"/>
        </c:dLbls>
        <c:gapWidth val="150"/>
        <c:axId val="79192511"/>
        <c:axId val="79193951"/>
      </c:barChart>
      <c:barChart>
        <c:barDir val="col"/>
        <c:grouping val="clustered"/>
        <c:varyColors val="0"/>
        <c:ser>
          <c:idx val="2"/>
          <c:order val="2"/>
          <c:tx>
            <c:strRef>
              <c:f>'1.1A'!$W$3</c:f>
              <c:strCache>
                <c:ptCount val="1"/>
                <c:pt idx="0">
                  <c:v>Current forecast</c:v>
                </c:pt>
              </c:strCache>
            </c:strRef>
          </c:tx>
          <c:spPr>
            <a:solidFill>
              <a:srgbClr val="002345"/>
            </a:solidFill>
            <a:ln w="25400">
              <a:noFill/>
            </a:ln>
            <a:effectLst/>
          </c:spPr>
          <c:invertIfNegative val="0"/>
          <c:val>
            <c:numRef>
              <c:f>'1.1A'!$W$4:$W$11</c:f>
              <c:numCache>
                <c:formatCode>0.0</c:formatCode>
                <c:ptCount val="8"/>
                <c:pt idx="4">
                  <c:v>4</c:v>
                </c:pt>
                <c:pt idx="5">
                  <c:v>3.8</c:v>
                </c:pt>
                <c:pt idx="6">
                  <c:v>3.7</c:v>
                </c:pt>
                <c:pt idx="7">
                  <c:v>3.8</c:v>
                </c:pt>
              </c:numCache>
            </c:numRef>
          </c:val>
          <c:extLst>
            <c:ext xmlns:c16="http://schemas.microsoft.com/office/drawing/2014/chart" uri="{C3380CC4-5D6E-409C-BE32-E72D297353CC}">
              <c16:uniqueId val="{00000009-BBF5-4691-AC4E-09311D9948CF}"/>
            </c:ext>
          </c:extLst>
        </c:ser>
        <c:dLbls>
          <c:showLegendKey val="0"/>
          <c:showVal val="0"/>
          <c:showCatName val="0"/>
          <c:showSerName val="0"/>
          <c:showPercent val="0"/>
          <c:showBubbleSize val="0"/>
        </c:dLbls>
        <c:gapWidth val="150"/>
        <c:axId val="667734608"/>
        <c:axId val="667719248"/>
      </c:barChart>
      <c:scatterChart>
        <c:scatterStyle val="lineMarker"/>
        <c:varyColors val="0"/>
        <c:ser>
          <c:idx val="1"/>
          <c:order val="1"/>
          <c:tx>
            <c:strRef>
              <c:f>'1.1A'!$T$3</c:f>
              <c:strCache>
                <c:ptCount val="1"/>
                <c:pt idx="0">
                  <c:v>April 2024 forecast</c:v>
                </c:pt>
              </c:strCache>
            </c:strRef>
          </c:tx>
          <c:spPr>
            <a:ln w="25400" cap="rnd">
              <a:noFill/>
              <a:round/>
            </a:ln>
            <a:effectLst/>
          </c:spPr>
          <c:marker>
            <c:symbol val="diamond"/>
            <c:size val="25"/>
            <c:spPr>
              <a:solidFill>
                <a:schemeClr val="accent2"/>
              </a:solidFill>
              <a:ln w="9525">
                <a:noFill/>
              </a:ln>
              <a:effectLst/>
            </c:spPr>
          </c:marker>
          <c:yVal>
            <c:numRef>
              <c:f>'1.1A'!$T$4:$T$11</c:f>
              <c:numCache>
                <c:formatCode>0.0</c:formatCode>
                <c:ptCount val="8"/>
                <c:pt idx="0">
                  <c:v>6.6</c:v>
                </c:pt>
                <c:pt idx="1">
                  <c:v>6</c:v>
                </c:pt>
                <c:pt idx="2">
                  <c:v>6.1</c:v>
                </c:pt>
              </c:numCache>
            </c:numRef>
          </c:yVal>
          <c:smooth val="0"/>
          <c:extLst>
            <c:ext xmlns:c16="http://schemas.microsoft.com/office/drawing/2014/chart" uri="{C3380CC4-5D6E-409C-BE32-E72D297353CC}">
              <c16:uniqueId val="{0000000A-BBF5-4691-AC4E-09311D9948CF}"/>
            </c:ext>
          </c:extLst>
        </c:ser>
        <c:dLbls>
          <c:showLegendKey val="0"/>
          <c:showVal val="0"/>
          <c:showCatName val="0"/>
          <c:showSerName val="0"/>
          <c:showPercent val="0"/>
          <c:showBubbleSize val="0"/>
        </c:dLbls>
        <c:axId val="79192511"/>
        <c:axId val="79193951"/>
      </c:scatterChart>
      <c:scatterChart>
        <c:scatterStyle val="lineMarker"/>
        <c:varyColors val="0"/>
        <c:ser>
          <c:idx val="3"/>
          <c:order val="3"/>
          <c:tx>
            <c:strRef>
              <c:f>'1.1A'!$V$3</c:f>
              <c:strCache>
                <c:ptCount val="1"/>
                <c:pt idx="0">
                  <c:v>April 2024 forecast</c:v>
                </c:pt>
              </c:strCache>
            </c:strRef>
          </c:tx>
          <c:spPr>
            <a:ln w="25400" cap="rnd">
              <a:noFill/>
              <a:round/>
            </a:ln>
            <a:effectLst/>
          </c:spPr>
          <c:marker>
            <c:symbol val="diamond"/>
            <c:size val="25"/>
            <c:spPr>
              <a:solidFill>
                <a:schemeClr val="accent2"/>
              </a:solidFill>
              <a:ln w="9525">
                <a:noFill/>
              </a:ln>
              <a:effectLst/>
            </c:spPr>
          </c:marker>
          <c:yVal>
            <c:numRef>
              <c:f>'1.1A'!$V$4:$V$11</c:f>
              <c:numCache>
                <c:formatCode>0.0</c:formatCode>
                <c:ptCount val="8"/>
                <c:pt idx="4">
                  <c:v>3.9</c:v>
                </c:pt>
                <c:pt idx="5">
                  <c:v>3.5</c:v>
                </c:pt>
                <c:pt idx="6">
                  <c:v>3.8</c:v>
                </c:pt>
              </c:numCache>
            </c:numRef>
          </c:yVal>
          <c:smooth val="0"/>
          <c:extLst>
            <c:ext xmlns:c16="http://schemas.microsoft.com/office/drawing/2014/chart" uri="{C3380CC4-5D6E-409C-BE32-E72D297353CC}">
              <c16:uniqueId val="{0000000B-BBF5-4691-AC4E-09311D9948CF}"/>
            </c:ext>
          </c:extLst>
        </c:ser>
        <c:dLbls>
          <c:showLegendKey val="0"/>
          <c:showVal val="0"/>
          <c:showCatName val="0"/>
          <c:showSerName val="0"/>
          <c:showPercent val="0"/>
          <c:showBubbleSize val="0"/>
        </c:dLbls>
        <c:axId val="667734608"/>
        <c:axId val="667719248"/>
      </c:scatterChart>
      <c:catAx>
        <c:axId val="7919251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93951"/>
        <c:crosses val="autoZero"/>
        <c:auto val="1"/>
        <c:lblAlgn val="ctr"/>
        <c:lblOffset val="100"/>
        <c:noMultiLvlLbl val="0"/>
      </c:catAx>
      <c:valAx>
        <c:axId val="79193951"/>
        <c:scaling>
          <c:orientation val="minMax"/>
          <c:max val="7"/>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92511"/>
        <c:crosses val="autoZero"/>
        <c:crossBetween val="between"/>
        <c:majorUnit val="0.5"/>
      </c:valAx>
      <c:valAx>
        <c:axId val="667719248"/>
        <c:scaling>
          <c:orientation val="minMax"/>
          <c:max val="5"/>
          <c:min val="3"/>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7734608"/>
        <c:crosses val="max"/>
        <c:crossBetween val="between"/>
        <c:majorUnit val="0.5"/>
      </c:valAx>
      <c:catAx>
        <c:axId val="667734608"/>
        <c:scaling>
          <c:orientation val="minMax"/>
        </c:scaling>
        <c:delete val="1"/>
        <c:axPos val="b"/>
        <c:majorTickMark val="out"/>
        <c:minorTickMark val="none"/>
        <c:tickLblPos val="nextTo"/>
        <c:crossAx val="667719248"/>
        <c:crosses val="autoZero"/>
        <c:auto val="1"/>
        <c:lblAlgn val="ctr"/>
        <c:lblOffset val="100"/>
        <c:noMultiLvlLbl val="0"/>
      </c:catAx>
      <c:spPr>
        <a:noFill/>
        <a:ln>
          <a:noFill/>
        </a:ln>
        <a:effectLst/>
      </c:spPr>
    </c:plotArea>
    <c:legend>
      <c:legendPos val="r"/>
      <c:legendEntry>
        <c:idx val="1"/>
        <c:delete val="1"/>
      </c:legendEntry>
      <c:legendEntry>
        <c:idx val="2"/>
        <c:delete val="1"/>
      </c:legendEntry>
      <c:layout>
        <c:manualLayout>
          <c:xMode val="edge"/>
          <c:yMode val="edge"/>
          <c:x val="0.26504604111986002"/>
          <c:y val="4.4906969962088095E-2"/>
          <c:w val="0.57952810586176728"/>
          <c:h val="0.15584476316038665"/>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739107611548559E-2"/>
          <c:y val="0.16918872581850003"/>
          <c:w val="0.91182229589722341"/>
          <c:h val="0.62039555058733431"/>
        </c:manualLayout>
      </c:layout>
      <c:barChart>
        <c:barDir val="col"/>
        <c:grouping val="stacked"/>
        <c:varyColors val="0"/>
        <c:ser>
          <c:idx val="0"/>
          <c:order val="0"/>
          <c:tx>
            <c:strRef>
              <c:f>'1.7B'!$R$3</c:f>
              <c:strCache>
                <c:ptCount val="1"/>
                <c:pt idx="0">
                  <c:v>Upgrades</c:v>
                </c:pt>
              </c:strCache>
            </c:strRef>
          </c:tx>
          <c:spPr>
            <a:solidFill>
              <a:schemeClr val="tx2"/>
            </a:solidFill>
            <a:ln>
              <a:noFill/>
            </a:ln>
            <a:effectLst/>
          </c:spPr>
          <c:invertIfNegative val="0"/>
          <c:cat>
            <c:strRef>
              <c:f>'1.7B'!$U$4:$U$5</c:f>
              <c:strCache>
                <c:ptCount val="2"/>
                <c:pt idx="0">
                  <c:v>2024
(FY23/24)</c:v>
                </c:pt>
                <c:pt idx="1">
                  <c:v>2025
(FY24/25)</c:v>
                </c:pt>
              </c:strCache>
            </c:strRef>
          </c:cat>
          <c:val>
            <c:numRef>
              <c:f>'1.7B'!$R$4:$R$5</c:f>
              <c:numCache>
                <c:formatCode>General</c:formatCode>
                <c:ptCount val="2"/>
                <c:pt idx="0">
                  <c:v>5</c:v>
                </c:pt>
                <c:pt idx="1">
                  <c:v>5</c:v>
                </c:pt>
              </c:numCache>
            </c:numRef>
          </c:val>
          <c:extLst>
            <c:ext xmlns:c16="http://schemas.microsoft.com/office/drawing/2014/chart" uri="{C3380CC4-5D6E-409C-BE32-E72D297353CC}">
              <c16:uniqueId val="{00000000-C494-4980-8E2E-E40F293C9E6D}"/>
            </c:ext>
          </c:extLst>
        </c:ser>
        <c:ser>
          <c:idx val="1"/>
          <c:order val="1"/>
          <c:tx>
            <c:strRef>
              <c:f>'1.7B'!$S$3</c:f>
              <c:strCache>
                <c:ptCount val="1"/>
                <c:pt idx="0">
                  <c:v>No change</c:v>
                </c:pt>
              </c:strCache>
            </c:strRef>
          </c:tx>
          <c:spPr>
            <a:solidFill>
              <a:schemeClr val="accent2"/>
            </a:solidFill>
            <a:ln>
              <a:noFill/>
            </a:ln>
            <a:effectLst/>
          </c:spPr>
          <c:invertIfNegative val="0"/>
          <c:cat>
            <c:strRef>
              <c:f>'1.7B'!$U$4:$U$5</c:f>
              <c:strCache>
                <c:ptCount val="2"/>
                <c:pt idx="0">
                  <c:v>2024
(FY23/24)</c:v>
                </c:pt>
                <c:pt idx="1">
                  <c:v>2025
(FY24/25)</c:v>
                </c:pt>
              </c:strCache>
            </c:strRef>
          </c:cat>
          <c:val>
            <c:numRef>
              <c:f>'1.7B'!$S$4:$S$5</c:f>
              <c:numCache>
                <c:formatCode>General</c:formatCode>
                <c:ptCount val="2"/>
                <c:pt idx="0">
                  <c:v>1</c:v>
                </c:pt>
                <c:pt idx="1">
                  <c:v>0</c:v>
                </c:pt>
              </c:numCache>
            </c:numRef>
          </c:val>
          <c:extLst>
            <c:ext xmlns:c16="http://schemas.microsoft.com/office/drawing/2014/chart" uri="{C3380CC4-5D6E-409C-BE32-E72D297353CC}">
              <c16:uniqueId val="{00000001-C494-4980-8E2E-E40F293C9E6D}"/>
            </c:ext>
          </c:extLst>
        </c:ser>
        <c:ser>
          <c:idx val="2"/>
          <c:order val="2"/>
          <c:tx>
            <c:strRef>
              <c:f>'1.7B'!$T$3</c:f>
              <c:strCache>
                <c:ptCount val="1"/>
                <c:pt idx="0">
                  <c:v>Downgrades</c:v>
                </c:pt>
              </c:strCache>
            </c:strRef>
          </c:tx>
          <c:spPr>
            <a:solidFill>
              <a:schemeClr val="bg2"/>
            </a:solidFill>
            <a:ln>
              <a:noFill/>
            </a:ln>
            <a:effectLst/>
          </c:spPr>
          <c:invertIfNegative val="0"/>
          <c:cat>
            <c:strRef>
              <c:f>'1.7B'!$U$4:$U$5</c:f>
              <c:strCache>
                <c:ptCount val="2"/>
                <c:pt idx="0">
                  <c:v>2024
(FY23/24)</c:v>
                </c:pt>
                <c:pt idx="1">
                  <c:v>2025
(FY24/25)</c:v>
                </c:pt>
              </c:strCache>
            </c:strRef>
          </c:cat>
          <c:val>
            <c:numRef>
              <c:f>'1.7B'!$T$4:$T$5</c:f>
              <c:numCache>
                <c:formatCode>General</c:formatCode>
                <c:ptCount val="2"/>
                <c:pt idx="0">
                  <c:v>1</c:v>
                </c:pt>
                <c:pt idx="1">
                  <c:v>2</c:v>
                </c:pt>
              </c:numCache>
            </c:numRef>
          </c:val>
          <c:extLst>
            <c:ext xmlns:c16="http://schemas.microsoft.com/office/drawing/2014/chart" uri="{C3380CC4-5D6E-409C-BE32-E72D297353CC}">
              <c16:uniqueId val="{00000002-C494-4980-8E2E-E40F293C9E6D}"/>
            </c:ext>
          </c:extLst>
        </c:ser>
        <c:dLbls>
          <c:showLegendKey val="0"/>
          <c:showVal val="0"/>
          <c:showCatName val="0"/>
          <c:showSerName val="0"/>
          <c:showPercent val="0"/>
          <c:showBubbleSize val="0"/>
        </c:dLbls>
        <c:gapWidth val="150"/>
        <c:overlap val="100"/>
        <c:axId val="86358160"/>
        <c:axId val="86351440"/>
      </c:barChart>
      <c:catAx>
        <c:axId val="8635816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6351440"/>
        <c:crosses val="autoZero"/>
        <c:auto val="1"/>
        <c:lblAlgn val="ctr"/>
        <c:lblOffset val="100"/>
        <c:noMultiLvlLbl val="0"/>
      </c:catAx>
      <c:valAx>
        <c:axId val="86351440"/>
        <c:scaling>
          <c:orientation val="minMax"/>
          <c:max val="7"/>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6358160"/>
        <c:crosses val="autoZero"/>
        <c:crossBetween val="between"/>
      </c:valAx>
      <c:spPr>
        <a:noFill/>
        <a:ln>
          <a:noFill/>
        </a:ln>
        <a:effectLst/>
      </c:spPr>
    </c:plotArea>
    <c:legend>
      <c:legendPos val="b"/>
      <c:layout>
        <c:manualLayout>
          <c:xMode val="edge"/>
          <c:yMode val="edge"/>
          <c:x val="9.5311132983377081E-2"/>
          <c:y val="7.5653834937299505E-2"/>
          <c:w val="0.89480221657881076"/>
          <c:h val="8.1658028093904295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159310853202123E-2"/>
          <c:y val="0.12585008538302525"/>
          <c:w val="0.89867219782752894"/>
          <c:h val="0.54051932894487753"/>
        </c:manualLayout>
      </c:layout>
      <c:barChart>
        <c:barDir val="col"/>
        <c:grouping val="stacked"/>
        <c:varyColors val="0"/>
        <c:ser>
          <c:idx val="0"/>
          <c:order val="0"/>
          <c:tx>
            <c:strRef>
              <c:f>'1.7C'!$U$3</c:f>
              <c:strCache>
                <c:ptCount val="1"/>
                <c:pt idx="0">
                  <c:v>Domestic demand</c:v>
                </c:pt>
              </c:strCache>
            </c:strRef>
          </c:tx>
          <c:spPr>
            <a:solidFill>
              <a:srgbClr val="002345"/>
            </a:solidFill>
            <a:ln w="76200">
              <a:noFill/>
            </a:ln>
            <a:effectLst/>
          </c:spPr>
          <c:invertIfNegative val="0"/>
          <c:cat>
            <c:multiLvlStrRef>
              <c:f>'1.7C'!$R$4:$S$11</c:f>
              <c:multiLvlStrCache>
                <c:ptCount val="8"/>
                <c:lvl>
                  <c:pt idx="0">
                    <c:v>2023</c:v>
                  </c:pt>
                  <c:pt idx="1">
                    <c:v>2024e</c:v>
                  </c:pt>
                  <c:pt idx="2">
                    <c:v>2025f</c:v>
                  </c:pt>
                  <c:pt idx="3">
                    <c:v>2026f</c:v>
                  </c:pt>
                  <c:pt idx="4">
                    <c:v>2023</c:v>
                  </c:pt>
                  <c:pt idx="5">
                    <c:v>2024e</c:v>
                  </c:pt>
                  <c:pt idx="6">
                    <c:v>2025f</c:v>
                  </c:pt>
                  <c:pt idx="7">
                    <c:v>2026f</c:v>
                  </c:pt>
                </c:lvl>
                <c:lvl>
                  <c:pt idx="0">
                    <c:v>SAR</c:v>
                  </c:pt>
                  <c:pt idx="4">
                    <c:v>EMDEs excl. SAR</c:v>
                  </c:pt>
                </c:lvl>
              </c:multiLvlStrCache>
            </c:multiLvlStrRef>
          </c:cat>
          <c:val>
            <c:numRef>
              <c:f>'1.7C'!$U$4:$U$11</c:f>
              <c:numCache>
                <c:formatCode>0.0</c:formatCode>
                <c:ptCount val="8"/>
                <c:pt idx="0">
                  <c:v>7.8</c:v>
                </c:pt>
                <c:pt idx="1">
                  <c:v>5.7</c:v>
                </c:pt>
                <c:pt idx="2">
                  <c:v>6.2</c:v>
                </c:pt>
                <c:pt idx="3">
                  <c:v>6.3</c:v>
                </c:pt>
                <c:pt idx="4">
                  <c:v>4.5999999999999996</c:v>
                </c:pt>
                <c:pt idx="5">
                  <c:v>3.6</c:v>
                </c:pt>
                <c:pt idx="6">
                  <c:v>3.7</c:v>
                </c:pt>
                <c:pt idx="7">
                  <c:v>3.7</c:v>
                </c:pt>
              </c:numCache>
            </c:numRef>
          </c:val>
          <c:extLst>
            <c:ext xmlns:c16="http://schemas.microsoft.com/office/drawing/2014/chart" uri="{C3380CC4-5D6E-409C-BE32-E72D297353CC}">
              <c16:uniqueId val="{00000000-22DA-488A-839D-0B15213A6E8C}"/>
            </c:ext>
          </c:extLst>
        </c:ser>
        <c:ser>
          <c:idx val="1"/>
          <c:order val="1"/>
          <c:tx>
            <c:strRef>
              <c:f>'1.7C'!$V$3</c:f>
              <c:strCache>
                <c:ptCount val="1"/>
                <c:pt idx="0">
                  <c:v>External demand</c:v>
                </c:pt>
              </c:strCache>
            </c:strRef>
          </c:tx>
          <c:spPr>
            <a:solidFill>
              <a:srgbClr val="EB1C2D"/>
            </a:solidFill>
            <a:ln w="76200">
              <a:noFill/>
            </a:ln>
            <a:effectLst/>
          </c:spPr>
          <c:invertIfNegative val="0"/>
          <c:cat>
            <c:multiLvlStrRef>
              <c:f>'1.7C'!$R$4:$S$11</c:f>
              <c:multiLvlStrCache>
                <c:ptCount val="8"/>
                <c:lvl>
                  <c:pt idx="0">
                    <c:v>2023</c:v>
                  </c:pt>
                  <c:pt idx="1">
                    <c:v>2024e</c:v>
                  </c:pt>
                  <c:pt idx="2">
                    <c:v>2025f</c:v>
                  </c:pt>
                  <c:pt idx="3">
                    <c:v>2026f</c:v>
                  </c:pt>
                  <c:pt idx="4">
                    <c:v>2023</c:v>
                  </c:pt>
                  <c:pt idx="5">
                    <c:v>2024e</c:v>
                  </c:pt>
                  <c:pt idx="6">
                    <c:v>2025f</c:v>
                  </c:pt>
                  <c:pt idx="7">
                    <c:v>2026f</c:v>
                  </c:pt>
                </c:lvl>
                <c:lvl>
                  <c:pt idx="0">
                    <c:v>SAR</c:v>
                  </c:pt>
                  <c:pt idx="4">
                    <c:v>EMDEs excl. SAR</c:v>
                  </c:pt>
                </c:lvl>
              </c:multiLvlStrCache>
            </c:multiLvlStrRef>
          </c:cat>
          <c:val>
            <c:numRef>
              <c:f>'1.7C'!$V$4:$V$11</c:f>
              <c:numCache>
                <c:formatCode>0.0</c:formatCode>
                <c:ptCount val="8"/>
                <c:pt idx="0">
                  <c:v>-1.2</c:v>
                </c:pt>
                <c:pt idx="1">
                  <c:v>0.6</c:v>
                </c:pt>
                <c:pt idx="2">
                  <c:v>-0.1</c:v>
                </c:pt>
                <c:pt idx="3">
                  <c:v>-0.2</c:v>
                </c:pt>
                <c:pt idx="4">
                  <c:v>-0.7</c:v>
                </c:pt>
                <c:pt idx="5">
                  <c:v>0.1</c:v>
                </c:pt>
                <c:pt idx="6">
                  <c:v>0</c:v>
                </c:pt>
                <c:pt idx="7">
                  <c:v>0</c:v>
                </c:pt>
              </c:numCache>
            </c:numRef>
          </c:val>
          <c:extLst>
            <c:ext xmlns:c16="http://schemas.microsoft.com/office/drawing/2014/chart" uri="{C3380CC4-5D6E-409C-BE32-E72D297353CC}">
              <c16:uniqueId val="{00000001-22DA-488A-839D-0B15213A6E8C}"/>
            </c:ext>
          </c:extLst>
        </c:ser>
        <c:dLbls>
          <c:showLegendKey val="0"/>
          <c:showVal val="0"/>
          <c:showCatName val="0"/>
          <c:showSerName val="0"/>
          <c:showPercent val="0"/>
          <c:showBubbleSize val="0"/>
        </c:dLbls>
        <c:gapWidth val="150"/>
        <c:overlap val="100"/>
        <c:axId val="1267187247"/>
        <c:axId val="1267185807"/>
      </c:barChart>
      <c:lineChart>
        <c:grouping val="stacked"/>
        <c:varyColors val="0"/>
        <c:ser>
          <c:idx val="2"/>
          <c:order val="2"/>
          <c:tx>
            <c:strRef>
              <c:f>'1.7C'!$T$3</c:f>
              <c:strCache>
                <c:ptCount val="1"/>
                <c:pt idx="0">
                  <c:v>GDP Growth</c:v>
                </c:pt>
              </c:strCache>
            </c:strRef>
          </c:tx>
          <c:spPr>
            <a:ln w="28575" cap="rnd">
              <a:noFill/>
              <a:round/>
            </a:ln>
            <a:effectLst/>
          </c:spPr>
          <c:marker>
            <c:symbol val="diamond"/>
            <c:size val="25"/>
            <c:spPr>
              <a:solidFill>
                <a:schemeClr val="accent2"/>
              </a:solidFill>
              <a:ln w="9525">
                <a:noFill/>
              </a:ln>
              <a:effectLst/>
            </c:spPr>
          </c:marker>
          <c:cat>
            <c:multiLvlStrRef>
              <c:f>'1.7C'!$R$4:$S$11</c:f>
              <c:multiLvlStrCache>
                <c:ptCount val="8"/>
                <c:lvl>
                  <c:pt idx="0">
                    <c:v>2023</c:v>
                  </c:pt>
                  <c:pt idx="1">
                    <c:v>2024e</c:v>
                  </c:pt>
                  <c:pt idx="2">
                    <c:v>2025f</c:v>
                  </c:pt>
                  <c:pt idx="3">
                    <c:v>2026f</c:v>
                  </c:pt>
                  <c:pt idx="4">
                    <c:v>2023</c:v>
                  </c:pt>
                  <c:pt idx="5">
                    <c:v>2024e</c:v>
                  </c:pt>
                  <c:pt idx="6">
                    <c:v>2025f</c:v>
                  </c:pt>
                  <c:pt idx="7">
                    <c:v>2026f</c:v>
                  </c:pt>
                </c:lvl>
                <c:lvl>
                  <c:pt idx="0">
                    <c:v>SAR</c:v>
                  </c:pt>
                  <c:pt idx="4">
                    <c:v>EMDEs excl. SAR</c:v>
                  </c:pt>
                </c:lvl>
              </c:multiLvlStrCache>
            </c:multiLvlStrRef>
          </c:cat>
          <c:val>
            <c:numRef>
              <c:f>'1.7C'!$T$4:$T$11</c:f>
              <c:numCache>
                <c:formatCode>0.0</c:formatCode>
                <c:ptCount val="8"/>
                <c:pt idx="0">
                  <c:v>6.6</c:v>
                </c:pt>
                <c:pt idx="1">
                  <c:v>6.4</c:v>
                </c:pt>
                <c:pt idx="2">
                  <c:v>6.2</c:v>
                </c:pt>
                <c:pt idx="3">
                  <c:v>6.2</c:v>
                </c:pt>
                <c:pt idx="4">
                  <c:v>4</c:v>
                </c:pt>
                <c:pt idx="5">
                  <c:v>3.8</c:v>
                </c:pt>
                <c:pt idx="6">
                  <c:v>3.8</c:v>
                </c:pt>
                <c:pt idx="7">
                  <c:v>3.8</c:v>
                </c:pt>
              </c:numCache>
            </c:numRef>
          </c:val>
          <c:smooth val="0"/>
          <c:extLst>
            <c:ext xmlns:c16="http://schemas.microsoft.com/office/drawing/2014/chart" uri="{C3380CC4-5D6E-409C-BE32-E72D297353CC}">
              <c16:uniqueId val="{00000002-22DA-488A-839D-0B15213A6E8C}"/>
            </c:ext>
          </c:extLst>
        </c:ser>
        <c:dLbls>
          <c:showLegendKey val="0"/>
          <c:showVal val="0"/>
          <c:showCatName val="0"/>
          <c:showSerName val="0"/>
          <c:showPercent val="0"/>
          <c:showBubbleSize val="0"/>
        </c:dLbls>
        <c:marker val="1"/>
        <c:smooth val="0"/>
        <c:axId val="1267187247"/>
        <c:axId val="1267185807"/>
      </c:lineChart>
      <c:catAx>
        <c:axId val="126718724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67185807"/>
        <c:crosses val="autoZero"/>
        <c:auto val="1"/>
        <c:lblAlgn val="ctr"/>
        <c:lblOffset val="100"/>
        <c:noMultiLvlLbl val="0"/>
      </c:catAx>
      <c:valAx>
        <c:axId val="1267185807"/>
        <c:scaling>
          <c:orientation val="minMax"/>
          <c:max val="8"/>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67187247"/>
        <c:crosses val="autoZero"/>
        <c:crossBetween val="between"/>
        <c:majorUnit val="2"/>
      </c:valAx>
      <c:spPr>
        <a:noFill/>
        <a:ln>
          <a:noFill/>
        </a:ln>
        <a:effectLst/>
      </c:spPr>
    </c:plotArea>
    <c:legend>
      <c:legendPos val="t"/>
      <c:layout>
        <c:manualLayout>
          <c:xMode val="edge"/>
          <c:yMode val="edge"/>
          <c:x val="0.5298759017624658"/>
          <c:y val="3.1192660550458717E-2"/>
          <c:w val="0.45746888586291179"/>
          <c:h val="0.20969703099039225"/>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683533165511666E-2"/>
          <c:y val="0.13310177894429864"/>
          <c:w val="0.87600459317585311"/>
          <c:h val="0.5330123942840479"/>
        </c:manualLayout>
      </c:layout>
      <c:barChart>
        <c:barDir val="col"/>
        <c:grouping val="clustered"/>
        <c:varyColors val="0"/>
        <c:ser>
          <c:idx val="0"/>
          <c:order val="0"/>
          <c:tx>
            <c:strRef>
              <c:f>'1.7D'!$T$3</c:f>
              <c:strCache>
                <c:ptCount val="1"/>
                <c:pt idx="0">
                  <c:v>Wght. Avg</c:v>
                </c:pt>
              </c:strCache>
            </c:strRef>
          </c:tx>
          <c:spPr>
            <a:solidFill>
              <a:schemeClr val="tx2"/>
            </a:solidFill>
            <a:ln>
              <a:noFill/>
            </a:ln>
            <a:effectLst/>
          </c:spPr>
          <c:invertIfNegative val="0"/>
          <c:cat>
            <c:multiLvlStrRef>
              <c:f>'1.7D'!$R$4:$S$11</c:f>
              <c:multiLvlStrCache>
                <c:ptCount val="8"/>
                <c:lvl>
                  <c:pt idx="0">
                    <c:v>2023</c:v>
                  </c:pt>
                  <c:pt idx="1">
                    <c:v>2024e</c:v>
                  </c:pt>
                  <c:pt idx="2">
                    <c:v>2025f</c:v>
                  </c:pt>
                  <c:pt idx="3">
                    <c:v>2026f</c:v>
                  </c:pt>
                  <c:pt idx="4">
                    <c:v>2023</c:v>
                  </c:pt>
                  <c:pt idx="5">
                    <c:v>2024e</c:v>
                  </c:pt>
                  <c:pt idx="6">
                    <c:v>2025f</c:v>
                  </c:pt>
                  <c:pt idx="7">
                    <c:v>2026f</c:v>
                  </c:pt>
                </c:lvl>
                <c:lvl>
                  <c:pt idx="0">
                    <c:v>SAR</c:v>
                  </c:pt>
                  <c:pt idx="4">
                    <c:v>SAR excl. IND</c:v>
                  </c:pt>
                </c:lvl>
              </c:multiLvlStrCache>
            </c:multiLvlStrRef>
          </c:cat>
          <c:val>
            <c:numRef>
              <c:f>'1.7D'!$T$4:$T$11</c:f>
              <c:numCache>
                <c:formatCode>0.0</c:formatCode>
                <c:ptCount val="8"/>
                <c:pt idx="0">
                  <c:v>-8</c:v>
                </c:pt>
                <c:pt idx="1">
                  <c:v>-7.4</c:v>
                </c:pt>
                <c:pt idx="2">
                  <c:v>-7.1</c:v>
                </c:pt>
                <c:pt idx="3">
                  <c:v>-7</c:v>
                </c:pt>
                <c:pt idx="4">
                  <c:v>-6.2</c:v>
                </c:pt>
                <c:pt idx="5">
                  <c:v>-5.5</c:v>
                </c:pt>
                <c:pt idx="6">
                  <c:v>-5.6</c:v>
                </c:pt>
                <c:pt idx="7">
                  <c:v>-5.5</c:v>
                </c:pt>
              </c:numCache>
            </c:numRef>
          </c:val>
          <c:extLst>
            <c:ext xmlns:c16="http://schemas.microsoft.com/office/drawing/2014/chart" uri="{C3380CC4-5D6E-409C-BE32-E72D297353CC}">
              <c16:uniqueId val="{00000000-CAA1-43B2-B54B-A20B400A7FFF}"/>
            </c:ext>
          </c:extLst>
        </c:ser>
        <c:dLbls>
          <c:showLegendKey val="0"/>
          <c:showVal val="0"/>
          <c:showCatName val="0"/>
          <c:showSerName val="0"/>
          <c:showPercent val="0"/>
          <c:showBubbleSize val="0"/>
        </c:dLbls>
        <c:gapWidth val="150"/>
        <c:axId val="625066544"/>
        <c:axId val="625064624"/>
      </c:barChart>
      <c:lineChart>
        <c:grouping val="standard"/>
        <c:varyColors val="0"/>
        <c:ser>
          <c:idx val="1"/>
          <c:order val="1"/>
          <c:tx>
            <c:strRef>
              <c:f>'1.7D'!$U$3</c:f>
              <c:strCache>
                <c:ptCount val="1"/>
                <c:pt idx="0">
                  <c:v>2015-19 average</c:v>
                </c:pt>
              </c:strCache>
            </c:strRef>
          </c:tx>
          <c:spPr>
            <a:ln w="76200" cap="rnd">
              <a:solidFill>
                <a:schemeClr val="accent2"/>
              </a:solidFill>
              <a:round/>
            </a:ln>
            <a:effectLst/>
          </c:spPr>
          <c:marker>
            <c:symbol val="none"/>
          </c:marker>
          <c:dPt>
            <c:idx val="3"/>
            <c:marker>
              <c:symbol val="none"/>
            </c:marker>
            <c:bubble3D val="0"/>
            <c:spPr>
              <a:ln w="76200" cap="rnd">
                <a:solidFill>
                  <a:schemeClr val="accent2"/>
                </a:solidFill>
                <a:round/>
              </a:ln>
              <a:effectLst/>
            </c:spPr>
            <c:extLst>
              <c:ext xmlns:c16="http://schemas.microsoft.com/office/drawing/2014/chart" uri="{C3380CC4-5D6E-409C-BE32-E72D297353CC}">
                <c16:uniqueId val="{00000002-CAA1-43B2-B54B-A20B400A7FFF}"/>
              </c:ext>
            </c:extLst>
          </c:dPt>
          <c:dPt>
            <c:idx val="4"/>
            <c:marker>
              <c:symbol val="none"/>
            </c:marker>
            <c:bubble3D val="0"/>
            <c:spPr>
              <a:ln w="76200" cap="rnd">
                <a:noFill/>
                <a:round/>
              </a:ln>
              <a:effectLst/>
            </c:spPr>
            <c:extLst>
              <c:ext xmlns:c16="http://schemas.microsoft.com/office/drawing/2014/chart" uri="{C3380CC4-5D6E-409C-BE32-E72D297353CC}">
                <c16:uniqueId val="{00000004-CAA1-43B2-B54B-A20B400A7FFF}"/>
              </c:ext>
            </c:extLst>
          </c:dPt>
          <c:dPt>
            <c:idx val="6"/>
            <c:marker>
              <c:symbol val="none"/>
            </c:marker>
            <c:bubble3D val="0"/>
            <c:spPr>
              <a:ln w="76200" cap="rnd">
                <a:solidFill>
                  <a:schemeClr val="accent2"/>
                </a:solidFill>
                <a:round/>
              </a:ln>
              <a:effectLst/>
            </c:spPr>
            <c:extLst>
              <c:ext xmlns:c16="http://schemas.microsoft.com/office/drawing/2014/chart" uri="{C3380CC4-5D6E-409C-BE32-E72D297353CC}">
                <c16:uniqueId val="{00000006-CAA1-43B2-B54B-A20B400A7FFF}"/>
              </c:ext>
            </c:extLst>
          </c:dPt>
          <c:cat>
            <c:strLit>
              <c:ptCount val="7"/>
              <c:pt idx="0">
                <c:v>SAR 2023</c:v>
              </c:pt>
              <c:pt idx="1">
                <c:v>SAR 2024e</c:v>
              </c:pt>
              <c:pt idx="2">
                <c:v>SAR 2025f</c:v>
              </c:pt>
              <c:pt idx="3">
                <c:v>SAR 2026f</c:v>
              </c:pt>
              <c:pt idx="4">
                <c:v>SAR excl. IND 2023</c:v>
              </c:pt>
              <c:pt idx="5">
                <c:v>SAR excl. IND 2024e</c:v>
              </c:pt>
              <c:pt idx="6">
                <c:v>SAR excl. IND 2025f</c:v>
              </c:pt>
            </c:strLit>
          </c:cat>
          <c:val>
            <c:numRef>
              <c:f>'1.7D'!$U$4:$U$11</c:f>
              <c:numCache>
                <c:formatCode>0.0</c:formatCode>
                <c:ptCount val="8"/>
                <c:pt idx="0">
                  <c:v>-6.1</c:v>
                </c:pt>
                <c:pt idx="1">
                  <c:v>-6.1</c:v>
                </c:pt>
                <c:pt idx="2">
                  <c:v>-6.1</c:v>
                </c:pt>
                <c:pt idx="3">
                  <c:v>-6.1</c:v>
                </c:pt>
                <c:pt idx="4">
                  <c:v>-4.7</c:v>
                </c:pt>
                <c:pt idx="5">
                  <c:v>-4.7</c:v>
                </c:pt>
                <c:pt idx="6">
                  <c:v>-4.7</c:v>
                </c:pt>
                <c:pt idx="7">
                  <c:v>-4.7</c:v>
                </c:pt>
              </c:numCache>
            </c:numRef>
          </c:val>
          <c:smooth val="0"/>
          <c:extLst>
            <c:ext xmlns:c16="http://schemas.microsoft.com/office/drawing/2014/chart" uri="{C3380CC4-5D6E-409C-BE32-E72D297353CC}">
              <c16:uniqueId val="{00000007-CAA1-43B2-B54B-A20B400A7FFF}"/>
            </c:ext>
          </c:extLst>
        </c:ser>
        <c:dLbls>
          <c:showLegendKey val="0"/>
          <c:showVal val="0"/>
          <c:showCatName val="0"/>
          <c:showSerName val="0"/>
          <c:showPercent val="0"/>
          <c:showBubbleSize val="0"/>
        </c:dLbls>
        <c:marker val="1"/>
        <c:smooth val="0"/>
        <c:axId val="625066544"/>
        <c:axId val="625064624"/>
      </c:lineChart>
      <c:catAx>
        <c:axId val="62506654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25064624"/>
        <c:crosses val="autoZero"/>
        <c:auto val="1"/>
        <c:lblAlgn val="ctr"/>
        <c:lblOffset val="100"/>
        <c:noMultiLvlLbl val="0"/>
      </c:catAx>
      <c:valAx>
        <c:axId val="625064624"/>
        <c:scaling>
          <c:orientation val="minMax"/>
          <c:max val="-4"/>
          <c:min val="-9"/>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25066544"/>
        <c:crosses val="autoZero"/>
        <c:crossBetween val="between"/>
        <c:majorUnit val="1"/>
      </c:valAx>
      <c:spPr>
        <a:noFill/>
        <a:ln>
          <a:noFill/>
        </a:ln>
        <a:effectLst/>
      </c:spPr>
    </c:plotArea>
    <c:legend>
      <c:legendPos val="r"/>
      <c:legendEntry>
        <c:idx val="0"/>
        <c:delete val="1"/>
      </c:legendEntry>
      <c:layout>
        <c:manualLayout>
          <c:xMode val="edge"/>
          <c:yMode val="edge"/>
          <c:x val="0.28462378930548665"/>
          <c:y val="2.1893846602508003E-2"/>
          <c:w val="0.55673094592650318"/>
          <c:h val="8.769378827646542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683533165511666E-2"/>
          <c:y val="0.1531881014873141"/>
          <c:w val="0.87600459317585311"/>
          <c:h val="0.72642505103528721"/>
        </c:manualLayout>
      </c:layout>
      <c:barChart>
        <c:barDir val="col"/>
        <c:grouping val="clustered"/>
        <c:varyColors val="0"/>
        <c:ser>
          <c:idx val="2"/>
          <c:order val="1"/>
          <c:tx>
            <c:strRef>
              <c:f>'1.7E'!$T$4</c:f>
              <c:strCache>
                <c:ptCount val="1"/>
                <c:pt idx="0">
                  <c:v>Median</c:v>
                </c:pt>
              </c:strCache>
            </c:strRef>
          </c:tx>
          <c:spPr>
            <a:solidFill>
              <a:schemeClr val="tx2"/>
            </a:solidFill>
            <a:ln w="76200">
              <a:noFill/>
            </a:ln>
            <a:effectLst/>
          </c:spPr>
          <c:invertIfNegative val="0"/>
          <c:cat>
            <c:strRef>
              <c:f>'1.7E'!$R$5:$R$8</c:f>
              <c:strCache>
                <c:ptCount val="4"/>
                <c:pt idx="0">
                  <c:v>2023</c:v>
                </c:pt>
                <c:pt idx="1">
                  <c:v>2024e</c:v>
                </c:pt>
                <c:pt idx="2">
                  <c:v>2025f</c:v>
                </c:pt>
                <c:pt idx="3">
                  <c:v>2026f</c:v>
                </c:pt>
              </c:strCache>
            </c:strRef>
          </c:cat>
          <c:val>
            <c:numRef>
              <c:f>'1.7E'!$T$5:$T$8</c:f>
              <c:numCache>
                <c:formatCode>0.0</c:formatCode>
                <c:ptCount val="4"/>
                <c:pt idx="0">
                  <c:v>-1</c:v>
                </c:pt>
                <c:pt idx="1">
                  <c:v>-1.1000000000000001</c:v>
                </c:pt>
                <c:pt idx="2">
                  <c:v>-0.9</c:v>
                </c:pt>
                <c:pt idx="3">
                  <c:v>-0.7</c:v>
                </c:pt>
              </c:numCache>
            </c:numRef>
          </c:val>
          <c:extLst>
            <c:ext xmlns:c16="http://schemas.microsoft.com/office/drawing/2014/chart" uri="{C3380CC4-5D6E-409C-BE32-E72D297353CC}">
              <c16:uniqueId val="{00000000-6E0C-4F64-9E9A-FD7DAAF25073}"/>
            </c:ext>
          </c:extLst>
        </c:ser>
        <c:dLbls>
          <c:showLegendKey val="0"/>
          <c:showVal val="0"/>
          <c:showCatName val="0"/>
          <c:showSerName val="0"/>
          <c:showPercent val="0"/>
          <c:showBubbleSize val="0"/>
        </c:dLbls>
        <c:gapWidth val="150"/>
        <c:axId val="625066544"/>
        <c:axId val="625064624"/>
      </c:barChart>
      <c:lineChart>
        <c:grouping val="standard"/>
        <c:varyColors val="0"/>
        <c:ser>
          <c:idx val="1"/>
          <c:order val="0"/>
          <c:tx>
            <c:strRef>
              <c:f>'1.7E'!$S$4</c:f>
              <c:strCache>
                <c:ptCount val="1"/>
                <c:pt idx="0">
                  <c:v>2015–19 average</c:v>
                </c:pt>
              </c:strCache>
            </c:strRef>
          </c:tx>
          <c:spPr>
            <a:ln w="76200" cap="rnd">
              <a:solidFill>
                <a:schemeClr val="accent2"/>
              </a:solidFill>
              <a:round/>
            </a:ln>
            <a:effectLst/>
          </c:spPr>
          <c:marker>
            <c:symbol val="none"/>
          </c:marker>
          <c:dPt>
            <c:idx val="3"/>
            <c:marker>
              <c:symbol val="none"/>
            </c:marker>
            <c:bubble3D val="0"/>
            <c:spPr>
              <a:ln w="76200" cap="rnd">
                <a:solidFill>
                  <a:schemeClr val="accent2"/>
                </a:solidFill>
                <a:round/>
              </a:ln>
              <a:effectLst/>
            </c:spPr>
            <c:extLst>
              <c:ext xmlns:c16="http://schemas.microsoft.com/office/drawing/2014/chart" uri="{C3380CC4-5D6E-409C-BE32-E72D297353CC}">
                <c16:uniqueId val="{00000002-6E0C-4F64-9E9A-FD7DAAF25073}"/>
              </c:ext>
            </c:extLst>
          </c:dPt>
          <c:dPt>
            <c:idx val="6"/>
            <c:marker>
              <c:symbol val="none"/>
            </c:marker>
            <c:bubble3D val="0"/>
            <c:spPr>
              <a:ln w="76200" cap="rnd">
                <a:solidFill>
                  <a:schemeClr val="accent2"/>
                </a:solidFill>
                <a:round/>
              </a:ln>
              <a:effectLst/>
            </c:spPr>
            <c:extLst>
              <c:ext xmlns:c16="http://schemas.microsoft.com/office/drawing/2014/chart" uri="{C3380CC4-5D6E-409C-BE32-E72D297353CC}">
                <c16:uniqueId val="{00000004-6E0C-4F64-9E9A-FD7DAAF25073}"/>
              </c:ext>
            </c:extLst>
          </c:dPt>
          <c:cat>
            <c:strRef>
              <c:f>'1.7E'!$R$5:$R$8</c:f>
              <c:strCache>
                <c:ptCount val="4"/>
                <c:pt idx="0">
                  <c:v>2023</c:v>
                </c:pt>
                <c:pt idx="1">
                  <c:v>2024e</c:v>
                </c:pt>
                <c:pt idx="2">
                  <c:v>2025f</c:v>
                </c:pt>
                <c:pt idx="3">
                  <c:v>2026f</c:v>
                </c:pt>
              </c:strCache>
            </c:strRef>
          </c:cat>
          <c:val>
            <c:numRef>
              <c:f>'1.7E'!$S$5:$S$8</c:f>
              <c:numCache>
                <c:formatCode>0.0</c:formatCode>
                <c:ptCount val="4"/>
                <c:pt idx="0">
                  <c:v>-2.9</c:v>
                </c:pt>
                <c:pt idx="1">
                  <c:v>-2.9</c:v>
                </c:pt>
                <c:pt idx="2">
                  <c:v>-2.9</c:v>
                </c:pt>
                <c:pt idx="3">
                  <c:v>-2.9</c:v>
                </c:pt>
              </c:numCache>
            </c:numRef>
          </c:val>
          <c:smooth val="0"/>
          <c:extLst>
            <c:ext xmlns:c16="http://schemas.microsoft.com/office/drawing/2014/chart" uri="{C3380CC4-5D6E-409C-BE32-E72D297353CC}">
              <c16:uniqueId val="{00000005-6E0C-4F64-9E9A-FD7DAAF25073}"/>
            </c:ext>
          </c:extLst>
        </c:ser>
        <c:dLbls>
          <c:showLegendKey val="0"/>
          <c:showVal val="0"/>
          <c:showCatName val="0"/>
          <c:showSerName val="0"/>
          <c:showPercent val="0"/>
          <c:showBubbleSize val="0"/>
        </c:dLbls>
        <c:marker val="1"/>
        <c:smooth val="0"/>
        <c:axId val="625066544"/>
        <c:axId val="625064624"/>
      </c:lineChart>
      <c:catAx>
        <c:axId val="62506654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25064624"/>
        <c:crosses val="autoZero"/>
        <c:auto val="1"/>
        <c:lblAlgn val="ctr"/>
        <c:lblOffset val="100"/>
        <c:noMultiLvlLbl val="0"/>
      </c:catAx>
      <c:valAx>
        <c:axId val="625064624"/>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25066544"/>
        <c:crosses val="autoZero"/>
        <c:crossBetween val="between"/>
      </c:valAx>
      <c:spPr>
        <a:noFill/>
        <a:ln>
          <a:noFill/>
        </a:ln>
        <a:effectLst/>
      </c:spPr>
    </c:plotArea>
    <c:legend>
      <c:legendPos val="r"/>
      <c:legendEntry>
        <c:idx val="0"/>
        <c:delete val="1"/>
      </c:legendEntry>
      <c:layout>
        <c:manualLayout>
          <c:xMode val="edge"/>
          <c:yMode val="edge"/>
          <c:x val="0.22609164479440072"/>
          <c:y val="2.9301254009915421E-2"/>
          <c:w val="0.75156196289290966"/>
          <c:h val="8.769378827646542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981408573928263E-2"/>
          <c:y val="0.13012481773111695"/>
          <c:w val="0.91274081364829396"/>
          <c:h val="0.55769140559557717"/>
        </c:manualLayout>
      </c:layout>
      <c:barChart>
        <c:barDir val="col"/>
        <c:grouping val="clustered"/>
        <c:varyColors val="0"/>
        <c:ser>
          <c:idx val="0"/>
          <c:order val="0"/>
          <c:spPr>
            <a:solidFill>
              <a:srgbClr val="002345"/>
            </a:solidFill>
            <a:ln w="76200">
              <a:noFill/>
            </a:ln>
            <a:effectLst/>
          </c:spPr>
          <c:invertIfNegative val="0"/>
          <c:cat>
            <c:multiLvlStrRef>
              <c:f>'1.7F'!$R$4:$S$11</c:f>
              <c:multiLvlStrCache>
                <c:ptCount val="8"/>
                <c:lvl>
                  <c:pt idx="0">
                    <c:v>2023</c:v>
                  </c:pt>
                  <c:pt idx="1">
                    <c:v>2024e</c:v>
                  </c:pt>
                  <c:pt idx="2">
                    <c:v>2025f</c:v>
                  </c:pt>
                  <c:pt idx="3">
                    <c:v>2026f</c:v>
                  </c:pt>
                  <c:pt idx="4">
                    <c:v>2023</c:v>
                  </c:pt>
                  <c:pt idx="5">
                    <c:v>2024e</c:v>
                  </c:pt>
                  <c:pt idx="6">
                    <c:v>2025f</c:v>
                  </c:pt>
                  <c:pt idx="7">
                    <c:v>2026f</c:v>
                  </c:pt>
                </c:lvl>
                <c:lvl>
                  <c:pt idx="0">
                    <c:v>SAR</c:v>
                  </c:pt>
                  <c:pt idx="4">
                    <c:v>SAR excl. IND</c:v>
                  </c:pt>
                </c:lvl>
              </c:multiLvlStrCache>
            </c:multiLvlStrRef>
          </c:cat>
          <c:val>
            <c:numRef>
              <c:f>'1.7F'!$T$4:$T$11</c:f>
              <c:numCache>
                <c:formatCode>0.0</c:formatCode>
                <c:ptCount val="8"/>
                <c:pt idx="0">
                  <c:v>7.7</c:v>
                </c:pt>
                <c:pt idx="1">
                  <c:v>4.5</c:v>
                </c:pt>
                <c:pt idx="2">
                  <c:v>5</c:v>
                </c:pt>
                <c:pt idx="3">
                  <c:v>4.5</c:v>
                </c:pt>
                <c:pt idx="4">
                  <c:v>8.4</c:v>
                </c:pt>
                <c:pt idx="5">
                  <c:v>4.8</c:v>
                </c:pt>
                <c:pt idx="6">
                  <c:v>6.4</c:v>
                </c:pt>
                <c:pt idx="7">
                  <c:v>4.8</c:v>
                </c:pt>
              </c:numCache>
            </c:numRef>
          </c:val>
          <c:extLst>
            <c:ext xmlns:c16="http://schemas.microsoft.com/office/drawing/2014/chart" uri="{C3380CC4-5D6E-409C-BE32-E72D297353CC}">
              <c16:uniqueId val="{00000000-4742-439C-A8B1-86EB72DA9D63}"/>
            </c:ext>
          </c:extLst>
        </c:ser>
        <c:dLbls>
          <c:showLegendKey val="0"/>
          <c:showVal val="0"/>
          <c:showCatName val="0"/>
          <c:showSerName val="0"/>
          <c:showPercent val="0"/>
          <c:showBubbleSize val="0"/>
        </c:dLbls>
        <c:gapWidth val="150"/>
        <c:overlap val="-27"/>
        <c:axId val="409269760"/>
        <c:axId val="409271680"/>
      </c:barChart>
      <c:lineChart>
        <c:grouping val="standard"/>
        <c:varyColors val="0"/>
        <c:ser>
          <c:idx val="1"/>
          <c:order val="1"/>
          <c:tx>
            <c:strRef>
              <c:f>'1.7F'!$U$3</c:f>
              <c:strCache>
                <c:ptCount val="1"/>
                <c:pt idx="0">
                  <c:v>2015–19 average</c:v>
                </c:pt>
              </c:strCache>
            </c:strRef>
          </c:tx>
          <c:spPr>
            <a:ln w="76200" cap="rnd">
              <a:solidFill>
                <a:schemeClr val="accent2"/>
              </a:solidFill>
              <a:round/>
            </a:ln>
            <a:effectLst/>
          </c:spPr>
          <c:marker>
            <c:symbol val="none"/>
          </c:marker>
          <c:dPt>
            <c:idx val="3"/>
            <c:marker>
              <c:symbol val="none"/>
            </c:marker>
            <c:bubble3D val="0"/>
            <c:spPr>
              <a:ln w="76200" cap="rnd">
                <a:solidFill>
                  <a:schemeClr val="accent2"/>
                </a:solidFill>
                <a:round/>
              </a:ln>
              <a:effectLst/>
            </c:spPr>
            <c:extLst>
              <c:ext xmlns:c16="http://schemas.microsoft.com/office/drawing/2014/chart" uri="{C3380CC4-5D6E-409C-BE32-E72D297353CC}">
                <c16:uniqueId val="{00000002-4742-439C-A8B1-86EB72DA9D63}"/>
              </c:ext>
            </c:extLst>
          </c:dPt>
          <c:dPt>
            <c:idx val="4"/>
            <c:marker>
              <c:symbol val="none"/>
            </c:marker>
            <c:bubble3D val="0"/>
            <c:spPr>
              <a:ln w="76200" cap="rnd">
                <a:noFill/>
                <a:round/>
              </a:ln>
              <a:effectLst/>
            </c:spPr>
            <c:extLst>
              <c:ext xmlns:c16="http://schemas.microsoft.com/office/drawing/2014/chart" uri="{C3380CC4-5D6E-409C-BE32-E72D297353CC}">
                <c16:uniqueId val="{00000004-4742-439C-A8B1-86EB72DA9D63}"/>
              </c:ext>
            </c:extLst>
          </c:dPt>
          <c:dPt>
            <c:idx val="6"/>
            <c:marker>
              <c:symbol val="none"/>
            </c:marker>
            <c:bubble3D val="0"/>
            <c:spPr>
              <a:ln w="76200" cap="rnd">
                <a:solidFill>
                  <a:schemeClr val="accent2"/>
                </a:solidFill>
                <a:round/>
              </a:ln>
              <a:effectLst/>
            </c:spPr>
            <c:extLst>
              <c:ext xmlns:c16="http://schemas.microsoft.com/office/drawing/2014/chart" uri="{C3380CC4-5D6E-409C-BE32-E72D297353CC}">
                <c16:uniqueId val="{00000006-4742-439C-A8B1-86EB72DA9D63}"/>
              </c:ext>
            </c:extLst>
          </c:dPt>
          <c:dPt>
            <c:idx val="9"/>
            <c:marker>
              <c:symbol val="none"/>
            </c:marker>
            <c:bubble3D val="0"/>
            <c:spPr>
              <a:ln w="76200" cap="rnd">
                <a:solidFill>
                  <a:schemeClr val="accent2"/>
                </a:solidFill>
                <a:round/>
              </a:ln>
              <a:effectLst/>
            </c:spPr>
            <c:extLst>
              <c:ext xmlns:c16="http://schemas.microsoft.com/office/drawing/2014/chart" uri="{C3380CC4-5D6E-409C-BE32-E72D297353CC}">
                <c16:uniqueId val="{00000008-4742-439C-A8B1-86EB72DA9D63}"/>
              </c:ext>
            </c:extLst>
          </c:dPt>
          <c:dPt>
            <c:idx val="12"/>
            <c:marker>
              <c:symbol val="none"/>
            </c:marker>
            <c:bubble3D val="0"/>
            <c:spPr>
              <a:ln w="76200" cap="rnd">
                <a:solidFill>
                  <a:schemeClr val="accent2"/>
                </a:solidFill>
                <a:round/>
              </a:ln>
              <a:effectLst/>
            </c:spPr>
            <c:extLst>
              <c:ext xmlns:c16="http://schemas.microsoft.com/office/drawing/2014/chart" uri="{C3380CC4-5D6E-409C-BE32-E72D297353CC}">
                <c16:uniqueId val="{0000000A-4742-439C-A8B1-86EB72DA9D63}"/>
              </c:ext>
            </c:extLst>
          </c:dPt>
          <c:dPt>
            <c:idx val="15"/>
            <c:marker>
              <c:symbol val="none"/>
            </c:marker>
            <c:bubble3D val="0"/>
            <c:spPr>
              <a:ln w="76200" cap="rnd">
                <a:solidFill>
                  <a:schemeClr val="accent2"/>
                </a:solidFill>
                <a:round/>
              </a:ln>
              <a:effectLst/>
            </c:spPr>
            <c:extLst>
              <c:ext xmlns:c16="http://schemas.microsoft.com/office/drawing/2014/chart" uri="{C3380CC4-5D6E-409C-BE32-E72D297353CC}">
                <c16:uniqueId val="{0000000C-4742-439C-A8B1-86EB72DA9D63}"/>
              </c:ext>
            </c:extLst>
          </c:dPt>
          <c:dPt>
            <c:idx val="18"/>
            <c:marker>
              <c:symbol val="none"/>
            </c:marker>
            <c:bubble3D val="0"/>
            <c:spPr>
              <a:ln w="76200" cap="rnd">
                <a:solidFill>
                  <a:schemeClr val="accent2"/>
                </a:solidFill>
                <a:round/>
              </a:ln>
              <a:effectLst/>
            </c:spPr>
            <c:extLst>
              <c:ext xmlns:c16="http://schemas.microsoft.com/office/drawing/2014/chart" uri="{C3380CC4-5D6E-409C-BE32-E72D297353CC}">
                <c16:uniqueId val="{0000000E-4742-439C-A8B1-86EB72DA9D63}"/>
              </c:ext>
            </c:extLst>
          </c:dPt>
          <c:cat>
            <c:multiLvlStrRef>
              <c:f>'1.7F'!$R$4:$S$11</c:f>
              <c:multiLvlStrCache>
                <c:ptCount val="8"/>
                <c:lvl>
                  <c:pt idx="0">
                    <c:v>2023</c:v>
                  </c:pt>
                  <c:pt idx="1">
                    <c:v>2024e</c:v>
                  </c:pt>
                  <c:pt idx="2">
                    <c:v>2025f</c:v>
                  </c:pt>
                  <c:pt idx="3">
                    <c:v>2026f</c:v>
                  </c:pt>
                  <c:pt idx="4">
                    <c:v>2023</c:v>
                  </c:pt>
                  <c:pt idx="5">
                    <c:v>2024e</c:v>
                  </c:pt>
                  <c:pt idx="6">
                    <c:v>2025f</c:v>
                  </c:pt>
                  <c:pt idx="7">
                    <c:v>2026f</c:v>
                  </c:pt>
                </c:lvl>
                <c:lvl>
                  <c:pt idx="0">
                    <c:v>SAR</c:v>
                  </c:pt>
                  <c:pt idx="4">
                    <c:v>SAR excl. IND</c:v>
                  </c:pt>
                </c:lvl>
              </c:multiLvlStrCache>
            </c:multiLvlStrRef>
          </c:cat>
          <c:val>
            <c:numRef>
              <c:f>'1.7F'!$U$4:$U$11</c:f>
              <c:numCache>
                <c:formatCode>0.0</c:formatCode>
                <c:ptCount val="8"/>
                <c:pt idx="0">
                  <c:v>4.3</c:v>
                </c:pt>
                <c:pt idx="1">
                  <c:v>4.3</c:v>
                </c:pt>
                <c:pt idx="2">
                  <c:v>4.3</c:v>
                </c:pt>
                <c:pt idx="3">
                  <c:v>4.3</c:v>
                </c:pt>
                <c:pt idx="4">
                  <c:v>4.4000000000000004</c:v>
                </c:pt>
                <c:pt idx="5">
                  <c:v>4.4000000000000004</c:v>
                </c:pt>
                <c:pt idx="6">
                  <c:v>4.4000000000000004</c:v>
                </c:pt>
                <c:pt idx="7">
                  <c:v>4.4000000000000004</c:v>
                </c:pt>
              </c:numCache>
            </c:numRef>
          </c:val>
          <c:smooth val="0"/>
          <c:extLst>
            <c:ext xmlns:c16="http://schemas.microsoft.com/office/drawing/2014/chart" uri="{C3380CC4-5D6E-409C-BE32-E72D297353CC}">
              <c16:uniqueId val="{0000000F-4742-439C-A8B1-86EB72DA9D63}"/>
            </c:ext>
          </c:extLst>
        </c:ser>
        <c:dLbls>
          <c:showLegendKey val="0"/>
          <c:showVal val="0"/>
          <c:showCatName val="0"/>
          <c:showSerName val="0"/>
          <c:showPercent val="0"/>
          <c:showBubbleSize val="0"/>
        </c:dLbls>
        <c:marker val="1"/>
        <c:smooth val="0"/>
        <c:axId val="409269760"/>
        <c:axId val="409271680"/>
      </c:lineChart>
      <c:catAx>
        <c:axId val="40926976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9271680"/>
        <c:crosses val="autoZero"/>
        <c:auto val="1"/>
        <c:lblAlgn val="ctr"/>
        <c:lblOffset val="100"/>
        <c:noMultiLvlLbl val="0"/>
      </c:catAx>
      <c:valAx>
        <c:axId val="409271680"/>
        <c:scaling>
          <c:orientation val="minMax"/>
          <c:max val="9"/>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9269760"/>
        <c:crosses val="autoZero"/>
        <c:crossBetween val="between"/>
        <c:majorUnit val="3"/>
      </c:valAx>
      <c:spPr>
        <a:noFill/>
        <a:ln>
          <a:noFill/>
        </a:ln>
        <a:effectLst/>
      </c:spPr>
    </c:plotArea>
    <c:legend>
      <c:legendPos val="t"/>
      <c:legendEntry>
        <c:idx val="0"/>
        <c:delete val="1"/>
      </c:legendEntry>
      <c:layout>
        <c:manualLayout>
          <c:xMode val="edge"/>
          <c:yMode val="edge"/>
          <c:x val="0.27955971182634148"/>
          <c:y val="6.5690690745304592E-2"/>
          <c:w val="0.44324245406824148"/>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'1.8A'!$T$3</c:f>
              <c:strCache>
                <c:ptCount val="1"/>
                <c:pt idx="0">
                  <c:v>Public Debt</c:v>
                </c:pt>
              </c:strCache>
            </c:strRef>
          </c:tx>
          <c:spPr>
            <a:solidFill>
              <a:srgbClr val="002345"/>
            </a:solidFill>
            <a:ln w="76200">
              <a:noFill/>
            </a:ln>
            <a:effectLst/>
          </c:spPr>
          <c:invertIfNegative val="0"/>
          <c:cat>
            <c:strRef>
              <c:f>'1.8A'!$R$4:$R$9</c:f>
              <c:strCache>
                <c:ptCount val="6"/>
                <c:pt idx="0">
                  <c:v>SSA</c:v>
                </c:pt>
                <c:pt idx="1">
                  <c:v>ECA</c:v>
                </c:pt>
                <c:pt idx="2">
                  <c:v>EAP</c:v>
                </c:pt>
                <c:pt idx="3">
                  <c:v>LAC</c:v>
                </c:pt>
                <c:pt idx="4">
                  <c:v>MNA</c:v>
                </c:pt>
                <c:pt idx="5">
                  <c:v>SAR</c:v>
                </c:pt>
              </c:strCache>
            </c:strRef>
          </c:cat>
          <c:val>
            <c:numRef>
              <c:f>'1.8A'!$T$4:$T$9</c:f>
              <c:numCache>
                <c:formatCode>0.0</c:formatCode>
                <c:ptCount val="6"/>
                <c:pt idx="0">
                  <c:v>57.9</c:v>
                </c:pt>
                <c:pt idx="1">
                  <c:v>44</c:v>
                </c:pt>
                <c:pt idx="2">
                  <c:v>45.8</c:v>
                </c:pt>
                <c:pt idx="3">
                  <c:v>54.4</c:v>
                </c:pt>
                <c:pt idx="4">
                  <c:v>52.4</c:v>
                </c:pt>
                <c:pt idx="5">
                  <c:v>75.8</c:v>
                </c:pt>
              </c:numCache>
            </c:numRef>
          </c:val>
          <c:extLst>
            <c:ext xmlns:c16="http://schemas.microsoft.com/office/drawing/2014/chart" uri="{C3380CC4-5D6E-409C-BE32-E72D297353CC}">
              <c16:uniqueId val="{00000000-D18A-4040-B148-FBD7DB62006D}"/>
            </c:ext>
          </c:extLst>
        </c:ser>
        <c:ser>
          <c:idx val="0"/>
          <c:order val="1"/>
          <c:tx>
            <c:strRef>
              <c:f>'1.8A'!$S$3</c:f>
              <c:strCache>
                <c:ptCount val="1"/>
                <c:pt idx="0">
                  <c:v>Private Debt</c:v>
                </c:pt>
              </c:strCache>
            </c:strRef>
          </c:tx>
          <c:spPr>
            <a:solidFill>
              <a:srgbClr val="EB1C2D"/>
            </a:solidFill>
            <a:ln w="76200">
              <a:noFill/>
            </a:ln>
            <a:effectLst/>
          </c:spPr>
          <c:invertIfNegative val="0"/>
          <c:cat>
            <c:strRef>
              <c:f>'1.8A'!$R$4:$R$9</c:f>
              <c:strCache>
                <c:ptCount val="6"/>
                <c:pt idx="0">
                  <c:v>SSA</c:v>
                </c:pt>
                <c:pt idx="1">
                  <c:v>ECA</c:v>
                </c:pt>
                <c:pt idx="2">
                  <c:v>EAP</c:v>
                </c:pt>
                <c:pt idx="3">
                  <c:v>LAC</c:v>
                </c:pt>
                <c:pt idx="4">
                  <c:v>MNA</c:v>
                </c:pt>
                <c:pt idx="5">
                  <c:v>SAR</c:v>
                </c:pt>
              </c:strCache>
            </c:strRef>
          </c:cat>
          <c:val>
            <c:numRef>
              <c:f>'1.8A'!$S$4:$S$9</c:f>
              <c:numCache>
                <c:formatCode>0.0</c:formatCode>
                <c:ptCount val="6"/>
                <c:pt idx="0">
                  <c:v>18.7</c:v>
                </c:pt>
                <c:pt idx="1">
                  <c:v>43.5</c:v>
                </c:pt>
                <c:pt idx="2">
                  <c:v>58.5</c:v>
                </c:pt>
                <c:pt idx="3">
                  <c:v>55</c:v>
                </c:pt>
                <c:pt idx="4">
                  <c:v>68.900000000000006</c:v>
                </c:pt>
                <c:pt idx="5">
                  <c:v>56</c:v>
                </c:pt>
              </c:numCache>
            </c:numRef>
          </c:val>
          <c:extLst>
            <c:ext xmlns:c16="http://schemas.microsoft.com/office/drawing/2014/chart" uri="{C3380CC4-5D6E-409C-BE32-E72D297353CC}">
              <c16:uniqueId val="{00000001-D18A-4040-B148-FBD7DB62006D}"/>
            </c:ext>
          </c:extLst>
        </c:ser>
        <c:dLbls>
          <c:showLegendKey val="0"/>
          <c:showVal val="0"/>
          <c:showCatName val="0"/>
          <c:showSerName val="0"/>
          <c:showPercent val="0"/>
          <c:showBubbleSize val="0"/>
        </c:dLbls>
        <c:gapWidth val="150"/>
        <c:overlap val="100"/>
        <c:axId val="79119072"/>
        <c:axId val="79118592"/>
      </c:barChart>
      <c:catAx>
        <c:axId val="7911907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18592"/>
        <c:crosses val="autoZero"/>
        <c:auto val="1"/>
        <c:lblAlgn val="ctr"/>
        <c:lblOffset val="100"/>
        <c:noMultiLvlLbl val="0"/>
      </c:catAx>
      <c:valAx>
        <c:axId val="7911859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119072"/>
        <c:crosses val="autoZero"/>
        <c:crossBetween val="between"/>
      </c:valAx>
      <c:spPr>
        <a:noFill/>
        <a:ln>
          <a:noFill/>
        </a:ln>
        <a:effectLst/>
      </c:spPr>
    </c:plotArea>
    <c:legend>
      <c:legendPos val="t"/>
      <c:layout>
        <c:manualLayout>
          <c:xMode val="edge"/>
          <c:yMode val="edge"/>
          <c:x val="0.24126314843059857"/>
          <c:y val="8.7154030595125068E-2"/>
          <c:w val="0.65982394416755052"/>
          <c:h val="7.597564542964473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547052977901601E-2"/>
          <c:y val="0.11882769226948778"/>
          <c:w val="0.88819881948121338"/>
          <c:h val="0.7639608937033372"/>
        </c:manualLayout>
      </c:layout>
      <c:barChart>
        <c:barDir val="col"/>
        <c:grouping val="clustered"/>
        <c:varyColors val="0"/>
        <c:ser>
          <c:idx val="0"/>
          <c:order val="0"/>
          <c:tx>
            <c:strRef>
              <c:f>'1.8B'!$S$3</c:f>
              <c:strCache>
                <c:ptCount val="1"/>
                <c:pt idx="0">
                  <c:v>Average</c:v>
                </c:pt>
              </c:strCache>
            </c:strRef>
          </c:tx>
          <c:spPr>
            <a:solidFill>
              <a:srgbClr val="002345"/>
            </a:solidFill>
            <a:ln w="76200">
              <a:noFill/>
            </a:ln>
            <a:effectLst/>
          </c:spPr>
          <c:invertIfNegative val="0"/>
          <c:cat>
            <c:strRef>
              <c:f>'1.8B'!$R$4:$R$8</c:f>
              <c:strCache>
                <c:ptCount val="5"/>
                <c:pt idx="0">
                  <c:v>PAK</c:v>
                </c:pt>
                <c:pt idx="1">
                  <c:v>IND</c:v>
                </c:pt>
                <c:pt idx="2">
                  <c:v>BGD</c:v>
                </c:pt>
                <c:pt idx="3">
                  <c:v>MDV</c:v>
                </c:pt>
                <c:pt idx="4">
                  <c:v>NPL</c:v>
                </c:pt>
              </c:strCache>
            </c:strRef>
          </c:cat>
          <c:val>
            <c:numRef>
              <c:f>'1.8B'!$S$4:$S$8</c:f>
              <c:numCache>
                <c:formatCode>0.0</c:formatCode>
                <c:ptCount val="5"/>
                <c:pt idx="0">
                  <c:v>9.9</c:v>
                </c:pt>
                <c:pt idx="1">
                  <c:v>6.5</c:v>
                </c:pt>
                <c:pt idx="2">
                  <c:v>4.9000000000000004</c:v>
                </c:pt>
                <c:pt idx="3">
                  <c:v>3.5</c:v>
                </c:pt>
                <c:pt idx="4">
                  <c:v>3</c:v>
                </c:pt>
              </c:numCache>
            </c:numRef>
          </c:val>
          <c:extLst>
            <c:ext xmlns:c16="http://schemas.microsoft.com/office/drawing/2014/chart" uri="{C3380CC4-5D6E-409C-BE32-E72D297353CC}">
              <c16:uniqueId val="{00000000-BD85-4831-922C-343CE5E5DFC6}"/>
            </c:ext>
          </c:extLst>
        </c:ser>
        <c:dLbls>
          <c:showLegendKey val="0"/>
          <c:showVal val="0"/>
          <c:showCatName val="0"/>
          <c:showSerName val="0"/>
          <c:showPercent val="0"/>
          <c:showBubbleSize val="0"/>
        </c:dLbls>
        <c:gapWidth val="150"/>
        <c:overlap val="-27"/>
        <c:axId val="562253056"/>
        <c:axId val="562245856"/>
      </c:barChart>
      <c:lineChart>
        <c:grouping val="standard"/>
        <c:varyColors val="0"/>
        <c:ser>
          <c:idx val="2"/>
          <c:order val="1"/>
          <c:tx>
            <c:strRef>
              <c:f>'1.8B'!$T$3</c:f>
              <c:strCache>
                <c:ptCount val="1"/>
                <c:pt idx="0">
                  <c:v>Other EMDEs</c:v>
                </c:pt>
              </c:strCache>
            </c:strRef>
          </c:tx>
          <c:spPr>
            <a:ln w="76200" cap="rnd">
              <a:solidFill>
                <a:schemeClr val="bg2"/>
              </a:solidFill>
              <a:round/>
            </a:ln>
            <a:effectLst/>
          </c:spPr>
          <c:marker>
            <c:symbol val="none"/>
          </c:marker>
          <c:cat>
            <c:strRef>
              <c:f>'1.8B'!$R$4:$R$8</c:f>
              <c:strCache>
                <c:ptCount val="5"/>
                <c:pt idx="0">
                  <c:v>PAK</c:v>
                </c:pt>
                <c:pt idx="1">
                  <c:v>IND</c:v>
                </c:pt>
                <c:pt idx="2">
                  <c:v>BGD</c:v>
                </c:pt>
                <c:pt idx="3">
                  <c:v>MDV</c:v>
                </c:pt>
                <c:pt idx="4">
                  <c:v>NPL</c:v>
                </c:pt>
              </c:strCache>
            </c:strRef>
          </c:cat>
          <c:val>
            <c:numRef>
              <c:f>'1.8B'!$T$4:$T$8</c:f>
              <c:numCache>
                <c:formatCode>0.0</c:formatCode>
                <c:ptCount val="5"/>
                <c:pt idx="0">
                  <c:v>3.3</c:v>
                </c:pt>
                <c:pt idx="1">
                  <c:v>3.3</c:v>
                </c:pt>
                <c:pt idx="2">
                  <c:v>3.3</c:v>
                </c:pt>
                <c:pt idx="3">
                  <c:v>3.3</c:v>
                </c:pt>
                <c:pt idx="4">
                  <c:v>3.3</c:v>
                </c:pt>
              </c:numCache>
            </c:numRef>
          </c:val>
          <c:smooth val="0"/>
          <c:extLst>
            <c:ext xmlns:c16="http://schemas.microsoft.com/office/drawing/2014/chart" uri="{C3380CC4-5D6E-409C-BE32-E72D297353CC}">
              <c16:uniqueId val="{00000001-BD85-4831-922C-343CE5E5DFC6}"/>
            </c:ext>
          </c:extLst>
        </c:ser>
        <c:dLbls>
          <c:showLegendKey val="0"/>
          <c:showVal val="0"/>
          <c:showCatName val="0"/>
          <c:showSerName val="0"/>
          <c:showPercent val="0"/>
          <c:showBubbleSize val="0"/>
        </c:dLbls>
        <c:marker val="1"/>
        <c:smooth val="0"/>
        <c:axId val="562253056"/>
        <c:axId val="562245856"/>
      </c:lineChart>
      <c:catAx>
        <c:axId val="56225305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2245856"/>
        <c:crosses val="autoZero"/>
        <c:auto val="1"/>
        <c:lblAlgn val="ctr"/>
        <c:lblOffset val="100"/>
        <c:noMultiLvlLbl val="0"/>
      </c:catAx>
      <c:valAx>
        <c:axId val="562245856"/>
        <c:scaling>
          <c:orientation val="minMax"/>
          <c:max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2253056"/>
        <c:crosses val="autoZero"/>
        <c:crossBetween val="between"/>
        <c:majorUnit val="2"/>
      </c:valAx>
      <c:spPr>
        <a:noFill/>
        <a:ln>
          <a:noFill/>
        </a:ln>
        <a:effectLst/>
      </c:spPr>
    </c:plotArea>
    <c:legend>
      <c:legendPos val="t"/>
      <c:legendEntry>
        <c:idx val="0"/>
        <c:delete val="1"/>
      </c:legendEntry>
      <c:layout>
        <c:manualLayout>
          <c:xMode val="edge"/>
          <c:yMode val="edge"/>
          <c:x val="0.3923886817212639"/>
          <c:y val="0.14469779718142123"/>
          <c:w val="0.36837920909368749"/>
          <c:h val="7.8807829272190474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673813857654472E-2"/>
          <c:y val="0.1974546620177475"/>
          <c:w val="0.88921002760727763"/>
          <c:h val="0.68706049349132081"/>
        </c:manualLayout>
      </c:layout>
      <c:barChart>
        <c:barDir val="col"/>
        <c:grouping val="clustered"/>
        <c:varyColors val="0"/>
        <c:ser>
          <c:idx val="0"/>
          <c:order val="0"/>
          <c:tx>
            <c:strRef>
              <c:f>'1.8C'!$R$4</c:f>
              <c:strCache>
                <c:ptCount val="1"/>
                <c:pt idx="0">
                  <c:v>SAR</c:v>
                </c:pt>
              </c:strCache>
            </c:strRef>
          </c:tx>
          <c:spPr>
            <a:solidFill>
              <a:schemeClr val="bg2"/>
            </a:solidFill>
            <a:ln w="76200">
              <a:noFill/>
            </a:ln>
            <a:effectLst/>
          </c:spPr>
          <c:invertIfNegative val="0"/>
          <c:cat>
            <c:strRef>
              <c:f>'1.8C'!$S$3:$V$3</c:f>
              <c:strCache>
                <c:ptCount val="4"/>
                <c:pt idx="0">
                  <c:v>2023e</c:v>
                </c:pt>
                <c:pt idx="1">
                  <c:v>2024e</c:v>
                </c:pt>
                <c:pt idx="2">
                  <c:v>2025f</c:v>
                </c:pt>
                <c:pt idx="3">
                  <c:v>2026f</c:v>
                </c:pt>
              </c:strCache>
            </c:strRef>
          </c:cat>
          <c:val>
            <c:numRef>
              <c:f>'1.8C'!$S$4:$V$4</c:f>
              <c:numCache>
                <c:formatCode>0.0</c:formatCode>
                <c:ptCount val="4"/>
                <c:pt idx="0">
                  <c:v>30.1</c:v>
                </c:pt>
                <c:pt idx="1">
                  <c:v>32</c:v>
                </c:pt>
                <c:pt idx="2">
                  <c:v>32.299999999999997</c:v>
                </c:pt>
                <c:pt idx="3">
                  <c:v>29.4</c:v>
                </c:pt>
              </c:numCache>
            </c:numRef>
          </c:val>
          <c:extLst>
            <c:ext xmlns:c16="http://schemas.microsoft.com/office/drawing/2014/chart" uri="{C3380CC4-5D6E-409C-BE32-E72D297353CC}">
              <c16:uniqueId val="{00000000-B725-476A-B79A-50A491A47356}"/>
            </c:ext>
          </c:extLst>
        </c:ser>
        <c:ser>
          <c:idx val="1"/>
          <c:order val="1"/>
          <c:tx>
            <c:strRef>
              <c:f>'1.8C'!$R$5</c:f>
              <c:strCache>
                <c:ptCount val="1"/>
                <c:pt idx="0">
                  <c:v>Other EMDEs</c:v>
                </c:pt>
              </c:strCache>
            </c:strRef>
          </c:tx>
          <c:spPr>
            <a:solidFill>
              <a:schemeClr val="tx2"/>
            </a:solidFill>
            <a:ln w="76200">
              <a:noFill/>
            </a:ln>
            <a:effectLst/>
          </c:spPr>
          <c:invertIfNegative val="0"/>
          <c:cat>
            <c:strRef>
              <c:f>'1.8C'!$S$3:$V$3</c:f>
              <c:strCache>
                <c:ptCount val="4"/>
                <c:pt idx="0">
                  <c:v>2023e</c:v>
                </c:pt>
                <c:pt idx="1">
                  <c:v>2024e</c:v>
                </c:pt>
                <c:pt idx="2">
                  <c:v>2025f</c:v>
                </c:pt>
                <c:pt idx="3">
                  <c:v>2026f</c:v>
                </c:pt>
              </c:strCache>
            </c:strRef>
          </c:cat>
          <c:val>
            <c:numRef>
              <c:f>'1.8C'!$S$5:$V$5</c:f>
              <c:numCache>
                <c:formatCode>0.0</c:formatCode>
                <c:ptCount val="4"/>
                <c:pt idx="0">
                  <c:v>6.6</c:v>
                </c:pt>
                <c:pt idx="1">
                  <c:v>15.2</c:v>
                </c:pt>
                <c:pt idx="2">
                  <c:v>17.600000000000001</c:v>
                </c:pt>
                <c:pt idx="3">
                  <c:v>18.2</c:v>
                </c:pt>
              </c:numCache>
            </c:numRef>
          </c:val>
          <c:extLst>
            <c:ext xmlns:c16="http://schemas.microsoft.com/office/drawing/2014/chart" uri="{C3380CC4-5D6E-409C-BE32-E72D297353CC}">
              <c16:uniqueId val="{00000001-B725-476A-B79A-50A491A47356}"/>
            </c:ext>
          </c:extLst>
        </c:ser>
        <c:dLbls>
          <c:showLegendKey val="0"/>
          <c:showVal val="0"/>
          <c:showCatName val="0"/>
          <c:showSerName val="0"/>
          <c:showPercent val="0"/>
          <c:showBubbleSize val="0"/>
        </c:dLbls>
        <c:gapWidth val="150"/>
        <c:overlap val="-11"/>
        <c:axId val="1247767536"/>
        <c:axId val="1247768016"/>
      </c:barChart>
      <c:catAx>
        <c:axId val="124776753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47768016"/>
        <c:crosses val="autoZero"/>
        <c:auto val="1"/>
        <c:lblAlgn val="ctr"/>
        <c:lblOffset val="100"/>
        <c:noMultiLvlLbl val="0"/>
      </c:catAx>
      <c:valAx>
        <c:axId val="1247768016"/>
        <c:scaling>
          <c:orientation val="minMax"/>
          <c:max val="4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47767536"/>
        <c:crosses val="autoZero"/>
        <c:crossBetween val="between"/>
        <c:majorUnit val="10"/>
      </c:valAx>
      <c:spPr>
        <a:noFill/>
        <a:ln>
          <a:noFill/>
        </a:ln>
        <a:effectLst/>
      </c:spPr>
    </c:plotArea>
    <c:legend>
      <c:legendPos val="t"/>
      <c:layout>
        <c:manualLayout>
          <c:xMode val="edge"/>
          <c:yMode val="edge"/>
          <c:x val="0.28210322572547281"/>
          <c:y val="0.10880068441331971"/>
          <c:w val="0.54330793169095259"/>
          <c:h val="7.776067296610896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9183397139011E-2"/>
          <c:y val="7.9410177894429862E-2"/>
          <c:w val="0.87233006459569817"/>
          <c:h val="0.80658384368620584"/>
        </c:manualLayout>
      </c:layout>
      <c:barChart>
        <c:barDir val="col"/>
        <c:grouping val="clustered"/>
        <c:varyColors val="0"/>
        <c:ser>
          <c:idx val="0"/>
          <c:order val="0"/>
          <c:spPr>
            <a:solidFill>
              <a:schemeClr val="tx2"/>
            </a:solidFill>
            <a:ln w="76200">
              <a:noFill/>
            </a:ln>
            <a:effectLst/>
          </c:spPr>
          <c:invertIfNegative val="0"/>
          <c:dPt>
            <c:idx val="0"/>
            <c:invertIfNegative val="0"/>
            <c:bubble3D val="0"/>
            <c:spPr>
              <a:solidFill>
                <a:schemeClr val="tx2"/>
              </a:solidFill>
              <a:ln w="76200">
                <a:noFill/>
              </a:ln>
              <a:effectLst/>
            </c:spPr>
            <c:extLst>
              <c:ext xmlns:c16="http://schemas.microsoft.com/office/drawing/2014/chart" uri="{C3380CC4-5D6E-409C-BE32-E72D297353CC}">
                <c16:uniqueId val="{00000001-0D9A-4B86-8D95-936981CF29CA}"/>
              </c:ext>
            </c:extLst>
          </c:dPt>
          <c:dPt>
            <c:idx val="1"/>
            <c:invertIfNegative val="0"/>
            <c:bubble3D val="0"/>
            <c:spPr>
              <a:solidFill>
                <a:schemeClr val="bg2"/>
              </a:solidFill>
              <a:ln w="76200">
                <a:noFill/>
              </a:ln>
              <a:effectLst/>
            </c:spPr>
            <c:extLst>
              <c:ext xmlns:c16="http://schemas.microsoft.com/office/drawing/2014/chart" uri="{C3380CC4-5D6E-409C-BE32-E72D297353CC}">
                <c16:uniqueId val="{00000003-0D9A-4B86-8D95-936981CF29CA}"/>
              </c:ext>
            </c:extLst>
          </c:dPt>
          <c:dPt>
            <c:idx val="2"/>
            <c:invertIfNegative val="0"/>
            <c:bubble3D val="0"/>
            <c:spPr>
              <a:solidFill>
                <a:schemeClr val="tx2"/>
              </a:solidFill>
              <a:ln w="76200">
                <a:noFill/>
              </a:ln>
              <a:effectLst/>
            </c:spPr>
            <c:extLst>
              <c:ext xmlns:c16="http://schemas.microsoft.com/office/drawing/2014/chart" uri="{C3380CC4-5D6E-409C-BE32-E72D297353CC}">
                <c16:uniqueId val="{00000005-0D9A-4B86-8D95-936981CF29CA}"/>
              </c:ext>
            </c:extLst>
          </c:dPt>
          <c:errBars>
            <c:errBarType val="both"/>
            <c:errValType val="cust"/>
            <c:noEndCap val="0"/>
            <c:plus>
              <c:numRef>
                <c:f>'1.8D'!$S$6:$X$6</c:f>
                <c:numCache>
                  <c:formatCode>General</c:formatCode>
                  <c:ptCount val="6"/>
                  <c:pt idx="0">
                    <c:v>4</c:v>
                  </c:pt>
                  <c:pt idx="1">
                    <c:v>5.7</c:v>
                  </c:pt>
                  <c:pt idx="2">
                    <c:v>5.9</c:v>
                  </c:pt>
                  <c:pt idx="3">
                    <c:v>3</c:v>
                  </c:pt>
                  <c:pt idx="4">
                    <c:v>13.3</c:v>
                  </c:pt>
                  <c:pt idx="5">
                    <c:v>5.4</c:v>
                  </c:pt>
                </c:numCache>
              </c:numRef>
            </c:plus>
            <c:minus>
              <c:numRef>
                <c:f>'1.8D'!$S$5:$X$5</c:f>
                <c:numCache>
                  <c:formatCode>General</c:formatCode>
                  <c:ptCount val="6"/>
                  <c:pt idx="0">
                    <c:v>5.0999999999999996</c:v>
                  </c:pt>
                  <c:pt idx="1">
                    <c:v>8.1</c:v>
                  </c:pt>
                  <c:pt idx="2">
                    <c:v>6.4</c:v>
                  </c:pt>
                  <c:pt idx="3">
                    <c:v>10</c:v>
                  </c:pt>
                  <c:pt idx="4">
                    <c:v>11.4</c:v>
                  </c:pt>
                  <c:pt idx="5">
                    <c:v>4.5</c:v>
                  </c:pt>
                </c:numCache>
              </c:numRef>
            </c:minus>
            <c:spPr>
              <a:noFill/>
              <a:ln w="76200" cap="sq" cmpd="sng" algn="ctr">
                <a:solidFill>
                  <a:schemeClr val="accent2"/>
                </a:solidFill>
                <a:round/>
              </a:ln>
              <a:effectLst/>
            </c:spPr>
          </c:errBars>
          <c:cat>
            <c:strRef>
              <c:f>'1.8D'!$S$3:$X$3</c:f>
              <c:strCache>
                <c:ptCount val="6"/>
                <c:pt idx="0">
                  <c:v>SSA</c:v>
                </c:pt>
                <c:pt idx="1">
                  <c:v>SAR</c:v>
                </c:pt>
                <c:pt idx="2">
                  <c:v>LAC</c:v>
                </c:pt>
                <c:pt idx="3">
                  <c:v>MNA</c:v>
                </c:pt>
                <c:pt idx="4">
                  <c:v>EAP</c:v>
                </c:pt>
                <c:pt idx="5">
                  <c:v>ECA</c:v>
                </c:pt>
              </c:strCache>
            </c:strRef>
          </c:cat>
          <c:val>
            <c:numRef>
              <c:f>'1.8D'!$S$4:$X$4</c:f>
              <c:numCache>
                <c:formatCode>0.0</c:formatCode>
                <c:ptCount val="6"/>
                <c:pt idx="0">
                  <c:v>20.6</c:v>
                </c:pt>
                <c:pt idx="1">
                  <c:v>20.6</c:v>
                </c:pt>
                <c:pt idx="2">
                  <c:v>24.6</c:v>
                </c:pt>
                <c:pt idx="3">
                  <c:v>27.8</c:v>
                </c:pt>
                <c:pt idx="4">
                  <c:v>28</c:v>
                </c:pt>
                <c:pt idx="5">
                  <c:v>33.700000000000003</c:v>
                </c:pt>
              </c:numCache>
            </c:numRef>
          </c:val>
          <c:extLst>
            <c:ext xmlns:c16="http://schemas.microsoft.com/office/drawing/2014/chart" uri="{C3380CC4-5D6E-409C-BE32-E72D297353CC}">
              <c16:uniqueId val="{00000006-0D9A-4B86-8D95-936981CF29CA}"/>
            </c:ext>
          </c:extLst>
        </c:ser>
        <c:dLbls>
          <c:showLegendKey val="0"/>
          <c:showVal val="0"/>
          <c:showCatName val="0"/>
          <c:showSerName val="0"/>
          <c:showPercent val="0"/>
          <c:showBubbleSize val="0"/>
        </c:dLbls>
        <c:gapWidth val="150"/>
        <c:overlap val="-27"/>
        <c:axId val="1994711712"/>
        <c:axId val="1997010240"/>
      </c:barChart>
      <c:lineChart>
        <c:grouping val="standard"/>
        <c:varyColors val="0"/>
        <c:ser>
          <c:idx val="1"/>
          <c:order val="1"/>
          <c:tx>
            <c:strRef>
              <c:f>'1.8D'!$R$7</c:f>
              <c:strCache>
                <c:ptCount val="1"/>
                <c:pt idx="0">
                  <c:v>Median EMDE</c:v>
                </c:pt>
              </c:strCache>
            </c:strRef>
          </c:tx>
          <c:spPr>
            <a:ln w="76200" cap="rnd">
              <a:solidFill>
                <a:srgbClr val="00B0F0"/>
              </a:solidFill>
              <a:prstDash val="sysDash"/>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'1.8D'!$S$3:$X$3</c:f>
              <c:strCache>
                <c:ptCount val="6"/>
                <c:pt idx="0">
                  <c:v>SSA</c:v>
                </c:pt>
                <c:pt idx="1">
                  <c:v>SAR</c:v>
                </c:pt>
                <c:pt idx="2">
                  <c:v>LAC</c:v>
                </c:pt>
                <c:pt idx="3">
                  <c:v>MNA</c:v>
                </c:pt>
                <c:pt idx="4">
                  <c:v>EAP</c:v>
                </c:pt>
                <c:pt idx="5">
                  <c:v>ECA</c:v>
                </c:pt>
              </c:strCache>
            </c:strRef>
          </c:cat>
          <c:val>
            <c:numRef>
              <c:f>'1.8D'!$S$7:$X$7</c:f>
              <c:numCache>
                <c:formatCode>0.0</c:formatCode>
                <c:ptCount val="6"/>
                <c:pt idx="0">
                  <c:v>23.5</c:v>
                </c:pt>
                <c:pt idx="1">
                  <c:v>23.5</c:v>
                </c:pt>
                <c:pt idx="2">
                  <c:v>23.5</c:v>
                </c:pt>
                <c:pt idx="3">
                  <c:v>23.5</c:v>
                </c:pt>
                <c:pt idx="4">
                  <c:v>23.5</c:v>
                </c:pt>
                <c:pt idx="5">
                  <c:v>23.5</c:v>
                </c:pt>
              </c:numCache>
            </c:numRef>
          </c:val>
          <c:smooth val="0"/>
          <c:extLst>
            <c:ext xmlns:c16="http://schemas.microsoft.com/office/drawing/2014/chart" uri="{C3380CC4-5D6E-409C-BE32-E72D297353CC}">
              <c16:uniqueId val="{00000007-0D9A-4B86-8D95-936981CF29CA}"/>
            </c:ext>
          </c:extLst>
        </c:ser>
        <c:dLbls>
          <c:showLegendKey val="0"/>
          <c:showVal val="0"/>
          <c:showCatName val="0"/>
          <c:showSerName val="0"/>
          <c:showPercent val="0"/>
          <c:showBubbleSize val="0"/>
        </c:dLbls>
        <c:marker val="1"/>
        <c:smooth val="0"/>
        <c:axId val="1994711712"/>
        <c:axId val="1997010240"/>
      </c:lineChart>
      <c:catAx>
        <c:axId val="199471171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97010240"/>
        <c:crosses val="autoZero"/>
        <c:auto val="1"/>
        <c:lblAlgn val="ctr"/>
        <c:lblOffset val="100"/>
        <c:noMultiLvlLbl val="0"/>
      </c:catAx>
      <c:valAx>
        <c:axId val="1997010240"/>
        <c:scaling>
          <c:orientation val="minMax"/>
          <c:max val="45"/>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94711712"/>
        <c:crosses val="autoZero"/>
        <c:crossBetween val="between"/>
        <c:majorUnit val="10"/>
      </c:valAx>
      <c:spPr>
        <a:noFill/>
        <a:ln>
          <a:noFill/>
        </a:ln>
        <a:effectLst/>
      </c:spPr>
    </c:plotArea>
    <c:legend>
      <c:legendPos val="r"/>
      <c:legendEntry>
        <c:idx val="0"/>
        <c:delete val="1"/>
      </c:legendEntry>
      <c:layout>
        <c:manualLayout>
          <c:xMode val="edge"/>
          <c:yMode val="edge"/>
          <c:x val="0.25955370549157214"/>
          <c:y val="8.7476593229368127E-2"/>
          <c:w val="0.48363194788216601"/>
          <c:h val="9.182669149234642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400127682820079E-2"/>
          <c:y val="0.12347550306211724"/>
          <c:w val="0.88952695532795245"/>
          <c:h val="0.76119130941965585"/>
        </c:manualLayout>
      </c:layout>
      <c:barChart>
        <c:barDir val="col"/>
        <c:grouping val="clustered"/>
        <c:varyColors val="0"/>
        <c:ser>
          <c:idx val="0"/>
          <c:order val="0"/>
          <c:tx>
            <c:strRef>
              <c:f>'1.8E'!$R$3</c:f>
              <c:strCache>
                <c:ptCount val="1"/>
                <c:pt idx="0">
                  <c:v>Avg. 2024</c:v>
                </c:pt>
              </c:strCache>
            </c:strRef>
          </c:tx>
          <c:spPr>
            <a:solidFill>
              <a:schemeClr val="tx2"/>
            </a:solidFill>
            <a:ln w="76200">
              <a:noFill/>
            </a:ln>
            <a:effectLst/>
          </c:spPr>
          <c:invertIfNegative val="0"/>
          <c:dPt>
            <c:idx val="0"/>
            <c:invertIfNegative val="0"/>
            <c:bubble3D val="0"/>
            <c:spPr>
              <a:solidFill>
                <a:schemeClr val="bg2"/>
              </a:solidFill>
              <a:ln w="76200">
                <a:noFill/>
              </a:ln>
              <a:effectLst/>
            </c:spPr>
            <c:extLst>
              <c:ext xmlns:c16="http://schemas.microsoft.com/office/drawing/2014/chart" uri="{C3380CC4-5D6E-409C-BE32-E72D297353CC}">
                <c16:uniqueId val="{00000001-7812-4657-BD44-F173E1E82674}"/>
              </c:ext>
            </c:extLst>
          </c:dPt>
          <c:dPt>
            <c:idx val="2"/>
            <c:invertIfNegative val="0"/>
            <c:bubble3D val="0"/>
            <c:spPr>
              <a:solidFill>
                <a:schemeClr val="tx2"/>
              </a:solidFill>
              <a:ln w="76200">
                <a:noFill/>
              </a:ln>
              <a:effectLst/>
            </c:spPr>
            <c:extLst>
              <c:ext xmlns:c16="http://schemas.microsoft.com/office/drawing/2014/chart" uri="{C3380CC4-5D6E-409C-BE32-E72D297353CC}">
                <c16:uniqueId val="{00000003-7812-4657-BD44-F173E1E82674}"/>
              </c:ext>
            </c:extLst>
          </c:dPt>
          <c:errBars>
            <c:errBarType val="both"/>
            <c:errValType val="cust"/>
            <c:noEndCap val="0"/>
            <c:plus>
              <c:numRef>
                <c:f>'1.8E'!$S$6:$X$6</c:f>
                <c:numCache>
                  <c:formatCode>General</c:formatCode>
                  <c:ptCount val="6"/>
                  <c:pt idx="0">
                    <c:v>5.95</c:v>
                  </c:pt>
                  <c:pt idx="1">
                    <c:v>1.41</c:v>
                  </c:pt>
                  <c:pt idx="2">
                    <c:v>2.13</c:v>
                  </c:pt>
                  <c:pt idx="3">
                    <c:v>0.99</c:v>
                  </c:pt>
                  <c:pt idx="4">
                    <c:v>1.1299999999999999</c:v>
                  </c:pt>
                  <c:pt idx="5">
                    <c:v>2.2400000000000002</c:v>
                  </c:pt>
                </c:numCache>
              </c:numRef>
            </c:plus>
            <c:minus>
              <c:numRef>
                <c:f>'1.8E'!$S$7:$X$7</c:f>
                <c:numCache>
                  <c:formatCode>General</c:formatCode>
                  <c:ptCount val="6"/>
                  <c:pt idx="0">
                    <c:v>0.92</c:v>
                  </c:pt>
                  <c:pt idx="1">
                    <c:v>0.62</c:v>
                  </c:pt>
                  <c:pt idx="2">
                    <c:v>1.75</c:v>
                  </c:pt>
                  <c:pt idx="3">
                    <c:v>0.36</c:v>
                  </c:pt>
                  <c:pt idx="4">
                    <c:v>3</c:v>
                  </c:pt>
                  <c:pt idx="5">
                    <c:v>2.0699999999999998</c:v>
                  </c:pt>
                </c:numCache>
              </c:numRef>
            </c:minus>
            <c:spPr>
              <a:noFill/>
              <a:ln w="76200" cap="sq" cmpd="sng" algn="ctr">
                <a:solidFill>
                  <a:schemeClr val="accent2"/>
                </a:solidFill>
                <a:miter lim="800000"/>
              </a:ln>
              <a:effectLst/>
            </c:spPr>
          </c:errBars>
          <c:cat>
            <c:strRef>
              <c:f>'1.8E'!$S$3:$X$3</c:f>
              <c:strCache>
                <c:ptCount val="6"/>
                <c:pt idx="0">
                  <c:v>SAR</c:v>
                </c:pt>
                <c:pt idx="1">
                  <c:v>SSA</c:v>
                </c:pt>
                <c:pt idx="2">
                  <c:v>ECA</c:v>
                </c:pt>
                <c:pt idx="3">
                  <c:v>MNA</c:v>
                </c:pt>
                <c:pt idx="4">
                  <c:v>LAC</c:v>
                </c:pt>
                <c:pt idx="5">
                  <c:v>EAP</c:v>
                </c:pt>
              </c:strCache>
            </c:strRef>
          </c:cat>
          <c:val>
            <c:numRef>
              <c:f>'1.8E'!$S$4:$X$4</c:f>
              <c:numCache>
                <c:formatCode>General</c:formatCode>
                <c:ptCount val="6"/>
                <c:pt idx="0">
                  <c:v>4.04</c:v>
                </c:pt>
                <c:pt idx="1">
                  <c:v>4.3099999999999996</c:v>
                </c:pt>
                <c:pt idx="2">
                  <c:v>4.3499999999999996</c:v>
                </c:pt>
                <c:pt idx="3">
                  <c:v>4.88</c:v>
                </c:pt>
                <c:pt idx="4">
                  <c:v>7.21</c:v>
                </c:pt>
                <c:pt idx="5">
                  <c:v>7.3</c:v>
                </c:pt>
              </c:numCache>
            </c:numRef>
          </c:val>
          <c:extLst>
            <c:ext xmlns:c16="http://schemas.microsoft.com/office/drawing/2014/chart" uri="{C3380CC4-5D6E-409C-BE32-E72D297353CC}">
              <c16:uniqueId val="{00000004-7812-4657-BD44-F173E1E82674}"/>
            </c:ext>
          </c:extLst>
        </c:ser>
        <c:dLbls>
          <c:showLegendKey val="0"/>
          <c:showVal val="0"/>
          <c:showCatName val="0"/>
          <c:showSerName val="0"/>
          <c:showPercent val="0"/>
          <c:showBubbleSize val="0"/>
        </c:dLbls>
        <c:gapWidth val="150"/>
        <c:overlap val="-27"/>
        <c:axId val="82394560"/>
        <c:axId val="82393600"/>
      </c:barChart>
      <c:lineChart>
        <c:grouping val="standard"/>
        <c:varyColors val="0"/>
        <c:ser>
          <c:idx val="1"/>
          <c:order val="1"/>
          <c:tx>
            <c:strRef>
              <c:f>'1.8E'!$R$5</c:f>
              <c:strCache>
                <c:ptCount val="1"/>
                <c:pt idx="0">
                  <c:v>Median EMDE</c:v>
                </c:pt>
              </c:strCache>
            </c:strRef>
          </c:tx>
          <c:spPr>
            <a:ln w="76200" cap="rnd">
              <a:solidFill>
                <a:srgbClr val="00B0F0"/>
              </a:solidFill>
              <a:prstDash val="sysDash"/>
              <a:round/>
            </a:ln>
            <a:effectLst/>
          </c:spPr>
          <c:marker>
            <c:symbol val="none"/>
          </c:marker>
          <c:cat>
            <c:strRef>
              <c:f>'1.8E'!$S$3:$X$3</c:f>
              <c:strCache>
                <c:ptCount val="6"/>
                <c:pt idx="0">
                  <c:v>SAR</c:v>
                </c:pt>
                <c:pt idx="1">
                  <c:v>SSA</c:v>
                </c:pt>
                <c:pt idx="2">
                  <c:v>ECA</c:v>
                </c:pt>
                <c:pt idx="3">
                  <c:v>MNA</c:v>
                </c:pt>
                <c:pt idx="4">
                  <c:v>LAC</c:v>
                </c:pt>
                <c:pt idx="5">
                  <c:v>EAP</c:v>
                </c:pt>
              </c:strCache>
            </c:strRef>
          </c:cat>
          <c:val>
            <c:numRef>
              <c:f>'1.8E'!$S$5:$X$5</c:f>
              <c:numCache>
                <c:formatCode>General</c:formatCode>
                <c:ptCount val="6"/>
                <c:pt idx="0">
                  <c:v>5.41</c:v>
                </c:pt>
                <c:pt idx="1">
                  <c:v>5.41</c:v>
                </c:pt>
                <c:pt idx="2">
                  <c:v>5.41</c:v>
                </c:pt>
                <c:pt idx="3">
                  <c:v>5.41</c:v>
                </c:pt>
                <c:pt idx="4">
                  <c:v>5.41</c:v>
                </c:pt>
                <c:pt idx="5">
                  <c:v>5.41</c:v>
                </c:pt>
              </c:numCache>
            </c:numRef>
          </c:val>
          <c:smooth val="0"/>
          <c:extLst>
            <c:ext xmlns:c16="http://schemas.microsoft.com/office/drawing/2014/chart" uri="{C3380CC4-5D6E-409C-BE32-E72D297353CC}">
              <c16:uniqueId val="{00000005-7812-4657-BD44-F173E1E82674}"/>
            </c:ext>
          </c:extLst>
        </c:ser>
        <c:dLbls>
          <c:showLegendKey val="0"/>
          <c:showVal val="0"/>
          <c:showCatName val="0"/>
          <c:showSerName val="0"/>
          <c:showPercent val="0"/>
          <c:showBubbleSize val="0"/>
        </c:dLbls>
        <c:marker val="1"/>
        <c:smooth val="0"/>
        <c:axId val="82394560"/>
        <c:axId val="82393600"/>
      </c:lineChart>
      <c:catAx>
        <c:axId val="8239456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2393600"/>
        <c:crosses val="autoZero"/>
        <c:auto val="1"/>
        <c:lblAlgn val="ctr"/>
        <c:lblOffset val="100"/>
        <c:noMultiLvlLbl val="0"/>
      </c:catAx>
      <c:valAx>
        <c:axId val="82393600"/>
        <c:scaling>
          <c:orientation val="minMax"/>
          <c:max val="12"/>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2394560"/>
        <c:crosses val="autoZero"/>
        <c:crossBetween val="between"/>
        <c:majorUnit val="2"/>
      </c:valAx>
      <c:spPr>
        <a:noFill/>
        <a:ln>
          <a:noFill/>
        </a:ln>
        <a:effectLst/>
      </c:spPr>
    </c:plotArea>
    <c:legend>
      <c:legendPos val="t"/>
      <c:legendEntry>
        <c:idx val="0"/>
        <c:delete val="1"/>
      </c:legendEntry>
      <c:layout>
        <c:manualLayout>
          <c:xMode val="edge"/>
          <c:yMode val="edge"/>
          <c:x val="0.31240463692038495"/>
          <c:y val="0.14074074074074075"/>
          <c:w val="0.39631714785651795"/>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'1.1B'!$S$4</c:f>
              <c:strCache>
                <c:ptCount val="1"/>
              </c:strCache>
            </c:strRef>
          </c:tx>
          <c:spPr>
            <a:solidFill>
              <a:srgbClr val="002345"/>
            </a:solidFill>
            <a:ln w="76200">
              <a:noFill/>
            </a:ln>
            <a:effectLst/>
          </c:spPr>
          <c:invertIfNegative val="0"/>
          <c:dPt>
            <c:idx val="5"/>
            <c:invertIfNegative val="0"/>
            <c:bubble3D val="0"/>
            <c:spPr>
              <a:solidFill>
                <a:schemeClr val="bg2"/>
              </a:solidFill>
              <a:ln w="76200">
                <a:noFill/>
              </a:ln>
              <a:effectLst/>
            </c:spPr>
            <c:extLst>
              <c:ext xmlns:c16="http://schemas.microsoft.com/office/drawing/2014/chart" uri="{C3380CC4-5D6E-409C-BE32-E72D297353CC}">
                <c16:uniqueId val="{00000001-6DEE-4509-B0D5-039488426131}"/>
              </c:ext>
            </c:extLst>
          </c:dPt>
          <c:cat>
            <c:strRef>
              <c:f>'1.1B'!$R$5:$R$10</c:f>
              <c:strCache>
                <c:ptCount val="6"/>
                <c:pt idx="0">
                  <c:v>EAP</c:v>
                </c:pt>
                <c:pt idx="1">
                  <c:v>LAC</c:v>
                </c:pt>
                <c:pt idx="2">
                  <c:v>ECA</c:v>
                </c:pt>
                <c:pt idx="3">
                  <c:v>MNA</c:v>
                </c:pt>
                <c:pt idx="4">
                  <c:v>SSA</c:v>
                </c:pt>
                <c:pt idx="5">
                  <c:v>SAR</c:v>
                </c:pt>
              </c:strCache>
            </c:strRef>
          </c:cat>
          <c:val>
            <c:numRef>
              <c:f>'1.1B'!$S$5:$S$10</c:f>
              <c:numCache>
                <c:formatCode>General</c:formatCode>
                <c:ptCount val="6"/>
                <c:pt idx="0">
                  <c:v>3.1</c:v>
                </c:pt>
                <c:pt idx="1">
                  <c:v>8.5</c:v>
                </c:pt>
                <c:pt idx="2">
                  <c:v>10.5</c:v>
                </c:pt>
                <c:pt idx="3">
                  <c:v>15.1</c:v>
                </c:pt>
                <c:pt idx="4">
                  <c:v>16.2</c:v>
                </c:pt>
                <c:pt idx="5">
                  <c:v>24.7</c:v>
                </c:pt>
              </c:numCache>
            </c:numRef>
          </c:val>
          <c:extLst>
            <c:ext xmlns:c16="http://schemas.microsoft.com/office/drawing/2014/chart" uri="{C3380CC4-5D6E-409C-BE32-E72D297353CC}">
              <c16:uniqueId val="{00000002-6DEE-4509-B0D5-039488426131}"/>
            </c:ext>
          </c:extLst>
        </c:ser>
        <c:dLbls>
          <c:showLegendKey val="0"/>
          <c:showVal val="0"/>
          <c:showCatName val="0"/>
          <c:showSerName val="0"/>
          <c:showPercent val="0"/>
          <c:showBubbleSize val="0"/>
        </c:dLbls>
        <c:gapWidth val="150"/>
        <c:overlap val="-27"/>
        <c:axId val="1644925168"/>
        <c:axId val="1644942448"/>
      </c:barChart>
      <c:lineChart>
        <c:grouping val="standard"/>
        <c:varyColors val="0"/>
        <c:ser>
          <c:idx val="1"/>
          <c:order val="1"/>
          <c:tx>
            <c:strRef>
              <c:f>'1.1B'!$T$4</c:f>
              <c:strCache>
                <c:ptCount val="1"/>
                <c:pt idx="0">
                  <c:v>Median EMDE</c:v>
                </c:pt>
              </c:strCache>
            </c:strRef>
          </c:tx>
          <c:spPr>
            <a:ln w="76200" cap="rnd">
              <a:solidFill>
                <a:schemeClr val="accent2"/>
              </a:solidFill>
              <a:prstDash val="sysDash"/>
              <a:round/>
            </a:ln>
            <a:effectLst/>
          </c:spPr>
          <c:marker>
            <c:symbol val="none"/>
          </c:marker>
          <c:cat>
            <c:strRef>
              <c:f>'1.1B'!$R$5:$R$10</c:f>
              <c:strCache>
                <c:ptCount val="6"/>
                <c:pt idx="0">
                  <c:v>EAP</c:v>
                </c:pt>
                <c:pt idx="1">
                  <c:v>LAC</c:v>
                </c:pt>
                <c:pt idx="2">
                  <c:v>ECA</c:v>
                </c:pt>
                <c:pt idx="3">
                  <c:v>MNA</c:v>
                </c:pt>
                <c:pt idx="4">
                  <c:v>SSA</c:v>
                </c:pt>
                <c:pt idx="5">
                  <c:v>SAR</c:v>
                </c:pt>
              </c:strCache>
            </c:strRef>
          </c:cat>
          <c:val>
            <c:numRef>
              <c:f>'1.1B'!$T$5:$T$10</c:f>
              <c:numCache>
                <c:formatCode>General</c:formatCode>
                <c:ptCount val="6"/>
                <c:pt idx="0">
                  <c:v>12.5</c:v>
                </c:pt>
                <c:pt idx="1">
                  <c:v>12.5</c:v>
                </c:pt>
                <c:pt idx="2">
                  <c:v>12.5</c:v>
                </c:pt>
                <c:pt idx="3">
                  <c:v>12.5</c:v>
                </c:pt>
                <c:pt idx="4">
                  <c:v>12.5</c:v>
                </c:pt>
                <c:pt idx="5">
                  <c:v>12.5</c:v>
                </c:pt>
              </c:numCache>
            </c:numRef>
          </c:val>
          <c:smooth val="0"/>
          <c:extLst>
            <c:ext xmlns:c16="http://schemas.microsoft.com/office/drawing/2014/chart" uri="{C3380CC4-5D6E-409C-BE32-E72D297353CC}">
              <c16:uniqueId val="{00000003-6DEE-4509-B0D5-039488426131}"/>
            </c:ext>
          </c:extLst>
        </c:ser>
        <c:dLbls>
          <c:showLegendKey val="0"/>
          <c:showVal val="0"/>
          <c:showCatName val="0"/>
          <c:showSerName val="0"/>
          <c:showPercent val="0"/>
          <c:showBubbleSize val="0"/>
        </c:dLbls>
        <c:marker val="1"/>
        <c:smooth val="0"/>
        <c:axId val="1644925168"/>
        <c:axId val="1644942448"/>
      </c:lineChart>
      <c:catAx>
        <c:axId val="164492516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44942448"/>
        <c:crosses val="autoZero"/>
        <c:auto val="1"/>
        <c:lblAlgn val="ctr"/>
        <c:lblOffset val="100"/>
        <c:noMultiLvlLbl val="0"/>
      </c:catAx>
      <c:valAx>
        <c:axId val="1644942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44925168"/>
        <c:crosses val="autoZero"/>
        <c:crossBetween val="between"/>
      </c:valAx>
      <c:spPr>
        <a:noFill/>
        <a:ln>
          <a:noFill/>
        </a:ln>
        <a:effectLst/>
      </c:spPr>
    </c:plotArea>
    <c:legend>
      <c:legendPos val="t"/>
      <c:legendEntry>
        <c:idx val="0"/>
        <c:delete val="1"/>
      </c:legendEntry>
      <c:layout>
        <c:manualLayout>
          <c:xMode val="edge"/>
          <c:yMode val="edge"/>
          <c:x val="0.2651774934383202"/>
          <c:y val="0.20200554097404491"/>
          <c:w val="0.38928073053368328"/>
          <c:h val="7.9562408865558473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71649205006399"/>
          <c:y val="0.15008191283781835"/>
          <c:w val="0.82768356434784496"/>
          <c:h val="0.73716492169248071"/>
        </c:manualLayout>
      </c:layout>
      <c:barChart>
        <c:barDir val="col"/>
        <c:grouping val="stacked"/>
        <c:varyColors val="0"/>
        <c:ser>
          <c:idx val="0"/>
          <c:order val="0"/>
          <c:tx>
            <c:strRef>
              <c:f>'1.9A'!$S$3</c:f>
              <c:strCache>
                <c:ptCount val="1"/>
                <c:pt idx="0">
                  <c:v>Flood</c:v>
                </c:pt>
              </c:strCache>
            </c:strRef>
          </c:tx>
          <c:spPr>
            <a:solidFill>
              <a:srgbClr val="002345"/>
            </a:solidFill>
            <a:ln w="76200">
              <a:noFill/>
            </a:ln>
            <a:effectLst/>
          </c:spPr>
          <c:invertIfNegative val="0"/>
          <c:cat>
            <c:strRef>
              <c:f>'1.9A'!$R$4:$R$7</c:f>
              <c:strCache>
                <c:ptCount val="4"/>
                <c:pt idx="0">
                  <c:v>1980s</c:v>
                </c:pt>
                <c:pt idx="1">
                  <c:v>1990s</c:v>
                </c:pt>
                <c:pt idx="2">
                  <c:v>2000s</c:v>
                </c:pt>
                <c:pt idx="3">
                  <c:v>2010s</c:v>
                </c:pt>
              </c:strCache>
            </c:strRef>
          </c:cat>
          <c:val>
            <c:numRef>
              <c:f>'1.9A'!$S$4:$S$7</c:f>
              <c:numCache>
                <c:formatCode>0.0</c:formatCode>
                <c:ptCount val="4"/>
                <c:pt idx="0">
                  <c:v>51.5</c:v>
                </c:pt>
                <c:pt idx="1">
                  <c:v>86.1</c:v>
                </c:pt>
                <c:pt idx="2">
                  <c:v>171.9</c:v>
                </c:pt>
                <c:pt idx="3">
                  <c:v>153.1</c:v>
                </c:pt>
              </c:numCache>
            </c:numRef>
          </c:val>
          <c:extLst>
            <c:ext xmlns:c16="http://schemas.microsoft.com/office/drawing/2014/chart" uri="{C3380CC4-5D6E-409C-BE32-E72D297353CC}">
              <c16:uniqueId val="{00000000-F4C1-4097-B668-01C47FAD2440}"/>
            </c:ext>
          </c:extLst>
        </c:ser>
        <c:ser>
          <c:idx val="1"/>
          <c:order val="1"/>
          <c:tx>
            <c:strRef>
              <c:f>'1.9A'!$T$3</c:f>
              <c:strCache>
                <c:ptCount val="1"/>
                <c:pt idx="0">
                  <c:v>Extreme temperature</c:v>
                </c:pt>
              </c:strCache>
            </c:strRef>
          </c:tx>
          <c:spPr>
            <a:solidFill>
              <a:srgbClr val="EB1C2D"/>
            </a:solidFill>
            <a:ln w="76200">
              <a:noFill/>
            </a:ln>
            <a:effectLst/>
          </c:spPr>
          <c:invertIfNegative val="0"/>
          <c:cat>
            <c:strRef>
              <c:f>'1.9A'!$R$4:$R$7</c:f>
              <c:strCache>
                <c:ptCount val="4"/>
                <c:pt idx="0">
                  <c:v>1980s</c:v>
                </c:pt>
                <c:pt idx="1">
                  <c:v>1990s</c:v>
                </c:pt>
                <c:pt idx="2">
                  <c:v>2000s</c:v>
                </c:pt>
                <c:pt idx="3">
                  <c:v>2010s</c:v>
                </c:pt>
              </c:strCache>
            </c:strRef>
          </c:cat>
          <c:val>
            <c:numRef>
              <c:f>'1.9A'!$T$4:$T$7</c:f>
              <c:numCache>
                <c:formatCode>0.0</c:formatCode>
                <c:ptCount val="4"/>
                <c:pt idx="0">
                  <c:v>3.7</c:v>
                </c:pt>
                <c:pt idx="1">
                  <c:v>9.1</c:v>
                </c:pt>
                <c:pt idx="2">
                  <c:v>22.3</c:v>
                </c:pt>
                <c:pt idx="3">
                  <c:v>20.8</c:v>
                </c:pt>
              </c:numCache>
            </c:numRef>
          </c:val>
          <c:extLst>
            <c:ext xmlns:c16="http://schemas.microsoft.com/office/drawing/2014/chart" uri="{C3380CC4-5D6E-409C-BE32-E72D297353CC}">
              <c16:uniqueId val="{00000001-F4C1-4097-B668-01C47FAD2440}"/>
            </c:ext>
          </c:extLst>
        </c:ser>
        <c:ser>
          <c:idx val="2"/>
          <c:order val="2"/>
          <c:tx>
            <c:strRef>
              <c:f>'1.9A'!$U$3</c:f>
              <c:strCache>
                <c:ptCount val="1"/>
                <c:pt idx="0">
                  <c:v>Drought</c:v>
                </c:pt>
              </c:strCache>
            </c:strRef>
          </c:tx>
          <c:spPr>
            <a:solidFill>
              <a:srgbClr val="F78D28"/>
            </a:solidFill>
            <a:ln w="76200">
              <a:noFill/>
            </a:ln>
            <a:effectLst/>
          </c:spPr>
          <c:invertIfNegative val="0"/>
          <c:cat>
            <c:strRef>
              <c:f>'1.9A'!$R$4:$R$7</c:f>
              <c:strCache>
                <c:ptCount val="4"/>
                <c:pt idx="0">
                  <c:v>1980s</c:v>
                </c:pt>
                <c:pt idx="1">
                  <c:v>1990s</c:v>
                </c:pt>
                <c:pt idx="2">
                  <c:v>2000s</c:v>
                </c:pt>
                <c:pt idx="3">
                  <c:v>2010s</c:v>
                </c:pt>
              </c:strCache>
            </c:strRef>
          </c:cat>
          <c:val>
            <c:numRef>
              <c:f>'1.9A'!$U$4:$U$7</c:f>
              <c:numCache>
                <c:formatCode>0.0</c:formatCode>
                <c:ptCount val="4"/>
                <c:pt idx="0">
                  <c:v>12.6</c:v>
                </c:pt>
                <c:pt idx="1">
                  <c:v>13.7</c:v>
                </c:pt>
                <c:pt idx="2">
                  <c:v>17.3</c:v>
                </c:pt>
                <c:pt idx="3">
                  <c:v>16.899999999999999</c:v>
                </c:pt>
              </c:numCache>
            </c:numRef>
          </c:val>
          <c:extLst>
            <c:ext xmlns:c16="http://schemas.microsoft.com/office/drawing/2014/chart" uri="{C3380CC4-5D6E-409C-BE32-E72D297353CC}">
              <c16:uniqueId val="{00000002-F4C1-4097-B668-01C47FAD2440}"/>
            </c:ext>
          </c:extLst>
        </c:ser>
        <c:ser>
          <c:idx val="3"/>
          <c:order val="3"/>
          <c:tx>
            <c:strRef>
              <c:f>'1.9A'!$V$3</c:f>
              <c:strCache>
                <c:ptCount val="1"/>
                <c:pt idx="0">
                  <c:v>Wildfire</c:v>
                </c:pt>
              </c:strCache>
            </c:strRef>
          </c:tx>
          <c:spPr>
            <a:solidFill>
              <a:schemeClr val="accent5"/>
            </a:solidFill>
            <a:ln w="76200">
              <a:noFill/>
            </a:ln>
            <a:effectLst/>
          </c:spPr>
          <c:invertIfNegative val="0"/>
          <c:cat>
            <c:strRef>
              <c:f>'1.9A'!$R$4:$R$7</c:f>
              <c:strCache>
                <c:ptCount val="4"/>
                <c:pt idx="0">
                  <c:v>1980s</c:v>
                </c:pt>
                <c:pt idx="1">
                  <c:v>1990s</c:v>
                </c:pt>
                <c:pt idx="2">
                  <c:v>2000s</c:v>
                </c:pt>
                <c:pt idx="3">
                  <c:v>2010s</c:v>
                </c:pt>
              </c:strCache>
            </c:strRef>
          </c:cat>
          <c:val>
            <c:numRef>
              <c:f>'1.9A'!$V$4:$V$7</c:f>
              <c:numCache>
                <c:formatCode>0.0</c:formatCode>
                <c:ptCount val="4"/>
                <c:pt idx="0">
                  <c:v>4.9000000000000004</c:v>
                </c:pt>
                <c:pt idx="1">
                  <c:v>10</c:v>
                </c:pt>
                <c:pt idx="2">
                  <c:v>14.3</c:v>
                </c:pt>
                <c:pt idx="3">
                  <c:v>9.6999999999999993</c:v>
                </c:pt>
              </c:numCache>
            </c:numRef>
          </c:val>
          <c:extLst>
            <c:ext xmlns:c16="http://schemas.microsoft.com/office/drawing/2014/chart" uri="{C3380CC4-5D6E-409C-BE32-E72D297353CC}">
              <c16:uniqueId val="{00000003-F4C1-4097-B668-01C47FAD2440}"/>
            </c:ext>
          </c:extLst>
        </c:ser>
        <c:dLbls>
          <c:showLegendKey val="0"/>
          <c:showVal val="0"/>
          <c:showCatName val="0"/>
          <c:showSerName val="0"/>
          <c:showPercent val="0"/>
          <c:showBubbleSize val="0"/>
        </c:dLbls>
        <c:gapWidth val="150"/>
        <c:overlap val="100"/>
        <c:axId val="2058440319"/>
        <c:axId val="884695807"/>
      </c:barChart>
      <c:catAx>
        <c:axId val="205844031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84695807"/>
        <c:crosses val="autoZero"/>
        <c:auto val="1"/>
        <c:lblAlgn val="ctr"/>
        <c:lblOffset val="100"/>
        <c:noMultiLvlLbl val="0"/>
      </c:catAx>
      <c:valAx>
        <c:axId val="884695807"/>
        <c:scaling>
          <c:orientation val="minMax"/>
          <c:max val="3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58440319"/>
        <c:crosses val="autoZero"/>
        <c:crossBetween val="between"/>
      </c:valAx>
      <c:spPr>
        <a:noFill/>
        <a:ln>
          <a:noFill/>
        </a:ln>
        <a:effectLst/>
      </c:spPr>
    </c:plotArea>
    <c:legend>
      <c:legendPos val="t"/>
      <c:layout>
        <c:manualLayout>
          <c:xMode val="edge"/>
          <c:yMode val="edge"/>
          <c:x val="0.14599233161263439"/>
          <c:y val="0.12624257398086938"/>
          <c:w val="0.4964786185945968"/>
          <c:h val="0.2944758363773266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01090141588365"/>
          <c:y val="0.14745072419962618"/>
          <c:w val="0.86477717734858794"/>
          <c:h val="0.73698875733566671"/>
        </c:manualLayout>
      </c:layout>
      <c:barChart>
        <c:barDir val="col"/>
        <c:grouping val="stacked"/>
        <c:varyColors val="0"/>
        <c:ser>
          <c:idx val="0"/>
          <c:order val="0"/>
          <c:tx>
            <c:strRef>
              <c:f>'1.9B'!$S$3</c:f>
              <c:strCache>
                <c:ptCount val="1"/>
                <c:pt idx="0">
                  <c:v>Drought</c:v>
                </c:pt>
              </c:strCache>
            </c:strRef>
          </c:tx>
          <c:spPr>
            <a:solidFill>
              <a:schemeClr val="accent1"/>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'1.9B'!$S$4:$S$9</c:f>
              <c:numCache>
                <c:formatCode>0.0</c:formatCode>
                <c:ptCount val="6"/>
                <c:pt idx="0">
                  <c:v>26.9</c:v>
                </c:pt>
                <c:pt idx="1">
                  <c:v>7.4</c:v>
                </c:pt>
                <c:pt idx="2">
                  <c:v>9.1999999999999993</c:v>
                </c:pt>
                <c:pt idx="3">
                  <c:v>7.3</c:v>
                </c:pt>
                <c:pt idx="4">
                  <c:v>2.1</c:v>
                </c:pt>
                <c:pt idx="5">
                  <c:v>1.1000000000000001</c:v>
                </c:pt>
              </c:numCache>
            </c:numRef>
          </c:val>
          <c:extLst>
            <c:ext xmlns:c16="http://schemas.microsoft.com/office/drawing/2014/chart" uri="{C3380CC4-5D6E-409C-BE32-E72D297353CC}">
              <c16:uniqueId val="{00000000-A031-4F23-AB7F-415AA96607BA}"/>
            </c:ext>
          </c:extLst>
        </c:ser>
        <c:ser>
          <c:idx val="1"/>
          <c:order val="1"/>
          <c:tx>
            <c:strRef>
              <c:f>'1.9B'!$T$3</c:f>
              <c:strCache>
                <c:ptCount val="1"/>
                <c:pt idx="0">
                  <c:v>Earthquake</c:v>
                </c:pt>
              </c:strCache>
            </c:strRef>
          </c:tx>
          <c:spPr>
            <a:solidFill>
              <a:schemeClr val="accent2"/>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'1.9B'!$T$4:$T$9</c:f>
              <c:numCache>
                <c:formatCode>0.0</c:formatCode>
                <c:ptCount val="6"/>
                <c:pt idx="0">
                  <c:v>121.6</c:v>
                </c:pt>
                <c:pt idx="1">
                  <c:v>20.100000000000001</c:v>
                </c:pt>
                <c:pt idx="2">
                  <c:v>11.8</c:v>
                </c:pt>
                <c:pt idx="3">
                  <c:v>1.3</c:v>
                </c:pt>
                <c:pt idx="4">
                  <c:v>13.3</c:v>
                </c:pt>
                <c:pt idx="5">
                  <c:v>19.100000000000001</c:v>
                </c:pt>
              </c:numCache>
            </c:numRef>
          </c:val>
          <c:extLst>
            <c:ext xmlns:c16="http://schemas.microsoft.com/office/drawing/2014/chart" uri="{C3380CC4-5D6E-409C-BE32-E72D297353CC}">
              <c16:uniqueId val="{00000001-A031-4F23-AB7F-415AA96607BA}"/>
            </c:ext>
          </c:extLst>
        </c:ser>
        <c:ser>
          <c:idx val="2"/>
          <c:order val="2"/>
          <c:tx>
            <c:strRef>
              <c:f>'1.9B'!$U$3</c:f>
              <c:strCache>
                <c:ptCount val="1"/>
                <c:pt idx="0">
                  <c:v>Extreme temperature</c:v>
                </c:pt>
              </c:strCache>
            </c:strRef>
          </c:tx>
          <c:spPr>
            <a:solidFill>
              <a:schemeClr val="accent3"/>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'1.9B'!$U$4:$U$9</c:f>
              <c:numCache>
                <c:formatCode>0.0</c:formatCode>
                <c:ptCount val="6"/>
                <c:pt idx="0">
                  <c:v>9.4</c:v>
                </c:pt>
                <c:pt idx="1">
                  <c:v>45.4</c:v>
                </c:pt>
                <c:pt idx="2">
                  <c:v>6.1</c:v>
                </c:pt>
                <c:pt idx="3">
                  <c:v>0.6</c:v>
                </c:pt>
                <c:pt idx="4">
                  <c:v>11.8</c:v>
                </c:pt>
                <c:pt idx="5">
                  <c:v>1.8</c:v>
                </c:pt>
              </c:numCache>
            </c:numRef>
          </c:val>
          <c:extLst>
            <c:ext xmlns:c16="http://schemas.microsoft.com/office/drawing/2014/chart" uri="{C3380CC4-5D6E-409C-BE32-E72D297353CC}">
              <c16:uniqueId val="{00000002-A031-4F23-AB7F-415AA96607BA}"/>
            </c:ext>
          </c:extLst>
        </c:ser>
        <c:ser>
          <c:idx val="3"/>
          <c:order val="3"/>
          <c:tx>
            <c:strRef>
              <c:f>'1.9B'!$V$3</c:f>
              <c:strCache>
                <c:ptCount val="1"/>
                <c:pt idx="0">
                  <c:v>Flood</c:v>
                </c:pt>
              </c:strCache>
            </c:strRef>
          </c:tx>
          <c:spPr>
            <a:solidFill>
              <a:schemeClr val="accent4"/>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'1.9B'!$V$4:$V$9</c:f>
              <c:numCache>
                <c:formatCode>0.0</c:formatCode>
                <c:ptCount val="6"/>
                <c:pt idx="0">
                  <c:v>251.7</c:v>
                </c:pt>
                <c:pt idx="1">
                  <c:v>224.2</c:v>
                </c:pt>
                <c:pt idx="2">
                  <c:v>90.4</c:v>
                </c:pt>
                <c:pt idx="3">
                  <c:v>41.2</c:v>
                </c:pt>
                <c:pt idx="4">
                  <c:v>38.799999999999997</c:v>
                </c:pt>
                <c:pt idx="5">
                  <c:v>31.6</c:v>
                </c:pt>
              </c:numCache>
            </c:numRef>
          </c:val>
          <c:extLst>
            <c:ext xmlns:c16="http://schemas.microsoft.com/office/drawing/2014/chart" uri="{C3380CC4-5D6E-409C-BE32-E72D297353CC}">
              <c16:uniqueId val="{00000003-A031-4F23-AB7F-415AA96607BA}"/>
            </c:ext>
          </c:extLst>
        </c:ser>
        <c:ser>
          <c:idx val="4"/>
          <c:order val="4"/>
          <c:tx>
            <c:strRef>
              <c:f>'1.9B'!$W$3</c:f>
              <c:strCache>
                <c:ptCount val="1"/>
                <c:pt idx="0">
                  <c:v>Storm</c:v>
                </c:pt>
              </c:strCache>
            </c:strRef>
          </c:tx>
          <c:spPr>
            <a:solidFill>
              <a:schemeClr val="accent5"/>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'1.9B'!$W$4:$W$9</c:f>
              <c:numCache>
                <c:formatCode>0.0</c:formatCode>
                <c:ptCount val="6"/>
                <c:pt idx="0">
                  <c:v>235.4</c:v>
                </c:pt>
                <c:pt idx="1">
                  <c:v>131.5</c:v>
                </c:pt>
                <c:pt idx="2">
                  <c:v>34.9</c:v>
                </c:pt>
                <c:pt idx="3">
                  <c:v>7.3</c:v>
                </c:pt>
                <c:pt idx="4">
                  <c:v>13.7</c:v>
                </c:pt>
                <c:pt idx="5">
                  <c:v>6.6</c:v>
                </c:pt>
              </c:numCache>
            </c:numRef>
          </c:val>
          <c:extLst>
            <c:ext xmlns:c16="http://schemas.microsoft.com/office/drawing/2014/chart" uri="{C3380CC4-5D6E-409C-BE32-E72D297353CC}">
              <c16:uniqueId val="{00000004-A031-4F23-AB7F-415AA96607BA}"/>
            </c:ext>
          </c:extLst>
        </c:ser>
        <c:ser>
          <c:idx val="5"/>
          <c:order val="5"/>
          <c:tx>
            <c:strRef>
              <c:f>'1.9B'!$X$3</c:f>
              <c:strCache>
                <c:ptCount val="1"/>
                <c:pt idx="0">
                  <c:v>Others</c:v>
                </c:pt>
              </c:strCache>
            </c:strRef>
          </c:tx>
          <c:spPr>
            <a:solidFill>
              <a:schemeClr val="accent6"/>
            </a:solidFill>
            <a:ln>
              <a:noFill/>
            </a:ln>
            <a:effectLst/>
          </c:spPr>
          <c:invertIfNegative val="0"/>
          <c:cat>
            <c:strRef>
              <c:f>'1.9B'!$R$4:$R$9</c:f>
              <c:strCache>
                <c:ptCount val="6"/>
                <c:pt idx="0">
                  <c:v>EAP</c:v>
                </c:pt>
                <c:pt idx="1">
                  <c:v>SAR</c:v>
                </c:pt>
                <c:pt idx="2">
                  <c:v>LAC</c:v>
                </c:pt>
                <c:pt idx="3">
                  <c:v>SSA</c:v>
                </c:pt>
                <c:pt idx="4">
                  <c:v>ECA</c:v>
                </c:pt>
                <c:pt idx="5">
                  <c:v>MNA</c:v>
                </c:pt>
              </c:strCache>
            </c:strRef>
          </c:cat>
          <c:val>
            <c:numRef>
              <c:f>'1.9B'!$X$4:$X$9</c:f>
              <c:numCache>
                <c:formatCode>0.0</c:formatCode>
                <c:ptCount val="6"/>
                <c:pt idx="0">
                  <c:v>95</c:v>
                </c:pt>
                <c:pt idx="1">
                  <c:v>96.4</c:v>
                </c:pt>
                <c:pt idx="2">
                  <c:v>32.1</c:v>
                </c:pt>
                <c:pt idx="3">
                  <c:v>43.3</c:v>
                </c:pt>
                <c:pt idx="4">
                  <c:v>20.6</c:v>
                </c:pt>
                <c:pt idx="5">
                  <c:v>5.3</c:v>
                </c:pt>
              </c:numCache>
            </c:numRef>
          </c:val>
          <c:extLst>
            <c:ext xmlns:c16="http://schemas.microsoft.com/office/drawing/2014/chart" uri="{C3380CC4-5D6E-409C-BE32-E72D297353CC}">
              <c16:uniqueId val="{00000005-A031-4F23-AB7F-415AA96607BA}"/>
            </c:ext>
          </c:extLst>
        </c:ser>
        <c:dLbls>
          <c:showLegendKey val="0"/>
          <c:showVal val="0"/>
          <c:showCatName val="0"/>
          <c:showSerName val="0"/>
          <c:showPercent val="0"/>
          <c:showBubbleSize val="0"/>
        </c:dLbls>
        <c:gapWidth val="150"/>
        <c:overlap val="100"/>
        <c:axId val="1985374192"/>
        <c:axId val="1986226240"/>
      </c:barChart>
      <c:catAx>
        <c:axId val="198537419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86226240"/>
        <c:crosses val="autoZero"/>
        <c:auto val="1"/>
        <c:lblAlgn val="ctr"/>
        <c:lblOffset val="100"/>
        <c:noMultiLvlLbl val="0"/>
      </c:catAx>
      <c:valAx>
        <c:axId val="19862262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85374192"/>
        <c:crosses val="autoZero"/>
        <c:crossBetween val="between"/>
      </c:valAx>
      <c:spPr>
        <a:noFill/>
        <a:ln>
          <a:noFill/>
        </a:ln>
        <a:effectLst/>
      </c:spPr>
    </c:plotArea>
    <c:legend>
      <c:legendPos val="t"/>
      <c:layout>
        <c:manualLayout>
          <c:xMode val="edge"/>
          <c:yMode val="edge"/>
          <c:x val="0.41999943093319497"/>
          <c:y val="9.385514825048831E-2"/>
          <c:w val="0.49800074714360382"/>
          <c:h val="0.3842004095631745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9268360364073"/>
          <c:y val="0.13094124983724292"/>
          <c:w val="0.86572361404858622"/>
          <c:h val="0.75525736175928404"/>
        </c:manualLayout>
      </c:layout>
      <c:barChart>
        <c:barDir val="col"/>
        <c:grouping val="clustered"/>
        <c:varyColors val="0"/>
        <c:ser>
          <c:idx val="0"/>
          <c:order val="0"/>
          <c:tx>
            <c:strRef>
              <c:f>'1.9C'!$R$4</c:f>
              <c:strCache>
                <c:ptCount val="1"/>
                <c:pt idx="0">
                  <c:v>Extreme temperature</c:v>
                </c:pt>
              </c:strCache>
            </c:strRef>
          </c:tx>
          <c:spPr>
            <a:solidFill>
              <a:srgbClr val="002345"/>
            </a:solidFill>
            <a:ln w="76200">
              <a:noFill/>
            </a:ln>
            <a:effectLst/>
          </c:spPr>
          <c:invertIfNegative val="0"/>
          <c:cat>
            <c:strRef>
              <c:f>'1.9C'!$S$3:$T$3</c:f>
              <c:strCache>
                <c:ptCount val="2"/>
                <c:pt idx="0">
                  <c:v>2005–14</c:v>
                </c:pt>
                <c:pt idx="1">
                  <c:v>2015–24</c:v>
                </c:pt>
              </c:strCache>
            </c:strRef>
          </c:cat>
          <c:val>
            <c:numRef>
              <c:f>'1.9C'!$S$4:$T$4</c:f>
              <c:numCache>
                <c:formatCode>0.0</c:formatCode>
                <c:ptCount val="2"/>
                <c:pt idx="0">
                  <c:v>49.7</c:v>
                </c:pt>
                <c:pt idx="1">
                  <c:v>63.4</c:v>
                </c:pt>
              </c:numCache>
            </c:numRef>
          </c:val>
          <c:extLst>
            <c:ext xmlns:c16="http://schemas.microsoft.com/office/drawing/2014/chart" uri="{C3380CC4-5D6E-409C-BE32-E72D297353CC}">
              <c16:uniqueId val="{00000000-9FF6-410E-AC35-E32F48A680D8}"/>
            </c:ext>
          </c:extLst>
        </c:ser>
        <c:ser>
          <c:idx val="1"/>
          <c:order val="1"/>
          <c:tx>
            <c:strRef>
              <c:f>'1.9C'!$R$5</c:f>
              <c:strCache>
                <c:ptCount val="1"/>
                <c:pt idx="0">
                  <c:v>Flood and storm</c:v>
                </c:pt>
              </c:strCache>
            </c:strRef>
          </c:tx>
          <c:spPr>
            <a:solidFill>
              <a:srgbClr val="EB1C2D"/>
            </a:solidFill>
            <a:ln w="76200">
              <a:noFill/>
            </a:ln>
            <a:effectLst/>
          </c:spPr>
          <c:invertIfNegative val="0"/>
          <c:cat>
            <c:strRef>
              <c:f>'1.9C'!$S$3:$T$3</c:f>
              <c:strCache>
                <c:ptCount val="2"/>
                <c:pt idx="0">
                  <c:v>2005–14</c:v>
                </c:pt>
                <c:pt idx="1">
                  <c:v>2015–24</c:v>
                </c:pt>
              </c:strCache>
            </c:strRef>
          </c:cat>
          <c:val>
            <c:numRef>
              <c:f>'1.9C'!$S$5:$T$5</c:f>
              <c:numCache>
                <c:formatCode>0.0</c:formatCode>
                <c:ptCount val="2"/>
                <c:pt idx="0">
                  <c:v>84.4</c:v>
                </c:pt>
                <c:pt idx="1">
                  <c:v>60.6</c:v>
                </c:pt>
              </c:numCache>
            </c:numRef>
          </c:val>
          <c:extLst>
            <c:ext xmlns:c16="http://schemas.microsoft.com/office/drawing/2014/chart" uri="{C3380CC4-5D6E-409C-BE32-E72D297353CC}">
              <c16:uniqueId val="{00000001-9FF6-410E-AC35-E32F48A680D8}"/>
            </c:ext>
          </c:extLst>
        </c:ser>
        <c:dLbls>
          <c:showLegendKey val="0"/>
          <c:showVal val="0"/>
          <c:showCatName val="0"/>
          <c:showSerName val="0"/>
          <c:showPercent val="0"/>
          <c:showBubbleSize val="0"/>
        </c:dLbls>
        <c:gapWidth val="150"/>
        <c:overlap val="-11"/>
        <c:axId val="212784544"/>
        <c:axId val="212787424"/>
      </c:barChart>
      <c:catAx>
        <c:axId val="21278454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12787424"/>
        <c:crosses val="autoZero"/>
        <c:auto val="1"/>
        <c:lblAlgn val="ctr"/>
        <c:lblOffset val="100"/>
        <c:tickLblSkip val="1"/>
        <c:noMultiLvlLbl val="0"/>
      </c:catAx>
      <c:valAx>
        <c:axId val="21278742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2784544"/>
        <c:crosses val="autoZero"/>
        <c:crossBetween val="between"/>
        <c:majorUnit val="20"/>
      </c:valAx>
      <c:spPr>
        <a:noFill/>
        <a:ln>
          <a:noFill/>
        </a:ln>
        <a:effectLst/>
      </c:spPr>
    </c:plotArea>
    <c:legend>
      <c:legendPos val="t"/>
      <c:layout>
        <c:manualLayout>
          <c:xMode val="edge"/>
          <c:yMode val="edge"/>
          <c:x val="8.0036564113712252E-2"/>
          <c:y val="0.11276029696407419"/>
          <c:w val="0.89999997850659064"/>
          <c:h val="7.6515146442832555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404399970836978"/>
          <c:y val="0.12062700495771361"/>
          <c:w val="0.86032206911636044"/>
          <c:h val="0.65969437153689126"/>
        </c:manualLayout>
      </c:layout>
      <c:barChart>
        <c:barDir val="col"/>
        <c:grouping val="clustered"/>
        <c:varyColors val="0"/>
        <c:ser>
          <c:idx val="0"/>
          <c:order val="0"/>
          <c:tx>
            <c:strRef>
              <c:f>'1.9D'!$T$3</c:f>
              <c:strCache>
                <c:ptCount val="1"/>
                <c:pt idx="0">
                  <c:v>RWI</c:v>
                </c:pt>
              </c:strCache>
            </c:strRef>
          </c:tx>
          <c:spPr>
            <a:solidFill>
              <a:srgbClr val="002345"/>
            </a:solidFill>
            <a:ln>
              <a:noFill/>
            </a:ln>
            <a:effectLst/>
          </c:spPr>
          <c:invertIfNegative val="0"/>
          <c:errBars>
            <c:errBarType val="both"/>
            <c:errValType val="cust"/>
            <c:noEndCap val="0"/>
            <c:plus>
              <c:numRef>
                <c:f>'1.9D'!$U$4:$U$7</c:f>
                <c:numCache>
                  <c:formatCode>General</c:formatCode>
                  <c:ptCount val="4"/>
                  <c:pt idx="0">
                    <c:v>0.03</c:v>
                  </c:pt>
                  <c:pt idx="1">
                    <c:v>0.06</c:v>
                  </c:pt>
                  <c:pt idx="2">
                    <c:v>0.02</c:v>
                  </c:pt>
                  <c:pt idx="3">
                    <c:v>0.03</c:v>
                  </c:pt>
                </c:numCache>
              </c:numRef>
            </c:plus>
            <c:minus>
              <c:numRef>
                <c:f>'1.9D'!$U$4:$U$7</c:f>
                <c:numCache>
                  <c:formatCode>General</c:formatCode>
                  <c:ptCount val="4"/>
                  <c:pt idx="0">
                    <c:v>0.03</c:v>
                  </c:pt>
                  <c:pt idx="1">
                    <c:v>0.06</c:v>
                  </c:pt>
                  <c:pt idx="2">
                    <c:v>0.02</c:v>
                  </c:pt>
                  <c:pt idx="3">
                    <c:v>0.03</c:v>
                  </c:pt>
                </c:numCache>
              </c:numRef>
            </c:minus>
            <c:spPr>
              <a:noFill/>
              <a:ln w="76200" cap="sq" cmpd="sng" algn="ctr">
                <a:solidFill>
                  <a:srgbClr val="FFC000"/>
                </a:solidFill>
                <a:round/>
              </a:ln>
              <a:effectLst/>
            </c:spPr>
          </c:errBars>
          <c:cat>
            <c:multiLvlStrRef>
              <c:f>'1.9D'!$R$4:$S$7</c:f>
              <c:multiLvlStrCache>
                <c:ptCount val="4"/>
                <c:lvl>
                  <c:pt idx="0">
                    <c:v>29°C</c:v>
                  </c:pt>
                  <c:pt idx="1">
                    <c:v>34°C</c:v>
                  </c:pt>
                  <c:pt idx="2">
                    <c:v>29°C</c:v>
                  </c:pt>
                  <c:pt idx="3">
                    <c:v>34°C</c:v>
                  </c:pt>
                </c:lvl>
                <c:lvl>
                  <c:pt idx="0">
                    <c:v>Urban</c:v>
                  </c:pt>
                  <c:pt idx="2">
                    <c:v>Rural</c:v>
                  </c:pt>
                </c:lvl>
              </c:multiLvlStrCache>
            </c:multiLvlStrRef>
          </c:cat>
          <c:val>
            <c:numRef>
              <c:f>'1.9D'!$T$4:$T$7</c:f>
              <c:numCache>
                <c:formatCode>General</c:formatCode>
                <c:ptCount val="4"/>
                <c:pt idx="0">
                  <c:v>0.04</c:v>
                </c:pt>
                <c:pt idx="1">
                  <c:v>-0.18</c:v>
                </c:pt>
                <c:pt idx="2">
                  <c:v>0.02</c:v>
                </c:pt>
                <c:pt idx="3">
                  <c:v>-0.09</c:v>
                </c:pt>
              </c:numCache>
            </c:numRef>
          </c:val>
          <c:extLst>
            <c:ext xmlns:c16="http://schemas.microsoft.com/office/drawing/2014/chart" uri="{C3380CC4-5D6E-409C-BE32-E72D297353CC}">
              <c16:uniqueId val="{00000000-317E-4CE6-B86E-47E1365D5049}"/>
            </c:ext>
          </c:extLst>
        </c:ser>
        <c:dLbls>
          <c:showLegendKey val="0"/>
          <c:showVal val="0"/>
          <c:showCatName val="0"/>
          <c:showSerName val="0"/>
          <c:showPercent val="0"/>
          <c:showBubbleSize val="0"/>
        </c:dLbls>
        <c:gapWidth val="150"/>
        <c:overlap val="-27"/>
        <c:axId val="761270799"/>
        <c:axId val="761285199"/>
      </c:barChart>
      <c:catAx>
        <c:axId val="76127079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61285199"/>
        <c:crosses val="autoZero"/>
        <c:auto val="1"/>
        <c:lblAlgn val="ctr"/>
        <c:lblOffset val="100"/>
        <c:noMultiLvlLbl val="0"/>
      </c:catAx>
      <c:valAx>
        <c:axId val="76128519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61270799"/>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331425497485621"/>
          <c:y val="0.15260353048874151"/>
          <c:w val="0.84916826197461015"/>
          <c:h val="0.66997199250963158"/>
        </c:manualLayout>
      </c:layout>
      <c:scatterChart>
        <c:scatterStyle val="lineMarker"/>
        <c:varyColors val="0"/>
        <c:ser>
          <c:idx val="0"/>
          <c:order val="0"/>
          <c:tx>
            <c:v>ln_vuln</c:v>
          </c:tx>
          <c:spPr>
            <a:ln w="25400" cap="rnd">
              <a:noFill/>
              <a:round/>
            </a:ln>
            <a:effectLst/>
          </c:spPr>
          <c:marker>
            <c:symbol val="circle"/>
            <c:size val="5"/>
            <c:spPr>
              <a:solidFill>
                <a:srgbClr val="002345"/>
              </a:solidFill>
              <a:ln w="76200">
                <a:solidFill>
                  <a:srgbClr val="002345"/>
                </a:solidFill>
              </a:ln>
              <a:effectLst/>
            </c:spPr>
          </c:marker>
          <c:dPt>
            <c:idx val="5"/>
            <c:marker>
              <c:symbol val="circle"/>
              <c:size val="5"/>
              <c:spPr>
                <a:noFill/>
                <a:ln w="76200">
                  <a:solidFill>
                    <a:schemeClr val="accent2"/>
                  </a:solidFill>
                </a:ln>
                <a:effectLst/>
              </c:spPr>
            </c:marker>
            <c:bubble3D val="0"/>
            <c:extLst>
              <c:ext xmlns:c16="http://schemas.microsoft.com/office/drawing/2014/chart" uri="{C3380CC4-5D6E-409C-BE32-E72D297353CC}">
                <c16:uniqueId val="{00000000-90C6-43A4-9A93-9EB8E5C8D318}"/>
              </c:ext>
            </c:extLst>
          </c:dPt>
          <c:dPt>
            <c:idx val="40"/>
            <c:marker>
              <c:symbol val="circle"/>
              <c:size val="5"/>
              <c:spPr>
                <a:solidFill>
                  <a:srgbClr val="002345"/>
                </a:solidFill>
                <a:ln w="76200">
                  <a:solidFill>
                    <a:srgbClr val="FF0000"/>
                  </a:solidFill>
                </a:ln>
                <a:effectLst/>
              </c:spPr>
            </c:marker>
            <c:bubble3D val="0"/>
            <c:extLst>
              <c:ext xmlns:c16="http://schemas.microsoft.com/office/drawing/2014/chart" uri="{C3380CC4-5D6E-409C-BE32-E72D297353CC}">
                <c16:uniqueId val="{00000001-90C6-43A4-9A93-9EB8E5C8D318}"/>
              </c:ext>
            </c:extLst>
          </c:dPt>
          <c:dPt>
            <c:idx val="67"/>
            <c:marker>
              <c:symbol val="circle"/>
              <c:size val="5"/>
              <c:spPr>
                <a:solidFill>
                  <a:schemeClr val="accent2"/>
                </a:solidFill>
                <a:ln w="76200">
                  <a:solidFill>
                    <a:srgbClr val="FF0000"/>
                  </a:solidFill>
                </a:ln>
                <a:effectLst/>
              </c:spPr>
            </c:marker>
            <c:bubble3D val="0"/>
            <c:extLst>
              <c:ext xmlns:c16="http://schemas.microsoft.com/office/drawing/2014/chart" uri="{C3380CC4-5D6E-409C-BE32-E72D297353CC}">
                <c16:uniqueId val="{00000002-90C6-43A4-9A93-9EB8E5C8D318}"/>
              </c:ext>
            </c:extLst>
          </c:dPt>
          <c:dPt>
            <c:idx val="81"/>
            <c:marker>
              <c:symbol val="circle"/>
              <c:size val="5"/>
              <c:spPr>
                <a:solidFill>
                  <a:srgbClr val="002345"/>
                </a:solidFill>
                <a:ln w="76200">
                  <a:solidFill>
                    <a:schemeClr val="accent2"/>
                  </a:solidFill>
                </a:ln>
                <a:effectLst/>
              </c:spPr>
            </c:marker>
            <c:bubble3D val="0"/>
            <c:extLst>
              <c:ext xmlns:c16="http://schemas.microsoft.com/office/drawing/2014/chart" uri="{C3380CC4-5D6E-409C-BE32-E72D297353CC}">
                <c16:uniqueId val="{00000003-90C6-43A4-9A93-9EB8E5C8D318}"/>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50800" cap="rnd">
                <a:solidFill>
                  <a:schemeClr val="accent4"/>
                </a:solidFill>
                <a:prstDash val="solid"/>
              </a:ln>
              <a:effectLst/>
            </c:spPr>
            <c:trendlineType val="linear"/>
            <c:dispRSqr val="0"/>
            <c:dispEq val="0"/>
          </c:trendline>
          <c:xVal>
            <c:numRef>
              <c:f>'1.9E'!$S$4:$S$101</c:f>
              <c:numCache>
                <c:formatCode>0.00</c:formatCode>
                <c:ptCount val="98"/>
                <c:pt idx="0">
                  <c:v>3.44</c:v>
                </c:pt>
                <c:pt idx="1">
                  <c:v>-0.51</c:v>
                </c:pt>
                <c:pt idx="2">
                  <c:v>-0.22</c:v>
                </c:pt>
                <c:pt idx="5">
                  <c:v>1.61</c:v>
                </c:pt>
                <c:pt idx="6">
                  <c:v>2.54</c:v>
                </c:pt>
                <c:pt idx="7">
                  <c:v>0.69</c:v>
                </c:pt>
                <c:pt idx="8">
                  <c:v>1.25</c:v>
                </c:pt>
                <c:pt idx="9">
                  <c:v>-0.36</c:v>
                </c:pt>
                <c:pt idx="10">
                  <c:v>3.23</c:v>
                </c:pt>
                <c:pt idx="11">
                  <c:v>4.13</c:v>
                </c:pt>
                <c:pt idx="12">
                  <c:v>3.14</c:v>
                </c:pt>
                <c:pt idx="14">
                  <c:v>4.1900000000000004</c:v>
                </c:pt>
                <c:pt idx="15">
                  <c:v>3.43</c:v>
                </c:pt>
                <c:pt idx="16">
                  <c:v>-0.92</c:v>
                </c:pt>
                <c:pt idx="17">
                  <c:v>-2.2999999999999998</c:v>
                </c:pt>
                <c:pt idx="18">
                  <c:v>1.79</c:v>
                </c:pt>
                <c:pt idx="19">
                  <c:v>4.37</c:v>
                </c:pt>
                <c:pt idx="20">
                  <c:v>-0.11</c:v>
                </c:pt>
                <c:pt idx="21">
                  <c:v>2.27</c:v>
                </c:pt>
                <c:pt idx="25">
                  <c:v>-0.22</c:v>
                </c:pt>
                <c:pt idx="26">
                  <c:v>1.1599999999999999</c:v>
                </c:pt>
                <c:pt idx="27">
                  <c:v>0.41</c:v>
                </c:pt>
                <c:pt idx="28">
                  <c:v>1.22</c:v>
                </c:pt>
                <c:pt idx="30">
                  <c:v>0.26</c:v>
                </c:pt>
                <c:pt idx="32">
                  <c:v>2.84</c:v>
                </c:pt>
                <c:pt idx="33">
                  <c:v>1.7</c:v>
                </c:pt>
                <c:pt idx="35">
                  <c:v>-1.2</c:v>
                </c:pt>
                <c:pt idx="36">
                  <c:v>2.62</c:v>
                </c:pt>
                <c:pt idx="37">
                  <c:v>3.26</c:v>
                </c:pt>
                <c:pt idx="38">
                  <c:v>2.54</c:v>
                </c:pt>
                <c:pt idx="39">
                  <c:v>-0.92</c:v>
                </c:pt>
                <c:pt idx="40">
                  <c:v>2.56</c:v>
                </c:pt>
                <c:pt idx="41">
                  <c:v>0.64</c:v>
                </c:pt>
                <c:pt idx="42">
                  <c:v>-0.69</c:v>
                </c:pt>
                <c:pt idx="46">
                  <c:v>-1.2</c:v>
                </c:pt>
                <c:pt idx="47">
                  <c:v>3.59</c:v>
                </c:pt>
                <c:pt idx="48">
                  <c:v>-0.36</c:v>
                </c:pt>
                <c:pt idx="49">
                  <c:v>1.96</c:v>
                </c:pt>
                <c:pt idx="53">
                  <c:v>4.25</c:v>
                </c:pt>
                <c:pt idx="54">
                  <c:v>3.03</c:v>
                </c:pt>
                <c:pt idx="56">
                  <c:v>-0.11</c:v>
                </c:pt>
                <c:pt idx="57">
                  <c:v>1.69</c:v>
                </c:pt>
                <c:pt idx="58">
                  <c:v>0.18</c:v>
                </c:pt>
                <c:pt idx="59">
                  <c:v>-1.61</c:v>
                </c:pt>
                <c:pt idx="60">
                  <c:v>0.69</c:v>
                </c:pt>
                <c:pt idx="61">
                  <c:v>4.3099999999999996</c:v>
                </c:pt>
                <c:pt idx="63">
                  <c:v>3.92</c:v>
                </c:pt>
                <c:pt idx="64">
                  <c:v>3.43</c:v>
                </c:pt>
                <c:pt idx="65">
                  <c:v>0.99</c:v>
                </c:pt>
                <c:pt idx="67">
                  <c:v>1.59</c:v>
                </c:pt>
                <c:pt idx="68">
                  <c:v>0.26</c:v>
                </c:pt>
                <c:pt idx="69">
                  <c:v>0.26</c:v>
                </c:pt>
                <c:pt idx="70">
                  <c:v>0.99</c:v>
                </c:pt>
                <c:pt idx="71">
                  <c:v>1.1000000000000001</c:v>
                </c:pt>
                <c:pt idx="72">
                  <c:v>-2.2999999999999998</c:v>
                </c:pt>
                <c:pt idx="74">
                  <c:v>0.59</c:v>
                </c:pt>
                <c:pt idx="75">
                  <c:v>2.29</c:v>
                </c:pt>
                <c:pt idx="76">
                  <c:v>0.18</c:v>
                </c:pt>
                <c:pt idx="77">
                  <c:v>-0.69</c:v>
                </c:pt>
                <c:pt idx="78">
                  <c:v>3.26</c:v>
                </c:pt>
                <c:pt idx="81">
                  <c:v>0</c:v>
                </c:pt>
                <c:pt idx="82">
                  <c:v>0.1</c:v>
                </c:pt>
                <c:pt idx="84">
                  <c:v>3.21</c:v>
                </c:pt>
                <c:pt idx="85">
                  <c:v>3.8</c:v>
                </c:pt>
                <c:pt idx="86">
                  <c:v>3.28</c:v>
                </c:pt>
                <c:pt idx="87">
                  <c:v>-1.2</c:v>
                </c:pt>
                <c:pt idx="88">
                  <c:v>-0.92</c:v>
                </c:pt>
                <c:pt idx="89">
                  <c:v>3.74</c:v>
                </c:pt>
                <c:pt idx="92">
                  <c:v>-1.61</c:v>
                </c:pt>
                <c:pt idx="93">
                  <c:v>0.83</c:v>
                </c:pt>
                <c:pt idx="94">
                  <c:v>2.2999999999999998</c:v>
                </c:pt>
                <c:pt idx="95">
                  <c:v>0</c:v>
                </c:pt>
                <c:pt idx="96">
                  <c:v>4.16</c:v>
                </c:pt>
                <c:pt idx="97">
                  <c:v>3.68</c:v>
                </c:pt>
              </c:numCache>
            </c:numRef>
          </c:xVal>
          <c:yVal>
            <c:numRef>
              <c:f>'1.9E'!$T$4:$T$101</c:f>
              <c:numCache>
                <c:formatCode>0.00</c:formatCode>
                <c:ptCount val="98"/>
                <c:pt idx="0">
                  <c:v>-0.67</c:v>
                </c:pt>
                <c:pt idx="1">
                  <c:v>-0.96</c:v>
                </c:pt>
                <c:pt idx="2">
                  <c:v>-1</c:v>
                </c:pt>
                <c:pt idx="5">
                  <c:v>-0.63</c:v>
                </c:pt>
                <c:pt idx="6">
                  <c:v>-0.59</c:v>
                </c:pt>
                <c:pt idx="7">
                  <c:v>-0.81</c:v>
                </c:pt>
                <c:pt idx="8">
                  <c:v>-0.98</c:v>
                </c:pt>
                <c:pt idx="9">
                  <c:v>-1.07</c:v>
                </c:pt>
                <c:pt idx="10">
                  <c:v>-0.62</c:v>
                </c:pt>
                <c:pt idx="11">
                  <c:v>-0.57999999999999996</c:v>
                </c:pt>
                <c:pt idx="12">
                  <c:v>-0.78</c:v>
                </c:pt>
                <c:pt idx="14">
                  <c:v>-0.54</c:v>
                </c:pt>
                <c:pt idx="15">
                  <c:v>-0.43</c:v>
                </c:pt>
                <c:pt idx="16">
                  <c:v>-1.1100000000000001</c:v>
                </c:pt>
                <c:pt idx="17">
                  <c:v>-0.95</c:v>
                </c:pt>
                <c:pt idx="18">
                  <c:v>-0.88</c:v>
                </c:pt>
                <c:pt idx="19">
                  <c:v>-0.56999999999999995</c:v>
                </c:pt>
                <c:pt idx="20">
                  <c:v>-0.99</c:v>
                </c:pt>
                <c:pt idx="21">
                  <c:v>-0.72</c:v>
                </c:pt>
                <c:pt idx="25">
                  <c:v>-0.87</c:v>
                </c:pt>
                <c:pt idx="26">
                  <c:v>-0.8</c:v>
                </c:pt>
                <c:pt idx="27">
                  <c:v>-0.87</c:v>
                </c:pt>
                <c:pt idx="28">
                  <c:v>-0.86</c:v>
                </c:pt>
                <c:pt idx="30">
                  <c:v>-0.79</c:v>
                </c:pt>
                <c:pt idx="32">
                  <c:v>-0.64</c:v>
                </c:pt>
                <c:pt idx="33">
                  <c:v>-0.92</c:v>
                </c:pt>
                <c:pt idx="35">
                  <c:v>-0.96</c:v>
                </c:pt>
                <c:pt idx="36">
                  <c:v>-0.6</c:v>
                </c:pt>
                <c:pt idx="37">
                  <c:v>-0.47</c:v>
                </c:pt>
                <c:pt idx="38">
                  <c:v>-0.79</c:v>
                </c:pt>
                <c:pt idx="39">
                  <c:v>-1.06</c:v>
                </c:pt>
                <c:pt idx="40">
                  <c:v>-0.7</c:v>
                </c:pt>
                <c:pt idx="41">
                  <c:v>-0.82</c:v>
                </c:pt>
                <c:pt idx="42">
                  <c:v>-0.97</c:v>
                </c:pt>
                <c:pt idx="46">
                  <c:v>-0.84</c:v>
                </c:pt>
                <c:pt idx="47">
                  <c:v>-0.67</c:v>
                </c:pt>
                <c:pt idx="48">
                  <c:v>-1.1100000000000001</c:v>
                </c:pt>
                <c:pt idx="49">
                  <c:v>-0.78</c:v>
                </c:pt>
                <c:pt idx="53">
                  <c:v>-0.61</c:v>
                </c:pt>
                <c:pt idx="54">
                  <c:v>-0.52</c:v>
                </c:pt>
                <c:pt idx="56">
                  <c:v>-0.56000000000000005</c:v>
                </c:pt>
                <c:pt idx="57">
                  <c:v>-0.57999999999999996</c:v>
                </c:pt>
                <c:pt idx="58">
                  <c:v>-0.96</c:v>
                </c:pt>
                <c:pt idx="59">
                  <c:v>-0.98</c:v>
                </c:pt>
                <c:pt idx="60">
                  <c:v>-1</c:v>
                </c:pt>
                <c:pt idx="61">
                  <c:v>-0.71</c:v>
                </c:pt>
                <c:pt idx="63">
                  <c:v>-0.46</c:v>
                </c:pt>
                <c:pt idx="64">
                  <c:v>-0.72</c:v>
                </c:pt>
                <c:pt idx="65">
                  <c:v>-0.97</c:v>
                </c:pt>
                <c:pt idx="67">
                  <c:v>-0.65</c:v>
                </c:pt>
                <c:pt idx="68">
                  <c:v>-0.91</c:v>
                </c:pt>
                <c:pt idx="69">
                  <c:v>-0.99</c:v>
                </c:pt>
                <c:pt idx="70">
                  <c:v>-0.87</c:v>
                </c:pt>
                <c:pt idx="71">
                  <c:v>-0.77</c:v>
                </c:pt>
                <c:pt idx="72">
                  <c:v>-1.1599999999999999</c:v>
                </c:pt>
                <c:pt idx="74">
                  <c:v>-0.92</c:v>
                </c:pt>
                <c:pt idx="75">
                  <c:v>-0.65</c:v>
                </c:pt>
                <c:pt idx="76">
                  <c:v>-0.89</c:v>
                </c:pt>
                <c:pt idx="77">
                  <c:v>-0.78</c:v>
                </c:pt>
                <c:pt idx="78">
                  <c:v>-0.57999999999999996</c:v>
                </c:pt>
                <c:pt idx="81">
                  <c:v>-0.76</c:v>
                </c:pt>
                <c:pt idx="82">
                  <c:v>-0.93</c:v>
                </c:pt>
                <c:pt idx="84">
                  <c:v>-0.77</c:v>
                </c:pt>
                <c:pt idx="85">
                  <c:v>-0.68</c:v>
                </c:pt>
                <c:pt idx="86">
                  <c:v>-0.7</c:v>
                </c:pt>
                <c:pt idx="87">
                  <c:v>-0.97</c:v>
                </c:pt>
                <c:pt idx="88">
                  <c:v>-1.04</c:v>
                </c:pt>
                <c:pt idx="89">
                  <c:v>-0.54</c:v>
                </c:pt>
                <c:pt idx="92">
                  <c:v>-0.99</c:v>
                </c:pt>
                <c:pt idx="93">
                  <c:v>-1.01</c:v>
                </c:pt>
                <c:pt idx="94">
                  <c:v>-0.59</c:v>
                </c:pt>
                <c:pt idx="95">
                  <c:v>-0.74</c:v>
                </c:pt>
                <c:pt idx="96">
                  <c:v>-0.73</c:v>
                </c:pt>
                <c:pt idx="97">
                  <c:v>-0.68</c:v>
                </c:pt>
              </c:numCache>
            </c:numRef>
          </c:yVal>
          <c:smooth val="0"/>
          <c:extLst>
            <c:ext xmlns:c16="http://schemas.microsoft.com/office/drawing/2014/chart" uri="{C3380CC4-5D6E-409C-BE32-E72D297353CC}">
              <c16:uniqueId val="{00000007-90C6-43A4-9A93-9EB8E5C8D318}"/>
            </c:ext>
          </c:extLst>
        </c:ser>
        <c:dLbls>
          <c:showLegendKey val="0"/>
          <c:showVal val="0"/>
          <c:showCatName val="0"/>
          <c:showSerName val="0"/>
          <c:showPercent val="0"/>
          <c:showBubbleSize val="0"/>
        </c:dLbls>
        <c:axId val="1000457215"/>
        <c:axId val="1332709215"/>
      </c:scatterChart>
      <c:valAx>
        <c:axId val="1000457215"/>
        <c:scaling>
          <c:orientation val="minMax"/>
          <c:min val="-3"/>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3200">
                    <a:solidFill>
                      <a:sysClr val="windowText" lastClr="000000"/>
                    </a:solidFill>
                    <a:latin typeface="Arial" panose="020B0604020202020204" pitchFamily="34" charset="0"/>
                    <a:cs typeface="Arial" panose="020B0604020202020204" pitchFamily="34" charset="0"/>
                  </a:rPr>
                  <a:t>Log climate vulnerability</a:t>
                </a:r>
                <a:r>
                  <a:rPr lang="en-US" sz="3200" baseline="0">
                    <a:solidFill>
                      <a:sysClr val="windowText" lastClr="000000"/>
                    </a:solidFill>
                    <a:latin typeface="Arial" panose="020B0604020202020204" pitchFamily="34" charset="0"/>
                    <a:cs typeface="Arial" panose="020B0604020202020204" pitchFamily="34" charset="0"/>
                  </a:rPr>
                  <a:t> </a:t>
                </a:r>
                <a:endParaRPr lang="en-US" sz="32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accent1"/>
            </a:solidFill>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32709215"/>
        <c:crossesAt val="-0.8"/>
        <c:crossBetween val="midCat"/>
        <c:majorUnit val="1"/>
      </c:valAx>
      <c:valAx>
        <c:axId val="1332709215"/>
        <c:scaling>
          <c:orientation val="minMax"/>
          <c:max val="-0.2"/>
        </c:scaling>
        <c:delete val="0"/>
        <c:axPos val="l"/>
        <c:numFmt formatCod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00457215"/>
        <c:crossesAt val="-3"/>
        <c:crossBetween val="midCat"/>
        <c:majorUnit val="0.2"/>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'1.9F'!$S$3</c:f>
              <c:strCache>
                <c:ptCount val="1"/>
                <c:pt idx="0">
                  <c:v>Overall fiscal balance</c:v>
                </c:pt>
              </c:strCache>
            </c:strRef>
          </c:tx>
          <c:spPr>
            <a:solidFill>
              <a:srgbClr val="002345"/>
            </a:solidFill>
            <a:ln w="76200">
              <a:noFill/>
            </a:ln>
            <a:effectLst/>
          </c:spPr>
          <c:invertIfNegative val="0"/>
          <c:cat>
            <c:strRef>
              <c:f>'1.9F'!$R$4:$R$9</c:f>
              <c:strCache>
                <c:ptCount val="6"/>
                <c:pt idx="0">
                  <c:v>SAR</c:v>
                </c:pt>
                <c:pt idx="1">
                  <c:v>EAP</c:v>
                </c:pt>
                <c:pt idx="2">
                  <c:v>MNA</c:v>
                </c:pt>
                <c:pt idx="3">
                  <c:v>LAC</c:v>
                </c:pt>
                <c:pt idx="4">
                  <c:v>SSA</c:v>
                </c:pt>
                <c:pt idx="5">
                  <c:v>ECA</c:v>
                </c:pt>
              </c:strCache>
            </c:strRef>
          </c:cat>
          <c:val>
            <c:numRef>
              <c:f>'1.9F'!$S$4:$S$9</c:f>
              <c:numCache>
                <c:formatCode>0.00</c:formatCode>
                <c:ptCount val="6"/>
                <c:pt idx="0">
                  <c:v>-5.1100000000000003</c:v>
                </c:pt>
                <c:pt idx="1">
                  <c:v>-4.1100000000000003</c:v>
                </c:pt>
                <c:pt idx="2">
                  <c:v>-3.79</c:v>
                </c:pt>
                <c:pt idx="3">
                  <c:v>-3.4</c:v>
                </c:pt>
                <c:pt idx="4">
                  <c:v>-3.13</c:v>
                </c:pt>
                <c:pt idx="5">
                  <c:v>-2.4</c:v>
                </c:pt>
              </c:numCache>
            </c:numRef>
          </c:val>
          <c:extLst>
            <c:ext xmlns:c16="http://schemas.microsoft.com/office/drawing/2014/chart" uri="{C3380CC4-5D6E-409C-BE32-E72D297353CC}">
              <c16:uniqueId val="{00000000-D2E0-4C6A-9CEC-2C7479935ECE}"/>
            </c:ext>
          </c:extLst>
        </c:ser>
        <c:dLbls>
          <c:showLegendKey val="0"/>
          <c:showVal val="0"/>
          <c:showCatName val="0"/>
          <c:showSerName val="0"/>
          <c:showPercent val="0"/>
          <c:showBubbleSize val="0"/>
        </c:dLbls>
        <c:gapWidth val="150"/>
        <c:overlap val="100"/>
        <c:axId val="852315471"/>
        <c:axId val="1310550799"/>
      </c:barChart>
      <c:barChart>
        <c:barDir val="col"/>
        <c:grouping val="stacked"/>
        <c:varyColors val="0"/>
        <c:ser>
          <c:idx val="1"/>
          <c:order val="1"/>
          <c:tx>
            <c:strRef>
              <c:f>'1.9F'!$T$3</c:f>
              <c:strCache>
                <c:ptCount val="1"/>
                <c:pt idx="0">
                  <c:v>Vulnerability (RHS)</c:v>
                </c:pt>
              </c:strCache>
            </c:strRef>
          </c:tx>
          <c:spPr>
            <a:solidFill>
              <a:srgbClr val="EB1C2D"/>
            </a:solidFill>
            <a:ln w="76200">
              <a:noFill/>
            </a:ln>
            <a:effectLst/>
          </c:spPr>
          <c:invertIfNegative val="0"/>
          <c:cat>
            <c:strRef>
              <c:f>'1.9F'!$R$4:$R$9</c:f>
              <c:strCache>
                <c:ptCount val="6"/>
                <c:pt idx="0">
                  <c:v>SAR</c:v>
                </c:pt>
                <c:pt idx="1">
                  <c:v>EAP</c:v>
                </c:pt>
                <c:pt idx="2">
                  <c:v>MNA</c:v>
                </c:pt>
                <c:pt idx="3">
                  <c:v>LAC</c:v>
                </c:pt>
                <c:pt idx="4">
                  <c:v>SSA</c:v>
                </c:pt>
                <c:pt idx="5">
                  <c:v>ECA</c:v>
                </c:pt>
              </c:strCache>
            </c:strRef>
          </c:cat>
          <c:val>
            <c:numRef>
              <c:f>'1.9F'!$T$4:$T$9</c:f>
              <c:numCache>
                <c:formatCode>0.00</c:formatCode>
                <c:ptCount val="6"/>
                <c:pt idx="0">
                  <c:v>5.04</c:v>
                </c:pt>
                <c:pt idx="1">
                  <c:v>3.96</c:v>
                </c:pt>
                <c:pt idx="2">
                  <c:v>3.97</c:v>
                </c:pt>
                <c:pt idx="3">
                  <c:v>3.85</c:v>
                </c:pt>
                <c:pt idx="4">
                  <c:v>4.8499999999999996</c:v>
                </c:pt>
                <c:pt idx="5">
                  <c:v>3.4</c:v>
                </c:pt>
              </c:numCache>
            </c:numRef>
          </c:val>
          <c:extLst>
            <c:ext xmlns:c16="http://schemas.microsoft.com/office/drawing/2014/chart" uri="{C3380CC4-5D6E-409C-BE32-E72D297353CC}">
              <c16:uniqueId val="{00000001-D2E0-4C6A-9CEC-2C7479935ECE}"/>
            </c:ext>
          </c:extLst>
        </c:ser>
        <c:dLbls>
          <c:showLegendKey val="0"/>
          <c:showVal val="0"/>
          <c:showCatName val="0"/>
          <c:showSerName val="0"/>
          <c:showPercent val="0"/>
          <c:showBubbleSize val="0"/>
        </c:dLbls>
        <c:gapWidth val="150"/>
        <c:overlap val="100"/>
        <c:axId val="318840096"/>
        <c:axId val="318846816"/>
      </c:barChart>
      <c:catAx>
        <c:axId val="85231547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10550799"/>
        <c:crosses val="autoZero"/>
        <c:auto val="1"/>
        <c:lblAlgn val="ctr"/>
        <c:lblOffset val="100"/>
        <c:noMultiLvlLbl val="0"/>
      </c:catAx>
      <c:valAx>
        <c:axId val="1310550799"/>
        <c:scaling>
          <c:orientation val="minMax"/>
          <c:max val="6"/>
          <c:min val="-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52315471"/>
        <c:crosses val="autoZero"/>
        <c:crossBetween val="between"/>
        <c:majorUnit val="2"/>
      </c:valAx>
      <c:valAx>
        <c:axId val="318846816"/>
        <c:scaling>
          <c:orientation val="minMax"/>
          <c:min val="-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18840096"/>
        <c:crosses val="max"/>
        <c:crossBetween val="between"/>
        <c:majorUnit val="2"/>
      </c:valAx>
      <c:catAx>
        <c:axId val="318840096"/>
        <c:scaling>
          <c:orientation val="minMax"/>
        </c:scaling>
        <c:delete val="1"/>
        <c:axPos val="b"/>
        <c:numFmt formatCode="General" sourceLinked="1"/>
        <c:majorTickMark val="out"/>
        <c:minorTickMark val="none"/>
        <c:tickLblPos val="nextTo"/>
        <c:crossAx val="318846816"/>
        <c:crosses val="autoZero"/>
        <c:auto val="1"/>
        <c:lblAlgn val="ctr"/>
        <c:lblOffset val="100"/>
        <c:noMultiLvlLbl val="0"/>
      </c:catAx>
      <c:spPr>
        <a:noFill/>
        <a:ln>
          <a:noFill/>
        </a:ln>
        <a:effectLst/>
      </c:spPr>
    </c:plotArea>
    <c:legend>
      <c:legendPos val="t"/>
      <c:layout>
        <c:manualLayout>
          <c:xMode val="edge"/>
          <c:yMode val="edge"/>
          <c:x val="0.32403656563477512"/>
          <c:y val="4.9075777996151919E-2"/>
          <c:w val="0.57003559486571032"/>
          <c:h val="0.149855811839041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'1.10A'!$R$4</c:f>
              <c:strCache>
                <c:ptCount val="1"/>
                <c:pt idx="0">
                  <c:v>GDP per capita</c:v>
                </c:pt>
              </c:strCache>
            </c:strRef>
          </c:tx>
          <c:spPr>
            <a:ln w="76200" cap="rnd">
              <a:solidFill>
                <a:schemeClr val="tx2"/>
              </a:solidFill>
              <a:round/>
            </a:ln>
            <a:effectLst/>
          </c:spPr>
          <c:marker>
            <c:symbol val="none"/>
          </c:marker>
          <c:cat>
            <c:numRef>
              <c:f>'1.10A'!$S$3:$AC$3</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'1.10A'!$S$4:$AC$4</c:f>
              <c:numCache>
                <c:formatCode>0.0</c:formatCode>
                <c:ptCount val="11"/>
                <c:pt idx="0">
                  <c:v>100</c:v>
                </c:pt>
                <c:pt idx="1">
                  <c:v>102.8</c:v>
                </c:pt>
                <c:pt idx="2">
                  <c:v>106.6</c:v>
                </c:pt>
                <c:pt idx="3">
                  <c:v>110.9</c:v>
                </c:pt>
                <c:pt idx="4">
                  <c:v>113.2</c:v>
                </c:pt>
                <c:pt idx="5">
                  <c:v>115.5</c:v>
                </c:pt>
                <c:pt idx="6">
                  <c:v>115.9</c:v>
                </c:pt>
                <c:pt idx="7">
                  <c:v>112.3</c:v>
                </c:pt>
                <c:pt idx="8">
                  <c:v>112.4</c:v>
                </c:pt>
                <c:pt idx="9">
                  <c:v>117.4</c:v>
                </c:pt>
                <c:pt idx="10">
                  <c:v>122.8</c:v>
                </c:pt>
              </c:numCache>
            </c:numRef>
          </c:val>
          <c:smooth val="0"/>
          <c:extLst>
            <c:ext xmlns:c16="http://schemas.microsoft.com/office/drawing/2014/chart" uri="{C3380CC4-5D6E-409C-BE32-E72D297353CC}">
              <c16:uniqueId val="{00000000-3794-46F5-9DE5-DCBEF11AE783}"/>
            </c:ext>
          </c:extLst>
        </c:ser>
        <c:ser>
          <c:idx val="1"/>
          <c:order val="1"/>
          <c:tx>
            <c:strRef>
              <c:f>'1.10A'!$R$5</c:f>
              <c:strCache>
                <c:ptCount val="1"/>
                <c:pt idx="0">
                  <c:v>Life satisfaction</c:v>
                </c:pt>
              </c:strCache>
            </c:strRef>
          </c:tx>
          <c:spPr>
            <a:ln w="76200" cap="rnd">
              <a:solidFill>
                <a:schemeClr val="bg2"/>
              </a:solidFill>
              <a:round/>
            </a:ln>
            <a:effectLst/>
          </c:spPr>
          <c:marker>
            <c:symbol val="none"/>
          </c:marker>
          <c:cat>
            <c:numRef>
              <c:f>'1.10A'!$S$3:$AC$3</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'1.10A'!$S$5:$AC$5</c:f>
              <c:numCache>
                <c:formatCode>0.0</c:formatCode>
                <c:ptCount val="11"/>
                <c:pt idx="0">
                  <c:v>100</c:v>
                </c:pt>
                <c:pt idx="1">
                  <c:v>99.3</c:v>
                </c:pt>
                <c:pt idx="2">
                  <c:v>98.8</c:v>
                </c:pt>
                <c:pt idx="3">
                  <c:v>98.1</c:v>
                </c:pt>
                <c:pt idx="4">
                  <c:v>97.2</c:v>
                </c:pt>
                <c:pt idx="5">
                  <c:v>96.6</c:v>
                </c:pt>
                <c:pt idx="6">
                  <c:v>96.4</c:v>
                </c:pt>
                <c:pt idx="7">
                  <c:v>95.9</c:v>
                </c:pt>
                <c:pt idx="8">
                  <c:v>95.9</c:v>
                </c:pt>
                <c:pt idx="9">
                  <c:v>96.2</c:v>
                </c:pt>
                <c:pt idx="10">
                  <c:v>94.3</c:v>
                </c:pt>
              </c:numCache>
            </c:numRef>
          </c:val>
          <c:smooth val="0"/>
          <c:extLst>
            <c:ext xmlns:c16="http://schemas.microsoft.com/office/drawing/2014/chart" uri="{C3380CC4-5D6E-409C-BE32-E72D297353CC}">
              <c16:uniqueId val="{00000001-3794-46F5-9DE5-DCBEF11AE783}"/>
            </c:ext>
          </c:extLst>
        </c:ser>
        <c:ser>
          <c:idx val="2"/>
          <c:order val="2"/>
          <c:spPr>
            <a:ln w="31750" cap="rnd">
              <a:solidFill>
                <a:schemeClr val="tx1"/>
              </a:solidFill>
              <a:prstDash val="lgDash"/>
              <a:round/>
            </a:ln>
            <a:effectLst/>
          </c:spPr>
          <c:marker>
            <c:symbol val="none"/>
          </c:marker>
          <c:val>
            <c:numRef>
              <c:f>'1.10A'!$S$6:$AC$6</c:f>
              <c:numCache>
                <c:formatCode>0.0</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smooth val="0"/>
          <c:extLst>
            <c:ext xmlns:c16="http://schemas.microsoft.com/office/drawing/2014/chart" uri="{C3380CC4-5D6E-409C-BE32-E72D297353CC}">
              <c16:uniqueId val="{00000002-3794-46F5-9DE5-DCBEF11AE783}"/>
            </c:ext>
          </c:extLst>
        </c:ser>
        <c:dLbls>
          <c:showLegendKey val="0"/>
          <c:showVal val="0"/>
          <c:showCatName val="0"/>
          <c:showSerName val="0"/>
          <c:showPercent val="0"/>
          <c:showBubbleSize val="0"/>
        </c:dLbls>
        <c:smooth val="0"/>
        <c:axId val="1162382191"/>
        <c:axId val="1162383151"/>
      </c:lineChart>
      <c:catAx>
        <c:axId val="116238219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62383151"/>
        <c:crosses val="autoZero"/>
        <c:auto val="1"/>
        <c:lblAlgn val="ctr"/>
        <c:lblOffset val="100"/>
        <c:noMultiLvlLbl val="0"/>
      </c:catAx>
      <c:valAx>
        <c:axId val="1162383151"/>
        <c:scaling>
          <c:orientation val="minMax"/>
          <c:max val="129"/>
          <c:min val="8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62382191"/>
        <c:crosses val="autoZero"/>
        <c:crossBetween val="between"/>
        <c:majorUnit val="10"/>
      </c:valAx>
      <c:spPr>
        <a:noFill/>
        <a:ln>
          <a:noFill/>
        </a:ln>
        <a:effectLst/>
      </c:spPr>
    </c:plotArea>
    <c:legend>
      <c:legendPos val="t"/>
      <c:legendEntry>
        <c:idx val="2"/>
        <c:delete val="1"/>
      </c:legendEntry>
      <c:layout>
        <c:manualLayout>
          <c:xMode val="edge"/>
          <c:yMode val="edge"/>
          <c:x val="8.4107064741907267E-2"/>
          <c:y val="1.6913531641878098E-2"/>
          <c:w val="0.81918624234470705"/>
          <c:h val="0.23006826888349871"/>
        </c:manualLayout>
      </c:layout>
      <c:overlay val="1"/>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1597846445105001E-2"/>
          <c:y val="0.13915429673895166"/>
          <c:w val="0.9132057853672354"/>
          <c:h val="0.67804793672591002"/>
        </c:manualLayout>
      </c:layout>
      <c:barChart>
        <c:barDir val="col"/>
        <c:grouping val="clustered"/>
        <c:varyColors val="0"/>
        <c:ser>
          <c:idx val="1"/>
          <c:order val="1"/>
          <c:tx>
            <c:strRef>
              <c:f>'1.10B'!$T$3</c:f>
              <c:strCache>
                <c:ptCount val="1"/>
                <c:pt idx="0">
                  <c:v>Average 2022-25</c:v>
                </c:pt>
              </c:strCache>
            </c:strRef>
          </c:tx>
          <c:spPr>
            <a:solidFill>
              <a:schemeClr val="accent1"/>
            </a:solidFill>
            <a:ln w="76200">
              <a:noFill/>
            </a:ln>
            <a:effectLst/>
          </c:spPr>
          <c:invertIfNegative val="0"/>
          <c:cat>
            <c:strRef>
              <c:f>'1.10B'!$R$4:$R$6</c:f>
              <c:strCache>
                <c:ptCount val="3"/>
                <c:pt idx="0">
                  <c:v>SAR</c:v>
                </c:pt>
                <c:pt idx="1">
                  <c:v>SAR 
excl. India</c:v>
                </c:pt>
                <c:pt idx="2">
                  <c:v>Other 
EMDEs</c:v>
                </c:pt>
              </c:strCache>
            </c:strRef>
          </c:cat>
          <c:val>
            <c:numRef>
              <c:f>'1.10B'!$T$4:$T$6</c:f>
              <c:numCache>
                <c:formatCode>General</c:formatCode>
                <c:ptCount val="3"/>
                <c:pt idx="0">
                  <c:v>6.4</c:v>
                </c:pt>
                <c:pt idx="1">
                  <c:v>3.5</c:v>
                </c:pt>
                <c:pt idx="2">
                  <c:v>3.8</c:v>
                </c:pt>
              </c:numCache>
            </c:numRef>
          </c:val>
          <c:extLst>
            <c:ext xmlns:c16="http://schemas.microsoft.com/office/drawing/2014/chart" uri="{C3380CC4-5D6E-409C-BE32-E72D297353CC}">
              <c16:uniqueId val="{00000000-3AB1-4C8A-A003-BFC432282705}"/>
            </c:ext>
          </c:extLst>
        </c:ser>
        <c:dLbls>
          <c:showLegendKey val="0"/>
          <c:showVal val="0"/>
          <c:showCatName val="0"/>
          <c:showSerName val="0"/>
          <c:showPercent val="0"/>
          <c:showBubbleSize val="0"/>
        </c:dLbls>
        <c:gapWidth val="150"/>
        <c:overlap val="-27"/>
        <c:axId val="215083840"/>
        <c:axId val="215081920"/>
      </c:barChart>
      <c:lineChart>
        <c:grouping val="standard"/>
        <c:varyColors val="0"/>
        <c:ser>
          <c:idx val="0"/>
          <c:order val="0"/>
          <c:tx>
            <c:strRef>
              <c:f>'1.10B'!$S$3</c:f>
              <c:strCache>
                <c:ptCount val="1"/>
                <c:pt idx="0">
                  <c:v>Average 2015-19</c:v>
                </c:pt>
              </c:strCache>
            </c:strRef>
          </c:tx>
          <c:spPr>
            <a:ln w="28575" cap="rnd">
              <a:noFill/>
              <a:round/>
            </a:ln>
            <a:effectLst/>
          </c:spPr>
          <c:marker>
            <c:symbol val="dash"/>
            <c:size val="40"/>
            <c:spPr>
              <a:solidFill>
                <a:schemeClr val="accent4"/>
              </a:solidFill>
              <a:ln w="9525">
                <a:noFill/>
              </a:ln>
              <a:effectLst/>
            </c:spPr>
          </c:marker>
          <c:cat>
            <c:strRef>
              <c:f>'1.10B'!$R$4:$R$6</c:f>
              <c:strCache>
                <c:ptCount val="3"/>
                <c:pt idx="0">
                  <c:v>SAR</c:v>
                </c:pt>
                <c:pt idx="1">
                  <c:v>SAR 
excl. India</c:v>
                </c:pt>
                <c:pt idx="2">
                  <c:v>Other 
EMDEs</c:v>
                </c:pt>
              </c:strCache>
            </c:strRef>
          </c:cat>
          <c:val>
            <c:numRef>
              <c:f>'1.10B'!$S$4:$S$6</c:f>
              <c:numCache>
                <c:formatCode>General</c:formatCode>
                <c:ptCount val="3"/>
                <c:pt idx="0">
                  <c:v>6.6</c:v>
                </c:pt>
                <c:pt idx="1">
                  <c:v>6.3</c:v>
                </c:pt>
                <c:pt idx="2">
                  <c:v>4.3</c:v>
                </c:pt>
              </c:numCache>
            </c:numRef>
          </c:val>
          <c:smooth val="0"/>
          <c:extLst>
            <c:ext xmlns:c16="http://schemas.microsoft.com/office/drawing/2014/chart" uri="{C3380CC4-5D6E-409C-BE32-E72D297353CC}">
              <c16:uniqueId val="{00000001-3AB1-4C8A-A003-BFC432282705}"/>
            </c:ext>
          </c:extLst>
        </c:ser>
        <c:dLbls>
          <c:showLegendKey val="0"/>
          <c:showVal val="0"/>
          <c:showCatName val="0"/>
          <c:showSerName val="0"/>
          <c:showPercent val="0"/>
          <c:showBubbleSize val="0"/>
        </c:dLbls>
        <c:marker val="1"/>
        <c:smooth val="0"/>
        <c:axId val="215083840"/>
        <c:axId val="215081920"/>
      </c:lineChart>
      <c:catAx>
        <c:axId val="21508384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5081920"/>
        <c:crosses val="autoZero"/>
        <c:auto val="1"/>
        <c:lblAlgn val="ctr"/>
        <c:lblOffset val="100"/>
        <c:noMultiLvlLbl val="0"/>
      </c:catAx>
      <c:valAx>
        <c:axId val="2150819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5083840"/>
        <c:crosses val="autoZero"/>
        <c:crossBetween val="between"/>
      </c:valAx>
      <c:spPr>
        <a:noFill/>
        <a:ln>
          <a:noFill/>
        </a:ln>
        <a:effectLst/>
      </c:spPr>
    </c:plotArea>
    <c:legend>
      <c:legendPos val="t"/>
      <c:layout>
        <c:manualLayout>
          <c:xMode val="edge"/>
          <c:yMode val="edge"/>
          <c:x val="9.973353598058346E-2"/>
          <c:y val="7.8056541384015354E-2"/>
          <c:w val="0.89999995648856634"/>
          <c:h val="7.6927399514275824E-2"/>
        </c:manualLayout>
      </c:layout>
      <c:overlay val="1"/>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325199844316037"/>
          <c:y val="0.14552216389617967"/>
          <c:w val="0.87742435583039169"/>
          <c:h val="0.72624088655584706"/>
        </c:manualLayout>
      </c:layout>
      <c:barChart>
        <c:barDir val="col"/>
        <c:grouping val="clustered"/>
        <c:varyColors val="0"/>
        <c:ser>
          <c:idx val="2"/>
          <c:order val="0"/>
          <c:tx>
            <c:strRef>
              <c:f>'1.10C'!$S$3</c:f>
              <c:strCache>
                <c:ptCount val="1"/>
                <c:pt idx="0">
                  <c:v>Big</c:v>
                </c:pt>
              </c:strCache>
            </c:strRef>
          </c:tx>
          <c:spPr>
            <a:solidFill>
              <a:schemeClr val="tx2"/>
            </a:solidFill>
            <a:ln w="50800">
              <a:noFill/>
            </a:ln>
            <a:effectLst/>
          </c:spPr>
          <c:invertIfNegative val="0"/>
          <c:dPt>
            <c:idx val="1"/>
            <c:invertIfNegative val="0"/>
            <c:bubble3D val="0"/>
            <c:spPr>
              <a:solidFill>
                <a:schemeClr val="bg2"/>
              </a:solidFill>
              <a:ln w="50800">
                <a:noFill/>
              </a:ln>
              <a:effectLst/>
            </c:spPr>
            <c:extLst>
              <c:ext xmlns:c16="http://schemas.microsoft.com/office/drawing/2014/chart" uri="{C3380CC4-5D6E-409C-BE32-E72D297353CC}">
                <c16:uniqueId val="{00000001-DA77-44D0-BC2A-D88BFD86DBD1}"/>
              </c:ext>
            </c:extLst>
          </c:dPt>
          <c:cat>
            <c:strRef>
              <c:f>'1.10C'!$R$4:$R$8</c:f>
              <c:strCache>
                <c:ptCount val="5"/>
                <c:pt idx="0">
                  <c:v>ECA</c:v>
                </c:pt>
                <c:pt idx="1">
                  <c:v>SAR</c:v>
                </c:pt>
                <c:pt idx="2">
                  <c:v>LAC</c:v>
                </c:pt>
                <c:pt idx="3">
                  <c:v>SSA</c:v>
                </c:pt>
                <c:pt idx="4">
                  <c:v>MNA</c:v>
                </c:pt>
              </c:strCache>
            </c:strRef>
          </c:cat>
          <c:val>
            <c:numRef>
              <c:f>'1.10C'!$S$4:$S$8</c:f>
              <c:numCache>
                <c:formatCode>0</c:formatCode>
                <c:ptCount val="5"/>
                <c:pt idx="0">
                  <c:v>16</c:v>
                </c:pt>
                <c:pt idx="1">
                  <c:v>12</c:v>
                </c:pt>
                <c:pt idx="2">
                  <c:v>11</c:v>
                </c:pt>
                <c:pt idx="3">
                  <c:v>4</c:v>
                </c:pt>
                <c:pt idx="4">
                  <c:v>2</c:v>
                </c:pt>
              </c:numCache>
            </c:numRef>
          </c:val>
          <c:extLst>
            <c:ext xmlns:c16="http://schemas.microsoft.com/office/drawing/2014/chart" uri="{C3380CC4-5D6E-409C-BE32-E72D297353CC}">
              <c16:uniqueId val="{00000002-DA77-44D0-BC2A-D88BFD86DBD1}"/>
            </c:ext>
          </c:extLst>
        </c:ser>
        <c:dLbls>
          <c:showLegendKey val="0"/>
          <c:showVal val="0"/>
          <c:showCatName val="0"/>
          <c:showSerName val="0"/>
          <c:showPercent val="0"/>
          <c:showBubbleSize val="0"/>
        </c:dLbls>
        <c:gapWidth val="150"/>
        <c:axId val="1700336288"/>
        <c:axId val="1700330048"/>
        <c:extLst/>
      </c:barChart>
      <c:catAx>
        <c:axId val="170033628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00330048"/>
        <c:crosses val="autoZero"/>
        <c:auto val="1"/>
        <c:lblAlgn val="ctr"/>
        <c:lblOffset val="100"/>
        <c:noMultiLvlLbl val="0"/>
      </c:catAx>
      <c:valAx>
        <c:axId val="170033004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00336288"/>
        <c:crosses val="autoZero"/>
        <c:crossBetween val="between"/>
        <c:majorUnit val="3"/>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384262904636921"/>
          <c:y val="0.17437007874015747"/>
          <c:w val="0.86087959317585305"/>
          <c:h val="0.71162394284047825"/>
        </c:manualLayout>
      </c:layout>
      <c:barChart>
        <c:barDir val="col"/>
        <c:grouping val="stacked"/>
        <c:varyColors val="0"/>
        <c:ser>
          <c:idx val="1"/>
          <c:order val="1"/>
          <c:tx>
            <c:strRef>
              <c:f>'1.10D'!$R$5</c:f>
              <c:strCache>
                <c:ptCount val="1"/>
                <c:pt idx="0">
                  <c:v>Interquartile range</c:v>
                </c:pt>
              </c:strCache>
            </c:strRef>
          </c:tx>
          <c:spPr>
            <a:solidFill>
              <a:schemeClr val="accent1"/>
            </a:solidFill>
            <a:ln w="76200">
              <a:noFill/>
            </a:ln>
            <a:effectLst/>
          </c:spPr>
          <c:invertIfNegative val="0"/>
          <c:dPt>
            <c:idx val="4"/>
            <c:invertIfNegative val="0"/>
            <c:bubble3D val="0"/>
            <c:spPr>
              <a:noFill/>
              <a:ln w="76200">
                <a:noFill/>
              </a:ln>
              <a:effectLst/>
            </c:spPr>
            <c:extLst>
              <c:ext xmlns:c16="http://schemas.microsoft.com/office/drawing/2014/chart" uri="{C3380CC4-5D6E-409C-BE32-E72D297353CC}">
                <c16:uniqueId val="{00000001-B039-429D-8957-47B1A0C4B477}"/>
              </c:ext>
            </c:extLst>
          </c:dPt>
          <c:dPt>
            <c:idx val="5"/>
            <c:invertIfNegative val="0"/>
            <c:bubble3D val="0"/>
            <c:spPr>
              <a:noFill/>
              <a:ln w="76200">
                <a:noFill/>
              </a:ln>
              <a:effectLst/>
            </c:spPr>
            <c:extLst>
              <c:ext xmlns:c16="http://schemas.microsoft.com/office/drawing/2014/chart" uri="{C3380CC4-5D6E-409C-BE32-E72D297353CC}">
                <c16:uniqueId val="{00000003-B039-429D-8957-47B1A0C4B477}"/>
              </c:ext>
            </c:extLst>
          </c:dPt>
          <c:dPt>
            <c:idx val="6"/>
            <c:invertIfNegative val="0"/>
            <c:bubble3D val="0"/>
            <c:spPr>
              <a:solidFill>
                <a:schemeClr val="bg1"/>
              </a:solidFill>
              <a:ln w="76200">
                <a:noFill/>
              </a:ln>
              <a:effectLst/>
            </c:spPr>
            <c:extLst>
              <c:ext xmlns:c16="http://schemas.microsoft.com/office/drawing/2014/chart" uri="{C3380CC4-5D6E-409C-BE32-E72D297353CC}">
                <c16:uniqueId val="{00000005-B039-429D-8957-47B1A0C4B477}"/>
              </c:ext>
            </c:extLst>
          </c:dPt>
          <c:cat>
            <c:strRef>
              <c:f>'1.10D'!$S$3:$X$3</c:f>
              <c:strCache>
                <c:ptCount val="6"/>
                <c:pt idx="0">
                  <c:v>EAP</c:v>
                </c:pt>
                <c:pt idx="1">
                  <c:v>ECA</c:v>
                </c:pt>
                <c:pt idx="2">
                  <c:v>LAC</c:v>
                </c:pt>
                <c:pt idx="3">
                  <c:v>MNA</c:v>
                </c:pt>
                <c:pt idx="4">
                  <c:v>SAR</c:v>
                </c:pt>
                <c:pt idx="5">
                  <c:v>SSA</c:v>
                </c:pt>
              </c:strCache>
            </c:strRef>
          </c:cat>
          <c:val>
            <c:numRef>
              <c:f>'1.10D'!$S$5:$X$5</c:f>
              <c:numCache>
                <c:formatCode>0.00</c:formatCode>
                <c:ptCount val="6"/>
                <c:pt idx="0">
                  <c:v>0.02</c:v>
                </c:pt>
                <c:pt idx="1">
                  <c:v>0.44</c:v>
                </c:pt>
                <c:pt idx="2">
                  <c:v>0.33</c:v>
                </c:pt>
                <c:pt idx="3">
                  <c:v>0.16</c:v>
                </c:pt>
                <c:pt idx="4">
                  <c:v>-0.36</c:v>
                </c:pt>
                <c:pt idx="5">
                  <c:v>-0.43</c:v>
                </c:pt>
              </c:numCache>
            </c:numRef>
          </c:val>
          <c:extLst>
            <c:ext xmlns:c16="http://schemas.microsoft.com/office/drawing/2014/chart" uri="{C3380CC4-5D6E-409C-BE32-E72D297353CC}">
              <c16:uniqueId val="{00000006-B039-429D-8957-47B1A0C4B477}"/>
            </c:ext>
          </c:extLst>
        </c:ser>
        <c:ser>
          <c:idx val="2"/>
          <c:order val="2"/>
          <c:tx>
            <c:strRef>
              <c:f>'1.10D'!$R$6</c:f>
              <c:strCache>
                <c:ptCount val="1"/>
                <c:pt idx="0">
                  <c:v>IQR Range</c:v>
                </c:pt>
              </c:strCache>
            </c:strRef>
          </c:tx>
          <c:spPr>
            <a:solidFill>
              <a:schemeClr val="accent1"/>
            </a:solidFill>
            <a:ln w="76200">
              <a:noFill/>
            </a:ln>
            <a:effectLst/>
          </c:spPr>
          <c:invertIfNegative val="0"/>
          <c:cat>
            <c:strRef>
              <c:f>'1.10D'!$S$3:$X$3</c:f>
              <c:strCache>
                <c:ptCount val="6"/>
                <c:pt idx="0">
                  <c:v>EAP</c:v>
                </c:pt>
                <c:pt idx="1">
                  <c:v>ECA</c:v>
                </c:pt>
                <c:pt idx="2">
                  <c:v>LAC</c:v>
                </c:pt>
                <c:pt idx="3">
                  <c:v>MNA</c:v>
                </c:pt>
                <c:pt idx="4">
                  <c:v>SAR</c:v>
                </c:pt>
                <c:pt idx="5">
                  <c:v>SSA</c:v>
                </c:pt>
              </c:strCache>
            </c:strRef>
          </c:cat>
          <c:val>
            <c:numRef>
              <c:f>'1.10D'!$S$6:$X$6</c:f>
              <c:numCache>
                <c:formatCode>0.00</c:formatCode>
                <c:ptCount val="6"/>
                <c:pt idx="0">
                  <c:v>-0.65</c:v>
                </c:pt>
                <c:pt idx="1">
                  <c:v>-0.5</c:v>
                </c:pt>
                <c:pt idx="2">
                  <c:v>-0.51</c:v>
                </c:pt>
                <c:pt idx="3">
                  <c:v>-1.27</c:v>
                </c:pt>
                <c:pt idx="4">
                  <c:v>-0.47</c:v>
                </c:pt>
                <c:pt idx="5">
                  <c:v>-0.64</c:v>
                </c:pt>
              </c:numCache>
            </c:numRef>
          </c:val>
          <c:extLst>
            <c:ext xmlns:c16="http://schemas.microsoft.com/office/drawing/2014/chart" uri="{C3380CC4-5D6E-409C-BE32-E72D297353CC}">
              <c16:uniqueId val="{00000007-B039-429D-8957-47B1A0C4B477}"/>
            </c:ext>
          </c:extLst>
        </c:ser>
        <c:dLbls>
          <c:showLegendKey val="0"/>
          <c:showVal val="0"/>
          <c:showCatName val="0"/>
          <c:showSerName val="0"/>
          <c:showPercent val="0"/>
          <c:showBubbleSize val="0"/>
        </c:dLbls>
        <c:gapWidth val="150"/>
        <c:overlap val="100"/>
        <c:axId val="366289375"/>
        <c:axId val="366290335"/>
      </c:barChart>
      <c:lineChart>
        <c:grouping val="standard"/>
        <c:varyColors val="0"/>
        <c:ser>
          <c:idx val="0"/>
          <c:order val="0"/>
          <c:tx>
            <c:strRef>
              <c:f>'1.10D'!$R$4</c:f>
              <c:strCache>
                <c:ptCount val="1"/>
                <c:pt idx="0">
                  <c:v>Region average</c:v>
                </c:pt>
              </c:strCache>
            </c:strRef>
          </c:tx>
          <c:spPr>
            <a:ln w="76200" cap="rnd">
              <a:noFill/>
              <a:round/>
            </a:ln>
            <a:effectLst/>
          </c:spPr>
          <c:marker>
            <c:symbol val="dash"/>
            <c:size val="25"/>
            <c:spPr>
              <a:solidFill>
                <a:schemeClr val="accent4"/>
              </a:solidFill>
              <a:ln w="76200">
                <a:noFill/>
              </a:ln>
              <a:effectLst/>
            </c:spPr>
          </c:marker>
          <c:cat>
            <c:strRef>
              <c:f>'1.10D'!$S$3:$X$3</c:f>
              <c:strCache>
                <c:ptCount val="6"/>
                <c:pt idx="0">
                  <c:v>EAP</c:v>
                </c:pt>
                <c:pt idx="1">
                  <c:v>ECA</c:v>
                </c:pt>
                <c:pt idx="2">
                  <c:v>LAC</c:v>
                </c:pt>
                <c:pt idx="3">
                  <c:v>MNA</c:v>
                </c:pt>
                <c:pt idx="4">
                  <c:v>SAR</c:v>
                </c:pt>
                <c:pt idx="5">
                  <c:v>SSA</c:v>
                </c:pt>
              </c:strCache>
            </c:strRef>
          </c:cat>
          <c:val>
            <c:numRef>
              <c:f>'1.10D'!$S$4:$X$4</c:f>
              <c:numCache>
                <c:formatCode>0.00</c:formatCode>
                <c:ptCount val="6"/>
                <c:pt idx="0">
                  <c:v>-0.27</c:v>
                </c:pt>
                <c:pt idx="1">
                  <c:v>-0.11</c:v>
                </c:pt>
                <c:pt idx="2">
                  <c:v>-0.14000000000000001</c:v>
                </c:pt>
                <c:pt idx="3">
                  <c:v>-0.49</c:v>
                </c:pt>
                <c:pt idx="4">
                  <c:v>-0.63</c:v>
                </c:pt>
                <c:pt idx="5">
                  <c:v>-0.77</c:v>
                </c:pt>
              </c:numCache>
            </c:numRef>
          </c:val>
          <c:smooth val="0"/>
          <c:extLst>
            <c:ext xmlns:c16="http://schemas.microsoft.com/office/drawing/2014/chart" uri="{C3380CC4-5D6E-409C-BE32-E72D297353CC}">
              <c16:uniqueId val="{00000008-B039-429D-8957-47B1A0C4B477}"/>
            </c:ext>
          </c:extLst>
        </c:ser>
        <c:ser>
          <c:idx val="3"/>
          <c:order val="3"/>
          <c:tx>
            <c:strRef>
              <c:f>'1.10D'!$R$7</c:f>
              <c:strCache>
                <c:ptCount val="1"/>
                <c:pt idx="0">
                  <c:v>AE average</c:v>
                </c:pt>
              </c:strCache>
            </c:strRef>
          </c:tx>
          <c:spPr>
            <a:ln w="76200" cap="rnd">
              <a:solidFill>
                <a:schemeClr val="accent2"/>
              </a:solidFill>
              <a:prstDash val="sysDash"/>
              <a:round/>
            </a:ln>
            <a:effectLst/>
          </c:spPr>
          <c:marker>
            <c:symbol val="none"/>
          </c:marker>
          <c:cat>
            <c:strRef>
              <c:f>'1.10D'!$S$3:$X$3</c:f>
              <c:strCache>
                <c:ptCount val="6"/>
                <c:pt idx="0">
                  <c:v>EAP</c:v>
                </c:pt>
                <c:pt idx="1">
                  <c:v>ECA</c:v>
                </c:pt>
                <c:pt idx="2">
                  <c:v>LAC</c:v>
                </c:pt>
                <c:pt idx="3">
                  <c:v>MNA</c:v>
                </c:pt>
                <c:pt idx="4">
                  <c:v>SAR</c:v>
                </c:pt>
                <c:pt idx="5">
                  <c:v>SSA</c:v>
                </c:pt>
              </c:strCache>
            </c:strRef>
          </c:cat>
          <c:val>
            <c:numRef>
              <c:f>'1.10D'!$S$7:$X$7</c:f>
              <c:numCache>
                <c:formatCode>0.00</c:formatCode>
                <c:ptCount val="6"/>
                <c:pt idx="0">
                  <c:v>1.1399999999999999</c:v>
                </c:pt>
                <c:pt idx="1">
                  <c:v>1.1399999999999999</c:v>
                </c:pt>
                <c:pt idx="2">
                  <c:v>1.1399999999999999</c:v>
                </c:pt>
                <c:pt idx="3">
                  <c:v>1.1399999999999999</c:v>
                </c:pt>
                <c:pt idx="4">
                  <c:v>1.1399999999999999</c:v>
                </c:pt>
                <c:pt idx="5">
                  <c:v>1.1399999999999999</c:v>
                </c:pt>
              </c:numCache>
            </c:numRef>
          </c:val>
          <c:smooth val="0"/>
          <c:extLst>
            <c:ext xmlns:c16="http://schemas.microsoft.com/office/drawing/2014/chart" uri="{C3380CC4-5D6E-409C-BE32-E72D297353CC}">
              <c16:uniqueId val="{00000009-B039-429D-8957-47B1A0C4B477}"/>
            </c:ext>
          </c:extLst>
        </c:ser>
        <c:dLbls>
          <c:showLegendKey val="0"/>
          <c:showVal val="0"/>
          <c:showCatName val="0"/>
          <c:showSerName val="0"/>
          <c:showPercent val="0"/>
          <c:showBubbleSize val="0"/>
        </c:dLbls>
        <c:marker val="1"/>
        <c:smooth val="0"/>
        <c:axId val="366289375"/>
        <c:axId val="366290335"/>
      </c:lineChart>
      <c:catAx>
        <c:axId val="36628937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66290335"/>
        <c:crosses val="autoZero"/>
        <c:auto val="1"/>
        <c:lblAlgn val="ctr"/>
        <c:lblOffset val="100"/>
        <c:noMultiLvlLbl val="0"/>
      </c:catAx>
      <c:valAx>
        <c:axId val="366290335"/>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66289375"/>
        <c:crosses val="autoZero"/>
        <c:crossBetween val="between"/>
      </c:valAx>
      <c:spPr>
        <a:noFill/>
        <a:ln>
          <a:noFill/>
        </a:ln>
        <a:effectLst/>
      </c:spPr>
    </c:plotArea>
    <c:legend>
      <c:legendPos val="t"/>
      <c:legendEntry>
        <c:idx val="1"/>
        <c:delete val="1"/>
      </c:legendEntry>
      <c:layout>
        <c:manualLayout>
          <c:xMode val="edge"/>
          <c:yMode val="edge"/>
          <c:x val="0.18881605424321962"/>
          <c:y val="1.7788130650335372E-2"/>
          <c:w val="0.69722222222222219"/>
          <c:h val="0.22294896471274425"/>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strRef>
              <c:f>'1.11A'!$S$3</c:f>
              <c:strCache>
                <c:ptCount val="1"/>
                <c:pt idx="0">
                  <c:v>2023</c:v>
                </c:pt>
              </c:strCache>
            </c:strRef>
          </c:tx>
          <c:spPr>
            <a:solidFill>
              <a:srgbClr val="002345"/>
            </a:solidFill>
            <a:ln w="76200">
              <a:noFill/>
            </a:ln>
            <a:effectLst/>
          </c:spPr>
          <c:invertIfNegative val="0"/>
          <c:cat>
            <c:strRef>
              <c:f>'1.11A'!$R$4:$R$5</c:f>
              <c:strCache>
                <c:ptCount val="2"/>
                <c:pt idx="0">
                  <c:v>SAR</c:v>
                </c:pt>
                <c:pt idx="1">
                  <c:v>EMDEs excl. SAR</c:v>
                </c:pt>
              </c:strCache>
            </c:strRef>
          </c:cat>
          <c:val>
            <c:numRef>
              <c:f>'1.11A'!$S$4:$S$5</c:f>
              <c:numCache>
                <c:formatCode>General</c:formatCode>
                <c:ptCount val="2"/>
                <c:pt idx="0">
                  <c:v>20.7</c:v>
                </c:pt>
                <c:pt idx="1">
                  <c:v>24.2</c:v>
                </c:pt>
              </c:numCache>
            </c:numRef>
          </c:val>
          <c:extLst>
            <c:ext xmlns:c16="http://schemas.microsoft.com/office/drawing/2014/chart" uri="{C3380CC4-5D6E-409C-BE32-E72D297353CC}">
              <c16:uniqueId val="{00000000-F9B8-4563-B968-433109838718}"/>
            </c:ext>
          </c:extLst>
        </c:ser>
        <c:dLbls>
          <c:showLegendKey val="0"/>
          <c:showVal val="0"/>
          <c:showCatName val="0"/>
          <c:showSerName val="0"/>
          <c:showPercent val="0"/>
          <c:showBubbleSize val="0"/>
        </c:dLbls>
        <c:gapWidth val="150"/>
        <c:overlap val="-27"/>
        <c:axId val="410502800"/>
        <c:axId val="410503760"/>
      </c:barChart>
      <c:lineChart>
        <c:grouping val="standard"/>
        <c:varyColors val="0"/>
        <c:ser>
          <c:idx val="1"/>
          <c:order val="1"/>
          <c:tx>
            <c:strRef>
              <c:f>'1.11A'!$T$3</c:f>
              <c:strCache>
                <c:ptCount val="1"/>
                <c:pt idx="0">
                  <c:v>2015-19 average</c:v>
                </c:pt>
              </c:strCache>
            </c:strRef>
          </c:tx>
          <c:spPr>
            <a:ln w="76200" cap="rnd">
              <a:noFill/>
              <a:round/>
            </a:ln>
            <a:effectLst/>
          </c:spPr>
          <c:marker>
            <c:symbol val="diamond"/>
            <c:size val="35"/>
            <c:spPr>
              <a:solidFill>
                <a:schemeClr val="accent4"/>
              </a:solidFill>
              <a:ln w="76200">
                <a:noFill/>
              </a:ln>
              <a:effectLst/>
            </c:spPr>
          </c:marker>
          <c:cat>
            <c:strRef>
              <c:f>'1.11A'!$R$4:$R$5</c:f>
              <c:strCache>
                <c:ptCount val="2"/>
                <c:pt idx="0">
                  <c:v>SAR</c:v>
                </c:pt>
                <c:pt idx="1">
                  <c:v>EMDEs excl. SAR</c:v>
                </c:pt>
              </c:strCache>
            </c:strRef>
          </c:cat>
          <c:val>
            <c:numRef>
              <c:f>'1.11A'!$T$4:$T$5</c:f>
              <c:numCache>
                <c:formatCode>General</c:formatCode>
                <c:ptCount val="2"/>
                <c:pt idx="0">
                  <c:v>20.399999999999999</c:v>
                </c:pt>
                <c:pt idx="1">
                  <c:v>23.9</c:v>
                </c:pt>
              </c:numCache>
            </c:numRef>
          </c:val>
          <c:smooth val="0"/>
          <c:extLst>
            <c:ext xmlns:c16="http://schemas.microsoft.com/office/drawing/2014/chart" uri="{C3380CC4-5D6E-409C-BE32-E72D297353CC}">
              <c16:uniqueId val="{00000001-F9B8-4563-B968-433109838718}"/>
            </c:ext>
          </c:extLst>
        </c:ser>
        <c:dLbls>
          <c:showLegendKey val="0"/>
          <c:showVal val="0"/>
          <c:showCatName val="0"/>
          <c:showSerName val="0"/>
          <c:showPercent val="0"/>
          <c:showBubbleSize val="0"/>
        </c:dLbls>
        <c:marker val="1"/>
        <c:smooth val="0"/>
        <c:axId val="410502800"/>
        <c:axId val="410503760"/>
      </c:lineChart>
      <c:catAx>
        <c:axId val="41050280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10503760"/>
        <c:crosses val="autoZero"/>
        <c:auto val="1"/>
        <c:lblAlgn val="ctr"/>
        <c:lblOffset val="100"/>
        <c:noMultiLvlLbl val="0"/>
      </c:catAx>
      <c:valAx>
        <c:axId val="4105037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10502800"/>
        <c:crosses val="autoZero"/>
        <c:crossBetween val="between"/>
        <c:majorUnit val="2"/>
      </c:valAx>
      <c:spPr>
        <a:noFill/>
        <a:ln>
          <a:noFill/>
        </a:ln>
        <a:effectLst/>
      </c:spPr>
    </c:plotArea>
    <c:legend>
      <c:legendPos val="t"/>
      <c:layout>
        <c:manualLayout>
          <c:xMode val="edge"/>
          <c:yMode val="edge"/>
          <c:x val="0.21534178681076033"/>
          <c:y val="0.14432022649671541"/>
          <c:w val="0.62912598425196853"/>
          <c:h val="7.668817219987381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108263794958659E-2"/>
          <c:y val="0.12706990686354119"/>
          <c:w val="0.91379928005635092"/>
          <c:h val="0.75234684165938326"/>
        </c:manualLayout>
      </c:layout>
      <c:barChart>
        <c:barDir val="col"/>
        <c:grouping val="stacked"/>
        <c:varyColors val="0"/>
        <c:ser>
          <c:idx val="2"/>
          <c:order val="0"/>
          <c:tx>
            <c:strRef>
              <c:f>'1.11B'!$U$3</c:f>
              <c:strCache>
                <c:ptCount val="1"/>
              </c:strCache>
            </c:strRef>
          </c:tx>
          <c:spPr>
            <a:solidFill>
              <a:schemeClr val="tx2"/>
            </a:solidFill>
            <a:ln>
              <a:noFill/>
            </a:ln>
            <a:effectLst/>
          </c:spPr>
          <c:invertIfNegative val="0"/>
          <c:dPt>
            <c:idx val="1"/>
            <c:invertIfNegative val="0"/>
            <c:bubble3D val="0"/>
            <c:spPr>
              <a:solidFill>
                <a:schemeClr val="bg1"/>
              </a:solidFill>
              <a:ln>
                <a:noFill/>
              </a:ln>
              <a:effectLst/>
            </c:spPr>
            <c:extLst>
              <c:ext xmlns:c16="http://schemas.microsoft.com/office/drawing/2014/chart" uri="{C3380CC4-5D6E-409C-BE32-E72D297353CC}">
                <c16:uniqueId val="{00000001-42F3-4F2B-B7FA-D00689AA56F8}"/>
              </c:ext>
            </c:extLst>
          </c:dPt>
          <c:dPt>
            <c:idx val="2"/>
            <c:invertIfNegative val="0"/>
            <c:bubble3D val="0"/>
            <c:spPr>
              <a:solidFill>
                <a:schemeClr val="bg1"/>
              </a:solidFill>
              <a:ln>
                <a:noFill/>
              </a:ln>
              <a:effectLst/>
            </c:spPr>
            <c:extLst>
              <c:ext xmlns:c16="http://schemas.microsoft.com/office/drawing/2014/chart" uri="{C3380CC4-5D6E-409C-BE32-E72D297353CC}">
                <c16:uniqueId val="{00000003-42F3-4F2B-B7FA-D00689AA56F8}"/>
              </c:ext>
            </c:extLst>
          </c:dPt>
          <c:cat>
            <c:multiLvlStrRef>
              <c:f>'1.11B'!$R$4:$S$6</c:f>
              <c:multiLvlStrCache>
                <c:ptCount val="3"/>
                <c:lvl>
                  <c:pt idx="0">
                    <c:v>GDP growth avg. 2025-26f</c:v>
                  </c:pt>
                  <c:pt idx="1">
                    <c:v>Investment decline</c:v>
                  </c:pt>
                  <c:pt idx="2">
                    <c:v>Investment decline and prod. slowdown</c:v>
                  </c:pt>
                </c:lvl>
                <c:lvl>
                  <c:pt idx="0">
                    <c:v>Baseline</c:v>
                  </c:pt>
                  <c:pt idx="1">
                    <c:v>Impact of reform slippage</c:v>
                  </c:pt>
                </c:lvl>
              </c:multiLvlStrCache>
            </c:multiLvlStrRef>
          </c:cat>
          <c:val>
            <c:numRef>
              <c:f>'1.11B'!$U$4:$U$6</c:f>
              <c:numCache>
                <c:formatCode>0.00</c:formatCode>
                <c:ptCount val="3"/>
                <c:pt idx="0">
                  <c:v>6.2</c:v>
                </c:pt>
                <c:pt idx="1">
                  <c:v>5.66</c:v>
                </c:pt>
                <c:pt idx="2">
                  <c:v>5.48</c:v>
                </c:pt>
              </c:numCache>
            </c:numRef>
          </c:val>
          <c:extLst>
            <c:ext xmlns:c16="http://schemas.microsoft.com/office/drawing/2014/chart" uri="{C3380CC4-5D6E-409C-BE32-E72D297353CC}">
              <c16:uniqueId val="{00000004-42F3-4F2B-B7FA-D00689AA56F8}"/>
            </c:ext>
          </c:extLst>
        </c:ser>
        <c:ser>
          <c:idx val="1"/>
          <c:order val="1"/>
          <c:tx>
            <c:strRef>
              <c:f>'1.11B'!$T$3</c:f>
              <c:strCache>
                <c:ptCount val="1"/>
              </c:strCache>
            </c:strRef>
          </c:tx>
          <c:spPr>
            <a:solidFill>
              <a:schemeClr val="bg2"/>
            </a:solidFill>
            <a:ln>
              <a:noFill/>
            </a:ln>
            <a:effectLst/>
          </c:spPr>
          <c:invertIfNegative val="0"/>
          <c:cat>
            <c:multiLvlStrRef>
              <c:f>'1.11B'!$R$4:$S$6</c:f>
              <c:multiLvlStrCache>
                <c:ptCount val="3"/>
                <c:lvl>
                  <c:pt idx="0">
                    <c:v>GDP growth avg. 2025-26f</c:v>
                  </c:pt>
                  <c:pt idx="1">
                    <c:v>Investment decline</c:v>
                  </c:pt>
                  <c:pt idx="2">
                    <c:v>Investment decline and prod. slowdown</c:v>
                  </c:pt>
                </c:lvl>
                <c:lvl>
                  <c:pt idx="0">
                    <c:v>Baseline</c:v>
                  </c:pt>
                  <c:pt idx="1">
                    <c:v>Impact of reform slippage</c:v>
                  </c:pt>
                </c:lvl>
              </c:multiLvlStrCache>
            </c:multiLvlStrRef>
          </c:cat>
          <c:val>
            <c:numRef>
              <c:f>'1.11B'!$T$4:$T$6</c:f>
              <c:numCache>
                <c:formatCode>0.00</c:formatCode>
                <c:ptCount val="3"/>
                <c:pt idx="1">
                  <c:v>0.54</c:v>
                </c:pt>
                <c:pt idx="2">
                  <c:v>0.72</c:v>
                </c:pt>
              </c:numCache>
            </c:numRef>
          </c:val>
          <c:extLst>
            <c:ext xmlns:c16="http://schemas.microsoft.com/office/drawing/2014/chart" uri="{C3380CC4-5D6E-409C-BE32-E72D297353CC}">
              <c16:uniqueId val="{00000005-42F3-4F2B-B7FA-D00689AA56F8}"/>
            </c:ext>
          </c:extLst>
        </c:ser>
        <c:dLbls>
          <c:showLegendKey val="0"/>
          <c:showVal val="0"/>
          <c:showCatName val="0"/>
          <c:showSerName val="0"/>
          <c:showPercent val="0"/>
          <c:showBubbleSize val="0"/>
        </c:dLbls>
        <c:gapWidth val="219"/>
        <c:overlap val="100"/>
        <c:axId val="1159656336"/>
        <c:axId val="1159656816"/>
      </c:barChart>
      <c:catAx>
        <c:axId val="115965633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59656816"/>
        <c:crosses val="autoZero"/>
        <c:auto val="1"/>
        <c:lblAlgn val="ctr"/>
        <c:lblOffset val="100"/>
        <c:noMultiLvlLbl val="0"/>
      </c:catAx>
      <c:valAx>
        <c:axId val="1159656816"/>
        <c:scaling>
          <c:orientation val="minMax"/>
          <c:max val="6.5"/>
          <c:min val="5"/>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59656336"/>
        <c:crosses val="autoZero"/>
        <c:crossBetween val="between"/>
        <c:majorUnit val="0.5"/>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'1.12A'!$S$3</c:f>
              <c:strCache>
                <c:ptCount val="1"/>
                <c:pt idx="0">
                  <c:v>2000-09</c:v>
                </c:pt>
              </c:strCache>
            </c:strRef>
          </c:tx>
          <c:spPr>
            <a:solidFill>
              <a:srgbClr val="002345"/>
            </a:solidFill>
            <a:ln w="50800">
              <a:noFill/>
            </a:ln>
            <a:effectLst/>
          </c:spPr>
          <c:invertIfNegative val="0"/>
          <c:cat>
            <c:strRef>
              <c:f>'1.12A'!$R$4:$R$8</c:f>
              <c:strCache>
                <c:ptCount val="5"/>
                <c:pt idx="0">
                  <c:v>China</c:v>
                </c:pt>
                <c:pt idx="1">
                  <c:v>Euro Area</c:v>
                </c:pt>
                <c:pt idx="2">
                  <c:v>India</c:v>
                </c:pt>
                <c:pt idx="3">
                  <c:v>Other EMDEs</c:v>
                </c:pt>
                <c:pt idx="4">
                  <c:v>US</c:v>
                </c:pt>
              </c:strCache>
            </c:strRef>
          </c:cat>
          <c:val>
            <c:numRef>
              <c:f>'1.12A'!$S$4:$S$8</c:f>
              <c:numCache>
                <c:formatCode>0.0</c:formatCode>
                <c:ptCount val="5"/>
                <c:pt idx="0">
                  <c:v>9</c:v>
                </c:pt>
                <c:pt idx="1">
                  <c:v>22.9</c:v>
                </c:pt>
                <c:pt idx="2">
                  <c:v>11.3</c:v>
                </c:pt>
                <c:pt idx="3">
                  <c:v>16.2</c:v>
                </c:pt>
                <c:pt idx="4">
                  <c:v>12.8</c:v>
                </c:pt>
              </c:numCache>
            </c:numRef>
          </c:val>
          <c:extLst>
            <c:ext xmlns:c16="http://schemas.microsoft.com/office/drawing/2014/chart" uri="{C3380CC4-5D6E-409C-BE32-E72D297353CC}">
              <c16:uniqueId val="{00000000-E37A-4D9D-9AA3-7E085B4FD47B}"/>
            </c:ext>
          </c:extLst>
        </c:ser>
        <c:ser>
          <c:idx val="1"/>
          <c:order val="1"/>
          <c:tx>
            <c:strRef>
              <c:f>'1.12A'!$T$3</c:f>
              <c:strCache>
                <c:ptCount val="1"/>
                <c:pt idx="0">
                  <c:v>2010-19</c:v>
                </c:pt>
              </c:strCache>
            </c:strRef>
          </c:tx>
          <c:spPr>
            <a:solidFill>
              <a:srgbClr val="EB1C2D"/>
            </a:solidFill>
            <a:ln w="50800">
              <a:noFill/>
            </a:ln>
            <a:effectLst/>
          </c:spPr>
          <c:invertIfNegative val="0"/>
          <c:cat>
            <c:strRef>
              <c:f>'1.12A'!$R$4:$R$8</c:f>
              <c:strCache>
                <c:ptCount val="5"/>
                <c:pt idx="0">
                  <c:v>China</c:v>
                </c:pt>
                <c:pt idx="1">
                  <c:v>Euro Area</c:v>
                </c:pt>
                <c:pt idx="2">
                  <c:v>India</c:v>
                </c:pt>
                <c:pt idx="3">
                  <c:v>Other EMDEs</c:v>
                </c:pt>
                <c:pt idx="4">
                  <c:v>US</c:v>
                </c:pt>
              </c:strCache>
            </c:strRef>
          </c:cat>
          <c:val>
            <c:numRef>
              <c:f>'1.12A'!$T$4:$T$8</c:f>
              <c:numCache>
                <c:formatCode>0.0</c:formatCode>
                <c:ptCount val="5"/>
                <c:pt idx="0">
                  <c:v>8.1999999999999993</c:v>
                </c:pt>
                <c:pt idx="1">
                  <c:v>14.7</c:v>
                </c:pt>
                <c:pt idx="2">
                  <c:v>10.9</c:v>
                </c:pt>
                <c:pt idx="3">
                  <c:v>13.4</c:v>
                </c:pt>
                <c:pt idx="4">
                  <c:v>7.9</c:v>
                </c:pt>
              </c:numCache>
            </c:numRef>
          </c:val>
          <c:extLst>
            <c:ext xmlns:c16="http://schemas.microsoft.com/office/drawing/2014/chart" uri="{C3380CC4-5D6E-409C-BE32-E72D297353CC}">
              <c16:uniqueId val="{00000001-E37A-4D9D-9AA3-7E085B4FD47B}"/>
            </c:ext>
          </c:extLst>
        </c:ser>
        <c:ser>
          <c:idx val="2"/>
          <c:order val="2"/>
          <c:tx>
            <c:strRef>
              <c:f>'1.12A'!$U$3</c:f>
              <c:strCache>
                <c:ptCount val="1"/>
                <c:pt idx="0">
                  <c:v>2020-29</c:v>
                </c:pt>
              </c:strCache>
            </c:strRef>
          </c:tx>
          <c:spPr>
            <a:solidFill>
              <a:srgbClr val="F78D28"/>
            </a:solidFill>
            <a:ln w="50800">
              <a:noFill/>
            </a:ln>
            <a:effectLst/>
          </c:spPr>
          <c:invertIfNegative val="0"/>
          <c:cat>
            <c:strRef>
              <c:f>'1.12A'!$R$4:$R$8</c:f>
              <c:strCache>
                <c:ptCount val="5"/>
                <c:pt idx="0">
                  <c:v>China</c:v>
                </c:pt>
                <c:pt idx="1">
                  <c:v>Euro Area</c:v>
                </c:pt>
                <c:pt idx="2">
                  <c:v>India</c:v>
                </c:pt>
                <c:pt idx="3">
                  <c:v>Other EMDEs</c:v>
                </c:pt>
                <c:pt idx="4">
                  <c:v>US</c:v>
                </c:pt>
              </c:strCache>
            </c:strRef>
          </c:cat>
          <c:val>
            <c:numRef>
              <c:f>'1.12A'!$U$4:$U$8</c:f>
              <c:numCache>
                <c:formatCode>0.0</c:formatCode>
                <c:ptCount val="5"/>
                <c:pt idx="0">
                  <c:v>-6.1</c:v>
                </c:pt>
                <c:pt idx="1">
                  <c:v>14.2</c:v>
                </c:pt>
                <c:pt idx="2">
                  <c:v>-5</c:v>
                </c:pt>
                <c:pt idx="3">
                  <c:v>7</c:v>
                </c:pt>
                <c:pt idx="4">
                  <c:v>3.8</c:v>
                </c:pt>
              </c:numCache>
            </c:numRef>
          </c:val>
          <c:extLst>
            <c:ext xmlns:c16="http://schemas.microsoft.com/office/drawing/2014/chart" uri="{C3380CC4-5D6E-409C-BE32-E72D297353CC}">
              <c16:uniqueId val="{00000002-E37A-4D9D-9AA3-7E085B4FD47B}"/>
            </c:ext>
          </c:extLst>
        </c:ser>
        <c:dLbls>
          <c:showLegendKey val="0"/>
          <c:showVal val="0"/>
          <c:showCatName val="0"/>
          <c:showSerName val="0"/>
          <c:showPercent val="0"/>
          <c:showBubbleSize val="0"/>
        </c:dLbls>
        <c:gapWidth val="150"/>
        <c:overlap val="-27"/>
        <c:axId val="1782889967"/>
        <c:axId val="1782865359"/>
      </c:barChart>
      <c:catAx>
        <c:axId val="178288996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82865359"/>
        <c:crosses val="autoZero"/>
        <c:auto val="1"/>
        <c:lblAlgn val="ctr"/>
        <c:lblOffset val="100"/>
        <c:noMultiLvlLbl val="0"/>
      </c:catAx>
      <c:valAx>
        <c:axId val="178286535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82889967"/>
        <c:crosses val="autoZero"/>
        <c:crossBetween val="between"/>
      </c:valAx>
      <c:spPr>
        <a:noFill/>
        <a:ln w="25400">
          <a:noFill/>
        </a:ln>
        <a:effectLst/>
      </c:spPr>
    </c:plotArea>
    <c:legend>
      <c:legendPos val="t"/>
      <c:layout>
        <c:manualLayout>
          <c:xMode val="edge"/>
          <c:yMode val="edge"/>
          <c:x val="9.6831955922865018E-2"/>
          <c:y val="8.4249084249084255E-2"/>
          <c:w val="0.9"/>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318996062992127"/>
          <c:y val="0.12324496937882763"/>
          <c:w val="0.80153226159230095"/>
          <c:h val="0.69713764946048407"/>
        </c:manualLayout>
      </c:layout>
      <c:areaChart>
        <c:grouping val="stacked"/>
        <c:varyColors val="0"/>
        <c:ser>
          <c:idx val="2"/>
          <c:order val="0"/>
          <c:tx>
            <c:strRef>
              <c:f>'1.12B'!$R$6</c:f>
              <c:strCache>
                <c:ptCount val="1"/>
                <c:pt idx="0">
                  <c:v>India</c:v>
                </c:pt>
              </c:strCache>
            </c:strRef>
          </c:tx>
          <c:spPr>
            <a:solidFill>
              <a:schemeClr val="bg2"/>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'1.12B'!$S$6:$AF$6</c15:sqref>
                  </c15:fullRef>
                </c:ext>
              </c:extLst>
              <c:f>'1.12B'!$S$6:$AE$6</c:f>
              <c:numCache>
                <c:formatCode>0</c:formatCode>
                <c:ptCount val="13"/>
                <c:pt idx="0">
                  <c:v>70</c:v>
                </c:pt>
                <c:pt idx="1">
                  <c:v>119</c:v>
                </c:pt>
                <c:pt idx="2">
                  <c:v>138</c:v>
                </c:pt>
                <c:pt idx="3">
                  <c:v>119</c:v>
                </c:pt>
                <c:pt idx="4">
                  <c:v>107</c:v>
                </c:pt>
                <c:pt idx="5">
                  <c:v>120</c:v>
                </c:pt>
                <c:pt idx="6">
                  <c:v>105</c:v>
                </c:pt>
                <c:pt idx="7">
                  <c:v>163</c:v>
                </c:pt>
                <c:pt idx="8">
                  <c:v>104</c:v>
                </c:pt>
                <c:pt idx="9">
                  <c:v>209</c:v>
                </c:pt>
                <c:pt idx="10">
                  <c:v>187</c:v>
                </c:pt>
                <c:pt idx="11">
                  <c:v>188</c:v>
                </c:pt>
                <c:pt idx="12" formatCode="General">
                  <c:v>186</c:v>
                </c:pt>
              </c:numCache>
            </c:numRef>
          </c:val>
          <c:extLst>
            <c:ext xmlns:c16="http://schemas.microsoft.com/office/drawing/2014/chart" uri="{C3380CC4-5D6E-409C-BE32-E72D297353CC}">
              <c16:uniqueId val="{00000000-447F-423D-99CB-485DE2116AE4}"/>
            </c:ext>
          </c:extLst>
        </c:ser>
        <c:ser>
          <c:idx val="0"/>
          <c:order val="1"/>
          <c:tx>
            <c:strRef>
              <c:f>'1.12B'!$R$4</c:f>
              <c:strCache>
                <c:ptCount val="1"/>
                <c:pt idx="0">
                  <c:v>China</c:v>
                </c:pt>
              </c:strCache>
            </c:strRef>
          </c:tx>
          <c:spPr>
            <a:solidFill>
              <a:schemeClr val="tx2"/>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'1.12B'!$S$4:$AF$4</c15:sqref>
                  </c15:fullRef>
                </c:ext>
              </c:extLst>
              <c:f>'1.12B'!$S$4:$AE$4</c:f>
              <c:numCache>
                <c:formatCode>0</c:formatCode>
                <c:ptCount val="13"/>
                <c:pt idx="0">
                  <c:v>261</c:v>
                </c:pt>
                <c:pt idx="1">
                  <c:v>323</c:v>
                </c:pt>
                <c:pt idx="2">
                  <c:v>348</c:v>
                </c:pt>
                <c:pt idx="3">
                  <c:v>403</c:v>
                </c:pt>
                <c:pt idx="4">
                  <c:v>459</c:v>
                </c:pt>
                <c:pt idx="5">
                  <c:v>520</c:v>
                </c:pt>
                <c:pt idx="6">
                  <c:v>471</c:v>
                </c:pt>
                <c:pt idx="7">
                  <c:v>566</c:v>
                </c:pt>
                <c:pt idx="8">
                  <c:v>597</c:v>
                </c:pt>
                <c:pt idx="9">
                  <c:v>689</c:v>
                </c:pt>
                <c:pt idx="10">
                  <c:v>724</c:v>
                </c:pt>
                <c:pt idx="11">
                  <c:v>868</c:v>
                </c:pt>
                <c:pt idx="12" formatCode="General">
                  <c:v>905</c:v>
                </c:pt>
              </c:numCache>
            </c:numRef>
          </c:val>
          <c:extLst>
            <c:ext xmlns:c16="http://schemas.microsoft.com/office/drawing/2014/chart" uri="{C3380CC4-5D6E-409C-BE32-E72D297353CC}">
              <c16:uniqueId val="{00000001-447F-423D-99CB-485DE2116AE4}"/>
            </c:ext>
          </c:extLst>
        </c:ser>
        <c:ser>
          <c:idx val="1"/>
          <c:order val="2"/>
          <c:tx>
            <c:strRef>
              <c:f>'1.12B'!$R$5</c:f>
              <c:strCache>
                <c:ptCount val="1"/>
                <c:pt idx="0">
                  <c:v>Euro Area</c:v>
                </c:pt>
              </c:strCache>
            </c:strRef>
          </c:tx>
          <c:spPr>
            <a:solidFill>
              <a:srgbClr val="F78D28"/>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'1.12B'!$S$5:$AF$5</c15:sqref>
                  </c15:fullRef>
                </c:ext>
              </c:extLst>
              <c:f>'1.12B'!$S$5:$AE$5</c:f>
              <c:numCache>
                <c:formatCode>0</c:formatCode>
                <c:ptCount val="13"/>
                <c:pt idx="0">
                  <c:v>1366</c:v>
                </c:pt>
                <c:pt idx="1">
                  <c:v>1329</c:v>
                </c:pt>
                <c:pt idx="2">
                  <c:v>1261</c:v>
                </c:pt>
                <c:pt idx="3">
                  <c:v>1304</c:v>
                </c:pt>
                <c:pt idx="4">
                  <c:v>1328</c:v>
                </c:pt>
                <c:pt idx="5">
                  <c:v>1546</c:v>
                </c:pt>
                <c:pt idx="6">
                  <c:v>1672</c:v>
                </c:pt>
                <c:pt idx="7">
                  <c:v>1330</c:v>
                </c:pt>
                <c:pt idx="8">
                  <c:v>1196</c:v>
                </c:pt>
                <c:pt idx="9">
                  <c:v>2077</c:v>
                </c:pt>
                <c:pt idx="10">
                  <c:v>2049</c:v>
                </c:pt>
                <c:pt idx="11">
                  <c:v>3017</c:v>
                </c:pt>
                <c:pt idx="12" formatCode="General">
                  <c:v>2617</c:v>
                </c:pt>
              </c:numCache>
            </c:numRef>
          </c:val>
          <c:extLst>
            <c:ext xmlns:c16="http://schemas.microsoft.com/office/drawing/2014/chart" uri="{C3380CC4-5D6E-409C-BE32-E72D297353CC}">
              <c16:uniqueId val="{00000002-447F-423D-99CB-485DE2116AE4}"/>
            </c:ext>
          </c:extLst>
        </c:ser>
        <c:ser>
          <c:idx val="3"/>
          <c:order val="3"/>
          <c:tx>
            <c:strRef>
              <c:f>'1.12B'!$R$7</c:f>
              <c:strCache>
                <c:ptCount val="1"/>
                <c:pt idx="0">
                  <c:v>Other AEs</c:v>
                </c:pt>
              </c:strCache>
            </c:strRef>
          </c:tx>
          <c:spPr>
            <a:solidFill>
              <a:srgbClr val="FDB714"/>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'1.12B'!$S$7:$AF$7</c15:sqref>
                  </c15:fullRef>
                </c:ext>
              </c:extLst>
              <c:f>'1.12B'!$S$7:$AE$7</c:f>
              <c:numCache>
                <c:formatCode>0</c:formatCode>
                <c:ptCount val="13"/>
                <c:pt idx="0">
                  <c:v>588</c:v>
                </c:pt>
                <c:pt idx="1">
                  <c:v>550</c:v>
                </c:pt>
                <c:pt idx="2">
                  <c:v>561</c:v>
                </c:pt>
                <c:pt idx="3">
                  <c:v>534</c:v>
                </c:pt>
                <c:pt idx="4">
                  <c:v>682</c:v>
                </c:pt>
                <c:pt idx="5">
                  <c:v>728</c:v>
                </c:pt>
                <c:pt idx="6">
                  <c:v>835</c:v>
                </c:pt>
                <c:pt idx="7">
                  <c:v>750</c:v>
                </c:pt>
                <c:pt idx="8">
                  <c:v>710</c:v>
                </c:pt>
                <c:pt idx="9">
                  <c:v>1290</c:v>
                </c:pt>
                <c:pt idx="10">
                  <c:v>1153</c:v>
                </c:pt>
                <c:pt idx="11">
                  <c:v>1394</c:v>
                </c:pt>
                <c:pt idx="12" formatCode="General">
                  <c:v>1181</c:v>
                </c:pt>
              </c:numCache>
            </c:numRef>
          </c:val>
          <c:extLst>
            <c:ext xmlns:c16="http://schemas.microsoft.com/office/drawing/2014/chart" uri="{C3380CC4-5D6E-409C-BE32-E72D297353CC}">
              <c16:uniqueId val="{00000003-447F-423D-99CB-485DE2116AE4}"/>
            </c:ext>
          </c:extLst>
        </c:ser>
        <c:ser>
          <c:idx val="4"/>
          <c:order val="4"/>
          <c:tx>
            <c:strRef>
              <c:f>'1.12B'!$R$8</c:f>
              <c:strCache>
                <c:ptCount val="1"/>
                <c:pt idx="0">
                  <c:v>Other EMDEs</c:v>
                </c:pt>
              </c:strCache>
            </c:strRef>
          </c:tx>
          <c:spPr>
            <a:solidFill>
              <a:srgbClr val="00AB51"/>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'1.12B'!$S$8:$AF$8</c15:sqref>
                  </c15:fullRef>
                </c:ext>
              </c:extLst>
              <c:f>'1.12B'!$S$8:$AE$8</c:f>
              <c:numCache>
                <c:formatCode>0</c:formatCode>
                <c:ptCount val="13"/>
                <c:pt idx="0">
                  <c:v>1623</c:v>
                </c:pt>
                <c:pt idx="1">
                  <c:v>1682</c:v>
                </c:pt>
                <c:pt idx="2">
                  <c:v>1562</c:v>
                </c:pt>
                <c:pt idx="3">
                  <c:v>1536</c:v>
                </c:pt>
                <c:pt idx="4">
                  <c:v>1318</c:v>
                </c:pt>
                <c:pt idx="5">
                  <c:v>1084</c:v>
                </c:pt>
                <c:pt idx="6">
                  <c:v>1249</c:v>
                </c:pt>
                <c:pt idx="7">
                  <c:v>1207</c:v>
                </c:pt>
                <c:pt idx="8">
                  <c:v>1038</c:v>
                </c:pt>
                <c:pt idx="9">
                  <c:v>2061</c:v>
                </c:pt>
                <c:pt idx="10">
                  <c:v>1622</c:v>
                </c:pt>
                <c:pt idx="11">
                  <c:v>2404</c:v>
                </c:pt>
                <c:pt idx="12" formatCode="General">
                  <c:v>1498</c:v>
                </c:pt>
              </c:numCache>
            </c:numRef>
          </c:val>
          <c:extLst>
            <c:ext xmlns:c16="http://schemas.microsoft.com/office/drawing/2014/chart" uri="{C3380CC4-5D6E-409C-BE32-E72D297353CC}">
              <c16:uniqueId val="{00000004-447F-423D-99CB-485DE2116AE4}"/>
            </c:ext>
          </c:extLst>
        </c:ser>
        <c:ser>
          <c:idx val="5"/>
          <c:order val="5"/>
          <c:tx>
            <c:strRef>
              <c:f>'1.12B'!$R$9</c:f>
              <c:strCache>
                <c:ptCount val="1"/>
                <c:pt idx="0">
                  <c:v>USA</c:v>
                </c:pt>
              </c:strCache>
            </c:strRef>
          </c:tx>
          <c:spPr>
            <a:solidFill>
              <a:srgbClr val="00ADE4"/>
            </a:solidFill>
            <a:ln w="50800">
              <a:noFill/>
            </a:ln>
            <a:effectLst/>
          </c:spPr>
          <c:cat>
            <c:numRef>
              <c:extLst>
                <c:ext xmlns:c15="http://schemas.microsoft.com/office/drawing/2012/chart" uri="{02D57815-91ED-43cb-92C2-25804820EDAC}">
                  <c15:fullRef>
                    <c15:sqref>'1.12B'!$S$3:$AF$3</c15:sqref>
                  </c15:fullRef>
                </c:ext>
              </c:extLst>
              <c:f>'1.12B'!$S$3:$AE$3</c:f>
              <c:numCache>
                <c:formatCode>General</c:formatCod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numCache>
            </c:numRef>
          </c:cat>
          <c:val>
            <c:numRef>
              <c:extLst>
                <c:ext xmlns:c15="http://schemas.microsoft.com/office/drawing/2012/chart" uri="{02D57815-91ED-43cb-92C2-25804820EDAC}">
                  <c15:fullRef>
                    <c15:sqref>'1.12B'!$S$9:$AF$9</c15:sqref>
                  </c15:fullRef>
                </c:ext>
              </c:extLst>
              <c:f>'1.12B'!$S$9:$AE$9</c:f>
              <c:numCache>
                <c:formatCode>0</c:formatCode>
                <c:ptCount val="13"/>
                <c:pt idx="0">
                  <c:v>599</c:v>
                </c:pt>
                <c:pt idx="1">
                  <c:v>650</c:v>
                </c:pt>
                <c:pt idx="2">
                  <c:v>540</c:v>
                </c:pt>
                <c:pt idx="3">
                  <c:v>524</c:v>
                </c:pt>
                <c:pt idx="4">
                  <c:v>459</c:v>
                </c:pt>
                <c:pt idx="5">
                  <c:v>347</c:v>
                </c:pt>
                <c:pt idx="6">
                  <c:v>338</c:v>
                </c:pt>
                <c:pt idx="7">
                  <c:v>452</c:v>
                </c:pt>
                <c:pt idx="8">
                  <c:v>408</c:v>
                </c:pt>
                <c:pt idx="9">
                  <c:v>1536</c:v>
                </c:pt>
                <c:pt idx="10">
                  <c:v>1046</c:v>
                </c:pt>
                <c:pt idx="11">
                  <c:v>941</c:v>
                </c:pt>
                <c:pt idx="12" formatCode="General">
                  <c:v>584</c:v>
                </c:pt>
              </c:numCache>
            </c:numRef>
          </c:val>
          <c:extLst>
            <c:ext xmlns:c16="http://schemas.microsoft.com/office/drawing/2014/chart" uri="{C3380CC4-5D6E-409C-BE32-E72D297353CC}">
              <c16:uniqueId val="{00000005-447F-423D-99CB-485DE2116AE4}"/>
            </c:ext>
          </c:extLst>
        </c:ser>
        <c:dLbls>
          <c:showLegendKey val="0"/>
          <c:showVal val="0"/>
          <c:showCatName val="0"/>
          <c:showSerName val="0"/>
          <c:showPercent val="0"/>
          <c:showBubbleSize val="0"/>
        </c:dLbls>
        <c:axId val="1669445647"/>
        <c:axId val="1291322223"/>
      </c:areaChart>
      <c:catAx>
        <c:axId val="166944564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91322223"/>
        <c:crosses val="autoZero"/>
        <c:auto val="1"/>
        <c:lblAlgn val="ctr"/>
        <c:lblOffset val="100"/>
        <c:noMultiLvlLbl val="0"/>
      </c:catAx>
      <c:valAx>
        <c:axId val="12913222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69445647"/>
        <c:crosses val="autoZero"/>
        <c:crossBetween val="midCat"/>
      </c:valAx>
      <c:spPr>
        <a:noFill/>
        <a:ln w="25400">
          <a:noFill/>
        </a:ln>
        <a:effectLst/>
      </c:spPr>
    </c:plotArea>
    <c:legend>
      <c:legendPos val="t"/>
      <c:layout>
        <c:manualLayout>
          <c:xMode val="edge"/>
          <c:yMode val="edge"/>
          <c:x val="0.38117071303587052"/>
          <c:y val="9.9679206765820923E-3"/>
          <c:w val="0.42512554680664916"/>
          <c:h val="0.4697728200641586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41529126074617"/>
          <c:y val="0.1162219737777147"/>
          <c:w val="0.8022694012130589"/>
          <c:h val="0.55891469816272965"/>
        </c:manualLayout>
      </c:layout>
      <c:barChart>
        <c:barDir val="col"/>
        <c:grouping val="stacked"/>
        <c:varyColors val="0"/>
        <c:ser>
          <c:idx val="0"/>
          <c:order val="0"/>
          <c:spPr>
            <a:solidFill>
              <a:schemeClr val="bg1"/>
            </a:solidFill>
            <a:ln>
              <a:noFill/>
            </a:ln>
            <a:effectLst/>
          </c:spPr>
          <c:invertIfNegative val="0"/>
          <c:cat>
            <c:strRef>
              <c:f>'1.12C'!$R$4:$R$7</c:f>
              <c:strCache>
                <c:ptCount val="4"/>
                <c:pt idx="0">
                  <c:v>Trade</c:v>
                </c:pt>
                <c:pt idx="1">
                  <c:v>Liab. to 
global banks </c:v>
                </c:pt>
                <c:pt idx="2">
                  <c:v>FDI inflows 
(RHS)</c:v>
                </c:pt>
                <c:pt idx="3">
                  <c:v>Portfolio inv. inflows (RHS)</c:v>
                </c:pt>
              </c:strCache>
            </c:strRef>
          </c:cat>
          <c:val>
            <c:numRef>
              <c:f>'1.12C'!$S$4:$S$6</c:f>
              <c:numCache>
                <c:formatCode>0.00</c:formatCode>
                <c:ptCount val="3"/>
                <c:pt idx="0">
                  <c:v>28.57</c:v>
                </c:pt>
                <c:pt idx="1">
                  <c:v>2.95</c:v>
                </c:pt>
              </c:numCache>
            </c:numRef>
          </c:val>
          <c:extLst>
            <c:ext xmlns:c16="http://schemas.microsoft.com/office/drawing/2014/chart" uri="{C3380CC4-5D6E-409C-BE32-E72D297353CC}">
              <c16:uniqueId val="{00000000-B039-42E0-B2FD-13CE7E08F3E4}"/>
            </c:ext>
          </c:extLst>
        </c:ser>
        <c:ser>
          <c:idx val="1"/>
          <c:order val="1"/>
          <c:tx>
            <c:strRef>
              <c:f>'1.12C'!$S$3</c:f>
              <c:strCache>
                <c:ptCount val="1"/>
                <c:pt idx="0">
                  <c:v>Range, SAR</c:v>
                </c:pt>
              </c:strCache>
            </c:strRef>
          </c:tx>
          <c:spPr>
            <a:solidFill>
              <a:schemeClr val="bg2"/>
            </a:solidFill>
            <a:ln>
              <a:noFill/>
            </a:ln>
            <a:effectLst/>
          </c:spPr>
          <c:invertIfNegative val="0"/>
          <c:cat>
            <c:strRef>
              <c:f>'1.12C'!$R$4:$R$7</c:f>
              <c:strCache>
                <c:ptCount val="4"/>
                <c:pt idx="0">
                  <c:v>Trade</c:v>
                </c:pt>
                <c:pt idx="1">
                  <c:v>Liab. to 
global banks </c:v>
                </c:pt>
                <c:pt idx="2">
                  <c:v>FDI inflows 
(RHS)</c:v>
                </c:pt>
                <c:pt idx="3">
                  <c:v>Portfolio inv. inflows (RHS)</c:v>
                </c:pt>
              </c:strCache>
            </c:strRef>
          </c:cat>
          <c:val>
            <c:numRef>
              <c:f>'1.12C'!$T$4:$T$7</c:f>
              <c:numCache>
                <c:formatCode>0.00</c:formatCode>
                <c:ptCount val="4"/>
                <c:pt idx="0">
                  <c:v>16.809999999999999</c:v>
                </c:pt>
                <c:pt idx="1">
                  <c:v>6.45</c:v>
                </c:pt>
              </c:numCache>
            </c:numRef>
          </c:val>
          <c:extLst>
            <c:ext xmlns:c16="http://schemas.microsoft.com/office/drawing/2014/chart" uri="{C3380CC4-5D6E-409C-BE32-E72D297353CC}">
              <c16:uniqueId val="{00000001-B039-42E0-B2FD-13CE7E08F3E4}"/>
            </c:ext>
          </c:extLst>
        </c:ser>
        <c:ser>
          <c:idx val="4"/>
          <c:order val="4"/>
          <c:spPr>
            <a:noFill/>
            <a:ln>
              <a:noFill/>
            </a:ln>
            <a:effectLst/>
          </c:spPr>
          <c:invertIfNegative val="0"/>
          <c:cat>
            <c:strRef>
              <c:f>'1.12C'!$R$4:$R$7</c:f>
              <c:strCache>
                <c:ptCount val="4"/>
                <c:pt idx="0">
                  <c:v>Trade</c:v>
                </c:pt>
                <c:pt idx="1">
                  <c:v>Liab. to 
global banks </c:v>
                </c:pt>
                <c:pt idx="2">
                  <c:v>FDI inflows 
(RHS)</c:v>
                </c:pt>
                <c:pt idx="3">
                  <c:v>Portfolio inv. inflows (RHS)</c:v>
                </c:pt>
              </c:strCache>
            </c:strRef>
          </c:cat>
          <c:val>
            <c:numRef>
              <c:f>'1.12C'!$U$4:$U$6</c:f>
              <c:numCache>
                <c:formatCode>0.00</c:formatCode>
                <c:ptCount val="3"/>
                <c:pt idx="0">
                  <c:v>9.7899999999999991</c:v>
                </c:pt>
                <c:pt idx="1">
                  <c:v>1.32</c:v>
                </c:pt>
              </c:numCache>
            </c:numRef>
          </c:val>
          <c:extLst>
            <c:ext xmlns:c16="http://schemas.microsoft.com/office/drawing/2014/chart" uri="{C3380CC4-5D6E-409C-BE32-E72D297353CC}">
              <c16:uniqueId val="{00000002-B039-42E0-B2FD-13CE7E08F3E4}"/>
            </c:ext>
          </c:extLst>
        </c:ser>
        <c:ser>
          <c:idx val="5"/>
          <c:order val="5"/>
          <c:tx>
            <c:strRef>
              <c:f>'1.12C'!$U$3</c:f>
              <c:strCache>
                <c:ptCount val="1"/>
                <c:pt idx="0">
                  <c:v>Range, EMDEs</c:v>
                </c:pt>
              </c:strCache>
            </c:strRef>
          </c:tx>
          <c:spPr>
            <a:solidFill>
              <a:schemeClr val="tx2"/>
            </a:solidFill>
            <a:ln>
              <a:noFill/>
            </a:ln>
            <a:effectLst/>
          </c:spPr>
          <c:invertIfNegative val="0"/>
          <c:cat>
            <c:strRef>
              <c:f>'1.12C'!$R$4:$R$7</c:f>
              <c:strCache>
                <c:ptCount val="4"/>
                <c:pt idx="0">
                  <c:v>Trade</c:v>
                </c:pt>
                <c:pt idx="1">
                  <c:v>Liab. to 
global banks </c:v>
                </c:pt>
                <c:pt idx="2">
                  <c:v>FDI inflows 
(RHS)</c:v>
                </c:pt>
                <c:pt idx="3">
                  <c:v>Portfolio inv. inflows (RHS)</c:v>
                </c:pt>
              </c:strCache>
            </c:strRef>
          </c:cat>
          <c:val>
            <c:numRef>
              <c:f>'1.12C'!$V$4:$V$6</c:f>
              <c:numCache>
                <c:formatCode>0.00</c:formatCode>
                <c:ptCount val="3"/>
                <c:pt idx="0">
                  <c:v>42.97</c:v>
                </c:pt>
                <c:pt idx="1">
                  <c:v>31.29</c:v>
                </c:pt>
              </c:numCache>
            </c:numRef>
          </c:val>
          <c:extLst>
            <c:ext xmlns:c16="http://schemas.microsoft.com/office/drawing/2014/chart" uri="{C3380CC4-5D6E-409C-BE32-E72D297353CC}">
              <c16:uniqueId val="{00000003-B039-42E0-B2FD-13CE7E08F3E4}"/>
            </c:ext>
          </c:extLst>
        </c:ser>
        <c:dLbls>
          <c:showLegendKey val="0"/>
          <c:showVal val="0"/>
          <c:showCatName val="0"/>
          <c:showSerName val="0"/>
          <c:showPercent val="0"/>
          <c:showBubbleSize val="0"/>
        </c:dLbls>
        <c:gapWidth val="150"/>
        <c:overlap val="100"/>
        <c:axId val="2029201808"/>
        <c:axId val="2029203248"/>
      </c:barChart>
      <c:barChart>
        <c:barDir val="col"/>
        <c:grouping val="stacked"/>
        <c:varyColors val="0"/>
        <c:ser>
          <c:idx val="2"/>
          <c:order val="2"/>
          <c:spPr>
            <a:solidFill>
              <a:schemeClr val="bg1"/>
            </a:solidFill>
            <a:ln>
              <a:noFill/>
            </a:ln>
            <a:effectLst/>
          </c:spPr>
          <c:invertIfNegative val="0"/>
          <c:dPt>
            <c:idx val="3"/>
            <c:invertIfNegative val="0"/>
            <c:bubble3D val="0"/>
            <c:spPr>
              <a:gradFill>
                <a:gsLst>
                  <a:gs pos="0">
                    <a:schemeClr val="bg2"/>
                  </a:gs>
                  <a:gs pos="74000">
                    <a:schemeClr val="bg2"/>
                  </a:gs>
                  <a:gs pos="83000">
                    <a:schemeClr val="bg2"/>
                  </a:gs>
                  <a:gs pos="100000">
                    <a:schemeClr val="tx2"/>
                  </a:gs>
                </a:gsLst>
                <a:lin ang="5400000" scaled="1"/>
              </a:gradFill>
              <a:ln>
                <a:noFill/>
              </a:ln>
              <a:effectLst/>
            </c:spPr>
            <c:extLst>
              <c:ext xmlns:c16="http://schemas.microsoft.com/office/drawing/2014/chart" uri="{C3380CC4-5D6E-409C-BE32-E72D297353CC}">
                <c16:uniqueId val="{00000005-B039-42E0-B2FD-13CE7E08F3E4}"/>
              </c:ext>
            </c:extLst>
          </c:dPt>
          <c:cat>
            <c:strRef>
              <c:f>'1.12C'!$R$4:$R$7</c:f>
              <c:strCache>
                <c:ptCount val="4"/>
                <c:pt idx="0">
                  <c:v>Trade</c:v>
                </c:pt>
                <c:pt idx="1">
                  <c:v>Liab. to 
global banks </c:v>
                </c:pt>
                <c:pt idx="2">
                  <c:v>FDI inflows 
(RHS)</c:v>
                </c:pt>
                <c:pt idx="3">
                  <c:v>Portfolio inv. inflows (RHS)</c:v>
                </c:pt>
              </c:strCache>
            </c:strRef>
          </c:cat>
          <c:val>
            <c:numRef>
              <c:f>'1.12C'!$W$4:$W$7</c:f>
              <c:numCache>
                <c:formatCode>0.00</c:formatCode>
                <c:ptCount val="4"/>
                <c:pt idx="2">
                  <c:v>0.36</c:v>
                </c:pt>
                <c:pt idx="3">
                  <c:v>-0.69</c:v>
                </c:pt>
              </c:numCache>
            </c:numRef>
          </c:val>
          <c:extLst>
            <c:ext xmlns:c16="http://schemas.microsoft.com/office/drawing/2014/chart" uri="{C3380CC4-5D6E-409C-BE32-E72D297353CC}">
              <c16:uniqueId val="{00000006-B039-42E0-B2FD-13CE7E08F3E4}"/>
            </c:ext>
          </c:extLst>
        </c:ser>
        <c:ser>
          <c:idx val="3"/>
          <c:order val="3"/>
          <c:spPr>
            <a:solidFill>
              <a:schemeClr val="bg2"/>
            </a:solidFill>
            <a:ln>
              <a:noFill/>
            </a:ln>
            <a:effectLst/>
          </c:spPr>
          <c:invertIfNegative val="0"/>
          <c:dPt>
            <c:idx val="3"/>
            <c:invertIfNegative val="0"/>
            <c:bubble3D val="0"/>
            <c:spPr>
              <a:solidFill>
                <a:schemeClr val="tx2"/>
              </a:solidFill>
              <a:ln>
                <a:noFill/>
              </a:ln>
              <a:effectLst/>
            </c:spPr>
            <c:extLst>
              <c:ext xmlns:c16="http://schemas.microsoft.com/office/drawing/2014/chart" uri="{C3380CC4-5D6E-409C-BE32-E72D297353CC}">
                <c16:uniqueId val="{00000008-B039-42E0-B2FD-13CE7E08F3E4}"/>
              </c:ext>
            </c:extLst>
          </c:dPt>
          <c:cat>
            <c:strRef>
              <c:f>'1.12C'!$R$4:$R$7</c:f>
              <c:strCache>
                <c:ptCount val="4"/>
                <c:pt idx="0">
                  <c:v>Trade</c:v>
                </c:pt>
                <c:pt idx="1">
                  <c:v>Liab. to 
global banks </c:v>
                </c:pt>
                <c:pt idx="2">
                  <c:v>FDI inflows 
(RHS)</c:v>
                </c:pt>
                <c:pt idx="3">
                  <c:v>Portfolio inv. inflows (RHS)</c:v>
                </c:pt>
              </c:strCache>
            </c:strRef>
          </c:cat>
          <c:val>
            <c:numRef>
              <c:f>'1.12C'!$X$4:$X$7</c:f>
              <c:numCache>
                <c:formatCode>0.00</c:formatCode>
                <c:ptCount val="4"/>
                <c:pt idx="2">
                  <c:v>0.59</c:v>
                </c:pt>
                <c:pt idx="3">
                  <c:v>-0.26</c:v>
                </c:pt>
              </c:numCache>
            </c:numRef>
          </c:val>
          <c:extLst>
            <c:ext xmlns:c16="http://schemas.microsoft.com/office/drawing/2014/chart" uri="{C3380CC4-5D6E-409C-BE32-E72D297353CC}">
              <c16:uniqueId val="{00000009-B039-42E0-B2FD-13CE7E08F3E4}"/>
            </c:ext>
          </c:extLst>
        </c:ser>
        <c:ser>
          <c:idx val="6"/>
          <c:order val="6"/>
          <c:spPr>
            <a:gradFill flip="none" rotWithShape="1">
              <a:gsLst>
                <a:gs pos="0">
                  <a:schemeClr val="bg2"/>
                </a:gs>
                <a:gs pos="100000">
                  <a:schemeClr val="tx2"/>
                </a:gs>
              </a:gsLst>
              <a:lin ang="16200000" scaled="1"/>
              <a:tileRect/>
            </a:gradFill>
            <a:ln>
              <a:noFill/>
            </a:ln>
            <a:effectLst/>
          </c:spPr>
          <c:invertIfNegative val="0"/>
          <c:cat>
            <c:strRef>
              <c:f>'1.12C'!$R$4:$R$7</c:f>
              <c:strCache>
                <c:ptCount val="4"/>
                <c:pt idx="0">
                  <c:v>Trade</c:v>
                </c:pt>
                <c:pt idx="1">
                  <c:v>Liab. to 
global banks </c:v>
                </c:pt>
                <c:pt idx="2">
                  <c:v>FDI inflows 
(RHS)</c:v>
                </c:pt>
                <c:pt idx="3">
                  <c:v>Portfolio inv. inflows (RHS)</c:v>
                </c:pt>
              </c:strCache>
            </c:strRef>
          </c:cat>
          <c:val>
            <c:numRef>
              <c:f>'1.12C'!$Y$4:$Y$7</c:f>
              <c:numCache>
                <c:formatCode>0.00</c:formatCode>
                <c:ptCount val="4"/>
                <c:pt idx="2">
                  <c:v>0.78</c:v>
                </c:pt>
                <c:pt idx="3">
                  <c:v>7.0000000000000007E-2</c:v>
                </c:pt>
              </c:numCache>
            </c:numRef>
          </c:val>
          <c:extLst>
            <c:ext xmlns:c16="http://schemas.microsoft.com/office/drawing/2014/chart" uri="{C3380CC4-5D6E-409C-BE32-E72D297353CC}">
              <c16:uniqueId val="{0000000A-B039-42E0-B2FD-13CE7E08F3E4}"/>
            </c:ext>
          </c:extLst>
        </c:ser>
        <c:ser>
          <c:idx val="7"/>
          <c:order val="7"/>
          <c:spPr>
            <a:solidFill>
              <a:schemeClr val="bg2"/>
            </a:solidFill>
            <a:ln>
              <a:noFill/>
            </a:ln>
            <a:effectLst/>
          </c:spPr>
          <c:invertIfNegative val="0"/>
          <c:dPt>
            <c:idx val="2"/>
            <c:invertIfNegative val="0"/>
            <c:bubble3D val="0"/>
            <c:spPr>
              <a:solidFill>
                <a:schemeClr val="tx2"/>
              </a:solidFill>
              <a:ln>
                <a:noFill/>
              </a:ln>
              <a:effectLst/>
            </c:spPr>
            <c:extLst>
              <c:ext xmlns:c16="http://schemas.microsoft.com/office/drawing/2014/chart" uri="{C3380CC4-5D6E-409C-BE32-E72D297353CC}">
                <c16:uniqueId val="{0000000C-B039-42E0-B2FD-13CE7E08F3E4}"/>
              </c:ext>
            </c:extLst>
          </c:dPt>
          <c:dPt>
            <c:idx val="3"/>
            <c:invertIfNegative val="0"/>
            <c:bubble3D val="0"/>
            <c:spPr>
              <a:solidFill>
                <a:schemeClr val="tx2"/>
              </a:solidFill>
              <a:ln>
                <a:noFill/>
              </a:ln>
              <a:effectLst/>
            </c:spPr>
            <c:extLst>
              <c:ext xmlns:c16="http://schemas.microsoft.com/office/drawing/2014/chart" uri="{C3380CC4-5D6E-409C-BE32-E72D297353CC}">
                <c16:uniqueId val="{0000000E-B039-42E0-B2FD-13CE7E08F3E4}"/>
              </c:ext>
            </c:extLst>
          </c:dPt>
          <c:cat>
            <c:strRef>
              <c:f>'1.12C'!$R$4:$R$7</c:f>
              <c:strCache>
                <c:ptCount val="4"/>
                <c:pt idx="0">
                  <c:v>Trade</c:v>
                </c:pt>
                <c:pt idx="1">
                  <c:v>Liab. to 
global banks </c:v>
                </c:pt>
                <c:pt idx="2">
                  <c:v>FDI inflows 
(RHS)</c:v>
                </c:pt>
                <c:pt idx="3">
                  <c:v>Portfolio inv. inflows (RHS)</c:v>
                </c:pt>
              </c:strCache>
            </c:strRef>
          </c:cat>
          <c:val>
            <c:numRef>
              <c:f>'1.12C'!$Z$4:$Z$7</c:f>
              <c:numCache>
                <c:formatCode>0.00</c:formatCode>
                <c:ptCount val="4"/>
                <c:pt idx="2">
                  <c:v>2.99</c:v>
                </c:pt>
                <c:pt idx="3">
                  <c:v>2.0699999999999998</c:v>
                </c:pt>
              </c:numCache>
            </c:numRef>
          </c:val>
          <c:extLst>
            <c:ext xmlns:c16="http://schemas.microsoft.com/office/drawing/2014/chart" uri="{C3380CC4-5D6E-409C-BE32-E72D297353CC}">
              <c16:uniqueId val="{0000000F-B039-42E0-B2FD-13CE7E08F3E4}"/>
            </c:ext>
          </c:extLst>
        </c:ser>
        <c:dLbls>
          <c:showLegendKey val="0"/>
          <c:showVal val="0"/>
          <c:showCatName val="0"/>
          <c:showSerName val="0"/>
          <c:showPercent val="0"/>
          <c:showBubbleSize val="0"/>
        </c:dLbls>
        <c:gapWidth val="150"/>
        <c:overlap val="100"/>
        <c:axId val="1315728672"/>
        <c:axId val="1315728192"/>
      </c:barChart>
      <c:catAx>
        <c:axId val="202920180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29203248"/>
        <c:crossesAt val="0"/>
        <c:auto val="1"/>
        <c:lblAlgn val="ctr"/>
        <c:lblOffset val="100"/>
        <c:noMultiLvlLbl val="0"/>
      </c:catAx>
      <c:valAx>
        <c:axId val="2029203248"/>
        <c:scaling>
          <c:orientation val="minMax"/>
          <c:max val="100"/>
          <c:min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29201808"/>
        <c:crossesAt val="0"/>
        <c:crossBetween val="between"/>
        <c:majorUnit val="20"/>
      </c:valAx>
      <c:valAx>
        <c:axId val="1315728192"/>
        <c:scaling>
          <c:orientation val="minMax"/>
          <c:max val="5"/>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15728672"/>
        <c:crosses val="max"/>
        <c:crossBetween val="between"/>
        <c:majorUnit val="1"/>
      </c:valAx>
      <c:catAx>
        <c:axId val="1315728672"/>
        <c:scaling>
          <c:orientation val="minMax"/>
        </c:scaling>
        <c:delete val="1"/>
        <c:axPos val="b"/>
        <c:numFmt formatCode="General" sourceLinked="1"/>
        <c:majorTickMark val="out"/>
        <c:minorTickMark val="none"/>
        <c:tickLblPos val="nextTo"/>
        <c:crossAx val="1315728192"/>
        <c:crossesAt val="0"/>
        <c:auto val="1"/>
        <c:lblAlgn val="ctr"/>
        <c:lblOffset val="100"/>
        <c:noMultiLvlLbl val="0"/>
      </c:catAx>
      <c:spPr>
        <a:noFill/>
        <a:ln>
          <a:noFill/>
        </a:ln>
        <a:effectLst/>
      </c:spPr>
    </c:plotArea>
    <c:legend>
      <c:legendPos val="t"/>
      <c:legendEntry>
        <c:idx val="0"/>
        <c:delete val="1"/>
      </c:legendEntry>
      <c:legendEntry>
        <c:idx val="2"/>
        <c:delete val="1"/>
      </c:legendEntry>
      <c:legendEntry>
        <c:idx val="4"/>
        <c:delete val="1"/>
      </c:legendEntry>
      <c:legendEntry>
        <c:idx val="5"/>
        <c:delete val="1"/>
      </c:legendEntry>
      <c:legendEntry>
        <c:idx val="6"/>
        <c:delete val="1"/>
      </c:legendEntry>
      <c:legendEntry>
        <c:idx val="7"/>
        <c:delete val="1"/>
      </c:legendEntry>
      <c:layout>
        <c:manualLayout>
          <c:xMode val="edge"/>
          <c:yMode val="edge"/>
          <c:x val="0.27965448963496475"/>
          <c:y val="1.3525614558899272E-2"/>
          <c:w val="0.46944444444444439"/>
          <c:h val="0.13084836758379609"/>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81427734756296"/>
          <c:y val="0.12453064079391131"/>
          <c:w val="0.87670571137285525"/>
          <c:h val="0.76271622379656367"/>
        </c:manualLayout>
      </c:layout>
      <c:barChart>
        <c:barDir val="col"/>
        <c:grouping val="clustered"/>
        <c:varyColors val="0"/>
        <c:ser>
          <c:idx val="0"/>
          <c:order val="0"/>
          <c:spPr>
            <a:solidFill>
              <a:srgbClr val="002345"/>
            </a:solidFill>
            <a:ln w="76200">
              <a:noFill/>
            </a:ln>
            <a:effectLst/>
          </c:spPr>
          <c:invertIfNegative val="0"/>
          <c:dPt>
            <c:idx val="0"/>
            <c:invertIfNegative val="0"/>
            <c:bubble3D val="0"/>
            <c:spPr>
              <a:solidFill>
                <a:schemeClr val="accent2"/>
              </a:solidFill>
              <a:ln w="76200">
                <a:noFill/>
              </a:ln>
              <a:effectLst/>
            </c:spPr>
            <c:extLst>
              <c:ext xmlns:c16="http://schemas.microsoft.com/office/drawing/2014/chart" uri="{C3380CC4-5D6E-409C-BE32-E72D297353CC}">
                <c16:uniqueId val="{00000001-B2EF-4A65-9594-6FD908FECCF4}"/>
              </c:ext>
            </c:extLst>
          </c:dPt>
          <c:cat>
            <c:strRef>
              <c:f>'1.12D'!$R$4:$R$9</c:f>
              <c:strCache>
                <c:ptCount val="6"/>
                <c:pt idx="0">
                  <c:v>SAR</c:v>
                </c:pt>
                <c:pt idx="1">
                  <c:v>SSA</c:v>
                </c:pt>
                <c:pt idx="2">
                  <c:v>ECA</c:v>
                </c:pt>
                <c:pt idx="3">
                  <c:v>EAP</c:v>
                </c:pt>
                <c:pt idx="4">
                  <c:v>LAC</c:v>
                </c:pt>
                <c:pt idx="5">
                  <c:v>MNA</c:v>
                </c:pt>
              </c:strCache>
            </c:strRef>
          </c:cat>
          <c:val>
            <c:numRef>
              <c:f>'1.12D'!$S$4:$S$9</c:f>
              <c:numCache>
                <c:formatCode>0.00</c:formatCode>
                <c:ptCount val="6"/>
                <c:pt idx="0">
                  <c:v>0.26</c:v>
                </c:pt>
                <c:pt idx="1">
                  <c:v>0.33</c:v>
                </c:pt>
                <c:pt idx="2">
                  <c:v>0.43</c:v>
                </c:pt>
                <c:pt idx="3">
                  <c:v>0.44</c:v>
                </c:pt>
                <c:pt idx="4">
                  <c:v>0.52</c:v>
                </c:pt>
                <c:pt idx="5">
                  <c:v>0.56000000000000005</c:v>
                </c:pt>
              </c:numCache>
            </c:numRef>
          </c:val>
          <c:extLst>
            <c:ext xmlns:c16="http://schemas.microsoft.com/office/drawing/2014/chart" uri="{C3380CC4-5D6E-409C-BE32-E72D297353CC}">
              <c16:uniqueId val="{00000002-B2EF-4A65-9594-6FD908FECCF4}"/>
            </c:ext>
          </c:extLst>
        </c:ser>
        <c:dLbls>
          <c:showLegendKey val="0"/>
          <c:showVal val="0"/>
          <c:showCatName val="0"/>
          <c:showSerName val="0"/>
          <c:showPercent val="0"/>
          <c:showBubbleSize val="0"/>
        </c:dLbls>
        <c:gapWidth val="150"/>
        <c:overlap val="-27"/>
        <c:axId val="400442944"/>
        <c:axId val="400441504"/>
      </c:barChart>
      <c:lineChart>
        <c:grouping val="standard"/>
        <c:varyColors val="0"/>
        <c:ser>
          <c:idx val="1"/>
          <c:order val="1"/>
          <c:tx>
            <c:strRef>
              <c:f>'1.12D'!$T$3</c:f>
              <c:strCache>
                <c:ptCount val="1"/>
                <c:pt idx="0">
                  <c:v>EMDEs</c:v>
                </c:pt>
              </c:strCache>
            </c:strRef>
          </c:tx>
          <c:spPr>
            <a:ln w="76200" cap="rnd">
              <a:solidFill>
                <a:schemeClr val="accent4"/>
              </a:solidFill>
              <a:round/>
            </a:ln>
            <a:effectLst/>
          </c:spPr>
          <c:marker>
            <c:symbol val="none"/>
          </c:marker>
          <c:cat>
            <c:strRef>
              <c:f>'1.12D'!$R$4:$R$9</c:f>
              <c:strCache>
                <c:ptCount val="6"/>
                <c:pt idx="0">
                  <c:v>SAR</c:v>
                </c:pt>
                <c:pt idx="1">
                  <c:v>SSA</c:v>
                </c:pt>
                <c:pt idx="2">
                  <c:v>ECA</c:v>
                </c:pt>
                <c:pt idx="3">
                  <c:v>EAP</c:v>
                </c:pt>
                <c:pt idx="4">
                  <c:v>LAC</c:v>
                </c:pt>
                <c:pt idx="5">
                  <c:v>MNA</c:v>
                </c:pt>
              </c:strCache>
            </c:strRef>
          </c:cat>
          <c:val>
            <c:numRef>
              <c:f>'1.12D'!$T$4:$T$9</c:f>
              <c:numCache>
                <c:formatCode>0.00</c:formatCode>
                <c:ptCount val="6"/>
                <c:pt idx="0">
                  <c:v>0.43</c:v>
                </c:pt>
                <c:pt idx="1">
                  <c:v>0.43</c:v>
                </c:pt>
                <c:pt idx="2">
                  <c:v>0.43</c:v>
                </c:pt>
                <c:pt idx="3">
                  <c:v>0.43</c:v>
                </c:pt>
                <c:pt idx="4">
                  <c:v>0.43</c:v>
                </c:pt>
                <c:pt idx="5">
                  <c:v>0.43</c:v>
                </c:pt>
              </c:numCache>
            </c:numRef>
          </c:val>
          <c:smooth val="0"/>
          <c:extLst>
            <c:ext xmlns:c16="http://schemas.microsoft.com/office/drawing/2014/chart" uri="{C3380CC4-5D6E-409C-BE32-E72D297353CC}">
              <c16:uniqueId val="{00000003-B2EF-4A65-9594-6FD908FECCF4}"/>
            </c:ext>
          </c:extLst>
        </c:ser>
        <c:dLbls>
          <c:showLegendKey val="0"/>
          <c:showVal val="0"/>
          <c:showCatName val="0"/>
          <c:showSerName val="0"/>
          <c:showPercent val="0"/>
          <c:showBubbleSize val="0"/>
        </c:dLbls>
        <c:marker val="1"/>
        <c:smooth val="0"/>
        <c:axId val="400442944"/>
        <c:axId val="400441504"/>
      </c:lineChart>
      <c:catAx>
        <c:axId val="40044294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0441504"/>
        <c:crosses val="autoZero"/>
        <c:auto val="1"/>
        <c:lblAlgn val="ctr"/>
        <c:lblOffset val="100"/>
        <c:noMultiLvlLbl val="0"/>
      </c:catAx>
      <c:valAx>
        <c:axId val="400441504"/>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0442944"/>
        <c:crosses val="autoZero"/>
        <c:crossBetween val="between"/>
      </c:valAx>
      <c:spPr>
        <a:noFill/>
        <a:ln>
          <a:noFill/>
        </a:ln>
        <a:effectLst/>
      </c:spPr>
    </c:plotArea>
    <c:legend>
      <c:legendPos val="t"/>
      <c:legendEntry>
        <c:idx val="0"/>
        <c:delete val="1"/>
      </c:legendEntry>
      <c:layout>
        <c:manualLayout>
          <c:xMode val="edge"/>
          <c:yMode val="edge"/>
          <c:x val="0.38823184601924765"/>
          <c:y val="0.2"/>
          <c:w val="0.22075853018372701"/>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790812585761557"/>
          <c:y val="0.10573750672087463"/>
          <c:w val="0.85670092813904508"/>
          <c:h val="0.78696824124282727"/>
        </c:manualLayout>
      </c:layout>
      <c:areaChart>
        <c:grouping val="stacked"/>
        <c:varyColors val="0"/>
        <c:ser>
          <c:idx val="3"/>
          <c:order val="1"/>
          <c:tx>
            <c:strRef>
              <c:f>'1.13A'!$T$3</c:f>
              <c:strCache>
                <c:ptCount val="1"/>
                <c:pt idx="0">
                  <c:v>other EMDEs p25</c:v>
                </c:pt>
              </c:strCache>
            </c:strRef>
          </c:tx>
          <c:spPr>
            <a:noFill/>
            <a:ln w="76200">
              <a:noFill/>
            </a:ln>
            <a:effectLst/>
          </c:spPr>
          <c:cat>
            <c:strRef>
              <c:f>'1.13A'!$R$4:$R$10</c:f>
              <c:strCache>
                <c:ptCount val="7"/>
                <c:pt idx="0">
                  <c:v>BTN</c:v>
                </c:pt>
                <c:pt idx="1">
                  <c:v>MDV</c:v>
                </c:pt>
                <c:pt idx="2">
                  <c:v>BGD</c:v>
                </c:pt>
                <c:pt idx="3">
                  <c:v>IND</c:v>
                </c:pt>
                <c:pt idx="4">
                  <c:v>LKA</c:v>
                </c:pt>
                <c:pt idx="5">
                  <c:v>NPL</c:v>
                </c:pt>
                <c:pt idx="6">
                  <c:v>PAK</c:v>
                </c:pt>
              </c:strCache>
            </c:strRef>
          </c:cat>
          <c:val>
            <c:numRef>
              <c:f>'1.13A'!$T$4:$T$10</c:f>
              <c:numCache>
                <c:formatCode>0.0</c:formatCode>
                <c:ptCount val="7"/>
                <c:pt idx="0">
                  <c:v>43</c:v>
                </c:pt>
                <c:pt idx="1">
                  <c:v>43</c:v>
                </c:pt>
                <c:pt idx="2">
                  <c:v>43</c:v>
                </c:pt>
                <c:pt idx="3">
                  <c:v>43</c:v>
                </c:pt>
                <c:pt idx="4">
                  <c:v>43</c:v>
                </c:pt>
                <c:pt idx="5">
                  <c:v>43</c:v>
                </c:pt>
                <c:pt idx="6">
                  <c:v>43</c:v>
                </c:pt>
              </c:numCache>
            </c:numRef>
          </c:val>
          <c:extLst>
            <c:ext xmlns:c16="http://schemas.microsoft.com/office/drawing/2014/chart" uri="{C3380CC4-5D6E-409C-BE32-E72D297353CC}">
              <c16:uniqueId val="{00000000-ED3F-4693-AA2D-0A106650EC15}"/>
            </c:ext>
          </c:extLst>
        </c:ser>
        <c:ser>
          <c:idx val="5"/>
          <c:order val="2"/>
          <c:tx>
            <c:v>Interquartile range</c:v>
          </c:tx>
          <c:spPr>
            <a:solidFill>
              <a:schemeClr val="accent2">
                <a:lumMod val="20000"/>
                <a:lumOff val="80000"/>
              </a:schemeClr>
            </a:solidFill>
            <a:ln w="76200">
              <a:noFill/>
            </a:ln>
            <a:effectLst/>
          </c:spPr>
          <c:cat>
            <c:strRef>
              <c:f>'1.13A'!$R$4:$R$10</c:f>
              <c:strCache>
                <c:ptCount val="7"/>
                <c:pt idx="0">
                  <c:v>BTN</c:v>
                </c:pt>
                <c:pt idx="1">
                  <c:v>MDV</c:v>
                </c:pt>
                <c:pt idx="2">
                  <c:v>BGD</c:v>
                </c:pt>
                <c:pt idx="3">
                  <c:v>IND</c:v>
                </c:pt>
                <c:pt idx="4">
                  <c:v>LKA</c:v>
                </c:pt>
                <c:pt idx="5">
                  <c:v>NPL</c:v>
                </c:pt>
                <c:pt idx="6">
                  <c:v>PAK</c:v>
                </c:pt>
              </c:strCache>
            </c:strRef>
          </c:cat>
          <c:val>
            <c:numRef>
              <c:f>'1.13A'!$V$4:$V$10</c:f>
              <c:numCache>
                <c:formatCode>0.0</c:formatCode>
                <c:ptCount val="7"/>
                <c:pt idx="0">
                  <c:v>17.5</c:v>
                </c:pt>
                <c:pt idx="1">
                  <c:v>17.5</c:v>
                </c:pt>
                <c:pt idx="2">
                  <c:v>17.5</c:v>
                </c:pt>
                <c:pt idx="3">
                  <c:v>17.5</c:v>
                </c:pt>
                <c:pt idx="4">
                  <c:v>17.5</c:v>
                </c:pt>
                <c:pt idx="5">
                  <c:v>17.5</c:v>
                </c:pt>
                <c:pt idx="6">
                  <c:v>17.5</c:v>
                </c:pt>
              </c:numCache>
            </c:numRef>
          </c:val>
          <c:extLst>
            <c:ext xmlns:c16="http://schemas.microsoft.com/office/drawing/2014/chart" uri="{C3380CC4-5D6E-409C-BE32-E72D297353CC}">
              <c16:uniqueId val="{00000001-ED3F-4693-AA2D-0A106650EC15}"/>
            </c:ext>
          </c:extLst>
        </c:ser>
        <c:dLbls>
          <c:showLegendKey val="0"/>
          <c:showVal val="0"/>
          <c:showCatName val="0"/>
          <c:showSerName val="0"/>
          <c:showPercent val="0"/>
          <c:showBubbleSize val="0"/>
        </c:dLbls>
        <c:axId val="1188248399"/>
        <c:axId val="1016444335"/>
      </c:areaChart>
      <c:barChart>
        <c:barDir val="col"/>
        <c:grouping val="clustered"/>
        <c:varyColors val="0"/>
        <c:ser>
          <c:idx val="1"/>
          <c:order val="0"/>
          <c:tx>
            <c:strRef>
              <c:f>'1.13A'!$S$3</c:f>
              <c:strCache>
                <c:ptCount val="1"/>
                <c:pt idx="0">
                  <c:v>flfp (ILO 15+)</c:v>
                </c:pt>
              </c:strCache>
            </c:strRef>
          </c:tx>
          <c:spPr>
            <a:solidFill>
              <a:srgbClr val="002345"/>
            </a:solidFill>
            <a:ln w="76200">
              <a:noFill/>
            </a:ln>
            <a:effectLst/>
          </c:spPr>
          <c:invertIfNegative val="0"/>
          <c:cat>
            <c:strRef>
              <c:f>'1.13A'!$R$4:$R$10</c:f>
              <c:strCache>
                <c:ptCount val="7"/>
                <c:pt idx="0">
                  <c:v>BTN</c:v>
                </c:pt>
                <c:pt idx="1">
                  <c:v>MDV</c:v>
                </c:pt>
                <c:pt idx="2">
                  <c:v>BGD</c:v>
                </c:pt>
                <c:pt idx="3">
                  <c:v>IND</c:v>
                </c:pt>
                <c:pt idx="4">
                  <c:v>LKA</c:v>
                </c:pt>
                <c:pt idx="5">
                  <c:v>NPL</c:v>
                </c:pt>
                <c:pt idx="6">
                  <c:v>PAK</c:v>
                </c:pt>
              </c:strCache>
            </c:strRef>
          </c:cat>
          <c:val>
            <c:numRef>
              <c:f>'1.13A'!$S$4:$S$10</c:f>
              <c:numCache>
                <c:formatCode>0.0</c:formatCode>
                <c:ptCount val="7"/>
                <c:pt idx="0">
                  <c:v>64.5</c:v>
                </c:pt>
                <c:pt idx="1">
                  <c:v>42.6</c:v>
                </c:pt>
                <c:pt idx="2">
                  <c:v>37</c:v>
                </c:pt>
                <c:pt idx="3">
                  <c:v>32.700000000000003</c:v>
                </c:pt>
                <c:pt idx="4">
                  <c:v>32.1</c:v>
                </c:pt>
                <c:pt idx="5">
                  <c:v>28.7</c:v>
                </c:pt>
                <c:pt idx="6">
                  <c:v>24.5</c:v>
                </c:pt>
              </c:numCache>
            </c:numRef>
          </c:val>
          <c:extLst>
            <c:ext xmlns:c16="http://schemas.microsoft.com/office/drawing/2014/chart" uri="{C3380CC4-5D6E-409C-BE32-E72D297353CC}">
              <c16:uniqueId val="{00000002-ED3F-4693-AA2D-0A106650EC15}"/>
            </c:ext>
          </c:extLst>
        </c:ser>
        <c:dLbls>
          <c:showLegendKey val="0"/>
          <c:showVal val="0"/>
          <c:showCatName val="0"/>
          <c:showSerName val="0"/>
          <c:showPercent val="0"/>
          <c:showBubbleSize val="0"/>
        </c:dLbls>
        <c:gapWidth val="150"/>
        <c:overlap val="-27"/>
        <c:axId val="1188248399"/>
        <c:axId val="1016444335"/>
      </c:barChart>
      <c:catAx>
        <c:axId val="118824839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16444335"/>
        <c:crosses val="autoZero"/>
        <c:auto val="1"/>
        <c:lblAlgn val="ctr"/>
        <c:lblOffset val="100"/>
        <c:noMultiLvlLbl val="0"/>
      </c:catAx>
      <c:valAx>
        <c:axId val="1016444335"/>
        <c:scaling>
          <c:orientation val="minMax"/>
          <c:max val="108"/>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8824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307874015748031"/>
          <c:y val="0.16553995502541191"/>
          <c:w val="0.8216434820647418"/>
          <c:h val="0.72859685676156971"/>
        </c:manualLayout>
      </c:layout>
      <c:barChart>
        <c:barDir val="col"/>
        <c:grouping val="clustered"/>
        <c:varyColors val="0"/>
        <c:ser>
          <c:idx val="0"/>
          <c:order val="0"/>
          <c:tx>
            <c:strRef>
              <c:f>'1.13B'!$S$3</c:f>
              <c:strCache>
                <c:ptCount val="1"/>
                <c:pt idx="0">
                  <c:v>Female</c:v>
                </c:pt>
              </c:strCache>
            </c:strRef>
          </c:tx>
          <c:spPr>
            <a:solidFill>
              <a:srgbClr val="002345"/>
            </a:solidFill>
            <a:ln w="76200">
              <a:noFill/>
            </a:ln>
            <a:effectLst/>
          </c:spPr>
          <c:invertIfNegative val="0"/>
          <c:cat>
            <c:numRef>
              <c:f>'1.13B'!$R$4:$R$7</c:f>
              <c:numCache>
                <c:formatCode>General</c:formatCode>
                <c:ptCount val="4"/>
                <c:pt idx="0">
                  <c:v>1991</c:v>
                </c:pt>
                <c:pt idx="1">
                  <c:v>2000</c:v>
                </c:pt>
                <c:pt idx="2">
                  <c:v>2010</c:v>
                </c:pt>
                <c:pt idx="3">
                  <c:v>2023</c:v>
                </c:pt>
              </c:numCache>
            </c:numRef>
          </c:cat>
          <c:val>
            <c:numRef>
              <c:f>'1.13B'!$S$4:$S$7</c:f>
              <c:numCache>
                <c:formatCode>0.0</c:formatCode>
                <c:ptCount val="4"/>
                <c:pt idx="0">
                  <c:v>26.4</c:v>
                </c:pt>
                <c:pt idx="1">
                  <c:v>28.8</c:v>
                </c:pt>
                <c:pt idx="2">
                  <c:v>28.2</c:v>
                </c:pt>
                <c:pt idx="3">
                  <c:v>32.1</c:v>
                </c:pt>
              </c:numCache>
            </c:numRef>
          </c:val>
          <c:extLst>
            <c:ext xmlns:c16="http://schemas.microsoft.com/office/drawing/2014/chart" uri="{C3380CC4-5D6E-409C-BE32-E72D297353CC}">
              <c16:uniqueId val="{00000000-C685-4F90-9E62-1FFDBD4A6889}"/>
            </c:ext>
          </c:extLst>
        </c:ser>
        <c:dLbls>
          <c:showLegendKey val="0"/>
          <c:showVal val="0"/>
          <c:showCatName val="0"/>
          <c:showSerName val="0"/>
          <c:showPercent val="0"/>
          <c:showBubbleSize val="0"/>
        </c:dLbls>
        <c:gapWidth val="219"/>
        <c:overlap val="-27"/>
        <c:axId val="2010941439"/>
        <c:axId val="2010934239"/>
      </c:barChart>
      <c:lineChart>
        <c:grouping val="standard"/>
        <c:varyColors val="0"/>
        <c:ser>
          <c:idx val="1"/>
          <c:order val="1"/>
          <c:tx>
            <c:strRef>
              <c:f>'1.13B'!$T$3</c:f>
              <c:strCache>
                <c:ptCount val="1"/>
                <c:pt idx="0">
                  <c:v>Male</c:v>
                </c:pt>
              </c:strCache>
            </c:strRef>
          </c:tx>
          <c:spPr>
            <a:ln w="76200" cap="rnd">
              <a:noFill/>
              <a:round/>
            </a:ln>
            <a:effectLst/>
          </c:spPr>
          <c:marker>
            <c:symbol val="diamond"/>
            <c:size val="25"/>
            <c:spPr>
              <a:solidFill>
                <a:schemeClr val="accent4"/>
              </a:solidFill>
              <a:ln w="76200">
                <a:noFill/>
              </a:ln>
              <a:effectLst/>
            </c:spPr>
          </c:marker>
          <c:cat>
            <c:numRef>
              <c:f>'1.13B'!$R$4:$R$7</c:f>
              <c:numCache>
                <c:formatCode>General</c:formatCode>
                <c:ptCount val="4"/>
                <c:pt idx="0">
                  <c:v>1991</c:v>
                </c:pt>
                <c:pt idx="1">
                  <c:v>2000</c:v>
                </c:pt>
                <c:pt idx="2">
                  <c:v>2010</c:v>
                </c:pt>
                <c:pt idx="3">
                  <c:v>2023</c:v>
                </c:pt>
              </c:numCache>
            </c:numRef>
          </c:cat>
          <c:val>
            <c:numRef>
              <c:f>'1.13B'!$T$4:$T$7</c:f>
              <c:numCache>
                <c:formatCode>0.0</c:formatCode>
                <c:ptCount val="4"/>
                <c:pt idx="0">
                  <c:v>79.8</c:v>
                </c:pt>
                <c:pt idx="1">
                  <c:v>82.3</c:v>
                </c:pt>
                <c:pt idx="2">
                  <c:v>79.2</c:v>
                </c:pt>
                <c:pt idx="3">
                  <c:v>77.2</c:v>
                </c:pt>
              </c:numCache>
            </c:numRef>
          </c:val>
          <c:smooth val="0"/>
          <c:extLst>
            <c:ext xmlns:c16="http://schemas.microsoft.com/office/drawing/2014/chart" uri="{C3380CC4-5D6E-409C-BE32-E72D297353CC}">
              <c16:uniqueId val="{00000001-C685-4F90-9E62-1FFDBD4A6889}"/>
            </c:ext>
          </c:extLst>
        </c:ser>
        <c:dLbls>
          <c:showLegendKey val="0"/>
          <c:showVal val="0"/>
          <c:showCatName val="0"/>
          <c:showSerName val="0"/>
          <c:showPercent val="0"/>
          <c:showBubbleSize val="0"/>
        </c:dLbls>
        <c:marker val="1"/>
        <c:smooth val="0"/>
        <c:axId val="2010941439"/>
        <c:axId val="2010934239"/>
      </c:lineChart>
      <c:catAx>
        <c:axId val="201094143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934239"/>
        <c:crosses val="autoZero"/>
        <c:auto val="1"/>
        <c:lblAlgn val="ctr"/>
        <c:lblOffset val="100"/>
        <c:noMultiLvlLbl val="0"/>
      </c:catAx>
      <c:valAx>
        <c:axId val="2010934239"/>
        <c:scaling>
          <c:orientation val="minMax"/>
          <c:max val="10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941439"/>
        <c:crosses val="autoZero"/>
        <c:crossBetween val="between"/>
        <c:majorUnit val="20"/>
      </c:valAx>
      <c:spPr>
        <a:noFill/>
        <a:ln>
          <a:noFill/>
        </a:ln>
        <a:effectLst/>
      </c:spPr>
    </c:plotArea>
    <c:legend>
      <c:legendPos val="t"/>
      <c:layout>
        <c:manualLayout>
          <c:xMode val="edge"/>
          <c:yMode val="edge"/>
          <c:x val="0.31520916374024377"/>
          <c:y val="8.7780271046003652E-2"/>
          <c:w val="0.37506702823943189"/>
          <c:h val="7.8987819247770263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040812643311026"/>
          <c:y val="0.13371150019361971"/>
          <c:w val="0.85274125620986718"/>
          <c:h val="0.49472305955368756"/>
        </c:manualLayout>
      </c:layout>
      <c:barChart>
        <c:barDir val="col"/>
        <c:grouping val="stacked"/>
        <c:varyColors val="0"/>
        <c:ser>
          <c:idx val="1"/>
          <c:order val="2"/>
          <c:spPr>
            <a:noFill/>
            <a:ln>
              <a:noFill/>
            </a:ln>
            <a:effectLst/>
          </c:spPr>
          <c:invertIfNegative val="0"/>
          <c:val>
            <c:numRef>
              <c:f>'1.13C'!$V$4:$V$8</c:f>
              <c:numCache>
                <c:formatCode>0.0</c:formatCode>
                <c:ptCount val="5"/>
                <c:pt idx="4">
                  <c:v>120.6</c:v>
                </c:pt>
              </c:numCache>
            </c:numRef>
          </c:val>
          <c:extLst>
            <c:ext xmlns:c16="http://schemas.microsoft.com/office/drawing/2014/chart" uri="{C3380CC4-5D6E-409C-BE32-E72D297353CC}">
              <c16:uniqueId val="{00000000-535C-4A34-983B-0932F21F99E7}"/>
            </c:ext>
          </c:extLst>
        </c:ser>
        <c:ser>
          <c:idx val="2"/>
          <c:order val="3"/>
          <c:tx>
            <c:v>Range</c:v>
          </c:tx>
          <c:spPr>
            <a:solidFill>
              <a:schemeClr val="accent1"/>
            </a:solidFill>
            <a:ln>
              <a:noFill/>
            </a:ln>
            <a:effectLst/>
          </c:spPr>
          <c:invertIfNegative val="0"/>
          <c:val>
            <c:numRef>
              <c:f>'1.13C'!$X$4:$X$8</c:f>
              <c:numCache>
                <c:formatCode>0.0</c:formatCode>
                <c:ptCount val="5"/>
                <c:pt idx="4">
                  <c:v>39.700000000000017</c:v>
                </c:pt>
              </c:numCache>
            </c:numRef>
          </c:val>
          <c:extLst>
            <c:ext xmlns:c16="http://schemas.microsoft.com/office/drawing/2014/chart" uri="{C3380CC4-5D6E-409C-BE32-E72D297353CC}">
              <c16:uniqueId val="{00000001-535C-4A34-983B-0932F21F99E7}"/>
            </c:ext>
          </c:extLst>
        </c:ser>
        <c:dLbls>
          <c:showLegendKey val="0"/>
          <c:showVal val="0"/>
          <c:showCatName val="0"/>
          <c:showSerName val="0"/>
          <c:showPercent val="0"/>
          <c:showBubbleSize val="0"/>
        </c:dLbls>
        <c:gapWidth val="150"/>
        <c:overlap val="100"/>
        <c:axId val="924998576"/>
        <c:axId val="924997136"/>
      </c:barChart>
      <c:lineChart>
        <c:grouping val="standard"/>
        <c:varyColors val="0"/>
        <c:ser>
          <c:idx val="0"/>
          <c:order val="0"/>
          <c:spPr>
            <a:ln w="38100" cap="rnd">
              <a:solidFill>
                <a:schemeClr val="bg1">
                  <a:lumMod val="75000"/>
                </a:schemeClr>
              </a:solidFill>
              <a:round/>
            </a:ln>
            <a:effectLst/>
          </c:spPr>
          <c:marker>
            <c:symbol val="none"/>
          </c:marker>
          <c:cat>
            <c:multiLvlStrRef>
              <c:f>'1.13C'!$R$4:$S$8</c:f>
              <c:multiLvlStrCache>
                <c:ptCount val="5"/>
                <c:lvl>
                  <c:pt idx="3">
                    <c:v>Actual</c:v>
                  </c:pt>
                  <c:pt idx="4">
                    <c:v>Counter-factuals</c:v>
                  </c:pt>
                </c:lvl>
                <c:lvl>
                  <c:pt idx="0">
                    <c:v>2020</c:v>
                  </c:pt>
                  <c:pt idx="1">
                    <c:v>2021</c:v>
                  </c:pt>
                  <c:pt idx="2">
                    <c:v>2022</c:v>
                  </c:pt>
                  <c:pt idx="3">
                    <c:v>2023</c:v>
                  </c:pt>
                </c:lvl>
              </c:multiLvlStrCache>
            </c:multiLvlStrRef>
          </c:cat>
          <c:val>
            <c:numRef>
              <c:f>'1.13C'!$Y$4:$Y$8</c:f>
              <c:numCache>
                <c:formatCode>0.0</c:formatCode>
                <c:ptCount val="5"/>
                <c:pt idx="0">
                  <c:v>100</c:v>
                </c:pt>
                <c:pt idx="1">
                  <c:v>100</c:v>
                </c:pt>
                <c:pt idx="2">
                  <c:v>100</c:v>
                </c:pt>
                <c:pt idx="3">
                  <c:v>100</c:v>
                </c:pt>
                <c:pt idx="4">
                  <c:v>100</c:v>
                </c:pt>
              </c:numCache>
            </c:numRef>
          </c:val>
          <c:smooth val="0"/>
          <c:extLst>
            <c:ext xmlns:c16="http://schemas.microsoft.com/office/drawing/2014/chart" uri="{C3380CC4-5D6E-409C-BE32-E72D297353CC}">
              <c16:uniqueId val="{00000002-535C-4A34-983B-0932F21F99E7}"/>
            </c:ext>
          </c:extLst>
        </c:ser>
        <c:ser>
          <c:idx val="8"/>
          <c:order val="1"/>
          <c:spPr>
            <a:ln w="50800" cap="rnd">
              <a:solidFill>
                <a:schemeClr val="accent1"/>
              </a:solidFill>
              <a:round/>
            </a:ln>
            <a:effectLst/>
          </c:spPr>
          <c:marker>
            <c:symbol val="diamond"/>
            <c:size val="5"/>
            <c:spPr>
              <a:noFill/>
              <a:ln w="9525">
                <a:solidFill>
                  <a:schemeClr val="accent3">
                    <a:lumMod val="60000"/>
                  </a:schemeClr>
                </a:solidFill>
              </a:ln>
              <a:effectLst/>
            </c:spPr>
          </c:marker>
          <c:dPt>
            <c:idx val="0"/>
            <c:marker>
              <c:symbol val="none"/>
            </c:marker>
            <c:bubble3D val="0"/>
            <c:extLst>
              <c:ext xmlns:c16="http://schemas.microsoft.com/office/drawing/2014/chart" uri="{C3380CC4-5D6E-409C-BE32-E72D297353CC}">
                <c16:uniqueId val="{00000005-DB91-4140-81B2-7DE96A8A2417}"/>
              </c:ext>
            </c:extLst>
          </c:dPt>
          <c:dPt>
            <c:idx val="1"/>
            <c:marker>
              <c:symbol val="none"/>
            </c:marker>
            <c:bubble3D val="0"/>
            <c:extLst>
              <c:ext xmlns:c16="http://schemas.microsoft.com/office/drawing/2014/chart" uri="{C3380CC4-5D6E-409C-BE32-E72D297353CC}">
                <c16:uniqueId val="{00000004-DB91-4140-81B2-7DE96A8A2417}"/>
              </c:ext>
            </c:extLst>
          </c:dPt>
          <c:dPt>
            <c:idx val="2"/>
            <c:marker>
              <c:symbol val="none"/>
            </c:marker>
            <c:bubble3D val="0"/>
            <c:extLst>
              <c:ext xmlns:c16="http://schemas.microsoft.com/office/drawing/2014/chart" uri="{C3380CC4-5D6E-409C-BE32-E72D297353CC}">
                <c16:uniqueId val="{00000003-DB91-4140-81B2-7DE96A8A2417}"/>
              </c:ext>
            </c:extLst>
          </c:dPt>
          <c:dPt>
            <c:idx val="3"/>
            <c:marker>
              <c:symbol val="none"/>
            </c:marker>
            <c:bubble3D val="0"/>
            <c:extLst>
              <c:ext xmlns:c16="http://schemas.microsoft.com/office/drawing/2014/chart" uri="{C3380CC4-5D6E-409C-BE32-E72D297353CC}">
                <c16:uniqueId val="{00000002-DB91-4140-81B2-7DE96A8A2417}"/>
              </c:ext>
            </c:extLst>
          </c:dPt>
          <c:dPt>
            <c:idx val="4"/>
            <c:marker>
              <c:symbol val="diamond"/>
              <c:size val="20"/>
              <c:spPr>
                <a:solidFill>
                  <a:schemeClr val="accent2"/>
                </a:solidFill>
                <a:ln w="9525">
                  <a:noFill/>
                </a:ln>
                <a:effectLst/>
              </c:spPr>
            </c:marker>
            <c:bubble3D val="0"/>
            <c:spPr>
              <a:ln w="50800" cap="rnd">
                <a:noFill/>
                <a:round/>
              </a:ln>
              <a:effectLst/>
            </c:spPr>
            <c:extLst>
              <c:ext xmlns:c16="http://schemas.microsoft.com/office/drawing/2014/chart" uri="{C3380CC4-5D6E-409C-BE32-E72D297353CC}">
                <c16:uniqueId val="{00000004-535C-4A34-983B-0932F21F99E7}"/>
              </c:ext>
            </c:extLst>
          </c:dPt>
          <c:cat>
            <c:multiLvlStrRef>
              <c:f>'1.13C'!$R$4:$S$8</c:f>
              <c:multiLvlStrCache>
                <c:ptCount val="5"/>
                <c:lvl>
                  <c:pt idx="3">
                    <c:v>Actual</c:v>
                  </c:pt>
                  <c:pt idx="4">
                    <c:v>Counter-factuals</c:v>
                  </c:pt>
                </c:lvl>
                <c:lvl>
                  <c:pt idx="0">
                    <c:v>2020</c:v>
                  </c:pt>
                  <c:pt idx="1">
                    <c:v>2021</c:v>
                  </c:pt>
                  <c:pt idx="2">
                    <c:v>2022</c:v>
                  </c:pt>
                  <c:pt idx="3">
                    <c:v>2023</c:v>
                  </c:pt>
                </c:lvl>
              </c:multiLvlStrCache>
            </c:multiLvlStrRef>
          </c:cat>
          <c:val>
            <c:numRef>
              <c:f>'1.13C'!$U$4:$U$8</c:f>
              <c:numCache>
                <c:formatCode>0.0</c:formatCode>
                <c:ptCount val="5"/>
                <c:pt idx="0">
                  <c:v>86.5</c:v>
                </c:pt>
                <c:pt idx="1">
                  <c:v>94.1</c:v>
                </c:pt>
                <c:pt idx="2">
                  <c:v>100</c:v>
                </c:pt>
                <c:pt idx="3">
                  <c:v>106.4</c:v>
                </c:pt>
                <c:pt idx="4">
                  <c:v>140.69999999999999</c:v>
                </c:pt>
              </c:numCache>
            </c:numRef>
          </c:val>
          <c:smooth val="0"/>
          <c:extLst>
            <c:ext xmlns:c16="http://schemas.microsoft.com/office/drawing/2014/chart" uri="{C3380CC4-5D6E-409C-BE32-E72D297353CC}">
              <c16:uniqueId val="{00000005-535C-4A34-983B-0932F21F99E7}"/>
            </c:ext>
          </c:extLst>
        </c:ser>
        <c:dLbls>
          <c:showLegendKey val="0"/>
          <c:showVal val="0"/>
          <c:showCatName val="0"/>
          <c:showSerName val="0"/>
          <c:showPercent val="0"/>
          <c:showBubbleSize val="0"/>
        </c:dLbls>
        <c:marker val="1"/>
        <c:smooth val="0"/>
        <c:axId val="924998576"/>
        <c:axId val="924997136"/>
        <c:extLst/>
      </c:lineChart>
      <c:catAx>
        <c:axId val="92499857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24997136"/>
        <c:crosses val="autoZero"/>
        <c:auto val="1"/>
        <c:lblAlgn val="ctr"/>
        <c:lblOffset val="100"/>
        <c:noMultiLvlLbl val="0"/>
      </c:catAx>
      <c:valAx>
        <c:axId val="924997136"/>
        <c:scaling>
          <c:orientation val="minMax"/>
          <c:max val="185"/>
          <c:min val="6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249985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5474883873507693E-2"/>
          <c:y val="0.17998323126275881"/>
          <c:w val="0.81867858368265223"/>
          <c:h val="0.51927077865266846"/>
        </c:manualLayout>
      </c:layout>
      <c:barChart>
        <c:barDir val="col"/>
        <c:grouping val="clustered"/>
        <c:varyColors val="0"/>
        <c:ser>
          <c:idx val="0"/>
          <c:order val="0"/>
          <c:tx>
            <c:strRef>
              <c:f>'1.13D'!$T$3</c:f>
              <c:strCache>
                <c:ptCount val="1"/>
                <c:pt idx="0">
                  <c:v>SAR</c:v>
                </c:pt>
              </c:strCache>
            </c:strRef>
          </c:tx>
          <c:spPr>
            <a:solidFill>
              <a:srgbClr val="002345"/>
            </a:solidFill>
            <a:ln w="76200">
              <a:noFill/>
            </a:ln>
            <a:effectLst/>
          </c:spPr>
          <c:invertIfNegative val="0"/>
          <c:dPt>
            <c:idx val="0"/>
            <c:invertIfNegative val="0"/>
            <c:bubble3D val="0"/>
            <c:spPr>
              <a:solidFill>
                <a:srgbClr val="EB1C2D"/>
              </a:solidFill>
              <a:ln w="76200">
                <a:noFill/>
              </a:ln>
              <a:effectLst/>
            </c:spPr>
            <c:extLst>
              <c:ext xmlns:c16="http://schemas.microsoft.com/office/drawing/2014/chart" uri="{C3380CC4-5D6E-409C-BE32-E72D297353CC}">
                <c16:uniqueId val="{00000001-2236-417F-9CEF-55E7958FB00F}"/>
              </c:ext>
            </c:extLst>
          </c:dPt>
          <c:dPt>
            <c:idx val="1"/>
            <c:invertIfNegative val="0"/>
            <c:bubble3D val="0"/>
            <c:spPr>
              <a:solidFill>
                <a:srgbClr val="002345"/>
              </a:solidFill>
              <a:ln w="76200">
                <a:noFill/>
              </a:ln>
              <a:effectLst/>
            </c:spPr>
            <c:extLst>
              <c:ext xmlns:c16="http://schemas.microsoft.com/office/drawing/2014/chart" uri="{C3380CC4-5D6E-409C-BE32-E72D297353CC}">
                <c16:uniqueId val="{00000003-2236-417F-9CEF-55E7958FB00F}"/>
              </c:ext>
            </c:extLst>
          </c:dPt>
          <c:dPt>
            <c:idx val="2"/>
            <c:invertIfNegative val="0"/>
            <c:bubble3D val="0"/>
            <c:spPr>
              <a:solidFill>
                <a:srgbClr val="EB1C2D"/>
              </a:solidFill>
              <a:ln w="76200">
                <a:noFill/>
              </a:ln>
              <a:effectLst/>
            </c:spPr>
            <c:extLst>
              <c:ext xmlns:c16="http://schemas.microsoft.com/office/drawing/2014/chart" uri="{C3380CC4-5D6E-409C-BE32-E72D297353CC}">
                <c16:uniqueId val="{00000005-2236-417F-9CEF-55E7958FB00F}"/>
              </c:ext>
            </c:extLst>
          </c:dPt>
          <c:dPt>
            <c:idx val="3"/>
            <c:invertIfNegative val="0"/>
            <c:bubble3D val="0"/>
            <c:spPr>
              <a:solidFill>
                <a:srgbClr val="002345"/>
              </a:solidFill>
              <a:ln w="76200">
                <a:noFill/>
              </a:ln>
              <a:effectLst/>
            </c:spPr>
            <c:extLst>
              <c:ext xmlns:c16="http://schemas.microsoft.com/office/drawing/2014/chart" uri="{C3380CC4-5D6E-409C-BE32-E72D297353CC}">
                <c16:uniqueId val="{00000007-2236-417F-9CEF-55E7958FB00F}"/>
              </c:ext>
            </c:extLst>
          </c:dPt>
          <c:dPt>
            <c:idx val="4"/>
            <c:invertIfNegative val="0"/>
            <c:bubble3D val="0"/>
            <c:spPr>
              <a:solidFill>
                <a:srgbClr val="EB1C2D"/>
              </a:solidFill>
              <a:ln w="76200">
                <a:noFill/>
              </a:ln>
              <a:effectLst/>
            </c:spPr>
            <c:extLst>
              <c:ext xmlns:c16="http://schemas.microsoft.com/office/drawing/2014/chart" uri="{C3380CC4-5D6E-409C-BE32-E72D297353CC}">
                <c16:uniqueId val="{00000009-2236-417F-9CEF-55E7958FB00F}"/>
              </c:ext>
            </c:extLst>
          </c:dPt>
          <c:dPt>
            <c:idx val="5"/>
            <c:invertIfNegative val="0"/>
            <c:bubble3D val="0"/>
            <c:spPr>
              <a:solidFill>
                <a:srgbClr val="002345"/>
              </a:solidFill>
              <a:ln w="76200">
                <a:noFill/>
              </a:ln>
              <a:effectLst/>
            </c:spPr>
            <c:extLst>
              <c:ext xmlns:c16="http://schemas.microsoft.com/office/drawing/2014/chart" uri="{C3380CC4-5D6E-409C-BE32-E72D297353CC}">
                <c16:uniqueId val="{0000000B-2236-417F-9CEF-55E7958FB00F}"/>
              </c:ext>
            </c:extLst>
          </c:dPt>
          <c:cat>
            <c:multiLvlStrRef>
              <c:f>'1.13D'!$R$4:$S$9</c:f>
              <c:multiLvlStrCache>
                <c:ptCount val="6"/>
                <c:lvl>
                  <c:pt idx="0">
                    <c:v>Exports</c:v>
                  </c:pt>
                  <c:pt idx="1">
                    <c:v>Non-
traded</c:v>
                  </c:pt>
                  <c:pt idx="2">
                    <c:v>Serv.</c:v>
                  </c:pt>
                  <c:pt idx="3">
                    <c:v>Non-
serv.</c:v>
                  </c:pt>
                  <c:pt idx="4">
                    <c:v>Urban</c:v>
                  </c:pt>
                  <c:pt idx="5">
                    <c:v>Rural</c:v>
                  </c:pt>
                </c:lvl>
                <c:lvl>
                  <c:pt idx="0">
                    <c:v>Female employment</c:v>
                  </c:pt>
                  <c:pt idx="4">
                    <c:v>Female labor force (RHS)</c:v>
                  </c:pt>
                </c:lvl>
              </c:multiLvlStrCache>
            </c:multiLvlStrRef>
          </c:cat>
          <c:val>
            <c:numRef>
              <c:f>'1.13D'!$T$4:$T$9</c:f>
              <c:numCache>
                <c:formatCode>0.0</c:formatCode>
                <c:ptCount val="6"/>
                <c:pt idx="0">
                  <c:v>43.7</c:v>
                </c:pt>
                <c:pt idx="1">
                  <c:v>16.399999999999999</c:v>
                </c:pt>
                <c:pt idx="2">
                  <c:v>17.7</c:v>
                </c:pt>
                <c:pt idx="3">
                  <c:v>30.9</c:v>
                </c:pt>
                <c:pt idx="4">
                  <c:v>25.8</c:v>
                </c:pt>
                <c:pt idx="5">
                  <c:v>38.4</c:v>
                </c:pt>
              </c:numCache>
            </c:numRef>
          </c:val>
          <c:extLst>
            <c:ext xmlns:c16="http://schemas.microsoft.com/office/drawing/2014/chart" uri="{C3380CC4-5D6E-409C-BE32-E72D297353CC}">
              <c16:uniqueId val="{0000000C-2236-417F-9CEF-55E7958FB00F}"/>
            </c:ext>
          </c:extLst>
        </c:ser>
        <c:dLbls>
          <c:showLegendKey val="0"/>
          <c:showVal val="0"/>
          <c:showCatName val="0"/>
          <c:showSerName val="0"/>
          <c:showPercent val="0"/>
          <c:showBubbleSize val="0"/>
        </c:dLbls>
        <c:gapWidth val="150"/>
        <c:axId val="1426809376"/>
        <c:axId val="1426831936"/>
      </c:barChart>
      <c:lineChart>
        <c:grouping val="standard"/>
        <c:varyColors val="0"/>
        <c:ser>
          <c:idx val="1"/>
          <c:order val="1"/>
          <c:tx>
            <c:strRef>
              <c:f>'1.13D'!$U$3</c:f>
              <c:strCache>
                <c:ptCount val="1"/>
                <c:pt idx="0">
                  <c:v>Other EMDEs</c:v>
                </c:pt>
              </c:strCache>
            </c:strRef>
          </c:tx>
          <c:spPr>
            <a:ln w="28575" cap="rnd">
              <a:noFill/>
              <a:round/>
            </a:ln>
            <a:effectLst/>
          </c:spPr>
          <c:marker>
            <c:symbol val="diamond"/>
            <c:size val="30"/>
            <c:spPr>
              <a:solidFill>
                <a:schemeClr val="accent4"/>
              </a:solidFill>
              <a:ln w="9525">
                <a:noFill/>
              </a:ln>
              <a:effectLst/>
            </c:spPr>
          </c:marker>
          <c:cat>
            <c:strLit>
              <c:ptCount val="6"/>
              <c:pt idx="0">
                <c:v>Female employment (LHS) Exports</c:v>
              </c:pt>
              <c:pt idx="1">
                <c:v>Female employment (LHS) Non-
traded</c:v>
              </c:pt>
              <c:pt idx="2">
                <c:v>Female employment (LHS) Services</c:v>
              </c:pt>
              <c:pt idx="3">
                <c:v>Female employment (LHS) Non-services</c:v>
              </c:pt>
              <c:pt idx="4">
                <c:v>Female labor force (RHS) Urban</c:v>
              </c:pt>
              <c:pt idx="5">
                <c:v>Female labor force (RHS) Rural</c:v>
              </c:pt>
            </c:strLit>
          </c:cat>
          <c:val>
            <c:numRef>
              <c:f>'1.13D'!$U$4:$U$9</c:f>
              <c:numCache>
                <c:formatCode>0.0</c:formatCode>
                <c:ptCount val="6"/>
                <c:pt idx="2">
                  <c:v>44.1</c:v>
                </c:pt>
                <c:pt idx="3">
                  <c:v>28.8</c:v>
                </c:pt>
              </c:numCache>
            </c:numRef>
          </c:val>
          <c:smooth val="0"/>
          <c:extLst>
            <c:ext xmlns:c16="http://schemas.microsoft.com/office/drawing/2014/chart" uri="{C3380CC4-5D6E-409C-BE32-E72D297353CC}">
              <c16:uniqueId val="{0000000D-2236-417F-9CEF-55E7958FB00F}"/>
            </c:ext>
          </c:extLst>
        </c:ser>
        <c:dLbls>
          <c:showLegendKey val="0"/>
          <c:showVal val="0"/>
          <c:showCatName val="0"/>
          <c:showSerName val="0"/>
          <c:showPercent val="0"/>
          <c:showBubbleSize val="0"/>
        </c:dLbls>
        <c:marker val="1"/>
        <c:smooth val="0"/>
        <c:axId val="678029823"/>
        <c:axId val="678042783"/>
      </c:lineChart>
      <c:catAx>
        <c:axId val="142680937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426831936"/>
        <c:crosses val="autoZero"/>
        <c:auto val="1"/>
        <c:lblAlgn val="ctr"/>
        <c:lblOffset val="100"/>
        <c:tickLblSkip val="1"/>
        <c:noMultiLvlLbl val="0"/>
      </c:catAx>
      <c:valAx>
        <c:axId val="1426831936"/>
        <c:scaling>
          <c:orientation val="minMax"/>
          <c:max val="5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26809376"/>
        <c:crosses val="autoZero"/>
        <c:crossBetween val="between"/>
        <c:majorUnit val="10"/>
      </c:valAx>
      <c:valAx>
        <c:axId val="678042783"/>
        <c:scaling>
          <c:orientation val="minMax"/>
          <c:max val="5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78029823"/>
        <c:crosses val="max"/>
        <c:crossBetween val="between"/>
        <c:majorUnit val="10"/>
      </c:valAx>
      <c:catAx>
        <c:axId val="678029823"/>
        <c:scaling>
          <c:orientation val="minMax"/>
        </c:scaling>
        <c:delete val="1"/>
        <c:axPos val="b"/>
        <c:numFmt formatCode="General" sourceLinked="1"/>
        <c:majorTickMark val="out"/>
        <c:minorTickMark val="none"/>
        <c:tickLblPos val="nextTo"/>
        <c:crossAx val="678042783"/>
        <c:crosses val="autoZero"/>
        <c:auto val="1"/>
        <c:lblAlgn val="ctr"/>
        <c:lblOffset val="100"/>
        <c:noMultiLvlLbl val="0"/>
      </c:catAx>
      <c:spPr>
        <a:noFill/>
        <a:ln>
          <a:noFill/>
        </a:ln>
        <a:effectLst/>
      </c:spPr>
    </c:plotArea>
    <c:legend>
      <c:legendPos val="t"/>
      <c:legendEntry>
        <c:idx val="0"/>
        <c:delete val="1"/>
      </c:legendEntry>
      <c:layout>
        <c:manualLayout>
          <c:xMode val="edge"/>
          <c:yMode val="edge"/>
          <c:x val="0.31881839533927586"/>
          <c:y val="4.476475589964074E-2"/>
          <c:w val="0.38280310556688546"/>
          <c:h val="5.414399011226697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'1.13E'!$S$2</c:f>
              <c:strCache>
                <c:ptCount val="1"/>
                <c:pt idx="0">
                  <c:v>WBL childcare index</c:v>
                </c:pt>
              </c:strCache>
            </c:strRef>
          </c:tx>
          <c:spPr>
            <a:solidFill>
              <a:srgbClr val="002345"/>
            </a:solidFill>
            <a:ln w="76200">
              <a:noFill/>
            </a:ln>
            <a:effectLst/>
          </c:spPr>
          <c:invertIfNegative val="0"/>
          <c:dPt>
            <c:idx val="5"/>
            <c:invertIfNegative val="0"/>
            <c:bubble3D val="0"/>
            <c:spPr>
              <a:solidFill>
                <a:srgbClr val="FF0000"/>
              </a:solidFill>
              <a:ln w="76200">
                <a:solidFill>
                  <a:srgbClr val="FF0000"/>
                </a:solidFill>
              </a:ln>
              <a:effectLst/>
            </c:spPr>
            <c:extLst>
              <c:ext xmlns:c16="http://schemas.microsoft.com/office/drawing/2014/chart" uri="{C3380CC4-5D6E-409C-BE32-E72D297353CC}">
                <c16:uniqueId val="{00000001-5414-426C-BC84-9EAD8EB7FFEB}"/>
              </c:ext>
            </c:extLst>
          </c:dPt>
          <c:cat>
            <c:strRef>
              <c:f>'1.13E'!$R$3:$R$8</c:f>
              <c:strCache>
                <c:ptCount val="6"/>
                <c:pt idx="0">
                  <c:v>ECA</c:v>
                </c:pt>
                <c:pt idx="1">
                  <c:v>EAP</c:v>
                </c:pt>
                <c:pt idx="2">
                  <c:v>LAC</c:v>
                </c:pt>
                <c:pt idx="3">
                  <c:v>MNA</c:v>
                </c:pt>
                <c:pt idx="4">
                  <c:v>SSA</c:v>
                </c:pt>
                <c:pt idx="5">
                  <c:v>SAR</c:v>
                </c:pt>
              </c:strCache>
            </c:strRef>
          </c:cat>
          <c:val>
            <c:numRef>
              <c:f>'1.13E'!$S$3:$S$8</c:f>
              <c:numCache>
                <c:formatCode>General</c:formatCode>
                <c:ptCount val="6"/>
                <c:pt idx="0">
                  <c:v>95.3</c:v>
                </c:pt>
                <c:pt idx="1">
                  <c:v>89.2</c:v>
                </c:pt>
                <c:pt idx="2">
                  <c:v>70.099999999999994</c:v>
                </c:pt>
                <c:pt idx="3">
                  <c:v>38.4</c:v>
                </c:pt>
                <c:pt idx="4">
                  <c:v>38.4</c:v>
                </c:pt>
                <c:pt idx="5">
                  <c:v>24.2</c:v>
                </c:pt>
              </c:numCache>
            </c:numRef>
          </c:val>
          <c:extLst>
            <c:ext xmlns:c16="http://schemas.microsoft.com/office/drawing/2014/chart" uri="{C3380CC4-5D6E-409C-BE32-E72D297353CC}">
              <c16:uniqueId val="{00000002-5414-426C-BC84-9EAD8EB7FFEB}"/>
            </c:ext>
          </c:extLst>
        </c:ser>
        <c:dLbls>
          <c:showLegendKey val="0"/>
          <c:showVal val="0"/>
          <c:showCatName val="0"/>
          <c:showSerName val="0"/>
          <c:showPercent val="0"/>
          <c:showBubbleSize val="0"/>
        </c:dLbls>
        <c:gapWidth val="150"/>
        <c:axId val="1774562224"/>
        <c:axId val="1774551664"/>
      </c:barChart>
      <c:lineChart>
        <c:grouping val="standard"/>
        <c:varyColors val="0"/>
        <c:ser>
          <c:idx val="2"/>
          <c:order val="1"/>
          <c:tx>
            <c:strRef>
              <c:f>'1.13E'!$T$2</c:f>
              <c:strCache>
                <c:ptCount val="1"/>
                <c:pt idx="0">
                  <c:v>EMDE average</c:v>
                </c:pt>
              </c:strCache>
            </c:strRef>
          </c:tx>
          <c:spPr>
            <a:ln w="76200" cap="rnd">
              <a:solidFill>
                <a:srgbClr val="FFC000"/>
              </a:solidFill>
              <a:round/>
            </a:ln>
            <a:effectLst/>
          </c:spPr>
          <c:marker>
            <c:symbol val="none"/>
          </c:marker>
          <c:val>
            <c:numRef>
              <c:f>'1.13E'!$T$3:$T$8</c:f>
              <c:numCache>
                <c:formatCode>General</c:formatCode>
                <c:ptCount val="6"/>
                <c:pt idx="0">
                  <c:v>39.700000000000003</c:v>
                </c:pt>
                <c:pt idx="1">
                  <c:v>39.700000000000003</c:v>
                </c:pt>
                <c:pt idx="2">
                  <c:v>39.700000000000003</c:v>
                </c:pt>
                <c:pt idx="3">
                  <c:v>39.700000000000003</c:v>
                </c:pt>
                <c:pt idx="4">
                  <c:v>39.700000000000003</c:v>
                </c:pt>
                <c:pt idx="5">
                  <c:v>39.700000000000003</c:v>
                </c:pt>
              </c:numCache>
            </c:numRef>
          </c:val>
          <c:smooth val="0"/>
          <c:extLst>
            <c:ext xmlns:c16="http://schemas.microsoft.com/office/drawing/2014/chart" uri="{C3380CC4-5D6E-409C-BE32-E72D297353CC}">
              <c16:uniqueId val="{00000003-5414-426C-BC84-9EAD8EB7FFEB}"/>
            </c:ext>
          </c:extLst>
        </c:ser>
        <c:dLbls>
          <c:showLegendKey val="0"/>
          <c:showVal val="0"/>
          <c:showCatName val="0"/>
          <c:showSerName val="0"/>
          <c:showPercent val="0"/>
          <c:showBubbleSize val="0"/>
        </c:dLbls>
        <c:marker val="1"/>
        <c:smooth val="0"/>
        <c:axId val="1774562224"/>
        <c:axId val="1774551664"/>
      </c:lineChart>
      <c:catAx>
        <c:axId val="177456222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74551664"/>
        <c:crosses val="autoZero"/>
        <c:auto val="1"/>
        <c:lblAlgn val="ctr"/>
        <c:lblOffset val="100"/>
        <c:noMultiLvlLbl val="0"/>
      </c:catAx>
      <c:valAx>
        <c:axId val="1774551664"/>
        <c:scaling>
          <c:orientation val="minMax"/>
          <c:max val="11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74562224"/>
        <c:crosses val="autoZero"/>
        <c:crossBetween val="between"/>
        <c:majorUnit val="20"/>
      </c:valAx>
      <c:spPr>
        <a:noFill/>
        <a:ln>
          <a:noFill/>
        </a:ln>
        <a:effectLst/>
      </c:spPr>
    </c:plotArea>
    <c:legend>
      <c:legendPos val="t"/>
      <c:legendEntry>
        <c:idx val="0"/>
        <c:delete val="1"/>
      </c:legendEntry>
      <c:layout>
        <c:manualLayout>
          <c:xMode val="edge"/>
          <c:yMode val="edge"/>
          <c:x val="0.29966910016949871"/>
          <c:y val="6.9148877223680377E-2"/>
          <c:w val="0.4273926889150485"/>
          <c:h val="8.0750218722659667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151473602199037"/>
          <c:y val="0.23476117409836514"/>
          <c:w val="0.77158658937938818"/>
          <c:h val="0.61151078087175359"/>
        </c:manualLayout>
      </c:layout>
      <c:barChart>
        <c:barDir val="col"/>
        <c:grouping val="clustered"/>
        <c:varyColors val="0"/>
        <c:ser>
          <c:idx val="1"/>
          <c:order val="2"/>
          <c:tx>
            <c:strRef>
              <c:f>'1.13F'!$S$3</c:f>
              <c:strCache>
                <c:ptCount val="1"/>
                <c:pt idx="0">
                  <c:v>Belief in homemaker norm (RHS)</c:v>
                </c:pt>
              </c:strCache>
            </c:strRef>
          </c:tx>
          <c:spPr>
            <a:solidFill>
              <a:schemeClr val="accent1"/>
            </a:solidFill>
            <a:ln>
              <a:noFill/>
            </a:ln>
            <a:effectLst/>
          </c:spPr>
          <c:invertIfNegative val="0"/>
          <c:dPt>
            <c:idx val="6"/>
            <c:invertIfNegative val="0"/>
            <c:bubble3D val="0"/>
            <c:spPr>
              <a:solidFill>
                <a:schemeClr val="accent2"/>
              </a:solidFill>
              <a:ln>
                <a:noFill/>
              </a:ln>
              <a:effectLst/>
            </c:spPr>
            <c:extLst>
              <c:ext xmlns:c16="http://schemas.microsoft.com/office/drawing/2014/chart" uri="{C3380CC4-5D6E-409C-BE32-E72D297353CC}">
                <c16:uniqueId val="{00000001-73B4-4E3F-96D8-3E972AD446DD}"/>
              </c:ext>
            </c:extLst>
          </c:dPt>
          <c:cat>
            <c:strRef>
              <c:f>'1.13F'!$R$4:$R$10</c:f>
              <c:strCache>
                <c:ptCount val="7"/>
                <c:pt idx="0">
                  <c:v>LAC</c:v>
                </c:pt>
                <c:pt idx="1">
                  <c:v>OECD</c:v>
                </c:pt>
                <c:pt idx="2">
                  <c:v>ECA</c:v>
                </c:pt>
                <c:pt idx="3">
                  <c:v>EAP</c:v>
                </c:pt>
                <c:pt idx="4">
                  <c:v>SSA</c:v>
                </c:pt>
                <c:pt idx="5">
                  <c:v>MNA</c:v>
                </c:pt>
                <c:pt idx="6">
                  <c:v>SAR</c:v>
                </c:pt>
              </c:strCache>
            </c:strRef>
          </c:cat>
          <c:val>
            <c:numRef>
              <c:f>'1.13F'!$S$4:$S$10</c:f>
              <c:numCache>
                <c:formatCode>0.0</c:formatCode>
                <c:ptCount val="7"/>
                <c:pt idx="0">
                  <c:v>27.2</c:v>
                </c:pt>
                <c:pt idx="1">
                  <c:v>31.8</c:v>
                </c:pt>
                <c:pt idx="2">
                  <c:v>61.4</c:v>
                </c:pt>
                <c:pt idx="3">
                  <c:v>63.4</c:v>
                </c:pt>
                <c:pt idx="4">
                  <c:v>69.3</c:v>
                </c:pt>
                <c:pt idx="5">
                  <c:v>70.099999999999994</c:v>
                </c:pt>
                <c:pt idx="6">
                  <c:v>70.8</c:v>
                </c:pt>
              </c:numCache>
            </c:numRef>
          </c:val>
          <c:extLst>
            <c:ext xmlns:c16="http://schemas.microsoft.com/office/drawing/2014/chart" uri="{C3380CC4-5D6E-409C-BE32-E72D297353CC}">
              <c16:uniqueId val="{00000002-73B4-4E3F-96D8-3E972AD446DD}"/>
            </c:ext>
          </c:extLst>
        </c:ser>
        <c:dLbls>
          <c:showLegendKey val="0"/>
          <c:showVal val="0"/>
          <c:showCatName val="0"/>
          <c:showSerName val="0"/>
          <c:showPercent val="0"/>
          <c:showBubbleSize val="0"/>
        </c:dLbls>
        <c:gapWidth val="150"/>
        <c:axId val="133025551"/>
        <c:axId val="1910536928"/>
        <c:extLst>
          <c:ext xmlns:c15="http://schemas.microsoft.com/office/drawing/2012/chart" uri="{02D57815-91ED-43cb-92C2-25804820EDAC}">
            <c15:filteredBarSeries>
              <c15:ser>
                <c:idx val="0"/>
                <c:order val="0"/>
                <c:tx>
                  <c:v>Normative expectations in homemaker norm</c:v>
                </c:tx>
                <c:spPr>
                  <a:solidFill>
                    <a:schemeClr val="accent1"/>
                  </a:solidFill>
                  <a:ln>
                    <a:noFill/>
                  </a:ln>
                  <a:effectLst/>
                </c:spPr>
                <c:invertIfNegative val="0"/>
                <c:cat>
                  <c:strRef>
                    <c:extLst>
                      <c:ext uri="{02D57815-91ED-43cb-92C2-25804820EDAC}">
                        <c15:formulaRef>
                          <c15:sqref>'1.13F'!$R$4:$R$10</c15:sqref>
                        </c15:formulaRef>
                      </c:ext>
                    </c:extLst>
                    <c:strCache>
                      <c:ptCount val="7"/>
                      <c:pt idx="0">
                        <c:v>LAC</c:v>
                      </c:pt>
                      <c:pt idx="1">
                        <c:v>OECD</c:v>
                      </c:pt>
                      <c:pt idx="2">
                        <c:v>ECA</c:v>
                      </c:pt>
                      <c:pt idx="3">
                        <c:v>EAP</c:v>
                      </c:pt>
                      <c:pt idx="4">
                        <c:v>SSA</c:v>
                      </c:pt>
                      <c:pt idx="5">
                        <c:v>MNA</c:v>
                      </c:pt>
                      <c:pt idx="6">
                        <c:v>SAR</c:v>
                      </c:pt>
                    </c:strCache>
                  </c:strRef>
                </c:cat>
                <c:val>
                  <c:numLit>
                    <c:formatCode>General</c:formatCode>
                    <c:ptCount val="7"/>
                    <c:pt idx="0">
                      <c:v>53.546999999999997</c:v>
                    </c:pt>
                    <c:pt idx="1">
                      <c:v>61.865600000000001</c:v>
                    </c:pt>
                    <c:pt idx="2">
                      <c:v>66.104299999999995</c:v>
                    </c:pt>
                    <c:pt idx="3">
                      <c:v>65.216499999999996</c:v>
                    </c:pt>
                    <c:pt idx="4">
                      <c:v>68.443700000000007</c:v>
                    </c:pt>
                    <c:pt idx="5">
                      <c:v>71.838999999999999</c:v>
                    </c:pt>
                    <c:pt idx="6">
                      <c:v>68.382499999999993</c:v>
                    </c:pt>
                  </c:numLit>
                </c:val>
                <c:extLst>
                  <c:ext xmlns:c16="http://schemas.microsoft.com/office/drawing/2014/chart" uri="{C3380CC4-5D6E-409C-BE32-E72D297353CC}">
                    <c16:uniqueId val="{00000004-73B4-4E3F-96D8-3E972AD446DD}"/>
                  </c:ext>
                </c:extLst>
              </c15:ser>
            </c15:filteredBarSeries>
          </c:ext>
        </c:extLst>
      </c:barChart>
      <c:lineChart>
        <c:grouping val="standard"/>
        <c:varyColors val="0"/>
        <c:ser>
          <c:idx val="2"/>
          <c:order val="1"/>
          <c:tx>
            <c:strRef>
              <c:f>'1.13F'!$T$3</c:f>
              <c:strCache>
                <c:ptCount val="1"/>
                <c:pt idx="0">
                  <c:v>Legal gender equality</c:v>
                </c:pt>
              </c:strCache>
            </c:strRef>
          </c:tx>
          <c:spPr>
            <a:ln w="25400" cap="rnd">
              <a:noFill/>
              <a:round/>
            </a:ln>
            <a:effectLst/>
          </c:spPr>
          <c:marker>
            <c:symbol val="diamond"/>
            <c:size val="25"/>
            <c:spPr>
              <a:solidFill>
                <a:srgbClr val="FDB714"/>
              </a:solidFill>
              <a:ln w="9525">
                <a:noFill/>
              </a:ln>
              <a:effectLst/>
            </c:spPr>
          </c:marker>
          <c:cat>
            <c:strLit>
              <c:ptCount val="7"/>
              <c:pt idx="0">
                <c:v>OECD</c:v>
              </c:pt>
              <c:pt idx="1">
                <c:v>LAC</c:v>
              </c:pt>
              <c:pt idx="2">
                <c:v>ECA</c:v>
              </c:pt>
              <c:pt idx="3">
                <c:v>EAP</c:v>
              </c:pt>
              <c:pt idx="4">
                <c:v>MNA</c:v>
              </c:pt>
              <c:pt idx="5">
                <c:v>SAR</c:v>
              </c:pt>
              <c:pt idx="6">
                <c:v>SSA</c:v>
              </c:pt>
            </c:strLit>
          </c:cat>
          <c:val>
            <c:numRef>
              <c:f>'1.13F'!$T$4:$T$10</c:f>
              <c:numCache>
                <c:formatCode>0.0</c:formatCode>
                <c:ptCount val="7"/>
                <c:pt idx="0">
                  <c:v>78.5</c:v>
                </c:pt>
                <c:pt idx="1">
                  <c:v>84.7</c:v>
                </c:pt>
                <c:pt idx="2">
                  <c:v>74</c:v>
                </c:pt>
                <c:pt idx="3">
                  <c:v>63.9</c:v>
                </c:pt>
                <c:pt idx="4">
                  <c:v>60.1</c:v>
                </c:pt>
                <c:pt idx="5">
                  <c:v>42.1</c:v>
                </c:pt>
                <c:pt idx="6">
                  <c:v>54.8</c:v>
                </c:pt>
              </c:numCache>
            </c:numRef>
          </c:val>
          <c:smooth val="0"/>
          <c:extLst>
            <c:ext xmlns:c16="http://schemas.microsoft.com/office/drawing/2014/chart" uri="{C3380CC4-5D6E-409C-BE32-E72D297353CC}">
              <c16:uniqueId val="{00000003-73B4-4E3F-96D8-3E972AD446DD}"/>
            </c:ext>
          </c:extLst>
        </c:ser>
        <c:dLbls>
          <c:showLegendKey val="0"/>
          <c:showVal val="0"/>
          <c:showCatName val="0"/>
          <c:showSerName val="0"/>
          <c:showPercent val="0"/>
          <c:showBubbleSize val="0"/>
        </c:dLbls>
        <c:marker val="1"/>
        <c:smooth val="0"/>
        <c:axId val="199741807"/>
        <c:axId val="199745647"/>
      </c:lineChart>
      <c:catAx>
        <c:axId val="133025551"/>
        <c:scaling>
          <c:orientation val="minMax"/>
        </c:scaling>
        <c:delete val="0"/>
        <c:axPos val="b"/>
        <c:numFmt formatCode="General" sourceLinked="1"/>
        <c:majorTickMark val="none"/>
        <c:minorTickMark val="none"/>
        <c:tickLblPos val="nextTo"/>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910536928"/>
        <c:crosses val="autoZero"/>
        <c:auto val="1"/>
        <c:lblAlgn val="ctr"/>
        <c:lblOffset val="100"/>
        <c:noMultiLvlLbl val="0"/>
      </c:catAx>
      <c:valAx>
        <c:axId val="1910536928"/>
        <c:scaling>
          <c:orientation val="minMax"/>
          <c:max val="9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3025551"/>
        <c:crosses val="autoZero"/>
        <c:crossBetween val="between"/>
        <c:majorUnit val="20"/>
      </c:valAx>
      <c:valAx>
        <c:axId val="199745647"/>
        <c:scaling>
          <c:orientation val="minMax"/>
          <c:max val="9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9741807"/>
        <c:crosses val="max"/>
        <c:crossBetween val="between"/>
        <c:majorUnit val="20"/>
      </c:valAx>
      <c:catAx>
        <c:axId val="199741807"/>
        <c:scaling>
          <c:orientation val="minMax"/>
        </c:scaling>
        <c:delete val="1"/>
        <c:axPos val="b"/>
        <c:numFmt formatCode="General" sourceLinked="1"/>
        <c:majorTickMark val="out"/>
        <c:minorTickMark val="none"/>
        <c:tickLblPos val="nextTo"/>
        <c:crossAx val="199745647"/>
        <c:crosses val="autoZero"/>
        <c:auto val="1"/>
        <c:lblAlgn val="ctr"/>
        <c:lblOffset val="100"/>
        <c:noMultiLvlLbl val="0"/>
      </c:catAx>
      <c:spPr>
        <a:noFill/>
        <a:ln>
          <a:noFill/>
        </a:ln>
        <a:effectLst/>
      </c:spPr>
    </c:plotArea>
    <c:legend>
      <c:legendPos val="t"/>
      <c:layout>
        <c:manualLayout>
          <c:xMode val="edge"/>
          <c:yMode val="edge"/>
          <c:x val="7.5730598081520689E-2"/>
          <c:y val="8.003427074589492E-2"/>
          <c:w val="0.79214698162729646"/>
          <c:h val="0.13655497229512975"/>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2112816940870873"/>
          <c:y val="0.31189909594634002"/>
          <c:w val="0.78240120051078876"/>
          <c:h val="0.51184106153397491"/>
        </c:manualLayout>
      </c:layout>
      <c:barChart>
        <c:barDir val="col"/>
        <c:grouping val="clustered"/>
        <c:varyColors val="0"/>
        <c:ser>
          <c:idx val="0"/>
          <c:order val="0"/>
          <c:tx>
            <c:strRef>
              <c:f>'1.14A'!$S$3</c:f>
              <c:strCache>
                <c:ptCount val="1"/>
                <c:pt idx="0">
                  <c:v>Average firm size in manufacturing sector</c:v>
                </c:pt>
              </c:strCache>
            </c:strRef>
          </c:tx>
          <c:spPr>
            <a:solidFill>
              <a:srgbClr val="002345"/>
            </a:solidFill>
            <a:ln w="50800">
              <a:noFill/>
            </a:ln>
            <a:effectLst/>
          </c:spPr>
          <c:invertIfNegative val="0"/>
          <c:cat>
            <c:strRef>
              <c:f>'1.14A'!$R$4:$R$13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'1.14A'!$S$4:$S$13</c:f>
              <c:numCache>
                <c:formatCode>0.0</c:formatCode>
                <c:ptCount val="10"/>
                <c:pt idx="0">
                  <c:v>185.8</c:v>
                </c:pt>
                <c:pt idx="1">
                  <c:v>81.599999999999994</c:v>
                </c:pt>
                <c:pt idx="2">
                  <c:v>59.9</c:v>
                </c:pt>
                <c:pt idx="3">
                  <c:v>44.1</c:v>
                </c:pt>
                <c:pt idx="4">
                  <c:v>31.4</c:v>
                </c:pt>
              </c:numCache>
            </c:numRef>
          </c:val>
          <c:extLst>
            <c:ext xmlns:c16="http://schemas.microsoft.com/office/drawing/2014/chart" uri="{C3380CC4-5D6E-409C-BE32-E72D297353CC}">
              <c16:uniqueId val="{00000000-30CE-49D3-B36A-7B8D77959F36}"/>
            </c:ext>
          </c:extLst>
        </c:ser>
        <c:dLbls>
          <c:showLegendKey val="0"/>
          <c:showVal val="0"/>
          <c:showCatName val="0"/>
          <c:showSerName val="0"/>
          <c:showPercent val="0"/>
          <c:showBubbleSize val="0"/>
        </c:dLbls>
        <c:gapWidth val="150"/>
        <c:axId val="1047680575"/>
        <c:axId val="1"/>
      </c:barChart>
      <c:barChart>
        <c:barDir val="col"/>
        <c:grouping val="clustered"/>
        <c:varyColors val="0"/>
        <c:ser>
          <c:idx val="2"/>
          <c:order val="2"/>
          <c:tx>
            <c:strRef>
              <c:f>'1.14A'!$U$3</c:f>
              <c:strCache>
                <c:ptCount val="1"/>
                <c:pt idx="0">
                  <c:v>Share of young firms among small firms (RHS)</c:v>
                </c:pt>
              </c:strCache>
            </c:strRef>
          </c:tx>
          <c:spPr>
            <a:solidFill>
              <a:schemeClr val="bg2"/>
            </a:solidFill>
          </c:spPr>
          <c:invertIfNegative val="0"/>
          <c:cat>
            <c:strRef>
              <c:f>'1.14A'!$R$4:$R$13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'1.14A'!$U$4:$U$13</c:f>
              <c:numCache>
                <c:formatCode>0.0</c:formatCode>
                <c:ptCount val="10"/>
                <c:pt idx="5">
                  <c:v>21.7</c:v>
                </c:pt>
                <c:pt idx="6">
                  <c:v>10.6</c:v>
                </c:pt>
                <c:pt idx="7">
                  <c:v>9.9</c:v>
                </c:pt>
                <c:pt idx="8">
                  <c:v>7.3</c:v>
                </c:pt>
                <c:pt idx="9">
                  <c:v>2.1</c:v>
                </c:pt>
              </c:numCache>
            </c:numRef>
          </c:val>
          <c:extLst>
            <c:ext xmlns:c16="http://schemas.microsoft.com/office/drawing/2014/chart" uri="{C3380CC4-5D6E-409C-BE32-E72D297353CC}">
              <c16:uniqueId val="{00000001-30CE-49D3-B36A-7B8D77959F36}"/>
            </c:ext>
          </c:extLst>
        </c:ser>
        <c:dLbls>
          <c:showLegendKey val="0"/>
          <c:showVal val="0"/>
          <c:showCatName val="0"/>
          <c:showSerName val="0"/>
          <c:showPercent val="0"/>
          <c:showBubbleSize val="0"/>
        </c:dLbls>
        <c:gapWidth val="150"/>
        <c:axId val="1047741823"/>
        <c:axId val="376870511"/>
      </c:barChart>
      <c:lineChart>
        <c:grouping val="standard"/>
        <c:varyColors val="0"/>
        <c:ser>
          <c:idx val="1"/>
          <c:order val="1"/>
          <c:tx>
            <c:strRef>
              <c:f>'1.14A'!$T$3</c:f>
              <c:strCache>
                <c:ptCount val="1"/>
                <c:pt idx="0">
                  <c:v>Number of workers: other EMDEs</c:v>
                </c:pt>
              </c:strCache>
            </c:strRef>
          </c:tx>
          <c:spPr>
            <a:ln w="76200" cap="rnd">
              <a:solidFill>
                <a:srgbClr val="EB1C2D"/>
              </a:solidFill>
              <a:round/>
            </a:ln>
            <a:effectLst/>
          </c:spPr>
          <c:marker>
            <c:symbol val="none"/>
          </c:marker>
          <c:cat>
            <c:strRef>
              <c:f>'1.14A'!$R$4:$R$13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'1.14A'!$T$4:$T$13</c:f>
              <c:numCache>
                <c:formatCode>0.0</c:formatCode>
                <c:ptCount val="10"/>
                <c:pt idx="0">
                  <c:v>67</c:v>
                </c:pt>
                <c:pt idx="1">
                  <c:v>67</c:v>
                </c:pt>
                <c:pt idx="2">
                  <c:v>67</c:v>
                </c:pt>
                <c:pt idx="3">
                  <c:v>67</c:v>
                </c:pt>
                <c:pt idx="4">
                  <c:v>67</c:v>
                </c:pt>
              </c:numCache>
            </c:numRef>
          </c:val>
          <c:smooth val="0"/>
          <c:extLst>
            <c:ext xmlns:c16="http://schemas.microsoft.com/office/drawing/2014/chart" uri="{C3380CC4-5D6E-409C-BE32-E72D297353CC}">
              <c16:uniqueId val="{00000002-30CE-49D3-B36A-7B8D77959F36}"/>
            </c:ext>
          </c:extLst>
        </c:ser>
        <c:dLbls>
          <c:showLegendKey val="0"/>
          <c:showVal val="0"/>
          <c:showCatName val="0"/>
          <c:showSerName val="0"/>
          <c:showPercent val="0"/>
          <c:showBubbleSize val="0"/>
        </c:dLbls>
        <c:marker val="1"/>
        <c:smooth val="0"/>
        <c:axId val="1047680575"/>
        <c:axId val="1"/>
      </c:lineChart>
      <c:lineChart>
        <c:grouping val="standard"/>
        <c:varyColors val="0"/>
        <c:ser>
          <c:idx val="3"/>
          <c:order val="3"/>
          <c:tx>
            <c:strRef>
              <c:f>'1.14A'!$V$3</c:f>
              <c:strCache>
                <c:ptCount val="1"/>
                <c:pt idx="0">
                  <c:v>Share of young firms among small firms:Other EMDEs</c:v>
                </c:pt>
              </c:strCache>
            </c:strRef>
          </c:tx>
          <c:spPr>
            <a:ln w="76200">
              <a:solidFill>
                <a:schemeClr val="tx2"/>
              </a:solidFill>
            </a:ln>
          </c:spPr>
          <c:marker>
            <c:symbol val="none"/>
          </c:marker>
          <c:cat>
            <c:strRef>
              <c:f>'1.14A'!$R$4:$R$13</c:f>
              <c:strCache>
                <c:ptCount val="10"/>
                <c:pt idx="0">
                  <c:v>BGD</c:v>
                </c:pt>
                <c:pt idx="1">
                  <c:v>PAK</c:v>
                </c:pt>
                <c:pt idx="2">
                  <c:v>LKA</c:v>
                </c:pt>
                <c:pt idx="3">
                  <c:v>NPL</c:v>
                </c:pt>
                <c:pt idx="4">
                  <c:v>IND</c:v>
                </c:pt>
                <c:pt idx="5">
                  <c:v>NPL</c:v>
                </c:pt>
                <c:pt idx="6">
                  <c:v>IND</c:v>
                </c:pt>
                <c:pt idx="7">
                  <c:v>LKA</c:v>
                </c:pt>
                <c:pt idx="8">
                  <c:v>BGD</c:v>
                </c:pt>
                <c:pt idx="9">
                  <c:v>PAK</c:v>
                </c:pt>
              </c:strCache>
            </c:strRef>
          </c:cat>
          <c:val>
            <c:numRef>
              <c:f>'1.14A'!$V$4:$V$13</c:f>
              <c:numCache>
                <c:formatCode>0.0</c:formatCode>
                <c:ptCount val="10"/>
                <c:pt idx="5">
                  <c:v>12.6</c:v>
                </c:pt>
                <c:pt idx="6">
                  <c:v>12.6</c:v>
                </c:pt>
                <c:pt idx="7">
                  <c:v>12.6</c:v>
                </c:pt>
                <c:pt idx="8">
                  <c:v>12.6</c:v>
                </c:pt>
                <c:pt idx="9">
                  <c:v>12.6</c:v>
                </c:pt>
              </c:numCache>
            </c:numRef>
          </c:val>
          <c:smooth val="0"/>
          <c:extLst>
            <c:ext xmlns:c16="http://schemas.microsoft.com/office/drawing/2014/chart" uri="{C3380CC4-5D6E-409C-BE32-E72D297353CC}">
              <c16:uniqueId val="{00000003-30CE-49D3-B36A-7B8D77959F36}"/>
            </c:ext>
          </c:extLst>
        </c:ser>
        <c:dLbls>
          <c:showLegendKey val="0"/>
          <c:showVal val="0"/>
          <c:showCatName val="0"/>
          <c:showSerName val="0"/>
          <c:showPercent val="0"/>
          <c:showBubbleSize val="0"/>
        </c:dLbls>
        <c:marker val="1"/>
        <c:smooth val="0"/>
        <c:axId val="1047741823"/>
        <c:axId val="376870511"/>
      </c:lineChart>
      <c:catAx>
        <c:axId val="1047680575"/>
        <c:scaling>
          <c:orientation val="minMax"/>
        </c:scaling>
        <c:delete val="0"/>
        <c:axPos val="b"/>
        <c:numFmt formatCode="General" sourceLinked="1"/>
        <c:majorTickMark val="none"/>
        <c:minorTickMark val="none"/>
        <c:tickLblPos val="low"/>
        <c:spPr>
          <a:ln w="3175">
            <a:solidFill>
              <a:srgbClr val="000000"/>
            </a:solidFill>
            <a:prstDash val="solid"/>
          </a:ln>
        </c:spPr>
        <c:txPr>
          <a:bodyPr rot="-5400000" vert="horz"/>
          <a:lstStyle/>
          <a:p>
            <a:pPr>
              <a:defRPr sz="3200" b="0" i="0" u="none" strike="noStrike" baseline="0">
                <a:solidFill>
                  <a:srgbClr val="000000"/>
                </a:solidFill>
                <a:latin typeface="Arial"/>
                <a:ea typeface="Arial"/>
                <a:cs typeface="Arial"/>
              </a:defRPr>
            </a:pPr>
            <a:endParaRPr lang="en-US"/>
          </a:p>
        </c:txPr>
        <c:crossAx val="1"/>
        <c:crosses val="autoZero"/>
        <c:auto val="1"/>
        <c:lblAlgn val="ctr"/>
        <c:lblOffset val="100"/>
        <c:noMultiLvlLbl val="0"/>
      </c:catAx>
      <c:valAx>
        <c:axId val="1"/>
        <c:scaling>
          <c:orientation val="minMax"/>
        </c:scaling>
        <c:delete val="0"/>
        <c:axPos val="l"/>
        <c:numFmt formatCode="#,##0" sourceLinked="0"/>
        <c:majorTickMark val="none"/>
        <c:minorTickMark val="none"/>
        <c:tickLblPos val="nextTo"/>
        <c:spPr>
          <a:ln w="6350">
            <a:noFill/>
          </a:ln>
        </c:spPr>
        <c:txPr>
          <a:bodyPr rot="0" vert="horz"/>
          <a:lstStyle/>
          <a:p>
            <a:pPr>
              <a:defRPr sz="3200" b="0" i="0" u="none" strike="noStrike" baseline="0">
                <a:solidFill>
                  <a:srgbClr val="000000"/>
                </a:solidFill>
                <a:latin typeface="Arial"/>
                <a:ea typeface="Arial"/>
                <a:cs typeface="Arial"/>
              </a:defRPr>
            </a:pPr>
            <a:endParaRPr lang="en-US"/>
          </a:p>
        </c:txPr>
        <c:crossAx val="1047680575"/>
        <c:crosses val="autoZero"/>
        <c:crossBetween val="between"/>
        <c:majorUnit val="50"/>
      </c:valAx>
      <c:valAx>
        <c:axId val="376870511"/>
        <c:scaling>
          <c:orientation val="minMax"/>
        </c:scaling>
        <c:delete val="0"/>
        <c:axPos val="r"/>
        <c:numFmt formatCode="0" sourceLinked="0"/>
        <c:majorTickMark val="none"/>
        <c:minorTickMark val="none"/>
        <c:tickLblPos val="nextTo"/>
        <c:spPr>
          <a:noFill/>
          <a:ln>
            <a:noFill/>
          </a:ln>
        </c:spPr>
        <c:txPr>
          <a:bodyPr/>
          <a:lstStyle/>
          <a:p>
            <a:pPr>
              <a:defRPr sz="3200">
                <a:latin typeface="Arial" panose="020B0604020202020204" pitchFamily="34" charset="0"/>
                <a:cs typeface="Arial" panose="020B0604020202020204" pitchFamily="34" charset="0"/>
              </a:defRPr>
            </a:pPr>
            <a:endParaRPr lang="en-US"/>
          </a:p>
        </c:txPr>
        <c:crossAx val="1047741823"/>
        <c:crosses val="max"/>
        <c:crossBetween val="between"/>
      </c:valAx>
      <c:catAx>
        <c:axId val="1047741823"/>
        <c:scaling>
          <c:orientation val="minMax"/>
        </c:scaling>
        <c:delete val="1"/>
        <c:axPos val="b"/>
        <c:numFmt formatCode="General" sourceLinked="1"/>
        <c:majorTickMark val="out"/>
        <c:minorTickMark val="none"/>
        <c:tickLblPos val="nextTo"/>
        <c:crossAx val="376870511"/>
        <c:crosses val="autoZero"/>
        <c:auto val="1"/>
        <c:lblAlgn val="ctr"/>
        <c:lblOffset val="100"/>
        <c:noMultiLvlLbl val="0"/>
      </c:catAx>
      <c:spPr>
        <a:noFill/>
        <a:ln w="25400">
          <a:noFill/>
        </a:ln>
      </c:spPr>
    </c:plotArea>
    <c:legend>
      <c:legendPos val="r"/>
      <c:legendEntry>
        <c:idx val="2"/>
        <c:delete val="1"/>
      </c:legendEntry>
      <c:legendEntry>
        <c:idx val="3"/>
        <c:delete val="1"/>
      </c:legendEntry>
      <c:layout>
        <c:manualLayout>
          <c:xMode val="edge"/>
          <c:yMode val="edge"/>
          <c:x val="1.1267497812773404E-2"/>
          <c:y val="9.7901482889084984E-2"/>
          <c:w val="0.98873250218722641"/>
          <c:h val="0.1577723826188393"/>
        </c:manualLayout>
      </c:layout>
      <c:overlay val="0"/>
      <c:txPr>
        <a:bodyPr/>
        <a:lstStyle/>
        <a:p>
          <a:pPr>
            <a:defRPr sz="32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2"/>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strRef>
              <c:f>'1.14B'!$R$4</c:f>
              <c:strCache>
                <c:ptCount val="1"/>
                <c:pt idx="0">
                  <c:v>EMDEs</c:v>
                </c:pt>
              </c:strCache>
            </c:strRef>
          </c:tx>
          <c:spPr>
            <a:solidFill>
              <a:schemeClr val="tx2"/>
            </a:solidFill>
            <a:ln w="50800">
              <a:noFill/>
            </a:ln>
            <a:effectLst/>
          </c:spPr>
          <c:invertIfNegative val="0"/>
          <c:errBars>
            <c:errBarType val="both"/>
            <c:errValType val="cust"/>
            <c:noEndCap val="0"/>
            <c:plus>
              <c:numLit>
                <c:formatCode>General</c:formatCode>
                <c:ptCount val="2"/>
                <c:pt idx="0">
                  <c:v>4.834559440612793</c:v>
                </c:pt>
                <c:pt idx="1">
                  <c:v>8.8386144638061523</c:v>
                </c:pt>
              </c:numLit>
            </c:plus>
            <c:minus>
              <c:numLit>
                <c:formatCode>General</c:formatCode>
                <c:ptCount val="2"/>
                <c:pt idx="0">
                  <c:v>6.0302621424198151</c:v>
                </c:pt>
                <c:pt idx="1">
                  <c:v>10.036763653159142</c:v>
                </c:pt>
              </c:numLit>
            </c:minus>
            <c:spPr>
              <a:noFill/>
              <a:ln w="76200" cap="rnd" cmpd="sng" algn="ctr">
                <a:solidFill>
                  <a:schemeClr val="accent2"/>
                </a:solidFill>
                <a:round/>
              </a:ln>
              <a:effectLst/>
            </c:spPr>
          </c:errBars>
          <c:cat>
            <c:strRef>
              <c:f>'1.14B'!$S$3:$T$3</c:f>
              <c:strCache>
                <c:ptCount val="2"/>
                <c:pt idx="0">
                  <c:v>Annual sales growth</c:v>
                </c:pt>
                <c:pt idx="1">
                  <c:v>Annual employment growth</c:v>
                </c:pt>
              </c:strCache>
            </c:strRef>
          </c:cat>
          <c:val>
            <c:numRef>
              <c:f>'1.14B'!$S$4:$T$4</c:f>
              <c:numCache>
                <c:formatCode>0.0</c:formatCode>
                <c:ptCount val="2"/>
                <c:pt idx="0">
                  <c:v>6.3</c:v>
                </c:pt>
                <c:pt idx="1">
                  <c:v>9.9</c:v>
                </c:pt>
              </c:numCache>
            </c:numRef>
          </c:val>
          <c:extLst>
            <c:ext xmlns:c16="http://schemas.microsoft.com/office/drawing/2014/chart" uri="{C3380CC4-5D6E-409C-BE32-E72D297353CC}">
              <c16:uniqueId val="{00000000-F24C-4EC1-B9C2-4505E03EBF27}"/>
            </c:ext>
          </c:extLst>
        </c:ser>
        <c:ser>
          <c:idx val="1"/>
          <c:order val="1"/>
          <c:tx>
            <c:strRef>
              <c:f>'1.14B'!$R$5</c:f>
              <c:strCache>
                <c:ptCount val="1"/>
                <c:pt idx="0">
                  <c:v>SAR</c:v>
                </c:pt>
              </c:strCache>
            </c:strRef>
          </c:tx>
          <c:spPr>
            <a:solidFill>
              <a:srgbClr val="EB1C2D"/>
            </a:solidFill>
            <a:ln w="50800">
              <a:solidFill>
                <a:srgbClr val="EB1C2D"/>
              </a:solidFill>
            </a:ln>
            <a:effectLst/>
          </c:spPr>
          <c:invertIfNegative val="0"/>
          <c:errBars>
            <c:errBarType val="both"/>
            <c:errValType val="cust"/>
            <c:noEndCap val="0"/>
            <c:plus>
              <c:numLit>
                <c:formatCode>General</c:formatCode>
                <c:ptCount val="2"/>
                <c:pt idx="0">
                  <c:v>1.0662064552307129</c:v>
                </c:pt>
                <c:pt idx="1">
                  <c:v>0.5661468505859375</c:v>
                </c:pt>
              </c:numLit>
            </c:plus>
            <c:minus>
              <c:numLit>
                <c:formatCode>General</c:formatCode>
                <c:ptCount val="2"/>
                <c:pt idx="0">
                  <c:v>11.541724681854248</c:v>
                </c:pt>
                <c:pt idx="1">
                  <c:v>14.953771591186523</c:v>
                </c:pt>
              </c:numLit>
            </c:minus>
            <c:spPr>
              <a:ln w="76200" cap="rnd">
                <a:solidFill>
                  <a:schemeClr val="accent2"/>
                </a:solidFill>
              </a:ln>
            </c:spPr>
          </c:errBars>
          <c:cat>
            <c:strRef>
              <c:f>'1.14B'!$S$3:$T$3</c:f>
              <c:strCache>
                <c:ptCount val="2"/>
                <c:pt idx="0">
                  <c:v>Annual sales growth</c:v>
                </c:pt>
                <c:pt idx="1">
                  <c:v>Annual employment growth</c:v>
                </c:pt>
              </c:strCache>
            </c:strRef>
          </c:cat>
          <c:val>
            <c:numRef>
              <c:f>'1.14B'!$S$5:$T$5</c:f>
              <c:numCache>
                <c:formatCode>0.0</c:formatCode>
                <c:ptCount val="2"/>
                <c:pt idx="0">
                  <c:v>3.7</c:v>
                </c:pt>
                <c:pt idx="1">
                  <c:v>7.2</c:v>
                </c:pt>
              </c:numCache>
            </c:numRef>
          </c:val>
          <c:extLst>
            <c:ext xmlns:c16="http://schemas.microsoft.com/office/drawing/2014/chart" uri="{C3380CC4-5D6E-409C-BE32-E72D297353CC}">
              <c16:uniqueId val="{00000001-F24C-4EC1-B9C2-4505E03EBF27}"/>
            </c:ext>
          </c:extLst>
        </c:ser>
        <c:dLbls>
          <c:showLegendKey val="0"/>
          <c:showVal val="0"/>
          <c:showCatName val="0"/>
          <c:showSerName val="0"/>
          <c:showPercent val="0"/>
          <c:showBubbleSize val="0"/>
        </c:dLbls>
        <c:gapWidth val="219"/>
        <c:overlap val="-27"/>
        <c:axId val="1047686143"/>
        <c:axId val="1"/>
      </c:barChart>
      <c:catAx>
        <c:axId val="1047686143"/>
        <c:scaling>
          <c:orientation val="minMax"/>
        </c:scaling>
        <c:delete val="0"/>
        <c:axPos val="b"/>
        <c:numFmt formatCode="General" sourceLinked="1"/>
        <c:majorTickMark val="none"/>
        <c:minorTickMark val="none"/>
        <c:tickLblPos val="low"/>
        <c:spPr>
          <a:ln w="3175">
            <a:solidFill>
              <a:srgbClr val="000000"/>
            </a:solidFill>
            <a:prstDash val="solid"/>
          </a:ln>
        </c:spPr>
        <c:txPr>
          <a:bodyPr rot="0" vert="horz"/>
          <a:lstStyle/>
          <a:p>
            <a:pPr>
              <a:defRPr sz="3200" b="0" i="0" u="none" strike="noStrike" baseline="0">
                <a:solidFill>
                  <a:srgbClr val="000000"/>
                </a:solidFill>
                <a:latin typeface="Arial"/>
                <a:ea typeface="Arial"/>
                <a:cs typeface="Arial"/>
              </a:defRPr>
            </a:pPr>
            <a:endParaRPr lang="en-US"/>
          </a:p>
        </c:txPr>
        <c:crossAx val="1"/>
        <c:crosses val="autoZero"/>
        <c:auto val="1"/>
        <c:lblAlgn val="ctr"/>
        <c:lblOffset val="100"/>
        <c:noMultiLvlLbl val="0"/>
      </c:catAx>
      <c:valAx>
        <c:axId val="1"/>
        <c:scaling>
          <c:orientation val="minMax"/>
          <c:max val="20"/>
        </c:scaling>
        <c:delete val="0"/>
        <c:axPos val="l"/>
        <c:numFmt formatCode="#,##0" sourceLinked="0"/>
        <c:majorTickMark val="none"/>
        <c:minorTickMark val="none"/>
        <c:tickLblPos val="nextTo"/>
        <c:spPr>
          <a:ln w="6350">
            <a:noFill/>
          </a:ln>
        </c:spPr>
        <c:txPr>
          <a:bodyPr rot="0" vert="horz"/>
          <a:lstStyle/>
          <a:p>
            <a:pPr>
              <a:defRPr sz="3200" b="0" i="0" u="none" strike="noStrike" baseline="0">
                <a:solidFill>
                  <a:srgbClr val="000000"/>
                </a:solidFill>
                <a:latin typeface="Arial"/>
                <a:ea typeface="Arial"/>
                <a:cs typeface="Arial"/>
              </a:defRPr>
            </a:pPr>
            <a:endParaRPr lang="en-US"/>
          </a:p>
        </c:txPr>
        <c:crossAx val="1047686143"/>
        <c:crosses val="autoZero"/>
        <c:crossBetween val="between"/>
      </c:valAx>
      <c:spPr>
        <a:noFill/>
        <a:ln w="25400">
          <a:noFill/>
        </a:ln>
      </c:spPr>
    </c:plotArea>
    <c:legend>
      <c:legendPos val="t"/>
      <c:layout>
        <c:manualLayout>
          <c:xMode val="edge"/>
          <c:yMode val="edge"/>
          <c:x val="0.29795975503062117"/>
          <c:y val="7.3963983668708086E-2"/>
          <c:w val="0.39590771125676327"/>
          <c:h val="7.4773383773955621E-2"/>
        </c:manualLayout>
      </c:layout>
      <c:overlay val="0"/>
      <c:spPr>
        <a:noFill/>
        <a:ln w="25400">
          <a:noFill/>
        </a:ln>
      </c:spPr>
      <c:txPr>
        <a:bodyPr/>
        <a:lstStyle/>
        <a:p>
          <a:pPr>
            <a:defRPr sz="294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2"/>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155543061853748E-2"/>
          <c:y val="0.12384620373208756"/>
          <c:w val="0.91299622074001263"/>
          <c:h val="0.76084159240383586"/>
        </c:manualLayout>
      </c:layout>
      <c:barChart>
        <c:barDir val="col"/>
        <c:grouping val="clustered"/>
        <c:varyColors val="0"/>
        <c:ser>
          <c:idx val="0"/>
          <c:order val="0"/>
          <c:tx>
            <c:strRef>
              <c:f>'1.14C'!$R$5</c:f>
              <c:strCache>
                <c:ptCount val="1"/>
                <c:pt idx="0">
                  <c:v>Other EMDEs</c:v>
                </c:pt>
              </c:strCache>
            </c:strRef>
          </c:tx>
          <c:spPr>
            <a:solidFill>
              <a:srgbClr val="002345"/>
            </a:solidFill>
            <a:ln w="50800">
              <a:noFill/>
            </a:ln>
            <a:effectLst/>
          </c:spPr>
          <c:invertIfNegative val="0"/>
          <c:errBars>
            <c:errBarType val="both"/>
            <c:errValType val="cust"/>
            <c:noEndCap val="0"/>
            <c:plus>
              <c:numRef>
                <c:f>'1.14C'!$W$5:$X$5</c:f>
                <c:numCache>
                  <c:formatCode>General</c:formatCode>
                  <c:ptCount val="2"/>
                  <c:pt idx="0">
                    <c:v>1.9</c:v>
                  </c:pt>
                  <c:pt idx="1">
                    <c:v>0.6</c:v>
                  </c:pt>
                </c:numCache>
              </c:numRef>
            </c:plus>
            <c:minus>
              <c:numRef>
                <c:f>'1.14C'!$U$5:$V$5</c:f>
                <c:numCache>
                  <c:formatCode>General</c:formatCode>
                  <c:ptCount val="2"/>
                  <c:pt idx="0">
                    <c:v>1.1000000000000001</c:v>
                  </c:pt>
                  <c:pt idx="1">
                    <c:v>0.2</c:v>
                  </c:pt>
                </c:numCache>
              </c:numRef>
            </c:minus>
            <c:spPr>
              <a:noFill/>
              <a:ln w="76200" cap="sq" cmpd="sng" algn="ctr">
                <a:solidFill>
                  <a:schemeClr val="accent2"/>
                </a:solidFill>
                <a:round/>
              </a:ln>
              <a:effectLst/>
            </c:spPr>
          </c:errBars>
          <c:cat>
            <c:strRef>
              <c:f>'1.14C'!$S$4:$T$4</c:f>
              <c:strCache>
                <c:ptCount val="2"/>
                <c:pt idx="0">
                  <c:v>New business</c:v>
                </c:pt>
                <c:pt idx="1">
                  <c:v>Firm exit</c:v>
                </c:pt>
              </c:strCache>
            </c:strRef>
          </c:cat>
          <c:val>
            <c:numRef>
              <c:f>'1.14C'!$S$5:$T$5</c:f>
              <c:numCache>
                <c:formatCode>General</c:formatCode>
                <c:ptCount val="2"/>
                <c:pt idx="0">
                  <c:v>1.8</c:v>
                </c:pt>
                <c:pt idx="1">
                  <c:v>0.2</c:v>
                </c:pt>
              </c:numCache>
            </c:numRef>
          </c:val>
          <c:extLst>
            <c:ext xmlns:c16="http://schemas.microsoft.com/office/drawing/2014/chart" uri="{C3380CC4-5D6E-409C-BE32-E72D297353CC}">
              <c16:uniqueId val="{00000000-AA55-4E56-8782-9A7EE755EB06}"/>
            </c:ext>
          </c:extLst>
        </c:ser>
        <c:ser>
          <c:idx val="1"/>
          <c:order val="1"/>
          <c:tx>
            <c:strRef>
              <c:f>'1.14C'!$R$6</c:f>
              <c:strCache>
                <c:ptCount val="1"/>
                <c:pt idx="0">
                  <c:v>SAR</c:v>
                </c:pt>
              </c:strCache>
            </c:strRef>
          </c:tx>
          <c:spPr>
            <a:solidFill>
              <a:srgbClr val="EB1C2D"/>
            </a:solidFill>
            <a:ln w="50800">
              <a:noFill/>
            </a:ln>
            <a:effectLst/>
          </c:spPr>
          <c:invertIfNegative val="0"/>
          <c:errBars>
            <c:errBarType val="both"/>
            <c:errValType val="cust"/>
            <c:noEndCap val="0"/>
            <c:plus>
              <c:numRef>
                <c:f>'1.14C'!$W$6:$X$6</c:f>
                <c:numCache>
                  <c:formatCode>General</c:formatCode>
                  <c:ptCount val="2"/>
                  <c:pt idx="0">
                    <c:v>3.5</c:v>
                  </c:pt>
                  <c:pt idx="1">
                    <c:v>0.1</c:v>
                  </c:pt>
                </c:numCache>
              </c:numRef>
            </c:plus>
            <c:minus>
              <c:numRef>
                <c:f>'1.14C'!$U$6:$V$6</c:f>
                <c:numCache>
                  <c:formatCode>General</c:formatCode>
                  <c:ptCount val="2"/>
                  <c:pt idx="0">
                    <c:v>0.6</c:v>
                  </c:pt>
                  <c:pt idx="1">
                    <c:v>0.1</c:v>
                  </c:pt>
                </c:numCache>
              </c:numRef>
            </c:minus>
            <c:spPr>
              <a:noFill/>
              <a:ln w="76200" cap="sq" cmpd="sng" algn="ctr">
                <a:solidFill>
                  <a:schemeClr val="accent2"/>
                </a:solidFill>
                <a:round/>
              </a:ln>
              <a:effectLst/>
            </c:spPr>
          </c:errBars>
          <c:cat>
            <c:strRef>
              <c:f>'1.14C'!$S$4:$T$4</c:f>
              <c:strCache>
                <c:ptCount val="2"/>
                <c:pt idx="0">
                  <c:v>New business</c:v>
                </c:pt>
                <c:pt idx="1">
                  <c:v>Firm exit</c:v>
                </c:pt>
              </c:strCache>
            </c:strRef>
          </c:cat>
          <c:val>
            <c:numRef>
              <c:f>'1.14C'!$S$6:$T$6</c:f>
              <c:numCache>
                <c:formatCode>General</c:formatCode>
                <c:ptCount val="2"/>
                <c:pt idx="0">
                  <c:v>0.7</c:v>
                </c:pt>
                <c:pt idx="1">
                  <c:v>0.1</c:v>
                </c:pt>
              </c:numCache>
            </c:numRef>
          </c:val>
          <c:extLst>
            <c:ext xmlns:c16="http://schemas.microsoft.com/office/drawing/2014/chart" uri="{C3380CC4-5D6E-409C-BE32-E72D297353CC}">
              <c16:uniqueId val="{00000001-AA55-4E56-8782-9A7EE755EB06}"/>
            </c:ext>
          </c:extLst>
        </c:ser>
        <c:dLbls>
          <c:showLegendKey val="0"/>
          <c:showVal val="0"/>
          <c:showCatName val="0"/>
          <c:showSerName val="0"/>
          <c:showPercent val="0"/>
          <c:showBubbleSize val="0"/>
        </c:dLbls>
        <c:gapWidth val="219"/>
        <c:overlap val="-27"/>
        <c:axId val="110110879"/>
        <c:axId val="1546964255"/>
      </c:barChart>
      <c:catAx>
        <c:axId val="11011087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46964255"/>
        <c:crosses val="autoZero"/>
        <c:auto val="1"/>
        <c:lblAlgn val="ctr"/>
        <c:lblOffset val="100"/>
        <c:noMultiLvlLbl val="0"/>
      </c:catAx>
      <c:valAx>
        <c:axId val="1546964255"/>
        <c:scaling>
          <c:orientation val="minMax"/>
          <c:max val="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0110879"/>
        <c:crosses val="autoZero"/>
        <c:crossBetween val="between"/>
        <c:majorUnit val="1"/>
      </c:valAx>
      <c:spPr>
        <a:noFill/>
        <a:ln w="25400">
          <a:noFill/>
        </a:ln>
        <a:effectLst/>
      </c:spPr>
    </c:plotArea>
    <c:legend>
      <c:legendPos val="t"/>
      <c:layout>
        <c:manualLayout>
          <c:xMode val="edge"/>
          <c:yMode val="edge"/>
          <c:x val="0.27889660743292621"/>
          <c:y val="0.1353292424377045"/>
          <c:w val="0.54136846022384211"/>
          <c:h val="7.6058650137067446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534243839718988E-2"/>
          <c:y val="0.13125396280466961"/>
          <c:w val="0.83368430087621292"/>
          <c:h val="0.6956594658379206"/>
        </c:manualLayout>
      </c:layout>
      <c:barChart>
        <c:barDir val="col"/>
        <c:grouping val="clustered"/>
        <c:varyColors val="0"/>
        <c:ser>
          <c:idx val="0"/>
          <c:order val="0"/>
          <c:tx>
            <c:strRef>
              <c:f>'1.14D'!$S$3</c:f>
              <c:strCache>
                <c:ptCount val="1"/>
                <c:pt idx="0">
                  <c:v>Average applied tariff</c:v>
                </c:pt>
              </c:strCache>
            </c:strRef>
          </c:tx>
          <c:spPr>
            <a:solidFill>
              <a:srgbClr val="002345"/>
            </a:solidFill>
            <a:ln w="50800">
              <a:noFill/>
            </a:ln>
            <a:effectLst/>
          </c:spPr>
          <c:invertIfNegative val="0"/>
          <c:cat>
            <c:strRef>
              <c:extLst>
                <c:ext xmlns:c15="http://schemas.microsoft.com/office/drawing/2012/chart" uri="{02D57815-91ED-43cb-92C2-25804820EDAC}">
                  <c15:fullRef>
                    <c15:sqref>'1.14D'!$R$4:$R$14</c15:sqref>
                  </c15:fullRef>
                </c:ext>
              </c:extLst>
              <c:f>('1.14D'!$R$4:$R$5,'1.14D'!$R$7:$R$9,'1.14D'!$R$11:$R$13)</c:f>
              <c:strCache>
                <c:ptCount val="8"/>
                <c:pt idx="0">
                  <c:v>NPL</c:v>
                </c:pt>
                <c:pt idx="1">
                  <c:v>BGD</c:v>
                </c:pt>
                <c:pt idx="2">
                  <c:v>PAK</c:v>
                </c:pt>
                <c:pt idx="3">
                  <c:v>IND</c:v>
                </c:pt>
                <c:pt idx="4">
                  <c:v>LKA</c:v>
                </c:pt>
                <c:pt idx="5">
                  <c:v>IND</c:v>
                </c:pt>
                <c:pt idx="6">
                  <c:v>LKA</c:v>
                </c:pt>
                <c:pt idx="7">
                  <c:v>BGD</c:v>
                </c:pt>
              </c:strCache>
            </c:strRef>
          </c:cat>
          <c:val>
            <c:numRef>
              <c:extLst>
                <c:ext xmlns:c15="http://schemas.microsoft.com/office/drawing/2012/chart" uri="{02D57815-91ED-43cb-92C2-25804820EDAC}">
                  <c15:fullRef>
                    <c15:sqref>'1.14D'!$S$4:$S$14</c15:sqref>
                  </c15:fullRef>
                </c:ext>
              </c:extLst>
              <c:f>('1.14D'!$S$4:$S$5,'1.14D'!$S$7:$S$9,'1.14D'!$S$11:$S$13)</c:f>
              <c:numCache>
                <c:formatCode>0.00</c:formatCode>
                <c:ptCount val="8"/>
                <c:pt idx="0">
                  <c:v>11.99</c:v>
                </c:pt>
                <c:pt idx="1">
                  <c:v>10.95</c:v>
                </c:pt>
                <c:pt idx="2">
                  <c:v>9.0299999999999994</c:v>
                </c:pt>
                <c:pt idx="3">
                  <c:v>5.87</c:v>
                </c:pt>
                <c:pt idx="4">
                  <c:v>4.3600000000000003</c:v>
                </c:pt>
              </c:numCache>
            </c:numRef>
          </c:val>
          <c:extLst>
            <c:ext xmlns:c16="http://schemas.microsoft.com/office/drawing/2014/chart" uri="{C3380CC4-5D6E-409C-BE32-E72D297353CC}">
              <c16:uniqueId val="{00000000-F339-49A2-AA27-6B5D774CB3E4}"/>
            </c:ext>
          </c:extLst>
        </c:ser>
        <c:dLbls>
          <c:showLegendKey val="0"/>
          <c:showVal val="0"/>
          <c:showCatName val="0"/>
          <c:showSerName val="0"/>
          <c:showPercent val="0"/>
          <c:showBubbleSize val="0"/>
        </c:dLbls>
        <c:gapWidth val="150"/>
        <c:axId val="1019235183"/>
        <c:axId val="1476074544"/>
      </c:barChart>
      <c:barChart>
        <c:barDir val="col"/>
        <c:grouping val="clustered"/>
        <c:varyColors val="0"/>
        <c:ser>
          <c:idx val="2"/>
          <c:order val="2"/>
          <c:tx>
            <c:strRef>
              <c:f>'1.14D'!$U$3</c:f>
              <c:strCache>
                <c:ptCount val="1"/>
                <c:pt idx="0">
                  <c:v>Logistic Performance Index (RHS)</c:v>
                </c:pt>
              </c:strCache>
            </c:strRef>
          </c:tx>
          <c:spPr>
            <a:solidFill>
              <a:schemeClr val="bg2"/>
            </a:solidFill>
            <a:ln w="50800">
              <a:noFill/>
            </a:ln>
            <a:effectLst/>
          </c:spPr>
          <c:invertIfNegative val="0"/>
          <c:cat>
            <c:strRef>
              <c:extLst>
                <c:ext xmlns:c15="http://schemas.microsoft.com/office/drawing/2012/chart" uri="{02D57815-91ED-43cb-92C2-25804820EDAC}">
                  <c15:fullRef>
                    <c15:sqref>'1.14D'!$R$4:$R$14</c15:sqref>
                  </c15:fullRef>
                </c:ext>
              </c:extLst>
              <c:f>('1.14D'!$R$4:$R$5,'1.14D'!$R$7:$R$9,'1.14D'!$R$11:$R$13)</c:f>
              <c:strCache>
                <c:ptCount val="8"/>
                <c:pt idx="0">
                  <c:v>NPL</c:v>
                </c:pt>
                <c:pt idx="1">
                  <c:v>BGD</c:v>
                </c:pt>
                <c:pt idx="2">
                  <c:v>PAK</c:v>
                </c:pt>
                <c:pt idx="3">
                  <c:v>IND</c:v>
                </c:pt>
                <c:pt idx="4">
                  <c:v>LKA</c:v>
                </c:pt>
                <c:pt idx="5">
                  <c:v>IND</c:v>
                </c:pt>
                <c:pt idx="6">
                  <c:v>LKA</c:v>
                </c:pt>
                <c:pt idx="7">
                  <c:v>BGD</c:v>
                </c:pt>
              </c:strCache>
            </c:strRef>
          </c:cat>
          <c:val>
            <c:numRef>
              <c:extLst>
                <c:ext xmlns:c15="http://schemas.microsoft.com/office/drawing/2012/chart" uri="{02D57815-91ED-43cb-92C2-25804820EDAC}">
                  <c15:fullRef>
                    <c15:sqref>'1.14D'!$U$4:$U$14</c15:sqref>
                  </c15:fullRef>
                </c:ext>
              </c:extLst>
              <c:f>('1.14D'!$U$4:$U$5,'1.14D'!$U$7:$U$9,'1.14D'!$U$11:$U$13)</c:f>
              <c:numCache>
                <c:formatCode>0.00</c:formatCode>
                <c:ptCount val="8"/>
                <c:pt idx="5">
                  <c:v>3.4</c:v>
                </c:pt>
                <c:pt idx="6">
                  <c:v>2.8</c:v>
                </c:pt>
                <c:pt idx="7">
                  <c:v>2.6</c:v>
                </c:pt>
              </c:numCache>
            </c:numRef>
          </c:val>
          <c:extLst>
            <c:ext xmlns:c16="http://schemas.microsoft.com/office/drawing/2014/chart" uri="{C3380CC4-5D6E-409C-BE32-E72D297353CC}">
              <c16:uniqueId val="{00000001-F339-49A2-AA27-6B5D774CB3E4}"/>
            </c:ext>
          </c:extLst>
        </c:ser>
        <c:dLbls>
          <c:showLegendKey val="0"/>
          <c:showVal val="0"/>
          <c:showCatName val="0"/>
          <c:showSerName val="0"/>
          <c:showPercent val="0"/>
          <c:showBubbleSize val="0"/>
        </c:dLbls>
        <c:gapWidth val="150"/>
        <c:axId val="245765679"/>
        <c:axId val="237469072"/>
      </c:barChart>
      <c:lineChart>
        <c:grouping val="standard"/>
        <c:varyColors val="0"/>
        <c:ser>
          <c:idx val="1"/>
          <c:order val="1"/>
          <c:tx>
            <c:strRef>
              <c:f>'1.14D'!$T$3</c:f>
              <c:strCache>
                <c:ptCount val="1"/>
                <c:pt idx="0">
                  <c:v>Median</c:v>
                </c:pt>
              </c:strCache>
            </c:strRef>
          </c:tx>
          <c:spPr>
            <a:ln w="76200" cap="rnd">
              <a:solidFill>
                <a:srgbClr val="EB1C2D"/>
              </a:solidFill>
              <a:round/>
            </a:ln>
            <a:effectLst/>
          </c:spPr>
          <c:marker>
            <c:symbol val="none"/>
          </c:marker>
          <c:cat>
            <c:strRef>
              <c:extLst>
                <c:ext xmlns:c15="http://schemas.microsoft.com/office/drawing/2012/chart" uri="{02D57815-91ED-43cb-92C2-25804820EDAC}">
                  <c15:fullRef>
                    <c15:sqref>'1.14D'!$R$4:$R$14</c15:sqref>
                  </c15:fullRef>
                </c:ext>
              </c:extLst>
              <c:f>('1.14D'!$R$4:$R$5,'1.14D'!$R$7:$R$9,'1.14D'!$R$11:$R$13)</c:f>
              <c:strCache>
                <c:ptCount val="8"/>
                <c:pt idx="0">
                  <c:v>NPL</c:v>
                </c:pt>
                <c:pt idx="1">
                  <c:v>BGD</c:v>
                </c:pt>
                <c:pt idx="2">
                  <c:v>PAK</c:v>
                </c:pt>
                <c:pt idx="3">
                  <c:v>IND</c:v>
                </c:pt>
                <c:pt idx="4">
                  <c:v>LKA</c:v>
                </c:pt>
                <c:pt idx="5">
                  <c:v>IND</c:v>
                </c:pt>
                <c:pt idx="6">
                  <c:v>LKA</c:v>
                </c:pt>
                <c:pt idx="7">
                  <c:v>BGD</c:v>
                </c:pt>
              </c:strCache>
            </c:strRef>
          </c:cat>
          <c:val>
            <c:numRef>
              <c:extLst>
                <c:ext xmlns:c15="http://schemas.microsoft.com/office/drawing/2012/chart" uri="{02D57815-91ED-43cb-92C2-25804820EDAC}">
                  <c15:fullRef>
                    <c15:sqref>'1.14D'!$T$4:$T$14</c15:sqref>
                  </c15:fullRef>
                </c:ext>
              </c:extLst>
              <c:f>('1.14D'!$T$4:$T$5,'1.14D'!$T$7:$T$9,'1.14D'!$T$11:$T$13)</c:f>
              <c:numCache>
                <c:formatCode>0.00</c:formatCode>
                <c:ptCount val="8"/>
                <c:pt idx="0">
                  <c:v>4.34</c:v>
                </c:pt>
                <c:pt idx="1">
                  <c:v>4.34</c:v>
                </c:pt>
                <c:pt idx="2">
                  <c:v>4.34</c:v>
                </c:pt>
                <c:pt idx="3">
                  <c:v>4.34</c:v>
                </c:pt>
                <c:pt idx="4">
                  <c:v>4.34</c:v>
                </c:pt>
              </c:numCache>
            </c:numRef>
          </c:val>
          <c:smooth val="0"/>
          <c:extLst>
            <c:ext xmlns:c16="http://schemas.microsoft.com/office/drawing/2014/chart" uri="{C3380CC4-5D6E-409C-BE32-E72D297353CC}">
              <c16:uniqueId val="{00000002-F339-49A2-AA27-6B5D774CB3E4}"/>
            </c:ext>
          </c:extLst>
        </c:ser>
        <c:dLbls>
          <c:showLegendKey val="0"/>
          <c:showVal val="0"/>
          <c:showCatName val="0"/>
          <c:showSerName val="0"/>
          <c:showPercent val="0"/>
          <c:showBubbleSize val="0"/>
        </c:dLbls>
        <c:marker val="1"/>
        <c:smooth val="0"/>
        <c:axId val="1019235183"/>
        <c:axId val="1476074544"/>
      </c:lineChart>
      <c:lineChart>
        <c:grouping val="standard"/>
        <c:varyColors val="0"/>
        <c:ser>
          <c:idx val="3"/>
          <c:order val="3"/>
          <c:tx>
            <c:strRef>
              <c:f>'1.14D'!$V$3</c:f>
              <c:strCache>
                <c:ptCount val="1"/>
                <c:pt idx="0">
                  <c:v>Median</c:v>
                </c:pt>
              </c:strCache>
            </c:strRef>
          </c:tx>
          <c:spPr>
            <a:ln w="76200" cap="rnd">
              <a:solidFill>
                <a:schemeClr val="tx2"/>
              </a:solidFill>
              <a:round/>
            </a:ln>
            <a:effectLst/>
          </c:spPr>
          <c:marker>
            <c:symbol val="none"/>
          </c:marker>
          <c:cat>
            <c:strRef>
              <c:extLst>
                <c:ext xmlns:c15="http://schemas.microsoft.com/office/drawing/2012/chart" uri="{02D57815-91ED-43cb-92C2-25804820EDAC}">
                  <c15:fullRef>
                    <c15:sqref>'1.14D'!$R$4:$R$14</c15:sqref>
                  </c15:fullRef>
                </c:ext>
              </c:extLst>
              <c:f>('1.14D'!$R$4:$R$5,'1.14D'!$R$7:$R$9,'1.14D'!$R$11:$R$13)</c:f>
              <c:strCache>
                <c:ptCount val="8"/>
                <c:pt idx="0">
                  <c:v>NPL</c:v>
                </c:pt>
                <c:pt idx="1">
                  <c:v>BGD</c:v>
                </c:pt>
                <c:pt idx="2">
                  <c:v>PAK</c:v>
                </c:pt>
                <c:pt idx="3">
                  <c:v>IND</c:v>
                </c:pt>
                <c:pt idx="4">
                  <c:v>LKA</c:v>
                </c:pt>
                <c:pt idx="5">
                  <c:v>IND</c:v>
                </c:pt>
                <c:pt idx="6">
                  <c:v>LKA</c:v>
                </c:pt>
                <c:pt idx="7">
                  <c:v>BGD</c:v>
                </c:pt>
              </c:strCache>
            </c:strRef>
          </c:cat>
          <c:val>
            <c:numRef>
              <c:extLst>
                <c:ext xmlns:c15="http://schemas.microsoft.com/office/drawing/2012/chart" uri="{02D57815-91ED-43cb-92C2-25804820EDAC}">
                  <c15:fullRef>
                    <c15:sqref>'1.14D'!$V$4:$V$14</c15:sqref>
                  </c15:fullRef>
                </c:ext>
              </c:extLst>
              <c:f>('1.14D'!$V$4:$V$5,'1.14D'!$V$7:$V$9,'1.14D'!$V$11:$V$13)</c:f>
              <c:numCache>
                <c:formatCode>0.00</c:formatCode>
                <c:ptCount val="8"/>
                <c:pt idx="5">
                  <c:v>2.7</c:v>
                </c:pt>
                <c:pt idx="6">
                  <c:v>2.7</c:v>
                </c:pt>
                <c:pt idx="7">
                  <c:v>2.7</c:v>
                </c:pt>
              </c:numCache>
            </c:numRef>
          </c:val>
          <c:smooth val="0"/>
          <c:extLst>
            <c:ext xmlns:c16="http://schemas.microsoft.com/office/drawing/2014/chart" uri="{C3380CC4-5D6E-409C-BE32-E72D297353CC}">
              <c16:uniqueId val="{00000003-F339-49A2-AA27-6B5D774CB3E4}"/>
            </c:ext>
          </c:extLst>
        </c:ser>
        <c:dLbls>
          <c:showLegendKey val="0"/>
          <c:showVal val="0"/>
          <c:showCatName val="0"/>
          <c:showSerName val="0"/>
          <c:showPercent val="0"/>
          <c:showBubbleSize val="0"/>
        </c:dLbls>
        <c:marker val="1"/>
        <c:smooth val="0"/>
        <c:axId val="245765679"/>
        <c:axId val="237469072"/>
      </c:lineChart>
      <c:catAx>
        <c:axId val="101923518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476074544"/>
        <c:crosses val="autoZero"/>
        <c:auto val="1"/>
        <c:lblAlgn val="ctr"/>
        <c:lblOffset val="100"/>
        <c:noMultiLvlLbl val="0"/>
      </c:catAx>
      <c:valAx>
        <c:axId val="147607454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19235183"/>
        <c:crosses val="autoZero"/>
        <c:crossBetween val="between"/>
      </c:valAx>
      <c:valAx>
        <c:axId val="237469072"/>
        <c:scaling>
          <c:orientation val="minMax"/>
        </c:scaling>
        <c:delete val="0"/>
        <c:axPos val="r"/>
        <c:numFmt formatCode="0;[Red]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5765679"/>
        <c:crosses val="max"/>
        <c:crossBetween val="between"/>
        <c:majorUnit val="1"/>
      </c:valAx>
      <c:catAx>
        <c:axId val="245765679"/>
        <c:scaling>
          <c:orientation val="minMax"/>
        </c:scaling>
        <c:delete val="1"/>
        <c:axPos val="b"/>
        <c:numFmt formatCode="General" sourceLinked="1"/>
        <c:majorTickMark val="out"/>
        <c:minorTickMark val="none"/>
        <c:tickLblPos val="nextTo"/>
        <c:crossAx val="237469072"/>
        <c:crosses val="autoZero"/>
        <c:auto val="1"/>
        <c:lblAlgn val="ctr"/>
        <c:lblOffset val="100"/>
        <c:noMultiLvlLbl val="0"/>
      </c:catAx>
      <c:spPr>
        <a:noFill/>
        <a:ln w="25400">
          <a:noFill/>
        </a:ln>
        <a:effectLst/>
      </c:spPr>
    </c:plotArea>
    <c:legend>
      <c:legendPos val="t"/>
      <c:legendEntry>
        <c:idx val="2"/>
        <c:delete val="1"/>
      </c:legendEntry>
      <c:legendEntry>
        <c:idx val="3"/>
        <c:delete val="1"/>
      </c:legendEntry>
      <c:layout>
        <c:manualLayout>
          <c:xMode val="edge"/>
          <c:yMode val="edge"/>
          <c:x val="0.14507455180335926"/>
          <c:y val="4.6787555572360404E-2"/>
          <c:w val="0.80663557265889807"/>
          <c:h val="0.1612569146331490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5573191622198184E-2"/>
          <c:y val="0.13188680857025722"/>
          <c:w val="0.79220360935275247"/>
          <c:h val="0.51072295129775436"/>
        </c:manualLayout>
      </c:layout>
      <c:barChart>
        <c:barDir val="col"/>
        <c:grouping val="clustered"/>
        <c:varyColors val="0"/>
        <c:ser>
          <c:idx val="0"/>
          <c:order val="0"/>
          <c:tx>
            <c:strRef>
              <c:f>'1.14E'!$R$5</c:f>
              <c:strCache>
                <c:ptCount val="1"/>
                <c:pt idx="0">
                  <c:v>Other EMDEs</c:v>
                </c:pt>
              </c:strCache>
            </c:strRef>
          </c:tx>
          <c:spPr>
            <a:solidFill>
              <a:srgbClr val="002345"/>
            </a:solidFill>
            <a:ln w="50800">
              <a:noFill/>
            </a:ln>
            <a:effectLst/>
          </c:spPr>
          <c:invertIfNegative val="0"/>
          <c:cat>
            <c:multiLvlStrRef>
              <c:extLst>
                <c:ext xmlns:c15="http://schemas.microsoft.com/office/drawing/2012/chart" uri="{02D57815-91ED-43cb-92C2-25804820EDAC}">
                  <c15:fullRef>
                    <c15:sqref>'1.14E'!$S$3:$X$4</c15:sqref>
                  </c15:fullRef>
                </c:ext>
              </c:extLst>
              <c:f>('1.14E'!$S$3:$S$4,'1.14E'!$U$3:$U$4,'1.14E'!$W$3:$X$4)</c:f>
              <c:multiLvlStrCache>
                <c:ptCount val="4"/>
                <c:lvl>
                  <c:pt idx="0">
                    <c:v>Large</c:v>
                  </c:pt>
                  <c:pt idx="1">
                    <c:v>Young SMEs</c:v>
                  </c:pt>
                  <c:pt idx="2">
                    <c:v>Large</c:v>
                  </c:pt>
                  <c:pt idx="3">
                    <c:v>SMEs</c:v>
                  </c:pt>
                </c:lvl>
                <c:lvl>
                  <c:pt idx="0">
                    <c:v>Access to land as a major constraint</c:v>
                  </c:pt>
                  <c:pt idx="2">
                    <c:v>No access to foreign inputs (RHS)</c:v>
                  </c:pt>
                </c:lvl>
              </c:multiLvlStrCache>
            </c:multiLvlStrRef>
          </c:cat>
          <c:val>
            <c:numRef>
              <c:extLst>
                <c:ext xmlns:c15="http://schemas.microsoft.com/office/drawing/2012/chart" uri="{02D57815-91ED-43cb-92C2-25804820EDAC}">
                  <c15:fullRef>
                    <c15:sqref>'1.14E'!$S$5:$X$5</c15:sqref>
                  </c15:fullRef>
                </c:ext>
              </c:extLst>
              <c:f>('1.14E'!$S$5,'1.14E'!$U$5,'1.14E'!$W$5:$X$5)</c:f>
              <c:numCache>
                <c:formatCode>0.0</c:formatCode>
                <c:ptCount val="4"/>
                <c:pt idx="0">
                  <c:v>10.7</c:v>
                </c:pt>
                <c:pt idx="1">
                  <c:v>12.6</c:v>
                </c:pt>
              </c:numCache>
            </c:numRef>
          </c:val>
          <c:extLst>
            <c:ext xmlns:c16="http://schemas.microsoft.com/office/drawing/2014/chart" uri="{C3380CC4-5D6E-409C-BE32-E72D297353CC}">
              <c16:uniqueId val="{00000000-8A74-456F-939E-22A9B2DE0208}"/>
            </c:ext>
          </c:extLst>
        </c:ser>
        <c:ser>
          <c:idx val="1"/>
          <c:order val="1"/>
          <c:tx>
            <c:strRef>
              <c:f>'1.14E'!$R$6</c:f>
              <c:strCache>
                <c:ptCount val="1"/>
                <c:pt idx="0">
                  <c:v>SAR</c:v>
                </c:pt>
              </c:strCache>
            </c:strRef>
          </c:tx>
          <c:spPr>
            <a:solidFill>
              <a:srgbClr val="EB1C2D"/>
            </a:solidFill>
            <a:ln w="50800">
              <a:noFill/>
            </a:ln>
            <a:effectLst/>
          </c:spPr>
          <c:invertIfNegative val="0"/>
          <c:cat>
            <c:multiLvlStrRef>
              <c:extLst>
                <c:ext xmlns:c15="http://schemas.microsoft.com/office/drawing/2012/chart" uri="{02D57815-91ED-43cb-92C2-25804820EDAC}">
                  <c15:fullRef>
                    <c15:sqref>'1.14E'!$S$3:$X$4</c15:sqref>
                  </c15:fullRef>
                </c:ext>
              </c:extLst>
              <c:f>('1.14E'!$S$3:$S$4,'1.14E'!$U$3:$U$4,'1.14E'!$W$3:$X$4)</c:f>
              <c:multiLvlStrCache>
                <c:ptCount val="4"/>
                <c:lvl>
                  <c:pt idx="0">
                    <c:v>Large</c:v>
                  </c:pt>
                  <c:pt idx="1">
                    <c:v>Young SMEs</c:v>
                  </c:pt>
                  <c:pt idx="2">
                    <c:v>Large</c:v>
                  </c:pt>
                  <c:pt idx="3">
                    <c:v>SMEs</c:v>
                  </c:pt>
                </c:lvl>
                <c:lvl>
                  <c:pt idx="0">
                    <c:v>Access to land as a major constraint</c:v>
                  </c:pt>
                  <c:pt idx="2">
                    <c:v>No access to foreign inputs (RHS)</c:v>
                  </c:pt>
                </c:lvl>
              </c:multiLvlStrCache>
            </c:multiLvlStrRef>
          </c:cat>
          <c:val>
            <c:numRef>
              <c:extLst>
                <c:ext xmlns:c15="http://schemas.microsoft.com/office/drawing/2012/chart" uri="{02D57815-91ED-43cb-92C2-25804820EDAC}">
                  <c15:fullRef>
                    <c15:sqref>'1.14E'!$S$6:$X$6</c15:sqref>
                  </c15:fullRef>
                </c:ext>
              </c:extLst>
              <c:f>('1.14E'!$S$6,'1.14E'!$U$6,'1.14E'!$W$6:$X$6)</c:f>
              <c:numCache>
                <c:formatCode>0.0</c:formatCode>
                <c:ptCount val="4"/>
                <c:pt idx="0">
                  <c:v>8.8000000000000007</c:v>
                </c:pt>
                <c:pt idx="1">
                  <c:v>19</c:v>
                </c:pt>
              </c:numCache>
            </c:numRef>
          </c:val>
          <c:extLst>
            <c:ext xmlns:c16="http://schemas.microsoft.com/office/drawing/2014/chart" uri="{C3380CC4-5D6E-409C-BE32-E72D297353CC}">
              <c16:uniqueId val="{00000001-8A74-456F-939E-22A9B2DE0208}"/>
            </c:ext>
          </c:extLst>
        </c:ser>
        <c:dLbls>
          <c:showLegendKey val="0"/>
          <c:showVal val="0"/>
          <c:showCatName val="0"/>
          <c:showSerName val="0"/>
          <c:showPercent val="0"/>
          <c:showBubbleSize val="0"/>
        </c:dLbls>
        <c:gapWidth val="150"/>
        <c:overlap val="-11"/>
        <c:axId val="1293617408"/>
        <c:axId val="1293615968"/>
      </c:barChart>
      <c:barChart>
        <c:barDir val="col"/>
        <c:grouping val="clustered"/>
        <c:varyColors val="0"/>
        <c:ser>
          <c:idx val="2"/>
          <c:order val="2"/>
          <c:tx>
            <c:strRef>
              <c:f>'1.14E'!$R$7</c:f>
              <c:strCache>
                <c:ptCount val="1"/>
                <c:pt idx="0">
                  <c:v>Other EMDEs</c:v>
                </c:pt>
              </c:strCache>
            </c:strRef>
          </c:tx>
          <c:spPr>
            <a:solidFill>
              <a:schemeClr val="tx2"/>
            </a:solidFill>
            <a:ln w="50800">
              <a:noFill/>
            </a:ln>
            <a:effectLst/>
          </c:spPr>
          <c:invertIfNegative val="0"/>
          <c:cat>
            <c:multiLvlStrRef>
              <c:extLst>
                <c:ext xmlns:c15="http://schemas.microsoft.com/office/drawing/2012/chart" uri="{02D57815-91ED-43cb-92C2-25804820EDAC}">
                  <c15:fullRef>
                    <c15:sqref>'1.14E'!$S$3:$X$4</c15:sqref>
                  </c15:fullRef>
                </c:ext>
              </c:extLst>
              <c:f>('1.14E'!$S$3:$S$4,'1.14E'!$U$3:$U$4,'1.14E'!$W$3:$X$4)</c:f>
              <c:multiLvlStrCache>
                <c:ptCount val="4"/>
                <c:lvl>
                  <c:pt idx="0">
                    <c:v>Large</c:v>
                  </c:pt>
                  <c:pt idx="1">
                    <c:v>Young SMEs</c:v>
                  </c:pt>
                  <c:pt idx="2">
                    <c:v>Large</c:v>
                  </c:pt>
                  <c:pt idx="3">
                    <c:v>SMEs</c:v>
                  </c:pt>
                </c:lvl>
                <c:lvl>
                  <c:pt idx="0">
                    <c:v>Access to land as a major constraint</c:v>
                  </c:pt>
                  <c:pt idx="2">
                    <c:v>No access to foreign inputs (RHS)</c:v>
                  </c:pt>
                </c:lvl>
              </c:multiLvlStrCache>
            </c:multiLvlStrRef>
          </c:cat>
          <c:val>
            <c:numRef>
              <c:extLst>
                <c:ext xmlns:c15="http://schemas.microsoft.com/office/drawing/2012/chart" uri="{02D57815-91ED-43cb-92C2-25804820EDAC}">
                  <c15:fullRef>
                    <c15:sqref>'1.14E'!$S$7:$X$7</c15:sqref>
                  </c15:fullRef>
                </c:ext>
              </c:extLst>
              <c:f>('1.14E'!$S$7,'1.14E'!$U$7,'1.14E'!$W$7:$X$7)</c:f>
              <c:numCache>
                <c:formatCode>0.0</c:formatCode>
                <c:ptCount val="4"/>
                <c:pt idx="2">
                  <c:v>21.9</c:v>
                </c:pt>
                <c:pt idx="3">
                  <c:v>42.7</c:v>
                </c:pt>
              </c:numCache>
            </c:numRef>
          </c:val>
          <c:extLst>
            <c:ext xmlns:c16="http://schemas.microsoft.com/office/drawing/2014/chart" uri="{C3380CC4-5D6E-409C-BE32-E72D297353CC}">
              <c16:uniqueId val="{00000002-8A74-456F-939E-22A9B2DE0208}"/>
            </c:ext>
          </c:extLst>
        </c:ser>
        <c:ser>
          <c:idx val="3"/>
          <c:order val="3"/>
          <c:tx>
            <c:strRef>
              <c:f>'1.14E'!$R$8</c:f>
              <c:strCache>
                <c:ptCount val="1"/>
                <c:pt idx="0">
                  <c:v>SAR</c:v>
                </c:pt>
              </c:strCache>
            </c:strRef>
          </c:tx>
          <c:spPr>
            <a:solidFill>
              <a:schemeClr val="bg2"/>
            </a:solidFill>
            <a:ln w="50800">
              <a:noFill/>
            </a:ln>
            <a:effectLst/>
          </c:spPr>
          <c:invertIfNegative val="0"/>
          <c:cat>
            <c:multiLvlStrRef>
              <c:extLst>
                <c:ext xmlns:c15="http://schemas.microsoft.com/office/drawing/2012/chart" uri="{02D57815-91ED-43cb-92C2-25804820EDAC}">
                  <c15:fullRef>
                    <c15:sqref>'1.14E'!$S$3:$X$4</c15:sqref>
                  </c15:fullRef>
                </c:ext>
              </c:extLst>
              <c:f>('1.14E'!$S$3:$S$4,'1.14E'!$U$3:$U$4,'1.14E'!$W$3:$X$4)</c:f>
              <c:multiLvlStrCache>
                <c:ptCount val="4"/>
                <c:lvl>
                  <c:pt idx="0">
                    <c:v>Large</c:v>
                  </c:pt>
                  <c:pt idx="1">
                    <c:v>Young SMEs</c:v>
                  </c:pt>
                  <c:pt idx="2">
                    <c:v>Large</c:v>
                  </c:pt>
                  <c:pt idx="3">
                    <c:v>SMEs</c:v>
                  </c:pt>
                </c:lvl>
                <c:lvl>
                  <c:pt idx="0">
                    <c:v>Access to land as a major constraint</c:v>
                  </c:pt>
                  <c:pt idx="2">
                    <c:v>No access to foreign inputs (RHS)</c:v>
                  </c:pt>
                </c:lvl>
              </c:multiLvlStrCache>
            </c:multiLvlStrRef>
          </c:cat>
          <c:val>
            <c:numRef>
              <c:extLst>
                <c:ext xmlns:c15="http://schemas.microsoft.com/office/drawing/2012/chart" uri="{02D57815-91ED-43cb-92C2-25804820EDAC}">
                  <c15:fullRef>
                    <c15:sqref>'1.14E'!$S$8:$X$8</c15:sqref>
                  </c15:fullRef>
                </c:ext>
              </c:extLst>
              <c:f>('1.14E'!$S$8,'1.14E'!$U$8,'1.14E'!$W$8:$X$8)</c:f>
              <c:numCache>
                <c:formatCode>0.0</c:formatCode>
                <c:ptCount val="4"/>
                <c:pt idx="2">
                  <c:v>52.3</c:v>
                </c:pt>
                <c:pt idx="3">
                  <c:v>89.8</c:v>
                </c:pt>
              </c:numCache>
            </c:numRef>
          </c:val>
          <c:extLst>
            <c:ext xmlns:c16="http://schemas.microsoft.com/office/drawing/2014/chart" uri="{C3380CC4-5D6E-409C-BE32-E72D297353CC}">
              <c16:uniqueId val="{00000003-8A74-456F-939E-22A9B2DE0208}"/>
            </c:ext>
          </c:extLst>
        </c:ser>
        <c:dLbls>
          <c:showLegendKey val="0"/>
          <c:showVal val="0"/>
          <c:showCatName val="0"/>
          <c:showSerName val="0"/>
          <c:showPercent val="0"/>
          <c:showBubbleSize val="0"/>
        </c:dLbls>
        <c:gapWidth val="150"/>
        <c:overlap val="-11"/>
        <c:axId val="1119257664"/>
        <c:axId val="1119267744"/>
      </c:barChart>
      <c:catAx>
        <c:axId val="129361740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93615968"/>
        <c:crosses val="autoZero"/>
        <c:auto val="1"/>
        <c:lblAlgn val="ctr"/>
        <c:lblOffset val="100"/>
        <c:noMultiLvlLbl val="0"/>
      </c:catAx>
      <c:valAx>
        <c:axId val="12936159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93617408"/>
        <c:crosses val="autoZero"/>
        <c:crossBetween val="between"/>
        <c:majorUnit val="4"/>
      </c:valAx>
      <c:valAx>
        <c:axId val="1119267744"/>
        <c:scaling>
          <c:orientation val="minMax"/>
        </c:scaling>
        <c:delete val="0"/>
        <c:axPos val="r"/>
        <c:numFmt formatCode="0;[Red]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19257664"/>
        <c:crosses val="max"/>
        <c:crossBetween val="between"/>
        <c:majorUnit val="20"/>
      </c:valAx>
      <c:catAx>
        <c:axId val="1119257664"/>
        <c:scaling>
          <c:orientation val="minMax"/>
        </c:scaling>
        <c:delete val="1"/>
        <c:axPos val="b"/>
        <c:numFmt formatCode="General" sourceLinked="1"/>
        <c:majorTickMark val="out"/>
        <c:minorTickMark val="none"/>
        <c:tickLblPos val="nextTo"/>
        <c:crossAx val="1119267744"/>
        <c:crosses val="autoZero"/>
        <c:auto val="1"/>
        <c:lblAlgn val="ctr"/>
        <c:lblOffset val="100"/>
        <c:noMultiLvlLbl val="0"/>
      </c:catAx>
      <c:spPr>
        <a:noFill/>
        <a:ln w="25400">
          <a:noFill/>
        </a:ln>
        <a:effectLst/>
      </c:spPr>
    </c:plotArea>
    <c:legend>
      <c:legendPos val="t"/>
      <c:legendEntry>
        <c:idx val="2"/>
        <c:delete val="1"/>
      </c:legendEntry>
      <c:legendEntry>
        <c:idx val="3"/>
        <c:delete val="1"/>
      </c:legendEntry>
      <c:layout>
        <c:manualLayout>
          <c:xMode val="edge"/>
          <c:yMode val="edge"/>
          <c:x val="0.23435604360635295"/>
          <c:y val="6.7569384979674504E-2"/>
          <c:w val="0.54586701662292214"/>
          <c:h val="7.658175937998500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strRef>
              <c:f>'1.14F'!$R$4</c:f>
              <c:strCache>
                <c:ptCount val="1"/>
                <c:pt idx="0">
                  <c:v>Informal</c:v>
                </c:pt>
              </c:strCache>
            </c:strRef>
          </c:tx>
          <c:spPr>
            <a:solidFill>
              <a:srgbClr val="002345"/>
            </a:solidFill>
            <a:ln w="50800">
              <a:noFill/>
            </a:ln>
            <a:effectLst/>
          </c:spPr>
          <c:invertIfNegative val="0"/>
          <c:cat>
            <c:strRef>
              <c:f>'1.14F'!$S$3:$T$3</c:f>
              <c:strCache>
                <c:ptCount val="2"/>
                <c:pt idx="0">
                  <c:v>Lack of water</c:v>
                </c:pt>
                <c:pt idx="1">
                  <c:v>Power outage</c:v>
                </c:pt>
              </c:strCache>
            </c:strRef>
          </c:cat>
          <c:val>
            <c:numRef>
              <c:f>'1.14F'!$S$4:$T$4</c:f>
              <c:numCache>
                <c:formatCode>General</c:formatCode>
                <c:ptCount val="2"/>
                <c:pt idx="0">
                  <c:v>40.299999999999997</c:v>
                </c:pt>
                <c:pt idx="1">
                  <c:v>38.700000000000003</c:v>
                </c:pt>
              </c:numCache>
            </c:numRef>
          </c:val>
          <c:extLst>
            <c:ext xmlns:c16="http://schemas.microsoft.com/office/drawing/2014/chart" uri="{C3380CC4-5D6E-409C-BE32-E72D297353CC}">
              <c16:uniqueId val="{00000000-3098-48EC-B69E-734D3DE8DB88}"/>
            </c:ext>
          </c:extLst>
        </c:ser>
        <c:ser>
          <c:idx val="1"/>
          <c:order val="1"/>
          <c:tx>
            <c:strRef>
              <c:f>'1.14F'!$R$5</c:f>
              <c:strCache>
                <c:ptCount val="1"/>
                <c:pt idx="0">
                  <c:v>Formal</c:v>
                </c:pt>
              </c:strCache>
            </c:strRef>
          </c:tx>
          <c:spPr>
            <a:solidFill>
              <a:srgbClr val="EB1C2D"/>
            </a:solidFill>
            <a:ln w="50800">
              <a:noFill/>
            </a:ln>
            <a:effectLst/>
          </c:spPr>
          <c:invertIfNegative val="0"/>
          <c:cat>
            <c:strRef>
              <c:f>'1.14F'!$S$3:$T$3</c:f>
              <c:strCache>
                <c:ptCount val="2"/>
                <c:pt idx="0">
                  <c:v>Lack of water</c:v>
                </c:pt>
                <c:pt idx="1">
                  <c:v>Power outage</c:v>
                </c:pt>
              </c:strCache>
            </c:strRef>
          </c:cat>
          <c:val>
            <c:numRef>
              <c:f>'1.14F'!$S$5:$T$5</c:f>
              <c:numCache>
                <c:formatCode>General</c:formatCode>
                <c:ptCount val="2"/>
                <c:pt idx="0">
                  <c:v>1.8</c:v>
                </c:pt>
                <c:pt idx="1">
                  <c:v>29.5</c:v>
                </c:pt>
              </c:numCache>
            </c:numRef>
          </c:val>
          <c:extLst>
            <c:ext xmlns:c16="http://schemas.microsoft.com/office/drawing/2014/chart" uri="{C3380CC4-5D6E-409C-BE32-E72D297353CC}">
              <c16:uniqueId val="{00000001-3098-48EC-B69E-734D3DE8DB88}"/>
            </c:ext>
          </c:extLst>
        </c:ser>
        <c:dLbls>
          <c:showLegendKey val="0"/>
          <c:showVal val="0"/>
          <c:showCatName val="0"/>
          <c:showSerName val="0"/>
          <c:showPercent val="0"/>
          <c:showBubbleSize val="0"/>
        </c:dLbls>
        <c:gapWidth val="150"/>
        <c:overlap val="-11"/>
        <c:axId val="1047698671"/>
        <c:axId val="1"/>
      </c:barChart>
      <c:catAx>
        <c:axId val="1047698671"/>
        <c:scaling>
          <c:orientation val="minMax"/>
        </c:scaling>
        <c:delete val="0"/>
        <c:axPos val="b"/>
        <c:numFmt formatCode="General" sourceLinked="1"/>
        <c:majorTickMark val="none"/>
        <c:minorTickMark val="none"/>
        <c:tickLblPos val="low"/>
        <c:spPr>
          <a:ln w="3175">
            <a:solidFill>
              <a:srgbClr val="000000"/>
            </a:solidFill>
            <a:prstDash val="solid"/>
          </a:ln>
        </c:spPr>
        <c:txPr>
          <a:bodyPr rot="0" vert="horz"/>
          <a:lstStyle/>
          <a:p>
            <a:pPr>
              <a:defRPr sz="3200" b="0" i="0" u="none" strike="noStrike" baseline="0">
                <a:solidFill>
                  <a:srgbClr val="000000"/>
                </a:solidFill>
                <a:latin typeface="Arial"/>
                <a:ea typeface="Arial"/>
                <a:cs typeface="Arial"/>
              </a:defRPr>
            </a:pPr>
            <a:endParaRPr lang="en-US"/>
          </a:p>
        </c:txPr>
        <c:crossAx val="1"/>
        <c:crosses val="autoZero"/>
        <c:auto val="1"/>
        <c:lblAlgn val="ctr"/>
        <c:lblOffset val="100"/>
        <c:noMultiLvlLbl val="0"/>
      </c:catAx>
      <c:valAx>
        <c:axId val="1"/>
        <c:scaling>
          <c:orientation val="minMax"/>
        </c:scaling>
        <c:delete val="0"/>
        <c:axPos val="l"/>
        <c:numFmt formatCode="#,##0" sourceLinked="0"/>
        <c:majorTickMark val="none"/>
        <c:minorTickMark val="none"/>
        <c:tickLblPos val="nextTo"/>
        <c:spPr>
          <a:ln w="6350">
            <a:noFill/>
          </a:ln>
        </c:spPr>
        <c:txPr>
          <a:bodyPr rot="0" vert="horz"/>
          <a:lstStyle/>
          <a:p>
            <a:pPr>
              <a:defRPr sz="3200" b="0" i="0" u="none" strike="noStrike" baseline="0">
                <a:solidFill>
                  <a:srgbClr val="000000"/>
                </a:solidFill>
                <a:latin typeface="Arial"/>
                <a:ea typeface="Arial"/>
                <a:cs typeface="Arial"/>
              </a:defRPr>
            </a:pPr>
            <a:endParaRPr lang="en-US"/>
          </a:p>
        </c:txPr>
        <c:crossAx val="1047698671"/>
        <c:crosses val="autoZero"/>
        <c:crossBetween val="between"/>
        <c:majorUnit val="10"/>
      </c:valAx>
      <c:spPr>
        <a:noFill/>
        <a:ln w="25400">
          <a:noFill/>
        </a:ln>
      </c:spPr>
    </c:plotArea>
    <c:legend>
      <c:legendPos val="t"/>
      <c:layout>
        <c:manualLayout>
          <c:xMode val="edge"/>
          <c:yMode val="edge"/>
          <c:x val="0.27736214996769354"/>
          <c:y val="0.12110087232473425"/>
          <c:w val="0.44311708080996132"/>
          <c:h val="7.8346829162910928E-2"/>
        </c:manualLayout>
      </c:layout>
      <c:overlay val="0"/>
      <c:spPr>
        <a:noFill/>
        <a:ln w="25400">
          <a:noFill/>
        </a:ln>
      </c:spPr>
      <c:txPr>
        <a:bodyPr/>
        <a:lstStyle/>
        <a:p>
          <a:pPr>
            <a:defRPr sz="3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2"/>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314537477372703E-2"/>
          <c:y val="0.14635397676122008"/>
          <c:w val="0.88846807169188413"/>
          <c:h val="0.73897263836214444"/>
        </c:manualLayout>
      </c:layout>
      <c:areaChart>
        <c:grouping val="standard"/>
        <c:varyColors val="0"/>
        <c:ser>
          <c:idx val="3"/>
          <c:order val="1"/>
          <c:tx>
            <c:strRef>
              <c:f>'1.15A'!$V$3</c:f>
              <c:strCache>
                <c:ptCount val="1"/>
                <c:pt idx="0">
                  <c:v>p75</c:v>
                </c:pt>
              </c:strCache>
            </c:strRef>
          </c:tx>
          <c:spPr>
            <a:solidFill>
              <a:schemeClr val="bg2">
                <a:lumMod val="20000"/>
                <a:lumOff val="80000"/>
              </a:schemeClr>
            </a:solidFill>
            <a:ln w="50800">
              <a:noFill/>
            </a:ln>
            <a:effectLst/>
          </c:spPr>
          <c:cat>
            <c:strRef>
              <c:f>'1.15A'!$R$4:$R$9</c:f>
              <c:strCache>
                <c:ptCount val="6"/>
                <c:pt idx="0">
                  <c:v>NPL</c:v>
                </c:pt>
                <c:pt idx="1">
                  <c:v>LKA</c:v>
                </c:pt>
                <c:pt idx="2">
                  <c:v>BTN</c:v>
                </c:pt>
                <c:pt idx="3">
                  <c:v>BGD</c:v>
                </c:pt>
                <c:pt idx="4">
                  <c:v>PAK</c:v>
                </c:pt>
                <c:pt idx="5">
                  <c:v>IND</c:v>
                </c:pt>
              </c:strCache>
            </c:strRef>
          </c:cat>
          <c:val>
            <c:numRef>
              <c:f>'1.15A'!$V$4:$V$9</c:f>
              <c:numCache>
                <c:formatCode>0.0</c:formatCode>
                <c:ptCount val="6"/>
                <c:pt idx="0">
                  <c:v>24.1</c:v>
                </c:pt>
                <c:pt idx="1">
                  <c:v>24.1</c:v>
                </c:pt>
                <c:pt idx="2">
                  <c:v>24.1</c:v>
                </c:pt>
                <c:pt idx="3">
                  <c:v>24.1</c:v>
                </c:pt>
                <c:pt idx="4">
                  <c:v>24.1</c:v>
                </c:pt>
                <c:pt idx="5">
                  <c:v>24.1</c:v>
                </c:pt>
              </c:numCache>
            </c:numRef>
          </c:val>
          <c:extLst>
            <c:ext xmlns:c16="http://schemas.microsoft.com/office/drawing/2014/chart" uri="{C3380CC4-5D6E-409C-BE32-E72D297353CC}">
              <c16:uniqueId val="{00000000-D05C-4864-AA3F-01DD44C1508E}"/>
            </c:ext>
          </c:extLst>
        </c:ser>
        <c:ser>
          <c:idx val="1"/>
          <c:order val="3"/>
          <c:tx>
            <c:strRef>
              <c:f>'1.15A'!$T$3</c:f>
              <c:strCache>
                <c:ptCount val="1"/>
                <c:pt idx="0">
                  <c:v>p25</c:v>
                </c:pt>
              </c:strCache>
            </c:strRef>
          </c:tx>
          <c:spPr>
            <a:solidFill>
              <a:schemeClr val="bg1"/>
            </a:solidFill>
            <a:ln w="50800">
              <a:noFill/>
            </a:ln>
            <a:effectLst/>
          </c:spPr>
          <c:cat>
            <c:strRef>
              <c:f>'1.15A'!$R$4:$R$9</c:f>
              <c:strCache>
                <c:ptCount val="6"/>
                <c:pt idx="0">
                  <c:v>NPL</c:v>
                </c:pt>
                <c:pt idx="1">
                  <c:v>LKA</c:v>
                </c:pt>
                <c:pt idx="2">
                  <c:v>BTN</c:v>
                </c:pt>
                <c:pt idx="3">
                  <c:v>BGD</c:v>
                </c:pt>
                <c:pt idx="4">
                  <c:v>PAK</c:v>
                </c:pt>
                <c:pt idx="5">
                  <c:v>IND</c:v>
                </c:pt>
              </c:strCache>
            </c:strRef>
          </c:cat>
          <c:val>
            <c:numRef>
              <c:f>'1.15A'!$T$4:$T$9</c:f>
              <c:numCache>
                <c:formatCode>0.0</c:formatCode>
                <c:ptCount val="6"/>
                <c:pt idx="0">
                  <c:v>4.2</c:v>
                </c:pt>
                <c:pt idx="1">
                  <c:v>4.2</c:v>
                </c:pt>
                <c:pt idx="2">
                  <c:v>4.2</c:v>
                </c:pt>
                <c:pt idx="3">
                  <c:v>4.2</c:v>
                </c:pt>
                <c:pt idx="4">
                  <c:v>4.2</c:v>
                </c:pt>
                <c:pt idx="5">
                  <c:v>4.2</c:v>
                </c:pt>
              </c:numCache>
            </c:numRef>
          </c:val>
          <c:extLst>
            <c:ext xmlns:c16="http://schemas.microsoft.com/office/drawing/2014/chart" uri="{C3380CC4-5D6E-409C-BE32-E72D297353CC}">
              <c16:uniqueId val="{00000001-D05C-4864-AA3F-01DD44C1508E}"/>
            </c:ext>
          </c:extLst>
        </c:ser>
        <c:dLbls>
          <c:showLegendKey val="0"/>
          <c:showVal val="0"/>
          <c:showCatName val="0"/>
          <c:showSerName val="0"/>
          <c:showPercent val="0"/>
          <c:showBubbleSize val="0"/>
        </c:dLbls>
        <c:axId val="1195219728"/>
        <c:axId val="1391857104"/>
      </c:areaChart>
      <c:barChart>
        <c:barDir val="col"/>
        <c:grouping val="clustered"/>
        <c:varyColors val="0"/>
        <c:ser>
          <c:idx val="0"/>
          <c:order val="0"/>
          <c:tx>
            <c:strRef>
              <c:f>'1.15A'!$S$3</c:f>
              <c:strCache>
                <c:ptCount val="1"/>
                <c:pt idx="0">
                  <c:v>migration_stock_share</c:v>
                </c:pt>
              </c:strCache>
            </c:strRef>
          </c:tx>
          <c:spPr>
            <a:solidFill>
              <a:srgbClr val="002345"/>
            </a:solidFill>
            <a:ln w="50800">
              <a:noFill/>
            </a:ln>
            <a:effectLst/>
          </c:spPr>
          <c:invertIfNegative val="0"/>
          <c:cat>
            <c:strRef>
              <c:f>'1.15A'!$R$4:$R$9</c:f>
              <c:strCache>
                <c:ptCount val="6"/>
                <c:pt idx="0">
                  <c:v>NPL</c:v>
                </c:pt>
                <c:pt idx="1">
                  <c:v>LKA</c:v>
                </c:pt>
                <c:pt idx="2">
                  <c:v>BTN</c:v>
                </c:pt>
                <c:pt idx="3">
                  <c:v>BGD</c:v>
                </c:pt>
                <c:pt idx="4">
                  <c:v>PAK</c:v>
                </c:pt>
                <c:pt idx="5">
                  <c:v>IND</c:v>
                </c:pt>
              </c:strCache>
            </c:strRef>
          </c:cat>
          <c:val>
            <c:numRef>
              <c:f>'1.15A'!$S$4:$S$9</c:f>
              <c:numCache>
                <c:formatCode>0.0</c:formatCode>
                <c:ptCount val="6"/>
                <c:pt idx="0">
                  <c:v>13.9</c:v>
                </c:pt>
                <c:pt idx="1">
                  <c:v>13.6</c:v>
                </c:pt>
                <c:pt idx="2">
                  <c:v>9.6</c:v>
                </c:pt>
                <c:pt idx="3">
                  <c:v>6.6</c:v>
                </c:pt>
                <c:pt idx="4">
                  <c:v>4.8</c:v>
                </c:pt>
                <c:pt idx="5">
                  <c:v>1.9</c:v>
                </c:pt>
              </c:numCache>
            </c:numRef>
          </c:val>
          <c:extLst>
            <c:ext xmlns:c16="http://schemas.microsoft.com/office/drawing/2014/chart" uri="{C3380CC4-5D6E-409C-BE32-E72D297353CC}">
              <c16:uniqueId val="{00000002-D05C-4864-AA3F-01DD44C1508E}"/>
            </c:ext>
          </c:extLst>
        </c:ser>
        <c:dLbls>
          <c:showLegendKey val="0"/>
          <c:showVal val="0"/>
          <c:showCatName val="0"/>
          <c:showSerName val="0"/>
          <c:showPercent val="0"/>
          <c:showBubbleSize val="0"/>
        </c:dLbls>
        <c:gapWidth val="219"/>
        <c:axId val="1195219728"/>
        <c:axId val="1391857104"/>
      </c:barChart>
      <c:lineChart>
        <c:grouping val="standard"/>
        <c:varyColors val="0"/>
        <c:ser>
          <c:idx val="2"/>
          <c:order val="2"/>
          <c:tx>
            <c:strRef>
              <c:f>'1.15A'!$U$3</c:f>
              <c:strCache>
                <c:ptCount val="1"/>
                <c:pt idx="0">
                  <c:v>p50</c:v>
                </c:pt>
              </c:strCache>
            </c:strRef>
          </c:tx>
          <c:spPr>
            <a:ln w="50800" cap="rnd">
              <a:solidFill>
                <a:schemeClr val="bg2"/>
              </a:solidFill>
              <a:round/>
            </a:ln>
            <a:effectLst/>
          </c:spPr>
          <c:marker>
            <c:symbol val="none"/>
          </c:marker>
          <c:cat>
            <c:strRef>
              <c:f>'1.15A'!$R$4:$R$9</c:f>
              <c:strCache>
                <c:ptCount val="6"/>
                <c:pt idx="0">
                  <c:v>NPL</c:v>
                </c:pt>
                <c:pt idx="1">
                  <c:v>LKA</c:v>
                </c:pt>
                <c:pt idx="2">
                  <c:v>BTN</c:v>
                </c:pt>
                <c:pt idx="3">
                  <c:v>BGD</c:v>
                </c:pt>
                <c:pt idx="4">
                  <c:v>PAK</c:v>
                </c:pt>
                <c:pt idx="5">
                  <c:v>IND</c:v>
                </c:pt>
              </c:strCache>
            </c:strRef>
          </c:cat>
          <c:val>
            <c:numRef>
              <c:f>'1.15A'!$U$4:$U$9</c:f>
              <c:numCache>
                <c:formatCode>0.0</c:formatCode>
                <c:ptCount val="6"/>
                <c:pt idx="0">
                  <c:v>10.1</c:v>
                </c:pt>
                <c:pt idx="1">
                  <c:v>10.1</c:v>
                </c:pt>
                <c:pt idx="2">
                  <c:v>10.1</c:v>
                </c:pt>
                <c:pt idx="3">
                  <c:v>10.1</c:v>
                </c:pt>
                <c:pt idx="4">
                  <c:v>10.1</c:v>
                </c:pt>
                <c:pt idx="5">
                  <c:v>10.1</c:v>
                </c:pt>
              </c:numCache>
            </c:numRef>
          </c:val>
          <c:smooth val="0"/>
          <c:extLst>
            <c:ext xmlns:c16="http://schemas.microsoft.com/office/drawing/2014/chart" uri="{C3380CC4-5D6E-409C-BE32-E72D297353CC}">
              <c16:uniqueId val="{00000003-D05C-4864-AA3F-01DD44C1508E}"/>
            </c:ext>
          </c:extLst>
        </c:ser>
        <c:dLbls>
          <c:showLegendKey val="0"/>
          <c:showVal val="0"/>
          <c:showCatName val="0"/>
          <c:showSerName val="0"/>
          <c:showPercent val="0"/>
          <c:showBubbleSize val="0"/>
        </c:dLbls>
        <c:marker val="1"/>
        <c:smooth val="0"/>
        <c:axId val="1195219728"/>
        <c:axId val="1391857104"/>
      </c:lineChart>
      <c:catAx>
        <c:axId val="119521972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91857104"/>
        <c:crosses val="autoZero"/>
        <c:auto val="1"/>
        <c:lblAlgn val="ctr"/>
        <c:lblOffset val="100"/>
        <c:noMultiLvlLbl val="0"/>
      </c:catAx>
      <c:valAx>
        <c:axId val="13918571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95219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169458759054754E-2"/>
          <c:y val="0.12893101206385899"/>
          <c:w val="0.83322453881088254"/>
          <c:h val="0.65753752799248721"/>
        </c:manualLayout>
      </c:layout>
      <c:barChart>
        <c:barDir val="col"/>
        <c:grouping val="clustered"/>
        <c:varyColors val="0"/>
        <c:ser>
          <c:idx val="0"/>
          <c:order val="0"/>
          <c:tx>
            <c:strRef>
              <c:f>'1.15B'!$T$3</c:f>
              <c:strCache>
                <c:ptCount val="1"/>
                <c:pt idx="0">
                  <c:v>Remittances</c:v>
                </c:pt>
              </c:strCache>
            </c:strRef>
          </c:tx>
          <c:spPr>
            <a:solidFill>
              <a:schemeClr val="accent1"/>
            </a:solidFill>
            <a:ln>
              <a:noFill/>
            </a:ln>
            <a:effectLst/>
          </c:spPr>
          <c:invertIfNegative val="0"/>
          <c:cat>
            <c:multiLvlStrRef>
              <c:f>'1.15B'!$R$4:$S$10</c:f>
              <c:multiLvlStrCache>
                <c:ptCount val="7"/>
                <c:lvl>
                  <c:pt idx="0">
                    <c:v>LKA</c:v>
                  </c:pt>
                  <c:pt idx="1">
                    <c:v>PAK</c:v>
                  </c:pt>
                  <c:pt idx="2">
                    <c:v>BGD</c:v>
                  </c:pt>
                  <c:pt idx="3">
                    <c:v>IND</c:v>
                  </c:pt>
                  <c:pt idx="4">
                    <c:v>NPL</c:v>
                  </c:pt>
                  <c:pt idx="5">
                    <c:v>BTN</c:v>
                  </c:pt>
                  <c:pt idx="6">
                    <c:v>MDV</c:v>
                  </c:pt>
                </c:lvl>
                <c:lvl>
                  <c:pt idx="0">
                    <c:v>(LHS)</c:v>
                  </c:pt>
                  <c:pt idx="4">
                    <c:v>(RHS)</c:v>
                  </c:pt>
                </c:lvl>
              </c:multiLvlStrCache>
            </c:multiLvlStrRef>
          </c:cat>
          <c:val>
            <c:numRef>
              <c:f>'1.15B'!$T$4:$T$10</c:f>
              <c:numCache>
                <c:formatCode>0.0</c:formatCode>
                <c:ptCount val="7"/>
                <c:pt idx="0">
                  <c:v>7.4</c:v>
                </c:pt>
                <c:pt idx="1">
                  <c:v>7.1</c:v>
                </c:pt>
                <c:pt idx="2">
                  <c:v>5.7</c:v>
                </c:pt>
                <c:pt idx="3">
                  <c:v>3.1</c:v>
                </c:pt>
              </c:numCache>
            </c:numRef>
          </c:val>
          <c:extLst>
            <c:ext xmlns:c16="http://schemas.microsoft.com/office/drawing/2014/chart" uri="{C3380CC4-5D6E-409C-BE32-E72D297353CC}">
              <c16:uniqueId val="{00000000-EFD2-4D69-B950-AE45FA589A02}"/>
            </c:ext>
          </c:extLst>
        </c:ser>
        <c:dLbls>
          <c:showLegendKey val="0"/>
          <c:showVal val="0"/>
          <c:showCatName val="0"/>
          <c:showSerName val="0"/>
          <c:showPercent val="0"/>
          <c:showBubbleSize val="0"/>
        </c:dLbls>
        <c:gapWidth val="150"/>
        <c:axId val="1633406415"/>
        <c:axId val="1640687119"/>
      </c:barChart>
      <c:barChart>
        <c:barDir val="col"/>
        <c:grouping val="clustered"/>
        <c:varyColors val="0"/>
        <c:ser>
          <c:idx val="2"/>
          <c:order val="2"/>
          <c:tx>
            <c:strRef>
              <c:f>'1.15B'!$V$3</c:f>
              <c:strCache>
                <c:ptCount val="1"/>
                <c:pt idx="0">
                  <c:v>Remittances</c:v>
                </c:pt>
              </c:strCache>
            </c:strRef>
          </c:tx>
          <c:spPr>
            <a:solidFill>
              <a:schemeClr val="accent1"/>
            </a:solidFill>
            <a:ln>
              <a:noFill/>
            </a:ln>
            <a:effectLst/>
          </c:spPr>
          <c:invertIfNegative val="0"/>
          <c:cat>
            <c:multiLvlStrRef>
              <c:f>'1.15B'!$R$4:$S$10</c:f>
              <c:multiLvlStrCache>
                <c:ptCount val="7"/>
                <c:lvl>
                  <c:pt idx="0">
                    <c:v>LKA</c:v>
                  </c:pt>
                  <c:pt idx="1">
                    <c:v>PAK</c:v>
                  </c:pt>
                  <c:pt idx="2">
                    <c:v>BGD</c:v>
                  </c:pt>
                  <c:pt idx="3">
                    <c:v>IND</c:v>
                  </c:pt>
                  <c:pt idx="4">
                    <c:v>NPL</c:v>
                  </c:pt>
                  <c:pt idx="5">
                    <c:v>BTN</c:v>
                  </c:pt>
                  <c:pt idx="6">
                    <c:v>MDV</c:v>
                  </c:pt>
                </c:lvl>
                <c:lvl>
                  <c:pt idx="0">
                    <c:v>(LHS)</c:v>
                  </c:pt>
                  <c:pt idx="4">
                    <c:v>(RHS)</c:v>
                  </c:pt>
                </c:lvl>
              </c:multiLvlStrCache>
            </c:multiLvlStrRef>
          </c:cat>
          <c:val>
            <c:numRef>
              <c:f>'1.15B'!$V$4:$V$10</c:f>
              <c:numCache>
                <c:formatCode>0.0</c:formatCode>
                <c:ptCount val="7"/>
                <c:pt idx="4">
                  <c:v>25</c:v>
                </c:pt>
                <c:pt idx="5">
                  <c:v>2.1</c:v>
                </c:pt>
                <c:pt idx="6">
                  <c:v>0.1</c:v>
                </c:pt>
              </c:numCache>
            </c:numRef>
          </c:val>
          <c:extLst>
            <c:ext xmlns:c16="http://schemas.microsoft.com/office/drawing/2014/chart" uri="{C3380CC4-5D6E-409C-BE32-E72D297353CC}">
              <c16:uniqueId val="{00000001-EFD2-4D69-B950-AE45FA589A02}"/>
            </c:ext>
          </c:extLst>
        </c:ser>
        <c:dLbls>
          <c:showLegendKey val="0"/>
          <c:showVal val="0"/>
          <c:showCatName val="0"/>
          <c:showSerName val="0"/>
          <c:showPercent val="0"/>
          <c:showBubbleSize val="0"/>
        </c:dLbls>
        <c:gapWidth val="150"/>
        <c:axId val="2083393663"/>
        <c:axId val="902740672"/>
      </c:barChart>
      <c:scatterChart>
        <c:scatterStyle val="lineMarker"/>
        <c:varyColors val="0"/>
        <c:ser>
          <c:idx val="1"/>
          <c:order val="1"/>
          <c:tx>
            <c:strRef>
              <c:f>'1.15B'!$U$3</c:f>
              <c:strCache>
                <c:ptCount val="1"/>
                <c:pt idx="0">
                  <c:v>FDI, ODA, and portfolio inv.</c:v>
                </c:pt>
              </c:strCache>
            </c:strRef>
          </c:tx>
          <c:spPr>
            <a:ln w="25400" cap="rnd">
              <a:noFill/>
              <a:round/>
            </a:ln>
            <a:effectLst/>
          </c:spPr>
          <c:marker>
            <c:symbol val="diamond"/>
            <c:size val="20"/>
            <c:spPr>
              <a:solidFill>
                <a:schemeClr val="accent4"/>
              </a:solidFill>
              <a:ln w="76200">
                <a:noFill/>
              </a:ln>
              <a:effectLst/>
            </c:spPr>
          </c:marker>
          <c:xVal>
            <c:multiLvlStrRef>
              <c:f>'1.15B'!$R$4:$S$10</c:f>
              <c:multiLvlStrCache>
                <c:ptCount val="7"/>
                <c:lvl>
                  <c:pt idx="0">
                    <c:v>LKA</c:v>
                  </c:pt>
                  <c:pt idx="1">
                    <c:v>PAK</c:v>
                  </c:pt>
                  <c:pt idx="2">
                    <c:v>BGD</c:v>
                  </c:pt>
                  <c:pt idx="3">
                    <c:v>IND</c:v>
                  </c:pt>
                  <c:pt idx="4">
                    <c:v>NPL</c:v>
                  </c:pt>
                  <c:pt idx="5">
                    <c:v>BTN</c:v>
                  </c:pt>
                  <c:pt idx="6">
                    <c:v>MDV</c:v>
                  </c:pt>
                </c:lvl>
                <c:lvl>
                  <c:pt idx="0">
                    <c:v>(LHS)</c:v>
                  </c:pt>
                  <c:pt idx="4">
                    <c:v>(RHS)</c:v>
                  </c:pt>
                </c:lvl>
              </c:multiLvlStrCache>
            </c:multiLvlStrRef>
          </c:xVal>
          <c:yVal>
            <c:numRef>
              <c:f>'1.15B'!$U$4:$U$10</c:f>
              <c:numCache>
                <c:formatCode>0.0</c:formatCode>
                <c:ptCount val="7"/>
                <c:pt idx="0">
                  <c:v>1.9</c:v>
                </c:pt>
                <c:pt idx="1">
                  <c:v>1.7</c:v>
                </c:pt>
                <c:pt idx="2">
                  <c:v>2.1</c:v>
                </c:pt>
                <c:pt idx="3">
                  <c:v>2.4</c:v>
                </c:pt>
              </c:numCache>
            </c:numRef>
          </c:yVal>
          <c:smooth val="0"/>
          <c:extLst>
            <c:ext xmlns:c16="http://schemas.microsoft.com/office/drawing/2014/chart" uri="{C3380CC4-5D6E-409C-BE32-E72D297353CC}">
              <c16:uniqueId val="{00000002-EFD2-4D69-B950-AE45FA589A02}"/>
            </c:ext>
          </c:extLst>
        </c:ser>
        <c:dLbls>
          <c:showLegendKey val="0"/>
          <c:showVal val="0"/>
          <c:showCatName val="0"/>
          <c:showSerName val="0"/>
          <c:showPercent val="0"/>
          <c:showBubbleSize val="0"/>
        </c:dLbls>
        <c:axId val="1633406415"/>
        <c:axId val="1640687119"/>
      </c:scatterChart>
      <c:scatterChart>
        <c:scatterStyle val="lineMarker"/>
        <c:varyColors val="0"/>
        <c:ser>
          <c:idx val="3"/>
          <c:order val="3"/>
          <c:tx>
            <c:strRef>
              <c:f>'1.15B'!$W$3</c:f>
              <c:strCache>
                <c:ptCount val="1"/>
                <c:pt idx="0">
                  <c:v>FDI, ODA, and Portfolio Inv.</c:v>
                </c:pt>
              </c:strCache>
            </c:strRef>
          </c:tx>
          <c:spPr>
            <a:ln w="25400" cap="rnd">
              <a:noFill/>
              <a:round/>
            </a:ln>
            <a:effectLst/>
          </c:spPr>
          <c:marker>
            <c:symbol val="diamond"/>
            <c:size val="20"/>
            <c:spPr>
              <a:solidFill>
                <a:schemeClr val="accent4"/>
              </a:solidFill>
              <a:ln w="76200">
                <a:noFill/>
              </a:ln>
              <a:effectLst/>
            </c:spPr>
          </c:marker>
          <c:xVal>
            <c:multiLvlStrRef>
              <c:f>'1.15B'!$R$4:$S$10</c:f>
              <c:multiLvlStrCache>
                <c:ptCount val="7"/>
                <c:lvl>
                  <c:pt idx="0">
                    <c:v>LKA</c:v>
                  </c:pt>
                  <c:pt idx="1">
                    <c:v>PAK</c:v>
                  </c:pt>
                  <c:pt idx="2">
                    <c:v>BGD</c:v>
                  </c:pt>
                  <c:pt idx="3">
                    <c:v>IND</c:v>
                  </c:pt>
                  <c:pt idx="4">
                    <c:v>NPL</c:v>
                  </c:pt>
                  <c:pt idx="5">
                    <c:v>BTN</c:v>
                  </c:pt>
                  <c:pt idx="6">
                    <c:v>MDV</c:v>
                  </c:pt>
                </c:lvl>
                <c:lvl>
                  <c:pt idx="0">
                    <c:v>(LHS)</c:v>
                  </c:pt>
                  <c:pt idx="4">
                    <c:v>(RHS)</c:v>
                  </c:pt>
                </c:lvl>
              </c:multiLvlStrCache>
            </c:multiLvlStrRef>
          </c:xVal>
          <c:yVal>
            <c:numRef>
              <c:f>'1.15B'!$W$4:$W$10</c:f>
              <c:numCache>
                <c:formatCode>0.0</c:formatCode>
                <c:ptCount val="7"/>
                <c:pt idx="4">
                  <c:v>4.5999999999999996</c:v>
                </c:pt>
                <c:pt idx="5">
                  <c:v>5.6</c:v>
                </c:pt>
                <c:pt idx="6">
                  <c:v>14.4</c:v>
                </c:pt>
              </c:numCache>
            </c:numRef>
          </c:yVal>
          <c:smooth val="0"/>
          <c:extLst>
            <c:ext xmlns:c16="http://schemas.microsoft.com/office/drawing/2014/chart" uri="{C3380CC4-5D6E-409C-BE32-E72D297353CC}">
              <c16:uniqueId val="{00000003-EFD2-4D69-B950-AE45FA589A02}"/>
            </c:ext>
          </c:extLst>
        </c:ser>
        <c:dLbls>
          <c:showLegendKey val="0"/>
          <c:showVal val="0"/>
          <c:showCatName val="0"/>
          <c:showSerName val="0"/>
          <c:showPercent val="0"/>
          <c:showBubbleSize val="0"/>
        </c:dLbls>
        <c:axId val="2083393663"/>
        <c:axId val="902740672"/>
      </c:scatterChart>
      <c:catAx>
        <c:axId val="163340641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40687119"/>
        <c:crosses val="autoZero"/>
        <c:auto val="1"/>
        <c:lblAlgn val="ctr"/>
        <c:lblOffset val="100"/>
        <c:tickLblSkip val="1"/>
        <c:tickMarkSkip val="1"/>
        <c:noMultiLvlLbl val="0"/>
      </c:catAx>
      <c:valAx>
        <c:axId val="16406871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33406415"/>
        <c:crosses val="autoZero"/>
        <c:crossBetween val="between"/>
      </c:valAx>
      <c:valAx>
        <c:axId val="90274067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3393663"/>
        <c:crosses val="max"/>
        <c:crossBetween val="between"/>
      </c:valAx>
      <c:catAx>
        <c:axId val="2083393663"/>
        <c:scaling>
          <c:orientation val="minMax"/>
        </c:scaling>
        <c:delete val="1"/>
        <c:axPos val="b"/>
        <c:numFmt formatCode="General" sourceLinked="1"/>
        <c:majorTickMark val="out"/>
        <c:minorTickMark val="none"/>
        <c:tickLblPos val="nextTo"/>
        <c:crossAx val="902740672"/>
        <c:crosses val="autoZero"/>
        <c:auto val="1"/>
        <c:lblAlgn val="ctr"/>
        <c:lblOffset val="100"/>
        <c:noMultiLvlLbl val="0"/>
      </c:catAx>
      <c:spPr>
        <a:noFill/>
        <a:ln>
          <a:noFill/>
        </a:ln>
        <a:effectLst/>
      </c:spPr>
    </c:plotArea>
    <c:legend>
      <c:legendPos val="t"/>
      <c:legendEntry>
        <c:idx val="1"/>
        <c:delete val="1"/>
      </c:legendEntry>
      <c:legendEntry>
        <c:idx val="3"/>
        <c:delete val="1"/>
      </c:legendEntry>
      <c:layout>
        <c:manualLayout>
          <c:xMode val="edge"/>
          <c:yMode val="edge"/>
          <c:x val="0.17834301874237551"/>
          <c:y val="5.3024059492563433E-2"/>
          <c:w val="0.77865627734033249"/>
          <c:h val="0.1745797608632254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082443962797337E-2"/>
          <c:y val="0.12087148739435094"/>
          <c:w val="0.897586545584241"/>
          <c:h val="0.66239851268591421"/>
        </c:manualLayout>
      </c:layout>
      <c:barChart>
        <c:barDir val="col"/>
        <c:grouping val="clustered"/>
        <c:varyColors val="0"/>
        <c:ser>
          <c:idx val="0"/>
          <c:order val="0"/>
          <c:spPr>
            <a:solidFill>
              <a:srgbClr val="002345"/>
            </a:solidFill>
            <a:ln w="76200">
              <a:noFill/>
            </a:ln>
            <a:effectLst/>
          </c:spPr>
          <c:invertIfNegative val="0"/>
          <c:dPt>
            <c:idx val="1"/>
            <c:invertIfNegative val="0"/>
            <c:bubble3D val="0"/>
            <c:spPr>
              <a:solidFill>
                <a:schemeClr val="accent2"/>
              </a:solidFill>
              <a:ln w="76200">
                <a:noFill/>
              </a:ln>
              <a:effectLst/>
            </c:spPr>
            <c:extLst>
              <c:ext xmlns:c16="http://schemas.microsoft.com/office/drawing/2014/chart" uri="{C3380CC4-5D6E-409C-BE32-E72D297353CC}">
                <c16:uniqueId val="{00000001-FCAD-4087-8C00-BB30F092E8D9}"/>
              </c:ext>
            </c:extLst>
          </c:dPt>
          <c:dPt>
            <c:idx val="3"/>
            <c:invertIfNegative val="0"/>
            <c:bubble3D val="0"/>
            <c:spPr>
              <a:solidFill>
                <a:schemeClr val="accent2"/>
              </a:solidFill>
              <a:ln w="76200">
                <a:noFill/>
              </a:ln>
              <a:effectLst/>
            </c:spPr>
            <c:extLst>
              <c:ext xmlns:c16="http://schemas.microsoft.com/office/drawing/2014/chart" uri="{C3380CC4-5D6E-409C-BE32-E72D297353CC}">
                <c16:uniqueId val="{00000003-FCAD-4087-8C00-BB30F092E8D9}"/>
              </c:ext>
            </c:extLst>
          </c:dPt>
          <c:dPt>
            <c:idx val="5"/>
            <c:invertIfNegative val="0"/>
            <c:bubble3D val="0"/>
            <c:spPr>
              <a:solidFill>
                <a:schemeClr val="accent2"/>
              </a:solidFill>
              <a:ln w="76200">
                <a:noFill/>
              </a:ln>
              <a:effectLst/>
            </c:spPr>
            <c:extLst>
              <c:ext xmlns:c16="http://schemas.microsoft.com/office/drawing/2014/chart" uri="{C3380CC4-5D6E-409C-BE32-E72D297353CC}">
                <c16:uniqueId val="{00000005-FCAD-4087-8C00-BB30F092E8D9}"/>
              </c:ext>
            </c:extLst>
          </c:dPt>
          <c:errBars>
            <c:errBarType val="both"/>
            <c:errValType val="cust"/>
            <c:noEndCap val="0"/>
            <c:plus>
              <c:numRef>
                <c:f>'1.15C'!$U$4:$U$7</c:f>
                <c:numCache>
                  <c:formatCode>General</c:formatCode>
                  <c:ptCount val="4"/>
                  <c:pt idx="0">
                    <c:v>0.8</c:v>
                  </c:pt>
                  <c:pt idx="1">
                    <c:v>0.8</c:v>
                  </c:pt>
                  <c:pt idx="2">
                    <c:v>0.9</c:v>
                  </c:pt>
                  <c:pt idx="3">
                    <c:v>0.9</c:v>
                  </c:pt>
                </c:numCache>
              </c:numRef>
            </c:plus>
            <c:minus>
              <c:numRef>
                <c:f>'1.15C'!$U$4:$U$7</c:f>
                <c:numCache>
                  <c:formatCode>General</c:formatCode>
                  <c:ptCount val="4"/>
                  <c:pt idx="0">
                    <c:v>0.8</c:v>
                  </c:pt>
                  <c:pt idx="1">
                    <c:v>0.8</c:v>
                  </c:pt>
                  <c:pt idx="2">
                    <c:v>0.9</c:v>
                  </c:pt>
                  <c:pt idx="3">
                    <c:v>0.9</c:v>
                  </c:pt>
                </c:numCache>
              </c:numRef>
            </c:minus>
            <c:spPr>
              <a:noFill/>
              <a:ln w="63500" cap="sq" cmpd="sng" algn="ctr">
                <a:solidFill>
                  <a:schemeClr val="accent4"/>
                </a:solidFill>
                <a:miter lim="800000"/>
              </a:ln>
              <a:effectLst/>
            </c:spPr>
          </c:errBars>
          <c:cat>
            <c:multiLvlStrRef>
              <c:f>'1.15C'!$R$4:$S$7</c:f>
              <c:multiLvlStrCache>
                <c:ptCount val="4"/>
                <c:lvl>
                  <c:pt idx="0">
                    <c:v>High</c:v>
                  </c:pt>
                  <c:pt idx="1">
                    <c:v>Low</c:v>
                  </c:pt>
                  <c:pt idx="2">
                    <c:v>High</c:v>
                  </c:pt>
                  <c:pt idx="3">
                    <c:v>Low</c:v>
                  </c:pt>
                </c:lvl>
                <c:lvl>
                  <c:pt idx="0">
                    <c:v>Private cons.</c:v>
                  </c:pt>
                  <c:pt idx="2">
                    <c:v>Private inv.</c:v>
                  </c:pt>
                </c:lvl>
              </c:multiLvlStrCache>
            </c:multiLvlStrRef>
          </c:cat>
          <c:val>
            <c:numRef>
              <c:f>'1.15C'!$T$4:$T$7</c:f>
              <c:numCache>
                <c:formatCode>0.0</c:formatCode>
                <c:ptCount val="4"/>
                <c:pt idx="0">
                  <c:v>8.5</c:v>
                </c:pt>
                <c:pt idx="1">
                  <c:v>2.5</c:v>
                </c:pt>
                <c:pt idx="2">
                  <c:v>2.9</c:v>
                </c:pt>
                <c:pt idx="3">
                  <c:v>5.9</c:v>
                </c:pt>
              </c:numCache>
            </c:numRef>
          </c:val>
          <c:extLst>
            <c:ext xmlns:c16="http://schemas.microsoft.com/office/drawing/2014/chart" uri="{C3380CC4-5D6E-409C-BE32-E72D297353CC}">
              <c16:uniqueId val="{00000006-FCAD-4087-8C00-BB30F092E8D9}"/>
            </c:ext>
          </c:extLst>
        </c:ser>
        <c:dLbls>
          <c:showLegendKey val="0"/>
          <c:showVal val="0"/>
          <c:showCatName val="0"/>
          <c:showSerName val="0"/>
          <c:showPercent val="0"/>
          <c:showBubbleSize val="0"/>
        </c:dLbls>
        <c:gapWidth val="219"/>
        <c:overlap val="-27"/>
        <c:axId val="1826536496"/>
        <c:axId val="1826543696"/>
      </c:barChart>
      <c:catAx>
        <c:axId val="182653649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26543696"/>
        <c:crosses val="autoZero"/>
        <c:auto val="1"/>
        <c:lblAlgn val="ctr"/>
        <c:lblOffset val="100"/>
        <c:noMultiLvlLbl val="0"/>
      </c:catAx>
      <c:valAx>
        <c:axId val="182654369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26536496"/>
        <c:crosses val="autoZero"/>
        <c:crossBetween val="between"/>
        <c:majorUnit val="2"/>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763379435248187E-2"/>
          <c:y val="0.12270634977967206"/>
          <c:w val="0.91300511863508294"/>
          <c:h val="0.66042154702961298"/>
        </c:manualLayout>
      </c:layout>
      <c:barChart>
        <c:barDir val="col"/>
        <c:grouping val="clustered"/>
        <c:varyColors val="0"/>
        <c:ser>
          <c:idx val="0"/>
          <c:order val="0"/>
          <c:spPr>
            <a:solidFill>
              <a:srgbClr val="002345"/>
            </a:solidFill>
            <a:ln w="76200">
              <a:noFill/>
            </a:ln>
            <a:effectLst/>
          </c:spPr>
          <c:invertIfNegative val="0"/>
          <c:dPt>
            <c:idx val="1"/>
            <c:invertIfNegative val="0"/>
            <c:bubble3D val="0"/>
            <c:spPr>
              <a:solidFill>
                <a:schemeClr val="accent2"/>
              </a:solidFill>
              <a:ln w="76200">
                <a:noFill/>
              </a:ln>
              <a:effectLst/>
            </c:spPr>
            <c:extLst>
              <c:ext xmlns:c16="http://schemas.microsoft.com/office/drawing/2014/chart" uri="{C3380CC4-5D6E-409C-BE32-E72D297353CC}">
                <c16:uniqueId val="{00000001-8B88-45BC-928D-140C20D09547}"/>
              </c:ext>
            </c:extLst>
          </c:dPt>
          <c:dPt>
            <c:idx val="3"/>
            <c:invertIfNegative val="0"/>
            <c:bubble3D val="0"/>
            <c:spPr>
              <a:solidFill>
                <a:srgbClr val="FF0000"/>
              </a:solidFill>
              <a:ln w="76200">
                <a:noFill/>
              </a:ln>
              <a:effectLst/>
            </c:spPr>
            <c:extLst>
              <c:ext xmlns:c16="http://schemas.microsoft.com/office/drawing/2014/chart" uri="{C3380CC4-5D6E-409C-BE32-E72D297353CC}">
                <c16:uniqueId val="{00000003-8B88-45BC-928D-140C20D09547}"/>
              </c:ext>
            </c:extLst>
          </c:dPt>
          <c:errBars>
            <c:errBarType val="both"/>
            <c:errValType val="cust"/>
            <c:noEndCap val="0"/>
            <c:plus>
              <c:numRef>
                <c:f>'1.15D'!$U$4:$U$7</c:f>
                <c:numCache>
                  <c:formatCode>General</c:formatCode>
                  <c:ptCount val="4"/>
                  <c:pt idx="0">
                    <c:v>1.6</c:v>
                  </c:pt>
                  <c:pt idx="1">
                    <c:v>1.6</c:v>
                  </c:pt>
                  <c:pt idx="2">
                    <c:v>0.3</c:v>
                  </c:pt>
                  <c:pt idx="3">
                    <c:v>0.3</c:v>
                  </c:pt>
                </c:numCache>
              </c:numRef>
            </c:plus>
            <c:minus>
              <c:numRef>
                <c:f>'1.15D'!$U$4:$U$7</c:f>
                <c:numCache>
                  <c:formatCode>General</c:formatCode>
                  <c:ptCount val="4"/>
                  <c:pt idx="0">
                    <c:v>1.6</c:v>
                  </c:pt>
                  <c:pt idx="1">
                    <c:v>1.6</c:v>
                  </c:pt>
                  <c:pt idx="2">
                    <c:v>0.3</c:v>
                  </c:pt>
                  <c:pt idx="3">
                    <c:v>0.3</c:v>
                  </c:pt>
                </c:numCache>
              </c:numRef>
            </c:minus>
            <c:spPr>
              <a:noFill/>
              <a:ln w="63500" cap="sq" cmpd="sng" algn="ctr">
                <a:solidFill>
                  <a:schemeClr val="accent4"/>
                </a:solidFill>
                <a:miter lim="800000"/>
              </a:ln>
              <a:effectLst/>
            </c:spPr>
          </c:errBars>
          <c:cat>
            <c:multiLvlStrRef>
              <c:f>'1.15D'!$R$4:$S$7</c:f>
              <c:multiLvlStrCache>
                <c:ptCount val="4"/>
                <c:lvl>
                  <c:pt idx="0">
                    <c:v>High</c:v>
                  </c:pt>
                  <c:pt idx="1">
                    <c:v>Low</c:v>
                  </c:pt>
                  <c:pt idx="2">
                    <c:v>High</c:v>
                  </c:pt>
                  <c:pt idx="3">
                    <c:v>Low</c:v>
                  </c:pt>
                </c:lvl>
                <c:lvl>
                  <c:pt idx="0">
                    <c:v>Exports</c:v>
                  </c:pt>
                  <c:pt idx="2">
                    <c:v>Imports</c:v>
                  </c:pt>
                </c:lvl>
              </c:multiLvlStrCache>
            </c:multiLvlStrRef>
          </c:cat>
          <c:val>
            <c:numRef>
              <c:f>'1.15D'!$T$4:$T$7</c:f>
              <c:numCache>
                <c:formatCode>0.0</c:formatCode>
                <c:ptCount val="4"/>
                <c:pt idx="0">
                  <c:v>3.7</c:v>
                </c:pt>
                <c:pt idx="1">
                  <c:v>6.8</c:v>
                </c:pt>
                <c:pt idx="2">
                  <c:v>4.5</c:v>
                </c:pt>
                <c:pt idx="3">
                  <c:v>2.5</c:v>
                </c:pt>
              </c:numCache>
            </c:numRef>
          </c:val>
          <c:extLst>
            <c:ext xmlns:c16="http://schemas.microsoft.com/office/drawing/2014/chart" uri="{C3380CC4-5D6E-409C-BE32-E72D297353CC}">
              <c16:uniqueId val="{00000004-8B88-45BC-928D-140C20D09547}"/>
            </c:ext>
          </c:extLst>
        </c:ser>
        <c:dLbls>
          <c:showLegendKey val="0"/>
          <c:showVal val="0"/>
          <c:showCatName val="0"/>
          <c:showSerName val="0"/>
          <c:showPercent val="0"/>
          <c:showBubbleSize val="0"/>
        </c:dLbls>
        <c:gapWidth val="219"/>
        <c:overlap val="-27"/>
        <c:axId val="1053006783"/>
        <c:axId val="1053003903"/>
      </c:barChart>
      <c:catAx>
        <c:axId val="105300678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53003903"/>
        <c:crosses val="autoZero"/>
        <c:auto val="1"/>
        <c:lblAlgn val="ctr"/>
        <c:lblOffset val="100"/>
        <c:noMultiLvlLbl val="0"/>
      </c:catAx>
      <c:valAx>
        <c:axId val="10530039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53006783"/>
        <c:crosses val="autoZero"/>
        <c:crossBetween val="between"/>
        <c:majorUnit val="2"/>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areaChart>
        <c:grouping val="stacked"/>
        <c:varyColors val="0"/>
        <c:ser>
          <c:idx val="1"/>
          <c:order val="0"/>
          <c:tx>
            <c:strRef>
              <c:f>'1.16A'!$T$3</c:f>
              <c:strCache>
                <c:ptCount val="1"/>
                <c:pt idx="0">
                  <c:v>EMDEs</c:v>
                </c:pt>
              </c:strCache>
            </c:strRef>
          </c:tx>
          <c:spPr>
            <a:solidFill>
              <a:srgbClr val="002345"/>
            </a:solidFill>
            <a:ln w="76200">
              <a:noFill/>
            </a:ln>
            <a:effectLst/>
          </c:spPr>
          <c:cat>
            <c:numRef>
              <c:f>'1.16A'!$R$4:$R$15</c:f>
              <c:numCache>
                <c:formatCode>[$-409]mmm\-yy;@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'1.16A'!$T$4:$T$15</c:f>
              <c:numCache>
                <c:formatCode>General</c:formatCode>
                <c:ptCount val="12"/>
                <c:pt idx="0">
                  <c:v>87</c:v>
                </c:pt>
                <c:pt idx="1">
                  <c:v>133</c:v>
                </c:pt>
                <c:pt idx="2">
                  <c:v>186</c:v>
                </c:pt>
                <c:pt idx="3">
                  <c:v>255</c:v>
                </c:pt>
                <c:pt idx="4">
                  <c:v>297</c:v>
                </c:pt>
                <c:pt idx="5">
                  <c:v>338</c:v>
                </c:pt>
                <c:pt idx="6">
                  <c:v>387</c:v>
                </c:pt>
                <c:pt idx="7">
                  <c:v>430</c:v>
                </c:pt>
                <c:pt idx="8">
                  <c:v>469</c:v>
                </c:pt>
                <c:pt idx="9">
                  <c:v>505</c:v>
                </c:pt>
                <c:pt idx="10">
                  <c:v>529</c:v>
                </c:pt>
                <c:pt idx="11">
                  <c:v>532</c:v>
                </c:pt>
              </c:numCache>
            </c:numRef>
          </c:val>
          <c:extLst>
            <c:ext xmlns:c16="http://schemas.microsoft.com/office/drawing/2014/chart" uri="{C3380CC4-5D6E-409C-BE32-E72D297353CC}">
              <c16:uniqueId val="{00000000-BC93-4604-9E06-55FEE9748621}"/>
            </c:ext>
          </c:extLst>
        </c:ser>
        <c:ser>
          <c:idx val="0"/>
          <c:order val="1"/>
          <c:tx>
            <c:strRef>
              <c:f>'1.16A'!$S$3</c:f>
              <c:strCache>
                <c:ptCount val="1"/>
                <c:pt idx="0">
                  <c:v>AEs</c:v>
                </c:pt>
              </c:strCache>
            </c:strRef>
          </c:tx>
          <c:spPr>
            <a:solidFill>
              <a:srgbClr val="EB1C2D"/>
            </a:solidFill>
            <a:ln w="76200">
              <a:noFill/>
            </a:ln>
            <a:effectLst/>
          </c:spPr>
          <c:cat>
            <c:numRef>
              <c:f>'1.16A'!$R$4:$R$15</c:f>
              <c:numCache>
                <c:formatCode>[$-409]mmm\-yy;@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'1.16A'!$S$4:$S$15</c:f>
              <c:numCache>
                <c:formatCode>General</c:formatCode>
                <c:ptCount val="12"/>
                <c:pt idx="0">
                  <c:v>123</c:v>
                </c:pt>
                <c:pt idx="1">
                  <c:v>244</c:v>
                </c:pt>
                <c:pt idx="2">
                  <c:v>400</c:v>
                </c:pt>
                <c:pt idx="3">
                  <c:v>539</c:v>
                </c:pt>
                <c:pt idx="4">
                  <c:v>639</c:v>
                </c:pt>
                <c:pt idx="5">
                  <c:v>785</c:v>
                </c:pt>
                <c:pt idx="6">
                  <c:v>904</c:v>
                </c:pt>
                <c:pt idx="7">
                  <c:v>1007</c:v>
                </c:pt>
                <c:pt idx="8">
                  <c:v>1099</c:v>
                </c:pt>
                <c:pt idx="9">
                  <c:v>1179</c:v>
                </c:pt>
                <c:pt idx="10">
                  <c:v>1234</c:v>
                </c:pt>
                <c:pt idx="11">
                  <c:v>1234</c:v>
                </c:pt>
              </c:numCache>
            </c:numRef>
          </c:val>
          <c:extLst>
            <c:ext xmlns:c16="http://schemas.microsoft.com/office/drawing/2014/chart" uri="{C3380CC4-5D6E-409C-BE32-E72D297353CC}">
              <c16:uniqueId val="{00000001-BC93-4604-9E06-55FEE9748621}"/>
            </c:ext>
          </c:extLst>
        </c:ser>
        <c:dLbls>
          <c:showLegendKey val="0"/>
          <c:showVal val="0"/>
          <c:showCatName val="0"/>
          <c:showSerName val="0"/>
          <c:showPercent val="0"/>
          <c:showBubbleSize val="0"/>
        </c:dLbls>
        <c:axId val="883085952"/>
        <c:axId val="803394208"/>
      </c:areaChart>
      <c:dateAx>
        <c:axId val="883085952"/>
        <c:scaling>
          <c:orientation val="minMax"/>
        </c:scaling>
        <c:delete val="0"/>
        <c:axPos val="b"/>
        <c:numFmt formatCode="[$-409]mmm\-yy;@"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03394208"/>
        <c:crosses val="autoZero"/>
        <c:auto val="1"/>
        <c:lblOffset val="100"/>
        <c:baseTimeUnit val="months"/>
      </c:dateAx>
      <c:valAx>
        <c:axId val="8033942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83085952"/>
        <c:crosses val="autoZero"/>
        <c:crossBetween val="midCat"/>
        <c:majorUnit val="500"/>
      </c:valAx>
      <c:spPr>
        <a:noFill/>
        <a:ln>
          <a:noFill/>
        </a:ln>
        <a:effectLst/>
      </c:spPr>
    </c:plotArea>
    <c:legend>
      <c:legendPos val="t"/>
      <c:layout>
        <c:manualLayout>
          <c:xMode val="edge"/>
          <c:yMode val="edge"/>
          <c:x val="0.40778266052255618"/>
          <c:y val="0.11967050777301494"/>
          <c:w val="0.3858251312335958"/>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zero"/>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057474884604942"/>
          <c:y val="0.12637607455031424"/>
          <c:w val="0.86425283736084713"/>
          <c:h val="0.76066387343783859"/>
        </c:manualLayout>
      </c:layout>
      <c:barChart>
        <c:barDir val="col"/>
        <c:grouping val="clustered"/>
        <c:varyColors val="0"/>
        <c:ser>
          <c:idx val="0"/>
          <c:order val="0"/>
          <c:tx>
            <c:strRef>
              <c:f>'1.16B'!$S$3</c:f>
              <c:strCache>
                <c:ptCount val="1"/>
                <c:pt idx="0">
                  <c:v>Number of measures</c:v>
                </c:pt>
              </c:strCache>
            </c:strRef>
          </c:tx>
          <c:spPr>
            <a:solidFill>
              <a:srgbClr val="002345"/>
            </a:solidFill>
            <a:ln w="76200">
              <a:noFill/>
            </a:ln>
            <a:effectLst/>
          </c:spPr>
          <c:invertIfNegative val="0"/>
          <c:cat>
            <c:strRef>
              <c:f>'1.16B'!$R$4:$R$9</c:f>
              <c:strCache>
                <c:ptCount val="6"/>
                <c:pt idx="0">
                  <c:v>SSA</c:v>
                </c:pt>
                <c:pt idx="1">
                  <c:v>MNA</c:v>
                </c:pt>
                <c:pt idx="2">
                  <c:v>EAP</c:v>
                </c:pt>
                <c:pt idx="3">
                  <c:v>SAR</c:v>
                </c:pt>
                <c:pt idx="4">
                  <c:v>ECA</c:v>
                </c:pt>
                <c:pt idx="5">
                  <c:v>LAC</c:v>
                </c:pt>
              </c:strCache>
            </c:strRef>
          </c:cat>
          <c:val>
            <c:numRef>
              <c:f>'1.16B'!$S$4:$S$9</c:f>
              <c:numCache>
                <c:formatCode>General</c:formatCode>
                <c:ptCount val="6"/>
                <c:pt idx="0">
                  <c:v>13</c:v>
                </c:pt>
                <c:pt idx="1">
                  <c:v>17</c:v>
                </c:pt>
                <c:pt idx="2">
                  <c:v>99</c:v>
                </c:pt>
                <c:pt idx="3">
                  <c:v>118</c:v>
                </c:pt>
                <c:pt idx="4">
                  <c:v>135</c:v>
                </c:pt>
                <c:pt idx="5">
                  <c:v>150</c:v>
                </c:pt>
              </c:numCache>
            </c:numRef>
          </c:val>
          <c:extLst>
            <c:ext xmlns:c16="http://schemas.microsoft.com/office/drawing/2014/chart" uri="{C3380CC4-5D6E-409C-BE32-E72D297353CC}">
              <c16:uniqueId val="{00000000-9541-4CF9-AA0D-BB4CF06B31DD}"/>
            </c:ext>
          </c:extLst>
        </c:ser>
        <c:dLbls>
          <c:showLegendKey val="0"/>
          <c:showVal val="0"/>
          <c:showCatName val="0"/>
          <c:showSerName val="0"/>
          <c:showPercent val="0"/>
          <c:showBubbleSize val="0"/>
        </c:dLbls>
        <c:gapWidth val="219"/>
        <c:overlap val="-27"/>
        <c:axId val="909626304"/>
        <c:axId val="799518640"/>
      </c:barChart>
      <c:catAx>
        <c:axId val="90962630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9518640"/>
        <c:crosses val="autoZero"/>
        <c:auto val="1"/>
        <c:lblAlgn val="ctr"/>
        <c:lblOffset val="100"/>
        <c:noMultiLvlLbl val="0"/>
      </c:catAx>
      <c:valAx>
        <c:axId val="79951864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09626304"/>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148518064395552E-2"/>
          <c:y val="0.32434385610055633"/>
          <c:w val="0.91375048197268138"/>
          <c:h val="0.56269609188759662"/>
        </c:manualLayout>
      </c:layout>
      <c:barChart>
        <c:barDir val="col"/>
        <c:grouping val="stacked"/>
        <c:varyColors val="0"/>
        <c:ser>
          <c:idx val="0"/>
          <c:order val="0"/>
          <c:tx>
            <c:strRef>
              <c:f>'1.16C'!$S$3</c:f>
              <c:strCache>
                <c:ptCount val="1"/>
                <c:pt idx="0">
                  <c:v>Export barrier</c:v>
                </c:pt>
              </c:strCache>
            </c:strRef>
          </c:tx>
          <c:spPr>
            <a:solidFill>
              <a:srgbClr val="002345"/>
            </a:solidFill>
            <a:ln w="76200">
              <a:noFill/>
            </a:ln>
            <a:effectLst/>
          </c:spPr>
          <c:invertIfNegative val="0"/>
          <c:cat>
            <c:strRef>
              <c:f>'1.16C'!$R$4:$R$5</c:f>
              <c:strCache>
                <c:ptCount val="2"/>
                <c:pt idx="0">
                  <c:v>Non-SAR EMDEs</c:v>
                </c:pt>
                <c:pt idx="1">
                  <c:v>SAR</c:v>
                </c:pt>
              </c:strCache>
            </c:strRef>
          </c:cat>
          <c:val>
            <c:numRef>
              <c:f>'1.16C'!$S$4:$S$5</c:f>
              <c:numCache>
                <c:formatCode>0.0</c:formatCode>
                <c:ptCount val="2"/>
                <c:pt idx="0">
                  <c:v>10.1</c:v>
                </c:pt>
                <c:pt idx="1">
                  <c:v>8.5</c:v>
                </c:pt>
              </c:numCache>
            </c:numRef>
          </c:val>
          <c:extLst>
            <c:ext xmlns:c16="http://schemas.microsoft.com/office/drawing/2014/chart" uri="{C3380CC4-5D6E-409C-BE32-E72D297353CC}">
              <c16:uniqueId val="{00000000-8E2D-47D8-B83D-6776E97F101D}"/>
            </c:ext>
          </c:extLst>
        </c:ser>
        <c:ser>
          <c:idx val="1"/>
          <c:order val="1"/>
          <c:tx>
            <c:strRef>
              <c:f>'1.16C'!$T$3</c:f>
              <c:strCache>
                <c:ptCount val="1"/>
                <c:pt idx="0">
                  <c:v>Import barrier</c:v>
                </c:pt>
              </c:strCache>
            </c:strRef>
          </c:tx>
          <c:spPr>
            <a:solidFill>
              <a:srgbClr val="EB1C2D"/>
            </a:solidFill>
            <a:ln w="76200">
              <a:noFill/>
            </a:ln>
            <a:effectLst/>
          </c:spPr>
          <c:invertIfNegative val="0"/>
          <c:cat>
            <c:strRef>
              <c:f>'1.16C'!$R$4:$R$5</c:f>
              <c:strCache>
                <c:ptCount val="2"/>
                <c:pt idx="0">
                  <c:v>Non-SAR EMDEs</c:v>
                </c:pt>
                <c:pt idx="1">
                  <c:v>SAR</c:v>
                </c:pt>
              </c:strCache>
            </c:strRef>
          </c:cat>
          <c:val>
            <c:numRef>
              <c:f>'1.16C'!$T$4:$T$5</c:f>
              <c:numCache>
                <c:formatCode>0.0</c:formatCode>
                <c:ptCount val="2"/>
                <c:pt idx="0">
                  <c:v>21</c:v>
                </c:pt>
                <c:pt idx="1">
                  <c:v>41.5</c:v>
                </c:pt>
              </c:numCache>
            </c:numRef>
          </c:val>
          <c:extLst>
            <c:ext xmlns:c16="http://schemas.microsoft.com/office/drawing/2014/chart" uri="{C3380CC4-5D6E-409C-BE32-E72D297353CC}">
              <c16:uniqueId val="{00000001-8E2D-47D8-B83D-6776E97F101D}"/>
            </c:ext>
          </c:extLst>
        </c:ser>
        <c:ser>
          <c:idx val="2"/>
          <c:order val="2"/>
          <c:tx>
            <c:strRef>
              <c:f>'1.16C'!$U$3</c:f>
              <c:strCache>
                <c:ptCount val="1"/>
                <c:pt idx="0">
                  <c:v>Domestic subsidy</c:v>
                </c:pt>
              </c:strCache>
            </c:strRef>
          </c:tx>
          <c:spPr>
            <a:solidFill>
              <a:srgbClr val="F78D28"/>
            </a:solidFill>
            <a:ln w="76200">
              <a:noFill/>
            </a:ln>
            <a:effectLst/>
          </c:spPr>
          <c:invertIfNegative val="0"/>
          <c:cat>
            <c:strRef>
              <c:f>'1.16C'!$R$4:$R$5</c:f>
              <c:strCache>
                <c:ptCount val="2"/>
                <c:pt idx="0">
                  <c:v>Non-SAR EMDEs</c:v>
                </c:pt>
                <c:pt idx="1">
                  <c:v>SAR</c:v>
                </c:pt>
              </c:strCache>
            </c:strRef>
          </c:cat>
          <c:val>
            <c:numRef>
              <c:f>'1.16C'!$U$4:$U$5</c:f>
              <c:numCache>
                <c:formatCode>0.0</c:formatCode>
                <c:ptCount val="2"/>
                <c:pt idx="0">
                  <c:v>52.4</c:v>
                </c:pt>
                <c:pt idx="1">
                  <c:v>24.6</c:v>
                </c:pt>
              </c:numCache>
            </c:numRef>
          </c:val>
          <c:extLst>
            <c:ext xmlns:c16="http://schemas.microsoft.com/office/drawing/2014/chart" uri="{C3380CC4-5D6E-409C-BE32-E72D297353CC}">
              <c16:uniqueId val="{00000002-8E2D-47D8-B83D-6776E97F101D}"/>
            </c:ext>
          </c:extLst>
        </c:ser>
        <c:ser>
          <c:idx val="3"/>
          <c:order val="3"/>
          <c:tx>
            <c:strRef>
              <c:f>'1.16C'!$V$3</c:f>
              <c:strCache>
                <c:ptCount val="1"/>
                <c:pt idx="0">
                  <c:v>Export incentives</c:v>
                </c:pt>
              </c:strCache>
            </c:strRef>
          </c:tx>
          <c:spPr>
            <a:solidFill>
              <a:srgbClr val="FDB714"/>
            </a:solidFill>
            <a:ln w="76200">
              <a:noFill/>
            </a:ln>
            <a:effectLst/>
          </c:spPr>
          <c:invertIfNegative val="0"/>
          <c:cat>
            <c:strRef>
              <c:f>'1.16C'!$R$4:$R$5</c:f>
              <c:strCache>
                <c:ptCount val="2"/>
                <c:pt idx="0">
                  <c:v>Non-SAR EMDEs</c:v>
                </c:pt>
                <c:pt idx="1">
                  <c:v>SAR</c:v>
                </c:pt>
              </c:strCache>
            </c:strRef>
          </c:cat>
          <c:val>
            <c:numRef>
              <c:f>'1.16C'!$V$4:$V$5</c:f>
              <c:numCache>
                <c:formatCode>0.0</c:formatCode>
                <c:ptCount val="2"/>
                <c:pt idx="0">
                  <c:v>5.3</c:v>
                </c:pt>
                <c:pt idx="1">
                  <c:v>5.0999999999999996</c:v>
                </c:pt>
              </c:numCache>
            </c:numRef>
          </c:val>
          <c:extLst>
            <c:ext xmlns:c16="http://schemas.microsoft.com/office/drawing/2014/chart" uri="{C3380CC4-5D6E-409C-BE32-E72D297353CC}">
              <c16:uniqueId val="{00000003-8E2D-47D8-B83D-6776E97F101D}"/>
            </c:ext>
          </c:extLst>
        </c:ser>
        <c:ser>
          <c:idx val="4"/>
          <c:order val="4"/>
          <c:tx>
            <c:strRef>
              <c:f>'1.16C'!$W$3</c:f>
              <c:strCache>
                <c:ptCount val="1"/>
                <c:pt idx="0">
                  <c:v>FDI</c:v>
                </c:pt>
              </c:strCache>
            </c:strRef>
          </c:tx>
          <c:spPr>
            <a:solidFill>
              <a:srgbClr val="00AB51"/>
            </a:solidFill>
            <a:ln w="76200">
              <a:noFill/>
            </a:ln>
            <a:effectLst/>
          </c:spPr>
          <c:invertIfNegative val="0"/>
          <c:cat>
            <c:strRef>
              <c:f>'1.16C'!$R$4:$R$5</c:f>
              <c:strCache>
                <c:ptCount val="2"/>
                <c:pt idx="0">
                  <c:v>Non-SAR EMDEs</c:v>
                </c:pt>
                <c:pt idx="1">
                  <c:v>SAR</c:v>
                </c:pt>
              </c:strCache>
            </c:strRef>
          </c:cat>
          <c:val>
            <c:numRef>
              <c:f>'1.16C'!$W$4:$W$5</c:f>
              <c:numCache>
                <c:formatCode>0.0</c:formatCode>
                <c:ptCount val="2"/>
                <c:pt idx="0">
                  <c:v>4.0999999999999996</c:v>
                </c:pt>
                <c:pt idx="1">
                  <c:v>0</c:v>
                </c:pt>
              </c:numCache>
            </c:numRef>
          </c:val>
          <c:extLst>
            <c:ext xmlns:c16="http://schemas.microsoft.com/office/drawing/2014/chart" uri="{C3380CC4-5D6E-409C-BE32-E72D297353CC}">
              <c16:uniqueId val="{00000004-8E2D-47D8-B83D-6776E97F101D}"/>
            </c:ext>
          </c:extLst>
        </c:ser>
        <c:ser>
          <c:idx val="5"/>
          <c:order val="5"/>
          <c:tx>
            <c:strRef>
              <c:f>'1.16C'!$X$3</c:f>
              <c:strCache>
                <c:ptCount val="1"/>
                <c:pt idx="0">
                  <c:v>Procurement</c:v>
                </c:pt>
              </c:strCache>
            </c:strRef>
          </c:tx>
          <c:spPr>
            <a:solidFill>
              <a:srgbClr val="00ADE4"/>
            </a:solidFill>
            <a:ln w="76200">
              <a:noFill/>
            </a:ln>
            <a:effectLst/>
          </c:spPr>
          <c:invertIfNegative val="0"/>
          <c:cat>
            <c:strRef>
              <c:f>'1.16C'!$R$4:$R$5</c:f>
              <c:strCache>
                <c:ptCount val="2"/>
                <c:pt idx="0">
                  <c:v>Non-SAR EMDEs</c:v>
                </c:pt>
                <c:pt idx="1">
                  <c:v>SAR</c:v>
                </c:pt>
              </c:strCache>
            </c:strRef>
          </c:cat>
          <c:val>
            <c:numRef>
              <c:f>'1.16C'!$X$4:$X$5</c:f>
              <c:numCache>
                <c:formatCode>0.0</c:formatCode>
                <c:ptCount val="2"/>
                <c:pt idx="0">
                  <c:v>1</c:v>
                </c:pt>
                <c:pt idx="1">
                  <c:v>0.9</c:v>
                </c:pt>
              </c:numCache>
            </c:numRef>
          </c:val>
          <c:extLst>
            <c:ext xmlns:c16="http://schemas.microsoft.com/office/drawing/2014/chart" uri="{C3380CC4-5D6E-409C-BE32-E72D297353CC}">
              <c16:uniqueId val="{00000005-8E2D-47D8-B83D-6776E97F101D}"/>
            </c:ext>
          </c:extLst>
        </c:ser>
        <c:ser>
          <c:idx val="6"/>
          <c:order val="6"/>
          <c:tx>
            <c:strRef>
              <c:f>'1.16C'!$Y$3</c:f>
              <c:strCache>
                <c:ptCount val="1"/>
                <c:pt idx="0">
                  <c:v>Localization</c:v>
                </c:pt>
              </c:strCache>
            </c:strRef>
          </c:tx>
          <c:spPr>
            <a:solidFill>
              <a:srgbClr val="872B90"/>
            </a:solidFill>
            <a:ln w="76200">
              <a:noFill/>
            </a:ln>
            <a:effectLst/>
          </c:spPr>
          <c:invertIfNegative val="0"/>
          <c:cat>
            <c:strRef>
              <c:f>'1.16C'!$R$4:$R$5</c:f>
              <c:strCache>
                <c:ptCount val="2"/>
                <c:pt idx="0">
                  <c:v>Non-SAR EMDEs</c:v>
                </c:pt>
                <c:pt idx="1">
                  <c:v>SAR</c:v>
                </c:pt>
              </c:strCache>
            </c:strRef>
          </c:cat>
          <c:val>
            <c:numRef>
              <c:f>'1.16C'!$Y$4:$Y$5</c:f>
              <c:numCache>
                <c:formatCode>0.0</c:formatCode>
                <c:ptCount val="2"/>
                <c:pt idx="0">
                  <c:v>4.5999999999999996</c:v>
                </c:pt>
                <c:pt idx="1">
                  <c:v>19.5</c:v>
                </c:pt>
              </c:numCache>
            </c:numRef>
          </c:val>
          <c:extLst>
            <c:ext xmlns:c16="http://schemas.microsoft.com/office/drawing/2014/chart" uri="{C3380CC4-5D6E-409C-BE32-E72D297353CC}">
              <c16:uniqueId val="{00000006-8E2D-47D8-B83D-6776E97F101D}"/>
            </c:ext>
          </c:extLst>
        </c:ser>
        <c:ser>
          <c:idx val="7"/>
          <c:order val="7"/>
          <c:tx>
            <c:strRef>
              <c:f>'1.16C'!$Z$3</c:f>
              <c:strCache>
                <c:ptCount val="1"/>
                <c:pt idx="0">
                  <c:v>Other</c:v>
                </c:pt>
              </c:strCache>
            </c:strRef>
          </c:tx>
          <c:spPr>
            <a:solidFill>
              <a:srgbClr val="00A996"/>
            </a:solidFill>
            <a:ln w="76200">
              <a:noFill/>
            </a:ln>
            <a:effectLst/>
          </c:spPr>
          <c:invertIfNegative val="0"/>
          <c:cat>
            <c:strRef>
              <c:f>'1.16C'!$R$4:$R$5</c:f>
              <c:strCache>
                <c:ptCount val="2"/>
                <c:pt idx="0">
                  <c:v>Non-SAR EMDEs</c:v>
                </c:pt>
                <c:pt idx="1">
                  <c:v>SAR</c:v>
                </c:pt>
              </c:strCache>
            </c:strRef>
          </c:cat>
          <c:val>
            <c:numRef>
              <c:f>'1.16C'!$Z$4:$Z$5</c:f>
              <c:numCache>
                <c:formatCode>0.0</c:formatCode>
                <c:ptCount val="2"/>
                <c:pt idx="0">
                  <c:v>1.5</c:v>
                </c:pt>
                <c:pt idx="1">
                  <c:v>0</c:v>
                </c:pt>
              </c:numCache>
            </c:numRef>
          </c:val>
          <c:extLst>
            <c:ext xmlns:c16="http://schemas.microsoft.com/office/drawing/2014/chart" uri="{C3380CC4-5D6E-409C-BE32-E72D297353CC}">
              <c16:uniqueId val="{00000007-8E2D-47D8-B83D-6776E97F101D}"/>
            </c:ext>
          </c:extLst>
        </c:ser>
        <c:dLbls>
          <c:showLegendKey val="0"/>
          <c:showVal val="0"/>
          <c:showCatName val="0"/>
          <c:showSerName val="0"/>
          <c:showPercent val="0"/>
          <c:showBubbleSize val="0"/>
        </c:dLbls>
        <c:gapWidth val="150"/>
        <c:overlap val="100"/>
        <c:axId val="158633407"/>
        <c:axId val="47448767"/>
      </c:barChart>
      <c:catAx>
        <c:axId val="15863340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7448767"/>
        <c:crosses val="autoZero"/>
        <c:auto val="1"/>
        <c:lblAlgn val="ctr"/>
        <c:lblOffset val="100"/>
        <c:noMultiLvlLbl val="0"/>
      </c:catAx>
      <c:valAx>
        <c:axId val="47448767"/>
        <c:scaling>
          <c:orientation val="minMax"/>
          <c:max val="100"/>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8633407"/>
        <c:crosses val="autoZero"/>
        <c:crossBetween val="between"/>
      </c:valAx>
      <c:spPr>
        <a:noFill/>
        <a:ln>
          <a:noFill/>
        </a:ln>
        <a:effectLst/>
      </c:spPr>
    </c:plotArea>
    <c:legend>
      <c:legendPos val="t"/>
      <c:layout>
        <c:manualLayout>
          <c:xMode val="edge"/>
          <c:yMode val="edge"/>
          <c:x val="8.824562554680665E-2"/>
          <c:y val="7.3119701099479351E-2"/>
          <c:w val="0.88309776902887138"/>
          <c:h val="0.2451110678918383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5996764623656791E-2"/>
          <c:y val="0.12887189651499889"/>
          <c:w val="0.88883605164659485"/>
          <c:h val="0.32108048392162808"/>
        </c:manualLayout>
      </c:layout>
      <c:barChart>
        <c:barDir val="col"/>
        <c:grouping val="clustered"/>
        <c:varyColors val="0"/>
        <c:ser>
          <c:idx val="0"/>
          <c:order val="0"/>
          <c:tx>
            <c:strRef>
              <c:f>'1.16D'!$R$4</c:f>
              <c:strCache>
                <c:ptCount val="1"/>
                <c:pt idx="0">
                  <c:v>Other EMDEs</c:v>
                </c:pt>
              </c:strCache>
            </c:strRef>
          </c:tx>
          <c:spPr>
            <a:solidFill>
              <a:srgbClr val="002345"/>
            </a:solidFill>
            <a:ln w="50800">
              <a:noFill/>
            </a:ln>
            <a:effectLst/>
          </c:spPr>
          <c:invertIfNegative val="0"/>
          <c:cat>
            <c:strRef>
              <c:f>'1.16D'!$S$3:$W$3</c:f>
              <c:strCache>
                <c:ptCount val="5"/>
                <c:pt idx="0">
                  <c:v>Strategic
competitiveness</c:v>
                </c:pt>
                <c:pt idx="1">
                  <c:v>Resilience of
non-food supply</c:v>
                </c:pt>
                <c:pt idx="2">
                  <c:v>Climate change
mitigation</c:v>
                </c:pt>
                <c:pt idx="3">
                  <c:v>National
security</c:v>
                </c:pt>
                <c:pt idx="4">
                  <c:v>Geopolitical
concerns</c:v>
                </c:pt>
              </c:strCache>
            </c:strRef>
          </c:cat>
          <c:val>
            <c:numRef>
              <c:f>'1.16D'!$S$4:$W$4</c:f>
              <c:numCache>
                <c:formatCode>0.0</c:formatCode>
                <c:ptCount val="5"/>
                <c:pt idx="0">
                  <c:v>58.8</c:v>
                </c:pt>
                <c:pt idx="1">
                  <c:v>15.5</c:v>
                </c:pt>
                <c:pt idx="2">
                  <c:v>12.2</c:v>
                </c:pt>
                <c:pt idx="3">
                  <c:v>7.9</c:v>
                </c:pt>
                <c:pt idx="4">
                  <c:v>5.6</c:v>
                </c:pt>
              </c:numCache>
            </c:numRef>
          </c:val>
          <c:extLst>
            <c:ext xmlns:c16="http://schemas.microsoft.com/office/drawing/2014/chart" uri="{C3380CC4-5D6E-409C-BE32-E72D297353CC}">
              <c16:uniqueId val="{00000000-AE10-44D8-98E2-8797D3B3CBBE}"/>
            </c:ext>
          </c:extLst>
        </c:ser>
        <c:ser>
          <c:idx val="1"/>
          <c:order val="1"/>
          <c:tx>
            <c:strRef>
              <c:f>'1.16D'!$R$5</c:f>
              <c:strCache>
                <c:ptCount val="1"/>
                <c:pt idx="0">
                  <c:v>SAR</c:v>
                </c:pt>
              </c:strCache>
            </c:strRef>
          </c:tx>
          <c:spPr>
            <a:solidFill>
              <a:srgbClr val="EB1C2D"/>
            </a:solidFill>
            <a:ln w="50800">
              <a:noFill/>
            </a:ln>
            <a:effectLst/>
          </c:spPr>
          <c:invertIfNegative val="0"/>
          <c:cat>
            <c:strRef>
              <c:f>'1.16D'!$S$3:$W$3</c:f>
              <c:strCache>
                <c:ptCount val="5"/>
                <c:pt idx="0">
                  <c:v>Strategic
competitiveness</c:v>
                </c:pt>
                <c:pt idx="1">
                  <c:v>Resilience of
non-food supply</c:v>
                </c:pt>
                <c:pt idx="2">
                  <c:v>Climate change
mitigation</c:v>
                </c:pt>
                <c:pt idx="3">
                  <c:v>National
security</c:v>
                </c:pt>
                <c:pt idx="4">
                  <c:v>Geopolitical
concerns</c:v>
                </c:pt>
              </c:strCache>
            </c:strRef>
          </c:cat>
          <c:val>
            <c:numRef>
              <c:f>'1.16D'!$S$5:$W$5</c:f>
              <c:numCache>
                <c:formatCode>0.0</c:formatCode>
                <c:ptCount val="5"/>
                <c:pt idx="0">
                  <c:v>69</c:v>
                </c:pt>
                <c:pt idx="1">
                  <c:v>24.1</c:v>
                </c:pt>
                <c:pt idx="2">
                  <c:v>6.9</c:v>
                </c:pt>
                <c:pt idx="3">
                  <c:v>0</c:v>
                </c:pt>
                <c:pt idx="4">
                  <c:v>0</c:v>
                </c:pt>
              </c:numCache>
            </c:numRef>
          </c:val>
          <c:extLst>
            <c:ext xmlns:c16="http://schemas.microsoft.com/office/drawing/2014/chart" uri="{C3380CC4-5D6E-409C-BE32-E72D297353CC}">
              <c16:uniqueId val="{00000001-AE10-44D8-98E2-8797D3B3CBBE}"/>
            </c:ext>
          </c:extLst>
        </c:ser>
        <c:dLbls>
          <c:showLegendKey val="0"/>
          <c:showVal val="0"/>
          <c:showCatName val="0"/>
          <c:showSerName val="0"/>
          <c:showPercent val="0"/>
          <c:showBubbleSize val="0"/>
        </c:dLbls>
        <c:gapWidth val="219"/>
        <c:overlap val="-27"/>
        <c:axId val="519431552"/>
        <c:axId val="518869072"/>
      </c:barChart>
      <c:catAx>
        <c:axId val="51943155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518869072"/>
        <c:crosses val="autoZero"/>
        <c:auto val="1"/>
        <c:lblAlgn val="ctr"/>
        <c:lblOffset val="100"/>
        <c:noMultiLvlLbl val="0"/>
      </c:catAx>
      <c:valAx>
        <c:axId val="5188690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19431552"/>
        <c:crosses val="autoZero"/>
        <c:crossBetween val="between"/>
        <c:majorUnit val="20"/>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1"/>
          <c:order val="1"/>
          <c:tx>
            <c:strRef>
              <c:f>'1.16E'!$R$5</c:f>
              <c:strCache>
                <c:ptCount val="1"/>
                <c:pt idx="0">
                  <c:v>Interquartile range</c:v>
                </c:pt>
              </c:strCache>
            </c:strRef>
          </c:tx>
          <c:spPr>
            <a:solidFill>
              <a:schemeClr val="accent1"/>
            </a:solidFill>
            <a:ln w="76200">
              <a:noFill/>
            </a:ln>
            <a:effectLst/>
          </c:spPr>
          <c:invertIfNegative val="0"/>
          <c:dPt>
            <c:idx val="4"/>
            <c:invertIfNegative val="0"/>
            <c:bubble3D val="0"/>
            <c:spPr>
              <a:solidFill>
                <a:schemeClr val="accent1"/>
              </a:solidFill>
              <a:ln w="76200">
                <a:noFill/>
              </a:ln>
              <a:effectLst/>
            </c:spPr>
            <c:extLst>
              <c:ext xmlns:c16="http://schemas.microsoft.com/office/drawing/2014/chart" uri="{C3380CC4-5D6E-409C-BE32-E72D297353CC}">
                <c16:uniqueId val="{00000001-4A06-449D-83FA-87AF47B6D697}"/>
              </c:ext>
            </c:extLst>
          </c:dPt>
          <c:dPt>
            <c:idx val="5"/>
            <c:invertIfNegative val="0"/>
            <c:bubble3D val="0"/>
            <c:spPr>
              <a:noFill/>
              <a:ln w="76200">
                <a:noFill/>
              </a:ln>
              <a:effectLst/>
            </c:spPr>
            <c:extLst>
              <c:ext xmlns:c16="http://schemas.microsoft.com/office/drawing/2014/chart" uri="{C3380CC4-5D6E-409C-BE32-E72D297353CC}">
                <c16:uniqueId val="{00000003-4A06-449D-83FA-87AF47B6D697}"/>
              </c:ext>
            </c:extLst>
          </c:dPt>
          <c:dPt>
            <c:idx val="6"/>
            <c:invertIfNegative val="0"/>
            <c:bubble3D val="0"/>
            <c:spPr>
              <a:solidFill>
                <a:schemeClr val="bg1"/>
              </a:solidFill>
              <a:ln w="76200">
                <a:noFill/>
              </a:ln>
              <a:effectLst/>
            </c:spPr>
            <c:extLst>
              <c:ext xmlns:c16="http://schemas.microsoft.com/office/drawing/2014/chart" uri="{C3380CC4-5D6E-409C-BE32-E72D297353CC}">
                <c16:uniqueId val="{00000005-4A06-449D-83FA-87AF47B6D697}"/>
              </c:ext>
            </c:extLst>
          </c:dPt>
          <c:cat>
            <c:strRef>
              <c:f>'1.16E'!$S$3:$X$3</c:f>
              <c:strCache>
                <c:ptCount val="6"/>
                <c:pt idx="0">
                  <c:v>EAP</c:v>
                </c:pt>
                <c:pt idx="1">
                  <c:v>ECA</c:v>
                </c:pt>
                <c:pt idx="2">
                  <c:v>LAC</c:v>
                </c:pt>
                <c:pt idx="3">
                  <c:v>MNA</c:v>
                </c:pt>
                <c:pt idx="4">
                  <c:v>SAR</c:v>
                </c:pt>
                <c:pt idx="5">
                  <c:v>SSA</c:v>
                </c:pt>
              </c:strCache>
            </c:strRef>
          </c:cat>
          <c:val>
            <c:numRef>
              <c:f>'1.16E'!$S$5:$X$5</c:f>
              <c:numCache>
                <c:formatCode>0.00</c:formatCode>
                <c:ptCount val="6"/>
                <c:pt idx="0">
                  <c:v>0.3</c:v>
                </c:pt>
                <c:pt idx="1">
                  <c:v>0.01</c:v>
                </c:pt>
                <c:pt idx="2">
                  <c:v>0.19</c:v>
                </c:pt>
                <c:pt idx="3">
                  <c:v>0.13</c:v>
                </c:pt>
                <c:pt idx="4">
                  <c:v>0.08</c:v>
                </c:pt>
                <c:pt idx="5">
                  <c:v>-0.57999999999999996</c:v>
                </c:pt>
              </c:numCache>
            </c:numRef>
          </c:val>
          <c:extLst>
            <c:ext xmlns:c16="http://schemas.microsoft.com/office/drawing/2014/chart" uri="{C3380CC4-5D6E-409C-BE32-E72D297353CC}">
              <c16:uniqueId val="{00000006-4A06-449D-83FA-87AF47B6D697}"/>
            </c:ext>
          </c:extLst>
        </c:ser>
        <c:ser>
          <c:idx val="2"/>
          <c:order val="2"/>
          <c:tx>
            <c:strRef>
              <c:f>'1.16E'!$R$6</c:f>
              <c:strCache>
                <c:ptCount val="1"/>
                <c:pt idx="0">
                  <c:v>IQR Range</c:v>
                </c:pt>
              </c:strCache>
            </c:strRef>
          </c:tx>
          <c:spPr>
            <a:solidFill>
              <a:schemeClr val="accent1"/>
            </a:solidFill>
            <a:ln w="76200">
              <a:noFill/>
            </a:ln>
            <a:effectLst/>
          </c:spPr>
          <c:invertIfNegative val="0"/>
          <c:cat>
            <c:strRef>
              <c:f>'1.16E'!$S$3:$X$3</c:f>
              <c:strCache>
                <c:ptCount val="6"/>
                <c:pt idx="0">
                  <c:v>EAP</c:v>
                </c:pt>
                <c:pt idx="1">
                  <c:v>ECA</c:v>
                </c:pt>
                <c:pt idx="2">
                  <c:v>LAC</c:v>
                </c:pt>
                <c:pt idx="3">
                  <c:v>MNA</c:v>
                </c:pt>
                <c:pt idx="4">
                  <c:v>SAR</c:v>
                </c:pt>
                <c:pt idx="5">
                  <c:v>SSA</c:v>
                </c:pt>
              </c:strCache>
            </c:strRef>
          </c:cat>
          <c:val>
            <c:numRef>
              <c:f>'1.16E'!$S$6:$X$6</c:f>
              <c:numCache>
                <c:formatCode>0.00</c:formatCode>
                <c:ptCount val="6"/>
                <c:pt idx="0">
                  <c:v>-0.5</c:v>
                </c:pt>
                <c:pt idx="1">
                  <c:v>-0.49</c:v>
                </c:pt>
                <c:pt idx="2">
                  <c:v>-0.57999999999999996</c:v>
                </c:pt>
                <c:pt idx="3">
                  <c:v>-1.0900000000000001</c:v>
                </c:pt>
                <c:pt idx="4">
                  <c:v>-0.86</c:v>
                </c:pt>
                <c:pt idx="5">
                  <c:v>-0.7</c:v>
                </c:pt>
              </c:numCache>
            </c:numRef>
          </c:val>
          <c:extLst>
            <c:ext xmlns:c16="http://schemas.microsoft.com/office/drawing/2014/chart" uri="{C3380CC4-5D6E-409C-BE32-E72D297353CC}">
              <c16:uniqueId val="{00000007-4A06-449D-83FA-87AF47B6D697}"/>
            </c:ext>
          </c:extLst>
        </c:ser>
        <c:dLbls>
          <c:showLegendKey val="0"/>
          <c:showVal val="0"/>
          <c:showCatName val="0"/>
          <c:showSerName val="0"/>
          <c:showPercent val="0"/>
          <c:showBubbleSize val="0"/>
        </c:dLbls>
        <c:gapWidth val="150"/>
        <c:overlap val="100"/>
        <c:axId val="366289375"/>
        <c:axId val="366290335"/>
      </c:barChart>
      <c:lineChart>
        <c:grouping val="standard"/>
        <c:varyColors val="0"/>
        <c:ser>
          <c:idx val="0"/>
          <c:order val="0"/>
          <c:tx>
            <c:strRef>
              <c:f>'1.16E'!$R$4</c:f>
              <c:strCache>
                <c:ptCount val="1"/>
                <c:pt idx="0">
                  <c:v>Region average</c:v>
                </c:pt>
              </c:strCache>
            </c:strRef>
          </c:tx>
          <c:spPr>
            <a:ln w="76200" cap="rnd">
              <a:noFill/>
              <a:round/>
            </a:ln>
            <a:effectLst/>
          </c:spPr>
          <c:marker>
            <c:symbol val="dash"/>
            <c:size val="20"/>
            <c:spPr>
              <a:solidFill>
                <a:schemeClr val="accent4"/>
              </a:solidFill>
              <a:ln w="76200">
                <a:noFill/>
              </a:ln>
              <a:effectLst/>
            </c:spPr>
          </c:marker>
          <c:cat>
            <c:strRef>
              <c:f>'1.16E'!$S$3:$X$3</c:f>
              <c:strCache>
                <c:ptCount val="6"/>
                <c:pt idx="0">
                  <c:v>EAP</c:v>
                </c:pt>
                <c:pt idx="1">
                  <c:v>ECA</c:v>
                </c:pt>
                <c:pt idx="2">
                  <c:v>LAC</c:v>
                </c:pt>
                <c:pt idx="3">
                  <c:v>MNA</c:v>
                </c:pt>
                <c:pt idx="4">
                  <c:v>SAR</c:v>
                </c:pt>
                <c:pt idx="5">
                  <c:v>SSA</c:v>
                </c:pt>
              </c:strCache>
            </c:strRef>
          </c:cat>
          <c:val>
            <c:numRef>
              <c:f>'1.16E'!$S$4:$X$4</c:f>
              <c:numCache>
                <c:formatCode>0.00</c:formatCode>
                <c:ptCount val="6"/>
                <c:pt idx="0">
                  <c:v>-0.02</c:v>
                </c:pt>
                <c:pt idx="1">
                  <c:v>-0.22</c:v>
                </c:pt>
                <c:pt idx="2">
                  <c:v>-0.23</c:v>
                </c:pt>
                <c:pt idx="3">
                  <c:v>-0.46</c:v>
                </c:pt>
                <c:pt idx="4">
                  <c:v>-0.45</c:v>
                </c:pt>
                <c:pt idx="5">
                  <c:v>-0.85</c:v>
                </c:pt>
              </c:numCache>
            </c:numRef>
          </c:val>
          <c:smooth val="0"/>
          <c:extLst>
            <c:ext xmlns:c16="http://schemas.microsoft.com/office/drawing/2014/chart" uri="{C3380CC4-5D6E-409C-BE32-E72D297353CC}">
              <c16:uniqueId val="{00000008-4A06-449D-83FA-87AF47B6D697}"/>
            </c:ext>
          </c:extLst>
        </c:ser>
        <c:ser>
          <c:idx val="3"/>
          <c:order val="3"/>
          <c:tx>
            <c:strRef>
              <c:f>'1.16E'!$R$7</c:f>
              <c:strCache>
                <c:ptCount val="1"/>
                <c:pt idx="0">
                  <c:v>AE average</c:v>
                </c:pt>
              </c:strCache>
            </c:strRef>
          </c:tx>
          <c:spPr>
            <a:ln w="76200" cap="rnd">
              <a:solidFill>
                <a:schemeClr val="accent2"/>
              </a:solidFill>
              <a:prstDash val="sysDash"/>
              <a:round/>
            </a:ln>
            <a:effectLst/>
          </c:spPr>
          <c:marker>
            <c:symbol val="none"/>
          </c:marker>
          <c:cat>
            <c:strRef>
              <c:f>'1.16E'!$S$3:$X$3</c:f>
              <c:strCache>
                <c:ptCount val="6"/>
                <c:pt idx="0">
                  <c:v>EAP</c:v>
                </c:pt>
                <c:pt idx="1">
                  <c:v>ECA</c:v>
                </c:pt>
                <c:pt idx="2">
                  <c:v>LAC</c:v>
                </c:pt>
                <c:pt idx="3">
                  <c:v>MNA</c:v>
                </c:pt>
                <c:pt idx="4">
                  <c:v>SAR</c:v>
                </c:pt>
                <c:pt idx="5">
                  <c:v>SSA</c:v>
                </c:pt>
              </c:strCache>
            </c:strRef>
          </c:cat>
          <c:val>
            <c:numRef>
              <c:f>'1.16E'!$S$7:$X$7</c:f>
              <c:numCache>
                <c:formatCode>0.00</c:formatCode>
                <c:ptCount val="6"/>
                <c:pt idx="0">
                  <c:v>1.1599999999999999</c:v>
                </c:pt>
                <c:pt idx="1">
                  <c:v>1.1599999999999999</c:v>
                </c:pt>
                <c:pt idx="2">
                  <c:v>1.1599999999999999</c:v>
                </c:pt>
                <c:pt idx="3">
                  <c:v>1.1599999999999999</c:v>
                </c:pt>
                <c:pt idx="4">
                  <c:v>1.1599999999999999</c:v>
                </c:pt>
                <c:pt idx="5">
                  <c:v>1.1599999999999999</c:v>
                </c:pt>
              </c:numCache>
            </c:numRef>
          </c:val>
          <c:smooth val="0"/>
          <c:extLst>
            <c:ext xmlns:c16="http://schemas.microsoft.com/office/drawing/2014/chart" uri="{C3380CC4-5D6E-409C-BE32-E72D297353CC}">
              <c16:uniqueId val="{00000009-4A06-449D-83FA-87AF47B6D697}"/>
            </c:ext>
          </c:extLst>
        </c:ser>
        <c:dLbls>
          <c:showLegendKey val="0"/>
          <c:showVal val="0"/>
          <c:showCatName val="0"/>
          <c:showSerName val="0"/>
          <c:showPercent val="0"/>
          <c:showBubbleSize val="0"/>
        </c:dLbls>
        <c:marker val="1"/>
        <c:smooth val="0"/>
        <c:axId val="366289375"/>
        <c:axId val="366290335"/>
      </c:lineChart>
      <c:catAx>
        <c:axId val="36628937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66290335"/>
        <c:crosses val="autoZero"/>
        <c:auto val="1"/>
        <c:lblAlgn val="ctr"/>
        <c:lblOffset val="100"/>
        <c:noMultiLvlLbl val="0"/>
      </c:catAx>
      <c:valAx>
        <c:axId val="366290335"/>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66289375"/>
        <c:crosses val="autoZero"/>
        <c:crossBetween val="between"/>
      </c:valAx>
      <c:spPr>
        <a:noFill/>
        <a:ln>
          <a:noFill/>
        </a:ln>
        <a:effectLst/>
      </c:spPr>
    </c:plotArea>
    <c:legend>
      <c:legendPos val="t"/>
      <c:legendEntry>
        <c:idx val="1"/>
        <c:delete val="1"/>
      </c:legendEntry>
      <c:layout>
        <c:manualLayout>
          <c:xMode val="edge"/>
          <c:yMode val="edge"/>
          <c:x val="0.19403530874430169"/>
          <c:y val="1.8798218404517616E-2"/>
          <c:w val="0.72456140350877196"/>
          <c:h val="0.2305247753121768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'1.16F'!$S$3</c:f>
              <c:strCache>
                <c:ptCount val="1"/>
                <c:pt idx="0">
                  <c:v>Market share of the largest competitor</c:v>
                </c:pt>
              </c:strCache>
            </c:strRef>
          </c:tx>
          <c:spPr>
            <a:solidFill>
              <a:srgbClr val="002345"/>
            </a:solidFill>
            <a:ln w="76200">
              <a:noFill/>
            </a:ln>
            <a:effectLst/>
          </c:spPr>
          <c:invertIfNegative val="0"/>
          <c:cat>
            <c:strRef>
              <c:f>'1.16F'!$R$4:$R$9</c:f>
              <c:strCache>
                <c:ptCount val="6"/>
                <c:pt idx="0">
                  <c:v>SSA</c:v>
                </c:pt>
                <c:pt idx="1">
                  <c:v>EAP</c:v>
                </c:pt>
                <c:pt idx="2">
                  <c:v>ECA</c:v>
                </c:pt>
                <c:pt idx="3">
                  <c:v>MNA</c:v>
                </c:pt>
                <c:pt idx="4">
                  <c:v>LAC</c:v>
                </c:pt>
                <c:pt idx="5">
                  <c:v>SAR</c:v>
                </c:pt>
              </c:strCache>
            </c:strRef>
          </c:cat>
          <c:val>
            <c:numRef>
              <c:f>'1.16F'!$S$4:$S$9</c:f>
              <c:numCache>
                <c:formatCode>0.0</c:formatCode>
                <c:ptCount val="6"/>
                <c:pt idx="0">
                  <c:v>66.5</c:v>
                </c:pt>
                <c:pt idx="1">
                  <c:v>73.5</c:v>
                </c:pt>
                <c:pt idx="2">
                  <c:v>77.900000000000006</c:v>
                </c:pt>
                <c:pt idx="3">
                  <c:v>81.8</c:v>
                </c:pt>
                <c:pt idx="4">
                  <c:v>83.3</c:v>
                </c:pt>
                <c:pt idx="5">
                  <c:v>89.3</c:v>
                </c:pt>
              </c:numCache>
            </c:numRef>
          </c:val>
          <c:extLst>
            <c:ext xmlns:c16="http://schemas.microsoft.com/office/drawing/2014/chart" uri="{C3380CC4-5D6E-409C-BE32-E72D297353CC}">
              <c16:uniqueId val="{00000000-9592-4A31-8B1C-9519FDF160A4}"/>
            </c:ext>
          </c:extLst>
        </c:ser>
        <c:dLbls>
          <c:showLegendKey val="0"/>
          <c:showVal val="0"/>
          <c:showCatName val="0"/>
          <c:showSerName val="0"/>
          <c:showPercent val="0"/>
          <c:showBubbleSize val="0"/>
        </c:dLbls>
        <c:gapWidth val="219"/>
        <c:axId val="1279908384"/>
        <c:axId val="863160368"/>
      </c:barChart>
      <c:lineChart>
        <c:grouping val="standard"/>
        <c:varyColors val="0"/>
        <c:ser>
          <c:idx val="1"/>
          <c:order val="1"/>
          <c:tx>
            <c:strRef>
              <c:f>'1.16F'!$T$3</c:f>
              <c:strCache>
                <c:ptCount val="1"/>
                <c:pt idx="0">
                  <c:v>All countries</c:v>
                </c:pt>
              </c:strCache>
            </c:strRef>
          </c:tx>
          <c:spPr>
            <a:ln w="76200" cap="rnd">
              <a:solidFill>
                <a:srgbClr val="EB1C2D"/>
              </a:solidFill>
              <a:round/>
            </a:ln>
            <a:effectLst/>
          </c:spPr>
          <c:marker>
            <c:symbol val="none"/>
          </c:marker>
          <c:cat>
            <c:strRef>
              <c:f>'1.16F'!$R$4:$R$9</c:f>
              <c:strCache>
                <c:ptCount val="6"/>
                <c:pt idx="0">
                  <c:v>SSA</c:v>
                </c:pt>
                <c:pt idx="1">
                  <c:v>EAP</c:v>
                </c:pt>
                <c:pt idx="2">
                  <c:v>ECA</c:v>
                </c:pt>
                <c:pt idx="3">
                  <c:v>MNA</c:v>
                </c:pt>
                <c:pt idx="4">
                  <c:v>LAC</c:v>
                </c:pt>
                <c:pt idx="5">
                  <c:v>SAR</c:v>
                </c:pt>
              </c:strCache>
            </c:strRef>
          </c:cat>
          <c:val>
            <c:numRef>
              <c:f>'1.16F'!$T$4:$T$9</c:f>
              <c:numCache>
                <c:formatCode>0.0</c:formatCode>
                <c:ptCount val="6"/>
                <c:pt idx="0">
                  <c:v>75.5</c:v>
                </c:pt>
                <c:pt idx="1">
                  <c:v>75.5</c:v>
                </c:pt>
                <c:pt idx="2">
                  <c:v>75.5</c:v>
                </c:pt>
                <c:pt idx="3">
                  <c:v>75.5</c:v>
                </c:pt>
                <c:pt idx="4">
                  <c:v>75.5</c:v>
                </c:pt>
                <c:pt idx="5">
                  <c:v>75.5</c:v>
                </c:pt>
              </c:numCache>
            </c:numRef>
          </c:val>
          <c:smooth val="0"/>
          <c:extLst>
            <c:ext xmlns:c16="http://schemas.microsoft.com/office/drawing/2014/chart" uri="{C3380CC4-5D6E-409C-BE32-E72D297353CC}">
              <c16:uniqueId val="{00000001-9592-4A31-8B1C-9519FDF160A4}"/>
            </c:ext>
          </c:extLst>
        </c:ser>
        <c:dLbls>
          <c:showLegendKey val="0"/>
          <c:showVal val="0"/>
          <c:showCatName val="0"/>
          <c:showSerName val="0"/>
          <c:showPercent val="0"/>
          <c:showBubbleSize val="0"/>
        </c:dLbls>
        <c:marker val="1"/>
        <c:smooth val="0"/>
        <c:axId val="1279908384"/>
        <c:axId val="863160368"/>
      </c:lineChart>
      <c:catAx>
        <c:axId val="12799083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63160368"/>
        <c:crosses val="autoZero"/>
        <c:auto val="1"/>
        <c:lblAlgn val="ctr"/>
        <c:lblOffset val="100"/>
        <c:noMultiLvlLbl val="0"/>
      </c:catAx>
      <c:valAx>
        <c:axId val="863160368"/>
        <c:scaling>
          <c:orientation val="minMax"/>
          <c:min val="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79908384"/>
        <c:crosses val="autoZero"/>
        <c:crossBetween val="between"/>
        <c:majorUnit val="10"/>
      </c:valAx>
      <c:spPr>
        <a:noFill/>
        <a:ln>
          <a:noFill/>
        </a:ln>
        <a:effectLst/>
      </c:spPr>
    </c:plotArea>
    <c:legend>
      <c:legendPos val="t"/>
      <c:legendEntry>
        <c:idx val="0"/>
        <c:delete val="1"/>
      </c:legendEntry>
      <c:layout>
        <c:manualLayout>
          <c:xMode val="edge"/>
          <c:yMode val="edge"/>
          <c:x val="0.17023206474190727"/>
          <c:y val="5.9259259259259262E-2"/>
          <c:w val="0.66370253718285221"/>
          <c:h val="0.1505275590551181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8369994114536286E-2"/>
          <c:y val="4.2560240414598487E-2"/>
          <c:w val="0.88908736674930988"/>
          <c:h val="0.7599464610693929"/>
        </c:manualLayout>
      </c:layout>
      <c:areaChart>
        <c:grouping val="standard"/>
        <c:varyColors val="0"/>
        <c:ser>
          <c:idx val="6"/>
          <c:order val="1"/>
          <c:tx>
            <c:strRef>
              <c:f>'1.17A'!$R$7</c:f>
              <c:strCache>
                <c:ptCount val="1"/>
                <c:pt idx="0">
                  <c:v>EMDE interquartile range</c:v>
                </c:pt>
              </c:strCache>
            </c:strRef>
          </c:tx>
          <c:spPr>
            <a:solidFill>
              <a:schemeClr val="bg2">
                <a:lumMod val="20000"/>
                <a:lumOff val="80000"/>
              </a:schemeClr>
            </a:solidFill>
            <a:ln w="25400">
              <a:noFill/>
            </a:ln>
            <a:effectLst/>
          </c:spPr>
          <c:cat>
            <c:strRef>
              <c:f>'1.17A'!$S$3:$Z$3</c:f>
              <c:strCache>
                <c:ptCount val="8"/>
                <c:pt idx="0">
                  <c:v>MDV</c:v>
                </c:pt>
                <c:pt idx="1">
                  <c:v>BTN</c:v>
                </c:pt>
                <c:pt idx="3">
                  <c:v>IND</c:v>
                </c:pt>
                <c:pt idx="4">
                  <c:v>BGD</c:v>
                </c:pt>
                <c:pt idx="5">
                  <c:v>NPL</c:v>
                </c:pt>
                <c:pt idx="6">
                  <c:v>PAK</c:v>
                </c:pt>
                <c:pt idx="7">
                  <c:v>LKA</c:v>
                </c:pt>
              </c:strCache>
            </c:strRef>
          </c:cat>
          <c:val>
            <c:numRef>
              <c:f>'1.17A'!$S$7:$Z$7</c:f>
              <c:numCache>
                <c:formatCode>0.0</c:formatCode>
                <c:ptCount val="8"/>
                <c:pt idx="3">
                  <c:v>12</c:v>
                </c:pt>
                <c:pt idx="4">
                  <c:v>12</c:v>
                </c:pt>
                <c:pt idx="5">
                  <c:v>12</c:v>
                </c:pt>
                <c:pt idx="6">
                  <c:v>12</c:v>
                </c:pt>
                <c:pt idx="7">
                  <c:v>12</c:v>
                </c:pt>
              </c:numCache>
            </c:numRef>
          </c:val>
          <c:extLst>
            <c:ext xmlns:c16="http://schemas.microsoft.com/office/drawing/2014/chart" uri="{C3380CC4-5D6E-409C-BE32-E72D297353CC}">
              <c16:uniqueId val="{00000000-C1B3-4DA3-B2C6-EC2C7086048D}"/>
            </c:ext>
          </c:extLst>
        </c:ser>
        <c:ser>
          <c:idx val="2"/>
          <c:order val="2"/>
          <c:tx>
            <c:strRef>
              <c:f>'1.17A'!$R$6</c:f>
              <c:strCache>
                <c:ptCount val="1"/>
                <c:pt idx="0">
                  <c:v>Small EMDEs interquartile range</c:v>
                </c:pt>
              </c:strCache>
            </c:strRef>
          </c:tx>
          <c:spPr>
            <a:solidFill>
              <a:schemeClr val="bg1">
                <a:lumMod val="85000"/>
              </a:schemeClr>
            </a:solidFill>
            <a:ln w="25400">
              <a:noFill/>
            </a:ln>
            <a:effectLst/>
          </c:spPr>
          <c:cat>
            <c:strRef>
              <c:f>'1.17A'!$S$3:$Z$3</c:f>
              <c:strCache>
                <c:ptCount val="8"/>
                <c:pt idx="0">
                  <c:v>MDV</c:v>
                </c:pt>
                <c:pt idx="1">
                  <c:v>BTN</c:v>
                </c:pt>
                <c:pt idx="3">
                  <c:v>IND</c:v>
                </c:pt>
                <c:pt idx="4">
                  <c:v>BGD</c:v>
                </c:pt>
                <c:pt idx="5">
                  <c:v>NPL</c:v>
                </c:pt>
                <c:pt idx="6">
                  <c:v>PAK</c:v>
                </c:pt>
                <c:pt idx="7">
                  <c:v>LKA</c:v>
                </c:pt>
              </c:strCache>
            </c:strRef>
          </c:cat>
          <c:val>
            <c:numRef>
              <c:f>'1.17A'!$S$6:$T$6</c:f>
              <c:numCache>
                <c:formatCode>0.0</c:formatCode>
                <c:ptCount val="2"/>
                <c:pt idx="0">
                  <c:v>11.3</c:v>
                </c:pt>
                <c:pt idx="1">
                  <c:v>11.3</c:v>
                </c:pt>
              </c:numCache>
            </c:numRef>
          </c:val>
          <c:extLst>
            <c:ext xmlns:c16="http://schemas.microsoft.com/office/drawing/2014/chart" uri="{C3380CC4-5D6E-409C-BE32-E72D297353CC}">
              <c16:uniqueId val="{00000001-C1B3-4DA3-B2C6-EC2C7086048D}"/>
            </c:ext>
          </c:extLst>
        </c:ser>
        <c:ser>
          <c:idx val="1"/>
          <c:order val="4"/>
          <c:spPr>
            <a:solidFill>
              <a:schemeClr val="bg1"/>
            </a:solidFill>
            <a:ln w="25400">
              <a:noFill/>
            </a:ln>
            <a:effectLst/>
          </c:spPr>
          <c:cat>
            <c:strRef>
              <c:f>'1.17A'!$S$3:$Z$3</c:f>
              <c:strCache>
                <c:ptCount val="8"/>
                <c:pt idx="0">
                  <c:v>MDV</c:v>
                </c:pt>
                <c:pt idx="1">
                  <c:v>BTN</c:v>
                </c:pt>
                <c:pt idx="3">
                  <c:v>IND</c:v>
                </c:pt>
                <c:pt idx="4">
                  <c:v>BGD</c:v>
                </c:pt>
                <c:pt idx="5">
                  <c:v>NPL</c:v>
                </c:pt>
                <c:pt idx="6">
                  <c:v>PAK</c:v>
                </c:pt>
                <c:pt idx="7">
                  <c:v>LKA</c:v>
                </c:pt>
              </c:strCache>
            </c:strRef>
          </c:cat>
          <c:val>
            <c:numRef>
              <c:f>'1.17A'!$S$5:$Z$5</c:f>
              <c:numCache>
                <c:formatCode>0.0</c:formatCode>
                <c:ptCount val="8"/>
                <c:pt idx="0">
                  <c:v>4</c:v>
                </c:pt>
                <c:pt idx="1">
                  <c:v>4</c:v>
                </c:pt>
                <c:pt idx="2">
                  <c:v>4</c:v>
                </c:pt>
                <c:pt idx="3">
                  <c:v>6</c:v>
                </c:pt>
                <c:pt idx="4">
                  <c:v>6</c:v>
                </c:pt>
                <c:pt idx="5">
                  <c:v>6</c:v>
                </c:pt>
                <c:pt idx="6">
                  <c:v>6</c:v>
                </c:pt>
                <c:pt idx="7">
                  <c:v>6</c:v>
                </c:pt>
              </c:numCache>
            </c:numRef>
          </c:val>
          <c:extLst xmlns:c15="http://schemas.microsoft.com/office/drawing/2012/chart">
            <c:ext xmlns:c16="http://schemas.microsoft.com/office/drawing/2014/chart" uri="{C3380CC4-5D6E-409C-BE32-E72D297353CC}">
              <c16:uniqueId val="{00000002-C1B3-4DA3-B2C6-EC2C7086048D}"/>
            </c:ext>
          </c:extLst>
        </c:ser>
        <c:dLbls>
          <c:showLegendKey val="0"/>
          <c:showVal val="0"/>
          <c:showCatName val="0"/>
          <c:showSerName val="0"/>
          <c:showPercent val="0"/>
          <c:showBubbleSize val="0"/>
        </c:dLbls>
        <c:axId val="2129202911"/>
        <c:axId val="180390671"/>
      </c:areaChart>
      <c:barChart>
        <c:barDir val="col"/>
        <c:grouping val="clustered"/>
        <c:varyColors val="0"/>
        <c:ser>
          <c:idx val="0"/>
          <c:order val="0"/>
          <c:tx>
            <c:strRef>
              <c:f>'1.17A'!$R$4</c:f>
              <c:strCache>
                <c:ptCount val="1"/>
                <c:pt idx="0">
                  <c:v>Tariffs</c:v>
                </c:pt>
              </c:strCache>
            </c:strRef>
          </c:tx>
          <c:spPr>
            <a:solidFill>
              <a:schemeClr val="tx2"/>
            </a:solidFill>
            <a:ln>
              <a:noFill/>
            </a:ln>
            <a:effectLst/>
          </c:spPr>
          <c:invertIfNegative val="0"/>
          <c:cat>
            <c:strRef>
              <c:f>'1.17A'!$S$3:$Z$3</c:f>
              <c:strCache>
                <c:ptCount val="8"/>
                <c:pt idx="0">
                  <c:v>MDV</c:v>
                </c:pt>
                <c:pt idx="1">
                  <c:v>BTN</c:v>
                </c:pt>
                <c:pt idx="3">
                  <c:v>IND</c:v>
                </c:pt>
                <c:pt idx="4">
                  <c:v>BGD</c:v>
                </c:pt>
                <c:pt idx="5">
                  <c:v>NPL</c:v>
                </c:pt>
                <c:pt idx="6">
                  <c:v>PAK</c:v>
                </c:pt>
                <c:pt idx="7">
                  <c:v>LKA</c:v>
                </c:pt>
              </c:strCache>
            </c:strRef>
          </c:cat>
          <c:val>
            <c:numRef>
              <c:f>'1.17A'!$S$4:$Z$4</c:f>
              <c:numCache>
                <c:formatCode>0.0</c:formatCode>
                <c:ptCount val="8"/>
                <c:pt idx="0">
                  <c:v>11.7</c:v>
                </c:pt>
                <c:pt idx="1">
                  <c:v>9.8000000000000007</c:v>
                </c:pt>
                <c:pt idx="3">
                  <c:v>18.100000000000001</c:v>
                </c:pt>
                <c:pt idx="4">
                  <c:v>14.1</c:v>
                </c:pt>
                <c:pt idx="5">
                  <c:v>12.6</c:v>
                </c:pt>
                <c:pt idx="6">
                  <c:v>10.3</c:v>
                </c:pt>
                <c:pt idx="7">
                  <c:v>5.9</c:v>
                </c:pt>
              </c:numCache>
            </c:numRef>
          </c:val>
          <c:extLst>
            <c:ext xmlns:c16="http://schemas.microsoft.com/office/drawing/2014/chart" uri="{C3380CC4-5D6E-409C-BE32-E72D297353CC}">
              <c16:uniqueId val="{00000003-C1B3-4DA3-B2C6-EC2C7086048D}"/>
            </c:ext>
          </c:extLst>
        </c:ser>
        <c:ser>
          <c:idx val="3"/>
          <c:order val="3"/>
          <c:tx>
            <c:v>#REF!</c:v>
          </c:tx>
          <c:spPr>
            <a:solidFill>
              <a:schemeClr val="accent4"/>
            </a:solidFill>
            <a:ln>
              <a:noFill/>
            </a:ln>
            <a:effectLst/>
          </c:spPr>
          <c:invertIfNegative val="0"/>
          <c:cat>
            <c:strLit>
              <c:ptCount val="8"/>
              <c:pt idx="0">
                <c:v>MDV</c:v>
              </c:pt>
              <c:pt idx="1">
                <c:v>BTN</c:v>
              </c:pt>
              <c:pt idx="3">
                <c:v>IND</c:v>
              </c:pt>
              <c:pt idx="4">
                <c:v>BGD</c:v>
              </c:pt>
              <c:pt idx="5">
                <c:v>NPL</c:v>
              </c:pt>
              <c:pt idx="6">
                <c:v>PAK</c:v>
              </c:pt>
              <c:pt idx="7">
                <c:v>LKA</c:v>
              </c:pt>
            </c:strLit>
          </c:cat>
          <c:val>
            <c:numRef>
              <c:f>{}</c:f>
            </c:numRef>
          </c:val>
          <c:extLst xmlns:c15="http://schemas.microsoft.com/office/drawing/2012/chart">
            <c:ext xmlns:c16="http://schemas.microsoft.com/office/drawing/2014/chart" uri="{C3380CC4-5D6E-409C-BE32-E72D297353CC}">
              <c16:uniqueId val="{00000004-C1B3-4DA3-B2C6-EC2C7086048D}"/>
            </c:ext>
          </c:extLst>
        </c:ser>
        <c:dLbls>
          <c:showLegendKey val="0"/>
          <c:showVal val="0"/>
          <c:showCatName val="0"/>
          <c:showSerName val="0"/>
          <c:showPercent val="0"/>
          <c:showBubbleSize val="0"/>
        </c:dLbls>
        <c:gapWidth val="150"/>
        <c:axId val="2129202911"/>
        <c:axId val="180390671"/>
        <c:extLst/>
      </c:barChart>
      <c:catAx>
        <c:axId val="212920291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80390671"/>
        <c:crosses val="autoZero"/>
        <c:auto val="1"/>
        <c:lblAlgn val="ctr"/>
        <c:lblOffset val="100"/>
        <c:noMultiLvlLbl val="0"/>
      </c:catAx>
      <c:valAx>
        <c:axId val="180390671"/>
        <c:scaling>
          <c:orientation val="minMax"/>
          <c:max val="24"/>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29202911"/>
        <c:crosses val="autoZero"/>
        <c:crossBetween val="between"/>
        <c:majorUnit val="5"/>
      </c:valAx>
      <c:spPr>
        <a:noFill/>
        <a:ln w="25400">
          <a:noFill/>
        </a:ln>
        <a:effectLst/>
      </c:spPr>
    </c:plotArea>
    <c:legend>
      <c:legendPos val="t"/>
      <c:legendEntry>
        <c:idx val="2"/>
        <c:delete val="1"/>
      </c:legendEntry>
      <c:legendEntry>
        <c:idx val="3"/>
        <c:delete val="1"/>
      </c:legendEntry>
      <c:layout>
        <c:manualLayout>
          <c:xMode val="edge"/>
          <c:yMode val="edge"/>
          <c:x val="0.20440059055118112"/>
          <c:y val="3.3659210847833458E-2"/>
          <c:w val="0.7226890857392827"/>
          <c:h val="0.1576765271177601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355551186474185"/>
          <c:y val="0.1327834645669291"/>
          <c:w val="0.83376469058846148"/>
          <c:h val="0.59924948964712743"/>
        </c:manualLayout>
      </c:layout>
      <c:barChart>
        <c:barDir val="col"/>
        <c:grouping val="clustered"/>
        <c:varyColors val="0"/>
        <c:ser>
          <c:idx val="0"/>
          <c:order val="0"/>
          <c:tx>
            <c:strRef>
              <c:f>'1.17B'!$T$3</c:f>
              <c:strCache>
                <c:ptCount val="1"/>
                <c:pt idx="0">
                  <c:v>Within region</c:v>
                </c:pt>
              </c:strCache>
            </c:strRef>
          </c:tx>
          <c:spPr>
            <a:solidFill>
              <a:srgbClr val="002345"/>
            </a:solidFill>
            <a:ln w="76200">
              <a:noFill/>
            </a:ln>
            <a:effectLst/>
          </c:spPr>
          <c:invertIfNegative val="0"/>
          <c:dPt>
            <c:idx val="0"/>
            <c:invertIfNegative val="0"/>
            <c:bubble3D val="0"/>
            <c:spPr>
              <a:solidFill>
                <a:schemeClr val="bg2"/>
              </a:solidFill>
              <a:ln w="76200">
                <a:noFill/>
              </a:ln>
              <a:effectLst/>
            </c:spPr>
            <c:extLst>
              <c:ext xmlns:c16="http://schemas.microsoft.com/office/drawing/2014/chart" uri="{C3380CC4-5D6E-409C-BE32-E72D297353CC}">
                <c16:uniqueId val="{00000001-7C0C-4423-9428-D2A94E2FE008}"/>
              </c:ext>
            </c:extLst>
          </c:dPt>
          <c:cat>
            <c:strRef>
              <c:extLst>
                <c:ext xmlns:c15="http://schemas.microsoft.com/office/drawing/2012/chart" uri="{02D57815-91ED-43cb-92C2-25804820EDAC}">
                  <c15:fullRef>
                    <c15:sqref>'1.17B'!$R$4:$R$10</c15:sqref>
                  </c15:fullRef>
                </c:ext>
              </c:extLst>
              <c:f>'1.17B'!$R$4:$R$8</c:f>
              <c:strCache>
                <c:ptCount val="5"/>
                <c:pt idx="0">
                  <c:v>South
Asia</c:v>
                </c:pt>
                <c:pt idx="1">
                  <c:v>East
and South
Africa</c:v>
                </c:pt>
                <c:pt idx="2">
                  <c:v>Caribbean</c:v>
                </c:pt>
                <c:pt idx="3">
                  <c:v>West
Africa</c:v>
                </c:pt>
                <c:pt idx="4">
                  <c:v>Latin
America</c:v>
                </c:pt>
              </c:strCache>
            </c:strRef>
          </c:cat>
          <c:val>
            <c:numRef>
              <c:extLst>
                <c:ext xmlns:c15="http://schemas.microsoft.com/office/drawing/2012/chart" uri="{02D57815-91ED-43cb-92C2-25804820EDAC}">
                  <c15:fullRef>
                    <c15:sqref>'1.17B'!$T$4:$T$10</c15:sqref>
                  </c15:fullRef>
                </c:ext>
              </c:extLst>
              <c:f>'1.17B'!$T$4:$T$8</c:f>
              <c:numCache>
                <c:formatCode>0.0</c:formatCode>
                <c:ptCount val="5"/>
                <c:pt idx="0">
                  <c:v>245.6</c:v>
                </c:pt>
                <c:pt idx="1">
                  <c:v>231.5</c:v>
                </c:pt>
                <c:pt idx="2">
                  <c:v>143.5</c:v>
                </c:pt>
                <c:pt idx="3">
                  <c:v>141.6</c:v>
                </c:pt>
                <c:pt idx="4">
                  <c:v>130.4</c:v>
                </c:pt>
              </c:numCache>
            </c:numRef>
          </c:val>
          <c:extLst>
            <c:ext xmlns:c16="http://schemas.microsoft.com/office/drawing/2014/chart" uri="{C3380CC4-5D6E-409C-BE32-E72D297353CC}">
              <c16:uniqueId val="{00000002-7C0C-4423-9428-D2A94E2FE008}"/>
            </c:ext>
          </c:extLst>
        </c:ser>
        <c:dLbls>
          <c:showLegendKey val="0"/>
          <c:showVal val="0"/>
          <c:showCatName val="0"/>
          <c:showSerName val="0"/>
          <c:showPercent val="0"/>
          <c:showBubbleSize val="0"/>
        </c:dLbls>
        <c:gapWidth val="219"/>
        <c:axId val="1767476832"/>
        <c:axId val="1767474432"/>
      </c:barChart>
      <c:lineChart>
        <c:grouping val="standard"/>
        <c:varyColors val="0"/>
        <c:ser>
          <c:idx val="1"/>
          <c:order val="1"/>
          <c:tx>
            <c:strRef>
              <c:f>'1.17B'!$S$3</c:f>
              <c:strCache>
                <c:ptCount val="1"/>
                <c:pt idx="0">
                  <c:v>Outside region</c:v>
                </c:pt>
              </c:strCache>
            </c:strRef>
          </c:tx>
          <c:spPr>
            <a:ln w="76200" cap="rnd">
              <a:noFill/>
              <a:round/>
            </a:ln>
            <a:effectLst/>
          </c:spPr>
          <c:marker>
            <c:symbol val="diamond"/>
            <c:size val="25"/>
            <c:spPr>
              <a:solidFill>
                <a:schemeClr val="accent2"/>
              </a:solidFill>
              <a:ln w="76200">
                <a:noFill/>
              </a:ln>
              <a:effectLst/>
            </c:spPr>
          </c:marker>
          <c:cat>
            <c:strRef>
              <c:extLst>
                <c:ext xmlns:c15="http://schemas.microsoft.com/office/drawing/2012/chart" uri="{02D57815-91ED-43cb-92C2-25804820EDAC}">
                  <c15:fullRef>
                    <c15:sqref>'1.17B'!$R$4:$R$10</c15:sqref>
                  </c15:fullRef>
                </c:ext>
              </c:extLst>
              <c:f>'1.17B'!$R$4:$R$8</c:f>
              <c:strCache>
                <c:ptCount val="5"/>
                <c:pt idx="0">
                  <c:v>South
Asia</c:v>
                </c:pt>
                <c:pt idx="1">
                  <c:v>East
and South
Africa</c:v>
                </c:pt>
                <c:pt idx="2">
                  <c:v>Caribbean</c:v>
                </c:pt>
                <c:pt idx="3">
                  <c:v>West
Africa</c:v>
                </c:pt>
                <c:pt idx="4">
                  <c:v>Latin
America</c:v>
                </c:pt>
              </c:strCache>
            </c:strRef>
          </c:cat>
          <c:val>
            <c:numRef>
              <c:extLst>
                <c:ext xmlns:c15="http://schemas.microsoft.com/office/drawing/2012/chart" uri="{02D57815-91ED-43cb-92C2-25804820EDAC}">
                  <c15:fullRef>
                    <c15:sqref>'1.17B'!$S$4:$S$10</c15:sqref>
                  </c15:fullRef>
                </c:ext>
              </c:extLst>
              <c:f>'1.17B'!$S$4:$S$8</c:f>
              <c:numCache>
                <c:formatCode>0.0</c:formatCode>
                <c:ptCount val="5"/>
                <c:pt idx="0">
                  <c:v>267.60000000000002</c:v>
                </c:pt>
                <c:pt idx="1">
                  <c:v>263.5</c:v>
                </c:pt>
                <c:pt idx="2">
                  <c:v>271.2</c:v>
                </c:pt>
                <c:pt idx="3">
                  <c:v>265</c:v>
                </c:pt>
                <c:pt idx="4">
                  <c:v>229.6</c:v>
                </c:pt>
              </c:numCache>
            </c:numRef>
          </c:val>
          <c:smooth val="0"/>
          <c:extLst>
            <c:ext xmlns:c16="http://schemas.microsoft.com/office/drawing/2014/chart" uri="{C3380CC4-5D6E-409C-BE32-E72D297353CC}">
              <c16:uniqueId val="{00000003-7C0C-4423-9428-D2A94E2FE008}"/>
            </c:ext>
          </c:extLst>
        </c:ser>
        <c:dLbls>
          <c:showLegendKey val="0"/>
          <c:showVal val="0"/>
          <c:showCatName val="0"/>
          <c:showSerName val="0"/>
          <c:showPercent val="0"/>
          <c:showBubbleSize val="0"/>
        </c:dLbls>
        <c:marker val="1"/>
        <c:smooth val="0"/>
        <c:axId val="1767476832"/>
        <c:axId val="1767474432"/>
      </c:lineChart>
      <c:catAx>
        <c:axId val="176747683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67474432"/>
        <c:crosses val="autoZero"/>
        <c:auto val="1"/>
        <c:lblAlgn val="ctr"/>
        <c:lblOffset val="100"/>
        <c:tickLblSkip val="1"/>
        <c:noMultiLvlLbl val="0"/>
      </c:catAx>
      <c:valAx>
        <c:axId val="17674744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67476832"/>
        <c:crosses val="autoZero"/>
        <c:crossBetween val="between"/>
      </c:valAx>
      <c:spPr>
        <a:noFill/>
        <a:ln>
          <a:noFill/>
        </a:ln>
        <a:effectLst/>
      </c:spPr>
    </c:plotArea>
    <c:legend>
      <c:legendPos val="t"/>
      <c:layout>
        <c:manualLayout>
          <c:xMode val="edge"/>
          <c:yMode val="edge"/>
          <c:x val="0.27898661664426616"/>
          <c:y val="7.407407407407407E-2"/>
          <c:w val="0.72037295481331309"/>
          <c:h val="8.2730242053076705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a:solidFill>
            <a:sysClr val="windowText" lastClr="000000"/>
          </a:solidFill>
        </a:defRPr>
      </a:pPr>
      <a:endParaRPr lang="en-US"/>
    </a:p>
  </c:txPr>
  <c:printSettings>
    <c:headerFooter/>
    <c:pageMargins b="0.75" l="0.7" r="0.7" t="0.75" header="0.3" footer="0.3"/>
    <c:pageSetup/>
  </c:printSettings>
  <c:userShapes r:id="rId4"/>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5507436570429"/>
          <c:y val="0.13862715077282006"/>
          <c:w val="0.87984492563429573"/>
          <c:h val="0.68935256097039566"/>
        </c:manualLayout>
      </c:layout>
      <c:areaChart>
        <c:grouping val="standard"/>
        <c:varyColors val="0"/>
        <c:ser>
          <c:idx val="3"/>
          <c:order val="1"/>
          <c:tx>
            <c:strRef>
              <c:f>'1.17C'!$R$6</c:f>
              <c:strCache>
                <c:ptCount val="1"/>
                <c:pt idx="0">
                  <c:v>EMDE interquartile range</c:v>
                </c:pt>
              </c:strCache>
            </c:strRef>
          </c:tx>
          <c:spPr>
            <a:solidFill>
              <a:schemeClr val="bg2">
                <a:lumMod val="20000"/>
                <a:lumOff val="80000"/>
              </a:schemeClr>
            </a:solidFill>
            <a:ln>
              <a:noFill/>
            </a:ln>
            <a:effectLst/>
          </c:spPr>
          <c:cat>
            <c:strRef>
              <c:extLst>
                <c:ext xmlns:c15="http://schemas.microsoft.com/office/drawing/2012/chart" uri="{02D57815-91ED-43cb-92C2-25804820EDAC}">
                  <c15:fullRef>
                    <c15:sqref>'1.17C'!$S$3:$AC$3</c15:sqref>
                  </c15:fullRef>
                </c:ext>
              </c:extLst>
              <c:f>('1.17C'!$S$3:$Y$3,'1.17C'!$AA$3)</c:f>
              <c:strCache>
                <c:ptCount val="8"/>
                <c:pt idx="0">
                  <c:v>MDV</c:v>
                </c:pt>
                <c:pt idx="1">
                  <c:v>BTN</c:v>
                </c:pt>
                <c:pt idx="3">
                  <c:v>LKA</c:v>
                </c:pt>
                <c:pt idx="4">
                  <c:v>PAK</c:v>
                </c:pt>
                <c:pt idx="5">
                  <c:v>NPL</c:v>
                </c:pt>
                <c:pt idx="6">
                  <c:v>IND</c:v>
                </c:pt>
                <c:pt idx="7">
                  <c:v>BGD</c:v>
                </c:pt>
              </c:strCache>
            </c:strRef>
          </c:cat>
          <c:val>
            <c:numRef>
              <c:extLst>
                <c:ext xmlns:c15="http://schemas.microsoft.com/office/drawing/2012/chart" uri="{02D57815-91ED-43cb-92C2-25804820EDAC}">
                  <c15:fullRef>
                    <c15:sqref>'1.17C'!$S$6:$AC$6</c15:sqref>
                  </c15:fullRef>
                </c:ext>
              </c:extLst>
              <c:f>('1.17C'!$S$6:$Y$6,'1.17C'!$AA$6)</c:f>
              <c:numCache>
                <c:formatCode>0.00</c:formatCode>
                <c:ptCount val="8"/>
                <c:pt idx="3">
                  <c:v>0.94</c:v>
                </c:pt>
                <c:pt idx="4">
                  <c:v>0.94</c:v>
                </c:pt>
                <c:pt idx="5">
                  <c:v>0.94</c:v>
                </c:pt>
                <c:pt idx="6">
                  <c:v>0.94</c:v>
                </c:pt>
                <c:pt idx="7">
                  <c:v>0.94</c:v>
                </c:pt>
              </c:numCache>
            </c:numRef>
          </c:val>
          <c:extLst>
            <c:ext xmlns:c16="http://schemas.microsoft.com/office/drawing/2014/chart" uri="{C3380CC4-5D6E-409C-BE32-E72D297353CC}">
              <c16:uniqueId val="{00000000-DFC6-4F1F-A0D3-602447320170}"/>
            </c:ext>
          </c:extLst>
        </c:ser>
        <c:ser>
          <c:idx val="1"/>
          <c:order val="2"/>
          <c:tx>
            <c:strRef>
              <c:f>'1.17C'!$R$5</c:f>
              <c:strCache>
                <c:ptCount val="1"/>
                <c:pt idx="0">
                  <c:v>p25</c:v>
                </c:pt>
              </c:strCache>
            </c:strRef>
          </c:tx>
          <c:spPr>
            <a:solidFill>
              <a:schemeClr val="bg1"/>
            </a:solidFill>
            <a:ln>
              <a:noFill/>
            </a:ln>
            <a:effectLst/>
          </c:spPr>
          <c:cat>
            <c:strRef>
              <c:extLst>
                <c:ext xmlns:c15="http://schemas.microsoft.com/office/drawing/2012/chart" uri="{02D57815-91ED-43cb-92C2-25804820EDAC}">
                  <c15:fullRef>
                    <c15:sqref>'1.17C'!$S$3:$AC$3</c15:sqref>
                  </c15:fullRef>
                </c:ext>
              </c:extLst>
              <c:f>('1.17C'!$S$3:$Y$3,'1.17C'!$AA$3)</c:f>
              <c:strCache>
                <c:ptCount val="8"/>
                <c:pt idx="0">
                  <c:v>MDV</c:v>
                </c:pt>
                <c:pt idx="1">
                  <c:v>BTN</c:v>
                </c:pt>
                <c:pt idx="3">
                  <c:v>LKA</c:v>
                </c:pt>
                <c:pt idx="4">
                  <c:v>PAK</c:v>
                </c:pt>
                <c:pt idx="5">
                  <c:v>NPL</c:v>
                </c:pt>
                <c:pt idx="6">
                  <c:v>IND</c:v>
                </c:pt>
                <c:pt idx="7">
                  <c:v>BGD</c:v>
                </c:pt>
              </c:strCache>
            </c:strRef>
          </c:cat>
          <c:val>
            <c:numRef>
              <c:extLst>
                <c:ext xmlns:c15="http://schemas.microsoft.com/office/drawing/2012/chart" uri="{02D57815-91ED-43cb-92C2-25804820EDAC}">
                  <c15:fullRef>
                    <c15:sqref>'1.17C'!$S$5:$AC$5</c15:sqref>
                  </c15:fullRef>
                </c:ext>
              </c:extLst>
              <c:f>('1.17C'!$S$5:$Y$5,'1.17C'!$AA$5)</c:f>
              <c:numCache>
                <c:formatCode>0.00</c:formatCode>
                <c:ptCount val="8"/>
                <c:pt idx="3">
                  <c:v>0.53</c:v>
                </c:pt>
                <c:pt idx="4">
                  <c:v>0.53</c:v>
                </c:pt>
                <c:pt idx="5">
                  <c:v>0.53</c:v>
                </c:pt>
                <c:pt idx="6">
                  <c:v>0.53</c:v>
                </c:pt>
                <c:pt idx="7">
                  <c:v>0.53</c:v>
                </c:pt>
              </c:numCache>
            </c:numRef>
          </c:val>
          <c:extLst>
            <c:ext xmlns:c16="http://schemas.microsoft.com/office/drawing/2014/chart" uri="{C3380CC4-5D6E-409C-BE32-E72D297353CC}">
              <c16:uniqueId val="{00000001-DFC6-4F1F-A0D3-602447320170}"/>
            </c:ext>
          </c:extLst>
        </c:ser>
        <c:ser>
          <c:idx val="7"/>
          <c:order val="3"/>
          <c:tx>
            <c:strRef>
              <c:f>'1.17C'!$R$8</c:f>
              <c:strCache>
                <c:ptCount val="1"/>
                <c:pt idx="0">
                  <c:v>Small EMDE interquartile range</c:v>
                </c:pt>
              </c:strCache>
            </c:strRef>
          </c:tx>
          <c:spPr>
            <a:solidFill>
              <a:schemeClr val="bg1">
                <a:lumMod val="85000"/>
              </a:schemeClr>
            </a:solidFill>
            <a:ln w="25400">
              <a:noFill/>
            </a:ln>
            <a:effectLst/>
          </c:spPr>
          <c:cat>
            <c:strRef>
              <c:extLst>
                <c:ext xmlns:c15="http://schemas.microsoft.com/office/drawing/2012/chart" uri="{02D57815-91ED-43cb-92C2-25804820EDAC}">
                  <c15:fullRef>
                    <c15:sqref>'1.17C'!$S$3:$AC$3</c15:sqref>
                  </c15:fullRef>
                </c:ext>
              </c:extLst>
              <c:f>('1.17C'!$S$3:$Y$3,'1.17C'!$AA$3)</c:f>
              <c:strCache>
                <c:ptCount val="8"/>
                <c:pt idx="0">
                  <c:v>MDV</c:v>
                </c:pt>
                <c:pt idx="1">
                  <c:v>BTN</c:v>
                </c:pt>
                <c:pt idx="3">
                  <c:v>LKA</c:v>
                </c:pt>
                <c:pt idx="4">
                  <c:v>PAK</c:v>
                </c:pt>
                <c:pt idx="5">
                  <c:v>NPL</c:v>
                </c:pt>
                <c:pt idx="6">
                  <c:v>IND</c:v>
                </c:pt>
                <c:pt idx="7">
                  <c:v>MDV</c:v>
                </c:pt>
                <c:pt idx="8">
                  <c:v>BGD</c:v>
                </c:pt>
                <c:pt idx="9">
                  <c:v>AFG</c:v>
                </c:pt>
                <c:pt idx="10">
                  <c:v>BTN</c:v>
                </c:pt>
              </c:strCache>
            </c:strRef>
          </c:cat>
          <c:val>
            <c:numRef>
              <c:extLst>
                <c:ext xmlns:c15="http://schemas.microsoft.com/office/drawing/2012/chart" uri="{02D57815-91ED-43cb-92C2-25804820EDAC}">
                  <c15:fullRef>
                    <c15:sqref>'1.17C'!$S$8:$T$8</c15:sqref>
                  </c15:fullRef>
                </c:ext>
              </c:extLst>
              <c:f>'1.17C'!$S$8:$T$8</c:f>
              <c:numCache>
                <c:formatCode>0.00</c:formatCode>
                <c:ptCount val="2"/>
                <c:pt idx="0">
                  <c:v>0.89</c:v>
                </c:pt>
                <c:pt idx="1">
                  <c:v>0.89</c:v>
                </c:pt>
              </c:numCache>
            </c:numRef>
          </c:val>
          <c:extLst>
            <c:ext xmlns:c16="http://schemas.microsoft.com/office/drawing/2014/chart" uri="{C3380CC4-5D6E-409C-BE32-E72D297353CC}">
              <c16:uniqueId val="{00000002-DFC6-4F1F-A0D3-602447320170}"/>
            </c:ext>
          </c:extLst>
        </c:ser>
        <c:ser>
          <c:idx val="5"/>
          <c:order val="4"/>
          <c:tx>
            <c:strRef>
              <c:f>'1.17C'!$R$7</c:f>
              <c:strCache>
                <c:ptCount val="1"/>
                <c:pt idx="0">
                  <c:v>Small EMDE sp25</c:v>
                </c:pt>
              </c:strCache>
            </c:strRef>
          </c:tx>
          <c:spPr>
            <a:solidFill>
              <a:schemeClr val="bg1"/>
            </a:solidFill>
            <a:ln w="25400">
              <a:noFill/>
            </a:ln>
            <a:effectLst/>
          </c:spPr>
          <c:cat>
            <c:strRef>
              <c:extLst>
                <c:ext xmlns:c15="http://schemas.microsoft.com/office/drawing/2012/chart" uri="{02D57815-91ED-43cb-92C2-25804820EDAC}">
                  <c15:fullRef>
                    <c15:sqref>'1.17C'!$S$3:$AC$3</c15:sqref>
                  </c15:fullRef>
                </c:ext>
              </c:extLst>
              <c:f>('1.17C'!$S$3:$Y$3,'1.17C'!$AA$3)</c:f>
              <c:strCache>
                <c:ptCount val="8"/>
                <c:pt idx="0">
                  <c:v>MDV</c:v>
                </c:pt>
                <c:pt idx="1">
                  <c:v>BTN</c:v>
                </c:pt>
                <c:pt idx="3">
                  <c:v>LKA</c:v>
                </c:pt>
                <c:pt idx="4">
                  <c:v>PAK</c:v>
                </c:pt>
                <c:pt idx="5">
                  <c:v>NPL</c:v>
                </c:pt>
                <c:pt idx="6">
                  <c:v>IND</c:v>
                </c:pt>
                <c:pt idx="7">
                  <c:v>MDV</c:v>
                </c:pt>
                <c:pt idx="8">
                  <c:v>BGD</c:v>
                </c:pt>
                <c:pt idx="9">
                  <c:v>AFG</c:v>
                </c:pt>
                <c:pt idx="10">
                  <c:v>BTN</c:v>
                </c:pt>
              </c:strCache>
            </c:strRef>
          </c:cat>
          <c:val>
            <c:numRef>
              <c:extLst>
                <c:ext xmlns:c15="http://schemas.microsoft.com/office/drawing/2012/chart" uri="{02D57815-91ED-43cb-92C2-25804820EDAC}">
                  <c15:fullRef>
                    <c15:sqref>'1.17C'!$S$7:$T$7</c15:sqref>
                  </c15:fullRef>
                </c:ext>
              </c:extLst>
              <c:f>'1.17C'!$S$7:$T$7</c:f>
              <c:numCache>
                <c:formatCode>0.00</c:formatCode>
                <c:ptCount val="2"/>
                <c:pt idx="0">
                  <c:v>0.48</c:v>
                </c:pt>
                <c:pt idx="1">
                  <c:v>0.48</c:v>
                </c:pt>
              </c:numCache>
            </c:numRef>
          </c:val>
          <c:extLst>
            <c:ext xmlns:c16="http://schemas.microsoft.com/office/drawing/2014/chart" uri="{C3380CC4-5D6E-409C-BE32-E72D297353CC}">
              <c16:uniqueId val="{00000003-DFC6-4F1F-A0D3-602447320170}"/>
            </c:ext>
          </c:extLst>
        </c:ser>
        <c:dLbls>
          <c:showLegendKey val="0"/>
          <c:showVal val="0"/>
          <c:showCatName val="0"/>
          <c:showSerName val="0"/>
          <c:showPercent val="0"/>
          <c:showBubbleSize val="0"/>
        </c:dLbls>
        <c:axId val="165063056"/>
        <c:axId val="165073136"/>
        <c:extLst/>
      </c:areaChart>
      <c:barChart>
        <c:barDir val="col"/>
        <c:grouping val="clustered"/>
        <c:varyColors val="0"/>
        <c:ser>
          <c:idx val="0"/>
          <c:order val="0"/>
          <c:tx>
            <c:strRef>
              <c:f>'1.17C'!$R$4</c:f>
              <c:strCache>
                <c:ptCount val="1"/>
                <c:pt idx="0">
                  <c:v>Exports</c:v>
                </c:pt>
              </c:strCache>
            </c:strRef>
          </c:tx>
          <c:spPr>
            <a:solidFill>
              <a:srgbClr val="002345"/>
            </a:solidFill>
            <a:ln w="50800">
              <a:noFill/>
            </a:ln>
            <a:effectLst/>
          </c:spPr>
          <c:invertIfNegative val="0"/>
          <c:cat>
            <c:strRef>
              <c:extLst>
                <c:ext xmlns:c15="http://schemas.microsoft.com/office/drawing/2012/chart" uri="{02D57815-91ED-43cb-92C2-25804820EDAC}">
                  <c15:fullRef>
                    <c15:sqref>'1.17C'!$S$3:$AC$3</c15:sqref>
                  </c15:fullRef>
                </c:ext>
              </c:extLst>
              <c:f>('1.17C'!$S$3:$Y$3,'1.17C'!$AA$3)</c:f>
              <c:strCache>
                <c:ptCount val="8"/>
                <c:pt idx="0">
                  <c:v>MDV</c:v>
                </c:pt>
                <c:pt idx="1">
                  <c:v>BTN</c:v>
                </c:pt>
                <c:pt idx="3">
                  <c:v>LKA</c:v>
                </c:pt>
                <c:pt idx="4">
                  <c:v>PAK</c:v>
                </c:pt>
                <c:pt idx="5">
                  <c:v>NPL</c:v>
                </c:pt>
                <c:pt idx="6">
                  <c:v>IND</c:v>
                </c:pt>
                <c:pt idx="7">
                  <c:v>BGD</c:v>
                </c:pt>
              </c:strCache>
            </c:strRef>
          </c:cat>
          <c:val>
            <c:numRef>
              <c:extLst>
                <c:ext xmlns:c15="http://schemas.microsoft.com/office/drawing/2012/chart" uri="{02D57815-91ED-43cb-92C2-25804820EDAC}">
                  <c15:fullRef>
                    <c15:sqref>'1.17C'!$S$4:$AC$4</c15:sqref>
                  </c15:fullRef>
                </c:ext>
              </c:extLst>
              <c:f>('1.17C'!$S$4:$Y$4,'1.17C'!$AA$4)</c:f>
              <c:numCache>
                <c:formatCode>0.00</c:formatCode>
                <c:ptCount val="8"/>
                <c:pt idx="0">
                  <c:v>0.95</c:v>
                </c:pt>
                <c:pt idx="1">
                  <c:v>0.25</c:v>
                </c:pt>
                <c:pt idx="3">
                  <c:v>1.17</c:v>
                </c:pt>
                <c:pt idx="4">
                  <c:v>1.01</c:v>
                </c:pt>
                <c:pt idx="5">
                  <c:v>1</c:v>
                </c:pt>
                <c:pt idx="6">
                  <c:v>0.95</c:v>
                </c:pt>
                <c:pt idx="7">
                  <c:v>0.85</c:v>
                </c:pt>
              </c:numCache>
            </c:numRef>
          </c:val>
          <c:extLst>
            <c:ext xmlns:c16="http://schemas.microsoft.com/office/drawing/2014/chart" uri="{C3380CC4-5D6E-409C-BE32-E72D297353CC}">
              <c16:uniqueId val="{00000004-DFC6-4F1F-A0D3-602447320170}"/>
            </c:ext>
          </c:extLst>
        </c:ser>
        <c:dLbls>
          <c:showLegendKey val="0"/>
          <c:showVal val="0"/>
          <c:showCatName val="0"/>
          <c:showSerName val="0"/>
          <c:showPercent val="0"/>
          <c:showBubbleSize val="0"/>
        </c:dLbls>
        <c:gapWidth val="150"/>
        <c:axId val="165063056"/>
        <c:axId val="165073136"/>
        <c:extLst/>
      </c:barChart>
      <c:catAx>
        <c:axId val="16506305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65073136"/>
        <c:crosses val="autoZero"/>
        <c:auto val="1"/>
        <c:lblAlgn val="ctr"/>
        <c:lblOffset val="100"/>
        <c:noMultiLvlLbl val="0"/>
      </c:catAx>
      <c:valAx>
        <c:axId val="165073136"/>
        <c:scaling>
          <c:orientation val="minMax"/>
          <c:max val="1.5"/>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5063056"/>
        <c:crosses val="autoZero"/>
        <c:crossBetween val="between"/>
        <c:majorUnit val="0.30000000000000004"/>
      </c:valAx>
      <c:spPr>
        <a:noFill/>
        <a:ln w="25400">
          <a:noFill/>
        </a:ln>
        <a:effectLst/>
      </c:spPr>
    </c:plotArea>
    <c:legend>
      <c:legendPos val="r"/>
      <c:legendEntry>
        <c:idx val="1"/>
        <c:delete val="1"/>
      </c:legendEntry>
      <c:legendEntry>
        <c:idx val="3"/>
        <c:delete val="1"/>
      </c:legendEntry>
      <c:legendEntry>
        <c:idx val="4"/>
        <c:delete val="1"/>
      </c:legendEntry>
      <c:layout>
        <c:manualLayout>
          <c:xMode val="edge"/>
          <c:yMode val="edge"/>
          <c:x val="0.17563445349966217"/>
          <c:y val="8.8672675337398643E-2"/>
          <c:w val="0.7077768368661681"/>
          <c:h val="0.14761476553357403"/>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3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3200"/>
              <a:t>Percent of total</a:t>
            </a:r>
          </a:p>
        </c:rich>
      </c:tx>
      <c:layout>
        <c:manualLayout>
          <c:xMode val="edge"/>
          <c:yMode val="edge"/>
          <c:x val="2.7777777777777806E-5"/>
          <c:y val="0"/>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002318460192477"/>
          <c:y val="0.28854986876640421"/>
          <c:w val="0.86026432633420813"/>
          <c:h val="0.49121259842519688"/>
        </c:manualLayout>
      </c:layout>
      <c:barChart>
        <c:barDir val="col"/>
        <c:grouping val="stacked"/>
        <c:varyColors val="0"/>
        <c:ser>
          <c:idx val="4"/>
          <c:order val="0"/>
          <c:tx>
            <c:strRef>
              <c:f>'1.17D'!$T$3</c:f>
              <c:strCache>
                <c:ptCount val="1"/>
                <c:pt idx="0">
                  <c:v>USA, UK</c:v>
                </c:pt>
              </c:strCache>
            </c:strRef>
          </c:tx>
          <c:spPr>
            <a:solidFill>
              <a:schemeClr val="bg2"/>
            </a:solidFill>
            <a:ln>
              <a:noFill/>
            </a:ln>
            <a:effectLst/>
          </c:spPr>
          <c:invertIfNegative val="0"/>
          <c:cat>
            <c:multiLvlStrRef>
              <c:extLst>
                <c:ext xmlns:c15="http://schemas.microsoft.com/office/drawing/2012/chart" uri="{02D57815-91ED-43cb-92C2-25804820EDAC}">
                  <c15:fullRef>
                    <c15:sqref>'1.17D'!$R$4:$S$8</c15:sqref>
                  </c15:fullRef>
                </c:ext>
              </c:extLst>
              <c:f>('1.17D'!$R$4:$S$5,'1.17D'!$R$7:$S$8)</c:f>
              <c:multiLvlStrCache>
                <c:ptCount val="4"/>
                <c:lvl>
                  <c:pt idx="0">
                    <c:v>EMDEs</c:v>
                  </c:pt>
                  <c:pt idx="1">
                    <c:v>SAR</c:v>
                  </c:pt>
                  <c:pt idx="2">
                    <c:v>EMDEs</c:v>
                  </c:pt>
                  <c:pt idx="3">
                    <c:v>SAR</c:v>
                  </c:pt>
                </c:lvl>
                <c:lvl>
                  <c:pt idx="0">
                    <c:v>Exports</c:v>
                  </c:pt>
                  <c:pt idx="2">
                    <c:v>FDI liab.</c:v>
                  </c:pt>
                </c:lvl>
              </c:multiLvlStrCache>
            </c:multiLvlStrRef>
          </c:cat>
          <c:val>
            <c:numRef>
              <c:extLst>
                <c:ext xmlns:c15="http://schemas.microsoft.com/office/drawing/2012/chart" uri="{02D57815-91ED-43cb-92C2-25804820EDAC}">
                  <c15:fullRef>
                    <c15:sqref>'1.17D'!$T$4:$T$8</c15:sqref>
                  </c15:fullRef>
                </c:ext>
              </c:extLst>
              <c:f>('1.17D'!$T$4:$T$5,'1.17D'!$T$7:$T$8)</c:f>
              <c:numCache>
                <c:formatCode>0.0</c:formatCode>
                <c:ptCount val="4"/>
                <c:pt idx="0">
                  <c:v>18.899999999999999</c:v>
                </c:pt>
                <c:pt idx="1">
                  <c:v>22.2</c:v>
                </c:pt>
                <c:pt idx="2">
                  <c:v>16.8</c:v>
                </c:pt>
                <c:pt idx="3">
                  <c:v>26.2</c:v>
                </c:pt>
              </c:numCache>
            </c:numRef>
          </c:val>
          <c:extLst>
            <c:ext xmlns:c16="http://schemas.microsoft.com/office/drawing/2014/chart" uri="{C3380CC4-5D6E-409C-BE32-E72D297353CC}">
              <c16:uniqueId val="{00000000-CA95-437A-B86F-4DEFEAE358B1}"/>
            </c:ext>
          </c:extLst>
        </c:ser>
        <c:ser>
          <c:idx val="3"/>
          <c:order val="1"/>
          <c:tx>
            <c:strRef>
              <c:f>'1.17D'!$U$3</c:f>
              <c:strCache>
                <c:ptCount val="1"/>
                <c:pt idx="0">
                  <c:v>EU</c:v>
                </c:pt>
              </c:strCache>
            </c:strRef>
          </c:tx>
          <c:spPr>
            <a:solidFill>
              <a:schemeClr val="accent1"/>
            </a:solidFill>
            <a:ln>
              <a:noFill/>
            </a:ln>
            <a:effectLst/>
          </c:spPr>
          <c:invertIfNegative val="0"/>
          <c:cat>
            <c:multiLvlStrRef>
              <c:extLst>
                <c:ext xmlns:c15="http://schemas.microsoft.com/office/drawing/2012/chart" uri="{02D57815-91ED-43cb-92C2-25804820EDAC}">
                  <c15:fullRef>
                    <c15:sqref>'1.17D'!$R$4:$S$8</c15:sqref>
                  </c15:fullRef>
                </c:ext>
              </c:extLst>
              <c:f>('1.17D'!$R$4:$S$5,'1.17D'!$R$7:$S$8)</c:f>
              <c:multiLvlStrCache>
                <c:ptCount val="4"/>
                <c:lvl>
                  <c:pt idx="0">
                    <c:v>EMDEs</c:v>
                  </c:pt>
                  <c:pt idx="1">
                    <c:v>SAR</c:v>
                  </c:pt>
                  <c:pt idx="2">
                    <c:v>EMDEs</c:v>
                  </c:pt>
                  <c:pt idx="3">
                    <c:v>SAR</c:v>
                  </c:pt>
                </c:lvl>
                <c:lvl>
                  <c:pt idx="0">
                    <c:v>Exports</c:v>
                  </c:pt>
                  <c:pt idx="2">
                    <c:v>FDI liab.</c:v>
                  </c:pt>
                </c:lvl>
              </c:multiLvlStrCache>
            </c:multiLvlStrRef>
          </c:cat>
          <c:val>
            <c:numRef>
              <c:extLst>
                <c:ext xmlns:c15="http://schemas.microsoft.com/office/drawing/2012/chart" uri="{02D57815-91ED-43cb-92C2-25804820EDAC}">
                  <c15:fullRef>
                    <c15:sqref>'1.17D'!$U$4:$U$8</c15:sqref>
                  </c15:fullRef>
                </c:ext>
              </c:extLst>
              <c:f>('1.17D'!$U$4:$U$5,'1.17D'!$U$7:$U$8)</c:f>
              <c:numCache>
                <c:formatCode>0.0</c:formatCode>
                <c:ptCount val="4"/>
                <c:pt idx="0">
                  <c:v>23.8</c:v>
                </c:pt>
                <c:pt idx="1">
                  <c:v>20.8</c:v>
                </c:pt>
                <c:pt idx="2">
                  <c:v>42.2</c:v>
                </c:pt>
                <c:pt idx="3">
                  <c:v>23.9</c:v>
                </c:pt>
              </c:numCache>
            </c:numRef>
          </c:val>
          <c:extLst>
            <c:ext xmlns:c16="http://schemas.microsoft.com/office/drawing/2014/chart" uri="{C3380CC4-5D6E-409C-BE32-E72D297353CC}">
              <c16:uniqueId val="{00000001-CA95-437A-B86F-4DEFEAE358B1}"/>
            </c:ext>
          </c:extLst>
        </c:ser>
        <c:ser>
          <c:idx val="2"/>
          <c:order val="2"/>
          <c:tx>
            <c:strRef>
              <c:f>'1.17D'!$V$3</c:f>
              <c:strCache>
                <c:ptCount val="1"/>
                <c:pt idx="0">
                  <c:v>Other AEs</c:v>
                </c:pt>
              </c:strCache>
            </c:strRef>
          </c:tx>
          <c:spPr>
            <a:solidFill>
              <a:schemeClr val="accent2"/>
            </a:solidFill>
            <a:ln>
              <a:noFill/>
            </a:ln>
            <a:effectLst/>
          </c:spPr>
          <c:invertIfNegative val="0"/>
          <c:cat>
            <c:multiLvlStrRef>
              <c:extLst>
                <c:ext xmlns:c15="http://schemas.microsoft.com/office/drawing/2012/chart" uri="{02D57815-91ED-43cb-92C2-25804820EDAC}">
                  <c15:fullRef>
                    <c15:sqref>'1.17D'!$R$4:$S$8</c15:sqref>
                  </c15:fullRef>
                </c:ext>
              </c:extLst>
              <c:f>('1.17D'!$R$4:$S$5,'1.17D'!$R$7:$S$8)</c:f>
              <c:multiLvlStrCache>
                <c:ptCount val="4"/>
                <c:lvl>
                  <c:pt idx="0">
                    <c:v>EMDEs</c:v>
                  </c:pt>
                  <c:pt idx="1">
                    <c:v>SAR</c:v>
                  </c:pt>
                  <c:pt idx="2">
                    <c:v>EMDEs</c:v>
                  </c:pt>
                  <c:pt idx="3">
                    <c:v>SAR</c:v>
                  </c:pt>
                </c:lvl>
                <c:lvl>
                  <c:pt idx="0">
                    <c:v>Exports</c:v>
                  </c:pt>
                  <c:pt idx="2">
                    <c:v>FDI liab.</c:v>
                  </c:pt>
                </c:lvl>
              </c:multiLvlStrCache>
            </c:multiLvlStrRef>
          </c:cat>
          <c:val>
            <c:numRef>
              <c:extLst>
                <c:ext xmlns:c15="http://schemas.microsoft.com/office/drawing/2012/chart" uri="{02D57815-91ED-43cb-92C2-25804820EDAC}">
                  <c15:fullRef>
                    <c15:sqref>'1.17D'!$V$4:$V$8</c15:sqref>
                  </c15:fullRef>
                </c:ext>
              </c:extLst>
              <c:f>('1.17D'!$V$4:$V$5,'1.17D'!$V$7:$V$8)</c:f>
              <c:numCache>
                <c:formatCode>0.0</c:formatCode>
                <c:ptCount val="4"/>
                <c:pt idx="0">
                  <c:v>13</c:v>
                </c:pt>
                <c:pt idx="1">
                  <c:v>10.1</c:v>
                </c:pt>
                <c:pt idx="2">
                  <c:v>21.7</c:v>
                </c:pt>
                <c:pt idx="3">
                  <c:v>27.6</c:v>
                </c:pt>
              </c:numCache>
            </c:numRef>
          </c:val>
          <c:extLst>
            <c:ext xmlns:c16="http://schemas.microsoft.com/office/drawing/2014/chart" uri="{C3380CC4-5D6E-409C-BE32-E72D297353CC}">
              <c16:uniqueId val="{00000002-CA95-437A-B86F-4DEFEAE358B1}"/>
            </c:ext>
          </c:extLst>
        </c:ser>
        <c:ser>
          <c:idx val="1"/>
          <c:order val="3"/>
          <c:tx>
            <c:strRef>
              <c:f>'1.17D'!$W$3</c:f>
              <c:strCache>
                <c:ptCount val="1"/>
                <c:pt idx="0">
                  <c:v>CHN</c:v>
                </c:pt>
              </c:strCache>
            </c:strRef>
          </c:tx>
          <c:spPr>
            <a:solidFill>
              <a:schemeClr val="tx2"/>
            </a:solidFill>
            <a:ln>
              <a:noFill/>
            </a:ln>
            <a:effectLst/>
          </c:spPr>
          <c:invertIfNegative val="0"/>
          <c:cat>
            <c:multiLvlStrRef>
              <c:extLst>
                <c:ext xmlns:c15="http://schemas.microsoft.com/office/drawing/2012/chart" uri="{02D57815-91ED-43cb-92C2-25804820EDAC}">
                  <c15:fullRef>
                    <c15:sqref>'1.17D'!$R$4:$S$8</c15:sqref>
                  </c15:fullRef>
                </c:ext>
              </c:extLst>
              <c:f>('1.17D'!$R$4:$S$5,'1.17D'!$R$7:$S$8)</c:f>
              <c:multiLvlStrCache>
                <c:ptCount val="4"/>
                <c:lvl>
                  <c:pt idx="0">
                    <c:v>EMDEs</c:v>
                  </c:pt>
                  <c:pt idx="1">
                    <c:v>SAR</c:v>
                  </c:pt>
                  <c:pt idx="2">
                    <c:v>EMDEs</c:v>
                  </c:pt>
                  <c:pt idx="3">
                    <c:v>SAR</c:v>
                  </c:pt>
                </c:lvl>
                <c:lvl>
                  <c:pt idx="0">
                    <c:v>Exports</c:v>
                  </c:pt>
                  <c:pt idx="2">
                    <c:v>FDI liab.</c:v>
                  </c:pt>
                </c:lvl>
              </c:multiLvlStrCache>
            </c:multiLvlStrRef>
          </c:cat>
          <c:val>
            <c:numRef>
              <c:extLst>
                <c:ext xmlns:c15="http://schemas.microsoft.com/office/drawing/2012/chart" uri="{02D57815-91ED-43cb-92C2-25804820EDAC}">
                  <c15:fullRef>
                    <c15:sqref>'1.17D'!$W$4:$W$8</c15:sqref>
                  </c15:fullRef>
                </c:ext>
              </c:extLst>
              <c:f>('1.17D'!$W$4:$W$5,'1.17D'!$W$7:$W$8)</c:f>
              <c:numCache>
                <c:formatCode>0.0</c:formatCode>
                <c:ptCount val="4"/>
                <c:pt idx="0">
                  <c:v>12.1</c:v>
                </c:pt>
                <c:pt idx="1">
                  <c:v>3.9</c:v>
                </c:pt>
                <c:pt idx="2">
                  <c:v>3.1</c:v>
                </c:pt>
                <c:pt idx="3">
                  <c:v>1.5</c:v>
                </c:pt>
              </c:numCache>
            </c:numRef>
          </c:val>
          <c:extLst>
            <c:ext xmlns:c16="http://schemas.microsoft.com/office/drawing/2014/chart" uri="{C3380CC4-5D6E-409C-BE32-E72D297353CC}">
              <c16:uniqueId val="{00000003-CA95-437A-B86F-4DEFEAE358B1}"/>
            </c:ext>
          </c:extLst>
        </c:ser>
        <c:ser>
          <c:idx val="0"/>
          <c:order val="4"/>
          <c:tx>
            <c:strRef>
              <c:f>'1.17D'!$X$3</c:f>
              <c:strCache>
                <c:ptCount val="1"/>
                <c:pt idx="0">
                  <c:v>Other EMDEs</c:v>
                </c:pt>
              </c:strCache>
            </c:strRef>
          </c:tx>
          <c:spPr>
            <a:solidFill>
              <a:schemeClr val="accent4"/>
            </a:solidFill>
            <a:ln>
              <a:noFill/>
            </a:ln>
            <a:effectLst/>
          </c:spPr>
          <c:invertIfNegative val="0"/>
          <c:cat>
            <c:multiLvlStrRef>
              <c:extLst>
                <c:ext xmlns:c15="http://schemas.microsoft.com/office/drawing/2012/chart" uri="{02D57815-91ED-43cb-92C2-25804820EDAC}">
                  <c15:fullRef>
                    <c15:sqref>'1.17D'!$R$4:$S$8</c15:sqref>
                  </c15:fullRef>
                </c:ext>
              </c:extLst>
              <c:f>('1.17D'!$R$4:$S$5,'1.17D'!$R$7:$S$8)</c:f>
              <c:multiLvlStrCache>
                <c:ptCount val="4"/>
                <c:lvl>
                  <c:pt idx="0">
                    <c:v>EMDEs</c:v>
                  </c:pt>
                  <c:pt idx="1">
                    <c:v>SAR</c:v>
                  </c:pt>
                  <c:pt idx="2">
                    <c:v>EMDEs</c:v>
                  </c:pt>
                  <c:pt idx="3">
                    <c:v>SAR</c:v>
                  </c:pt>
                </c:lvl>
                <c:lvl>
                  <c:pt idx="0">
                    <c:v>Exports</c:v>
                  </c:pt>
                  <c:pt idx="2">
                    <c:v>FDI liab.</c:v>
                  </c:pt>
                </c:lvl>
              </c:multiLvlStrCache>
            </c:multiLvlStrRef>
          </c:cat>
          <c:val>
            <c:numRef>
              <c:extLst>
                <c:ext xmlns:c15="http://schemas.microsoft.com/office/drawing/2012/chart" uri="{02D57815-91ED-43cb-92C2-25804820EDAC}">
                  <c15:fullRef>
                    <c15:sqref>'1.17D'!$X$4:$X$8</c15:sqref>
                  </c15:fullRef>
                </c:ext>
              </c:extLst>
              <c:f>('1.17D'!$X$4:$X$5,'1.17D'!$X$7:$X$8)</c:f>
              <c:numCache>
                <c:formatCode>0.0</c:formatCode>
                <c:ptCount val="4"/>
                <c:pt idx="0">
                  <c:v>32.200000000000003</c:v>
                </c:pt>
                <c:pt idx="1">
                  <c:v>43</c:v>
                </c:pt>
                <c:pt idx="2">
                  <c:v>16.399999999999999</c:v>
                </c:pt>
                <c:pt idx="3">
                  <c:v>20.8</c:v>
                </c:pt>
              </c:numCache>
            </c:numRef>
          </c:val>
          <c:extLst>
            <c:ext xmlns:c16="http://schemas.microsoft.com/office/drawing/2014/chart" uri="{C3380CC4-5D6E-409C-BE32-E72D297353CC}">
              <c16:uniqueId val="{00000004-CA95-437A-B86F-4DEFEAE358B1}"/>
            </c:ext>
          </c:extLst>
        </c:ser>
        <c:dLbls>
          <c:showLegendKey val="0"/>
          <c:showVal val="0"/>
          <c:showCatName val="0"/>
          <c:showSerName val="0"/>
          <c:showPercent val="0"/>
          <c:showBubbleSize val="0"/>
        </c:dLbls>
        <c:gapWidth val="100"/>
        <c:overlap val="100"/>
        <c:axId val="2090673216"/>
        <c:axId val="604210176"/>
      </c:barChart>
      <c:catAx>
        <c:axId val="209067321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04210176"/>
        <c:crosses val="autoZero"/>
        <c:auto val="1"/>
        <c:lblAlgn val="ctr"/>
        <c:lblOffset val="100"/>
        <c:tickLblSkip val="1"/>
        <c:noMultiLvlLbl val="0"/>
      </c:catAx>
      <c:valAx>
        <c:axId val="604210176"/>
        <c:scaling>
          <c:orientation val="minMax"/>
          <c:max val="1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0673216"/>
        <c:crosses val="autoZero"/>
        <c:crossBetween val="between"/>
        <c:majorUnit val="20"/>
      </c:valAx>
      <c:spPr>
        <a:noFill/>
        <a:ln>
          <a:noFill/>
        </a:ln>
        <a:effectLst/>
      </c:spPr>
    </c:plotArea>
    <c:legend>
      <c:legendPos val="b"/>
      <c:layout>
        <c:manualLayout>
          <c:xMode val="edge"/>
          <c:yMode val="edge"/>
          <c:x val="0.18611111111111112"/>
          <c:y val="8.3333333333333329E-2"/>
          <c:w val="0.81155850831146115"/>
          <c:h val="0.19572995042286381"/>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102507</xdr:rowOff>
    </xdr:to>
    <xdr:graphicFrame macro="">
      <xdr:nvGraphicFramePr>
        <xdr:cNvPr id="2" name="Chart 1">
          <a:extLst>
            <a:ext uri="{FF2B5EF4-FFF2-40B4-BE49-F238E27FC236}">
              <a16:creationId xmlns:a16="http://schemas.microsoft.com/office/drawing/2014/main" id="{7ACAD049-4980-41F1-9F6A-31EE003D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1.47513E-7</cdr:y>
    </cdr:from>
    <cdr:to>
      <cdr:x>0.19277</cdr:x>
      <cdr:y>0.09394</cdr:y>
    </cdr:to>
    <cdr:sp macro="" textlink="">
      <cdr:nvSpPr>
        <cdr:cNvPr id="2" name="TextBox 1">
          <a:extLst xmlns:a="http://schemas.openxmlformats.org/drawingml/2006/main">
            <a:ext uri="{FF2B5EF4-FFF2-40B4-BE49-F238E27FC236}">
              <a16:creationId xmlns:a16="http://schemas.microsoft.com/office/drawing/2014/main" id="{E8836572-82AE-E89D-20D6-3D88B4085F42}"/>
            </a:ext>
          </a:extLst>
        </cdr:cNvPr>
        <cdr:cNvSpPr txBox="1"/>
      </cdr:nvSpPr>
      <cdr:spPr>
        <a:xfrm xmlns:a="http://schemas.openxmlformats.org/drawingml/2006/main">
          <a:off x="0" y="1"/>
          <a:ext cx="1786132" cy="63681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0.80723</cdr:x>
      <cdr:y>0</cdr:y>
    </cdr:from>
    <cdr:to>
      <cdr:x>1</cdr:x>
      <cdr:y>0.09394</cdr:y>
    </cdr:to>
    <cdr:sp macro="" textlink="">
      <cdr:nvSpPr>
        <cdr:cNvPr id="3" name="TextBox 1">
          <a:extLst xmlns:a="http://schemas.openxmlformats.org/drawingml/2006/main">
            <a:ext uri="{FF2B5EF4-FFF2-40B4-BE49-F238E27FC236}">
              <a16:creationId xmlns:a16="http://schemas.microsoft.com/office/drawing/2014/main" id="{BD20B04A-6D78-0349-0D9B-86DBA5DCA6AB}"/>
            </a:ext>
          </a:extLst>
        </cdr:cNvPr>
        <cdr:cNvSpPr txBox="1"/>
      </cdr:nvSpPr>
      <cdr:spPr>
        <a:xfrm xmlns:a="http://schemas.openxmlformats.org/drawingml/2006/main">
          <a:off x="7381311" y="0"/>
          <a:ext cx="1762689" cy="64424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108857</xdr:rowOff>
    </xdr:to>
    <xdr:graphicFrame macro="">
      <xdr:nvGraphicFramePr>
        <xdr:cNvPr id="2" name="Chart 1">
          <a:extLst>
            <a:ext uri="{FF2B5EF4-FFF2-40B4-BE49-F238E27FC236}">
              <a16:creationId xmlns:a16="http://schemas.microsoft.com/office/drawing/2014/main" id="{098EFA6E-C496-4398-BC45-33DE09D48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0.00551</cdr:x>
      <cdr:y>0.00733</cdr:y>
    </cdr:from>
    <cdr:to>
      <cdr:x>0.56262</cdr:x>
      <cdr:y>0.19048</cdr:y>
    </cdr:to>
    <cdr:sp macro="" textlink="">
      <cdr:nvSpPr>
        <cdr:cNvPr id="2" name="TextBox 1">
          <a:extLst xmlns:a="http://schemas.openxmlformats.org/drawingml/2006/main">
            <a:ext uri="{FF2B5EF4-FFF2-40B4-BE49-F238E27FC236}">
              <a16:creationId xmlns:a16="http://schemas.microsoft.com/office/drawing/2014/main" id="{0782FAE2-EDB4-69F0-1348-EEFC5E41DAB1}"/>
            </a:ext>
          </a:extLst>
        </cdr:cNvPr>
        <cdr:cNvSpPr txBox="1"/>
      </cdr:nvSpPr>
      <cdr:spPr>
        <a:xfrm xmlns:a="http://schemas.openxmlformats.org/drawingml/2006/main">
          <a:off x="50991" y="50961"/>
          <a:ext cx="5156009" cy="127401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a:t>
          </a:r>
          <a:r>
            <a:rPr lang="en-US" sz="3200" baseline="0">
              <a:latin typeface="Arial" panose="020B0604020202020204" pitchFamily="34" charset="0"/>
            </a:rPr>
            <a:t> total assets</a:t>
          </a:r>
          <a:endParaRPr lang="en-US" sz="3200">
            <a:latin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3173</xdr:rowOff>
    </xdr:from>
    <xdr:to>
      <xdr:col>14</xdr:col>
      <xdr:colOff>0</xdr:colOff>
      <xdr:row>32</xdr:row>
      <xdr:rowOff>112030</xdr:rowOff>
    </xdr:to>
    <xdr:graphicFrame macro="">
      <xdr:nvGraphicFramePr>
        <xdr:cNvPr id="2" name="Chart 1">
          <a:extLst>
            <a:ext uri="{FF2B5EF4-FFF2-40B4-BE49-F238E27FC236}">
              <a16:creationId xmlns:a16="http://schemas.microsoft.com/office/drawing/2014/main" id="{AAA22A61-68C6-4395-9B5A-139E6F22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0.00552</cdr:x>
      <cdr:y>0.00734</cdr:y>
    </cdr:from>
    <cdr:to>
      <cdr:x>0.5275</cdr:x>
      <cdr:y>0.19083</cdr:y>
    </cdr:to>
    <cdr:sp macro="" textlink="">
      <cdr:nvSpPr>
        <cdr:cNvPr id="2" name="TextBox 1">
          <a:extLst xmlns:a="http://schemas.openxmlformats.org/drawingml/2006/main">
            <a:ext uri="{FF2B5EF4-FFF2-40B4-BE49-F238E27FC236}">
              <a16:creationId xmlns:a16="http://schemas.microsoft.com/office/drawing/2014/main" id="{F7B240E1-3776-69E8-3D36-40EF3A4CBF26}"/>
            </a:ext>
          </a:extLst>
        </cdr:cNvPr>
        <cdr:cNvSpPr txBox="1"/>
      </cdr:nvSpPr>
      <cdr:spPr>
        <a:xfrm xmlns:a="http://schemas.openxmlformats.org/drawingml/2006/main">
          <a:off x="53916" y="47821"/>
          <a:ext cx="5098416" cy="11954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Relative wealth index</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108857</xdr:rowOff>
    </xdr:to>
    <xdr:graphicFrame macro="">
      <xdr:nvGraphicFramePr>
        <xdr:cNvPr id="3" name="Chart 2">
          <a:extLst>
            <a:ext uri="{FF2B5EF4-FFF2-40B4-BE49-F238E27FC236}">
              <a16:creationId xmlns:a16="http://schemas.microsoft.com/office/drawing/2014/main" id="{CE3C816A-330B-4304-8342-D30FE3D0A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0.60185</cdr:x>
      <cdr:y>0</cdr:y>
    </cdr:from>
    <cdr:to>
      <cdr:x>1</cdr:x>
      <cdr:y>0.07298</cdr:y>
    </cdr:to>
    <cdr:sp macro="" textlink="">
      <cdr:nvSpPr>
        <cdr:cNvPr id="3" name="TextBox 2">
          <a:extLst xmlns:a="http://schemas.openxmlformats.org/drawingml/2006/main">
            <a:ext uri="{FF2B5EF4-FFF2-40B4-BE49-F238E27FC236}">
              <a16:creationId xmlns:a16="http://schemas.microsoft.com/office/drawing/2014/main" id="{1DE1B05F-64ED-A41D-0C48-A799CFB82520}"/>
            </a:ext>
          </a:extLst>
        </cdr:cNvPr>
        <cdr:cNvSpPr txBox="1"/>
      </cdr:nvSpPr>
      <cdr:spPr>
        <a:xfrm xmlns:a="http://schemas.openxmlformats.org/drawingml/2006/main">
          <a:off x="5676090" y="0"/>
          <a:ext cx="3754944" cy="4857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US" sz="3200">
              <a:latin typeface="Arial" panose="020B0604020202020204" pitchFamily="34" charset="0"/>
              <a:cs typeface="Arial" panose="020B0604020202020204" pitchFamily="34" charset="0"/>
            </a:rPr>
            <a:t>Percent of</a:t>
          </a:r>
          <a:r>
            <a:rPr lang="en-US" sz="3200" baseline="0">
              <a:latin typeface="Arial" panose="020B0604020202020204" pitchFamily="34" charset="0"/>
              <a:cs typeface="Arial" panose="020B0604020202020204" pitchFamily="34" charset="0"/>
            </a:rPr>
            <a:t> GDP</a:t>
          </a:r>
          <a:endParaRPr lang="en-US" sz="3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cdr:y>
    </cdr:from>
    <cdr:to>
      <cdr:x>0.39815</cdr:x>
      <cdr:y>0.07298</cdr:y>
    </cdr:to>
    <cdr:sp macro="" textlink="">
      <cdr:nvSpPr>
        <cdr:cNvPr id="4" name="TextBox 1">
          <a:extLst xmlns:a="http://schemas.openxmlformats.org/drawingml/2006/main">
            <a:ext uri="{FF2B5EF4-FFF2-40B4-BE49-F238E27FC236}">
              <a16:creationId xmlns:a16="http://schemas.microsoft.com/office/drawing/2014/main" id="{1BDCB161-32E3-B6E5-CE62-1AFE40B0FEC2}"/>
            </a:ext>
          </a:extLst>
        </cdr:cNvPr>
        <cdr:cNvSpPr txBox="1"/>
      </cdr:nvSpPr>
      <cdr:spPr>
        <a:xfrm xmlns:a="http://schemas.openxmlformats.org/drawingml/2006/main">
          <a:off x="0" y="0"/>
          <a:ext cx="3754944" cy="4857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3200">
              <a:latin typeface="Arial" panose="020B0604020202020204" pitchFamily="34" charset="0"/>
              <a:cs typeface="Arial" panose="020B0604020202020204" pitchFamily="34" charset="0"/>
            </a:rPr>
            <a:t>Percent of</a:t>
          </a:r>
          <a:r>
            <a:rPr lang="en-US" sz="3200" baseline="0">
              <a:latin typeface="Arial" panose="020B0604020202020204" pitchFamily="34" charset="0"/>
              <a:cs typeface="Arial" panose="020B0604020202020204" pitchFamily="34" charset="0"/>
            </a:rPr>
            <a:t> GDP</a:t>
          </a:r>
          <a:endParaRPr lang="en-US" sz="3200">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105682</xdr:rowOff>
    </xdr:to>
    <xdr:graphicFrame macro="">
      <xdr:nvGraphicFramePr>
        <xdr:cNvPr id="2" name="Chart 1">
          <a:extLst>
            <a:ext uri="{FF2B5EF4-FFF2-40B4-BE49-F238E27FC236}">
              <a16:creationId xmlns:a16="http://schemas.microsoft.com/office/drawing/2014/main" id="{B2EF44EC-7B24-4716-AFA6-FB143FA82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0.00551</cdr:x>
      <cdr:y>0.00733</cdr:y>
    </cdr:from>
    <cdr:to>
      <cdr:x>0.80628</cdr:x>
      <cdr:y>0.13634</cdr:y>
    </cdr:to>
    <cdr:sp macro="" textlink="">
      <cdr:nvSpPr>
        <cdr:cNvPr id="2" name="TextBox 1">
          <a:extLst xmlns:a="http://schemas.openxmlformats.org/drawingml/2006/main">
            <a:ext uri="{FF2B5EF4-FFF2-40B4-BE49-F238E27FC236}">
              <a16:creationId xmlns:a16="http://schemas.microsoft.com/office/drawing/2014/main" id="{E4AD9C97-F7B8-B9B6-9BFE-F52DF03C0573}"/>
            </a:ext>
          </a:extLst>
        </cdr:cNvPr>
        <cdr:cNvSpPr txBox="1"/>
      </cdr:nvSpPr>
      <cdr:spPr>
        <a:xfrm xmlns:a="http://schemas.openxmlformats.org/drawingml/2006/main">
          <a:off x="50013" y="53414"/>
          <a:ext cx="7268362" cy="94012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working-age population</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102507</xdr:rowOff>
    </xdr:to>
    <xdr:graphicFrame macro="">
      <xdr:nvGraphicFramePr>
        <xdr:cNvPr id="2" name="Chart 6">
          <a:extLst>
            <a:ext uri="{FF2B5EF4-FFF2-40B4-BE49-F238E27FC236}">
              <a16:creationId xmlns:a16="http://schemas.microsoft.com/office/drawing/2014/main" id="{FAB8476C-6BE2-4817-9984-D33264908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0.00903</cdr:y>
    </cdr:from>
    <cdr:to>
      <cdr:x>0.41976</cdr:x>
      <cdr:y>0.10558</cdr:y>
    </cdr:to>
    <cdr:sp macro="" textlink="">
      <cdr:nvSpPr>
        <cdr:cNvPr id="2" name="TextBox 1"/>
        <cdr:cNvSpPr txBox="1"/>
      </cdr:nvSpPr>
      <cdr:spPr>
        <a:xfrm xmlns:a="http://schemas.openxmlformats.org/drawingml/2006/main">
          <a:off x="0" y="61945"/>
          <a:ext cx="3847305" cy="6619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a:t>
          </a:r>
          <a:r>
            <a:rPr lang="en-US" sz="3200" baseline="0">
              <a:latin typeface="Arial" panose="020B0604020202020204" pitchFamily="34" charset="0"/>
            </a:rPr>
            <a:t> of workers</a:t>
          </a:r>
          <a:endParaRPr lang="en-US" sz="3200">
            <a:latin typeface="Arial" panose="020B0604020202020204" pitchFamily="34" charset="0"/>
          </a:endParaRPr>
        </a:p>
      </cdr:txBody>
    </cdr:sp>
  </cdr:relSizeAnchor>
  <cdr:relSizeAnchor xmlns:cdr="http://schemas.openxmlformats.org/drawingml/2006/chartDrawing">
    <cdr:from>
      <cdr:x>0.08588</cdr:x>
      <cdr:y>0.00733</cdr:y>
    </cdr:from>
    <cdr:to>
      <cdr:x>0.3061</cdr:x>
      <cdr:y>0.16653</cdr:y>
    </cdr:to>
    <cdr:sp macro="" textlink="">
      <cdr:nvSpPr>
        <cdr:cNvPr id="4" name="TextBox 3"/>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dr:relSizeAnchor xmlns:cdr="http://schemas.openxmlformats.org/drawingml/2006/chartDrawing">
    <cdr:from>
      <cdr:x>0.65619</cdr:x>
      <cdr:y>0.00741</cdr:y>
    </cdr:from>
    <cdr:to>
      <cdr:x>1</cdr:x>
      <cdr:y>0.10395</cdr:y>
    </cdr:to>
    <cdr:sp macro="" textlink="">
      <cdr:nvSpPr>
        <cdr:cNvPr id="3" name="TextBox 1">
          <a:extLst xmlns:a="http://schemas.openxmlformats.org/drawingml/2006/main">
            <a:ext uri="{FF2B5EF4-FFF2-40B4-BE49-F238E27FC236}">
              <a16:creationId xmlns:a16="http://schemas.microsoft.com/office/drawing/2014/main" id="{A6F3E90F-D42D-6C77-7BD9-60D08A53C560}"/>
            </a:ext>
          </a:extLst>
        </cdr:cNvPr>
        <cdr:cNvSpPr txBox="1"/>
      </cdr:nvSpPr>
      <cdr:spPr>
        <a:xfrm xmlns:a="http://schemas.openxmlformats.org/drawingml/2006/main">
          <a:off x="6014243" y="50800"/>
          <a:ext cx="3151189" cy="66195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Percent of </a:t>
          </a:r>
          <a:r>
            <a:rPr lang="en-US" sz="3200" baseline="0">
              <a:latin typeface="Arial" panose="020B0604020202020204" pitchFamily="34" charset="0"/>
            </a:rPr>
            <a:t>firms</a:t>
          </a:r>
          <a:endParaRPr lang="en-US" sz="3200">
            <a:latin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1</xdr:row>
      <xdr:rowOff>3173</xdr:rowOff>
    </xdr:from>
    <xdr:to>
      <xdr:col>14</xdr:col>
      <xdr:colOff>0</xdr:colOff>
      <xdr:row>32</xdr:row>
      <xdr:rowOff>112030</xdr:rowOff>
    </xdr:to>
    <xdr:graphicFrame macro="">
      <xdr:nvGraphicFramePr>
        <xdr:cNvPr id="5" name="Chart 4">
          <a:extLst>
            <a:ext uri="{FF2B5EF4-FFF2-40B4-BE49-F238E27FC236}">
              <a16:creationId xmlns:a16="http://schemas.microsoft.com/office/drawing/2014/main" id="{A487C37D-4283-46C1-A8FB-BCE1BD3C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cdr:x>
      <cdr:y>0</cdr:y>
    </cdr:from>
    <cdr:to>
      <cdr:x>0.51707</cdr:x>
      <cdr:y>0.08588</cdr:y>
    </cdr:to>
    <cdr:sp macro="" textlink="">
      <cdr:nvSpPr>
        <cdr:cNvPr id="2" name="TextBox 1">
          <a:extLst xmlns:a="http://schemas.openxmlformats.org/drawingml/2006/main">
            <a:ext uri="{FF2B5EF4-FFF2-40B4-BE49-F238E27FC236}">
              <a16:creationId xmlns:a16="http://schemas.microsoft.com/office/drawing/2014/main" id="{A291E35F-A7BC-34BF-DA9B-B51F2312E57D}"/>
            </a:ext>
          </a:extLst>
        </cdr:cNvPr>
        <cdr:cNvSpPr txBox="1"/>
      </cdr:nvSpPr>
      <cdr:spPr>
        <a:xfrm xmlns:a="http://schemas.openxmlformats.org/drawingml/2006/main">
          <a:off x="0" y="0"/>
          <a:ext cx="4780643" cy="60765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 50+ = expansion</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3174</xdr:rowOff>
    </xdr:from>
    <xdr:to>
      <xdr:col>14</xdr:col>
      <xdr:colOff>0</xdr:colOff>
      <xdr:row>30</xdr:row>
      <xdr:rowOff>54427</xdr:rowOff>
    </xdr:to>
    <xdr:graphicFrame macro="">
      <xdr:nvGraphicFramePr>
        <xdr:cNvPr id="2" name="Chart 1">
          <a:extLst>
            <a:ext uri="{FF2B5EF4-FFF2-40B4-BE49-F238E27FC236}">
              <a16:creationId xmlns:a16="http://schemas.microsoft.com/office/drawing/2014/main" id="{7215484E-72E0-417F-B335-1D93872BE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cdr:y>
    </cdr:from>
    <cdr:to>
      <cdr:x>0.19284</cdr:x>
      <cdr:y>0.18315</cdr:y>
    </cdr:to>
    <cdr:sp macro="" textlink="">
      <cdr:nvSpPr>
        <cdr:cNvPr id="2" name="TextBox 1">
          <a:extLst xmlns:a="http://schemas.openxmlformats.org/drawingml/2006/main">
            <a:ext uri="{FF2B5EF4-FFF2-40B4-BE49-F238E27FC236}">
              <a16:creationId xmlns:a16="http://schemas.microsoft.com/office/drawing/2014/main" id="{268B3A12-3B56-4E58-3147-3C9CE8B3B1E1}"/>
            </a:ext>
          </a:extLst>
        </cdr:cNvPr>
        <cdr:cNvSpPr txBox="1"/>
      </cdr:nvSpPr>
      <cdr:spPr>
        <a:xfrm xmlns:a="http://schemas.openxmlformats.org/drawingml/2006/main">
          <a:off x="0" y="0"/>
          <a:ext cx="1763329" cy="125604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0.00552</cdr:x>
      <cdr:y>0.00734</cdr:y>
    </cdr:from>
    <cdr:to>
      <cdr:x>0.19855</cdr:x>
      <cdr:y>0.19083</cdr:y>
    </cdr:to>
    <cdr:sp macro="" textlink="">
      <cdr:nvSpPr>
        <cdr:cNvPr id="4" name="TextBox 3">
          <a:extLst xmlns:a="http://schemas.openxmlformats.org/drawingml/2006/main">
            <a:ext uri="{FF2B5EF4-FFF2-40B4-BE49-F238E27FC236}">
              <a16:creationId xmlns:a16="http://schemas.microsoft.com/office/drawing/2014/main" id="{EEC3BAB5-5A93-69A2-9A14-0686FAA6415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3" name="Chart 2">
          <a:extLst>
            <a:ext uri="{FF2B5EF4-FFF2-40B4-BE49-F238E27FC236}">
              <a16:creationId xmlns:a16="http://schemas.microsoft.com/office/drawing/2014/main" id="{31844130-A8A1-4E17-992E-8A9CE32AF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613E5A27-F93B-C2D8-0AAE-855D3FD1730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30</xdr:row>
      <xdr:rowOff>54427</xdr:rowOff>
    </xdr:to>
    <xdr:graphicFrame macro="">
      <xdr:nvGraphicFramePr>
        <xdr:cNvPr id="2" name="Chart 1">
          <a:extLst>
            <a:ext uri="{FF2B5EF4-FFF2-40B4-BE49-F238E27FC236}">
              <a16:creationId xmlns:a16="http://schemas.microsoft.com/office/drawing/2014/main" id="{7B7075DB-3666-403E-8198-3A6B382C2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cdr:y>
    </cdr:from>
    <cdr:to>
      <cdr:x>0.19284</cdr:x>
      <cdr:y>0.1104</cdr:y>
    </cdr:to>
    <cdr:sp macro="" textlink="">
      <cdr:nvSpPr>
        <cdr:cNvPr id="2" name="TextBox 1">
          <a:extLst xmlns:a="http://schemas.openxmlformats.org/drawingml/2006/main">
            <a:ext uri="{FF2B5EF4-FFF2-40B4-BE49-F238E27FC236}">
              <a16:creationId xmlns:a16="http://schemas.microsoft.com/office/drawing/2014/main" id="{B5AF5EBA-D78D-6E34-F22B-63DB4C6D634F}"/>
            </a:ext>
          </a:extLst>
        </cdr:cNvPr>
        <cdr:cNvSpPr txBox="1"/>
      </cdr:nvSpPr>
      <cdr:spPr>
        <a:xfrm xmlns:a="http://schemas.openxmlformats.org/drawingml/2006/main">
          <a:off x="0" y="0"/>
          <a:ext cx="1763330" cy="70303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0</xdr:colOff>
      <xdr:row>1</xdr:row>
      <xdr:rowOff>3173</xdr:rowOff>
    </xdr:from>
    <xdr:to>
      <xdr:col>14</xdr:col>
      <xdr:colOff>0</xdr:colOff>
      <xdr:row>32</xdr:row>
      <xdr:rowOff>112030</xdr:rowOff>
    </xdr:to>
    <xdr:graphicFrame macro="">
      <xdr:nvGraphicFramePr>
        <xdr:cNvPr id="2" name="Chart 1">
          <a:extLst>
            <a:ext uri="{FF2B5EF4-FFF2-40B4-BE49-F238E27FC236}">
              <a16:creationId xmlns:a16="http://schemas.microsoft.com/office/drawing/2014/main" id="{E9F79A59-4553-4615-8A89-F39D51196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cdr:x>
      <cdr:y>0</cdr:y>
    </cdr:from>
    <cdr:to>
      <cdr:x>0.57068</cdr:x>
      <cdr:y>0.07934</cdr:y>
    </cdr:to>
    <cdr:sp macro="" textlink="">
      <cdr:nvSpPr>
        <cdr:cNvPr id="2" name="TextBox 1">
          <a:extLst xmlns:a="http://schemas.openxmlformats.org/drawingml/2006/main">
            <a:ext uri="{FF2B5EF4-FFF2-40B4-BE49-F238E27FC236}">
              <a16:creationId xmlns:a16="http://schemas.microsoft.com/office/drawing/2014/main" id="{8FF016CA-83E6-84C4-9DE8-190B3AF78321}"/>
            </a:ext>
          </a:extLst>
        </cdr:cNvPr>
        <cdr:cNvSpPr txBox="1"/>
      </cdr:nvSpPr>
      <cdr:spPr>
        <a:xfrm xmlns:a="http://schemas.openxmlformats.org/drawingml/2006/main">
          <a:off x="0" y="0"/>
          <a:ext cx="5179513" cy="5862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3200">
              <a:solidFill>
                <a:schemeClr val="tx1"/>
              </a:solidFill>
              <a:effectLst/>
              <a:latin typeface="Arial" panose="020B0604020202020204" pitchFamily="34" charset="0"/>
              <a:ea typeface="+mn-ea"/>
              <a:cs typeface="Arial" panose="020B0604020202020204" pitchFamily="34" charset="0"/>
            </a:rPr>
            <a:t>Index,</a:t>
          </a:r>
          <a:r>
            <a:rPr lang="en-US" sz="3200" baseline="0">
              <a:solidFill>
                <a:schemeClr val="tx1"/>
              </a:solidFill>
              <a:effectLst/>
              <a:latin typeface="Arial" panose="020B0604020202020204" pitchFamily="34" charset="0"/>
              <a:ea typeface="+mn-ea"/>
              <a:cs typeface="Arial" panose="020B0604020202020204" pitchFamily="34" charset="0"/>
            </a:rPr>
            <a:t> 50+ = expansion</a:t>
          </a:r>
          <a:endParaRPr lang="en-US" sz="3200">
            <a:solidFill>
              <a:schemeClr val="tx1"/>
            </a:solidFill>
            <a:effectLst/>
            <a:latin typeface="Arial" panose="020B0604020202020204" pitchFamily="34" charset="0"/>
            <a:cs typeface="Arial" panose="020B0604020202020204" pitchFamily="34" charset="0"/>
          </a:endParaRPr>
        </a:p>
        <a:p xmlns:a="http://schemas.openxmlformats.org/drawingml/2006/main">
          <a:endParaRPr lang="en-US" sz="1100"/>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108857</xdr:rowOff>
    </xdr:to>
    <xdr:graphicFrame macro="">
      <xdr:nvGraphicFramePr>
        <xdr:cNvPr id="2" name="Chart 1">
          <a:extLst>
            <a:ext uri="{FF2B5EF4-FFF2-40B4-BE49-F238E27FC236}">
              <a16:creationId xmlns:a16="http://schemas.microsoft.com/office/drawing/2014/main" id="{EF120D65-30AF-4C7C-80F5-F4A767410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BCE6ED70-661D-2C5F-A5B4-EFEB565CAEC4}"/>
            </a:ext>
          </a:extLst>
        </cdr:cNvPr>
        <cdr:cNvSpPr txBox="1"/>
      </cdr:nvSpPr>
      <cdr:spPr>
        <a:xfrm xmlns:a="http://schemas.openxmlformats.org/drawingml/2006/main">
          <a:off x="50733" y="50735"/>
          <a:ext cx="1775575" cy="126767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2895EEFD-8FAB-42E5-B6E4-728CDF77C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0.0031</cdr:x>
      <cdr:y>0.00458</cdr:y>
    </cdr:from>
    <cdr:to>
      <cdr:x>0.54793</cdr:x>
      <cdr:y>0.10723</cdr:y>
    </cdr:to>
    <cdr:sp macro="" textlink="">
      <cdr:nvSpPr>
        <cdr:cNvPr id="2" name="TextBox 1">
          <a:extLst xmlns:a="http://schemas.openxmlformats.org/drawingml/2006/main">
            <a:ext uri="{FF2B5EF4-FFF2-40B4-BE49-F238E27FC236}">
              <a16:creationId xmlns:a16="http://schemas.microsoft.com/office/drawing/2014/main" id="{4299C82A-86D8-D8A8-AA28-0214B2843CDC}"/>
            </a:ext>
          </a:extLst>
        </cdr:cNvPr>
        <cdr:cNvSpPr txBox="1"/>
      </cdr:nvSpPr>
      <cdr:spPr>
        <a:xfrm xmlns:a="http://schemas.openxmlformats.org/drawingml/2006/main">
          <a:off x="28579" y="30693"/>
          <a:ext cx="5016500" cy="687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solidFill>
                <a:schemeClr val="tx1"/>
              </a:solidFill>
              <a:latin typeface="Arial" panose="020B0604020202020204" pitchFamily="34" charset="0"/>
              <a:cs typeface="Arial" panose="020B0604020202020204" pitchFamily="34" charset="0"/>
            </a:rPr>
            <a:t>Index, 50+</a:t>
          </a:r>
          <a:r>
            <a:rPr lang="en-US" sz="3200" baseline="0">
              <a:solidFill>
                <a:schemeClr val="tx1"/>
              </a:solidFill>
              <a:latin typeface="Arial" panose="020B0604020202020204" pitchFamily="34" charset="0"/>
              <a:cs typeface="Arial" panose="020B0604020202020204" pitchFamily="34" charset="0"/>
            </a:rPr>
            <a:t> = expansion</a:t>
          </a:r>
          <a:endParaRPr lang="en-US" sz="3200">
            <a:solidFill>
              <a:schemeClr val="tx1"/>
            </a:solidFill>
            <a:latin typeface="Arial" panose="020B0604020202020204" pitchFamily="34" charset="0"/>
            <a:cs typeface="Arial" panose="020B0604020202020204" pitchFamily="34" charset="0"/>
          </a:endParaRP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4" name="Chart 3">
          <a:extLst>
            <a:ext uri="{FF2B5EF4-FFF2-40B4-BE49-F238E27FC236}">
              <a16:creationId xmlns:a16="http://schemas.microsoft.com/office/drawing/2014/main" id="{E935F05E-F5C6-4E3C-BB1E-97630FCDF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0.00989</cdr:x>
      <cdr:y>0.00556</cdr:y>
    </cdr:from>
    <cdr:to>
      <cdr:x>0.56414</cdr:x>
      <cdr:y>0.10451</cdr:y>
    </cdr:to>
    <cdr:sp macro="" textlink="">
      <cdr:nvSpPr>
        <cdr:cNvPr id="3" name="TextBox 2">
          <a:extLst xmlns:a="http://schemas.openxmlformats.org/drawingml/2006/main">
            <a:ext uri="{FF2B5EF4-FFF2-40B4-BE49-F238E27FC236}">
              <a16:creationId xmlns:a16="http://schemas.microsoft.com/office/drawing/2014/main" id="{883141F7-8821-4691-FF89-C2689A4BD469}"/>
            </a:ext>
          </a:extLst>
        </cdr:cNvPr>
        <cdr:cNvSpPr txBox="1"/>
      </cdr:nvSpPr>
      <cdr:spPr>
        <a:xfrm xmlns:a="http://schemas.openxmlformats.org/drawingml/2006/main">
          <a:off x="90489" y="38103"/>
          <a:ext cx="5072062" cy="67865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Index, 0+ = optimistic</a:t>
          </a: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0</xdr:colOff>
      <xdr:row>0</xdr:row>
      <xdr:rowOff>317499</xdr:rowOff>
    </xdr:from>
    <xdr:to>
      <xdr:col>13</xdr:col>
      <xdr:colOff>535214</xdr:colOff>
      <xdr:row>31</xdr:row>
      <xdr:rowOff>54428</xdr:rowOff>
    </xdr:to>
    <xdr:graphicFrame macro="">
      <xdr:nvGraphicFramePr>
        <xdr:cNvPr id="2" name="Chart 1">
          <a:extLst>
            <a:ext uri="{FF2B5EF4-FFF2-40B4-BE49-F238E27FC236}">
              <a16:creationId xmlns:a16="http://schemas.microsoft.com/office/drawing/2014/main" id="{0F534C55-1B59-4117-A450-98F602A85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0.00552</cdr:x>
      <cdr:y>0.00734</cdr:y>
    </cdr:from>
    <cdr:to>
      <cdr:x>0.92295</cdr:x>
      <cdr:y>0.19083</cdr:y>
    </cdr:to>
    <cdr:sp macro="" textlink="">
      <cdr:nvSpPr>
        <cdr:cNvPr id="2" name="TextBox 1">
          <a:extLst xmlns:a="http://schemas.openxmlformats.org/drawingml/2006/main">
            <a:ext uri="{FF2B5EF4-FFF2-40B4-BE49-F238E27FC236}">
              <a16:creationId xmlns:a16="http://schemas.microsoft.com/office/drawing/2014/main" id="{10CF1BFD-11E7-7B30-9ADE-2C865FE31B69}"/>
            </a:ext>
          </a:extLst>
        </cdr:cNvPr>
        <cdr:cNvSpPr txBox="1"/>
      </cdr:nvSpPr>
      <cdr:spPr>
        <a:xfrm xmlns:a="http://schemas.openxmlformats.org/drawingml/2006/main">
          <a:off x="51095" y="47592"/>
          <a:ext cx="8492006" cy="118973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aseline="0">
              <a:latin typeface="Arial" panose="020B0604020202020204" pitchFamily="34" charset="0"/>
            </a:rPr>
            <a:t>P</a:t>
          </a:r>
          <a:r>
            <a:rPr lang="en-US" sz="3200">
              <a:latin typeface="Arial" panose="020B0604020202020204" pitchFamily="34" charset="0"/>
            </a:rPr>
            <a:t>ercent deviation from 2019</a:t>
          </a: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B27C2A4D-4471-4846-8FA4-0EC4A724C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0.00552</cdr:x>
      <cdr:y>0.00734</cdr:y>
    </cdr:from>
    <cdr:to>
      <cdr:x>0.68661</cdr:x>
      <cdr:y>0.19083</cdr:y>
    </cdr:to>
    <cdr:sp macro="" textlink="">
      <cdr:nvSpPr>
        <cdr:cNvPr id="2" name="TextBox 1">
          <a:extLst xmlns:a="http://schemas.openxmlformats.org/drawingml/2006/main">
            <a:ext uri="{FF2B5EF4-FFF2-40B4-BE49-F238E27FC236}">
              <a16:creationId xmlns:a16="http://schemas.microsoft.com/office/drawing/2014/main" id="{6260077C-D6E0-D1C3-B219-D7AD91CAA1D1}"/>
            </a:ext>
          </a:extLst>
        </cdr:cNvPr>
        <cdr:cNvSpPr txBox="1"/>
      </cdr:nvSpPr>
      <cdr:spPr>
        <a:xfrm xmlns:a="http://schemas.openxmlformats.org/drawingml/2006/main">
          <a:off x="50449" y="50334"/>
          <a:ext cx="6227885" cy="125834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deviation from 2019</a:t>
          </a: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3" name="Chart 2">
          <a:extLst>
            <a:ext uri="{FF2B5EF4-FFF2-40B4-BE49-F238E27FC236}">
              <a16:creationId xmlns:a16="http://schemas.microsoft.com/office/drawing/2014/main" id="{67088EC2-ADF5-476A-A251-DD2C6696C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79422997-9FB4-8B57-3598-2FA05705C56D}"/>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57604</xdr:rowOff>
    </xdr:to>
    <xdr:graphicFrame macro="">
      <xdr:nvGraphicFramePr>
        <xdr:cNvPr id="2" name="Chart 1">
          <a:extLst>
            <a:ext uri="{FF2B5EF4-FFF2-40B4-BE49-F238E27FC236}">
              <a16:creationId xmlns:a16="http://schemas.microsoft.com/office/drawing/2014/main" id="{324B2DA5-53A0-4CAE-A178-446C6B6C4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cdr:x>
      <cdr:y>0</cdr:y>
    </cdr:from>
    <cdr:to>
      <cdr:x>0.46074</cdr:x>
      <cdr:y>0.08391</cdr:y>
    </cdr:to>
    <cdr:sp macro="" textlink="">
      <cdr:nvSpPr>
        <cdr:cNvPr id="2" name="TextBox 1">
          <a:extLst xmlns:a="http://schemas.openxmlformats.org/drawingml/2006/main">
            <a:ext uri="{FF2B5EF4-FFF2-40B4-BE49-F238E27FC236}">
              <a16:creationId xmlns:a16="http://schemas.microsoft.com/office/drawing/2014/main" id="{6783046C-0CC1-A4FC-B294-96C11485AC62}"/>
            </a:ext>
          </a:extLst>
        </cdr:cNvPr>
        <cdr:cNvSpPr txBox="1"/>
      </cdr:nvSpPr>
      <cdr:spPr>
        <a:xfrm xmlns:a="http://schemas.openxmlformats.org/drawingml/2006/main">
          <a:off x="0" y="0"/>
          <a:ext cx="4235601" cy="57316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r>
            <a:rPr lang="en-US" sz="3200" baseline="0">
              <a:latin typeface="Arial" panose="020B0604020202020204" pitchFamily="34" charset="0"/>
            </a:rPr>
            <a:t> 2021 = 100</a:t>
          </a:r>
          <a:endParaRPr lang="en-US" sz="3200">
            <a:latin typeface="Arial" panose="020B0604020202020204" pitchFamily="34" charset="0"/>
          </a:endParaRP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0C027AB0-AE0A-402D-8EDE-B67A842B6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cdr:x>
      <cdr:y>0</cdr:y>
    </cdr:from>
    <cdr:to>
      <cdr:x>0.19284</cdr:x>
      <cdr:y>0.08936</cdr:y>
    </cdr:to>
    <cdr:sp macro="" textlink="">
      <cdr:nvSpPr>
        <cdr:cNvPr id="2" name="TextBox 1">
          <a:extLst xmlns:a="http://schemas.openxmlformats.org/drawingml/2006/main">
            <a:ext uri="{FF2B5EF4-FFF2-40B4-BE49-F238E27FC236}">
              <a16:creationId xmlns:a16="http://schemas.microsoft.com/office/drawing/2014/main" id="{566B3F6C-A28A-A08E-0B5A-16B9B15F73F6}"/>
            </a:ext>
          </a:extLst>
        </cdr:cNvPr>
        <cdr:cNvSpPr txBox="1"/>
      </cdr:nvSpPr>
      <cdr:spPr>
        <a:xfrm xmlns:a="http://schemas.openxmlformats.org/drawingml/2006/main">
          <a:off x="0" y="0"/>
          <a:ext cx="1782898" cy="6322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3">
          <a:extLst>
            <a:ext uri="{FF2B5EF4-FFF2-40B4-BE49-F238E27FC236}">
              <a16:creationId xmlns:a16="http://schemas.microsoft.com/office/drawing/2014/main" id="{986DE6C2-37F0-4EA4-B352-1343F8AB9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cdr:x>
      <cdr:y>1.45815E-7</cdr:y>
    </cdr:from>
    <cdr:to>
      <cdr:x>0.19284</cdr:x>
      <cdr:y>0.08829</cdr:y>
    </cdr:to>
    <cdr:sp macro="" textlink="">
      <cdr:nvSpPr>
        <cdr:cNvPr id="2" name="TextBox 1">
          <a:extLst xmlns:a="http://schemas.openxmlformats.org/drawingml/2006/main">
            <a:ext uri="{FF2B5EF4-FFF2-40B4-BE49-F238E27FC236}">
              <a16:creationId xmlns:a16="http://schemas.microsoft.com/office/drawing/2014/main" id="{8396B5CE-8187-F70B-950C-DEA051695C0E}"/>
            </a:ext>
          </a:extLst>
        </cdr:cNvPr>
        <cdr:cNvSpPr txBox="1"/>
      </cdr:nvSpPr>
      <cdr:spPr>
        <a:xfrm xmlns:a="http://schemas.openxmlformats.org/drawingml/2006/main">
          <a:off x="0" y="1"/>
          <a:ext cx="1763329" cy="60552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34C87EE7-F01B-41D9-8E77-3F7BF51C5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cdr:x>
      <cdr:y>0</cdr:y>
    </cdr:from>
    <cdr:to>
      <cdr:x>0.1931</cdr:x>
      <cdr:y>0.10714</cdr:y>
    </cdr:to>
    <cdr:sp macro="" textlink="">
      <cdr:nvSpPr>
        <cdr:cNvPr id="2" name="TextBox 1">
          <a:extLst xmlns:a="http://schemas.openxmlformats.org/drawingml/2006/main">
            <a:ext uri="{FF2B5EF4-FFF2-40B4-BE49-F238E27FC236}">
              <a16:creationId xmlns:a16="http://schemas.microsoft.com/office/drawing/2014/main" id="{E2C9F069-8435-BB09-3EA2-14DD04AB06E0}"/>
            </a:ext>
          </a:extLst>
        </cdr:cNvPr>
        <cdr:cNvSpPr txBox="1"/>
      </cdr:nvSpPr>
      <cdr:spPr>
        <a:xfrm xmlns:a="http://schemas.openxmlformats.org/drawingml/2006/main">
          <a:off x="0" y="0"/>
          <a:ext cx="1765706" cy="73478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4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A3DF4A5A-C335-4698-8B53-8A404304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cdr:x>
      <cdr:y>0</cdr:y>
    </cdr:from>
    <cdr:to>
      <cdr:x>0.1931</cdr:x>
      <cdr:y>0.08188</cdr:y>
    </cdr:to>
    <cdr:sp macro="" textlink="">
      <cdr:nvSpPr>
        <cdr:cNvPr id="2" name="TextBox 1">
          <a:extLst xmlns:a="http://schemas.openxmlformats.org/drawingml/2006/main">
            <a:ext uri="{FF2B5EF4-FFF2-40B4-BE49-F238E27FC236}">
              <a16:creationId xmlns:a16="http://schemas.microsoft.com/office/drawing/2014/main" id="{62E3085A-C8FE-3626-5625-F807F6842B1F}"/>
            </a:ext>
          </a:extLst>
        </cdr:cNvPr>
        <cdr:cNvSpPr txBox="1"/>
      </cdr:nvSpPr>
      <cdr:spPr>
        <a:xfrm xmlns:a="http://schemas.openxmlformats.org/drawingml/2006/main">
          <a:off x="0" y="0"/>
          <a:ext cx="1778000" cy="56673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0.8069</cdr:x>
      <cdr:y>0</cdr:y>
    </cdr:from>
    <cdr:to>
      <cdr:x>1</cdr:x>
      <cdr:y>0.08188</cdr:y>
    </cdr:to>
    <cdr:sp macro="" textlink="">
      <cdr:nvSpPr>
        <cdr:cNvPr id="3" name="TextBox 1">
          <a:extLst xmlns:a="http://schemas.openxmlformats.org/drawingml/2006/main">
            <a:ext uri="{FF2B5EF4-FFF2-40B4-BE49-F238E27FC236}">
              <a16:creationId xmlns:a16="http://schemas.microsoft.com/office/drawing/2014/main" id="{EC76D265-E1A9-F807-FC7A-2C007DBDBB39}"/>
            </a:ext>
          </a:extLst>
        </cdr:cNvPr>
        <cdr:cNvSpPr txBox="1"/>
      </cdr:nvSpPr>
      <cdr:spPr>
        <a:xfrm xmlns:a="http://schemas.openxmlformats.org/drawingml/2006/main">
          <a:off x="7380856" y="0"/>
          <a:ext cx="1766319" cy="56153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a:t>
          </a: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5BB311CA-ADE9-4480-85E9-949E21D29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c:userShapes xmlns:c="http://schemas.openxmlformats.org/drawingml/2006/chart">
  <cdr:relSizeAnchor xmlns:cdr="http://schemas.openxmlformats.org/drawingml/2006/chartDrawing">
    <cdr:from>
      <cdr:x>0.00551</cdr:x>
      <cdr:y>0.00733</cdr:y>
    </cdr:from>
    <cdr:to>
      <cdr:x>0.44346</cdr:x>
      <cdr:y>0.18928</cdr:y>
    </cdr:to>
    <cdr:sp macro="" textlink="">
      <cdr:nvSpPr>
        <cdr:cNvPr id="2" name="TextBox 1">
          <a:extLst xmlns:a="http://schemas.openxmlformats.org/drawingml/2006/main">
            <a:ext uri="{FF2B5EF4-FFF2-40B4-BE49-F238E27FC236}">
              <a16:creationId xmlns:a16="http://schemas.microsoft.com/office/drawing/2014/main" id="{F998F624-9BE8-691F-3EBF-CF13997A32AE}"/>
            </a:ext>
          </a:extLst>
        </cdr:cNvPr>
        <cdr:cNvSpPr txBox="1"/>
      </cdr:nvSpPr>
      <cdr:spPr>
        <a:xfrm xmlns:a="http://schemas.openxmlformats.org/drawingml/2006/main">
          <a:off x="50705" y="53377"/>
          <a:ext cx="4030253" cy="132490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 0+ = tight</a:t>
          </a:r>
        </a:p>
      </cdr:txBody>
    </cdr:sp>
  </cdr:relSizeAnchor>
  <cdr:relSizeAnchor xmlns:cdr="http://schemas.openxmlformats.org/drawingml/2006/chartDrawing">
    <cdr:from>
      <cdr:x>0.80716</cdr:x>
      <cdr:y>0</cdr:y>
    </cdr:from>
    <cdr:to>
      <cdr:x>1</cdr:x>
      <cdr:y>0.18315</cdr:y>
    </cdr:to>
    <cdr:sp macro="" textlink="">
      <cdr:nvSpPr>
        <cdr:cNvPr id="3" name="TextBox 1">
          <a:extLst xmlns:a="http://schemas.openxmlformats.org/drawingml/2006/main">
            <a:ext uri="{FF2B5EF4-FFF2-40B4-BE49-F238E27FC236}">
              <a16:creationId xmlns:a16="http://schemas.microsoft.com/office/drawing/2014/main" id="{E865C145-D8FE-1889-BD58-72B3F287070C}"/>
            </a:ext>
          </a:extLst>
        </cdr:cNvPr>
        <cdr:cNvSpPr txBox="1"/>
      </cdr:nvSpPr>
      <cdr:spPr>
        <a:xfrm xmlns:a="http://schemas.openxmlformats.org/drawingml/2006/main">
          <a:off x="7406196" y="0"/>
          <a:ext cx="1769399" cy="123879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Index</a:t>
          </a: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105682</xdr:rowOff>
    </xdr:to>
    <xdr:graphicFrame macro="">
      <xdr:nvGraphicFramePr>
        <xdr:cNvPr id="2" name="Chart 1">
          <a:extLst>
            <a:ext uri="{FF2B5EF4-FFF2-40B4-BE49-F238E27FC236}">
              <a16:creationId xmlns:a16="http://schemas.microsoft.com/office/drawing/2014/main" id="{E632987C-6C99-41E9-900B-466E76C5F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cdr:x>
      <cdr:y>0</cdr:y>
    </cdr:from>
    <cdr:to>
      <cdr:x>0.19284</cdr:x>
      <cdr:y>0.10565</cdr:y>
    </cdr:to>
    <cdr:sp macro="" textlink="">
      <cdr:nvSpPr>
        <cdr:cNvPr id="2" name="TextBox 1">
          <a:extLst xmlns:a="http://schemas.openxmlformats.org/drawingml/2006/main">
            <a:ext uri="{FF2B5EF4-FFF2-40B4-BE49-F238E27FC236}">
              <a16:creationId xmlns:a16="http://schemas.microsoft.com/office/drawing/2014/main" id="{A0C7BA27-1AC0-18B6-E499-90D9DC211D13}"/>
            </a:ext>
          </a:extLst>
        </cdr:cNvPr>
        <cdr:cNvSpPr txBox="1"/>
      </cdr:nvSpPr>
      <cdr:spPr>
        <a:xfrm xmlns:a="http://schemas.openxmlformats.org/drawingml/2006/main">
          <a:off x="0" y="0"/>
          <a:ext cx="1773348" cy="68832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4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105682</xdr:rowOff>
    </xdr:to>
    <xdr:graphicFrame macro="">
      <xdr:nvGraphicFramePr>
        <xdr:cNvPr id="3" name="Chart 2">
          <a:extLst>
            <a:ext uri="{FF2B5EF4-FFF2-40B4-BE49-F238E27FC236}">
              <a16:creationId xmlns:a16="http://schemas.microsoft.com/office/drawing/2014/main" id="{2DFD4751-C844-4ED2-A51B-824122149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c:userShapes xmlns:c="http://schemas.openxmlformats.org/drawingml/2006/chart">
  <cdr:relSizeAnchor xmlns:cdr="http://schemas.openxmlformats.org/drawingml/2006/chartDrawing">
    <cdr:from>
      <cdr:x>0</cdr:x>
      <cdr:y>0</cdr:y>
    </cdr:from>
    <cdr:to>
      <cdr:x>0.55301</cdr:x>
      <cdr:y>0.18349</cdr:y>
    </cdr:to>
    <cdr:sp macro="" textlink="">
      <cdr:nvSpPr>
        <cdr:cNvPr id="3" name="TextBox 2">
          <a:extLst xmlns:a="http://schemas.openxmlformats.org/drawingml/2006/main">
            <a:ext uri="{FF2B5EF4-FFF2-40B4-BE49-F238E27FC236}">
              <a16:creationId xmlns:a16="http://schemas.microsoft.com/office/drawing/2014/main" id="{547C1C93-7F7C-B27F-E864-AD58FB48E0FA}"/>
            </a:ext>
          </a:extLst>
        </cdr:cNvPr>
        <cdr:cNvSpPr txBox="1"/>
      </cdr:nvSpPr>
      <cdr:spPr>
        <a:xfrm xmlns:a="http://schemas.openxmlformats.org/drawingml/2006/main">
          <a:off x="0" y="0"/>
          <a:ext cx="5054944" cy="125895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50+ = high risk</a:t>
          </a:r>
        </a:p>
      </cdr:txBody>
    </cdr:sp>
  </cdr:relSizeAnchor>
  <cdr:relSizeAnchor xmlns:cdr="http://schemas.openxmlformats.org/drawingml/2006/chartDrawing">
    <cdr:from>
      <cdr:x>0.60195</cdr:x>
      <cdr:y>0</cdr:y>
    </cdr:from>
    <cdr:to>
      <cdr:x>1</cdr:x>
      <cdr:y>0.0782</cdr:y>
    </cdr:to>
    <cdr:sp macro="" textlink="">
      <cdr:nvSpPr>
        <cdr:cNvPr id="4" name="TextBox 1">
          <a:extLst xmlns:a="http://schemas.openxmlformats.org/drawingml/2006/main">
            <a:ext uri="{FF2B5EF4-FFF2-40B4-BE49-F238E27FC236}">
              <a16:creationId xmlns:a16="http://schemas.microsoft.com/office/drawing/2014/main" id="{C23C0A84-D731-BDC3-7AB5-8EE3BC349D9D}"/>
            </a:ext>
          </a:extLst>
        </cdr:cNvPr>
        <cdr:cNvSpPr txBox="1"/>
      </cdr:nvSpPr>
      <cdr:spPr>
        <a:xfrm xmlns:a="http://schemas.openxmlformats.org/drawingml/2006/main">
          <a:off x="5502276" y="0"/>
          <a:ext cx="3638549" cy="5365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Index/Basis</a:t>
          </a:r>
          <a:r>
            <a:rPr lang="en-US" sz="3200" baseline="0">
              <a:latin typeface="Arial" panose="020B0604020202020204" pitchFamily="34" charset="0"/>
            </a:rPr>
            <a:t> points</a:t>
          </a:r>
          <a:endParaRPr lang="en-US" sz="3200">
            <a:latin typeface="Arial" panose="020B0604020202020204" pitchFamily="34" charset="0"/>
          </a:endParaRPr>
        </a:p>
      </cdr:txBody>
    </cdr:sp>
  </cdr:relSizeAnchor>
</c:userShapes>
</file>

<file path=xl/drawings/drawing51.xml><?xml version="1.0" encoding="utf-8"?>
<xdr:wsDr xmlns:xdr="http://schemas.openxmlformats.org/drawingml/2006/spreadsheetDrawing" xmlns:a="http://schemas.openxmlformats.org/drawingml/2006/main">
  <xdr:twoCellAnchor>
    <xdr:from>
      <xdr:col>0</xdr:col>
      <xdr:colOff>0</xdr:colOff>
      <xdr:row>0</xdr:row>
      <xdr:rowOff>317499</xdr:rowOff>
    </xdr:from>
    <xdr:to>
      <xdr:col>13</xdr:col>
      <xdr:colOff>535214</xdr:colOff>
      <xdr:row>31</xdr:row>
      <xdr:rowOff>54428</xdr:rowOff>
    </xdr:to>
    <xdr:graphicFrame macro="">
      <xdr:nvGraphicFramePr>
        <xdr:cNvPr id="2" name="Chart 1">
          <a:extLst>
            <a:ext uri="{FF2B5EF4-FFF2-40B4-BE49-F238E27FC236}">
              <a16:creationId xmlns:a16="http://schemas.microsoft.com/office/drawing/2014/main" id="{785F96E4-11E6-44C5-BC49-93126ACB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c:userShapes xmlns:c="http://schemas.openxmlformats.org/drawingml/2006/chart">
  <cdr:relSizeAnchor xmlns:cdr="http://schemas.openxmlformats.org/drawingml/2006/chartDrawing">
    <cdr:from>
      <cdr:x>0.00551</cdr:x>
      <cdr:y>0.00733</cdr:y>
    </cdr:from>
    <cdr:to>
      <cdr:x>0.50362</cdr:x>
      <cdr:y>0.19048</cdr:y>
    </cdr:to>
    <cdr:sp macro="" textlink="">
      <cdr:nvSpPr>
        <cdr:cNvPr id="2" name="TextBox 1">
          <a:extLst xmlns:a="http://schemas.openxmlformats.org/drawingml/2006/main">
            <a:ext uri="{FF2B5EF4-FFF2-40B4-BE49-F238E27FC236}">
              <a16:creationId xmlns:a16="http://schemas.microsoft.com/office/drawing/2014/main" id="{18F949CD-FB59-983C-FC37-B399EE919A3C}"/>
            </a:ext>
          </a:extLst>
        </cdr:cNvPr>
        <cdr:cNvSpPr txBox="1"/>
      </cdr:nvSpPr>
      <cdr:spPr>
        <a:xfrm xmlns:a="http://schemas.openxmlformats.org/drawingml/2006/main">
          <a:off x="51089" y="51334"/>
          <a:ext cx="4618897" cy="128335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 Jan-24=100</a:t>
          </a:r>
        </a:p>
      </cdr:txBody>
    </cdr:sp>
  </cdr:relSizeAnchor>
</c:userShapes>
</file>

<file path=xl/drawings/drawing53.xml><?xml version="1.0" encoding="utf-8"?>
<xdr:wsDr xmlns:xdr="http://schemas.openxmlformats.org/drawingml/2006/spreadsheetDrawing" xmlns:a="http://schemas.openxmlformats.org/drawingml/2006/main">
  <xdr:twoCellAnchor>
    <xdr:from>
      <xdr:col>0</xdr:col>
      <xdr:colOff>0</xdr:colOff>
      <xdr:row>0</xdr:row>
      <xdr:rowOff>317499</xdr:rowOff>
    </xdr:from>
    <xdr:to>
      <xdr:col>13</xdr:col>
      <xdr:colOff>535214</xdr:colOff>
      <xdr:row>31</xdr:row>
      <xdr:rowOff>54428</xdr:rowOff>
    </xdr:to>
    <xdr:graphicFrame macro="">
      <xdr:nvGraphicFramePr>
        <xdr:cNvPr id="2" name="Chart 3">
          <a:extLst>
            <a:ext uri="{FF2B5EF4-FFF2-40B4-BE49-F238E27FC236}">
              <a16:creationId xmlns:a16="http://schemas.microsoft.com/office/drawing/2014/main" id="{EE0A79C6-D346-4674-8739-434EBF7B9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c:userShapes xmlns:c="http://schemas.openxmlformats.org/drawingml/2006/chart">
  <cdr:relSizeAnchor xmlns:cdr="http://schemas.openxmlformats.org/drawingml/2006/chartDrawing">
    <cdr:from>
      <cdr:x>0</cdr:x>
      <cdr:y>1.45815E-7</cdr:y>
    </cdr:from>
    <cdr:to>
      <cdr:x>0.19284</cdr:x>
      <cdr:y>0.08829</cdr:y>
    </cdr:to>
    <cdr:sp macro="" textlink="">
      <cdr:nvSpPr>
        <cdr:cNvPr id="2" name="TextBox 1">
          <a:extLst xmlns:a="http://schemas.openxmlformats.org/drawingml/2006/main">
            <a:ext uri="{FF2B5EF4-FFF2-40B4-BE49-F238E27FC236}">
              <a16:creationId xmlns:a16="http://schemas.microsoft.com/office/drawing/2014/main" id="{8396B5CE-8187-F70B-950C-DEA051695C0E}"/>
            </a:ext>
          </a:extLst>
        </cdr:cNvPr>
        <cdr:cNvSpPr txBox="1"/>
      </cdr:nvSpPr>
      <cdr:spPr>
        <a:xfrm xmlns:a="http://schemas.openxmlformats.org/drawingml/2006/main">
          <a:off x="0" y="1"/>
          <a:ext cx="1763329" cy="60552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5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E22605BD-E175-4207-8BD2-BF09E23F5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c:userShapes xmlns:c="http://schemas.openxmlformats.org/drawingml/2006/chart">
  <cdr:relSizeAnchor xmlns:cdr="http://schemas.openxmlformats.org/drawingml/2006/chartDrawing">
    <cdr:from>
      <cdr:x>0.00164</cdr:x>
      <cdr:y>0</cdr:y>
    </cdr:from>
    <cdr:to>
      <cdr:x>0.27712</cdr:x>
      <cdr:y>0.10556</cdr:y>
    </cdr:to>
    <cdr:sp macro="" textlink="">
      <cdr:nvSpPr>
        <cdr:cNvPr id="2" name="TextBox 1">
          <a:extLst xmlns:a="http://schemas.openxmlformats.org/drawingml/2006/main">
            <a:ext uri="{FF2B5EF4-FFF2-40B4-BE49-F238E27FC236}">
              <a16:creationId xmlns:a16="http://schemas.microsoft.com/office/drawing/2014/main" id="{2F83C71B-0C4F-E4C9-9A1B-6F361E7C8A46}"/>
            </a:ext>
          </a:extLst>
        </cdr:cNvPr>
        <cdr:cNvSpPr txBox="1"/>
      </cdr:nvSpPr>
      <cdr:spPr>
        <a:xfrm xmlns:a="http://schemas.openxmlformats.org/drawingml/2006/main">
          <a:off x="15115" y="0"/>
          <a:ext cx="2546684" cy="7218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solidFill>
                <a:sysClr val="windowText" lastClr="000000"/>
              </a:solidFill>
              <a:latin typeface="Arial" panose="020B0604020202020204" pitchFamily="34" charset="0"/>
              <a:cs typeface="Arial" panose="020B0604020202020204" pitchFamily="34" charset="0"/>
            </a:rPr>
            <a:t>Percent</a:t>
          </a:r>
        </a:p>
      </cdr:txBody>
    </cdr:sp>
  </cdr:relSizeAnchor>
</c:userShapes>
</file>

<file path=xl/drawings/drawing5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41DB1809-0720-4AE9-901B-1E0CE335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8.xml><?xml version="1.0" encoding="utf-8"?>
<c:userShapes xmlns:c="http://schemas.openxmlformats.org/drawingml/2006/chart">
  <cdr:relSizeAnchor xmlns:cdr="http://schemas.openxmlformats.org/drawingml/2006/chartDrawing">
    <cdr:from>
      <cdr:x>0.00551</cdr:x>
      <cdr:y>0.00733</cdr:y>
    </cdr:from>
    <cdr:to>
      <cdr:x>0.58056</cdr:x>
      <cdr:y>0.16273</cdr:y>
    </cdr:to>
    <cdr:sp macro="" textlink="">
      <cdr:nvSpPr>
        <cdr:cNvPr id="2" name="TextBox 1">
          <a:extLst xmlns:a="http://schemas.openxmlformats.org/drawingml/2006/main">
            <a:ext uri="{FF2B5EF4-FFF2-40B4-BE49-F238E27FC236}">
              <a16:creationId xmlns:a16="http://schemas.microsoft.com/office/drawing/2014/main" id="{27C79C4A-7B66-20E6-2E9A-B62CBEC0B63D}"/>
            </a:ext>
          </a:extLst>
        </cdr:cNvPr>
        <cdr:cNvSpPr txBox="1"/>
      </cdr:nvSpPr>
      <cdr:spPr>
        <a:xfrm xmlns:a="http://schemas.openxmlformats.org/drawingml/2006/main">
          <a:off x="50380" y="50242"/>
          <a:ext cx="5258220" cy="10657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r>
            <a:rPr lang="en-US" sz="3200" baseline="0">
              <a:latin typeface="Arial" panose="020B0604020202020204" pitchFamily="34" charset="0"/>
            </a:rPr>
            <a:t> 50+=expansion</a:t>
          </a:r>
          <a:endParaRPr lang="en-US" sz="3200">
            <a:latin typeface="Arial" panose="020B0604020202020204" pitchFamily="34" charset="0"/>
          </a:endParaRPr>
        </a:p>
      </cdr:txBody>
    </cdr:sp>
  </cdr:relSizeAnchor>
  <cdr:relSizeAnchor xmlns:cdr="http://schemas.openxmlformats.org/drawingml/2006/chartDrawing">
    <cdr:from>
      <cdr:x>0.00552</cdr:x>
      <cdr:y>0.00733</cdr:y>
    </cdr:from>
    <cdr:to>
      <cdr:x>0.19855</cdr:x>
      <cdr:y>0.19065</cdr:y>
    </cdr:to>
    <cdr:sp macro="" textlink="">
      <cdr:nvSpPr>
        <cdr:cNvPr id="4" name="TextBox 3">
          <a:extLst xmlns:a="http://schemas.openxmlformats.org/drawingml/2006/main">
            <a:ext uri="{FF2B5EF4-FFF2-40B4-BE49-F238E27FC236}">
              <a16:creationId xmlns:a16="http://schemas.microsoft.com/office/drawing/2014/main" id="{569186E3-05A0-2F39-9B56-EF1FB33F1D1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5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D4584232-3080-42D9-B8FB-D85C42CDF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FE12BB2D-E944-C685-B220-6D7826E4255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6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3">
          <a:extLst>
            <a:ext uri="{FF2B5EF4-FFF2-40B4-BE49-F238E27FC236}">
              <a16:creationId xmlns:a16="http://schemas.microsoft.com/office/drawing/2014/main" id="{DE8C4C83-68BF-4C9A-B6F6-315A301218DE}"/>
            </a:ext>
            <a:ext uri="{147F2762-F138-4A5C-976F-8EAC2B608ADB}">
              <a16:predDERef xmlns:a16="http://schemas.microsoft.com/office/drawing/2014/main" pred="{C0E4997E-30B1-4599-B909-A91A7F639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c:userShapes xmlns:c="http://schemas.openxmlformats.org/drawingml/2006/chart">
  <cdr:relSizeAnchor xmlns:cdr="http://schemas.openxmlformats.org/drawingml/2006/chartDrawing">
    <cdr:from>
      <cdr:x>0</cdr:x>
      <cdr:y>0</cdr:y>
    </cdr:from>
    <cdr:to>
      <cdr:x>0.66514</cdr:x>
      <cdr:y>0.10902</cdr:y>
    </cdr:to>
    <cdr:sp macro="" textlink="">
      <cdr:nvSpPr>
        <cdr:cNvPr id="2" name="TextBox 1">
          <a:extLst xmlns:a="http://schemas.openxmlformats.org/drawingml/2006/main">
            <a:ext uri="{FF2B5EF4-FFF2-40B4-BE49-F238E27FC236}">
              <a16:creationId xmlns:a16="http://schemas.microsoft.com/office/drawing/2014/main" id="{814926E7-A82D-B3EA-92D0-44DB003A08AF}"/>
            </a:ext>
          </a:extLst>
        </cdr:cNvPr>
        <cdr:cNvSpPr txBox="1"/>
      </cdr:nvSpPr>
      <cdr:spPr>
        <a:xfrm xmlns:a="http://schemas.openxmlformats.org/drawingml/2006/main">
          <a:off x="0" y="0"/>
          <a:ext cx="6082040" cy="74765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aseline="0">
              <a:latin typeface="Arial" panose="020B0604020202020204" pitchFamily="34" charset="0"/>
            </a:rPr>
            <a:t>Index, 2019 = 100</a:t>
          </a:r>
          <a:endParaRPr lang="en-US" sz="3200">
            <a:latin typeface="Arial" panose="020B0604020202020204" pitchFamily="34" charset="0"/>
          </a:endParaRPr>
        </a:p>
      </cdr:txBody>
    </cdr:sp>
  </cdr:relSizeAnchor>
  <cdr:relSizeAnchor xmlns:cdr="http://schemas.openxmlformats.org/drawingml/2006/chartDrawing">
    <cdr:from>
      <cdr:x>0.00915</cdr:x>
      <cdr:y>0.01301</cdr:y>
    </cdr:from>
    <cdr:to>
      <cdr:x>0.32952</cdr:x>
      <cdr:y>0.33832</cdr:y>
    </cdr:to>
    <cdr:sp macro="" textlink="">
      <cdr:nvSpPr>
        <cdr:cNvPr id="4" name="TextBox 3">
          <a:extLst xmlns:a="http://schemas.openxmlformats.org/drawingml/2006/main">
            <a:ext uri="{FF2B5EF4-FFF2-40B4-BE49-F238E27FC236}">
              <a16:creationId xmlns:a16="http://schemas.microsoft.com/office/drawing/2014/main" id="{07E5BDD0-83F5-17BA-A029-04E99BEB3CE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dr:relSizeAnchor xmlns:cdr="http://schemas.openxmlformats.org/drawingml/2006/chartDrawing">
    <cdr:from>
      <cdr:x>0.00552</cdr:x>
      <cdr:y>0.00734</cdr:y>
    </cdr:from>
    <cdr:to>
      <cdr:x>0.19862</cdr:x>
      <cdr:y>0.19083</cdr:y>
    </cdr:to>
    <cdr:sp macro="" textlink="">
      <cdr:nvSpPr>
        <cdr:cNvPr id="3" name="TextBox 2">
          <a:extLst xmlns:a="http://schemas.openxmlformats.org/drawingml/2006/main">
            <a:ext uri="{FF2B5EF4-FFF2-40B4-BE49-F238E27FC236}">
              <a16:creationId xmlns:a16="http://schemas.microsoft.com/office/drawing/2014/main" id="{2DFFB35C-A5D7-DAEC-E9F4-E426B246925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6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57D755F7-86A3-4BD2-BEB2-11B73E518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4.xml><?xml version="1.0" encoding="utf-8"?>
<c:userShapes xmlns:c="http://schemas.openxmlformats.org/drawingml/2006/chart">
  <cdr:relSizeAnchor xmlns:cdr="http://schemas.openxmlformats.org/drawingml/2006/chartDrawing">
    <cdr:from>
      <cdr:x>0</cdr:x>
      <cdr:y>0</cdr:y>
    </cdr:from>
    <cdr:to>
      <cdr:x>0.19284</cdr:x>
      <cdr:y>0.08514</cdr:y>
    </cdr:to>
    <cdr:sp macro="" textlink="">
      <cdr:nvSpPr>
        <cdr:cNvPr id="2" name="TextBox 1">
          <a:extLst xmlns:a="http://schemas.openxmlformats.org/drawingml/2006/main">
            <a:ext uri="{FF2B5EF4-FFF2-40B4-BE49-F238E27FC236}">
              <a16:creationId xmlns:a16="http://schemas.microsoft.com/office/drawing/2014/main" id="{7CA25709-5976-0D63-2A13-B4DE7B52824B}"/>
            </a:ext>
          </a:extLst>
        </cdr:cNvPr>
        <cdr:cNvSpPr txBox="1"/>
      </cdr:nvSpPr>
      <cdr:spPr>
        <a:xfrm xmlns:a="http://schemas.openxmlformats.org/drawingml/2006/main">
          <a:off x="0" y="0"/>
          <a:ext cx="1646123" cy="5985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0.00552</cdr:x>
      <cdr:y>0.00734</cdr:y>
    </cdr:from>
    <cdr:to>
      <cdr:x>0.19862</cdr:x>
      <cdr:y>0.19083</cdr:y>
    </cdr:to>
    <cdr:sp macro="" textlink="">
      <cdr:nvSpPr>
        <cdr:cNvPr id="4" name="TextBox 3">
          <a:extLst xmlns:a="http://schemas.openxmlformats.org/drawingml/2006/main">
            <a:ext uri="{FF2B5EF4-FFF2-40B4-BE49-F238E27FC236}">
              <a16:creationId xmlns:a16="http://schemas.microsoft.com/office/drawing/2014/main" id="{D1F5EFA5-C209-769A-94D7-66FBD6A84837}"/>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6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82B8F7E2-D622-413C-9D40-EA4683CE7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6.xml><?xml version="1.0" encoding="utf-8"?>
<c:userShapes xmlns:c="http://schemas.openxmlformats.org/drawingml/2006/chart">
  <cdr:relSizeAnchor xmlns:cdr="http://schemas.openxmlformats.org/drawingml/2006/chartDrawing">
    <cdr:from>
      <cdr:x>0</cdr:x>
      <cdr:y>0</cdr:y>
    </cdr:from>
    <cdr:to>
      <cdr:x>0.35778</cdr:x>
      <cdr:y>0.13197</cdr:y>
    </cdr:to>
    <cdr:sp macro="" textlink="">
      <cdr:nvSpPr>
        <cdr:cNvPr id="2" name="TextBox 1">
          <a:extLst xmlns:a="http://schemas.openxmlformats.org/drawingml/2006/main">
            <a:ext uri="{FF2B5EF4-FFF2-40B4-BE49-F238E27FC236}">
              <a16:creationId xmlns:a16="http://schemas.microsoft.com/office/drawing/2014/main" id="{30A95855-491E-9D1A-E12D-36FA0802AC68}"/>
            </a:ext>
          </a:extLst>
        </cdr:cNvPr>
        <cdr:cNvSpPr txBox="1"/>
      </cdr:nvSpPr>
      <cdr:spPr>
        <a:xfrm xmlns:a="http://schemas.openxmlformats.org/drawingml/2006/main">
          <a:off x="0" y="0"/>
          <a:ext cx="3271541" cy="9050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dr:relSizeAnchor xmlns:cdr="http://schemas.openxmlformats.org/drawingml/2006/chartDrawing">
    <cdr:from>
      <cdr:x>0.00552</cdr:x>
      <cdr:y>0.00734</cdr:y>
    </cdr:from>
    <cdr:to>
      <cdr:x>0.19855</cdr:x>
      <cdr:y>0.19083</cdr:y>
    </cdr:to>
    <cdr:sp macro="" textlink="">
      <cdr:nvSpPr>
        <cdr:cNvPr id="4" name="TextBox 3">
          <a:extLst xmlns:a="http://schemas.openxmlformats.org/drawingml/2006/main">
            <a:ext uri="{FF2B5EF4-FFF2-40B4-BE49-F238E27FC236}">
              <a16:creationId xmlns:a16="http://schemas.microsoft.com/office/drawing/2014/main" id="{5B3F5118-6135-F267-B9DD-5600919FA48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6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108857</xdr:rowOff>
    </xdr:to>
    <xdr:graphicFrame macro="">
      <xdr:nvGraphicFramePr>
        <xdr:cNvPr id="2" name="Chart 1">
          <a:extLst>
            <a:ext uri="{FF2B5EF4-FFF2-40B4-BE49-F238E27FC236}">
              <a16:creationId xmlns:a16="http://schemas.microsoft.com/office/drawing/2014/main" id="{03AC91A5-FE94-40BE-BEAF-14348AEEB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8.xml><?xml version="1.0" encoding="utf-8"?>
<c:userShapes xmlns:c="http://schemas.openxmlformats.org/drawingml/2006/chart">
  <cdr:relSizeAnchor xmlns:cdr="http://schemas.openxmlformats.org/drawingml/2006/chartDrawing">
    <cdr:from>
      <cdr:x>0</cdr:x>
      <cdr:y>0</cdr:y>
    </cdr:from>
    <cdr:to>
      <cdr:x>0.39677</cdr:x>
      <cdr:y>0.08958</cdr:y>
    </cdr:to>
    <cdr:sp macro="" textlink="">
      <cdr:nvSpPr>
        <cdr:cNvPr id="2" name="TextBox 1">
          <a:extLst xmlns:a="http://schemas.openxmlformats.org/drawingml/2006/main">
            <a:ext uri="{FF2B5EF4-FFF2-40B4-BE49-F238E27FC236}">
              <a16:creationId xmlns:a16="http://schemas.microsoft.com/office/drawing/2014/main" id="{9C3A666A-DCAD-B2EB-3065-F9323F84E751}"/>
            </a:ext>
          </a:extLst>
        </cdr:cNvPr>
        <cdr:cNvSpPr txBox="1"/>
      </cdr:nvSpPr>
      <cdr:spPr>
        <a:xfrm xmlns:a="http://schemas.openxmlformats.org/drawingml/2006/main">
          <a:off x="0" y="0"/>
          <a:ext cx="3628044" cy="6143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Months of imports</a:t>
          </a:r>
        </a:p>
      </cdr:txBody>
    </cdr:sp>
  </cdr:relSizeAnchor>
</c:userShapes>
</file>

<file path=xl/drawings/drawing6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3E0BE11A-FEDB-4DE0-8F38-F7451CC38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0.xml><?xml version="1.0" encoding="utf-8"?>
<c:userShapes xmlns:c="http://schemas.openxmlformats.org/drawingml/2006/chart">
  <cdr:relSizeAnchor xmlns:cdr="http://schemas.openxmlformats.org/drawingml/2006/chartDrawing">
    <cdr:from>
      <cdr:x>0</cdr:x>
      <cdr:y>1.47513E-7</cdr:y>
    </cdr:from>
    <cdr:to>
      <cdr:x>0.19277</cdr:x>
      <cdr:y>0.09394</cdr:y>
    </cdr:to>
    <cdr:sp macro="" textlink="">
      <cdr:nvSpPr>
        <cdr:cNvPr id="2" name="TextBox 1">
          <a:extLst xmlns:a="http://schemas.openxmlformats.org/drawingml/2006/main">
            <a:ext uri="{FF2B5EF4-FFF2-40B4-BE49-F238E27FC236}">
              <a16:creationId xmlns:a16="http://schemas.microsoft.com/office/drawing/2014/main" id="{E8836572-82AE-E89D-20D6-3D88B4085F42}"/>
            </a:ext>
          </a:extLst>
        </cdr:cNvPr>
        <cdr:cNvSpPr txBox="1"/>
      </cdr:nvSpPr>
      <cdr:spPr>
        <a:xfrm xmlns:a="http://schemas.openxmlformats.org/drawingml/2006/main">
          <a:off x="0" y="1"/>
          <a:ext cx="1786132" cy="63681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0.80723</cdr:x>
      <cdr:y>0</cdr:y>
    </cdr:from>
    <cdr:to>
      <cdr:x>1</cdr:x>
      <cdr:y>0.09394</cdr:y>
    </cdr:to>
    <cdr:sp macro="" textlink="">
      <cdr:nvSpPr>
        <cdr:cNvPr id="3" name="TextBox 1">
          <a:extLst xmlns:a="http://schemas.openxmlformats.org/drawingml/2006/main">
            <a:ext uri="{FF2B5EF4-FFF2-40B4-BE49-F238E27FC236}">
              <a16:creationId xmlns:a16="http://schemas.microsoft.com/office/drawing/2014/main" id="{BD20B04A-6D78-0349-0D9B-86DBA5DCA6AB}"/>
            </a:ext>
          </a:extLst>
        </cdr:cNvPr>
        <cdr:cNvSpPr txBox="1"/>
      </cdr:nvSpPr>
      <cdr:spPr>
        <a:xfrm xmlns:a="http://schemas.openxmlformats.org/drawingml/2006/main">
          <a:off x="7381311" y="0"/>
          <a:ext cx="1762689" cy="64424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a:t>
          </a:r>
        </a:p>
      </cdr:txBody>
    </cdr:sp>
  </cdr:relSizeAnchor>
</c:userShapes>
</file>

<file path=xl/drawings/drawing7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105682</xdr:rowOff>
    </xdr:to>
    <xdr:graphicFrame macro="">
      <xdr:nvGraphicFramePr>
        <xdr:cNvPr id="2" name="Chart 1">
          <a:extLst>
            <a:ext uri="{FF2B5EF4-FFF2-40B4-BE49-F238E27FC236}">
              <a16:creationId xmlns:a16="http://schemas.microsoft.com/office/drawing/2014/main" id="{9FC021BC-FB6B-4582-8292-B967601E0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2.xml><?xml version="1.0" encoding="utf-8"?>
<c:userShapes xmlns:c="http://schemas.openxmlformats.org/drawingml/2006/chart">
  <cdr:relSizeAnchor xmlns:cdr="http://schemas.openxmlformats.org/drawingml/2006/chartDrawing">
    <cdr:from>
      <cdr:x>0</cdr:x>
      <cdr:y>0.00222</cdr:y>
    </cdr:from>
    <cdr:to>
      <cdr:x>0.53684</cdr:x>
      <cdr:y>0.09116</cdr:y>
    </cdr:to>
    <cdr:sp macro="" textlink="">
      <cdr:nvSpPr>
        <cdr:cNvPr id="2" name="TextBox 1">
          <a:extLst xmlns:a="http://schemas.openxmlformats.org/drawingml/2006/main">
            <a:ext uri="{FF2B5EF4-FFF2-40B4-BE49-F238E27FC236}">
              <a16:creationId xmlns:a16="http://schemas.microsoft.com/office/drawing/2014/main" id="{01F7391F-42FE-40D0-EDBB-8874977CCCCE}"/>
            </a:ext>
          </a:extLst>
        </cdr:cNvPr>
        <cdr:cNvSpPr txBox="1"/>
      </cdr:nvSpPr>
      <cdr:spPr>
        <a:xfrm xmlns:a="http://schemas.openxmlformats.org/drawingml/2006/main">
          <a:off x="0" y="15875"/>
          <a:ext cx="4857750" cy="635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solidFill>
                <a:sysClr val="windowText" lastClr="000000"/>
              </a:solidFill>
              <a:latin typeface="Arial" panose="020B0604020202020204" pitchFamily="34" charset="0"/>
              <a:cs typeface="Arial" panose="020B0604020202020204" pitchFamily="34" charset="0"/>
            </a:rPr>
            <a:t>Number of countries</a:t>
          </a:r>
        </a:p>
      </cdr:txBody>
    </cdr:sp>
  </cdr:relSizeAnchor>
</c:userShapes>
</file>

<file path=xl/drawings/drawing7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530678</xdr:colOff>
      <xdr:row>31</xdr:row>
      <xdr:rowOff>54429</xdr:rowOff>
    </xdr:to>
    <xdr:graphicFrame macro="">
      <xdr:nvGraphicFramePr>
        <xdr:cNvPr id="2" name="Chart 1">
          <a:extLst>
            <a:ext uri="{FF2B5EF4-FFF2-40B4-BE49-F238E27FC236}">
              <a16:creationId xmlns:a16="http://schemas.microsoft.com/office/drawing/2014/main" id="{1C147D4B-76D0-4FBE-AFAE-FA896665A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4.xml><?xml version="1.0" encoding="utf-8"?>
<c:userShapes xmlns:c="http://schemas.openxmlformats.org/drawingml/2006/chart">
  <cdr:relSizeAnchor xmlns:cdr="http://schemas.openxmlformats.org/drawingml/2006/chartDrawing">
    <cdr:from>
      <cdr:x>0</cdr:x>
      <cdr:y>0</cdr:y>
    </cdr:from>
    <cdr:to>
      <cdr:x>0.41821</cdr:x>
      <cdr:y>0.09409</cdr:y>
    </cdr:to>
    <cdr:sp macro="" textlink="">
      <cdr:nvSpPr>
        <cdr:cNvPr id="2" name="TextBox 1">
          <a:extLst xmlns:a="http://schemas.openxmlformats.org/drawingml/2006/main">
            <a:ext uri="{FF2B5EF4-FFF2-40B4-BE49-F238E27FC236}">
              <a16:creationId xmlns:a16="http://schemas.microsoft.com/office/drawing/2014/main" id="{8F4FD982-E49D-8B0E-AA99-FF10E336BE2C}"/>
            </a:ext>
          </a:extLst>
        </cdr:cNvPr>
        <cdr:cNvSpPr txBox="1"/>
      </cdr:nvSpPr>
      <cdr:spPr>
        <a:xfrm xmlns:a="http://schemas.openxmlformats.org/drawingml/2006/main">
          <a:off x="0" y="0"/>
          <a:ext cx="3851673" cy="65127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Percentage points</a:t>
          </a:r>
        </a:p>
      </cdr:txBody>
    </cdr:sp>
  </cdr:relSizeAnchor>
</c:userShapes>
</file>

<file path=xl/drawings/drawing7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F293929D-922F-4102-83A9-C01518355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6.xml><?xml version="1.0" encoding="utf-8"?>
<c:userShapes xmlns:c="http://schemas.openxmlformats.org/drawingml/2006/chart">
  <cdr:relSizeAnchor xmlns:cdr="http://schemas.openxmlformats.org/drawingml/2006/chartDrawing">
    <cdr:from>
      <cdr:x>0.00551</cdr:x>
      <cdr:y>0.00733</cdr:y>
    </cdr:from>
    <cdr:to>
      <cdr:x>0.36581</cdr:x>
      <cdr:y>0.19056</cdr:y>
    </cdr:to>
    <cdr:sp macro="" textlink="">
      <cdr:nvSpPr>
        <cdr:cNvPr id="2" name="TextBox 1">
          <a:extLst xmlns:a="http://schemas.openxmlformats.org/drawingml/2006/main">
            <a:ext uri="{FF2B5EF4-FFF2-40B4-BE49-F238E27FC236}">
              <a16:creationId xmlns:a16="http://schemas.microsoft.com/office/drawing/2014/main" id="{77504D51-FFD4-E944-4574-D24CB95464F3}"/>
            </a:ext>
          </a:extLst>
        </cdr:cNvPr>
        <cdr:cNvSpPr txBox="1"/>
      </cdr:nvSpPr>
      <cdr:spPr>
        <a:xfrm xmlns:a="http://schemas.openxmlformats.org/drawingml/2006/main">
          <a:off x="50283" y="50269"/>
          <a:ext cx="3288004" cy="12565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7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360B1FB8-F6F5-42C3-A30F-F7E15EC80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8.xml><?xml version="1.0" encoding="utf-8"?>
<c:userShapes xmlns:c="http://schemas.openxmlformats.org/drawingml/2006/chart">
  <cdr:relSizeAnchor xmlns:cdr="http://schemas.openxmlformats.org/drawingml/2006/chartDrawing">
    <cdr:from>
      <cdr:x>0</cdr:x>
      <cdr:y>0</cdr:y>
    </cdr:from>
    <cdr:to>
      <cdr:x>0.39509</cdr:x>
      <cdr:y>0.07514</cdr:y>
    </cdr:to>
    <cdr:sp macro="" textlink="">
      <cdr:nvSpPr>
        <cdr:cNvPr id="2" name="TextBox 1">
          <a:extLst xmlns:a="http://schemas.openxmlformats.org/drawingml/2006/main">
            <a:ext uri="{FF2B5EF4-FFF2-40B4-BE49-F238E27FC236}">
              <a16:creationId xmlns:a16="http://schemas.microsoft.com/office/drawing/2014/main" id="{77504D51-FFD4-E944-4574-D24CB95464F3}"/>
            </a:ext>
          </a:extLst>
        </cdr:cNvPr>
        <cdr:cNvSpPr txBox="1"/>
      </cdr:nvSpPr>
      <cdr:spPr>
        <a:xfrm xmlns:a="http://schemas.openxmlformats.org/drawingml/2006/main">
          <a:off x="0" y="0"/>
          <a:ext cx="3605504" cy="51533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a:t>
          </a:r>
          <a:r>
            <a:rPr lang="en-US" sz="3200" baseline="0">
              <a:latin typeface="Arial" panose="020B0604020202020204" pitchFamily="34" charset="0"/>
            </a:rPr>
            <a:t> GDP</a:t>
          </a:r>
          <a:endParaRPr lang="en-US" sz="3200">
            <a:latin typeface="Arial" panose="020B0604020202020204" pitchFamily="34" charset="0"/>
          </a:endParaRPr>
        </a:p>
      </cdr:txBody>
    </cdr:sp>
  </cdr:relSizeAnchor>
</c:userShapes>
</file>

<file path=xl/drawings/drawing7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9897</xdr:colOff>
      <xdr:row>31</xdr:row>
      <xdr:rowOff>164110</xdr:rowOff>
    </xdr:to>
    <xdr:graphicFrame macro="">
      <xdr:nvGraphicFramePr>
        <xdr:cNvPr id="2" name="Chart 1">
          <a:extLst>
            <a:ext uri="{FF2B5EF4-FFF2-40B4-BE49-F238E27FC236}">
              <a16:creationId xmlns:a16="http://schemas.microsoft.com/office/drawing/2014/main" id="{7822C1EF-8B37-4F47-9D93-9BB8CAE39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0.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66089C84-E692-413F-649B-53E01D4AD64D}"/>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8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7B32F296-1697-415D-8A04-BD551F044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2.xml><?xml version="1.0" encoding="utf-8"?>
<c:userShapes xmlns:c="http://schemas.openxmlformats.org/drawingml/2006/chart">
  <cdr:relSizeAnchor xmlns:cdr="http://schemas.openxmlformats.org/drawingml/2006/chartDrawing">
    <cdr:from>
      <cdr:x>0.00551</cdr:x>
      <cdr:y>0.00733</cdr:y>
    </cdr:from>
    <cdr:to>
      <cdr:x>0.4103</cdr:x>
      <cdr:y>0.19048</cdr:y>
    </cdr:to>
    <cdr:sp macro="" textlink="">
      <cdr:nvSpPr>
        <cdr:cNvPr id="2" name="TextBox 1">
          <a:extLst xmlns:a="http://schemas.openxmlformats.org/drawingml/2006/main">
            <a:ext uri="{FF2B5EF4-FFF2-40B4-BE49-F238E27FC236}">
              <a16:creationId xmlns:a16="http://schemas.microsoft.com/office/drawing/2014/main" id="{6307546D-6788-D77D-B649-C7DAF33092A1}"/>
            </a:ext>
          </a:extLst>
        </cdr:cNvPr>
        <cdr:cNvSpPr txBox="1"/>
      </cdr:nvSpPr>
      <cdr:spPr>
        <a:xfrm xmlns:a="http://schemas.openxmlformats.org/drawingml/2006/main">
          <a:off x="51230" y="51242"/>
          <a:ext cx="3763838" cy="128104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8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72C0937E-E84E-4D81-84F1-20079A3E9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4.xml><?xml version="1.0" encoding="utf-8"?>
<c:userShapes xmlns:c="http://schemas.openxmlformats.org/drawingml/2006/chart">
  <cdr:relSizeAnchor xmlns:cdr="http://schemas.openxmlformats.org/drawingml/2006/chartDrawing">
    <cdr:from>
      <cdr:x>0</cdr:x>
      <cdr:y>0</cdr:y>
    </cdr:from>
    <cdr:to>
      <cdr:x>0.33602</cdr:x>
      <cdr:y>0.18315</cdr:y>
    </cdr:to>
    <cdr:sp macro="" textlink="">
      <cdr:nvSpPr>
        <cdr:cNvPr id="2" name="TextBox 1">
          <a:extLst xmlns:a="http://schemas.openxmlformats.org/drawingml/2006/main">
            <a:ext uri="{FF2B5EF4-FFF2-40B4-BE49-F238E27FC236}">
              <a16:creationId xmlns:a16="http://schemas.microsoft.com/office/drawing/2014/main" id="{5AAB3581-2FB5-DCF0-F6E7-40369B19C3CC}"/>
            </a:ext>
          </a:extLst>
        </cdr:cNvPr>
        <cdr:cNvSpPr txBox="1"/>
      </cdr:nvSpPr>
      <cdr:spPr>
        <a:xfrm xmlns:a="http://schemas.openxmlformats.org/drawingml/2006/main">
          <a:off x="0" y="0"/>
          <a:ext cx="3077287" cy="122169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debt</a:t>
          </a:r>
        </a:p>
      </cdr:txBody>
    </cdr:sp>
  </cdr:relSizeAnchor>
</c:userShapes>
</file>

<file path=xl/drawings/drawing85.xml><?xml version="1.0" encoding="utf-8"?>
<xdr:wsDr xmlns:xdr="http://schemas.openxmlformats.org/drawingml/2006/spreadsheetDrawing" xmlns:a="http://schemas.openxmlformats.org/drawingml/2006/main">
  <xdr:twoCellAnchor>
    <xdr:from>
      <xdr:col>0</xdr:col>
      <xdr:colOff>0</xdr:colOff>
      <xdr:row>0</xdr:row>
      <xdr:rowOff>317499</xdr:rowOff>
    </xdr:from>
    <xdr:to>
      <xdr:col>13</xdr:col>
      <xdr:colOff>535214</xdr:colOff>
      <xdr:row>31</xdr:row>
      <xdr:rowOff>54428</xdr:rowOff>
    </xdr:to>
    <xdr:graphicFrame macro="">
      <xdr:nvGraphicFramePr>
        <xdr:cNvPr id="2" name="Chart 1">
          <a:extLst>
            <a:ext uri="{FF2B5EF4-FFF2-40B4-BE49-F238E27FC236}">
              <a16:creationId xmlns:a16="http://schemas.microsoft.com/office/drawing/2014/main" id="{A5B99B9A-700D-4899-AFE4-158B1C48B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6.xml><?xml version="1.0" encoding="utf-8"?>
<c:userShapes xmlns:c="http://schemas.openxmlformats.org/drawingml/2006/chart">
  <cdr:relSizeAnchor xmlns:cdr="http://schemas.openxmlformats.org/drawingml/2006/chartDrawing">
    <cdr:from>
      <cdr:x>0.00551</cdr:x>
      <cdr:y>0.00733</cdr:y>
    </cdr:from>
    <cdr:to>
      <cdr:x>0.53257</cdr:x>
      <cdr:y>0.19048</cdr:y>
    </cdr:to>
    <cdr:sp macro="" textlink="">
      <cdr:nvSpPr>
        <cdr:cNvPr id="2" name="TextBox 1">
          <a:extLst xmlns:a="http://schemas.openxmlformats.org/drawingml/2006/main">
            <a:ext uri="{FF2B5EF4-FFF2-40B4-BE49-F238E27FC236}">
              <a16:creationId xmlns:a16="http://schemas.microsoft.com/office/drawing/2014/main" id="{83EEB0B0-85D1-43AC-8762-D39A33BC78EE}"/>
            </a:ext>
          </a:extLst>
        </cdr:cNvPr>
        <cdr:cNvSpPr txBox="1"/>
      </cdr:nvSpPr>
      <cdr:spPr>
        <a:xfrm xmlns:a="http://schemas.openxmlformats.org/drawingml/2006/main">
          <a:off x="50918" y="49598"/>
          <a:ext cx="4870931" cy="12399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revenue</a:t>
          </a:r>
        </a:p>
      </cdr:txBody>
    </cdr:sp>
  </cdr:relSizeAnchor>
</c:userShapes>
</file>

<file path=xl/drawings/drawing8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0108682E-874E-4DFD-B27B-9CF1A4847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8.xml><?xml version="1.0" encoding="utf-8"?>
<c:userShapes xmlns:c="http://schemas.openxmlformats.org/drawingml/2006/chart">
  <cdr:relSizeAnchor xmlns:cdr="http://schemas.openxmlformats.org/drawingml/2006/chartDrawing">
    <cdr:from>
      <cdr:x>0</cdr:x>
      <cdr:y>0</cdr:y>
    </cdr:from>
    <cdr:to>
      <cdr:x>0.36123</cdr:x>
      <cdr:y>0.09066</cdr:y>
    </cdr:to>
    <cdr:sp macro="" textlink="">
      <cdr:nvSpPr>
        <cdr:cNvPr id="2" name="TextBox 1">
          <a:extLst xmlns:a="http://schemas.openxmlformats.org/drawingml/2006/main">
            <a:ext uri="{FF2B5EF4-FFF2-40B4-BE49-F238E27FC236}">
              <a16:creationId xmlns:a16="http://schemas.microsoft.com/office/drawing/2014/main" id="{4B0B38F5-4082-740E-3301-25238857BFD3}"/>
            </a:ext>
          </a:extLst>
        </cdr:cNvPr>
        <cdr:cNvSpPr txBox="1"/>
      </cdr:nvSpPr>
      <cdr:spPr>
        <a:xfrm xmlns:a="http://schemas.openxmlformats.org/drawingml/2006/main">
          <a:off x="0" y="0"/>
          <a:ext cx="3330575" cy="6286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8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2" name="Chart 1">
          <a:extLst>
            <a:ext uri="{FF2B5EF4-FFF2-40B4-BE49-F238E27FC236}">
              <a16:creationId xmlns:a16="http://schemas.microsoft.com/office/drawing/2014/main" id="{9AF4C285-CF44-4B06-A273-776A2A7D6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0.xml><?xml version="1.0" encoding="utf-8"?>
<c:userShapes xmlns:c="http://schemas.openxmlformats.org/drawingml/2006/chart">
  <cdr:relSizeAnchor xmlns:cdr="http://schemas.openxmlformats.org/drawingml/2006/chartDrawing">
    <cdr:from>
      <cdr:x>0</cdr:x>
      <cdr:y>0</cdr:y>
    </cdr:from>
    <cdr:to>
      <cdr:x>0.46648</cdr:x>
      <cdr:y>0.08444</cdr:y>
    </cdr:to>
    <cdr:sp macro="" textlink="">
      <cdr:nvSpPr>
        <cdr:cNvPr id="2" name="TextBox 1">
          <a:extLst xmlns:a="http://schemas.openxmlformats.org/drawingml/2006/main">
            <a:ext uri="{FF2B5EF4-FFF2-40B4-BE49-F238E27FC236}">
              <a16:creationId xmlns:a16="http://schemas.microsoft.com/office/drawing/2014/main" id="{0431372F-E7B6-624F-F8D3-B17F584D2F98}"/>
            </a:ext>
          </a:extLst>
        </cdr:cNvPr>
        <cdr:cNvSpPr txBox="1"/>
      </cdr:nvSpPr>
      <cdr:spPr>
        <a:xfrm xmlns:a="http://schemas.openxmlformats.org/drawingml/2006/main">
          <a:off x="0" y="0"/>
          <a:ext cx="4323443" cy="57240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Months of imports</a:t>
          </a:r>
        </a:p>
      </cdr:txBody>
    </cdr:sp>
  </cdr:relSizeAnchor>
</c:userShapes>
</file>

<file path=xl/drawings/drawing9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108857</xdr:rowOff>
    </xdr:to>
    <xdr:graphicFrame macro="">
      <xdr:nvGraphicFramePr>
        <xdr:cNvPr id="2" name="Chart 1">
          <a:extLst>
            <a:ext uri="{FF2B5EF4-FFF2-40B4-BE49-F238E27FC236}">
              <a16:creationId xmlns:a16="http://schemas.microsoft.com/office/drawing/2014/main" id="{E596DED3-50B3-4D0F-B791-A927E954C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2.xml><?xml version="1.0" encoding="utf-8"?>
<c:userShapes xmlns:c="http://schemas.openxmlformats.org/drawingml/2006/chart">
  <cdr:relSizeAnchor xmlns:cdr="http://schemas.openxmlformats.org/drawingml/2006/chartDrawing">
    <cdr:from>
      <cdr:x>0.00551</cdr:x>
      <cdr:y>0.00733</cdr:y>
    </cdr:from>
    <cdr:to>
      <cdr:x>0.56262</cdr:x>
      <cdr:y>0.19048</cdr:y>
    </cdr:to>
    <cdr:sp macro="" textlink="">
      <cdr:nvSpPr>
        <cdr:cNvPr id="2" name="TextBox 1">
          <a:extLst xmlns:a="http://schemas.openxmlformats.org/drawingml/2006/main">
            <a:ext uri="{FF2B5EF4-FFF2-40B4-BE49-F238E27FC236}">
              <a16:creationId xmlns:a16="http://schemas.microsoft.com/office/drawing/2014/main" id="{0782FAE2-EDB4-69F0-1348-EEFC5E41DAB1}"/>
            </a:ext>
          </a:extLst>
        </cdr:cNvPr>
        <cdr:cNvSpPr txBox="1"/>
      </cdr:nvSpPr>
      <cdr:spPr>
        <a:xfrm xmlns:a="http://schemas.openxmlformats.org/drawingml/2006/main">
          <a:off x="50991" y="50961"/>
          <a:ext cx="5156009" cy="127401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a:t>
          </a:r>
          <a:r>
            <a:rPr lang="en-US" sz="3200" baseline="0">
              <a:latin typeface="Arial" panose="020B0604020202020204" pitchFamily="34" charset="0"/>
            </a:rPr>
            <a:t> total assets</a:t>
          </a:r>
          <a:endParaRPr lang="en-US" sz="3200">
            <a:latin typeface="Arial" panose="020B0604020202020204" pitchFamily="34" charset="0"/>
          </a:endParaRPr>
        </a:p>
      </cdr:txBody>
    </cdr:sp>
  </cdr:relSizeAnchor>
</c:userShapes>
</file>

<file path=xl/drawings/drawing93.xml><?xml version="1.0" encoding="utf-8"?>
<xdr:wsDr xmlns:xdr="http://schemas.openxmlformats.org/drawingml/2006/spreadsheetDrawing" xmlns:a="http://schemas.openxmlformats.org/drawingml/2006/main">
  <xdr:twoCellAnchor>
    <xdr:from>
      <xdr:col>0</xdr:col>
      <xdr:colOff>0</xdr:colOff>
      <xdr:row>1</xdr:row>
      <xdr:rowOff>20409</xdr:rowOff>
    </xdr:from>
    <xdr:to>
      <xdr:col>13</xdr:col>
      <xdr:colOff>564696</xdr:colOff>
      <xdr:row>32</xdr:row>
      <xdr:rowOff>129267</xdr:rowOff>
    </xdr:to>
    <xdr:graphicFrame macro="">
      <xdr:nvGraphicFramePr>
        <xdr:cNvPr id="2" name="Chart 1">
          <a:extLst>
            <a:ext uri="{FF2B5EF4-FFF2-40B4-BE49-F238E27FC236}">
              <a16:creationId xmlns:a16="http://schemas.microsoft.com/office/drawing/2014/main" id="{B81B435C-44D9-42B7-AC21-E64A97355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4.xml><?xml version="1.0" encoding="utf-8"?>
<c:userShapes xmlns:c="http://schemas.openxmlformats.org/drawingml/2006/chart">
  <cdr:relSizeAnchor xmlns:cdr="http://schemas.openxmlformats.org/drawingml/2006/chartDrawing">
    <cdr:from>
      <cdr:x>0.00551</cdr:x>
      <cdr:y>0.00733</cdr:y>
    </cdr:from>
    <cdr:to>
      <cdr:x>0.66081</cdr:x>
      <cdr:y>0.19048</cdr:y>
    </cdr:to>
    <cdr:sp macro="" textlink="">
      <cdr:nvSpPr>
        <cdr:cNvPr id="2" name="TextBox 1">
          <a:extLst xmlns:a="http://schemas.openxmlformats.org/drawingml/2006/main">
            <a:ext uri="{FF2B5EF4-FFF2-40B4-BE49-F238E27FC236}">
              <a16:creationId xmlns:a16="http://schemas.microsoft.com/office/drawing/2014/main" id="{4236CA6F-ED11-A69D-B6D5-744D6002E010}"/>
            </a:ext>
          </a:extLst>
        </cdr:cNvPr>
        <cdr:cNvSpPr txBox="1"/>
      </cdr:nvSpPr>
      <cdr:spPr>
        <a:xfrm xmlns:a="http://schemas.openxmlformats.org/drawingml/2006/main">
          <a:off x="50799" y="50800"/>
          <a:ext cx="6042025"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occurrences</a:t>
          </a:r>
        </a:p>
      </cdr:txBody>
    </cdr:sp>
  </cdr:relSizeAnchor>
</c:userShapes>
</file>

<file path=xl/drawings/drawing9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564695</xdr:colOff>
      <xdr:row>32</xdr:row>
      <xdr:rowOff>108858</xdr:rowOff>
    </xdr:to>
    <xdr:graphicFrame macro="">
      <xdr:nvGraphicFramePr>
        <xdr:cNvPr id="2" name="Chart 1">
          <a:extLst>
            <a:ext uri="{FF2B5EF4-FFF2-40B4-BE49-F238E27FC236}">
              <a16:creationId xmlns:a16="http://schemas.microsoft.com/office/drawing/2014/main" id="{E69C9D3F-B263-46B5-AEB6-2FD7F1222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6.xml><?xml version="1.0" encoding="utf-8"?>
<c:userShapes xmlns:c="http://schemas.openxmlformats.org/drawingml/2006/chart">
  <cdr:relSizeAnchor xmlns:cdr="http://schemas.openxmlformats.org/drawingml/2006/chartDrawing">
    <cdr:from>
      <cdr:x>0.00551</cdr:x>
      <cdr:y>0.00733</cdr:y>
    </cdr:from>
    <cdr:to>
      <cdr:x>0.52989</cdr:x>
      <cdr:y>0.19048</cdr:y>
    </cdr:to>
    <cdr:sp macro="" textlink="">
      <cdr:nvSpPr>
        <cdr:cNvPr id="2" name="TextBox 1">
          <a:extLst xmlns:a="http://schemas.openxmlformats.org/drawingml/2006/main">
            <a:ext uri="{FF2B5EF4-FFF2-40B4-BE49-F238E27FC236}">
              <a16:creationId xmlns:a16="http://schemas.microsoft.com/office/drawing/2014/main" id="{08D69D27-1C6C-4F5B-1A4A-620AD82305D7}"/>
            </a:ext>
          </a:extLst>
        </cdr:cNvPr>
        <cdr:cNvSpPr txBox="1"/>
      </cdr:nvSpPr>
      <cdr:spPr>
        <a:xfrm xmlns:a="http://schemas.openxmlformats.org/drawingml/2006/main">
          <a:off x="50927" y="49566"/>
          <a:ext cx="4846960" cy="123914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occurrences</a:t>
          </a:r>
        </a:p>
      </cdr:txBody>
    </cdr:sp>
  </cdr:relSizeAnchor>
</c:userShapes>
</file>

<file path=xl/drawings/drawing9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64294C53-B308-463A-9FD9-AAD27595E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8.xml><?xml version="1.0" encoding="utf-8"?>
<c:userShapes xmlns:c="http://schemas.openxmlformats.org/drawingml/2006/chart">
  <cdr:relSizeAnchor xmlns:cdr="http://schemas.openxmlformats.org/drawingml/2006/chartDrawing">
    <cdr:from>
      <cdr:x>0.00551</cdr:x>
      <cdr:y>0.00733</cdr:y>
    </cdr:from>
    <cdr:to>
      <cdr:x>0.88863</cdr:x>
      <cdr:y>0.19048</cdr:y>
    </cdr:to>
    <cdr:sp macro="" textlink="">
      <cdr:nvSpPr>
        <cdr:cNvPr id="2" name="TextBox 1">
          <a:extLst xmlns:a="http://schemas.openxmlformats.org/drawingml/2006/main">
            <a:ext uri="{FF2B5EF4-FFF2-40B4-BE49-F238E27FC236}">
              <a16:creationId xmlns:a16="http://schemas.microsoft.com/office/drawing/2014/main" id="{D9B679D0-C156-40F0-F540-160E080B7CBC}"/>
            </a:ext>
          </a:extLst>
        </cdr:cNvPr>
        <cdr:cNvSpPr txBox="1"/>
      </cdr:nvSpPr>
      <cdr:spPr>
        <a:xfrm xmlns:a="http://schemas.openxmlformats.org/drawingml/2006/main">
          <a:off x="51268" y="50332"/>
          <a:ext cx="8214753" cy="12583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deaths, 1975</a:t>
          </a:r>
          <a:r>
            <a:rPr lang="en-US" sz="3200" b="1">
              <a:effectLst/>
              <a:latin typeface="Arial" panose="020B0604020202020204" pitchFamily="34" charset="0"/>
              <a:ea typeface="+mn-ea"/>
              <a:cs typeface="Arial" panose="020B0604020202020204" pitchFamily="34" charset="0"/>
            </a:rPr>
            <a:t>–</a:t>
          </a:r>
          <a:r>
            <a:rPr lang="en-US" sz="3200">
              <a:latin typeface="Arial" panose="020B0604020202020204" pitchFamily="34" charset="0"/>
            </a:rPr>
            <a:t>1984 = 100</a:t>
          </a:r>
        </a:p>
      </cdr:txBody>
    </cdr:sp>
  </cdr:relSizeAnchor>
</c:userShapes>
</file>

<file path=xl/drawings/drawing9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C39CFAC3-B0EE-4324-B2D9-D11C63C9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0.xml><?xml version="1.0" encoding="utf-8"?>
<c:userShapes xmlns:c="http://schemas.openxmlformats.org/drawingml/2006/chart">
  <cdr:relSizeAnchor xmlns:cdr="http://schemas.openxmlformats.org/drawingml/2006/chartDrawing">
    <cdr:from>
      <cdr:x>0.00552</cdr:x>
      <cdr:y>0.00734</cdr:y>
    </cdr:from>
    <cdr:to>
      <cdr:x>0.5275</cdr:x>
      <cdr:y>0.19083</cdr:y>
    </cdr:to>
    <cdr:sp macro="" textlink="">
      <cdr:nvSpPr>
        <cdr:cNvPr id="2" name="TextBox 1">
          <a:extLst xmlns:a="http://schemas.openxmlformats.org/drawingml/2006/main">
            <a:ext uri="{FF2B5EF4-FFF2-40B4-BE49-F238E27FC236}">
              <a16:creationId xmlns:a16="http://schemas.microsoft.com/office/drawing/2014/main" id="{F7B240E1-3776-69E8-3D36-40EF3A4CBF26}"/>
            </a:ext>
          </a:extLst>
        </cdr:cNvPr>
        <cdr:cNvSpPr txBox="1"/>
      </cdr:nvSpPr>
      <cdr:spPr>
        <a:xfrm xmlns:a="http://schemas.openxmlformats.org/drawingml/2006/main">
          <a:off x="53916" y="47821"/>
          <a:ext cx="5098416" cy="11954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Relative wealth index</a:t>
          </a:r>
        </a:p>
      </cdr:txBody>
    </cdr:sp>
  </cdr:relSizeAnchor>
</c:userShapes>
</file>

<file path=xl/drawings/drawing101.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3B21410D-0F41-4AE8-BF60-A2C2B97F4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2.xml><?xml version="1.0" encoding="utf-8"?>
<c:userShapes xmlns:c="http://schemas.openxmlformats.org/drawingml/2006/chart">
  <cdr:relSizeAnchor xmlns:cdr="http://schemas.openxmlformats.org/drawingml/2006/chartDrawing">
    <cdr:from>
      <cdr:x>0.00551</cdr:x>
      <cdr:y>0.00733</cdr:y>
    </cdr:from>
    <cdr:to>
      <cdr:x>1</cdr:x>
      <cdr:y>0.11952</cdr:y>
    </cdr:to>
    <cdr:sp macro="" textlink="">
      <cdr:nvSpPr>
        <cdr:cNvPr id="2" name="TextBox 1">
          <a:extLst xmlns:a="http://schemas.openxmlformats.org/drawingml/2006/main">
            <a:ext uri="{FF2B5EF4-FFF2-40B4-BE49-F238E27FC236}">
              <a16:creationId xmlns:a16="http://schemas.microsoft.com/office/drawing/2014/main" id="{65A4386B-0847-E70C-24D1-5ECD4795B1AF}"/>
            </a:ext>
          </a:extLst>
        </cdr:cNvPr>
        <cdr:cNvSpPr txBox="1"/>
      </cdr:nvSpPr>
      <cdr:spPr>
        <a:xfrm xmlns:a="http://schemas.openxmlformats.org/drawingml/2006/main">
          <a:off x="50596" y="52062"/>
          <a:ext cx="9132584" cy="7972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Log poverty headcount ratio at $2.15 a day</a:t>
          </a:r>
        </a:p>
      </cdr:txBody>
    </cdr:sp>
  </cdr:relSizeAnchor>
  <cdr:relSizeAnchor xmlns:cdr="http://schemas.openxmlformats.org/drawingml/2006/chartDrawing">
    <cdr:from>
      <cdr:x>0.28535</cdr:x>
      <cdr:y>0.10824</cdr:y>
    </cdr:from>
    <cdr:to>
      <cdr:x>0.77781</cdr:x>
      <cdr:y>0.26175</cdr:y>
    </cdr:to>
    <cdr:grpSp>
      <cdr:nvGrpSpPr>
        <cdr:cNvPr id="10" name="Group 9">
          <a:extLst xmlns:a="http://schemas.openxmlformats.org/drawingml/2006/main">
            <a:ext uri="{FF2B5EF4-FFF2-40B4-BE49-F238E27FC236}">
              <a16:creationId xmlns:a16="http://schemas.microsoft.com/office/drawing/2014/main" id="{7B206D95-AE5A-8032-3435-27DAFA139A8E}"/>
            </a:ext>
          </a:extLst>
        </cdr:cNvPr>
        <cdr:cNvGrpSpPr/>
      </cdr:nvGrpSpPr>
      <cdr:grpSpPr>
        <a:xfrm xmlns:a="http://schemas.openxmlformats.org/drawingml/2006/main">
          <a:off x="2583096" y="741966"/>
          <a:ext cx="4457934" cy="1052285"/>
          <a:chOff x="2609198" y="742310"/>
          <a:chExt cx="4503125" cy="1052758"/>
        </a:xfrm>
      </cdr:grpSpPr>
      <cdr:grpSp>
        <cdr:nvGrpSpPr>
          <cdr:cNvPr id="5" name="Group 4">
            <a:extLst xmlns:a="http://schemas.openxmlformats.org/drawingml/2006/main">
              <a:ext uri="{FF2B5EF4-FFF2-40B4-BE49-F238E27FC236}">
                <a16:creationId xmlns:a16="http://schemas.microsoft.com/office/drawing/2014/main" id="{90DA8D8C-539F-5C44-CEAD-85E6C1CBE0B7}"/>
              </a:ext>
            </a:extLst>
          </cdr:cNvPr>
          <cdr:cNvGrpSpPr/>
        </cdr:nvGrpSpPr>
        <cdr:grpSpPr>
          <a:xfrm xmlns:a="http://schemas.openxmlformats.org/drawingml/2006/main">
            <a:off x="2609198" y="742310"/>
            <a:ext cx="2537159" cy="487863"/>
            <a:chOff x="5270806" y="1003022"/>
            <a:chExt cx="2526771" cy="502708"/>
          </a:xfrm>
        </cdr:grpSpPr>
        <cdr:sp macro="" textlink="">
          <cdr:nvSpPr>
            <cdr:cNvPr id="3" name="TextBox 2">
              <a:extLst xmlns:a="http://schemas.openxmlformats.org/drawingml/2006/main">
                <a:ext uri="{FF2B5EF4-FFF2-40B4-BE49-F238E27FC236}">
                  <a16:creationId xmlns:a16="http://schemas.microsoft.com/office/drawing/2014/main" id="{BF48408F-C3B3-6633-04CE-63E7B5ECC5A0}"/>
                </a:ext>
              </a:extLst>
            </cdr:cNvPr>
            <cdr:cNvSpPr txBox="1"/>
          </cdr:nvSpPr>
          <cdr:spPr>
            <a:xfrm xmlns:a="http://schemas.openxmlformats.org/drawingml/2006/main">
              <a:off x="5270806" y="1003022"/>
              <a:ext cx="2526771" cy="5027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      SAR</a:t>
              </a:r>
            </a:p>
          </cdr:txBody>
        </cdr:sp>
        <cdr:sp macro="" textlink="">
          <cdr:nvSpPr>
            <cdr:cNvPr id="4" name="Flowchart: Connector 3">
              <a:extLst xmlns:a="http://schemas.openxmlformats.org/drawingml/2006/main">
                <a:ext uri="{FF2B5EF4-FFF2-40B4-BE49-F238E27FC236}">
                  <a16:creationId xmlns:a16="http://schemas.microsoft.com/office/drawing/2014/main" id="{7BA46537-9EF4-6D27-8C7C-D20888E24CE4}"/>
                </a:ext>
              </a:extLst>
            </cdr:cNvPr>
            <cdr:cNvSpPr>
              <a:spLocks xmlns:a="http://schemas.openxmlformats.org/drawingml/2006/main" noChangeAspect="1"/>
            </cdr:cNvSpPr>
          </cdr:nvSpPr>
          <cdr:spPr>
            <a:xfrm xmlns:a="http://schemas.openxmlformats.org/drawingml/2006/main">
              <a:off x="5679213" y="1188310"/>
              <a:ext cx="204581" cy="216958"/>
            </a:xfrm>
            <a:prstGeom xmlns:a="http://schemas.openxmlformats.org/drawingml/2006/main" prst="flowChartConnector">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sz="3200">
                <a:solidFill>
                  <a:schemeClr val="accent2"/>
                </a:solidFill>
                <a:latin typeface="Arial" panose="020B0604020202020204" pitchFamily="34" charset="0"/>
                <a:cs typeface="Arial" panose="020B0604020202020204" pitchFamily="34" charset="0"/>
              </a:endParaRPr>
            </a:p>
          </cdr:txBody>
        </cdr:sp>
      </cdr:grpSp>
      <cdr:grpSp>
        <cdr:nvGrpSpPr>
          <cdr:cNvPr id="9" name="Group 8">
            <a:extLst xmlns:a="http://schemas.openxmlformats.org/drawingml/2006/main">
              <a:ext uri="{FF2B5EF4-FFF2-40B4-BE49-F238E27FC236}">
                <a16:creationId xmlns:a16="http://schemas.microsoft.com/office/drawing/2014/main" id="{4E7F1BAA-0D9C-80B9-38AC-195778D487A5}"/>
              </a:ext>
            </a:extLst>
          </cdr:cNvPr>
          <cdr:cNvGrpSpPr/>
        </cdr:nvGrpSpPr>
        <cdr:grpSpPr>
          <a:xfrm xmlns:a="http://schemas.openxmlformats.org/drawingml/2006/main">
            <a:off x="2614735" y="1243282"/>
            <a:ext cx="4497588" cy="551786"/>
            <a:chOff x="2604029" y="1281112"/>
            <a:chExt cx="4479172" cy="568576"/>
          </a:xfrm>
        </cdr:grpSpPr>
        <cdr:sp macro="" textlink="">
          <cdr:nvSpPr>
            <cdr:cNvPr id="7" name="TextBox 2">
              <a:extLst xmlns:a="http://schemas.openxmlformats.org/drawingml/2006/main">
                <a:ext uri="{FF2B5EF4-FFF2-40B4-BE49-F238E27FC236}">
                  <a16:creationId xmlns:a16="http://schemas.microsoft.com/office/drawing/2014/main" id="{07377E67-4D40-EA84-545D-45C0ABE48762}"/>
                </a:ext>
              </a:extLst>
            </cdr:cNvPr>
            <cdr:cNvSpPr txBox="1"/>
          </cdr:nvSpPr>
          <cdr:spPr>
            <a:xfrm xmlns:a="http://schemas.openxmlformats.org/drawingml/2006/main">
              <a:off x="2604029" y="1281112"/>
              <a:ext cx="4479172" cy="5685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cs typeface="Arial" panose="020B0604020202020204" pitchFamily="34" charset="0"/>
                </a:rPr>
                <a:t>      Other EMDEs</a:t>
              </a:r>
            </a:p>
          </cdr:txBody>
        </cdr:sp>
      </cdr:grpSp>
    </cdr:grpSp>
  </cdr:relSizeAnchor>
  <cdr:relSizeAnchor xmlns:cdr="http://schemas.openxmlformats.org/drawingml/2006/chartDrawing">
    <cdr:from>
      <cdr:x>0.33163</cdr:x>
      <cdr:y>0.20552</cdr:y>
    </cdr:from>
    <cdr:to>
      <cdr:x>0.35409</cdr:x>
      <cdr:y>0.23622</cdr:y>
    </cdr:to>
    <cdr:sp macro="" textlink="">
      <cdr:nvSpPr>
        <cdr:cNvPr id="11" name="Flowchart: Connector 10">
          <a:extLst xmlns:a="http://schemas.openxmlformats.org/drawingml/2006/main">
            <a:ext uri="{FF2B5EF4-FFF2-40B4-BE49-F238E27FC236}">
              <a16:creationId xmlns:a16="http://schemas.microsoft.com/office/drawing/2014/main" id="{8BF93B5D-2871-3C24-7432-172E195E05B0}"/>
            </a:ext>
          </a:extLst>
        </cdr:cNvPr>
        <cdr:cNvSpPr>
          <a:spLocks xmlns:a="http://schemas.openxmlformats.org/drawingml/2006/main" noChangeAspect="1"/>
        </cdr:cNvSpPr>
      </cdr:nvSpPr>
      <cdr:spPr>
        <a:xfrm xmlns:a="http://schemas.openxmlformats.org/drawingml/2006/main">
          <a:off x="3049837" y="1397306"/>
          <a:ext cx="206604" cy="208741"/>
        </a:xfrm>
        <a:prstGeom xmlns:a="http://schemas.openxmlformats.org/drawingml/2006/main" prst="flowChartConnector">
          <a:avLst/>
        </a:prstGeom>
        <a:solidFill xmlns:a="http://schemas.openxmlformats.org/drawingml/2006/main">
          <a:schemeClr val="accent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sz="3200">
            <a:solidFill>
              <a:schemeClr val="accent2"/>
            </a:solidFill>
            <a:latin typeface="Arial" panose="020B0604020202020204" pitchFamily="34" charset="0"/>
            <a:cs typeface="Arial" panose="020B0604020202020204" pitchFamily="34" charset="0"/>
          </a:endParaRPr>
        </a:p>
      </cdr:txBody>
    </cdr:sp>
  </cdr:relSizeAnchor>
</c:userShapes>
</file>

<file path=xl/drawings/drawing103.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423532DB-9C4B-404E-81B7-3A3EAAC16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4.xml><?xml version="1.0" encoding="utf-8"?>
<c:userShapes xmlns:c="http://schemas.openxmlformats.org/drawingml/2006/chart">
  <cdr:relSizeAnchor xmlns:cdr="http://schemas.openxmlformats.org/drawingml/2006/chartDrawing">
    <cdr:from>
      <cdr:x>0.00551</cdr:x>
      <cdr:y>0.00733</cdr:y>
    </cdr:from>
    <cdr:to>
      <cdr:x>0.48862</cdr:x>
      <cdr:y>0.19048</cdr:y>
    </cdr:to>
    <cdr:sp macro="" textlink="">
      <cdr:nvSpPr>
        <cdr:cNvPr id="2" name="TextBox 1">
          <a:extLst xmlns:a="http://schemas.openxmlformats.org/drawingml/2006/main">
            <a:ext uri="{FF2B5EF4-FFF2-40B4-BE49-F238E27FC236}">
              <a16:creationId xmlns:a16="http://schemas.microsoft.com/office/drawing/2014/main" id="{9FAE83BB-E0B7-60CB-70C2-055B2C3EC119}"/>
            </a:ext>
          </a:extLst>
        </cdr:cNvPr>
        <cdr:cNvSpPr txBox="1"/>
      </cdr:nvSpPr>
      <cdr:spPr>
        <a:xfrm xmlns:a="http://schemas.openxmlformats.org/drawingml/2006/main">
          <a:off x="50939" y="50042"/>
          <a:ext cx="4466631" cy="12510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dr:relSizeAnchor xmlns:cdr="http://schemas.openxmlformats.org/drawingml/2006/chartDrawing">
    <cdr:from>
      <cdr:x>0.51689</cdr:x>
      <cdr:y>0.00417</cdr:y>
    </cdr:from>
    <cdr:to>
      <cdr:x>1</cdr:x>
      <cdr:y>0.18732</cdr:y>
    </cdr:to>
    <cdr:sp macro="" textlink="">
      <cdr:nvSpPr>
        <cdr:cNvPr id="3" name="TextBox 1">
          <a:extLst xmlns:a="http://schemas.openxmlformats.org/drawingml/2006/main">
            <a:ext uri="{FF2B5EF4-FFF2-40B4-BE49-F238E27FC236}">
              <a16:creationId xmlns:a16="http://schemas.microsoft.com/office/drawing/2014/main" id="{F00AFE01-8667-D036-2A10-2A8C641A4259}"/>
            </a:ext>
          </a:extLst>
        </cdr:cNvPr>
        <cdr:cNvSpPr txBox="1"/>
      </cdr:nvSpPr>
      <cdr:spPr>
        <a:xfrm xmlns:a="http://schemas.openxmlformats.org/drawingml/2006/main">
          <a:off x="4792087" y="29029"/>
          <a:ext cx="4478913" cy="127631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Index</a:t>
          </a:r>
        </a:p>
      </cdr:txBody>
    </cdr:sp>
  </cdr:relSizeAnchor>
</c:userShapes>
</file>

<file path=xl/drawings/drawing105.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187F3088-C350-407E-B30C-7FE1B6664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6.xml><?xml version="1.0" encoding="utf-8"?>
<c:userShapes xmlns:c="http://schemas.openxmlformats.org/drawingml/2006/chart">
  <cdr:relSizeAnchor xmlns:cdr="http://schemas.openxmlformats.org/drawingml/2006/chartDrawing">
    <cdr:from>
      <cdr:x>0</cdr:x>
      <cdr:y>0.0125</cdr:y>
    </cdr:from>
    <cdr:to>
      <cdr:x>0.39371</cdr:x>
      <cdr:y>0.09757</cdr:y>
    </cdr:to>
    <cdr:sp macro="" textlink="">
      <cdr:nvSpPr>
        <cdr:cNvPr id="2" name="TextBox 1">
          <a:extLst xmlns:a="http://schemas.openxmlformats.org/drawingml/2006/main">
            <a:ext uri="{FF2B5EF4-FFF2-40B4-BE49-F238E27FC236}">
              <a16:creationId xmlns:a16="http://schemas.microsoft.com/office/drawing/2014/main" id="{C6A11C27-4C43-AFA7-F9E2-0359593EB033}"/>
            </a:ext>
          </a:extLst>
        </cdr:cNvPr>
        <cdr:cNvSpPr txBox="1"/>
      </cdr:nvSpPr>
      <cdr:spPr>
        <a:xfrm xmlns:a="http://schemas.openxmlformats.org/drawingml/2006/main">
          <a:off x="0" y="85724"/>
          <a:ext cx="3607594" cy="583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solidFill>
                <a:schemeClr val="tx1"/>
              </a:solidFill>
              <a:latin typeface="Arial" panose="020B0604020202020204" pitchFamily="34" charset="0"/>
              <a:cs typeface="Arial" panose="020B0604020202020204" pitchFamily="34" charset="0"/>
            </a:rPr>
            <a:t>Index, 2013 = 100</a:t>
          </a:r>
        </a:p>
      </cdr:txBody>
    </cdr:sp>
  </cdr:relSizeAnchor>
</c:userShapes>
</file>

<file path=xl/drawings/drawing10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3C7F3989-BC2F-41B7-9BDF-E0584931E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1430D26E-B76B-CF7D-61E4-7B83535BAD2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10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F27839E5-06D6-4055-B80E-514877FEA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0.xml><?xml version="1.0" encoding="utf-8"?>
<c:userShapes xmlns:c="http://schemas.openxmlformats.org/drawingml/2006/chart">
  <cdr:relSizeAnchor xmlns:cdr="http://schemas.openxmlformats.org/drawingml/2006/chartDrawing">
    <cdr:from>
      <cdr:x>0</cdr:x>
      <cdr:y>0.01176</cdr:y>
    </cdr:from>
    <cdr:to>
      <cdr:x>0.38214</cdr:x>
      <cdr:y>0.10914</cdr:y>
    </cdr:to>
    <cdr:sp macro="" textlink="">
      <cdr:nvSpPr>
        <cdr:cNvPr id="2" name="TextBox 1">
          <a:extLst xmlns:a="http://schemas.openxmlformats.org/drawingml/2006/main">
            <a:ext uri="{FF2B5EF4-FFF2-40B4-BE49-F238E27FC236}">
              <a16:creationId xmlns:a16="http://schemas.microsoft.com/office/drawing/2014/main" id="{E4BC6845-36AC-CDB9-A436-7193700F1F03}"/>
            </a:ext>
          </a:extLst>
        </cdr:cNvPr>
        <cdr:cNvSpPr txBox="1"/>
      </cdr:nvSpPr>
      <cdr:spPr>
        <a:xfrm xmlns:a="http://schemas.openxmlformats.org/drawingml/2006/main">
          <a:off x="0" y="78655"/>
          <a:ext cx="3516086" cy="65131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a:t>
          </a:r>
        </a:p>
      </cdr:txBody>
    </cdr:sp>
  </cdr:relSizeAnchor>
  <cdr:relSizeAnchor xmlns:cdr="http://schemas.openxmlformats.org/drawingml/2006/chartDrawing">
    <cdr:from>
      <cdr:x>0.00552</cdr:x>
      <cdr:y>0.00734</cdr:y>
    </cdr:from>
    <cdr:to>
      <cdr:x>0.19862</cdr:x>
      <cdr:y>0.19083</cdr:y>
    </cdr:to>
    <cdr:sp macro="" textlink="">
      <cdr:nvSpPr>
        <cdr:cNvPr id="4" name="TextBox 3">
          <a:extLst xmlns:a="http://schemas.openxmlformats.org/drawingml/2006/main">
            <a:ext uri="{FF2B5EF4-FFF2-40B4-BE49-F238E27FC236}">
              <a16:creationId xmlns:a16="http://schemas.microsoft.com/office/drawing/2014/main" id="{C43DE529-BEBA-3B8E-CFA7-6C08FBD638E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dr:relSizeAnchor xmlns:cdr="http://schemas.openxmlformats.org/drawingml/2006/chartDrawing">
    <cdr:from>
      <cdr:x>0.00552</cdr:x>
      <cdr:y>0.00734</cdr:y>
    </cdr:from>
    <cdr:to>
      <cdr:x>0.19862</cdr:x>
      <cdr:y>0.19083</cdr:y>
    </cdr:to>
    <cdr:sp macro="" textlink="">
      <cdr:nvSpPr>
        <cdr:cNvPr id="5" name="TextBox 4">
          <a:extLst xmlns:a="http://schemas.openxmlformats.org/drawingml/2006/main">
            <a:ext uri="{FF2B5EF4-FFF2-40B4-BE49-F238E27FC236}">
              <a16:creationId xmlns:a16="http://schemas.microsoft.com/office/drawing/2014/main" id="{3C810C66-492C-65CC-66B7-C6B64FA0D727}"/>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1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6676E8A3-B969-4BFD-B65C-64D6D69AA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2.xml><?xml version="1.0" encoding="utf-8"?>
<c:userShapes xmlns:c="http://schemas.openxmlformats.org/drawingml/2006/chart">
  <cdr:relSizeAnchor xmlns:cdr="http://schemas.openxmlformats.org/drawingml/2006/chartDrawing">
    <cdr:from>
      <cdr:x>0.00551</cdr:x>
      <cdr:y>0.00733</cdr:y>
    </cdr:from>
    <cdr:to>
      <cdr:x>0.19854</cdr:x>
      <cdr:y>0.19067</cdr:y>
    </cdr:to>
    <cdr:sp macro="" textlink="">
      <cdr:nvSpPr>
        <cdr:cNvPr id="2" name="TextBox 1">
          <a:extLst xmlns:a="http://schemas.openxmlformats.org/drawingml/2006/main">
            <a:ext uri="{FF2B5EF4-FFF2-40B4-BE49-F238E27FC236}">
              <a16:creationId xmlns:a16="http://schemas.microsoft.com/office/drawing/2014/main" id="{817CE63F-71C3-B713-4BC9-5AD2823F3D4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11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E5BA9D9E-ED1D-4D0F-94E8-CCE62E929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4.xml><?xml version="1.0" encoding="utf-8"?>
<c:userShapes xmlns:c="http://schemas.openxmlformats.org/drawingml/2006/chart">
  <cdr:relSizeAnchor xmlns:cdr="http://schemas.openxmlformats.org/drawingml/2006/chartDrawing">
    <cdr:from>
      <cdr:x>0</cdr:x>
      <cdr:y>0</cdr:y>
    </cdr:from>
    <cdr:to>
      <cdr:x>0.4344</cdr:x>
      <cdr:y>0.08766</cdr:y>
    </cdr:to>
    <cdr:sp macro="" textlink="">
      <cdr:nvSpPr>
        <cdr:cNvPr id="2" name="TextBox 1">
          <a:extLst xmlns:a="http://schemas.openxmlformats.org/drawingml/2006/main">
            <a:ext uri="{FF2B5EF4-FFF2-40B4-BE49-F238E27FC236}">
              <a16:creationId xmlns:a16="http://schemas.microsoft.com/office/drawing/2014/main" id="{738E4066-3B40-35DA-7933-CDAD7873D2CF}"/>
            </a:ext>
          </a:extLst>
        </cdr:cNvPr>
        <cdr:cNvSpPr txBox="1"/>
      </cdr:nvSpPr>
      <cdr:spPr>
        <a:xfrm xmlns:a="http://schemas.openxmlformats.org/drawingml/2006/main">
          <a:off x="0" y="0"/>
          <a:ext cx="4021181" cy="59397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11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F6D23DEB-CC84-40E8-AD4E-62FD59CD9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6.xml><?xml version="1.0" encoding="utf-8"?>
<c:userShapes xmlns:c="http://schemas.openxmlformats.org/drawingml/2006/chart">
  <cdr:relSizeAnchor xmlns:cdr="http://schemas.openxmlformats.org/drawingml/2006/chartDrawing">
    <cdr:from>
      <cdr:x>0</cdr:x>
      <cdr:y>0</cdr:y>
    </cdr:from>
    <cdr:to>
      <cdr:x>0.40033</cdr:x>
      <cdr:y>0.07963</cdr:y>
    </cdr:to>
    <cdr:sp macro="" textlink="">
      <cdr:nvSpPr>
        <cdr:cNvPr id="2" name="TextBox 1">
          <a:extLst xmlns:a="http://schemas.openxmlformats.org/drawingml/2006/main">
            <a:ext uri="{FF2B5EF4-FFF2-40B4-BE49-F238E27FC236}">
              <a16:creationId xmlns:a16="http://schemas.microsoft.com/office/drawing/2014/main" id="{10CF1BFD-11E7-7B30-9ADE-2C865FE31B69}"/>
            </a:ext>
          </a:extLst>
        </cdr:cNvPr>
        <cdr:cNvSpPr txBox="1"/>
      </cdr:nvSpPr>
      <cdr:spPr>
        <a:xfrm xmlns:a="http://schemas.openxmlformats.org/drawingml/2006/main">
          <a:off x="0" y="0"/>
          <a:ext cx="3660617" cy="5461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aseline="0">
              <a:latin typeface="Arial" panose="020B0604020202020204" pitchFamily="34" charset="0"/>
            </a:rPr>
            <a:t>P</a:t>
          </a:r>
          <a:r>
            <a:rPr lang="en-US" sz="3200">
              <a:latin typeface="Arial" panose="020B0604020202020204" pitchFamily="34" charset="0"/>
            </a:rPr>
            <a:t>ercent</a:t>
          </a:r>
        </a:p>
      </cdr:txBody>
    </cdr:sp>
  </cdr:relSizeAnchor>
</c:userShapes>
</file>

<file path=xl/drawings/drawing11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3E6278DE-5210-40D9-8783-7BC3DF164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8.xml><?xml version="1.0" encoding="utf-8"?>
<c:userShapes xmlns:c="http://schemas.openxmlformats.org/drawingml/2006/chart">
  <cdr:relSizeAnchor xmlns:cdr="http://schemas.openxmlformats.org/drawingml/2006/chartDrawing">
    <cdr:from>
      <cdr:x>0.00551</cdr:x>
      <cdr:y>0.00733</cdr:y>
    </cdr:from>
    <cdr:to>
      <cdr:x>0.86197</cdr:x>
      <cdr:y>0.09143</cdr:y>
    </cdr:to>
    <cdr:sp macro="" textlink="">
      <cdr:nvSpPr>
        <cdr:cNvPr id="2" name="TextBox 1">
          <a:extLst xmlns:a="http://schemas.openxmlformats.org/drawingml/2006/main">
            <a:ext uri="{FF2B5EF4-FFF2-40B4-BE49-F238E27FC236}">
              <a16:creationId xmlns:a16="http://schemas.microsoft.com/office/drawing/2014/main" id="{A60BF1FC-9DBF-5B10-499B-401BFF715025}"/>
            </a:ext>
          </a:extLst>
        </cdr:cNvPr>
        <cdr:cNvSpPr txBox="1"/>
      </cdr:nvSpPr>
      <cdr:spPr>
        <a:xfrm xmlns:a="http://schemas.openxmlformats.org/drawingml/2006/main">
          <a:off x="49684" y="48872"/>
          <a:ext cx="7722716" cy="56072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Percentage points of</a:t>
          </a:r>
          <a:r>
            <a:rPr lang="en-US" altLang="zh-CN" sz="3200">
              <a:latin typeface="Arial" panose="020B0604020202020204" pitchFamily="34" charset="0"/>
            </a:rPr>
            <a:t> GDP</a:t>
          </a:r>
          <a:endParaRPr lang="en-US" sz="3200">
            <a:latin typeface="Arial" panose="020B0604020202020204" pitchFamily="34" charset="0"/>
          </a:endParaRPr>
        </a:p>
      </cdr:txBody>
    </cdr:sp>
  </cdr:relSizeAnchor>
  <cdr:relSizeAnchor xmlns:cdr="http://schemas.openxmlformats.org/drawingml/2006/chartDrawing">
    <cdr:from>
      <cdr:x>0.00551</cdr:x>
      <cdr:y>0.00733</cdr:y>
    </cdr:from>
    <cdr:to>
      <cdr:x>0.19835</cdr:x>
      <cdr:y>0.19048</cdr:y>
    </cdr:to>
    <cdr:sp macro="" textlink="">
      <cdr:nvSpPr>
        <cdr:cNvPr id="4" name="TextBox 3">
          <a:extLst xmlns:a="http://schemas.openxmlformats.org/drawingml/2006/main">
            <a:ext uri="{FF2B5EF4-FFF2-40B4-BE49-F238E27FC236}">
              <a16:creationId xmlns:a16="http://schemas.microsoft.com/office/drawing/2014/main" id="{7766F96C-2DED-1CB8-C38A-81F00C56AB6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1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8D894F61-6AA4-4C80-B6FF-C495ED70B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0.xml><?xml version="1.0" encoding="utf-8"?>
<c:userShapes xmlns:c="http://schemas.openxmlformats.org/drawingml/2006/chart">
  <cdr:relSizeAnchor xmlns:cdr="http://schemas.openxmlformats.org/drawingml/2006/chartDrawing">
    <cdr:from>
      <cdr:x>0.00551</cdr:x>
      <cdr:y>0.00733</cdr:y>
    </cdr:from>
    <cdr:to>
      <cdr:x>0.58705</cdr:x>
      <cdr:y>0.12341</cdr:y>
    </cdr:to>
    <cdr:sp macro="" textlink="">
      <cdr:nvSpPr>
        <cdr:cNvPr id="2" name="TextBox 1">
          <a:extLst xmlns:a="http://schemas.openxmlformats.org/drawingml/2006/main">
            <a:ext uri="{FF2B5EF4-FFF2-40B4-BE49-F238E27FC236}">
              <a16:creationId xmlns:a16="http://schemas.microsoft.com/office/drawing/2014/main" id="{5E7D954D-512C-6588-BB17-F4CE0C502CC8}"/>
            </a:ext>
          </a:extLst>
        </cdr:cNvPr>
        <cdr:cNvSpPr txBox="1"/>
      </cdr:nvSpPr>
      <cdr:spPr>
        <a:xfrm xmlns:a="http://schemas.openxmlformats.org/drawingml/2006/main">
          <a:off x="50380" y="50242"/>
          <a:ext cx="5317638" cy="79612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measures</a:t>
          </a:r>
        </a:p>
      </cdr:txBody>
    </cdr:sp>
  </cdr:relSizeAnchor>
  <cdr:relSizeAnchor xmlns:cdr="http://schemas.openxmlformats.org/drawingml/2006/chartDrawing">
    <cdr:from>
      <cdr:x>0.00552</cdr:x>
      <cdr:y>0.00735</cdr:y>
    </cdr:from>
    <cdr:to>
      <cdr:x>0.19855</cdr:x>
      <cdr:y>0.191</cdr:y>
    </cdr:to>
    <cdr:sp macro="" textlink="">
      <cdr:nvSpPr>
        <cdr:cNvPr id="4" name="TextBox 3">
          <a:extLst xmlns:a="http://schemas.openxmlformats.org/drawingml/2006/main">
            <a:ext uri="{FF2B5EF4-FFF2-40B4-BE49-F238E27FC236}">
              <a16:creationId xmlns:a16="http://schemas.microsoft.com/office/drawing/2014/main" id="{0E56E036-AA1F-0E99-FDC3-2E9A62846E1E}"/>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2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BD215333-80DD-44FF-A8D0-C99E368E8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2.xml><?xml version="1.0" encoding="utf-8"?>
<c:userShapes xmlns:c="http://schemas.openxmlformats.org/drawingml/2006/chart">
  <cdr:relSizeAnchor xmlns:cdr="http://schemas.openxmlformats.org/drawingml/2006/chartDrawing">
    <cdr:from>
      <cdr:x>0.60185</cdr:x>
      <cdr:y>0</cdr:y>
    </cdr:from>
    <cdr:to>
      <cdr:x>1</cdr:x>
      <cdr:y>0.07298</cdr:y>
    </cdr:to>
    <cdr:sp macro="" textlink="">
      <cdr:nvSpPr>
        <cdr:cNvPr id="3" name="TextBox 2">
          <a:extLst xmlns:a="http://schemas.openxmlformats.org/drawingml/2006/main">
            <a:ext uri="{FF2B5EF4-FFF2-40B4-BE49-F238E27FC236}">
              <a16:creationId xmlns:a16="http://schemas.microsoft.com/office/drawing/2014/main" id="{1DE1B05F-64ED-A41D-0C48-A799CFB82520}"/>
            </a:ext>
          </a:extLst>
        </cdr:cNvPr>
        <cdr:cNvSpPr txBox="1"/>
      </cdr:nvSpPr>
      <cdr:spPr>
        <a:xfrm xmlns:a="http://schemas.openxmlformats.org/drawingml/2006/main">
          <a:off x="5676090" y="0"/>
          <a:ext cx="3754944" cy="4857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r"/>
          <a:r>
            <a:rPr lang="en-US" sz="3200">
              <a:latin typeface="Arial" panose="020B0604020202020204" pitchFamily="34" charset="0"/>
              <a:cs typeface="Arial" panose="020B0604020202020204" pitchFamily="34" charset="0"/>
            </a:rPr>
            <a:t>Percent of</a:t>
          </a:r>
          <a:r>
            <a:rPr lang="en-US" sz="3200" baseline="0">
              <a:latin typeface="Arial" panose="020B0604020202020204" pitchFamily="34" charset="0"/>
              <a:cs typeface="Arial" panose="020B0604020202020204" pitchFamily="34" charset="0"/>
            </a:rPr>
            <a:t> GDP</a:t>
          </a:r>
          <a:endParaRPr lang="en-US" sz="3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cdr:y>
    </cdr:from>
    <cdr:to>
      <cdr:x>0.39815</cdr:x>
      <cdr:y>0.07298</cdr:y>
    </cdr:to>
    <cdr:sp macro="" textlink="">
      <cdr:nvSpPr>
        <cdr:cNvPr id="4" name="TextBox 1">
          <a:extLst xmlns:a="http://schemas.openxmlformats.org/drawingml/2006/main">
            <a:ext uri="{FF2B5EF4-FFF2-40B4-BE49-F238E27FC236}">
              <a16:creationId xmlns:a16="http://schemas.microsoft.com/office/drawing/2014/main" id="{1BDCB161-32E3-B6E5-CE62-1AFE40B0FEC2}"/>
            </a:ext>
          </a:extLst>
        </cdr:cNvPr>
        <cdr:cNvSpPr txBox="1"/>
      </cdr:nvSpPr>
      <cdr:spPr>
        <a:xfrm xmlns:a="http://schemas.openxmlformats.org/drawingml/2006/main">
          <a:off x="0" y="0"/>
          <a:ext cx="3754944" cy="4857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US" sz="3200">
              <a:latin typeface="Arial" panose="020B0604020202020204" pitchFamily="34" charset="0"/>
              <a:cs typeface="Arial" panose="020B0604020202020204" pitchFamily="34" charset="0"/>
            </a:rPr>
            <a:t>Percent of</a:t>
          </a:r>
          <a:r>
            <a:rPr lang="en-US" sz="3200" baseline="0">
              <a:latin typeface="Arial" panose="020B0604020202020204" pitchFamily="34" charset="0"/>
              <a:cs typeface="Arial" panose="020B0604020202020204" pitchFamily="34" charset="0"/>
            </a:rPr>
            <a:t> GDP</a:t>
          </a:r>
          <a:endParaRPr lang="en-US" sz="3200">
            <a:latin typeface="Arial" panose="020B0604020202020204" pitchFamily="34" charset="0"/>
            <a:cs typeface="Arial" panose="020B0604020202020204" pitchFamily="34" charset="0"/>
          </a:endParaRPr>
        </a:p>
      </cdr:txBody>
    </cdr:sp>
  </cdr:relSizeAnchor>
</c:userShapes>
</file>

<file path=xl/drawings/drawing12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32DCBDC3-28D5-43FE-A5A4-B19D0B7F3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4.xml><?xml version="1.0" encoding="utf-8"?>
<c:userShapes xmlns:c="http://schemas.openxmlformats.org/drawingml/2006/chart">
  <cdr:relSizeAnchor xmlns:cdr="http://schemas.openxmlformats.org/drawingml/2006/chartDrawing">
    <cdr:from>
      <cdr:x>0</cdr:x>
      <cdr:y>0</cdr:y>
    </cdr:from>
    <cdr:to>
      <cdr:x>0.19284</cdr:x>
      <cdr:y>0.08654</cdr:y>
    </cdr:to>
    <cdr:sp macro="" textlink="">
      <cdr:nvSpPr>
        <cdr:cNvPr id="2" name="TextBox 1">
          <a:extLst xmlns:a="http://schemas.openxmlformats.org/drawingml/2006/main">
            <a:ext uri="{FF2B5EF4-FFF2-40B4-BE49-F238E27FC236}">
              <a16:creationId xmlns:a16="http://schemas.microsoft.com/office/drawing/2014/main" id="{58A27B89-9A25-AE82-9DBE-36FB457C6797}"/>
            </a:ext>
          </a:extLst>
        </cdr:cNvPr>
        <cdr:cNvSpPr txBox="1"/>
      </cdr:nvSpPr>
      <cdr:spPr>
        <a:xfrm xmlns:a="http://schemas.openxmlformats.org/drawingml/2006/main">
          <a:off x="0" y="0"/>
          <a:ext cx="1778000" cy="60007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12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24199833-CE21-4958-9887-43D900F77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6.xml><?xml version="1.0" encoding="utf-8"?>
<c:userShapes xmlns:c="http://schemas.openxmlformats.org/drawingml/2006/chart">
  <cdr:relSizeAnchor xmlns:cdr="http://schemas.openxmlformats.org/drawingml/2006/chartDrawing">
    <cdr:from>
      <cdr:x>0.00551</cdr:x>
      <cdr:y>0.00733</cdr:y>
    </cdr:from>
    <cdr:to>
      <cdr:x>0.80628</cdr:x>
      <cdr:y>0.13634</cdr:y>
    </cdr:to>
    <cdr:sp macro="" textlink="">
      <cdr:nvSpPr>
        <cdr:cNvPr id="2" name="TextBox 1">
          <a:extLst xmlns:a="http://schemas.openxmlformats.org/drawingml/2006/main">
            <a:ext uri="{FF2B5EF4-FFF2-40B4-BE49-F238E27FC236}">
              <a16:creationId xmlns:a16="http://schemas.microsoft.com/office/drawing/2014/main" id="{E4AD9C97-F7B8-B9B6-9BFE-F52DF03C0573}"/>
            </a:ext>
          </a:extLst>
        </cdr:cNvPr>
        <cdr:cNvSpPr txBox="1"/>
      </cdr:nvSpPr>
      <cdr:spPr>
        <a:xfrm xmlns:a="http://schemas.openxmlformats.org/drawingml/2006/main">
          <a:off x="50013" y="53414"/>
          <a:ext cx="7268362" cy="94012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working-age population</a:t>
          </a:r>
        </a:p>
      </cdr:txBody>
    </cdr:sp>
  </cdr:relSizeAnchor>
</c:userShapes>
</file>

<file path=xl/drawings/drawing127.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B752E4FF-AD41-460A-BA92-7D28E1E2D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8.xml><?xml version="1.0" encoding="utf-8"?>
<c:userShapes xmlns:c="http://schemas.openxmlformats.org/drawingml/2006/chart">
  <cdr:relSizeAnchor xmlns:cdr="http://schemas.openxmlformats.org/drawingml/2006/chartDrawing">
    <cdr:from>
      <cdr:x>0.00551</cdr:x>
      <cdr:y>0.00733</cdr:y>
    </cdr:from>
    <cdr:to>
      <cdr:x>0.72455</cdr:x>
      <cdr:y>0.11156</cdr:y>
    </cdr:to>
    <cdr:sp macro="" textlink="">
      <cdr:nvSpPr>
        <cdr:cNvPr id="2" name="TextBox 1">
          <a:extLst xmlns:a="http://schemas.openxmlformats.org/drawingml/2006/main">
            <a:ext uri="{FF2B5EF4-FFF2-40B4-BE49-F238E27FC236}">
              <a16:creationId xmlns:a16="http://schemas.microsoft.com/office/drawing/2014/main" id="{41646DD8-B923-8D07-6FD8-ED5088C3FA99}"/>
            </a:ext>
          </a:extLst>
        </cdr:cNvPr>
        <cdr:cNvSpPr txBox="1"/>
      </cdr:nvSpPr>
      <cdr:spPr>
        <a:xfrm xmlns:a="http://schemas.openxmlformats.org/drawingml/2006/main">
          <a:off x="50383" y="54136"/>
          <a:ext cx="6574935" cy="7697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working-age population</a:t>
          </a:r>
        </a:p>
      </cdr:txBody>
    </cdr:sp>
  </cdr:relSizeAnchor>
</c:userShapes>
</file>

<file path=xl/drawings/drawing129.xml><?xml version="1.0" encoding="utf-8"?>
<xdr:wsDr xmlns:xdr="http://schemas.openxmlformats.org/drawingml/2006/spreadsheetDrawing" xmlns:a="http://schemas.openxmlformats.org/drawingml/2006/main">
  <xdr:twoCellAnchor>
    <xdr:from>
      <xdr:col>0</xdr:col>
      <xdr:colOff>0</xdr:colOff>
      <xdr:row>1</xdr:row>
      <xdr:rowOff>6803</xdr:rowOff>
    </xdr:from>
    <xdr:to>
      <xdr:col>13</xdr:col>
      <xdr:colOff>564696</xdr:colOff>
      <xdr:row>32</xdr:row>
      <xdr:rowOff>115661</xdr:rowOff>
    </xdr:to>
    <xdr:graphicFrame macro="">
      <xdr:nvGraphicFramePr>
        <xdr:cNvPr id="2" name="Chart 1">
          <a:extLst>
            <a:ext uri="{FF2B5EF4-FFF2-40B4-BE49-F238E27FC236}">
              <a16:creationId xmlns:a16="http://schemas.microsoft.com/office/drawing/2014/main" id="{F0D11D1F-EB48-4E09-8217-271837978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0.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3" name="TextBox 2">
          <a:extLst xmlns:a="http://schemas.openxmlformats.org/drawingml/2006/main">
            <a:ext uri="{FF2B5EF4-FFF2-40B4-BE49-F238E27FC236}">
              <a16:creationId xmlns:a16="http://schemas.microsoft.com/office/drawing/2014/main" id="{CB8DCD6E-B100-D53D-9A06-FF971949126D}"/>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dr:relSizeAnchor xmlns:cdr="http://schemas.openxmlformats.org/drawingml/2006/chartDrawing">
    <cdr:from>
      <cdr:x>0.00555</cdr:x>
      <cdr:y>0.00741</cdr:y>
    </cdr:from>
    <cdr:to>
      <cdr:x>0.68451</cdr:x>
      <cdr:y>0.19068</cdr:y>
    </cdr:to>
    <cdr:sp macro="" textlink="">
      <cdr:nvSpPr>
        <cdr:cNvPr id="2" name="TextBox 1">
          <a:extLst xmlns:a="http://schemas.openxmlformats.org/drawingml/2006/main">
            <a:ext uri="{FF2B5EF4-FFF2-40B4-BE49-F238E27FC236}">
              <a16:creationId xmlns:a16="http://schemas.microsoft.com/office/drawing/2014/main" id="{BE82A9AA-06C3-EEC9-EEFE-66FD5579BE0C}"/>
            </a:ext>
          </a:extLst>
        </cdr:cNvPr>
        <cdr:cNvSpPr txBox="1"/>
      </cdr:nvSpPr>
      <cdr:spPr>
        <a:xfrm xmlns:a="http://schemas.openxmlformats.org/drawingml/2006/main">
          <a:off x="50800" y="50800"/>
          <a:ext cx="6214902" cy="125691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Index, 2022=100</a:t>
          </a:r>
        </a:p>
      </cdr:txBody>
    </cdr:sp>
  </cdr:relSizeAnchor>
</c:userShapes>
</file>

<file path=xl/drawings/drawing131.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2017EEC5-76D1-4B4E-A0A4-5D8CEFA23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2.xml><?xml version="1.0" encoding="utf-8"?>
<c:userShapes xmlns:c="http://schemas.openxmlformats.org/drawingml/2006/chart">
  <cdr:relSizeAnchor xmlns:cdr="http://schemas.openxmlformats.org/drawingml/2006/chartDrawing">
    <cdr:from>
      <cdr:x>0</cdr:x>
      <cdr:y>0</cdr:y>
    </cdr:from>
    <cdr:to>
      <cdr:x>0.26575</cdr:x>
      <cdr:y>0.18315</cdr:y>
    </cdr:to>
    <cdr:sp macro="" textlink="">
      <cdr:nvSpPr>
        <cdr:cNvPr id="2" name="TextBox 1">
          <a:extLst xmlns:a="http://schemas.openxmlformats.org/drawingml/2006/main">
            <a:ext uri="{FF2B5EF4-FFF2-40B4-BE49-F238E27FC236}">
              <a16:creationId xmlns:a16="http://schemas.microsoft.com/office/drawing/2014/main" id="{C4A73F40-AFFD-1BB5-0D10-352176D56A9C}"/>
            </a:ext>
          </a:extLst>
        </cdr:cNvPr>
        <cdr:cNvSpPr txBox="1"/>
      </cdr:nvSpPr>
      <cdr:spPr>
        <a:xfrm xmlns:a="http://schemas.openxmlformats.org/drawingml/2006/main">
          <a:off x="0" y="0"/>
          <a:ext cx="2430379" cy="125604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employment</a:t>
          </a:r>
        </a:p>
      </cdr:txBody>
    </cdr:sp>
  </cdr:relSizeAnchor>
  <cdr:relSizeAnchor xmlns:cdr="http://schemas.openxmlformats.org/drawingml/2006/chartDrawing">
    <cdr:from>
      <cdr:x>0.72757</cdr:x>
      <cdr:y>0</cdr:y>
    </cdr:from>
    <cdr:to>
      <cdr:x>1</cdr:x>
      <cdr:y>0.18315</cdr:y>
    </cdr:to>
    <cdr:sp macro="" textlink="">
      <cdr:nvSpPr>
        <cdr:cNvPr id="3" name="TextBox 1">
          <a:extLst xmlns:a="http://schemas.openxmlformats.org/drawingml/2006/main">
            <a:ext uri="{FF2B5EF4-FFF2-40B4-BE49-F238E27FC236}">
              <a16:creationId xmlns:a16="http://schemas.microsoft.com/office/drawing/2014/main" id="{A20D0263-F214-6392-AD34-52A23E93C874}"/>
            </a:ext>
          </a:extLst>
        </cdr:cNvPr>
        <cdr:cNvSpPr txBox="1"/>
      </cdr:nvSpPr>
      <cdr:spPr>
        <a:xfrm xmlns:a="http://schemas.openxmlformats.org/drawingml/2006/main">
          <a:off x="6653892" y="0"/>
          <a:ext cx="2491468" cy="125604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 of population</a:t>
          </a:r>
        </a:p>
      </cdr:txBody>
    </cdr:sp>
  </cdr:relSizeAnchor>
</c:userShapes>
</file>

<file path=xl/drawings/drawing13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4">
          <a:extLst>
            <a:ext uri="{FF2B5EF4-FFF2-40B4-BE49-F238E27FC236}">
              <a16:creationId xmlns:a16="http://schemas.microsoft.com/office/drawing/2014/main" id="{18D8C070-8F6C-4D00-B7F0-3C88E5DE3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4.xml><?xml version="1.0" encoding="utf-8"?>
<c:userShapes xmlns:c="http://schemas.openxmlformats.org/drawingml/2006/chart">
  <cdr:relSizeAnchor xmlns:cdr="http://schemas.openxmlformats.org/drawingml/2006/chartDrawing">
    <cdr:from>
      <cdr:x>0.00551</cdr:x>
      <cdr:y>0.00733</cdr:y>
    </cdr:from>
    <cdr:to>
      <cdr:x>0.40726</cdr:x>
      <cdr:y>0.19048</cdr:y>
    </cdr:to>
    <cdr:sp macro="" textlink="">
      <cdr:nvSpPr>
        <cdr:cNvPr id="2" name="TextBox 1">
          <a:extLst xmlns:a="http://schemas.openxmlformats.org/drawingml/2006/main">
            <a:ext uri="{FF2B5EF4-FFF2-40B4-BE49-F238E27FC236}">
              <a16:creationId xmlns:a16="http://schemas.microsoft.com/office/drawing/2014/main" id="{34144BEE-8DB4-43A0-762F-9D79FDA207C2}"/>
            </a:ext>
          </a:extLst>
        </cdr:cNvPr>
        <cdr:cNvSpPr txBox="1"/>
      </cdr:nvSpPr>
      <cdr:spPr>
        <a:xfrm xmlns:a="http://schemas.openxmlformats.org/drawingml/2006/main">
          <a:off x="51150" y="52475"/>
          <a:ext cx="3729746" cy="131186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135.xml><?xml version="1.0" encoding="utf-8"?>
<xdr:wsDr xmlns:xdr="http://schemas.openxmlformats.org/drawingml/2006/spreadsheetDrawing" xmlns:a="http://schemas.openxmlformats.org/drawingml/2006/main">
  <xdr:twoCellAnchor>
    <xdr:from>
      <xdr:col>0</xdr:col>
      <xdr:colOff>0</xdr:colOff>
      <xdr:row>0</xdr:row>
      <xdr:rowOff>312963</xdr:rowOff>
    </xdr:from>
    <xdr:to>
      <xdr:col>14</xdr:col>
      <xdr:colOff>0</xdr:colOff>
      <xdr:row>32</xdr:row>
      <xdr:rowOff>108856</xdr:rowOff>
    </xdr:to>
    <xdr:graphicFrame macro="">
      <xdr:nvGraphicFramePr>
        <xdr:cNvPr id="2" name="Chart 2">
          <a:extLst>
            <a:ext uri="{FF2B5EF4-FFF2-40B4-BE49-F238E27FC236}">
              <a16:creationId xmlns:a16="http://schemas.microsoft.com/office/drawing/2014/main" id="{CCA4B345-F34D-41B7-AD15-EBE6BAB1D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6.xml><?xml version="1.0" encoding="utf-8"?>
<c:userShapes xmlns:c="http://schemas.openxmlformats.org/drawingml/2006/chart">
  <cdr:relSizeAnchor xmlns:cdr="http://schemas.openxmlformats.org/drawingml/2006/chartDrawing">
    <cdr:from>
      <cdr:x>0.39575</cdr:x>
      <cdr:y>0</cdr:y>
    </cdr:from>
    <cdr:to>
      <cdr:x>1</cdr:x>
      <cdr:y>0.10521</cdr:y>
    </cdr:to>
    <cdr:sp macro="" textlink="">
      <cdr:nvSpPr>
        <cdr:cNvPr id="2" name="TextBox 1">
          <a:extLst xmlns:a="http://schemas.openxmlformats.org/drawingml/2006/main">
            <a:ext uri="{FF2B5EF4-FFF2-40B4-BE49-F238E27FC236}">
              <a16:creationId xmlns:a16="http://schemas.microsoft.com/office/drawing/2014/main" id="{5BBE7017-C451-89DA-9007-AE94B9F20709}"/>
            </a:ext>
          </a:extLst>
        </cdr:cNvPr>
        <cdr:cNvSpPr txBox="1"/>
      </cdr:nvSpPr>
      <cdr:spPr>
        <a:xfrm xmlns:a="http://schemas.openxmlformats.org/drawingml/2006/main">
          <a:off x="3582479" y="0"/>
          <a:ext cx="5469899" cy="72117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a:t>
          </a:r>
          <a:r>
            <a:rPr lang="en-US" sz="3200" baseline="0">
              <a:latin typeface="Arial" panose="020B0604020202020204" pitchFamily="34" charset="0"/>
            </a:rPr>
            <a:t> of</a:t>
          </a:r>
          <a:r>
            <a:rPr lang="en-US" sz="3200">
              <a:latin typeface="Arial" panose="020B0604020202020204" pitchFamily="34" charset="0"/>
            </a:rPr>
            <a:t> responses </a:t>
          </a:r>
        </a:p>
      </cdr:txBody>
    </cdr:sp>
  </cdr:relSizeAnchor>
  <cdr:relSizeAnchor xmlns:cdr="http://schemas.openxmlformats.org/drawingml/2006/chartDrawing">
    <cdr:from>
      <cdr:x>0</cdr:x>
      <cdr:y>0</cdr:y>
    </cdr:from>
    <cdr:to>
      <cdr:x>0.13852</cdr:x>
      <cdr:y>0.09663</cdr:y>
    </cdr:to>
    <cdr:sp macro="" textlink="">
      <cdr:nvSpPr>
        <cdr:cNvPr id="3" name="TextBox 1">
          <a:extLst xmlns:a="http://schemas.openxmlformats.org/drawingml/2006/main">
            <a:ext uri="{FF2B5EF4-FFF2-40B4-BE49-F238E27FC236}">
              <a16:creationId xmlns:a16="http://schemas.microsoft.com/office/drawing/2014/main" id="{5BBE7017-C451-89DA-9007-AE94B9F20709}"/>
            </a:ext>
          </a:extLst>
        </cdr:cNvPr>
        <cdr:cNvSpPr txBox="1"/>
      </cdr:nvSpPr>
      <cdr:spPr>
        <a:xfrm xmlns:a="http://schemas.openxmlformats.org/drawingml/2006/main">
          <a:off x="0" y="0"/>
          <a:ext cx="1253935" cy="66238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baseline="0">
              <a:latin typeface="Arial" panose="020B0604020202020204" pitchFamily="34" charset="0"/>
            </a:rPr>
            <a:t>Index</a:t>
          </a:r>
          <a:endParaRPr lang="en-US" sz="3200">
            <a:latin typeface="Arial" panose="020B0604020202020204" pitchFamily="34" charset="0"/>
          </a:endParaRPr>
        </a:p>
      </cdr:txBody>
    </cdr:sp>
  </cdr:relSizeAnchor>
</c:userShapes>
</file>

<file path=xl/drawings/drawing13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6">
          <a:extLst>
            <a:ext uri="{FF2B5EF4-FFF2-40B4-BE49-F238E27FC236}">
              <a16:creationId xmlns:a16="http://schemas.microsoft.com/office/drawing/2014/main" id="{123ECE04-03AE-4575-9EC1-C9C871219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8.xml><?xml version="1.0" encoding="utf-8"?>
<c:userShapes xmlns:c="http://schemas.openxmlformats.org/drawingml/2006/chart">
  <cdr:relSizeAnchor xmlns:cdr="http://schemas.openxmlformats.org/drawingml/2006/chartDrawing">
    <cdr:from>
      <cdr:x>0</cdr:x>
      <cdr:y>0.00903</cdr:y>
    </cdr:from>
    <cdr:to>
      <cdr:x>0.41976</cdr:x>
      <cdr:y>0.10558</cdr:y>
    </cdr:to>
    <cdr:sp macro="" textlink="">
      <cdr:nvSpPr>
        <cdr:cNvPr id="2" name="TextBox 1"/>
        <cdr:cNvSpPr txBox="1"/>
      </cdr:nvSpPr>
      <cdr:spPr>
        <a:xfrm xmlns:a="http://schemas.openxmlformats.org/drawingml/2006/main">
          <a:off x="0" y="61945"/>
          <a:ext cx="3847305" cy="6619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a:t>
          </a:r>
          <a:r>
            <a:rPr lang="en-US" sz="3200" baseline="0">
              <a:latin typeface="Arial" panose="020B0604020202020204" pitchFamily="34" charset="0"/>
            </a:rPr>
            <a:t> of workers</a:t>
          </a:r>
          <a:endParaRPr lang="en-US" sz="3200">
            <a:latin typeface="Arial" panose="020B0604020202020204" pitchFamily="34" charset="0"/>
          </a:endParaRPr>
        </a:p>
      </cdr:txBody>
    </cdr:sp>
  </cdr:relSizeAnchor>
  <cdr:relSizeAnchor xmlns:cdr="http://schemas.openxmlformats.org/drawingml/2006/chartDrawing">
    <cdr:from>
      <cdr:x>0.08588</cdr:x>
      <cdr:y>0.00733</cdr:y>
    </cdr:from>
    <cdr:to>
      <cdr:x>0.3061</cdr:x>
      <cdr:y>0.16653</cdr:y>
    </cdr:to>
    <cdr:sp macro="" textlink="">
      <cdr:nvSpPr>
        <cdr:cNvPr id="4" name="TextBox 3"/>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dr:relSizeAnchor xmlns:cdr="http://schemas.openxmlformats.org/drawingml/2006/chartDrawing">
    <cdr:from>
      <cdr:x>0.65619</cdr:x>
      <cdr:y>0.00741</cdr:y>
    </cdr:from>
    <cdr:to>
      <cdr:x>1</cdr:x>
      <cdr:y>0.10395</cdr:y>
    </cdr:to>
    <cdr:sp macro="" textlink="">
      <cdr:nvSpPr>
        <cdr:cNvPr id="3" name="TextBox 1">
          <a:extLst xmlns:a="http://schemas.openxmlformats.org/drawingml/2006/main">
            <a:ext uri="{FF2B5EF4-FFF2-40B4-BE49-F238E27FC236}">
              <a16:creationId xmlns:a16="http://schemas.microsoft.com/office/drawing/2014/main" id="{A6F3E90F-D42D-6C77-7BD9-60D08A53C560}"/>
            </a:ext>
          </a:extLst>
        </cdr:cNvPr>
        <cdr:cNvSpPr txBox="1"/>
      </cdr:nvSpPr>
      <cdr:spPr>
        <a:xfrm xmlns:a="http://schemas.openxmlformats.org/drawingml/2006/main">
          <a:off x="6014243" y="50800"/>
          <a:ext cx="3151189" cy="661956"/>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Percent of </a:t>
          </a:r>
          <a:r>
            <a:rPr lang="en-US" sz="3200" baseline="0">
              <a:latin typeface="Arial" panose="020B0604020202020204" pitchFamily="34" charset="0"/>
            </a:rPr>
            <a:t>firms</a:t>
          </a:r>
          <a:endParaRPr lang="en-US" sz="3200">
            <a:latin typeface="Arial" panose="020B0604020202020204" pitchFamily="34" charset="0"/>
          </a:endParaRPr>
        </a:p>
      </cdr:txBody>
    </cdr:sp>
  </cdr:relSizeAnchor>
</c:userShapes>
</file>

<file path=xl/drawings/drawing13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67128A79-D87A-4F62-9AEC-EDFF954B4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0.xml><?xml version="1.0" encoding="utf-8"?>
<c:userShapes xmlns:c="http://schemas.openxmlformats.org/drawingml/2006/chart">
  <cdr:relSizeAnchor xmlns:cdr="http://schemas.openxmlformats.org/drawingml/2006/chartDrawing">
    <cdr:from>
      <cdr:x>0</cdr:x>
      <cdr:y>0</cdr:y>
    </cdr:from>
    <cdr:to>
      <cdr:x>0.27813</cdr:x>
      <cdr:y>0.07499</cdr:y>
    </cdr:to>
    <cdr:sp macro="" textlink="">
      <cdr:nvSpPr>
        <cdr:cNvPr id="2" name="TextBox 1"/>
        <cdr:cNvSpPr txBox="1"/>
      </cdr:nvSpPr>
      <cdr:spPr>
        <a:xfrm xmlns:a="http://schemas.openxmlformats.org/drawingml/2006/main">
          <a:off x="0" y="0"/>
          <a:ext cx="2594085" cy="5146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0.49798</cdr:x>
      <cdr:y>0.00733</cdr:y>
    </cdr:from>
    <cdr:to>
      <cdr:x>0.73111</cdr:x>
      <cdr:y>0.19048</cdr:y>
    </cdr:to>
    <cdr:sp macro="" textlink="">
      <cdr:nvSpPr>
        <cdr:cNvPr id="4" name="TextBox 3"/>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userShapes>
</file>

<file path=xl/drawings/drawing141.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5367DA5D-D833-4B01-B7D2-97682346C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2.xml><?xml version="1.0" encoding="utf-8"?>
<c:userShapes xmlns:c="http://schemas.openxmlformats.org/drawingml/2006/chart">
  <cdr:relSizeAnchor xmlns:cdr="http://schemas.openxmlformats.org/drawingml/2006/chartDrawing">
    <cdr:from>
      <cdr:x>0.00551</cdr:x>
      <cdr:y>0.00733</cdr:y>
    </cdr:from>
    <cdr:to>
      <cdr:x>1</cdr:x>
      <cdr:y>0.10735</cdr:y>
    </cdr:to>
    <cdr:sp macro="" textlink="">
      <cdr:nvSpPr>
        <cdr:cNvPr id="2" name="TextBox 1">
          <a:extLst xmlns:a="http://schemas.openxmlformats.org/drawingml/2006/main">
            <a:ext uri="{FF2B5EF4-FFF2-40B4-BE49-F238E27FC236}">
              <a16:creationId xmlns:a16="http://schemas.microsoft.com/office/drawing/2014/main" id="{FBDE8A9C-35F2-B9BB-8505-C0A7C28E9259}"/>
            </a:ext>
          </a:extLst>
        </cdr:cNvPr>
        <cdr:cNvSpPr txBox="1"/>
      </cdr:nvSpPr>
      <cdr:spPr>
        <a:xfrm xmlns:a="http://schemas.openxmlformats.org/drawingml/2006/main">
          <a:off x="50798" y="50634"/>
          <a:ext cx="9169185" cy="69134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a:t>
          </a:r>
          <a:r>
            <a:rPr lang="en-US" sz="3200" baseline="0">
              <a:latin typeface="Arial" panose="020B0604020202020204" pitchFamily="34" charset="0"/>
            </a:rPr>
            <a:t> firm</a:t>
          </a:r>
          <a:r>
            <a:rPr lang="en-US" altLang="zh-CN" sz="3200" baseline="0">
              <a:latin typeface="Arial" panose="020B0604020202020204" pitchFamily="34" charset="0"/>
            </a:rPr>
            <a:t>s</a:t>
          </a:r>
          <a:r>
            <a:rPr lang="en-US" sz="3200" baseline="0">
              <a:latin typeface="Arial" panose="020B0604020202020204" pitchFamily="34" charset="0"/>
            </a:rPr>
            <a:t> per 1,000 working-age people</a:t>
          </a:r>
          <a:endParaRPr lang="en-US" sz="3200">
            <a:latin typeface="Arial" panose="020B0604020202020204" pitchFamily="34" charset="0"/>
          </a:endParaRPr>
        </a:p>
      </cdr:txBody>
    </cdr:sp>
  </cdr:relSizeAnchor>
  <cdr:relSizeAnchor xmlns:cdr="http://schemas.openxmlformats.org/drawingml/2006/chartDrawing">
    <cdr:from>
      <cdr:x>0.00552</cdr:x>
      <cdr:y>0.00733</cdr:y>
    </cdr:from>
    <cdr:to>
      <cdr:x>0.19855</cdr:x>
      <cdr:y>0.19065</cdr:y>
    </cdr:to>
    <cdr:sp macro="" textlink="">
      <cdr:nvSpPr>
        <cdr:cNvPr id="4" name="TextBox 3">
          <a:extLst xmlns:a="http://schemas.openxmlformats.org/drawingml/2006/main">
            <a:ext uri="{FF2B5EF4-FFF2-40B4-BE49-F238E27FC236}">
              <a16:creationId xmlns:a16="http://schemas.microsoft.com/office/drawing/2014/main" id="{C3210FBD-99EE-A484-A8B6-6E487FC03D15}"/>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4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38D7D916-ADEA-41BB-B6E6-77CCBDFB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4.xml><?xml version="1.0" encoding="utf-8"?>
<c:userShapes xmlns:c="http://schemas.openxmlformats.org/drawingml/2006/chart">
  <cdr:relSizeAnchor xmlns:cdr="http://schemas.openxmlformats.org/drawingml/2006/chartDrawing">
    <cdr:from>
      <cdr:x>0</cdr:x>
      <cdr:y>0.01017</cdr:y>
    </cdr:from>
    <cdr:to>
      <cdr:x>0.19295</cdr:x>
      <cdr:y>0.10787</cdr:y>
    </cdr:to>
    <cdr:sp macro="" textlink="">
      <cdr:nvSpPr>
        <cdr:cNvPr id="2" name="TextBox 1">
          <a:extLst xmlns:a="http://schemas.openxmlformats.org/drawingml/2006/main">
            <a:ext uri="{FF2B5EF4-FFF2-40B4-BE49-F238E27FC236}">
              <a16:creationId xmlns:a16="http://schemas.microsoft.com/office/drawing/2014/main" id="{61B46783-BFC8-308D-C0DF-FD3A4F994909}"/>
            </a:ext>
          </a:extLst>
        </cdr:cNvPr>
        <cdr:cNvSpPr txBox="1"/>
      </cdr:nvSpPr>
      <cdr:spPr>
        <a:xfrm xmlns:a="http://schemas.openxmlformats.org/drawingml/2006/main">
          <a:off x="0" y="69755"/>
          <a:ext cx="1764343" cy="6700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0.00552</cdr:x>
      <cdr:y>0.00733</cdr:y>
    </cdr:from>
    <cdr:to>
      <cdr:x>0.19855</cdr:x>
      <cdr:y>0.19065</cdr:y>
    </cdr:to>
    <cdr:sp macro="" textlink="">
      <cdr:nvSpPr>
        <cdr:cNvPr id="3" name="TextBox 2">
          <a:extLst xmlns:a="http://schemas.openxmlformats.org/drawingml/2006/main">
            <a:ext uri="{FF2B5EF4-FFF2-40B4-BE49-F238E27FC236}">
              <a16:creationId xmlns:a16="http://schemas.microsoft.com/office/drawing/2014/main" id="{EDDA261C-7377-D985-78BD-E6AF36798562}"/>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dr:relSizeAnchor xmlns:cdr="http://schemas.openxmlformats.org/drawingml/2006/chartDrawing">
    <cdr:from>
      <cdr:x>0.86106</cdr:x>
      <cdr:y>0.00596</cdr:y>
    </cdr:from>
    <cdr:to>
      <cdr:x>1</cdr:x>
      <cdr:y>0.1</cdr:y>
    </cdr:to>
    <cdr:sp macro="" textlink="">
      <cdr:nvSpPr>
        <cdr:cNvPr id="4" name="TextBox 1">
          <a:extLst xmlns:a="http://schemas.openxmlformats.org/drawingml/2006/main">
            <a:ext uri="{FF2B5EF4-FFF2-40B4-BE49-F238E27FC236}">
              <a16:creationId xmlns:a16="http://schemas.microsoft.com/office/drawing/2014/main" id="{978A2075-CFCA-FF74-3242-45A52850958B}"/>
            </a:ext>
          </a:extLst>
        </cdr:cNvPr>
        <cdr:cNvSpPr txBox="1"/>
      </cdr:nvSpPr>
      <cdr:spPr>
        <a:xfrm xmlns:a="http://schemas.openxmlformats.org/drawingml/2006/main">
          <a:off x="7930915" y="41238"/>
          <a:ext cx="1279760" cy="65122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Index</a:t>
          </a:r>
        </a:p>
      </cdr:txBody>
    </cdr:sp>
  </cdr:relSizeAnchor>
</c:userShapes>
</file>

<file path=xl/drawings/drawing145.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70F54605-7013-45B1-89D9-0CB8199A5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6.xml><?xml version="1.0" encoding="utf-8"?>
<c:userShapes xmlns:c="http://schemas.openxmlformats.org/drawingml/2006/chart">
  <cdr:relSizeAnchor xmlns:cdr="http://schemas.openxmlformats.org/drawingml/2006/chartDrawing">
    <cdr:from>
      <cdr:x>0</cdr:x>
      <cdr:y>0</cdr:y>
    </cdr:from>
    <cdr:to>
      <cdr:x>0.34895</cdr:x>
      <cdr:y>0.08068</cdr:y>
    </cdr:to>
    <cdr:sp macro="" textlink="">
      <cdr:nvSpPr>
        <cdr:cNvPr id="2" name="TextBox 1">
          <a:extLst xmlns:a="http://schemas.openxmlformats.org/drawingml/2006/main">
            <a:ext uri="{FF2B5EF4-FFF2-40B4-BE49-F238E27FC236}">
              <a16:creationId xmlns:a16="http://schemas.microsoft.com/office/drawing/2014/main" id="{1DF29F56-6928-1B1E-70E0-E7945E037D57}"/>
            </a:ext>
          </a:extLst>
        </cdr:cNvPr>
        <cdr:cNvSpPr txBox="1"/>
      </cdr:nvSpPr>
      <cdr:spPr>
        <a:xfrm xmlns:a="http://schemas.openxmlformats.org/drawingml/2006/main">
          <a:off x="0" y="0"/>
          <a:ext cx="3190799" cy="55330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firms</a:t>
          </a:r>
        </a:p>
      </cdr:txBody>
    </cdr:sp>
  </cdr:relSizeAnchor>
  <cdr:relSizeAnchor xmlns:cdr="http://schemas.openxmlformats.org/drawingml/2006/chartDrawing">
    <cdr:from>
      <cdr:x>0.00552</cdr:x>
      <cdr:y>0.00734</cdr:y>
    </cdr:from>
    <cdr:to>
      <cdr:x>0.19855</cdr:x>
      <cdr:y>0.19083</cdr:y>
    </cdr:to>
    <cdr:sp macro="" textlink="">
      <cdr:nvSpPr>
        <cdr:cNvPr id="3" name="TextBox 2">
          <a:extLst xmlns:a="http://schemas.openxmlformats.org/drawingml/2006/main">
            <a:ext uri="{FF2B5EF4-FFF2-40B4-BE49-F238E27FC236}">
              <a16:creationId xmlns:a16="http://schemas.microsoft.com/office/drawing/2014/main" id="{725775E6-79D8-6A40-9A7A-EABC645B3AB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dr:relSizeAnchor xmlns:cdr="http://schemas.openxmlformats.org/drawingml/2006/chartDrawing">
    <cdr:from>
      <cdr:x>0.65105</cdr:x>
      <cdr:y>0.00147</cdr:y>
    </cdr:from>
    <cdr:to>
      <cdr:x>1</cdr:x>
      <cdr:y>0.08216</cdr:y>
    </cdr:to>
    <cdr:sp macro="" textlink="">
      <cdr:nvSpPr>
        <cdr:cNvPr id="4" name="TextBox 1">
          <a:extLst xmlns:a="http://schemas.openxmlformats.org/drawingml/2006/main">
            <a:ext uri="{FF2B5EF4-FFF2-40B4-BE49-F238E27FC236}">
              <a16:creationId xmlns:a16="http://schemas.microsoft.com/office/drawing/2014/main" id="{1AC010B5-91B7-6A23-A5E6-8D86B9898D6E}"/>
            </a:ext>
          </a:extLst>
        </cdr:cNvPr>
        <cdr:cNvSpPr txBox="1"/>
      </cdr:nvSpPr>
      <cdr:spPr>
        <a:xfrm xmlns:a="http://schemas.openxmlformats.org/drawingml/2006/main">
          <a:off x="6023147" y="9978"/>
          <a:ext cx="3228349" cy="54594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rPr>
            <a:t>Percent of firms</a:t>
          </a:r>
        </a:p>
      </cdr:txBody>
    </cdr:sp>
  </cdr:relSizeAnchor>
</c:userShapes>
</file>

<file path=xl/drawings/drawing14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3B73D2D8-98F4-4C89-A53F-1BDFA0746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8.xml><?xml version="1.0" encoding="utf-8"?>
<c:userShapes xmlns:c="http://schemas.openxmlformats.org/drawingml/2006/chart">
  <cdr:relSizeAnchor xmlns:cdr="http://schemas.openxmlformats.org/drawingml/2006/chartDrawing">
    <cdr:from>
      <cdr:x>0</cdr:x>
      <cdr:y>0.00567</cdr:y>
    </cdr:from>
    <cdr:to>
      <cdr:x>0.63637</cdr:x>
      <cdr:y>0.10521</cdr:y>
    </cdr:to>
    <cdr:sp macro="" textlink="">
      <cdr:nvSpPr>
        <cdr:cNvPr id="2" name="TextBox 1"/>
        <cdr:cNvSpPr txBox="1"/>
      </cdr:nvSpPr>
      <cdr:spPr>
        <a:xfrm xmlns:a="http://schemas.openxmlformats.org/drawingml/2006/main">
          <a:off x="0" y="37997"/>
          <a:ext cx="5776225" cy="66725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firms</a:t>
          </a:r>
        </a:p>
      </cdr:txBody>
    </cdr:sp>
  </cdr:relSizeAnchor>
  <cdr:relSizeAnchor xmlns:cdr="http://schemas.openxmlformats.org/drawingml/2006/chartDrawing">
    <cdr:from>
      <cdr:x>0.09248</cdr:x>
      <cdr:y>0.01141</cdr:y>
    </cdr:from>
    <cdr:to>
      <cdr:x>0.4414</cdr:x>
      <cdr:y>0.29614</cdr:y>
    </cdr:to>
    <cdr:sp macro="" textlink="">
      <cdr:nvSpPr>
        <cdr:cNvPr id="4" name="TextBox 3"/>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dr:relSizeAnchor xmlns:cdr="http://schemas.openxmlformats.org/drawingml/2006/chartDrawing">
    <cdr:from>
      <cdr:x>0.0881</cdr:x>
      <cdr:y>0.00734</cdr:y>
    </cdr:from>
    <cdr:to>
      <cdr:x>0.31051</cdr:x>
      <cdr:y>0.19083</cdr:y>
    </cdr:to>
    <cdr:sp macro="" textlink="">
      <cdr:nvSpPr>
        <cdr:cNvPr id="5" name="TextBox 4"/>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dr:relSizeAnchor xmlns:cdr="http://schemas.openxmlformats.org/drawingml/2006/chartDrawing">
    <cdr:from>
      <cdr:x>0.0881</cdr:x>
      <cdr:y>0.00734</cdr:y>
    </cdr:from>
    <cdr:to>
      <cdr:x>0.31051</cdr:x>
      <cdr:y>0.19083</cdr:y>
    </cdr:to>
    <cdr:sp macro="" textlink="">
      <cdr:nvSpPr>
        <cdr:cNvPr id="7" name="TextBox 6"/>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a:p>
      </cdr:txBody>
    </cdr:sp>
  </cdr:relSizeAnchor>
</c:userShapes>
</file>

<file path=xl/drawings/drawing149.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B29A8AEF-B518-4A5D-B368-89D272FD0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0.xml><?xml version="1.0" encoding="utf-8"?>
<c:userShapes xmlns:c="http://schemas.openxmlformats.org/drawingml/2006/chart">
  <cdr:relSizeAnchor xmlns:cdr="http://schemas.openxmlformats.org/drawingml/2006/chartDrawing">
    <cdr:from>
      <cdr:x>0.00551</cdr:x>
      <cdr:y>0.00733</cdr:y>
    </cdr:from>
    <cdr:to>
      <cdr:x>0.79931</cdr:x>
      <cdr:y>0.09259</cdr:y>
    </cdr:to>
    <cdr:sp macro="" textlink="">
      <cdr:nvSpPr>
        <cdr:cNvPr id="2" name="TextBox 1">
          <a:extLst xmlns:a="http://schemas.openxmlformats.org/drawingml/2006/main">
            <a:ext uri="{FF2B5EF4-FFF2-40B4-BE49-F238E27FC236}">
              <a16:creationId xmlns:a16="http://schemas.microsoft.com/office/drawing/2014/main" id="{7352D6DA-BC29-6B2C-0EBD-42C94E1AE575}"/>
            </a:ext>
          </a:extLst>
        </cdr:cNvPr>
        <cdr:cNvSpPr txBox="1"/>
      </cdr:nvSpPr>
      <cdr:spPr>
        <a:xfrm xmlns:a="http://schemas.openxmlformats.org/drawingml/2006/main">
          <a:off x="50380" y="50243"/>
          <a:ext cx="7258470" cy="58475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working-age people</a:t>
          </a:r>
        </a:p>
      </cdr:txBody>
    </cdr:sp>
  </cdr:relSizeAnchor>
  <cdr:relSizeAnchor xmlns:cdr="http://schemas.openxmlformats.org/drawingml/2006/chartDrawing">
    <cdr:from>
      <cdr:x>0.00552</cdr:x>
      <cdr:y>0.00734</cdr:y>
    </cdr:from>
    <cdr:to>
      <cdr:x>0.19862</cdr:x>
      <cdr:y>0.19083</cdr:y>
    </cdr:to>
    <cdr:sp macro="" textlink="">
      <cdr:nvSpPr>
        <cdr:cNvPr id="4" name="TextBox 3">
          <a:extLst xmlns:a="http://schemas.openxmlformats.org/drawingml/2006/main">
            <a:ext uri="{FF2B5EF4-FFF2-40B4-BE49-F238E27FC236}">
              <a16:creationId xmlns:a16="http://schemas.microsoft.com/office/drawing/2014/main" id="{25C2B854-CA89-B737-256A-E3E6CA8E854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51.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2436FC3D-7DDB-46B3-ADBC-FF8B335F0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2.xml><?xml version="1.0" encoding="utf-8"?>
<c:userShapes xmlns:c="http://schemas.openxmlformats.org/drawingml/2006/chart">
  <cdr:relSizeAnchor xmlns:cdr="http://schemas.openxmlformats.org/drawingml/2006/chartDrawing">
    <cdr:from>
      <cdr:x>0.00552</cdr:x>
      <cdr:y>0.00734</cdr:y>
    </cdr:from>
    <cdr:to>
      <cdr:x>0.359</cdr:x>
      <cdr:y>0.19083</cdr:y>
    </cdr:to>
    <cdr:sp macro="" textlink="">
      <cdr:nvSpPr>
        <cdr:cNvPr id="2" name="TextBox 1">
          <a:extLst xmlns:a="http://schemas.openxmlformats.org/drawingml/2006/main">
            <a:ext uri="{FF2B5EF4-FFF2-40B4-BE49-F238E27FC236}">
              <a16:creationId xmlns:a16="http://schemas.microsoft.com/office/drawing/2014/main" id="{B3BC2F14-1932-A02D-0A98-DD8C5CBF51AF}"/>
            </a:ext>
          </a:extLst>
        </cdr:cNvPr>
        <cdr:cNvSpPr txBox="1"/>
      </cdr:nvSpPr>
      <cdr:spPr>
        <a:xfrm xmlns:a="http://schemas.openxmlformats.org/drawingml/2006/main">
          <a:off x="51051" y="50804"/>
          <a:ext cx="3269092" cy="127002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dr:relSizeAnchor xmlns:cdr="http://schemas.openxmlformats.org/drawingml/2006/chartDrawing">
    <cdr:from>
      <cdr:x>0.71064</cdr:x>
      <cdr:y>0.01573</cdr:y>
    </cdr:from>
    <cdr:to>
      <cdr:x>0.97842</cdr:x>
      <cdr:y>0.09043</cdr:y>
    </cdr:to>
    <cdr:sp macro="" textlink="">
      <cdr:nvSpPr>
        <cdr:cNvPr id="3" name="TextBox 2">
          <a:extLst xmlns:a="http://schemas.openxmlformats.org/drawingml/2006/main">
            <a:ext uri="{FF2B5EF4-FFF2-40B4-BE49-F238E27FC236}">
              <a16:creationId xmlns:a16="http://schemas.microsoft.com/office/drawing/2014/main" id="{B8F22F0C-75FA-71C1-06F1-32D2B1C8F282}"/>
            </a:ext>
          </a:extLst>
        </cdr:cNvPr>
        <cdr:cNvSpPr txBox="1"/>
      </cdr:nvSpPr>
      <cdr:spPr>
        <a:xfrm xmlns:a="http://schemas.openxmlformats.org/drawingml/2006/main">
          <a:off x="6572250" y="108857"/>
          <a:ext cx="2476500" cy="5170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0.63095</cdr:x>
      <cdr:y>0.00983</cdr:y>
    </cdr:from>
    <cdr:to>
      <cdr:x>1</cdr:x>
      <cdr:y>0.1131</cdr:y>
    </cdr:to>
    <cdr:sp macro="" textlink="">
      <cdr:nvSpPr>
        <cdr:cNvPr id="4" name="TextBox 3">
          <a:extLst xmlns:a="http://schemas.openxmlformats.org/drawingml/2006/main">
            <a:ext uri="{FF2B5EF4-FFF2-40B4-BE49-F238E27FC236}">
              <a16:creationId xmlns:a16="http://schemas.microsoft.com/office/drawing/2014/main" id="{5CF4F1C8-94F4-2F10-127D-F86B5C437338}"/>
            </a:ext>
          </a:extLst>
        </cdr:cNvPr>
        <cdr:cNvSpPr txBox="1"/>
      </cdr:nvSpPr>
      <cdr:spPr>
        <a:xfrm xmlns:a="http://schemas.openxmlformats.org/drawingml/2006/main">
          <a:off x="5769428" y="67412"/>
          <a:ext cx="3374572" cy="70819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r" defTabSz="914400" eaLnBrk="1" fontAlgn="auto" latinLnBrk="0" hangingPunct="1">
            <a:lnSpc>
              <a:spcPct val="100000"/>
            </a:lnSpc>
            <a:spcBef>
              <a:spcPts val="0"/>
            </a:spcBef>
            <a:spcAft>
              <a:spcPts val="0"/>
            </a:spcAft>
            <a:buClrTx/>
            <a:buSzTx/>
            <a:buFontTx/>
            <a:buNone/>
            <a:tabLst/>
            <a:defRPr/>
          </a:pPr>
          <a:r>
            <a:rPr kumimoji="0" lang="en-US" sz="32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mn-cs"/>
            </a:rPr>
            <a:t>Percent of GDP</a:t>
          </a:r>
        </a:p>
        <a:p xmlns:a="http://schemas.openxmlformats.org/drawingml/2006/main">
          <a:endParaRPr lang="en-US" sz="1100"/>
        </a:p>
      </cdr:txBody>
    </cdr:sp>
  </cdr:relSizeAnchor>
</c:userShapes>
</file>

<file path=xl/drawings/drawing15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6D7C4830-3B87-4900-8B4C-FDD529E81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4.xml><?xml version="1.0" encoding="utf-8"?>
<c:userShapes xmlns:c="http://schemas.openxmlformats.org/drawingml/2006/chart">
  <cdr:relSizeAnchor xmlns:cdr="http://schemas.openxmlformats.org/drawingml/2006/chartDrawing">
    <cdr:from>
      <cdr:x>0.00552</cdr:x>
      <cdr:y>0.00734</cdr:y>
    </cdr:from>
    <cdr:to>
      <cdr:x>0.4277</cdr:x>
      <cdr:y>0.19083</cdr:y>
    </cdr:to>
    <cdr:sp macro="" textlink="">
      <cdr:nvSpPr>
        <cdr:cNvPr id="2" name="TextBox 1">
          <a:extLst xmlns:a="http://schemas.openxmlformats.org/drawingml/2006/main">
            <a:ext uri="{FF2B5EF4-FFF2-40B4-BE49-F238E27FC236}">
              <a16:creationId xmlns:a16="http://schemas.microsoft.com/office/drawing/2014/main" id="{16052761-1DEA-2785-4ADF-6CC4C12BED4C}"/>
            </a:ext>
          </a:extLst>
        </cdr:cNvPr>
        <cdr:cNvSpPr txBox="1"/>
      </cdr:nvSpPr>
      <cdr:spPr>
        <a:xfrm xmlns:a="http://schemas.openxmlformats.org/drawingml/2006/main">
          <a:off x="50274" y="50800"/>
          <a:ext cx="3847039"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15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A356F91B-6FF2-4168-90F7-14BCF565B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6.xml><?xml version="1.0" encoding="utf-8"?>
<c:userShapes xmlns:c="http://schemas.openxmlformats.org/drawingml/2006/chart">
  <cdr:relSizeAnchor xmlns:cdr="http://schemas.openxmlformats.org/drawingml/2006/chartDrawing">
    <cdr:from>
      <cdr:x>0.00552</cdr:x>
      <cdr:y>0.00734</cdr:y>
    </cdr:from>
    <cdr:to>
      <cdr:x>0.37906</cdr:x>
      <cdr:y>0.19083</cdr:y>
    </cdr:to>
    <cdr:sp macro="" textlink="">
      <cdr:nvSpPr>
        <cdr:cNvPr id="2" name="TextBox 1">
          <a:extLst xmlns:a="http://schemas.openxmlformats.org/drawingml/2006/main">
            <a:ext uri="{FF2B5EF4-FFF2-40B4-BE49-F238E27FC236}">
              <a16:creationId xmlns:a16="http://schemas.microsoft.com/office/drawing/2014/main" id="{D38701D7-1BD7-1AB4-54AA-89E695C15C9B}"/>
            </a:ext>
          </a:extLst>
        </cdr:cNvPr>
        <cdr:cNvSpPr txBox="1"/>
      </cdr:nvSpPr>
      <cdr:spPr>
        <a:xfrm xmlns:a="http://schemas.openxmlformats.org/drawingml/2006/main">
          <a:off x="50603" y="50800"/>
          <a:ext cx="3426023"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GDP</a:t>
          </a:r>
        </a:p>
      </cdr:txBody>
    </cdr:sp>
  </cdr:relSizeAnchor>
</c:userShapes>
</file>

<file path=xl/drawings/drawing157.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22C03404-7A2B-4427-B3FE-2D4453114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8.xml><?xml version="1.0" encoding="utf-8"?>
<c:userShapes xmlns:c="http://schemas.openxmlformats.org/drawingml/2006/chart">
  <cdr:relSizeAnchor xmlns:cdr="http://schemas.openxmlformats.org/drawingml/2006/chartDrawing">
    <cdr:from>
      <cdr:x>0.00552</cdr:x>
      <cdr:y>0.00734</cdr:y>
    </cdr:from>
    <cdr:to>
      <cdr:x>0.47026</cdr:x>
      <cdr:y>0.19083</cdr:y>
    </cdr:to>
    <cdr:sp macro="" textlink="">
      <cdr:nvSpPr>
        <cdr:cNvPr id="2" name="TextBox 1">
          <a:extLst xmlns:a="http://schemas.openxmlformats.org/drawingml/2006/main">
            <a:ext uri="{FF2B5EF4-FFF2-40B4-BE49-F238E27FC236}">
              <a16:creationId xmlns:a16="http://schemas.microsoft.com/office/drawing/2014/main" id="{E91A7011-B936-467D-1726-279AC03CA649}"/>
            </a:ext>
          </a:extLst>
        </cdr:cNvPr>
        <cdr:cNvSpPr txBox="1"/>
      </cdr:nvSpPr>
      <cdr:spPr>
        <a:xfrm xmlns:a="http://schemas.openxmlformats.org/drawingml/2006/main">
          <a:off x="50830" y="51407"/>
          <a:ext cx="4281685" cy="128518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measures</a:t>
          </a:r>
        </a:p>
      </cdr:txBody>
    </cdr:sp>
  </cdr:relSizeAnchor>
</c:userShapes>
</file>

<file path=xl/drawings/drawing15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112033</xdr:rowOff>
    </xdr:to>
    <xdr:graphicFrame macro="">
      <xdr:nvGraphicFramePr>
        <xdr:cNvPr id="2" name="Chart 1">
          <a:extLst>
            <a:ext uri="{FF2B5EF4-FFF2-40B4-BE49-F238E27FC236}">
              <a16:creationId xmlns:a16="http://schemas.microsoft.com/office/drawing/2014/main" id="{735476F9-D846-4DC8-AACB-BE7660CBD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0.xml><?xml version="1.0" encoding="utf-8"?>
<c:userShapes xmlns:c="http://schemas.openxmlformats.org/drawingml/2006/chart">
  <cdr:relSizeAnchor xmlns:cdr="http://schemas.openxmlformats.org/drawingml/2006/chartDrawing">
    <cdr:from>
      <cdr:x>0.00552</cdr:x>
      <cdr:y>0.00734</cdr:y>
    </cdr:from>
    <cdr:to>
      <cdr:x>0.49324</cdr:x>
      <cdr:y>0.19083</cdr:y>
    </cdr:to>
    <cdr:sp macro="" textlink="">
      <cdr:nvSpPr>
        <cdr:cNvPr id="2" name="TextBox 1">
          <a:extLst xmlns:a="http://schemas.openxmlformats.org/drawingml/2006/main">
            <a:ext uri="{FF2B5EF4-FFF2-40B4-BE49-F238E27FC236}">
              <a16:creationId xmlns:a16="http://schemas.microsoft.com/office/drawing/2014/main" id="{C2A8A110-15CD-5C84-BD6A-747D6FB038C7}"/>
            </a:ext>
          </a:extLst>
        </cdr:cNvPr>
        <cdr:cNvSpPr txBox="1"/>
      </cdr:nvSpPr>
      <cdr:spPr>
        <a:xfrm xmlns:a="http://schemas.openxmlformats.org/drawingml/2006/main">
          <a:off x="50800" y="50800"/>
          <a:ext cx="449072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Number of measures</a:t>
          </a:r>
        </a:p>
      </cdr:txBody>
    </cdr:sp>
  </cdr:relSizeAnchor>
</c:userShapes>
</file>

<file path=xl/drawings/drawing161.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A514321F-561B-443B-89FE-B9591D3D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2.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74D95292-0E2C-6445-4C76-0634910B81D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163.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E87E28B7-AAFE-4ED3-BFC0-83C585304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4.xml><?xml version="1.0" encoding="utf-8"?>
<c:userShapes xmlns:c="http://schemas.openxmlformats.org/drawingml/2006/chart">
  <cdr:relSizeAnchor xmlns:cdr="http://schemas.openxmlformats.org/drawingml/2006/chartDrawing">
    <cdr:from>
      <cdr:x>0.00551</cdr:x>
      <cdr:y>0.00734</cdr:y>
    </cdr:from>
    <cdr:to>
      <cdr:x>0.19835</cdr:x>
      <cdr:y>0.19083</cdr:y>
    </cdr:to>
    <cdr:sp macro="" textlink="">
      <cdr:nvSpPr>
        <cdr:cNvPr id="2" name="TextBox 1">
          <a:extLst xmlns:a="http://schemas.openxmlformats.org/drawingml/2006/main">
            <a:ext uri="{FF2B5EF4-FFF2-40B4-BE49-F238E27FC236}">
              <a16:creationId xmlns:a16="http://schemas.microsoft.com/office/drawing/2014/main" id="{C5FE17A9-95FF-9F98-9538-EF28526EE4C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dr:relSizeAnchor xmlns:cdr="http://schemas.openxmlformats.org/drawingml/2006/chartDrawing">
    <cdr:from>
      <cdr:x>0.00552</cdr:x>
      <cdr:y>0.00734</cdr:y>
    </cdr:from>
    <cdr:to>
      <cdr:x>0.19855</cdr:x>
      <cdr:y>0.19083</cdr:y>
    </cdr:to>
    <cdr:sp macro="" textlink="">
      <cdr:nvSpPr>
        <cdr:cNvPr id="4" name="TextBox 3">
          <a:extLst xmlns:a="http://schemas.openxmlformats.org/drawingml/2006/main">
            <a:ext uri="{FF2B5EF4-FFF2-40B4-BE49-F238E27FC236}">
              <a16:creationId xmlns:a16="http://schemas.microsoft.com/office/drawing/2014/main" id="{E0416C3B-50CF-B79D-F3BB-3435DC2B4F2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6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7C5BD0E7-ADB4-46ED-8169-4CC2DDBF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6.xml><?xml version="1.0" encoding="utf-8"?>
<c:userShapes xmlns:c="http://schemas.openxmlformats.org/drawingml/2006/chart">
  <cdr:relSizeAnchor xmlns:cdr="http://schemas.openxmlformats.org/drawingml/2006/chartDrawing">
    <cdr:from>
      <cdr:x>0.00551</cdr:x>
      <cdr:y>0.00733</cdr:y>
    </cdr:from>
    <cdr:to>
      <cdr:x>0.19854</cdr:x>
      <cdr:y>0.19067</cdr:y>
    </cdr:to>
    <cdr:sp macro="" textlink="">
      <cdr:nvSpPr>
        <cdr:cNvPr id="2" name="TextBox 1">
          <a:extLst xmlns:a="http://schemas.openxmlformats.org/drawingml/2006/main">
            <a:ext uri="{FF2B5EF4-FFF2-40B4-BE49-F238E27FC236}">
              <a16:creationId xmlns:a16="http://schemas.microsoft.com/office/drawing/2014/main" id="{817CE63F-71C3-B713-4BC9-5AD2823F3D4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167.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CAEBE2DD-5994-45B5-A3ED-B9CAD775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50A3B743-56BD-550F-F7E7-6A12E820D41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16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3">
          <a:extLst>
            <a:ext uri="{FF2B5EF4-FFF2-40B4-BE49-F238E27FC236}">
              <a16:creationId xmlns:a16="http://schemas.microsoft.com/office/drawing/2014/main" id="{2F8E64DF-D5D5-4D1A-8F14-AE3B12064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0.xml><?xml version="1.0" encoding="utf-8"?>
<c:userShapes xmlns:c="http://schemas.openxmlformats.org/drawingml/2006/chart">
  <cdr:relSizeAnchor xmlns:cdr="http://schemas.openxmlformats.org/drawingml/2006/chartDrawing">
    <cdr:from>
      <cdr:x>0</cdr:x>
      <cdr:y>0</cdr:y>
    </cdr:from>
    <cdr:to>
      <cdr:x>0.41394</cdr:x>
      <cdr:y>0.08752</cdr:y>
    </cdr:to>
    <cdr:sp macro="" textlink="">
      <cdr:nvSpPr>
        <cdr:cNvPr id="2" name="TextBox 1">
          <a:extLst xmlns:a="http://schemas.openxmlformats.org/drawingml/2006/main">
            <a:ext uri="{FF2B5EF4-FFF2-40B4-BE49-F238E27FC236}">
              <a16:creationId xmlns:a16="http://schemas.microsoft.com/office/drawing/2014/main" id="{CC90D01B-9740-51E4-6C12-A04D78194886}"/>
            </a:ext>
          </a:extLst>
        </cdr:cNvPr>
        <cdr:cNvSpPr txBox="1"/>
      </cdr:nvSpPr>
      <cdr:spPr>
        <a:xfrm xmlns:a="http://schemas.openxmlformats.org/drawingml/2006/main">
          <a:off x="0" y="0"/>
          <a:ext cx="4006849" cy="56269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a:latin typeface="Arial" panose="020B0604020202020204" pitchFamily="34" charset="0"/>
            </a:rPr>
            <a:t>Percent</a:t>
          </a:r>
        </a:p>
        <a:p xmlns:a="http://schemas.openxmlformats.org/drawingml/2006/main">
          <a:endParaRPr lang="en-US" sz="3200">
            <a:latin typeface="Arial" panose="020B0604020202020204" pitchFamily="34" charset="0"/>
          </a:endParaRPr>
        </a:p>
      </cdr:txBody>
    </cdr:sp>
  </cdr:relSizeAnchor>
</c:userShapes>
</file>

<file path=xl/drawings/drawing17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0</xdr:colOff>
      <xdr:row>32</xdr:row>
      <xdr:rowOff>136071</xdr:rowOff>
    </xdr:to>
    <xdr:graphicFrame macro="">
      <xdr:nvGraphicFramePr>
        <xdr:cNvPr id="2" name="Chart 1">
          <a:extLst>
            <a:ext uri="{FF2B5EF4-FFF2-40B4-BE49-F238E27FC236}">
              <a16:creationId xmlns:a16="http://schemas.microsoft.com/office/drawing/2014/main" id="{6F21CFF8-2AFC-4E5B-BD96-199103B9B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2.xml><?xml version="1.0" encoding="utf-8"?>
<c:userShapes xmlns:c="http://schemas.openxmlformats.org/drawingml/2006/chart">
  <cdr:relSizeAnchor xmlns:cdr="http://schemas.openxmlformats.org/drawingml/2006/chartDrawing">
    <cdr:from>
      <cdr:x>0.01974</cdr:x>
      <cdr:y>0.01488</cdr:y>
    </cdr:from>
    <cdr:to>
      <cdr:x>0.29311</cdr:x>
      <cdr:y>0.10913</cdr:y>
    </cdr:to>
    <cdr:sp macro="" textlink="">
      <cdr:nvSpPr>
        <cdr:cNvPr id="2" name="TextBox 1">
          <a:extLst xmlns:a="http://schemas.openxmlformats.org/drawingml/2006/main">
            <a:ext uri="{FF2B5EF4-FFF2-40B4-BE49-F238E27FC236}">
              <a16:creationId xmlns:a16="http://schemas.microsoft.com/office/drawing/2014/main" id="{204D841A-8E70-B7BC-658B-5A40CF357C8A}"/>
            </a:ext>
          </a:extLst>
        </cdr:cNvPr>
        <cdr:cNvSpPr txBox="1"/>
      </cdr:nvSpPr>
      <cdr:spPr>
        <a:xfrm xmlns:a="http://schemas.openxmlformats.org/drawingml/2006/main">
          <a:off x="183696" y="102054"/>
          <a:ext cx="2544536" cy="6463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0.00099</cdr:y>
    </cdr:from>
    <cdr:to>
      <cdr:x>0.62643</cdr:x>
      <cdr:y>0.13095</cdr:y>
    </cdr:to>
    <cdr:sp macro="" textlink="">
      <cdr:nvSpPr>
        <cdr:cNvPr id="3" name="TextBox 2">
          <a:extLst xmlns:a="http://schemas.openxmlformats.org/drawingml/2006/main">
            <a:ext uri="{FF2B5EF4-FFF2-40B4-BE49-F238E27FC236}">
              <a16:creationId xmlns:a16="http://schemas.microsoft.com/office/drawing/2014/main" id="{DD398CFA-F607-F9DC-4E19-AA8C55334472}"/>
            </a:ext>
          </a:extLst>
        </cdr:cNvPr>
        <cdr:cNvSpPr txBox="1"/>
      </cdr:nvSpPr>
      <cdr:spPr>
        <a:xfrm xmlns:a="http://schemas.openxmlformats.org/drawingml/2006/main">
          <a:off x="0" y="6804"/>
          <a:ext cx="5830661" cy="8912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Percent of value added</a:t>
          </a:r>
        </a:p>
      </cdr:txBody>
    </cdr:sp>
  </cdr:relSizeAnchor>
</c:userShapes>
</file>

<file path=xl/drawings/drawing173.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564696</xdr:colOff>
      <xdr:row>32</xdr:row>
      <xdr:rowOff>108857</xdr:rowOff>
    </xdr:to>
    <xdr:graphicFrame macro="">
      <xdr:nvGraphicFramePr>
        <xdr:cNvPr id="2" name="Chart 1">
          <a:extLst>
            <a:ext uri="{FF2B5EF4-FFF2-40B4-BE49-F238E27FC236}">
              <a16:creationId xmlns:a16="http://schemas.microsoft.com/office/drawing/2014/main" id="{3DAF55B6-A244-4079-955A-81072F0E3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4.xml><?xml version="1.0" encoding="utf-8"?>
<c:userShapes xmlns:c="http://schemas.openxmlformats.org/drawingml/2006/chart">
  <cdr:relSizeAnchor xmlns:cdr="http://schemas.openxmlformats.org/drawingml/2006/chartDrawing">
    <cdr:from>
      <cdr:x>0</cdr:x>
      <cdr:y>0.00316</cdr:y>
    </cdr:from>
    <cdr:to>
      <cdr:x>0.27449</cdr:x>
      <cdr:y>0.1028</cdr:y>
    </cdr:to>
    <cdr:sp macro="" textlink="">
      <cdr:nvSpPr>
        <cdr:cNvPr id="2" name="TextBox 1">
          <a:extLst xmlns:a="http://schemas.openxmlformats.org/drawingml/2006/main">
            <a:ext uri="{FF2B5EF4-FFF2-40B4-BE49-F238E27FC236}">
              <a16:creationId xmlns:a16="http://schemas.microsoft.com/office/drawing/2014/main" id="{D65610A3-C0B6-BF11-B299-A30DD6C4ECC1}"/>
            </a:ext>
          </a:extLst>
        </cdr:cNvPr>
        <cdr:cNvSpPr txBox="1"/>
      </cdr:nvSpPr>
      <cdr:spPr>
        <a:xfrm xmlns:a="http://schemas.openxmlformats.org/drawingml/2006/main">
          <a:off x="0" y="21677"/>
          <a:ext cx="2509937" cy="68332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GeoC index</a:t>
          </a:r>
        </a:p>
      </cdr:txBody>
    </cdr:sp>
  </cdr:relSizeAnchor>
  <cdr:relSizeAnchor xmlns:cdr="http://schemas.openxmlformats.org/drawingml/2006/chartDrawing">
    <cdr:from>
      <cdr:x>0.00552</cdr:x>
      <cdr:y>0.00735</cdr:y>
    </cdr:from>
    <cdr:to>
      <cdr:x>0.19855</cdr:x>
      <cdr:y>0.191</cdr:y>
    </cdr:to>
    <cdr:sp macro="" textlink="">
      <cdr:nvSpPr>
        <cdr:cNvPr id="3" name="TextBox 2">
          <a:extLst xmlns:a="http://schemas.openxmlformats.org/drawingml/2006/main">
            <a:ext uri="{FF2B5EF4-FFF2-40B4-BE49-F238E27FC236}">
              <a16:creationId xmlns:a16="http://schemas.microsoft.com/office/drawing/2014/main" id="{46223F6C-1EBC-5735-965B-74E6E6AA172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600">
            <a:latin typeface="Arial" panose="020B0604020202020204" pitchFamily="34" charset="0"/>
          </a:endParaRPr>
        </a:p>
      </cdr:txBody>
    </cdr:sp>
  </cdr:relSizeAnchor>
</c:userShapes>
</file>

<file path=xl/drawings/drawing17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564696</xdr:colOff>
      <xdr:row>32</xdr:row>
      <xdr:rowOff>108858</xdr:rowOff>
    </xdr:to>
    <xdr:graphicFrame macro="">
      <xdr:nvGraphicFramePr>
        <xdr:cNvPr id="2" name="Chart 1">
          <a:extLst>
            <a:ext uri="{FF2B5EF4-FFF2-40B4-BE49-F238E27FC236}">
              <a16:creationId xmlns:a16="http://schemas.microsoft.com/office/drawing/2014/main" id="{5D4814EA-3771-42C3-BB99-00FA59A5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ustom 1">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Custom 1">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Custom 1">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Custom 1">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7.xml><?xml version="1.0" encoding="utf-8"?>
<a:themeOverride xmlns:a="http://schemas.openxmlformats.org/drawingml/2006/main">
  <a:clrScheme name="DECPG">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8.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9.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1.xml><?xml version="1.0" encoding="utf-8"?>
<a:themeOverride xmlns:a="http://schemas.openxmlformats.org/drawingml/2006/main">
  <a:clrScheme name="SARCE">
    <a:dk1>
      <a:sysClr val="windowText" lastClr="000000"/>
    </a:dk1>
    <a:lt1>
      <a:srgbClr val="FFFFFF"/>
    </a:lt1>
    <a:dk2>
      <a:srgbClr val="002345"/>
    </a:dk2>
    <a:lt2>
      <a:srgbClr val="EB1C2D"/>
    </a:lt2>
    <a:accent1>
      <a:srgbClr val="F78D28"/>
    </a:accent1>
    <a:accent2>
      <a:srgbClr val="FDB714"/>
    </a:accent2>
    <a:accent3>
      <a:srgbClr val="00AB51"/>
    </a:accent3>
    <a:accent4>
      <a:srgbClr val="009ABE"/>
    </a:accent4>
    <a:accent5>
      <a:srgbClr val="007D99"/>
    </a:accent5>
    <a:accent6>
      <a:srgbClr val="FFDD4C"/>
    </a:accent6>
    <a:hlink>
      <a:srgbClr val="872B90"/>
    </a:hlink>
    <a:folHlink>
      <a:srgbClr val="00A99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17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285A-EF96-4780-B94A-040457CA4098}">
  <sheetPr>
    <tabColor theme="2"/>
  </sheetPr>
  <dimension ref="A1:A121"/>
  <sheetViews>
    <sheetView topLeftCell="A60" zoomScale="70" zoomScaleNormal="70" workbookViewId="0">
      <selection activeCell="A84" sqref="A84"/>
    </sheetView>
  </sheetViews>
  <sheetFormatPr defaultColWidth="8.58203125" defaultRowHeight="17.5" x14ac:dyDescent="0.35"/>
  <cols>
    <col min="1" max="1" width="60.58203125" style="2" customWidth="1"/>
    <col min="2" max="16384" width="8.58203125" style="2"/>
  </cols>
  <sheetData>
    <row r="1" spans="1:1" ht="18" x14ac:dyDescent="0.4">
      <c r="A1" s="31" t="s">
        <v>607</v>
      </c>
    </row>
    <row r="2" spans="1:1" x14ac:dyDescent="0.35">
      <c r="A2" s="32" t="s">
        <v>7</v>
      </c>
    </row>
    <row r="3" spans="1:1" x14ac:dyDescent="0.35">
      <c r="A3" s="32" t="s">
        <v>9</v>
      </c>
    </row>
    <row r="4" spans="1:1" x14ac:dyDescent="0.35">
      <c r="A4" s="32" t="s">
        <v>17</v>
      </c>
    </row>
    <row r="5" spans="1:1" x14ac:dyDescent="0.35">
      <c r="A5" s="32" t="s">
        <v>20</v>
      </c>
    </row>
    <row r="6" spans="1:1" x14ac:dyDescent="0.35">
      <c r="A6" s="32" t="s">
        <v>31</v>
      </c>
    </row>
    <row r="7" spans="1:1" x14ac:dyDescent="0.35">
      <c r="A7" s="32" t="s">
        <v>44</v>
      </c>
    </row>
    <row r="8" spans="1:1" x14ac:dyDescent="0.35">
      <c r="A8" s="32"/>
    </row>
    <row r="9" spans="1:1" ht="18" x14ac:dyDescent="0.4">
      <c r="A9" s="31" t="s">
        <v>608</v>
      </c>
    </row>
    <row r="10" spans="1:1" x14ac:dyDescent="0.35">
      <c r="A10" s="32" t="s">
        <v>51</v>
      </c>
    </row>
    <row r="11" spans="1:1" x14ac:dyDescent="0.35">
      <c r="A11" s="32" t="s">
        <v>56</v>
      </c>
    </row>
    <row r="12" spans="1:1" x14ac:dyDescent="0.35">
      <c r="A12" s="32" t="s">
        <v>63</v>
      </c>
    </row>
    <row r="13" spans="1:1" x14ac:dyDescent="0.35">
      <c r="A13" s="32" t="s">
        <v>68</v>
      </c>
    </row>
    <row r="14" spans="1:1" x14ac:dyDescent="0.35">
      <c r="A14" s="32"/>
    </row>
    <row r="15" spans="1:1" ht="18" x14ac:dyDescent="0.4">
      <c r="A15" s="31" t="s">
        <v>609</v>
      </c>
    </row>
    <row r="16" spans="1:1" x14ac:dyDescent="0.35">
      <c r="A16" s="32" t="s">
        <v>75</v>
      </c>
    </row>
    <row r="17" spans="1:1" x14ac:dyDescent="0.35">
      <c r="A17" s="32" t="s">
        <v>114</v>
      </c>
    </row>
    <row r="18" spans="1:1" x14ac:dyDescent="0.35">
      <c r="A18" s="32" t="s">
        <v>116</v>
      </c>
    </row>
    <row r="19" spans="1:1" x14ac:dyDescent="0.35">
      <c r="A19" s="32" t="s">
        <v>118</v>
      </c>
    </row>
    <row r="20" spans="1:1" x14ac:dyDescent="0.35">
      <c r="A20" s="32" t="s">
        <v>122</v>
      </c>
    </row>
    <row r="21" spans="1:1" x14ac:dyDescent="0.35">
      <c r="A21" s="32" t="s">
        <v>127</v>
      </c>
    </row>
    <row r="22" spans="1:1" x14ac:dyDescent="0.35">
      <c r="A22" s="32"/>
    </row>
    <row r="23" spans="1:1" ht="18" x14ac:dyDescent="0.4">
      <c r="A23" s="31" t="s">
        <v>610</v>
      </c>
    </row>
    <row r="24" spans="1:1" x14ac:dyDescent="0.35">
      <c r="A24" s="32" t="s">
        <v>135</v>
      </c>
    </row>
    <row r="25" spans="1:1" x14ac:dyDescent="0.35">
      <c r="A25" s="32" t="s">
        <v>139</v>
      </c>
    </row>
    <row r="26" spans="1:1" x14ac:dyDescent="0.35">
      <c r="A26" s="32" t="s">
        <v>145</v>
      </c>
    </row>
    <row r="27" spans="1:1" x14ac:dyDescent="0.35">
      <c r="A27" s="32" t="s">
        <v>148</v>
      </c>
    </row>
    <row r="28" spans="1:1" x14ac:dyDescent="0.35">
      <c r="A28" s="32" t="s">
        <v>157</v>
      </c>
    </row>
    <row r="29" spans="1:1" x14ac:dyDescent="0.35">
      <c r="A29" s="32" t="s">
        <v>161</v>
      </c>
    </row>
    <row r="30" spans="1:1" x14ac:dyDescent="0.35">
      <c r="A30" s="32"/>
    </row>
    <row r="31" spans="1:1" ht="18" x14ac:dyDescent="0.4">
      <c r="A31" s="31" t="s">
        <v>611</v>
      </c>
    </row>
    <row r="32" spans="1:1" x14ac:dyDescent="0.35">
      <c r="A32" s="32" t="s">
        <v>165</v>
      </c>
    </row>
    <row r="33" spans="1:1" x14ac:dyDescent="0.35">
      <c r="A33" s="32" t="s">
        <v>171</v>
      </c>
    </row>
    <row r="34" spans="1:1" x14ac:dyDescent="0.35">
      <c r="A34" s="32" t="s">
        <v>177</v>
      </c>
    </row>
    <row r="35" spans="1:1" x14ac:dyDescent="0.35">
      <c r="A35" s="32" t="s">
        <v>178</v>
      </c>
    </row>
    <row r="36" spans="1:1" x14ac:dyDescent="0.35">
      <c r="A36" s="32" t="s">
        <v>182</v>
      </c>
    </row>
    <row r="37" spans="1:1" x14ac:dyDescent="0.35">
      <c r="A37" s="32" t="s">
        <v>187</v>
      </c>
    </row>
    <row r="38" spans="1:1" x14ac:dyDescent="0.35">
      <c r="A38" s="32"/>
    </row>
    <row r="39" spans="1:1" ht="18" x14ac:dyDescent="0.4">
      <c r="A39" s="31" t="s">
        <v>612</v>
      </c>
    </row>
    <row r="40" spans="1:1" x14ac:dyDescent="0.35">
      <c r="A40" s="32" t="s">
        <v>191</v>
      </c>
    </row>
    <row r="41" spans="1:1" x14ac:dyDescent="0.35">
      <c r="A41" s="32" t="s">
        <v>196</v>
      </c>
    </row>
    <row r="42" spans="1:1" x14ac:dyDescent="0.35">
      <c r="A42" s="32" t="s">
        <v>209</v>
      </c>
    </row>
    <row r="43" spans="1:1" x14ac:dyDescent="0.35">
      <c r="A43" s="32" t="s">
        <v>212</v>
      </c>
    </row>
    <row r="44" spans="1:1" x14ac:dyDescent="0.35">
      <c r="A44" s="32" t="s">
        <v>216</v>
      </c>
    </row>
    <row r="45" spans="1:1" x14ac:dyDescent="0.35">
      <c r="A45" s="32" t="s">
        <v>226</v>
      </c>
    </row>
    <row r="46" spans="1:1" x14ac:dyDescent="0.35">
      <c r="A46" s="32"/>
    </row>
    <row r="47" spans="1:1" ht="18" x14ac:dyDescent="0.4">
      <c r="A47" s="31" t="s">
        <v>613</v>
      </c>
    </row>
    <row r="48" spans="1:1" x14ac:dyDescent="0.35">
      <c r="A48" s="32" t="s">
        <v>227</v>
      </c>
    </row>
    <row r="49" spans="1:1" x14ac:dyDescent="0.35">
      <c r="A49" s="32" t="s">
        <v>228</v>
      </c>
    </row>
    <row r="50" spans="1:1" x14ac:dyDescent="0.35">
      <c r="A50" s="32" t="s">
        <v>236</v>
      </c>
    </row>
    <row r="51" spans="1:1" x14ac:dyDescent="0.35">
      <c r="A51" s="32" t="s">
        <v>242</v>
      </c>
    </row>
    <row r="52" spans="1:1" x14ac:dyDescent="0.35">
      <c r="A52" s="32" t="s">
        <v>246</v>
      </c>
    </row>
    <row r="53" spans="1:1" x14ac:dyDescent="0.35">
      <c r="A53" s="32" t="s">
        <v>250</v>
      </c>
    </row>
    <row r="54" spans="1:1" x14ac:dyDescent="0.35">
      <c r="A54" s="32"/>
    </row>
    <row r="55" spans="1:1" ht="18" x14ac:dyDescent="0.4">
      <c r="A55" s="31" t="s">
        <v>614</v>
      </c>
    </row>
    <row r="56" spans="1:1" x14ac:dyDescent="0.35">
      <c r="A56" s="32" t="s">
        <v>252</v>
      </c>
    </row>
    <row r="57" spans="1:1" x14ac:dyDescent="0.35">
      <c r="A57" s="32" t="s">
        <v>600</v>
      </c>
    </row>
    <row r="58" spans="1:1" x14ac:dyDescent="0.35">
      <c r="A58" s="32" t="s">
        <v>259</v>
      </c>
    </row>
    <row r="59" spans="1:1" x14ac:dyDescent="0.35">
      <c r="A59" s="32" t="s">
        <v>262</v>
      </c>
    </row>
    <row r="60" spans="1:1" x14ac:dyDescent="0.35">
      <c r="A60" s="32" t="s">
        <v>268</v>
      </c>
    </row>
    <row r="61" spans="1:1" x14ac:dyDescent="0.35">
      <c r="A61" s="32" t="s">
        <v>271</v>
      </c>
    </row>
    <row r="62" spans="1:1" x14ac:dyDescent="0.35">
      <c r="A62" s="32"/>
    </row>
    <row r="63" spans="1:1" ht="18" x14ac:dyDescent="0.4">
      <c r="A63" s="31" t="s">
        <v>615</v>
      </c>
    </row>
    <row r="64" spans="1:1" x14ac:dyDescent="0.35">
      <c r="A64" s="32" t="s">
        <v>273</v>
      </c>
    </row>
    <row r="65" spans="1:1" x14ac:dyDescent="0.35">
      <c r="A65" s="32" t="s">
        <v>275</v>
      </c>
    </row>
    <row r="66" spans="1:1" x14ac:dyDescent="0.35">
      <c r="A66" s="32" t="s">
        <v>277</v>
      </c>
    </row>
    <row r="67" spans="1:1" x14ac:dyDescent="0.35">
      <c r="A67" s="32" t="s">
        <v>279</v>
      </c>
    </row>
    <row r="68" spans="1:1" x14ac:dyDescent="0.35">
      <c r="A68" s="32" t="s">
        <v>281</v>
      </c>
    </row>
    <row r="69" spans="1:1" x14ac:dyDescent="0.35">
      <c r="A69" s="32" t="s">
        <v>283</v>
      </c>
    </row>
    <row r="70" spans="1:1" x14ac:dyDescent="0.35">
      <c r="A70" s="32"/>
    </row>
    <row r="71" spans="1:1" ht="18" x14ac:dyDescent="0.4">
      <c r="A71" s="31" t="s">
        <v>616</v>
      </c>
    </row>
    <row r="72" spans="1:1" x14ac:dyDescent="0.35">
      <c r="A72" s="32" t="s">
        <v>285</v>
      </c>
    </row>
    <row r="73" spans="1:1" x14ac:dyDescent="0.35">
      <c r="A73" s="32" t="s">
        <v>287</v>
      </c>
    </row>
    <row r="74" spans="1:1" x14ac:dyDescent="0.35">
      <c r="A74" s="32" t="s">
        <v>289</v>
      </c>
    </row>
    <row r="75" spans="1:1" x14ac:dyDescent="0.35">
      <c r="A75" s="32" t="s">
        <v>606</v>
      </c>
    </row>
    <row r="76" spans="1:1" x14ac:dyDescent="0.35">
      <c r="A76" s="32"/>
    </row>
    <row r="77" spans="1:1" ht="18" x14ac:dyDescent="0.4">
      <c r="A77" s="31" t="s">
        <v>617</v>
      </c>
    </row>
    <row r="78" spans="1:1" x14ac:dyDescent="0.35">
      <c r="A78" s="32" t="s">
        <v>292</v>
      </c>
    </row>
    <row r="79" spans="1:1" x14ac:dyDescent="0.35">
      <c r="A79" s="32" t="s">
        <v>294</v>
      </c>
    </row>
    <row r="80" spans="1:1" x14ac:dyDescent="0.35">
      <c r="A80" s="32"/>
    </row>
    <row r="81" spans="1:1" ht="18" x14ac:dyDescent="0.4">
      <c r="A81" s="31" t="s">
        <v>618</v>
      </c>
    </row>
    <row r="82" spans="1:1" x14ac:dyDescent="0.35">
      <c r="A82" s="32" t="s">
        <v>298</v>
      </c>
    </row>
    <row r="83" spans="1:1" x14ac:dyDescent="0.35">
      <c r="A83" s="32" t="s">
        <v>300</v>
      </c>
    </row>
    <row r="84" spans="1:1" x14ac:dyDescent="0.35">
      <c r="A84" s="32" t="s">
        <v>646</v>
      </c>
    </row>
    <row r="85" spans="1:1" x14ac:dyDescent="0.35">
      <c r="A85" s="32" t="s">
        <v>302</v>
      </c>
    </row>
    <row r="86" spans="1:1" x14ac:dyDescent="0.35">
      <c r="A86" s="32"/>
    </row>
    <row r="87" spans="1:1" ht="18" x14ac:dyDescent="0.4">
      <c r="A87" s="31" t="s">
        <v>619</v>
      </c>
    </row>
    <row r="88" spans="1:1" x14ac:dyDescent="0.35">
      <c r="A88" s="32" t="s">
        <v>303</v>
      </c>
    </row>
    <row r="89" spans="1:1" x14ac:dyDescent="0.35">
      <c r="A89" s="32" t="s">
        <v>305</v>
      </c>
    </row>
    <row r="90" spans="1:1" x14ac:dyDescent="0.35">
      <c r="A90" s="32" t="s">
        <v>307</v>
      </c>
    </row>
    <row r="91" spans="1:1" x14ac:dyDescent="0.35">
      <c r="A91" s="32" t="s">
        <v>309</v>
      </c>
    </row>
    <row r="92" spans="1:1" x14ac:dyDescent="0.35">
      <c r="A92" s="32" t="s">
        <v>311</v>
      </c>
    </row>
    <row r="93" spans="1:1" x14ac:dyDescent="0.35">
      <c r="A93" s="32" t="s">
        <v>496</v>
      </c>
    </row>
    <row r="94" spans="1:1" x14ac:dyDescent="0.35">
      <c r="A94" s="32"/>
    </row>
    <row r="95" spans="1:1" ht="18" x14ac:dyDescent="0.4">
      <c r="A95" s="31" t="s">
        <v>620</v>
      </c>
    </row>
    <row r="96" spans="1:1" x14ac:dyDescent="0.35">
      <c r="A96" s="32" t="s">
        <v>274</v>
      </c>
    </row>
    <row r="97" spans="1:1" x14ac:dyDescent="0.35">
      <c r="A97" s="32" t="s">
        <v>276</v>
      </c>
    </row>
    <row r="98" spans="1:1" x14ac:dyDescent="0.35">
      <c r="A98" s="32" t="s">
        <v>278</v>
      </c>
    </row>
    <row r="99" spans="1:1" x14ac:dyDescent="0.35">
      <c r="A99" s="32" t="s">
        <v>280</v>
      </c>
    </row>
    <row r="100" spans="1:1" x14ac:dyDescent="0.35">
      <c r="A100" s="32" t="s">
        <v>282</v>
      </c>
    </row>
    <row r="101" spans="1:1" x14ac:dyDescent="0.35">
      <c r="A101" s="32" t="s">
        <v>284</v>
      </c>
    </row>
    <row r="102" spans="1:1" x14ac:dyDescent="0.35">
      <c r="A102" s="32"/>
    </row>
    <row r="103" spans="1:1" ht="18" x14ac:dyDescent="0.4">
      <c r="A103" s="31" t="s">
        <v>621</v>
      </c>
    </row>
    <row r="104" spans="1:1" x14ac:dyDescent="0.35">
      <c r="A104" s="32" t="s">
        <v>286</v>
      </c>
    </row>
    <row r="105" spans="1:1" x14ac:dyDescent="0.35">
      <c r="A105" s="32" t="s">
        <v>288</v>
      </c>
    </row>
    <row r="106" spans="1:1" x14ac:dyDescent="0.35">
      <c r="A106" s="32" t="s">
        <v>290</v>
      </c>
    </row>
    <row r="107" spans="1:1" x14ac:dyDescent="0.35">
      <c r="A107" s="32" t="s">
        <v>291</v>
      </c>
    </row>
    <row r="108" spans="1:1" x14ac:dyDescent="0.35">
      <c r="A108" s="32"/>
    </row>
    <row r="109" spans="1:1" ht="18" x14ac:dyDescent="0.4">
      <c r="A109" s="31" t="s">
        <v>622</v>
      </c>
    </row>
    <row r="110" spans="1:1" x14ac:dyDescent="0.35">
      <c r="A110" s="32" t="s">
        <v>293</v>
      </c>
    </row>
    <row r="111" spans="1:1" x14ac:dyDescent="0.35">
      <c r="A111" s="32" t="s">
        <v>295</v>
      </c>
    </row>
    <row r="112" spans="1:1" x14ac:dyDescent="0.35">
      <c r="A112" s="32" t="s">
        <v>296</v>
      </c>
    </row>
    <row r="113" spans="1:1" x14ac:dyDescent="0.35">
      <c r="A113" s="32" t="s">
        <v>297</v>
      </c>
    </row>
    <row r="114" spans="1:1" x14ac:dyDescent="0.35">
      <c r="A114" s="32" t="s">
        <v>299</v>
      </c>
    </row>
    <row r="115" spans="1:1" x14ac:dyDescent="0.35">
      <c r="A115" s="32" t="s">
        <v>301</v>
      </c>
    </row>
    <row r="116" spans="1:1" x14ac:dyDescent="0.35">
      <c r="A116" s="32"/>
    </row>
    <row r="117" spans="1:1" ht="18" x14ac:dyDescent="0.4">
      <c r="A117" s="31" t="s">
        <v>623</v>
      </c>
    </row>
    <row r="118" spans="1:1" x14ac:dyDescent="0.35">
      <c r="A118" s="32" t="s">
        <v>304</v>
      </c>
    </row>
    <row r="119" spans="1:1" x14ac:dyDescent="0.35">
      <c r="A119" s="32" t="s">
        <v>306</v>
      </c>
    </row>
    <row r="120" spans="1:1" x14ac:dyDescent="0.35">
      <c r="A120" s="32" t="s">
        <v>308</v>
      </c>
    </row>
    <row r="121" spans="1:1" x14ac:dyDescent="0.35">
      <c r="A121" s="32" t="s">
        <v>310</v>
      </c>
    </row>
  </sheetData>
  <hyperlinks>
    <hyperlink ref="A2" location="'1.1A'!A1" tooltip="Click to go to sheet 1.1A" display="Figure 1.1.A. Output growth" xr:uid="{06BD4F6C-C4F9-4DD7-BD74-5BCB2491EAB1}"/>
    <hyperlink ref="A3" location="'1.1B'!A1" tooltip="Click to go to sheet 1.1B" display="Figure 1.2.B. Bank claims on government" xr:uid="{CE67AF44-0476-4BBC-A55E-42846A231B23}"/>
    <hyperlink ref="A4" location="'1.1C'!A1" tooltip="Click to go to sheet 1.1C" display="Figure 1.1.C. Relative wealth, by temperature in urban and rural areas in South Asia" xr:uid="{842923E2-045D-4637-B346-4B99B1CE4AF6}"/>
    <hyperlink ref="A5" location="'1.1D'!A1" tooltip="Click to go to sheet 1.1D" display="Figure 1.1.D. Openness to global trade, banking, and investment" xr:uid="{DE5D04FD-595B-42A9-9E82-5336A6A8BBE5}"/>
    <hyperlink ref="A6" location="'1.1E'!A1" tooltip="Click to go to sheet 1.1E" display="Figure 1.1.E. Female labor force participation" xr:uid="{FC61902A-E5A3-49AB-859A-AA4BB828482F}"/>
    <hyperlink ref="A7" location="'1.1F'!A1" tooltip="Click to go to sheet 1.1F" display="Figure 1.1.F. Firms' size and share of young among small firms" xr:uid="{7A935279-601F-4E11-A1B0-9023BC1D9C5C}"/>
    <hyperlink ref="A10" location="'1.2A'!A1" tooltip="Click to go to sheet 1.2A" display="Figure 1.2.A. Global manufacturing and services PMI" xr:uid="{C2C4FE2E-D3FA-44DA-B555-01600C6E4230}"/>
    <hyperlink ref="A11" location="'1.2B'!A1" tooltip="Click to go to sheet 1.2B" display="Figure 1.2.B. Consensus forecasts" xr:uid="{7238CEAD-BDED-4714-A938-1FB6376890C7}"/>
    <hyperlink ref="A12" location="'1.2C'!A1" tooltip="Click to go to sheet 1.2C" display="Figure 1.2.C. Likelihood of U.S. policy interest rate by end-2024" xr:uid="{F280C8DC-3142-41E6-8D37-85218CCF91DA}"/>
    <hyperlink ref="A13" location="'1.2D'!A1" tooltip="Click to go to sheet 1.2D" display="Figure 1.2.D. Economic surprise index, 2024" xr:uid="{E3D549B7-BF18-422E-8CE7-F7E5F8C0F5F1}"/>
    <hyperlink ref="A16" location="'1.3A'!A1" tooltip="Click to go to sheet 1.3A" display="Figure 1.3.A. Manufacturing PMI" xr:uid="{BC8613CE-CF74-431D-8864-08182C79054C}"/>
    <hyperlink ref="A17" location="'1.3B'!A1" tooltip="Click to go to sheet 1.3B" display="Figure 1.3.B. Merchandise export growth" xr:uid="{36ADAFE2-3DBA-4474-BED9-36C48E2C6AE4}"/>
    <hyperlink ref="A18" location="'1.3C'!A1" tooltip="Click to go to sheet 1.3C" display="Figure 1.3.C. India: Manufacturing and services PMI" xr:uid="{7225D0CD-7B54-4696-99F2-9CE4C1FE3972}"/>
    <hyperlink ref="A19" location="'1.3D'!A1" tooltip="Click to go to sheet 1.3D" display="Figure 1.3.D. Consumer sentiment" xr:uid="{4F2CDDDE-52AF-4A4B-8256-E4D2B37C1D9A}"/>
    <hyperlink ref="A20" location="'1.3E'!A1" tooltip="Click to go to sheet 1.3E" display="Figure 1.3.E. Tourist arrivals" xr:uid="{F1ED87D1-D1FB-4154-89C3-2786605192CB}"/>
    <hyperlink ref="A21" location="'1.3F'!A1" tooltip="Click to go to sheet 1.3F" display="Figure 1.3.F. Tourist spending" xr:uid="{70A2F8CC-AEE6-41CF-AE49-649194E1DA68}"/>
    <hyperlink ref="A24" location="'1.4A'!A1" tooltip="Click to go to sheet 1.4A" display="Figure 1.4.A. Headline CPI inflation" xr:uid="{E96D3FC4-D273-4759-920D-DDA060EF204A}"/>
    <hyperlink ref="A25" location="'1.4B'!A1" tooltip="Click to go to sheet 1.4B" display="Figure 1.4.B. Global commodity prices" xr:uid="{568D3D92-8D6F-435A-94C9-C32421310B18}"/>
    <hyperlink ref="A26" location="'1.4C'!A1" tooltip="Click to go to sheet 1.4C" display="Figure 1.4.C. Monetary policy rates" xr:uid="{A18D634E-781C-4192-B19A-A27561F9DC2C}"/>
    <hyperlink ref="A27" location="'1.4D'!A1" tooltip="Click to go to sheet 1.4D" display="Figure 1.4.D. Headline CPI inflation in South Asia, latest" xr:uid="{17EAE44C-D950-43C6-A9B4-E8D97FECC7C6}"/>
    <hyperlink ref="A28" location="'1.4E'!A1" tooltip="Click to go to sheet 1.4E" display="Figure 1.4.E. Currency depreciation against the U.S. dollar" xr:uid="{7282EA3F-A48A-4200-8AFC-CB2CCB1D05D4}"/>
    <hyperlink ref="A29" location="'1.4F'!A1" tooltip="Click to go to sheet 1.4F" display="Figure 1.4.F. South Asia: Monetary policy rates" xr:uid="{DE804912-3C3C-44C3-81FE-7E5744FFD5A1}"/>
    <hyperlink ref="A32" location="'1.5A'!A1" tooltip="Click to go to sheet 1.5A" display="Figure 1.5.A. U.S. financial conditions and stock market volatility" xr:uid="{5005D99B-6F96-47CE-9198-402B534BDD81}"/>
    <hyperlink ref="A33" location="'1.5B'!A1" tooltip="Click to go to sheet 1.5B" display="Figure 1.5.B. U.S. Treasury yields" xr:uid="{D2E1B68A-BFC6-44AC-A1AD-EE4C5EB17765}"/>
    <hyperlink ref="A34" location="'1.5C'!A1" tooltip="Click to go to sheet 1.5C" display="Figure 1.5.C. EMDE interest rates and currency" xr:uid="{7E5F60AF-FB65-49FA-BCB7-8E066CE5AB17}"/>
    <hyperlink ref="A35" location="'1.5D'!A1" tooltip="Click to go to sheet 1.5D" display="Figure 1.5.D. Exchange rates against the U.S. dollar" xr:uid="{67172446-B8AE-46F3-B7DC-A1CDB1B30734}"/>
    <hyperlink ref="A36" location="'1.5E'!A1" tooltip="Click to go to sheet 1.5E" display="Figure 1.5.E. Real monetary policy rates" xr:uid="{D900F6F4-E272-4893-923D-11BFD524156B}"/>
    <hyperlink ref="A37" location="'1.5F'!A1" tooltip="Click to go to sheet 1.5F" display="Figure 1.5.F. Private sector credit growth" xr:uid="{FE220D38-D496-48B7-A01A-C3E03DBE99B5}"/>
    <hyperlink ref="A40" location="'1.6A'!A1" tooltip="Click to go to sheet 1.6A" display="Figure 1.6.A. Global PMI for new export orders" xr:uid="{6AA3055E-511E-4EEE-8A2D-26B31586E819}"/>
    <hyperlink ref="A41" location="'1.6B'!A1" tooltip="Click to go to sheet 1.6B" display="Figure 1.6.B. Global trade growth" xr:uid="{638F36BD-E8F1-4BFF-9D82-CE5410AE1F1B}"/>
    <hyperlink ref="A42" location="'1.6C'!A1" tooltip="Click to go to sheet 1.6C" display="Figure 1.6.C. Remittance inflow" xr:uid="{F553C76E-9C82-4D94-A0D4-C7EC291CB8FF}"/>
    <hyperlink ref="A43" location="'1.6D'!A1" tooltip="Click to go to sheet 1.6D" display="Figure 1.6.D. FDI inflows" xr:uid="{4DC6B95D-0687-4F82-8A50-4A3A5A47C5DF}"/>
    <hyperlink ref="A44" location="'1.6E'!A1" tooltip="Click to go to sheet 1.6E" display="Figure 1.6.E. Net portfolio investment inflows" xr:uid="{B34B3D0B-476E-4AE4-B490-03403E65C6FC}"/>
    <hyperlink ref="A45" location="'1.6F'!A1" tooltip="Click to go to sheet 1.6F" display="Figure 1.6.F. International reserves" xr:uid="{1CBCD410-E414-42EC-A237-34F295FEDE84}"/>
    <hyperlink ref="A48" location="'1.7A'!A1" tooltip="Click to go to sheet 1.7A" display="Figure 1.7.A. Output growth" xr:uid="{875A4BAB-782E-41B0-939A-8AD67A79833C}"/>
    <hyperlink ref="A49" location="'1.7B'!A1" tooltip="Click to go to sheet 1.7B" display="Figure 1.7.B. Changes in growth forecast for South Asian countries since April" xr:uid="{95DCB832-428F-43AE-B318-951CF8543CE1}"/>
    <hyperlink ref="A50" location="'1.7C'!A1" tooltip="Click to go to sheet 1.7C" display="Figure 1.7.C. Contributions to output growth: domestic and external demand" xr:uid="{74A547D8-E011-4982-901B-E565754A13C6}"/>
    <hyperlink ref="A51" location="'1.7D'!A1" tooltip="Click to go to sheet 1.7D" display="Figure 1.7.D. Fiscal balance" xr:uid="{5E2C7749-669F-48B4-9228-D2CA9797762D}"/>
    <hyperlink ref="A52" location="'1.7E'!A1" tooltip="Click to go to sheet 1.7E" display="Figure 1.7.E. Current account balance" xr:uid="{332BA74A-E86B-438C-910E-B64047E6FC13}"/>
    <hyperlink ref="A53" location="'1.7F'!A1" tooltip="Click to go to sheet 1.7F" display="Figure 1.7.F. Headline inflation" xr:uid="{02BB22B8-9333-43B6-9EEA-4AE4FD9C04E2}"/>
    <hyperlink ref="A56" location="'1.8A'!A1" tooltip="Click to go to sheet 1.8A" display="Figure 1.8.A. Public and private debt, latest" xr:uid="{D6D1F345-8A07-438F-93AC-1353F68DC49F}"/>
    <hyperlink ref="A57" location="'1.8B'!A1" tooltip="Click to go to sheet 1.8B" display="Figure 1.8.B. Effective interest rate on government debt, 2023–24" xr:uid="{FF3D0420-AA6C-4B13-9F75-3796ED701E08}"/>
    <hyperlink ref="A58" location="'1.8C'!A1" tooltip="Click to go to sheet 1.8C" display="Figure 1.8.C. Government net interest spending" xr:uid="{364A2475-F8B3-4DD2-A278-1B503EC05824}"/>
    <hyperlink ref="A59" location="'1.8D'!A1" tooltip="Click to go to sheet 1.8D" display="Figure 1.8.D. Government Revenue" xr:uid="{D1A766C3-D1EF-4DB7-A6DF-700B4CE73482}"/>
    <hyperlink ref="A60" location="'1.8E'!A1" tooltip="Click to go to sheet 1.8E" display="Figure 1.8.E. International reserves, latest" xr:uid="{E263A25E-DAC4-4F0C-9636-3989A4FAA584}"/>
    <hyperlink ref="A61" location="'1.8F'!A1" tooltip="Click to go to sheet 1.8F" display="Figure 1.8.F. Bank claims on government, latest" xr:uid="{204C78F4-A70D-4759-92F4-5A13A6241902}"/>
    <hyperlink ref="A64" location="'1.9A'!A1" tooltip="Click to go to sheet 1.9A" display="Figure 1.9.A. Number of extreme weather events" xr:uid="{98460345-8ED2-4C87-B606-5E366E2A7E01}"/>
    <hyperlink ref="A65" location="'1.9B'!A1" tooltip="Click to go to sheet 1.9B" display="Figure 1.9.B. Number of extreme weather events by region, 1980–2024" xr:uid="{2D89DE76-62E3-480C-AA4B-95CF44BB4420}"/>
    <hyperlink ref="A66" location="'1.9C'!A1" tooltip="Click to go to sheet 1.9C" display="Figure 1.9.C. South Asia: Death by event type" xr:uid="{BA1D9252-13EB-40DF-B6F8-28A24C04A178}"/>
    <hyperlink ref="A67" location="'1.9D'!A1" tooltip="Click to go to sheet 1.9D" display="Figure 1.9.D. Relative wealth, by average temperature of urban and rural areas in South Asia, 2014–18" xr:uid="{4C5E0726-F317-4D04-8755-715FEF7070C7}"/>
    <hyperlink ref="A68" location="'1.9E'!A1" tooltip="Click to go to sheet 1.9E" display="Figure 1.9.E. Climate vulnerability and poverty across countries" xr:uid="{EB73AB0C-B53D-441A-A8FA-1C9E592CD256}"/>
    <hyperlink ref="A69" location="'1.9F'!A1" tooltip="Click to go to sheet 1.9F" display="Figure 1.9.F. Climate vulnerability and overall fiscal balance" xr:uid="{A3C22AEC-F533-4932-B7AC-68AFABE89F65}"/>
    <hyperlink ref="A72" location="'1.10A'!A1" tooltip="Click to go to sheet 1.10A" display="Figure 1.10.A. South Asia: GDP per capita and life satisfaction, relative to other EMDEs" xr:uid="{70F4A5D1-B630-478D-B926-550C8CBC4319}"/>
    <hyperlink ref="A73" location="'1.10B'!A1" tooltip="Click to go to sheet 1.10B" display="Figure 1.10.B. South Asia: Output growth" xr:uid="{FA61B630-C9F4-4E39-8D9A-48A89A774855}"/>
    <hyperlink ref="A74" location="'1.10C'!A1" tooltip="Click to go to sheet 1.10C" display="Figure 1.10.C. Large protest events, 2022–May 2024" xr:uid="{0571D708-0913-4F3F-99A0-799C4C5F4E8C}"/>
    <hyperlink ref="A75" location="'1.10D'!A1" tooltip="Click to go to sheet 1.10D" display="Figure 1.9.D. Regulatory quality, 2018–22" xr:uid="{947C4F50-D088-4C43-B8FF-6BEC80626203}"/>
    <hyperlink ref="A78" location="'1.11A'!A1" tooltip="Click to go to sheet 1.11A" display="Figure 1.11.A. Private investment" xr:uid="{8EA59BEB-BFB9-4322-8DE3-16C91A8B0DCF}"/>
    <hyperlink ref="A79" location="'1.11B'!A1" tooltip="Click to go to sheet 1.11B" display="Figure 1.11.B. Growth impact of reform slippage" xr:uid="{E1902CAD-FF94-46B4-84A3-7DE5D2E2ED83}"/>
    <hyperlink ref="A82" location="'1.12A'!A1" tooltip="Click to go to sheet 1.12A" display="Figure 1.12.A. Changes in trade-to-GDP ratios" xr:uid="{5664D2CC-E10E-4897-9F83-3A186354B8C9}"/>
    <hyperlink ref="A83" location="'1.12B'!A1" tooltip="Click to go to sheet 1.12B" display="Figure 1.12.B. Number of new restrictions on trade by country origin" xr:uid="{BD14BC96-7EB7-4414-A716-B55F18568B5F}"/>
    <hyperlink ref="A84" location="'1.12C'!A1" tooltip="Click to go to sheet 1.12C" display="Figure 1.12.C. Openness to global trade, investment, and bank lending, 2023" xr:uid="{96FBF401-AAFC-41ED-9CF6-0F2D68124BB1}"/>
    <hyperlink ref="A85" location="'1.12D'!A1" tooltip="Click to go to sheet 1.12D" display="Figure 1.12.D. Financial openness, 2021" xr:uid="{018C7CAA-0881-4327-96C7-112BA495CA53}"/>
    <hyperlink ref="A88" location="'1.13A'!A1" tooltip="Click to go to sheet 1.13A" display="Figure 1.13.A. Female labor force participation rate, 2023" xr:uid="{7CA606DF-E1A9-4093-AD01-009E04A4CC8D}"/>
    <hyperlink ref="A89" location="'1.13B'!A1" tooltip="Click to go to sheet 1.13B" display="Figure 1.13.B. South Asia: Labor force participation rate, 1991–2023" xr:uid="{D3E73D81-2D55-48FF-A2DC-D9D80A45B178}"/>
    <hyperlink ref="A90" location="'1.13C'!A1" tooltip="Click to go to sheet 1.13C" display="Figure 1.13.C. Impact of higher female labor force participation on South Asia’s output" xr:uid="{F498A086-0E01-41D8-8FE5-14306FAE7E24}"/>
    <hyperlink ref="A91" location="'1.13D'!A1" tooltip="Click to go to sheet 1.13D" display="Figure 1.13.D. Female employment shares or labor force participation" xr:uid="{80270F17-6F51-4CCD-B51D-480AF4968322}"/>
    <hyperlink ref="A92" location="'1.13E'!A1" tooltip="Click to go to sheet 1.13E" display="Figure 1.13.E. Legal framework for access to childcare, 2024" xr:uid="{E398465C-C967-465D-856E-8B9F99BD6824}"/>
    <hyperlink ref="A93" location="'1.13F'!A1" tooltip="Click to go to sheet 1.13F" display="Figure 1.13.F. Laws and social norms, 2020" xr:uid="{BD0A15B9-CBDD-4CCB-9211-E6A3B3D94C9E}"/>
    <hyperlink ref="A96" location="'1.14A'!A1" tooltip="Click to go to sheet 1.14A" display="Figure 1.14.A. Firms’ size and share of young among small firms" xr:uid="{29D49899-2E8E-48C4-B9C6-2E56FE316EB4}"/>
    <hyperlink ref="A97" location="'1.14B'!A1" tooltip="Click to go to sheet 1.14B" display="Figure 1.14.B. Growth of young SMEs, deviation from average" xr:uid="{8AD5C38F-EDAB-4A86-93A3-BD4E18D37F13}"/>
    <hyperlink ref="A98" location="'1.14C'!A1" tooltip="Click to go to sheet 1.14C" display="Figure 1.14.C. Firms’ entry and exit" xr:uid="{39C4F763-84A3-4C73-BC92-4476022FB095}"/>
    <hyperlink ref="A99" location="'1.14D'!A1" tooltip="Click to go to sheet 1.14D" display="Figure 1.14.D. Applied tariff rate and Logistic Performance Index" xr:uid="{E1BB769A-39CE-443F-97A6-18B9BBFA9534}"/>
    <hyperlink ref="A100" location="'1.14E'!A1" tooltip="Click to go to sheet 1.14E" display="Figure 1.14.E. Obstacles faced by firms" xr:uid="{B0C38174-4597-4D19-BEFB-A877F7B76EED}"/>
    <hyperlink ref="A101" location="'1.14F'!A1" tooltip="Click to go to sheet 1.14F" display="Figure 1.14.F. South Asia: Firms facing lack of water and power outages" xr:uid="{EA597DE5-76F1-4B71-9140-69F81BE85B08}"/>
    <hyperlink ref="A104" location="'1.15A'!A1" tooltip="Click to go to sheet 1.15A" display="Figure 1.15.A. Stock of migrants" xr:uid="{47471BB3-9A97-459B-B7AB-5BB7C732DEAE}"/>
    <hyperlink ref="A105" location="'1.15B'!A1" tooltip="Click to go to sheet 1.15B" display="Figure 1.15.B. Remittances, FDI, and ODA inflows, 2014–23 average" xr:uid="{FD294F6C-4AD6-4F32-A071-ADC70D62EB37}"/>
    <hyperlink ref="A106" location="'1.15C'!A1" tooltip="Click to go to sheet 1.15C" display="Figure 1.15.C. Remittances, by convergence club for private consumption and investment" xr:uid="{1FD7D2AA-58FA-4819-9EB1-45D0F1AF0C5A}"/>
    <hyperlink ref="A107" location="'1.15D'!A1" tooltip="Click to go to sheet 1.15D" display="Figure 1.15.D. Remittances, by convergence club for exports and imports" xr:uid="{ADD16E94-B7EC-4C18-AEF7-E20BEFEFA595}"/>
    <hyperlink ref="A110" location="'1.16A'!A1" tooltip="Click to go to sheet 1.16A" display="Figure 1.16.A. Number of new industrial policy measures, 2023" xr:uid="{E243699B-78BD-4B09-9EB8-BCA3D1957436}"/>
    <hyperlink ref="A111" location="'1.16B'!A1" tooltip="Click to go to sheet 1.16B" display="Figure 1.16.B. Number of new industrial policy measures in EMDEs, 2023" xr:uid="{A00D7249-70BD-44FE-A79D-0906B92B5A2F}"/>
    <hyperlink ref="A112" location="'1.16C'!A1" tooltip="Click to go to sheet 1.16C" display="Figure 1.16.C. Composition of industrial policies by instrument, 2023" xr:uid="{1FDB31A2-53EB-4C5E-9128-F78227D20C77}"/>
    <hyperlink ref="A113" location="'1.16D'!A1" tooltip="Click to go to sheet 1.16D" display="Figure 1.16.D. Share of motives for industrial policy, 2023" xr:uid="{A01A7D25-B0F5-41D9-B364-0A88852B0918}"/>
    <hyperlink ref="A114" location="'1.16E'!A1" tooltip="Click to go to sheet 1.16E" display="Figure 1.16.E. Government effectiveness, 2018–22 average" xr:uid="{3A5A0C88-67A6-4403-AA80-08DE4CCA8B34}"/>
    <hyperlink ref="A115" location="'1.16F'!A1" tooltip="Click to go to sheet 1.16F" display="Figure 1.16.F. Index of market share of the largest competitor, latest" xr:uid="{3A5859DB-7BEA-4882-B244-860E98FB055A}"/>
    <hyperlink ref="A118" location="'1.17A'!A1" tooltip="Click to go to sheet 1.17A" display="Figure 1.17.A. Average tariff rates, 2023" xr:uid="{80B175C8-8369-49CF-B27C-500FAC764087}"/>
    <hyperlink ref="A119" location="'1.17B'!A1" tooltip="Click to go to sheet 1.17B" display="Figure 1.17.B. Trade cost from non-tariff trade barriers, 2022" xr:uid="{3D2245E3-6C8C-42C9-A7D2-0CFDBF670B82}"/>
    <hyperlink ref="A120" location="'1.17C'!A1" tooltip="Click to go to sheet 1.17C" display="Figure 1.17.C. Geoeconomic diversification of exports, 2023" xr:uid="{8CB74BC0-7BAE-4EE6-B3AC-C95BC7E9125D}"/>
    <hyperlink ref="A121" location="'1.17D'!A1" tooltip="Click to go to sheet 1.17D" display="Figure 1.17.D. Composition of FDI stock and exports, 2023" xr:uid="{921DC7C5-F323-45C7-85CE-B5916F4407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F6ED-EC70-427C-BBBE-833EB829DDCE}">
  <dimension ref="A1:W47"/>
  <sheetViews>
    <sheetView zoomScale="70" zoomScaleNormal="70" workbookViewId="0">
      <selection activeCell="A37" sqref="A37:N39"/>
    </sheetView>
  </sheetViews>
  <sheetFormatPr defaultColWidth="8.58203125" defaultRowHeight="17.5" x14ac:dyDescent="0.35"/>
  <cols>
    <col min="1" max="17" width="8.58203125" style="2"/>
    <col min="18" max="18" width="23.08203125" style="2" bestFit="1" customWidth="1"/>
    <col min="19" max="19" width="8.58203125" style="2"/>
    <col min="20" max="20" width="20.83203125" style="2" bestFit="1" customWidth="1"/>
    <col min="21" max="21" width="17.75" style="2" bestFit="1" customWidth="1"/>
    <col min="22" max="22" width="20.83203125" style="2" bestFit="1" customWidth="1"/>
    <col min="23" max="23" width="17.75" style="2" bestFit="1" customWidth="1"/>
    <col min="24" max="16384" width="8.58203125" style="2"/>
  </cols>
  <sheetData>
    <row r="1" spans="1:23" s="1" customFormat="1" ht="25" x14ac:dyDescent="0.5">
      <c r="A1" s="1" t="s">
        <v>7</v>
      </c>
    </row>
    <row r="3" spans="1:23" x14ac:dyDescent="0.35">
      <c r="T3" s="5" t="s">
        <v>0</v>
      </c>
      <c r="U3" s="5" t="s">
        <v>1</v>
      </c>
      <c r="V3" s="5" t="s">
        <v>0</v>
      </c>
      <c r="W3" s="5" t="s">
        <v>1</v>
      </c>
    </row>
    <row r="4" spans="1:23" x14ac:dyDescent="0.35">
      <c r="R4" s="2" t="s">
        <v>3</v>
      </c>
      <c r="S4" s="6">
        <v>2023</v>
      </c>
      <c r="T4" s="11">
        <v>6.6</v>
      </c>
      <c r="U4" s="11">
        <v>6.6</v>
      </c>
      <c r="V4" s="11"/>
      <c r="W4" s="11"/>
    </row>
    <row r="5" spans="1:23" x14ac:dyDescent="0.35">
      <c r="S5" s="6" t="s">
        <v>4</v>
      </c>
      <c r="T5" s="11">
        <v>6</v>
      </c>
      <c r="U5" s="11">
        <v>6.4</v>
      </c>
      <c r="V5" s="11"/>
      <c r="W5" s="11"/>
    </row>
    <row r="6" spans="1:23" x14ac:dyDescent="0.35">
      <c r="S6" s="6" t="s">
        <v>5</v>
      </c>
      <c r="T6" s="11">
        <v>6.1</v>
      </c>
      <c r="U6" s="11">
        <v>6.2</v>
      </c>
      <c r="V6" s="11"/>
      <c r="W6" s="11"/>
    </row>
    <row r="7" spans="1:23" x14ac:dyDescent="0.35">
      <c r="S7" s="6" t="s">
        <v>6</v>
      </c>
      <c r="T7" s="11"/>
      <c r="U7" s="11">
        <v>6.2</v>
      </c>
      <c r="V7" s="11"/>
      <c r="W7" s="11"/>
    </row>
    <row r="8" spans="1:23" x14ac:dyDescent="0.35">
      <c r="R8" s="2" t="s">
        <v>2</v>
      </c>
      <c r="S8" s="6">
        <v>2023</v>
      </c>
      <c r="T8" s="11"/>
      <c r="U8" s="11"/>
      <c r="V8" s="11">
        <v>3.9</v>
      </c>
      <c r="W8" s="11">
        <v>4</v>
      </c>
    </row>
    <row r="9" spans="1:23" x14ac:dyDescent="0.35">
      <c r="S9" s="6" t="s">
        <v>4</v>
      </c>
      <c r="T9" s="11"/>
      <c r="U9" s="11"/>
      <c r="V9" s="11">
        <v>3.5</v>
      </c>
      <c r="W9" s="11">
        <v>3.8</v>
      </c>
    </row>
    <row r="10" spans="1:23" x14ac:dyDescent="0.35">
      <c r="S10" s="6" t="s">
        <v>5</v>
      </c>
      <c r="T10" s="11"/>
      <c r="U10" s="11"/>
      <c r="V10" s="11">
        <v>3.8</v>
      </c>
      <c r="W10" s="11">
        <v>3.7</v>
      </c>
    </row>
    <row r="11" spans="1:23" x14ac:dyDescent="0.35">
      <c r="S11" s="6" t="s">
        <v>6</v>
      </c>
      <c r="T11" s="11"/>
      <c r="U11" s="11"/>
      <c r="V11" s="11"/>
      <c r="W11" s="11">
        <v>3.8</v>
      </c>
    </row>
    <row r="36" spans="1:14" x14ac:dyDescent="0.35">
      <c r="A36" s="2" t="s">
        <v>235</v>
      </c>
    </row>
    <row r="37" spans="1:14" ht="17.5" customHeight="1" x14ac:dyDescent="0.35">
      <c r="A37" s="61" t="s">
        <v>108</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6" spans="1:14" x14ac:dyDescent="0.35">
      <c r="A46" s="32"/>
    </row>
    <row r="47" spans="1:14" x14ac:dyDescent="0.35">
      <c r="A47" s="32" t="s">
        <v>601</v>
      </c>
    </row>
  </sheetData>
  <mergeCells count="1">
    <mergeCell ref="A37:N39"/>
  </mergeCells>
  <hyperlinks>
    <hyperlink ref="A47" location="'Read Me'!A1" display="Return to Read Me" xr:uid="{606BBF17-1E8A-4081-AD27-D1A669AF039D}"/>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BF2C7-E3A1-45DC-A185-F7845391340D}">
  <dimension ref="A1:T47"/>
  <sheetViews>
    <sheetView topLeftCell="A15" zoomScale="70" zoomScaleNormal="70" workbookViewId="0">
      <selection activeCell="N51" sqref="N51"/>
    </sheetView>
  </sheetViews>
  <sheetFormatPr defaultColWidth="8.58203125" defaultRowHeight="17.5" x14ac:dyDescent="0.35"/>
  <cols>
    <col min="1" max="16384" width="8.58203125" style="2"/>
  </cols>
  <sheetData>
    <row r="1" spans="1:20" s="1" customFormat="1" ht="25" x14ac:dyDescent="0.5">
      <c r="A1" s="1" t="s">
        <v>9</v>
      </c>
    </row>
    <row r="4" spans="1:20" x14ac:dyDescent="0.35">
      <c r="T4" s="2" t="s">
        <v>10</v>
      </c>
    </row>
    <row r="5" spans="1:20" x14ac:dyDescent="0.35">
      <c r="R5" s="2" t="s">
        <v>11</v>
      </c>
      <c r="S5" s="2">
        <v>3.1</v>
      </c>
      <c r="T5" s="2">
        <v>12.5</v>
      </c>
    </row>
    <row r="6" spans="1:20" x14ac:dyDescent="0.35">
      <c r="R6" s="2" t="s">
        <v>12</v>
      </c>
      <c r="S6" s="2">
        <v>8.5</v>
      </c>
      <c r="T6" s="2">
        <v>12.5</v>
      </c>
    </row>
    <row r="7" spans="1:20" x14ac:dyDescent="0.35">
      <c r="R7" s="2" t="s">
        <v>13</v>
      </c>
      <c r="S7" s="2">
        <v>10.5</v>
      </c>
      <c r="T7" s="2">
        <v>12.5</v>
      </c>
    </row>
    <row r="8" spans="1:20" x14ac:dyDescent="0.35">
      <c r="R8" s="2" t="s">
        <v>14</v>
      </c>
      <c r="S8" s="2">
        <v>15.1</v>
      </c>
      <c r="T8" s="2">
        <v>12.5</v>
      </c>
    </row>
    <row r="9" spans="1:20" x14ac:dyDescent="0.35">
      <c r="R9" s="2" t="s">
        <v>15</v>
      </c>
      <c r="S9" s="2">
        <v>16.2</v>
      </c>
      <c r="T9" s="2">
        <v>12.5</v>
      </c>
    </row>
    <row r="10" spans="1:20" x14ac:dyDescent="0.35">
      <c r="R10" s="2" t="s">
        <v>3</v>
      </c>
      <c r="S10" s="2">
        <v>24.7</v>
      </c>
      <c r="T10" s="2">
        <v>12.5</v>
      </c>
    </row>
    <row r="36" spans="1:14" x14ac:dyDescent="0.35">
      <c r="A36" s="2" t="s">
        <v>16</v>
      </c>
    </row>
    <row r="37" spans="1:14" ht="17.5" customHeight="1" x14ac:dyDescent="0.35">
      <c r="A37" s="61" t="s">
        <v>109</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7" spans="1:14" x14ac:dyDescent="0.35">
      <c r="A47" s="32" t="s">
        <v>601</v>
      </c>
    </row>
  </sheetData>
  <mergeCells count="1">
    <mergeCell ref="A37:N41"/>
  </mergeCells>
  <hyperlinks>
    <hyperlink ref="A47" location="'Read Me'!A1" display="Return to Read Me" xr:uid="{AEAB8CE7-A42A-489F-BF6A-F5A79DC2703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9AA9-AD5B-43CA-AC28-869C1F7507A8}">
  <dimension ref="A1:U47"/>
  <sheetViews>
    <sheetView zoomScale="70" zoomScaleNormal="70" workbookViewId="0">
      <selection activeCell="F41" sqref="F41"/>
    </sheetView>
  </sheetViews>
  <sheetFormatPr defaultColWidth="8.58203125" defaultRowHeight="17.5" x14ac:dyDescent="0.35"/>
  <cols>
    <col min="1" max="16384" width="8.58203125" style="2"/>
  </cols>
  <sheetData>
    <row r="1" spans="1:21" s="7" customFormat="1" ht="25" x14ac:dyDescent="0.5">
      <c r="A1" s="7" t="s">
        <v>17</v>
      </c>
    </row>
    <row r="3" spans="1:21" x14ac:dyDescent="0.35">
      <c r="R3" s="2" t="s">
        <v>21</v>
      </c>
      <c r="S3" s="2" t="s">
        <v>22</v>
      </c>
      <c r="T3" s="3">
        <v>3.9E-2</v>
      </c>
      <c r="U3" s="3">
        <v>2.5999999999999999E-2</v>
      </c>
    </row>
    <row r="4" spans="1:21" x14ac:dyDescent="0.35">
      <c r="S4" s="2" t="s">
        <v>23</v>
      </c>
      <c r="T4" s="3">
        <v>-0.184</v>
      </c>
      <c r="U4" s="3">
        <v>0.06</v>
      </c>
    </row>
    <row r="5" spans="1:21" x14ac:dyDescent="0.35">
      <c r="R5" s="2" t="s">
        <v>24</v>
      </c>
      <c r="S5" s="2" t="s">
        <v>22</v>
      </c>
      <c r="T5" s="3">
        <v>2.1999999999999999E-2</v>
      </c>
      <c r="U5" s="3">
        <v>1.9E-2</v>
      </c>
    </row>
    <row r="6" spans="1:21" x14ac:dyDescent="0.35">
      <c r="S6" s="2" t="s">
        <v>23</v>
      </c>
      <c r="T6" s="3">
        <v>-9.0999999999999998E-2</v>
      </c>
      <c r="U6" s="3">
        <v>0.03</v>
      </c>
    </row>
    <row r="36" spans="1:14" ht="17.5" customHeight="1" x14ac:dyDescent="0.35">
      <c r="A36" s="2" t="s">
        <v>18</v>
      </c>
    </row>
    <row r="37" spans="1:14" x14ac:dyDescent="0.35">
      <c r="A37" s="61" t="s">
        <v>19</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9"/>
      <c r="B41" s="9"/>
      <c r="C41" s="9"/>
      <c r="D41" s="9"/>
      <c r="E41" s="9"/>
      <c r="F41" s="9"/>
      <c r="G41" s="9"/>
      <c r="H41" s="9"/>
      <c r="I41" s="9"/>
      <c r="J41" s="9"/>
      <c r="K41" s="9"/>
      <c r="L41" s="9"/>
      <c r="M41" s="9"/>
      <c r="N41" s="9"/>
    </row>
    <row r="47" spans="1:14" x14ac:dyDescent="0.35">
      <c r="A47" s="32" t="s">
        <v>601</v>
      </c>
    </row>
  </sheetData>
  <mergeCells count="1">
    <mergeCell ref="A37:N40"/>
  </mergeCells>
  <hyperlinks>
    <hyperlink ref="A47" location="'Read Me'!A1" display="Return to Read Me" xr:uid="{4CC28414-08AC-41DD-99D9-6768F5316B36}"/>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6680-1E7D-447E-8C37-97DECFCEC626}">
  <dimension ref="A1:Z46"/>
  <sheetViews>
    <sheetView zoomScale="70" zoomScaleNormal="70" workbookViewId="0">
      <selection activeCell="A42" sqref="A42"/>
    </sheetView>
  </sheetViews>
  <sheetFormatPr defaultColWidth="8.58203125" defaultRowHeight="17.5" x14ac:dyDescent="0.35"/>
  <cols>
    <col min="1" max="16384" width="8.58203125" style="2"/>
  </cols>
  <sheetData>
    <row r="1" spans="1:26" s="7" customFormat="1" ht="25" x14ac:dyDescent="0.5">
      <c r="A1" s="7" t="s">
        <v>20</v>
      </c>
    </row>
    <row r="3" spans="1:26" x14ac:dyDescent="0.35">
      <c r="S3" s="2" t="s">
        <v>25</v>
      </c>
      <c r="U3" s="2" t="s">
        <v>26</v>
      </c>
    </row>
    <row r="4" spans="1:26" x14ac:dyDescent="0.35">
      <c r="R4" s="2" t="s">
        <v>27</v>
      </c>
      <c r="S4" s="4">
        <v>28.57</v>
      </c>
      <c r="T4" s="4">
        <v>16.809999999999999</v>
      </c>
      <c r="U4" s="4">
        <v>9.7899999999999991</v>
      </c>
      <c r="V4" s="4">
        <v>42.97</v>
      </c>
      <c r="W4" s="4"/>
      <c r="X4" s="4"/>
      <c r="Y4" s="4"/>
      <c r="Z4" s="4"/>
    </row>
    <row r="5" spans="1:26" x14ac:dyDescent="0.35">
      <c r="R5" s="2" t="s">
        <v>28</v>
      </c>
      <c r="S5" s="4">
        <v>2.95</v>
      </c>
      <c r="T5" s="4">
        <v>6.45</v>
      </c>
      <c r="U5" s="4">
        <v>1.32</v>
      </c>
      <c r="V5" s="4">
        <v>31.29</v>
      </c>
      <c r="W5" s="4"/>
      <c r="X5" s="4"/>
      <c r="Y5" s="4"/>
      <c r="Z5" s="4"/>
    </row>
    <row r="6" spans="1:26" x14ac:dyDescent="0.35">
      <c r="R6" s="2" t="s">
        <v>29</v>
      </c>
      <c r="S6" s="4"/>
      <c r="T6" s="4"/>
      <c r="U6" s="4"/>
      <c r="V6" s="4"/>
      <c r="W6" s="4">
        <v>0.36</v>
      </c>
      <c r="X6" s="4">
        <v>0.59</v>
      </c>
      <c r="Y6" s="4">
        <v>0.78</v>
      </c>
      <c r="Z6" s="4">
        <v>2.99</v>
      </c>
    </row>
    <row r="7" spans="1:26" x14ac:dyDescent="0.35">
      <c r="R7" s="2" t="s">
        <v>30</v>
      </c>
      <c r="S7" s="4"/>
      <c r="T7" s="4"/>
      <c r="U7" s="4"/>
      <c r="V7" s="4"/>
      <c r="W7" s="4">
        <v>-0.69</v>
      </c>
      <c r="X7" s="4">
        <v>-0.26</v>
      </c>
      <c r="Y7" s="4">
        <v>7.0000000000000007E-2</v>
      </c>
      <c r="Z7" s="4">
        <v>2.0699999999999998</v>
      </c>
    </row>
    <row r="36" spans="1:14" x14ac:dyDescent="0.35">
      <c r="A36" s="62" t="s">
        <v>644</v>
      </c>
      <c r="B36" s="62"/>
      <c r="C36" s="62"/>
      <c r="D36" s="62"/>
      <c r="E36" s="62"/>
      <c r="F36" s="62"/>
      <c r="G36" s="62"/>
      <c r="H36" s="62"/>
      <c r="I36" s="62"/>
      <c r="J36" s="62"/>
      <c r="K36" s="62"/>
      <c r="L36" s="62"/>
      <c r="M36" s="62"/>
      <c r="N36" s="62"/>
    </row>
    <row r="37" spans="1:14" x14ac:dyDescent="0.35">
      <c r="A37" s="62"/>
      <c r="B37" s="62"/>
      <c r="C37" s="62"/>
      <c r="D37" s="62"/>
      <c r="E37" s="62"/>
      <c r="F37" s="62"/>
      <c r="G37" s="62"/>
      <c r="H37" s="62"/>
      <c r="I37" s="62"/>
      <c r="J37" s="62"/>
      <c r="K37" s="62"/>
      <c r="L37" s="62"/>
      <c r="M37" s="62"/>
      <c r="N37" s="62"/>
    </row>
    <row r="38" spans="1:14" ht="17.5" customHeight="1" x14ac:dyDescent="0.35">
      <c r="A38" s="61" t="s">
        <v>647</v>
      </c>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6" spans="1:14" x14ac:dyDescent="0.35">
      <c r="A46" s="32" t="s">
        <v>601</v>
      </c>
    </row>
  </sheetData>
  <mergeCells count="2">
    <mergeCell ref="A36:N37"/>
    <mergeCell ref="A38:N41"/>
  </mergeCells>
  <hyperlinks>
    <hyperlink ref="A46" location="'Read Me'!A1" display="Return to Read Me" xr:uid="{5F7427F1-2C2B-4B3C-933A-A4F8AA0ABBD9}"/>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053D-12F8-4AC4-A1B0-BAE05B095751}">
  <dimension ref="A1:U47"/>
  <sheetViews>
    <sheetView topLeftCell="A6" zoomScale="70" zoomScaleNormal="70" workbookViewId="0">
      <selection activeCell="Y31" sqref="Y31"/>
    </sheetView>
  </sheetViews>
  <sheetFormatPr defaultColWidth="8.58203125" defaultRowHeight="17.5" x14ac:dyDescent="0.35"/>
  <cols>
    <col min="1" max="16384" width="8.58203125" style="2"/>
  </cols>
  <sheetData>
    <row r="1" spans="1:21" s="7" customFormat="1" ht="25" x14ac:dyDescent="0.5">
      <c r="A1" s="7" t="s">
        <v>31</v>
      </c>
    </row>
    <row r="3" spans="1:21" x14ac:dyDescent="0.35">
      <c r="R3" s="2" t="s">
        <v>42</v>
      </c>
      <c r="S3" s="2" t="s">
        <v>41</v>
      </c>
      <c r="T3" s="2" t="s">
        <v>40</v>
      </c>
      <c r="U3" s="2" t="s">
        <v>39</v>
      </c>
    </row>
    <row r="4" spans="1:21" x14ac:dyDescent="0.35">
      <c r="R4" s="2" t="s">
        <v>38</v>
      </c>
      <c r="S4" s="11">
        <v>64.5</v>
      </c>
      <c r="T4" s="11">
        <v>43</v>
      </c>
      <c r="U4" s="11">
        <v>17.5</v>
      </c>
    </row>
    <row r="5" spans="1:21" x14ac:dyDescent="0.35">
      <c r="R5" s="2" t="s">
        <v>37</v>
      </c>
      <c r="S5" s="11">
        <v>42.6</v>
      </c>
      <c r="T5" s="11">
        <v>43</v>
      </c>
      <c r="U5" s="11">
        <v>17.5</v>
      </c>
    </row>
    <row r="6" spans="1:21" x14ac:dyDescent="0.35">
      <c r="R6" s="2" t="s">
        <v>36</v>
      </c>
      <c r="S6" s="11">
        <v>37</v>
      </c>
      <c r="T6" s="11">
        <v>43</v>
      </c>
      <c r="U6" s="11">
        <v>17.5</v>
      </c>
    </row>
    <row r="7" spans="1:21" x14ac:dyDescent="0.35">
      <c r="R7" s="2" t="s">
        <v>35</v>
      </c>
      <c r="S7" s="11">
        <v>32.700000000000003</v>
      </c>
      <c r="T7" s="11">
        <v>43</v>
      </c>
      <c r="U7" s="11">
        <v>17.5</v>
      </c>
    </row>
    <row r="8" spans="1:21" x14ac:dyDescent="0.35">
      <c r="R8" s="2" t="s">
        <v>34</v>
      </c>
      <c r="S8" s="11">
        <v>32.1</v>
      </c>
      <c r="T8" s="11">
        <v>43</v>
      </c>
      <c r="U8" s="11">
        <v>17.5</v>
      </c>
    </row>
    <row r="9" spans="1:21" x14ac:dyDescent="0.35">
      <c r="R9" s="2" t="s">
        <v>33</v>
      </c>
      <c r="S9" s="11">
        <v>28.7</v>
      </c>
      <c r="T9" s="11">
        <v>43</v>
      </c>
      <c r="U9" s="11">
        <v>17.5</v>
      </c>
    </row>
    <row r="10" spans="1:21" x14ac:dyDescent="0.35">
      <c r="R10" s="11" t="s">
        <v>32</v>
      </c>
      <c r="S10" s="11">
        <v>24.5</v>
      </c>
      <c r="T10" s="11">
        <v>43</v>
      </c>
      <c r="U10" s="11">
        <v>17.5</v>
      </c>
    </row>
    <row r="36" spans="1:14" x14ac:dyDescent="0.35">
      <c r="A36" s="2" t="s">
        <v>43</v>
      </c>
    </row>
    <row r="37" spans="1:14" ht="17.5" customHeight="1" x14ac:dyDescent="0.35">
      <c r="A37" s="61" t="s">
        <v>110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2" spans="1:14" x14ac:dyDescent="0.35">
      <c r="A42" s="61"/>
      <c r="B42" s="61"/>
      <c r="C42" s="61"/>
      <c r="D42" s="61"/>
      <c r="E42" s="61"/>
      <c r="F42" s="61"/>
      <c r="G42" s="61"/>
      <c r="H42" s="61"/>
      <c r="I42" s="61"/>
      <c r="J42" s="61"/>
      <c r="K42" s="61"/>
      <c r="L42" s="61"/>
      <c r="M42" s="61"/>
      <c r="N42" s="61"/>
    </row>
    <row r="43" spans="1:14" x14ac:dyDescent="0.35">
      <c r="A43" s="61"/>
      <c r="B43" s="61"/>
      <c r="C43" s="61"/>
      <c r="D43" s="61"/>
      <c r="E43" s="61"/>
      <c r="F43" s="61"/>
      <c r="G43" s="61"/>
      <c r="H43" s="61"/>
      <c r="I43" s="61"/>
      <c r="J43" s="61"/>
      <c r="K43" s="61"/>
      <c r="L43" s="61"/>
      <c r="M43" s="61"/>
      <c r="N43" s="61"/>
    </row>
    <row r="44" spans="1:14" x14ac:dyDescent="0.35">
      <c r="A44" s="61"/>
      <c r="B44" s="61"/>
      <c r="C44" s="61"/>
      <c r="D44" s="61"/>
      <c r="E44" s="61"/>
      <c r="F44" s="61"/>
      <c r="G44" s="61"/>
      <c r="H44" s="61"/>
      <c r="I44" s="61"/>
      <c r="J44" s="61"/>
      <c r="K44" s="61"/>
      <c r="L44" s="61"/>
      <c r="M44" s="61"/>
      <c r="N44" s="61"/>
    </row>
    <row r="47" spans="1:14" x14ac:dyDescent="0.35">
      <c r="A47" s="32" t="s">
        <v>601</v>
      </c>
    </row>
  </sheetData>
  <mergeCells count="1">
    <mergeCell ref="A37:N44"/>
  </mergeCells>
  <hyperlinks>
    <hyperlink ref="A47" location="'Read Me'!A1" display="Return to Read Me" xr:uid="{4ED63089-9970-4B37-B02C-C9CC24248BE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D35F-B382-44B8-9BD2-6DDF5D4FF274}">
  <dimension ref="A1:V47"/>
  <sheetViews>
    <sheetView zoomScale="70" zoomScaleNormal="70" workbookViewId="0">
      <selection activeCell="A36" sqref="A36:N39"/>
    </sheetView>
  </sheetViews>
  <sheetFormatPr defaultColWidth="8.58203125" defaultRowHeight="17.5" x14ac:dyDescent="0.35"/>
  <cols>
    <col min="1" max="16384" width="8.58203125" style="2"/>
  </cols>
  <sheetData>
    <row r="1" spans="1:22" s="7" customFormat="1" ht="25" x14ac:dyDescent="0.5">
      <c r="A1" s="7" t="s">
        <v>44</v>
      </c>
    </row>
    <row r="3" spans="1:22" x14ac:dyDescent="0.35">
      <c r="R3" s="2" t="s">
        <v>46</v>
      </c>
      <c r="S3" s="5" t="s">
        <v>47</v>
      </c>
      <c r="T3" s="5" t="s">
        <v>48</v>
      </c>
      <c r="U3" s="5" t="s">
        <v>49</v>
      </c>
      <c r="V3" s="5" t="s">
        <v>50</v>
      </c>
    </row>
    <row r="4" spans="1:22" x14ac:dyDescent="0.35">
      <c r="R4" s="5" t="s">
        <v>36</v>
      </c>
      <c r="S4" s="2">
        <v>185.8</v>
      </c>
      <c r="T4" s="2">
        <v>67</v>
      </c>
    </row>
    <row r="5" spans="1:22" x14ac:dyDescent="0.35">
      <c r="R5" s="5" t="s">
        <v>32</v>
      </c>
      <c r="S5" s="2">
        <v>81.599999999999994</v>
      </c>
      <c r="T5" s="2">
        <v>67</v>
      </c>
    </row>
    <row r="6" spans="1:22" x14ac:dyDescent="0.35">
      <c r="R6" s="5" t="s">
        <v>34</v>
      </c>
      <c r="S6" s="2">
        <v>59.9</v>
      </c>
      <c r="T6" s="2">
        <v>67</v>
      </c>
    </row>
    <row r="7" spans="1:22" x14ac:dyDescent="0.35">
      <c r="R7" s="5" t="s">
        <v>33</v>
      </c>
      <c r="S7" s="2">
        <v>44.1</v>
      </c>
      <c r="T7" s="2">
        <v>67</v>
      </c>
    </row>
    <row r="8" spans="1:22" x14ac:dyDescent="0.35">
      <c r="R8" s="5" t="s">
        <v>35</v>
      </c>
      <c r="S8" s="2">
        <v>31.4</v>
      </c>
      <c r="T8" s="2">
        <v>67</v>
      </c>
    </row>
    <row r="9" spans="1:22" x14ac:dyDescent="0.35">
      <c r="R9" s="5" t="s">
        <v>33</v>
      </c>
      <c r="U9" s="2">
        <v>21.7</v>
      </c>
      <c r="V9" s="2">
        <v>12.6</v>
      </c>
    </row>
    <row r="10" spans="1:22" x14ac:dyDescent="0.35">
      <c r="R10" s="5" t="s">
        <v>35</v>
      </c>
      <c r="U10" s="2">
        <v>10.6</v>
      </c>
      <c r="V10" s="2">
        <v>12.6</v>
      </c>
    </row>
    <row r="11" spans="1:22" x14ac:dyDescent="0.35">
      <c r="R11" s="5" t="s">
        <v>34</v>
      </c>
      <c r="U11" s="2">
        <v>9.9</v>
      </c>
      <c r="V11" s="2">
        <v>12.6</v>
      </c>
    </row>
    <row r="12" spans="1:22" x14ac:dyDescent="0.35">
      <c r="R12" s="5" t="s">
        <v>36</v>
      </c>
      <c r="U12" s="2">
        <v>7.3</v>
      </c>
      <c r="V12" s="2">
        <v>12.6</v>
      </c>
    </row>
    <row r="13" spans="1:22" x14ac:dyDescent="0.35">
      <c r="R13" s="5" t="s">
        <v>32</v>
      </c>
      <c r="U13" s="2">
        <v>2.1</v>
      </c>
      <c r="V13" s="2">
        <v>12.6</v>
      </c>
    </row>
    <row r="35" spans="1:14" x14ac:dyDescent="0.35">
      <c r="A35" s="2" t="s">
        <v>45</v>
      </c>
    </row>
    <row r="36" spans="1:14" ht="17.5" customHeight="1" x14ac:dyDescent="0.35">
      <c r="A36" s="61" t="s">
        <v>111</v>
      </c>
      <c r="B36" s="61"/>
      <c r="C36" s="61"/>
      <c r="D36" s="61"/>
      <c r="E36" s="61"/>
      <c r="F36" s="61"/>
      <c r="G36" s="61"/>
      <c r="H36" s="61"/>
      <c r="I36" s="61"/>
      <c r="J36" s="61"/>
      <c r="K36" s="61"/>
      <c r="L36" s="61"/>
      <c r="M36" s="61"/>
      <c r="N36" s="61"/>
    </row>
    <row r="37" spans="1:14" x14ac:dyDescent="0.35">
      <c r="A37" s="61"/>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6:N39"/>
  </mergeCells>
  <hyperlinks>
    <hyperlink ref="A47" location="'Read Me'!A1" display="Return to Read Me" xr:uid="{C9FF7406-D1E8-43C4-B7B5-7B7A6D5E4F2E}"/>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3AA7-A535-4513-885F-8FB1A64A00A2}">
  <dimension ref="A1:V47"/>
  <sheetViews>
    <sheetView zoomScale="70" zoomScaleNormal="70" workbookViewId="0">
      <selection activeCell="A39" sqref="A39"/>
    </sheetView>
  </sheetViews>
  <sheetFormatPr defaultColWidth="8.58203125" defaultRowHeight="17.5" x14ac:dyDescent="0.35"/>
  <cols>
    <col min="1" max="16384" width="8.58203125" style="2"/>
  </cols>
  <sheetData>
    <row r="1" spans="1:22" s="7" customFormat="1" ht="25" x14ac:dyDescent="0.5">
      <c r="A1" s="7" t="s">
        <v>51</v>
      </c>
    </row>
    <row r="4" spans="1:22" x14ac:dyDescent="0.35">
      <c r="U4" s="2" t="s">
        <v>52</v>
      </c>
      <c r="V4" s="2" t="s">
        <v>53</v>
      </c>
    </row>
    <row r="5" spans="1:22" x14ac:dyDescent="0.35">
      <c r="R5" s="2" t="s">
        <v>55</v>
      </c>
      <c r="S5" s="2" t="s">
        <v>52</v>
      </c>
      <c r="T5" s="2" t="s">
        <v>53</v>
      </c>
      <c r="U5" s="2" t="s">
        <v>54</v>
      </c>
      <c r="V5" s="2" t="s">
        <v>54</v>
      </c>
    </row>
    <row r="6" spans="1:22" x14ac:dyDescent="0.35">
      <c r="R6" s="12">
        <v>45107</v>
      </c>
      <c r="S6" s="2">
        <v>48.7</v>
      </c>
      <c r="T6" s="2">
        <v>53.79</v>
      </c>
      <c r="U6" s="2">
        <v>51.5</v>
      </c>
      <c r="V6" s="2">
        <v>53.11</v>
      </c>
    </row>
    <row r="7" spans="1:22" x14ac:dyDescent="0.35">
      <c r="R7" s="12">
        <v>45138</v>
      </c>
      <c r="S7" s="2">
        <v>48.62</v>
      </c>
      <c r="T7" s="2">
        <v>52.58</v>
      </c>
      <c r="U7" s="2">
        <v>51.5</v>
      </c>
      <c r="V7" s="2">
        <v>53.11</v>
      </c>
    </row>
    <row r="8" spans="1:22" x14ac:dyDescent="0.35">
      <c r="R8" s="12">
        <v>45169</v>
      </c>
      <c r="S8" s="2">
        <v>49.04</v>
      </c>
      <c r="T8" s="2">
        <v>51</v>
      </c>
      <c r="U8" s="2">
        <v>51.5</v>
      </c>
      <c r="V8" s="2">
        <v>53.11</v>
      </c>
    </row>
    <row r="9" spans="1:22" x14ac:dyDescent="0.35">
      <c r="R9" s="12">
        <v>45199</v>
      </c>
      <c r="S9" s="2">
        <v>49.17</v>
      </c>
      <c r="T9" s="2">
        <v>50.7</v>
      </c>
      <c r="U9" s="2">
        <v>51.5</v>
      </c>
      <c r="V9" s="2">
        <v>53.11</v>
      </c>
    </row>
    <row r="10" spans="1:22" x14ac:dyDescent="0.35">
      <c r="R10" s="12">
        <v>45230</v>
      </c>
      <c r="S10" s="2">
        <v>48.76</v>
      </c>
      <c r="T10" s="2">
        <v>50.42</v>
      </c>
      <c r="U10" s="2">
        <v>51.5</v>
      </c>
      <c r="V10" s="2">
        <v>53.11</v>
      </c>
    </row>
    <row r="11" spans="1:22" x14ac:dyDescent="0.35">
      <c r="R11" s="12">
        <v>45260</v>
      </c>
      <c r="S11" s="2">
        <v>49.27</v>
      </c>
      <c r="T11" s="2">
        <v>50.66</v>
      </c>
      <c r="U11" s="2">
        <v>51.5</v>
      </c>
      <c r="V11" s="2">
        <v>53.11</v>
      </c>
    </row>
    <row r="12" spans="1:22" x14ac:dyDescent="0.35">
      <c r="R12" s="12">
        <v>45291</v>
      </c>
      <c r="S12" s="2">
        <v>48.99</v>
      </c>
      <c r="T12" s="2">
        <v>51.59</v>
      </c>
      <c r="U12" s="2">
        <v>51.5</v>
      </c>
      <c r="V12" s="2">
        <v>53.11</v>
      </c>
    </row>
    <row r="13" spans="1:22" x14ac:dyDescent="0.35">
      <c r="R13" s="12">
        <v>45322</v>
      </c>
      <c r="S13" s="2">
        <v>49.97</v>
      </c>
      <c r="T13" s="2">
        <v>52.28</v>
      </c>
      <c r="U13" s="2">
        <v>51.5</v>
      </c>
      <c r="V13" s="2">
        <v>53.11</v>
      </c>
    </row>
    <row r="14" spans="1:22" x14ac:dyDescent="0.35">
      <c r="R14" s="12">
        <v>45351</v>
      </c>
      <c r="S14" s="2">
        <v>50.33</v>
      </c>
      <c r="T14" s="2">
        <v>52.39</v>
      </c>
      <c r="U14" s="2">
        <v>51.5</v>
      </c>
      <c r="V14" s="2">
        <v>53.11</v>
      </c>
    </row>
    <row r="15" spans="1:22" x14ac:dyDescent="0.35">
      <c r="R15" s="12">
        <v>45382</v>
      </c>
      <c r="S15" s="2">
        <v>50.63</v>
      </c>
      <c r="T15" s="2">
        <v>52.44</v>
      </c>
      <c r="U15" s="2">
        <v>51.5</v>
      </c>
      <c r="V15" s="2">
        <v>53.11</v>
      </c>
    </row>
    <row r="16" spans="1:22" x14ac:dyDescent="0.35">
      <c r="R16" s="12">
        <v>45412</v>
      </c>
      <c r="S16" s="2">
        <v>50.27</v>
      </c>
      <c r="T16" s="2">
        <v>52.69</v>
      </c>
      <c r="U16" s="2">
        <v>51.5</v>
      </c>
      <c r="V16" s="2">
        <v>53.11</v>
      </c>
    </row>
    <row r="17" spans="18:22" x14ac:dyDescent="0.35">
      <c r="R17" s="12">
        <v>45443</v>
      </c>
      <c r="S17" s="2">
        <v>50.98</v>
      </c>
      <c r="T17" s="2">
        <v>54.03</v>
      </c>
      <c r="U17" s="2">
        <v>51.5</v>
      </c>
      <c r="V17" s="2">
        <v>53.11</v>
      </c>
    </row>
    <row r="18" spans="18:22" x14ac:dyDescent="0.35">
      <c r="R18" s="12">
        <v>45473</v>
      </c>
      <c r="S18" s="2">
        <v>50.84</v>
      </c>
      <c r="T18" s="2">
        <v>53.08</v>
      </c>
      <c r="U18" s="2">
        <v>51.5</v>
      </c>
      <c r="V18" s="2">
        <v>53.11</v>
      </c>
    </row>
    <row r="19" spans="18:22" x14ac:dyDescent="0.35">
      <c r="R19" s="12">
        <v>45504</v>
      </c>
      <c r="S19" s="2">
        <v>49.69</v>
      </c>
      <c r="T19" s="2">
        <v>53.34</v>
      </c>
      <c r="U19" s="2">
        <v>51.5</v>
      </c>
      <c r="V19" s="2">
        <v>53.11</v>
      </c>
    </row>
    <row r="20" spans="18:22" x14ac:dyDescent="0.35">
      <c r="R20" s="12">
        <v>45535</v>
      </c>
      <c r="S20" s="2">
        <v>49.54</v>
      </c>
      <c r="T20" s="2">
        <v>53.8</v>
      </c>
      <c r="U20" s="2">
        <v>51.5</v>
      </c>
      <c r="V20" s="2">
        <v>53.11</v>
      </c>
    </row>
    <row r="36" spans="1:14" x14ac:dyDescent="0.35">
      <c r="A36" s="2" t="s">
        <v>16</v>
      </c>
    </row>
    <row r="37" spans="1:14" x14ac:dyDescent="0.35">
      <c r="A37" s="61" t="s">
        <v>630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47" spans="1:14" x14ac:dyDescent="0.35">
      <c r="A47" s="32" t="s">
        <v>601</v>
      </c>
    </row>
  </sheetData>
  <mergeCells count="1">
    <mergeCell ref="A37:N38"/>
  </mergeCells>
  <hyperlinks>
    <hyperlink ref="A47" location="'Read Me'!A1" display="Return to Read Me" xr:uid="{BB63E4B0-F759-4356-82C2-F8CCD7355B1A}"/>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4ABA-DD1F-4BD9-AC82-EF3F781AEB05}">
  <dimension ref="A1:T47"/>
  <sheetViews>
    <sheetView zoomScale="70" zoomScaleNormal="70" workbookViewId="0">
      <selection activeCell="A37" sqref="A37:N38"/>
    </sheetView>
  </sheetViews>
  <sheetFormatPr defaultColWidth="8.58203125" defaultRowHeight="17.5" x14ac:dyDescent="0.35"/>
  <cols>
    <col min="1" max="16384" width="8.58203125" style="2"/>
  </cols>
  <sheetData>
    <row r="1" spans="1:20" s="7" customFormat="1" ht="25" x14ac:dyDescent="0.5">
      <c r="A1" s="7" t="s">
        <v>56</v>
      </c>
    </row>
    <row r="3" spans="1:20" x14ac:dyDescent="0.35">
      <c r="S3" s="12" t="s">
        <v>628</v>
      </c>
      <c r="T3" s="2" t="s">
        <v>60</v>
      </c>
    </row>
    <row r="4" spans="1:20" ht="36" x14ac:dyDescent="0.45">
      <c r="R4" s="8" t="s">
        <v>59</v>
      </c>
      <c r="S4" s="11">
        <v>2.2000000000000002</v>
      </c>
      <c r="T4" s="13">
        <v>2.5</v>
      </c>
    </row>
    <row r="5" spans="1:20" ht="36" x14ac:dyDescent="0.45">
      <c r="R5" s="8" t="s">
        <v>58</v>
      </c>
      <c r="S5" s="11">
        <v>0.5</v>
      </c>
      <c r="T5" s="13">
        <v>0.7</v>
      </c>
    </row>
    <row r="6" spans="1:20" x14ac:dyDescent="0.35">
      <c r="R6" s="2" t="s">
        <v>57</v>
      </c>
      <c r="S6" s="11">
        <v>4.7</v>
      </c>
      <c r="T6" s="11">
        <v>4.8</v>
      </c>
    </row>
    <row r="36" spans="1:14" x14ac:dyDescent="0.35">
      <c r="A36" s="2" t="s">
        <v>61</v>
      </c>
    </row>
    <row r="37" spans="1:14" x14ac:dyDescent="0.35">
      <c r="A37" s="62" t="s">
        <v>62</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47" spans="1:14" x14ac:dyDescent="0.35">
      <c r="A47" s="32" t="s">
        <v>601</v>
      </c>
    </row>
  </sheetData>
  <mergeCells count="1">
    <mergeCell ref="A37:N38"/>
  </mergeCells>
  <hyperlinks>
    <hyperlink ref="A47" location="'Read Me'!A1" display="Return to Read Me" xr:uid="{09C7E730-5B72-4F62-B74A-2DAE11A21B44}"/>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620A0-C57A-4E6C-879B-67F942295D26}">
  <dimension ref="A1:T180"/>
  <sheetViews>
    <sheetView zoomScale="70" zoomScaleNormal="70" workbookViewId="0">
      <selection activeCell="L40" sqref="L40"/>
    </sheetView>
  </sheetViews>
  <sheetFormatPr defaultColWidth="8.58203125" defaultRowHeight="17.5" x14ac:dyDescent="0.35"/>
  <cols>
    <col min="1" max="16384" width="8.58203125" style="2"/>
  </cols>
  <sheetData>
    <row r="1" spans="1:20" s="7" customFormat="1" ht="25" x14ac:dyDescent="0.5">
      <c r="A1" s="7" t="s">
        <v>63</v>
      </c>
    </row>
    <row r="3" spans="1:20" x14ac:dyDescent="0.35">
      <c r="S3" s="2" t="s">
        <v>65</v>
      </c>
      <c r="T3" s="2" t="s">
        <v>64</v>
      </c>
    </row>
    <row r="4" spans="1:20" x14ac:dyDescent="0.35">
      <c r="R4" s="12">
        <v>45296</v>
      </c>
      <c r="S4" s="2">
        <v>99.96</v>
      </c>
      <c r="T4" s="2">
        <v>96.2</v>
      </c>
    </row>
    <row r="5" spans="1:20" x14ac:dyDescent="0.35">
      <c r="R5" s="12">
        <v>45299</v>
      </c>
      <c r="S5" s="2">
        <v>99.98</v>
      </c>
      <c r="T5" s="2">
        <v>97.02</v>
      </c>
    </row>
    <row r="6" spans="1:20" x14ac:dyDescent="0.35">
      <c r="R6" s="12">
        <v>45300</v>
      </c>
      <c r="S6" s="2">
        <v>99.97</v>
      </c>
      <c r="T6" s="2">
        <v>96.31</v>
      </c>
    </row>
    <row r="7" spans="1:20" x14ac:dyDescent="0.35">
      <c r="R7" s="12">
        <v>45301</v>
      </c>
      <c r="S7" s="2">
        <v>99.99</v>
      </c>
      <c r="T7" s="2">
        <v>97.27</v>
      </c>
    </row>
    <row r="8" spans="1:20" x14ac:dyDescent="0.35">
      <c r="R8" s="12">
        <v>45302</v>
      </c>
      <c r="S8" s="2">
        <v>100</v>
      </c>
      <c r="T8" s="2">
        <v>99.67</v>
      </c>
    </row>
    <row r="9" spans="1:20" x14ac:dyDescent="0.35">
      <c r="R9" s="12">
        <v>45303</v>
      </c>
      <c r="S9" s="2">
        <v>100</v>
      </c>
      <c r="T9" s="2">
        <v>99.98</v>
      </c>
    </row>
    <row r="10" spans="1:20" x14ac:dyDescent="0.35">
      <c r="R10" s="12">
        <v>45307</v>
      </c>
      <c r="S10" s="2">
        <v>100</v>
      </c>
      <c r="T10" s="2">
        <v>99.92</v>
      </c>
    </row>
    <row r="11" spans="1:20" x14ac:dyDescent="0.35">
      <c r="R11" s="12">
        <v>45308</v>
      </c>
      <c r="S11" s="2">
        <v>99.99</v>
      </c>
      <c r="T11" s="2">
        <v>97.36</v>
      </c>
    </row>
    <row r="12" spans="1:20" x14ac:dyDescent="0.35">
      <c r="R12" s="12">
        <v>45309</v>
      </c>
      <c r="S12" s="2">
        <v>99.99</v>
      </c>
      <c r="T12" s="2">
        <v>97.72</v>
      </c>
    </row>
    <row r="13" spans="1:20" x14ac:dyDescent="0.35">
      <c r="R13" s="12">
        <v>45310</v>
      </c>
      <c r="S13" s="2">
        <v>99.95</v>
      </c>
      <c r="T13" s="2">
        <v>94.65</v>
      </c>
    </row>
    <row r="14" spans="1:20" x14ac:dyDescent="0.35">
      <c r="R14" s="12">
        <v>45313</v>
      </c>
      <c r="S14" s="2">
        <v>99.99</v>
      </c>
      <c r="T14" s="2">
        <v>96.47</v>
      </c>
    </row>
    <row r="15" spans="1:20" x14ac:dyDescent="0.35">
      <c r="R15" s="12">
        <v>45314</v>
      </c>
      <c r="S15" s="2">
        <v>99.97</v>
      </c>
      <c r="T15" s="2">
        <v>96.04</v>
      </c>
    </row>
    <row r="16" spans="1:20" x14ac:dyDescent="0.35">
      <c r="R16" s="12">
        <v>45315</v>
      </c>
      <c r="S16" s="2">
        <v>99.99</v>
      </c>
      <c r="T16" s="2">
        <v>96</v>
      </c>
    </row>
    <row r="17" spans="18:20" x14ac:dyDescent="0.35">
      <c r="R17" s="12">
        <v>45316</v>
      </c>
      <c r="S17" s="2">
        <v>100</v>
      </c>
      <c r="T17" s="2">
        <v>97.84</v>
      </c>
    </row>
    <row r="18" spans="18:20" x14ac:dyDescent="0.35">
      <c r="R18" s="12">
        <v>45317</v>
      </c>
      <c r="S18" s="2">
        <v>99.96</v>
      </c>
      <c r="T18" s="2">
        <v>95.24</v>
      </c>
    </row>
    <row r="19" spans="18:20" x14ac:dyDescent="0.35">
      <c r="R19" s="12">
        <v>45320</v>
      </c>
      <c r="S19" s="2">
        <v>99.99</v>
      </c>
      <c r="T19" s="2">
        <v>97.11</v>
      </c>
    </row>
    <row r="20" spans="18:20" x14ac:dyDescent="0.35">
      <c r="R20" s="12">
        <v>45321</v>
      </c>
      <c r="S20" s="2">
        <v>99.95</v>
      </c>
      <c r="T20" s="2">
        <v>94.46</v>
      </c>
    </row>
    <row r="21" spans="18:20" x14ac:dyDescent="0.35">
      <c r="R21" s="12">
        <v>45322</v>
      </c>
      <c r="S21" s="2">
        <v>100</v>
      </c>
      <c r="T21" s="2">
        <v>99.36</v>
      </c>
    </row>
    <row r="22" spans="18:20" x14ac:dyDescent="0.35">
      <c r="R22" s="12">
        <v>45323</v>
      </c>
      <c r="S22" s="2">
        <v>100</v>
      </c>
      <c r="T22" s="2">
        <v>99.6</v>
      </c>
    </row>
    <row r="23" spans="18:20" x14ac:dyDescent="0.35">
      <c r="R23" s="12">
        <v>45324</v>
      </c>
      <c r="S23" s="2">
        <v>99.92</v>
      </c>
      <c r="T23" s="2">
        <v>91.83</v>
      </c>
    </row>
    <row r="24" spans="18:20" x14ac:dyDescent="0.35">
      <c r="R24" s="12">
        <v>45327</v>
      </c>
      <c r="S24" s="2">
        <v>99.63</v>
      </c>
      <c r="T24" s="2">
        <v>83.33</v>
      </c>
    </row>
    <row r="25" spans="18:20" x14ac:dyDescent="0.35">
      <c r="R25" s="12">
        <v>45328</v>
      </c>
      <c r="S25" s="2">
        <v>99.89</v>
      </c>
      <c r="T25" s="2">
        <v>90.14</v>
      </c>
    </row>
    <row r="26" spans="18:20" x14ac:dyDescent="0.35">
      <c r="R26" s="12">
        <v>45329</v>
      </c>
      <c r="S26" s="2">
        <v>99.9</v>
      </c>
      <c r="T26" s="2">
        <v>89.54</v>
      </c>
    </row>
    <row r="27" spans="18:20" x14ac:dyDescent="0.35">
      <c r="R27" s="12">
        <v>45330</v>
      </c>
      <c r="S27" s="2">
        <v>99.75</v>
      </c>
      <c r="T27" s="2">
        <v>85.76</v>
      </c>
    </row>
    <row r="28" spans="18:20" x14ac:dyDescent="0.35">
      <c r="R28" s="12">
        <v>45331</v>
      </c>
      <c r="S28" s="2">
        <v>99.43</v>
      </c>
      <c r="T28" s="2">
        <v>80.27</v>
      </c>
    </row>
    <row r="29" spans="18:20" x14ac:dyDescent="0.35">
      <c r="R29" s="12">
        <v>45334</v>
      </c>
      <c r="S29" s="2">
        <v>99.49</v>
      </c>
      <c r="T29" s="2">
        <v>81.36</v>
      </c>
    </row>
    <row r="30" spans="18:20" x14ac:dyDescent="0.35">
      <c r="R30" s="12">
        <v>45335</v>
      </c>
      <c r="S30" s="2">
        <v>95.47</v>
      </c>
      <c r="T30" s="2">
        <v>51.02</v>
      </c>
    </row>
    <row r="31" spans="18:20" x14ac:dyDescent="0.35">
      <c r="R31" s="12">
        <v>45336</v>
      </c>
      <c r="S31" s="2">
        <v>97.68</v>
      </c>
      <c r="T31" s="2">
        <v>62.44</v>
      </c>
    </row>
    <row r="32" spans="18:20" x14ac:dyDescent="0.35">
      <c r="R32" s="12">
        <v>45337</v>
      </c>
      <c r="S32" s="2">
        <v>98.02</v>
      </c>
      <c r="T32" s="2">
        <v>64.569999999999993</v>
      </c>
    </row>
    <row r="33" spans="1:20" x14ac:dyDescent="0.35">
      <c r="R33" s="12">
        <v>45338</v>
      </c>
      <c r="S33" s="2">
        <v>96.17</v>
      </c>
      <c r="T33" s="2">
        <v>53.57</v>
      </c>
    </row>
    <row r="34" spans="1:20" x14ac:dyDescent="0.35">
      <c r="R34" s="12">
        <v>45342</v>
      </c>
      <c r="S34" s="2">
        <v>96.98</v>
      </c>
      <c r="T34" s="2">
        <v>57.77</v>
      </c>
    </row>
    <row r="35" spans="1:20" x14ac:dyDescent="0.35">
      <c r="R35" s="12">
        <v>45343</v>
      </c>
      <c r="S35" s="2">
        <v>95.91</v>
      </c>
      <c r="T35" s="2">
        <v>52.21</v>
      </c>
    </row>
    <row r="36" spans="1:20" x14ac:dyDescent="0.35">
      <c r="A36" s="2" t="s">
        <v>66</v>
      </c>
      <c r="R36" s="12">
        <v>45344</v>
      </c>
      <c r="S36" s="2">
        <v>93.11</v>
      </c>
      <c r="T36" s="2">
        <v>41.9</v>
      </c>
    </row>
    <row r="37" spans="1:20" x14ac:dyDescent="0.35">
      <c r="A37" s="61" t="s">
        <v>67</v>
      </c>
      <c r="B37" s="61"/>
      <c r="C37" s="61"/>
      <c r="D37" s="61"/>
      <c r="E37" s="61"/>
      <c r="F37" s="61"/>
      <c r="G37" s="61"/>
      <c r="H37" s="61"/>
      <c r="I37" s="61"/>
      <c r="J37" s="61"/>
      <c r="K37" s="61"/>
      <c r="L37" s="61"/>
      <c r="M37" s="61"/>
      <c r="N37" s="61"/>
      <c r="R37" s="12">
        <v>45345</v>
      </c>
      <c r="S37" s="2">
        <v>93.83</v>
      </c>
      <c r="T37" s="2">
        <v>43.66</v>
      </c>
    </row>
    <row r="38" spans="1:20" x14ac:dyDescent="0.35">
      <c r="A38" s="61"/>
      <c r="B38" s="61"/>
      <c r="C38" s="61"/>
      <c r="D38" s="61"/>
      <c r="E38" s="61"/>
      <c r="F38" s="61"/>
      <c r="G38" s="61"/>
      <c r="H38" s="61"/>
      <c r="I38" s="61"/>
      <c r="J38" s="61"/>
      <c r="K38" s="61"/>
      <c r="L38" s="61"/>
      <c r="M38" s="61"/>
      <c r="N38" s="61"/>
      <c r="R38" s="12">
        <v>45348</v>
      </c>
      <c r="S38" s="2">
        <v>92.03</v>
      </c>
      <c r="T38" s="2">
        <v>37.090000000000003</v>
      </c>
    </row>
    <row r="39" spans="1:20" x14ac:dyDescent="0.35">
      <c r="A39" s="61"/>
      <c r="B39" s="61"/>
      <c r="C39" s="61"/>
      <c r="D39" s="61"/>
      <c r="E39" s="61"/>
      <c r="F39" s="61"/>
      <c r="G39" s="61"/>
      <c r="H39" s="61"/>
      <c r="I39" s="61"/>
      <c r="J39" s="61"/>
      <c r="K39" s="61"/>
      <c r="L39" s="61"/>
      <c r="M39" s="61"/>
      <c r="N39" s="61"/>
      <c r="R39" s="12">
        <v>45349</v>
      </c>
      <c r="S39" s="2">
        <v>91.01</v>
      </c>
      <c r="T39" s="2">
        <v>35.08</v>
      </c>
    </row>
    <row r="40" spans="1:20" x14ac:dyDescent="0.35">
      <c r="R40" s="12">
        <v>45350</v>
      </c>
      <c r="S40" s="2">
        <v>94.18</v>
      </c>
      <c r="T40" s="2">
        <v>44.03</v>
      </c>
    </row>
    <row r="41" spans="1:20" x14ac:dyDescent="0.35">
      <c r="R41" s="12">
        <v>45351</v>
      </c>
      <c r="S41" s="2">
        <v>93.75</v>
      </c>
      <c r="T41" s="2">
        <v>42.59</v>
      </c>
    </row>
    <row r="42" spans="1:20" x14ac:dyDescent="0.35">
      <c r="R42" s="12">
        <v>45352</v>
      </c>
      <c r="S42" s="2">
        <v>97.02</v>
      </c>
      <c r="T42" s="2">
        <v>56.94</v>
      </c>
    </row>
    <row r="43" spans="1:20" x14ac:dyDescent="0.35">
      <c r="R43" s="12">
        <v>45355</v>
      </c>
      <c r="S43" s="2">
        <v>94.65</v>
      </c>
      <c r="T43" s="2">
        <v>45.4</v>
      </c>
    </row>
    <row r="44" spans="1:20" x14ac:dyDescent="0.35">
      <c r="R44" s="12">
        <v>45356</v>
      </c>
      <c r="S44" s="2">
        <v>96.42</v>
      </c>
      <c r="T44" s="2">
        <v>52.67</v>
      </c>
    </row>
    <row r="45" spans="1:20" x14ac:dyDescent="0.35">
      <c r="R45" s="12">
        <v>45357</v>
      </c>
      <c r="S45" s="2">
        <v>96.09</v>
      </c>
      <c r="T45" s="2">
        <v>51.01</v>
      </c>
    </row>
    <row r="46" spans="1:20" x14ac:dyDescent="0.35">
      <c r="R46" s="12">
        <v>45358</v>
      </c>
      <c r="S46" s="2">
        <v>97.13</v>
      </c>
      <c r="T46" s="2">
        <v>56.79</v>
      </c>
    </row>
    <row r="47" spans="1:20" x14ac:dyDescent="0.35">
      <c r="A47" s="32" t="s">
        <v>601</v>
      </c>
      <c r="R47" s="12">
        <v>45359</v>
      </c>
      <c r="S47" s="2">
        <v>97.97</v>
      </c>
      <c r="T47" s="2">
        <v>61.38</v>
      </c>
    </row>
    <row r="48" spans="1:20" x14ac:dyDescent="0.35">
      <c r="R48" s="12">
        <v>45362</v>
      </c>
      <c r="S48" s="2">
        <v>97.11</v>
      </c>
      <c r="T48" s="2">
        <v>55.79</v>
      </c>
    </row>
    <row r="49" spans="18:20" x14ac:dyDescent="0.35">
      <c r="R49" s="12">
        <v>45363</v>
      </c>
      <c r="S49" s="2">
        <v>95.33</v>
      </c>
      <c r="T49" s="2">
        <v>46.4</v>
      </c>
    </row>
    <row r="50" spans="18:20" x14ac:dyDescent="0.35">
      <c r="R50" s="12">
        <v>45364</v>
      </c>
      <c r="S50" s="2">
        <v>94.03</v>
      </c>
      <c r="T50" s="2">
        <v>41.89</v>
      </c>
    </row>
    <row r="51" spans="18:20" x14ac:dyDescent="0.35">
      <c r="R51" s="12">
        <v>45365</v>
      </c>
      <c r="S51" s="2">
        <v>91.37</v>
      </c>
      <c r="T51" s="2">
        <v>34.18</v>
      </c>
    </row>
    <row r="52" spans="18:20" x14ac:dyDescent="0.35">
      <c r="R52" s="12">
        <v>45366</v>
      </c>
      <c r="S52" s="2">
        <v>89.92</v>
      </c>
      <c r="T52" s="2">
        <v>30.97</v>
      </c>
    </row>
    <row r="53" spans="18:20" x14ac:dyDescent="0.35">
      <c r="R53" s="12">
        <v>45369</v>
      </c>
      <c r="S53" s="2">
        <v>87.93</v>
      </c>
      <c r="T53" s="2">
        <v>27.06</v>
      </c>
    </row>
    <row r="54" spans="18:20" x14ac:dyDescent="0.35">
      <c r="R54" s="12">
        <v>45370</v>
      </c>
      <c r="S54" s="2">
        <v>89.34</v>
      </c>
      <c r="T54" s="2">
        <v>29.55</v>
      </c>
    </row>
    <row r="55" spans="18:20" x14ac:dyDescent="0.35">
      <c r="R55" s="12">
        <v>45371</v>
      </c>
      <c r="S55" s="2">
        <v>94.86</v>
      </c>
      <c r="T55" s="2">
        <v>44.09</v>
      </c>
    </row>
    <row r="56" spans="18:20" x14ac:dyDescent="0.35">
      <c r="R56" s="12">
        <v>45372</v>
      </c>
      <c r="S56" s="2">
        <v>94.2</v>
      </c>
      <c r="T56" s="2">
        <v>41.02</v>
      </c>
    </row>
    <row r="57" spans="18:20" x14ac:dyDescent="0.35">
      <c r="R57" s="12">
        <v>45373</v>
      </c>
      <c r="S57" s="2">
        <v>95.03</v>
      </c>
      <c r="T57" s="2">
        <v>43.96</v>
      </c>
    </row>
    <row r="58" spans="18:20" x14ac:dyDescent="0.35">
      <c r="R58" s="12">
        <v>45376</v>
      </c>
      <c r="S58" s="2">
        <v>93.56</v>
      </c>
      <c r="T58" s="2">
        <v>38.880000000000003</v>
      </c>
    </row>
    <row r="59" spans="18:20" x14ac:dyDescent="0.35">
      <c r="R59" s="12">
        <v>45377</v>
      </c>
      <c r="S59" s="2">
        <v>92.72</v>
      </c>
      <c r="T59" s="2">
        <v>36.880000000000003</v>
      </c>
    </row>
    <row r="60" spans="18:20" x14ac:dyDescent="0.35">
      <c r="R60" s="12">
        <v>45378</v>
      </c>
      <c r="S60" s="2">
        <v>93.68</v>
      </c>
      <c r="T60" s="2">
        <v>39.72</v>
      </c>
    </row>
    <row r="61" spans="18:20" x14ac:dyDescent="0.35">
      <c r="R61" s="12">
        <v>45379</v>
      </c>
      <c r="S61" s="2">
        <v>90.7</v>
      </c>
      <c r="T61" s="2">
        <v>31.66</v>
      </c>
    </row>
    <row r="62" spans="18:20" x14ac:dyDescent="0.35">
      <c r="R62" s="12">
        <v>45383</v>
      </c>
      <c r="S62" s="2">
        <v>84.86</v>
      </c>
      <c r="T62" s="2">
        <v>21.52</v>
      </c>
    </row>
    <row r="63" spans="18:20" x14ac:dyDescent="0.35">
      <c r="R63" s="12">
        <v>45384</v>
      </c>
      <c r="S63" s="2">
        <v>87.31</v>
      </c>
      <c r="T63" s="2">
        <v>24.53</v>
      </c>
    </row>
    <row r="64" spans="18:20" x14ac:dyDescent="0.35">
      <c r="R64" s="12">
        <v>45385</v>
      </c>
      <c r="S64" s="2">
        <v>88.77</v>
      </c>
      <c r="T64" s="2">
        <v>26.58</v>
      </c>
    </row>
    <row r="65" spans="18:20" x14ac:dyDescent="0.35">
      <c r="R65" s="12">
        <v>45386</v>
      </c>
      <c r="S65" s="2">
        <v>90.72</v>
      </c>
      <c r="T65" s="2">
        <v>32.11</v>
      </c>
    </row>
    <row r="66" spans="18:20" x14ac:dyDescent="0.35">
      <c r="R66" s="12">
        <v>45387</v>
      </c>
      <c r="S66" s="2">
        <v>84.93</v>
      </c>
      <c r="T66" s="2">
        <v>22.04</v>
      </c>
    </row>
    <row r="67" spans="18:20" x14ac:dyDescent="0.35">
      <c r="R67" s="12">
        <v>45390</v>
      </c>
      <c r="S67" s="2">
        <v>80.989999999999995</v>
      </c>
      <c r="T67" s="2">
        <v>17.2</v>
      </c>
    </row>
    <row r="68" spans="18:20" x14ac:dyDescent="0.35">
      <c r="R68" s="12">
        <v>45391</v>
      </c>
      <c r="S68" s="2">
        <v>85.22</v>
      </c>
      <c r="T68" s="2">
        <v>22.36</v>
      </c>
    </row>
    <row r="69" spans="18:20" x14ac:dyDescent="0.35">
      <c r="R69" s="12">
        <v>45392</v>
      </c>
      <c r="S69" s="2">
        <v>53.11</v>
      </c>
      <c r="T69" s="2">
        <v>3.87</v>
      </c>
    </row>
    <row r="70" spans="18:20" x14ac:dyDescent="0.35">
      <c r="R70" s="12">
        <v>45393</v>
      </c>
      <c r="S70" s="2">
        <v>54.65</v>
      </c>
      <c r="T70" s="2">
        <v>4.42</v>
      </c>
    </row>
    <row r="71" spans="18:20" x14ac:dyDescent="0.35">
      <c r="R71" s="12">
        <v>45394</v>
      </c>
      <c r="S71" s="2">
        <v>63.1</v>
      </c>
      <c r="T71" s="2">
        <v>7.34</v>
      </c>
    </row>
    <row r="72" spans="18:20" x14ac:dyDescent="0.35">
      <c r="R72" s="12">
        <v>45397</v>
      </c>
      <c r="S72" s="2">
        <v>55.85</v>
      </c>
      <c r="T72" s="2">
        <v>4.7</v>
      </c>
    </row>
    <row r="73" spans="18:20" x14ac:dyDescent="0.35">
      <c r="R73" s="12">
        <v>45398</v>
      </c>
      <c r="S73" s="2">
        <v>56</v>
      </c>
      <c r="T73" s="2">
        <v>4.6100000000000003</v>
      </c>
    </row>
    <row r="74" spans="18:20" x14ac:dyDescent="0.35">
      <c r="R74" s="12">
        <v>45399</v>
      </c>
      <c r="S74" s="2">
        <v>57.09</v>
      </c>
      <c r="T74" s="2">
        <v>4.87</v>
      </c>
    </row>
    <row r="75" spans="18:20" x14ac:dyDescent="0.35">
      <c r="R75" s="12">
        <v>45400</v>
      </c>
      <c r="S75" s="2">
        <v>48.22</v>
      </c>
      <c r="T75" s="2">
        <v>3</v>
      </c>
    </row>
    <row r="76" spans="18:20" x14ac:dyDescent="0.35">
      <c r="R76" s="12">
        <v>45401</v>
      </c>
      <c r="S76" s="2">
        <v>51.47</v>
      </c>
      <c r="T76" s="2">
        <v>3.69</v>
      </c>
    </row>
    <row r="77" spans="18:20" x14ac:dyDescent="0.35">
      <c r="R77" s="12">
        <v>45404</v>
      </c>
      <c r="S77" s="2">
        <v>51.47</v>
      </c>
      <c r="T77" s="2">
        <v>3.64</v>
      </c>
    </row>
    <row r="78" spans="18:20" x14ac:dyDescent="0.35">
      <c r="R78" s="12">
        <v>45405</v>
      </c>
      <c r="S78" s="2">
        <v>58.81</v>
      </c>
      <c r="T78" s="2">
        <v>5.23</v>
      </c>
    </row>
    <row r="79" spans="18:20" x14ac:dyDescent="0.35">
      <c r="R79" s="12">
        <v>45406</v>
      </c>
      <c r="S79" s="2">
        <v>54.05</v>
      </c>
      <c r="T79" s="2">
        <v>4</v>
      </c>
    </row>
    <row r="80" spans="18:20" x14ac:dyDescent="0.35">
      <c r="R80" s="12">
        <v>45407</v>
      </c>
      <c r="S80" s="2">
        <v>41.13</v>
      </c>
      <c r="T80" s="2">
        <v>1.78</v>
      </c>
    </row>
    <row r="81" spans="18:20" x14ac:dyDescent="0.35">
      <c r="R81" s="12">
        <v>45408</v>
      </c>
      <c r="S81" s="2">
        <v>40.700000000000003</v>
      </c>
      <c r="T81" s="2">
        <v>1.72</v>
      </c>
    </row>
    <row r="82" spans="18:20" x14ac:dyDescent="0.35">
      <c r="R82" s="12">
        <v>45411</v>
      </c>
      <c r="S82" s="2">
        <v>43.27</v>
      </c>
      <c r="T82" s="2">
        <v>2.02</v>
      </c>
    </row>
    <row r="83" spans="18:20" x14ac:dyDescent="0.35">
      <c r="R83" s="12">
        <v>45412</v>
      </c>
      <c r="S83" s="2">
        <v>31.34</v>
      </c>
      <c r="T83" s="2">
        <v>0.81</v>
      </c>
    </row>
    <row r="84" spans="18:20" x14ac:dyDescent="0.35">
      <c r="R84" s="12">
        <v>45413</v>
      </c>
      <c r="S84" s="2">
        <v>43.29</v>
      </c>
      <c r="T84" s="2">
        <v>1.83</v>
      </c>
    </row>
    <row r="85" spans="18:20" x14ac:dyDescent="0.35">
      <c r="R85" s="12">
        <v>45414</v>
      </c>
      <c r="S85" s="2">
        <v>51.22</v>
      </c>
      <c r="T85" s="2">
        <v>3.13</v>
      </c>
    </row>
    <row r="86" spans="18:20" x14ac:dyDescent="0.35">
      <c r="R86" s="12">
        <v>45415</v>
      </c>
      <c r="S86" s="2">
        <v>62.55</v>
      </c>
      <c r="T86" s="2">
        <v>5.07</v>
      </c>
    </row>
    <row r="87" spans="18:20" x14ac:dyDescent="0.35">
      <c r="R87" s="12">
        <v>45418</v>
      </c>
      <c r="S87" s="2">
        <v>58.52</v>
      </c>
      <c r="T87" s="2">
        <v>4.0999999999999996</v>
      </c>
    </row>
    <row r="88" spans="18:20" x14ac:dyDescent="0.35">
      <c r="R88" s="12">
        <v>45419</v>
      </c>
      <c r="S88" s="2">
        <v>58.58</v>
      </c>
      <c r="T88" s="2">
        <v>4.04</v>
      </c>
    </row>
    <row r="89" spans="18:20" x14ac:dyDescent="0.35">
      <c r="R89" s="12">
        <v>45420</v>
      </c>
      <c r="S89" s="2">
        <v>57.69</v>
      </c>
      <c r="T89" s="2">
        <v>3.93</v>
      </c>
    </row>
    <row r="90" spans="18:20" x14ac:dyDescent="0.35">
      <c r="R90" s="12">
        <v>45421</v>
      </c>
      <c r="S90" s="2">
        <v>61.72</v>
      </c>
      <c r="T90" s="2">
        <v>4.91</v>
      </c>
    </row>
    <row r="91" spans="18:20" x14ac:dyDescent="0.35">
      <c r="R91" s="12">
        <v>45422</v>
      </c>
      <c r="S91" s="2">
        <v>53.5</v>
      </c>
      <c r="T91" s="2">
        <v>2.69</v>
      </c>
    </row>
    <row r="92" spans="18:20" x14ac:dyDescent="0.35">
      <c r="R92" s="12">
        <v>45425</v>
      </c>
      <c r="S92" s="2">
        <v>53.5</v>
      </c>
      <c r="T92" s="2">
        <v>2.69</v>
      </c>
    </row>
    <row r="93" spans="18:20" x14ac:dyDescent="0.35">
      <c r="R93" s="12">
        <v>45426</v>
      </c>
      <c r="S93" s="2">
        <v>57.85</v>
      </c>
      <c r="T93" s="2">
        <v>3.35</v>
      </c>
    </row>
    <row r="94" spans="18:20" x14ac:dyDescent="0.35">
      <c r="R94" s="12">
        <v>45427</v>
      </c>
      <c r="S94" s="2">
        <v>68.34</v>
      </c>
      <c r="T94" s="2">
        <v>5.69</v>
      </c>
    </row>
    <row r="95" spans="18:20" x14ac:dyDescent="0.35">
      <c r="R95" s="12">
        <v>45428</v>
      </c>
      <c r="S95" s="2">
        <v>60.58</v>
      </c>
      <c r="T95" s="2">
        <v>4.1500000000000004</v>
      </c>
    </row>
    <row r="96" spans="18:20" x14ac:dyDescent="0.35">
      <c r="R96" s="12">
        <v>45429</v>
      </c>
      <c r="S96" s="2">
        <v>57.96</v>
      </c>
      <c r="T96" s="2">
        <v>3.8</v>
      </c>
    </row>
    <row r="97" spans="18:20" x14ac:dyDescent="0.35">
      <c r="R97" s="12">
        <v>45432</v>
      </c>
      <c r="S97" s="2">
        <v>53.75</v>
      </c>
      <c r="T97" s="2">
        <v>2.5099999999999998</v>
      </c>
    </row>
    <row r="98" spans="18:20" x14ac:dyDescent="0.35">
      <c r="R98" s="12">
        <v>45433</v>
      </c>
      <c r="S98" s="2">
        <v>57.21</v>
      </c>
      <c r="T98" s="2">
        <v>3.08</v>
      </c>
    </row>
    <row r="99" spans="18:20" x14ac:dyDescent="0.35">
      <c r="R99" s="12">
        <v>45434</v>
      </c>
      <c r="S99" s="2">
        <v>50.38</v>
      </c>
      <c r="T99" s="2">
        <v>1.45</v>
      </c>
    </row>
    <row r="100" spans="18:20" x14ac:dyDescent="0.35">
      <c r="R100" s="12">
        <v>45435</v>
      </c>
      <c r="S100" s="2">
        <v>42.27</v>
      </c>
      <c r="T100" s="2">
        <v>0.67</v>
      </c>
    </row>
    <row r="101" spans="18:20" x14ac:dyDescent="0.35">
      <c r="R101" s="12">
        <v>45436</v>
      </c>
      <c r="S101" s="2">
        <v>40.33</v>
      </c>
      <c r="T101" s="2">
        <v>0.6</v>
      </c>
    </row>
    <row r="102" spans="18:20" x14ac:dyDescent="0.35">
      <c r="R102" s="12">
        <v>45440</v>
      </c>
      <c r="S102" s="2">
        <v>36.49</v>
      </c>
      <c r="T102" s="2">
        <v>0.46</v>
      </c>
    </row>
    <row r="103" spans="18:20" x14ac:dyDescent="0.35">
      <c r="R103" s="12">
        <v>45441</v>
      </c>
      <c r="S103" s="2">
        <v>36.549999999999997</v>
      </c>
      <c r="T103" s="2">
        <v>0.55000000000000004</v>
      </c>
    </row>
    <row r="104" spans="18:20" x14ac:dyDescent="0.35">
      <c r="R104" s="12">
        <v>45442</v>
      </c>
      <c r="S104" s="2">
        <v>43.11</v>
      </c>
      <c r="T104" s="2">
        <v>0.83</v>
      </c>
    </row>
    <row r="105" spans="18:20" x14ac:dyDescent="0.35">
      <c r="R105" s="12">
        <v>45443</v>
      </c>
      <c r="S105" s="2">
        <v>46.09</v>
      </c>
      <c r="T105" s="2">
        <v>1.31</v>
      </c>
    </row>
    <row r="106" spans="18:20" x14ac:dyDescent="0.35">
      <c r="R106" s="12">
        <v>45446</v>
      </c>
      <c r="S106" s="2">
        <v>54.2</v>
      </c>
      <c r="T106" s="2">
        <v>1.79</v>
      </c>
    </row>
    <row r="107" spans="18:20" x14ac:dyDescent="0.35">
      <c r="R107" s="12">
        <v>45447</v>
      </c>
      <c r="S107" s="2">
        <v>62.36</v>
      </c>
      <c r="T107" s="2">
        <v>2.75</v>
      </c>
    </row>
    <row r="108" spans="18:20" x14ac:dyDescent="0.35">
      <c r="R108" s="12">
        <v>45448</v>
      </c>
      <c r="S108" s="2">
        <v>67.180000000000007</v>
      </c>
      <c r="T108" s="2">
        <v>3.68</v>
      </c>
    </row>
    <row r="109" spans="18:20" x14ac:dyDescent="0.35">
      <c r="R109" s="12">
        <v>45449</v>
      </c>
      <c r="S109" s="2">
        <v>68.66</v>
      </c>
      <c r="T109" s="2">
        <v>4.3499999999999996</v>
      </c>
    </row>
    <row r="110" spans="18:20" x14ac:dyDescent="0.35">
      <c r="R110" s="12">
        <v>45450</v>
      </c>
      <c r="S110" s="2">
        <v>46.97</v>
      </c>
      <c r="T110" s="2">
        <v>0.76</v>
      </c>
    </row>
    <row r="111" spans="18:20" x14ac:dyDescent="0.35">
      <c r="R111" s="12">
        <v>45453</v>
      </c>
      <c r="S111" s="2">
        <v>48.93</v>
      </c>
      <c r="T111" s="2">
        <v>1.0900000000000001</v>
      </c>
    </row>
    <row r="112" spans="18:20" x14ac:dyDescent="0.35">
      <c r="R112" s="12">
        <v>45454</v>
      </c>
      <c r="S112" s="2">
        <v>52.54</v>
      </c>
      <c r="T112" s="2">
        <v>1.45</v>
      </c>
    </row>
    <row r="113" spans="18:20" x14ac:dyDescent="0.35">
      <c r="R113" s="12">
        <v>45455</v>
      </c>
      <c r="S113" s="2">
        <v>63.46</v>
      </c>
      <c r="T113" s="2">
        <v>1.34</v>
      </c>
    </row>
    <row r="114" spans="18:20" x14ac:dyDescent="0.35">
      <c r="R114" s="12">
        <v>45456</v>
      </c>
      <c r="S114" s="2">
        <v>71.459999999999994</v>
      </c>
      <c r="T114" s="2">
        <v>2.17</v>
      </c>
    </row>
    <row r="115" spans="18:20" x14ac:dyDescent="0.35">
      <c r="R115" s="12">
        <v>45457</v>
      </c>
      <c r="S115" s="2">
        <v>73.64</v>
      </c>
      <c r="T115" s="2">
        <v>2.81</v>
      </c>
    </row>
    <row r="116" spans="18:20" x14ac:dyDescent="0.35">
      <c r="R116" s="12">
        <v>45460</v>
      </c>
      <c r="S116" s="2">
        <v>63.2</v>
      </c>
      <c r="T116" s="2">
        <v>1.33</v>
      </c>
    </row>
    <row r="117" spans="18:20" x14ac:dyDescent="0.35">
      <c r="R117" s="12">
        <v>45461</v>
      </c>
      <c r="S117" s="2">
        <v>69.98</v>
      </c>
      <c r="T117" s="2">
        <v>1.65</v>
      </c>
    </row>
    <row r="118" spans="18:20" x14ac:dyDescent="0.35">
      <c r="R118" s="12">
        <v>45463</v>
      </c>
      <c r="S118" s="2">
        <v>65.36</v>
      </c>
      <c r="T118" s="2">
        <v>2.0699999999999998</v>
      </c>
    </row>
    <row r="119" spans="18:20" x14ac:dyDescent="0.35">
      <c r="R119" s="12">
        <v>45464</v>
      </c>
      <c r="S119" s="2">
        <v>66.87</v>
      </c>
      <c r="T119" s="2">
        <v>1.8</v>
      </c>
    </row>
    <row r="120" spans="18:20" x14ac:dyDescent="0.35">
      <c r="R120" s="12">
        <v>45467</v>
      </c>
      <c r="S120" s="2">
        <v>68.5</v>
      </c>
      <c r="T120" s="2">
        <v>2.23</v>
      </c>
    </row>
    <row r="121" spans="18:20" x14ac:dyDescent="0.35">
      <c r="R121" s="12">
        <v>45468</v>
      </c>
      <c r="S121" s="2">
        <v>67.48</v>
      </c>
      <c r="T121" s="2">
        <v>2.16</v>
      </c>
    </row>
    <row r="122" spans="18:20" x14ac:dyDescent="0.35">
      <c r="R122" s="12">
        <v>45469</v>
      </c>
      <c r="S122" s="2">
        <v>61.13</v>
      </c>
      <c r="T122" s="2">
        <v>1.49</v>
      </c>
    </row>
    <row r="123" spans="18:20" x14ac:dyDescent="0.35">
      <c r="R123" s="12">
        <v>45470</v>
      </c>
      <c r="S123" s="2">
        <v>63.11</v>
      </c>
      <c r="T123" s="2">
        <v>1.59</v>
      </c>
    </row>
    <row r="124" spans="18:20" x14ac:dyDescent="0.35">
      <c r="R124" s="12">
        <v>45471</v>
      </c>
      <c r="S124" s="2">
        <v>64.03</v>
      </c>
      <c r="T124" s="2">
        <v>1.64</v>
      </c>
    </row>
    <row r="125" spans="18:20" x14ac:dyDescent="0.35">
      <c r="R125" s="12">
        <v>45474</v>
      </c>
      <c r="S125" s="2">
        <v>63.78</v>
      </c>
      <c r="T125" s="2">
        <v>1.51</v>
      </c>
    </row>
    <row r="126" spans="18:20" x14ac:dyDescent="0.35">
      <c r="R126" s="12">
        <v>45475</v>
      </c>
      <c r="S126" s="2">
        <v>65.45</v>
      </c>
      <c r="T126" s="2">
        <v>1.43</v>
      </c>
    </row>
    <row r="127" spans="18:20" x14ac:dyDescent="0.35">
      <c r="R127" s="12">
        <v>45476</v>
      </c>
      <c r="S127" s="2">
        <v>70.459999999999994</v>
      </c>
      <c r="T127" s="2">
        <v>1.66</v>
      </c>
    </row>
    <row r="128" spans="18:20" x14ac:dyDescent="0.35">
      <c r="R128" s="12">
        <v>45478</v>
      </c>
      <c r="S128" s="2">
        <v>77.12</v>
      </c>
      <c r="T128" s="2">
        <v>1.88</v>
      </c>
    </row>
    <row r="129" spans="18:20" x14ac:dyDescent="0.35">
      <c r="R129" s="12">
        <v>45481</v>
      </c>
      <c r="S129" s="2">
        <v>74.86</v>
      </c>
      <c r="T129" s="2">
        <v>1.56</v>
      </c>
    </row>
    <row r="130" spans="18:20" x14ac:dyDescent="0.35">
      <c r="R130" s="12">
        <v>45482</v>
      </c>
      <c r="S130" s="2">
        <v>73.3</v>
      </c>
      <c r="T130" s="2">
        <v>1.01</v>
      </c>
    </row>
    <row r="131" spans="18:20" x14ac:dyDescent="0.35">
      <c r="R131" s="12">
        <v>45483</v>
      </c>
      <c r="S131" s="2">
        <v>74.37</v>
      </c>
      <c r="T131" s="2">
        <v>1.32</v>
      </c>
    </row>
    <row r="132" spans="18:20" x14ac:dyDescent="0.35">
      <c r="R132" s="12">
        <v>45484</v>
      </c>
      <c r="S132" s="2">
        <v>91.47</v>
      </c>
      <c r="T132" s="2">
        <v>3.78</v>
      </c>
    </row>
    <row r="133" spans="18:20" x14ac:dyDescent="0.35">
      <c r="R133" s="12">
        <v>45485</v>
      </c>
      <c r="S133" s="2">
        <v>94.5</v>
      </c>
      <c r="T133" s="2">
        <v>3.21</v>
      </c>
    </row>
    <row r="134" spans="18:20" x14ac:dyDescent="0.35">
      <c r="R134" s="12">
        <v>45488</v>
      </c>
      <c r="S134" s="2">
        <v>96.4</v>
      </c>
      <c r="T134" s="2">
        <v>4.7</v>
      </c>
    </row>
    <row r="135" spans="18:20" x14ac:dyDescent="0.35">
      <c r="R135" s="12">
        <v>45489</v>
      </c>
      <c r="S135" s="2">
        <v>96.18</v>
      </c>
      <c r="T135" s="2">
        <v>4.59</v>
      </c>
    </row>
    <row r="136" spans="18:20" x14ac:dyDescent="0.35">
      <c r="R136" s="12">
        <v>45490</v>
      </c>
      <c r="S136" s="2">
        <v>97.29</v>
      </c>
      <c r="T136" s="2">
        <v>2.41</v>
      </c>
    </row>
    <row r="137" spans="18:20" x14ac:dyDescent="0.35">
      <c r="R137" s="12">
        <v>45491</v>
      </c>
      <c r="S137" s="2">
        <v>96.39</v>
      </c>
      <c r="T137" s="2">
        <v>2.29</v>
      </c>
    </row>
    <row r="138" spans="18:20" x14ac:dyDescent="0.35">
      <c r="R138" s="12">
        <v>45492</v>
      </c>
      <c r="S138" s="2">
        <v>93.83</v>
      </c>
      <c r="T138" s="2">
        <v>2.08</v>
      </c>
    </row>
    <row r="139" spans="18:20" x14ac:dyDescent="0.35">
      <c r="R139" s="12">
        <v>45495</v>
      </c>
      <c r="S139" s="2">
        <v>92.25</v>
      </c>
      <c r="T139" s="2">
        <v>1.92</v>
      </c>
    </row>
    <row r="140" spans="18:20" x14ac:dyDescent="0.35">
      <c r="R140" s="12">
        <v>45496</v>
      </c>
      <c r="S140" s="2">
        <v>94.11</v>
      </c>
      <c r="T140" s="2">
        <v>2.0699999999999998</v>
      </c>
    </row>
    <row r="141" spans="18:20" x14ac:dyDescent="0.35">
      <c r="R141" s="12">
        <v>45497</v>
      </c>
      <c r="S141" s="2">
        <v>97.23</v>
      </c>
      <c r="T141" s="2">
        <v>5.61</v>
      </c>
    </row>
    <row r="142" spans="18:20" x14ac:dyDescent="0.35">
      <c r="R142" s="12">
        <v>45498</v>
      </c>
      <c r="S142" s="2">
        <v>96.65</v>
      </c>
      <c r="T142" s="2">
        <v>6.85</v>
      </c>
    </row>
    <row r="143" spans="18:20" x14ac:dyDescent="0.35">
      <c r="R143" s="12">
        <v>45499</v>
      </c>
      <c r="S143" s="2">
        <v>97.77</v>
      </c>
      <c r="T143" s="2">
        <v>7.36</v>
      </c>
    </row>
    <row r="144" spans="18:20" x14ac:dyDescent="0.35">
      <c r="R144" s="12">
        <v>45502</v>
      </c>
      <c r="S144" s="2">
        <v>97.43</v>
      </c>
      <c r="T144" s="2">
        <v>6.93</v>
      </c>
    </row>
    <row r="145" spans="18:20" x14ac:dyDescent="0.35">
      <c r="R145" s="12">
        <v>45503</v>
      </c>
      <c r="S145" s="2">
        <v>98.53</v>
      </c>
      <c r="T145" s="2">
        <v>8.44</v>
      </c>
    </row>
    <row r="146" spans="18:20" x14ac:dyDescent="0.35">
      <c r="R146" s="12">
        <v>45504</v>
      </c>
      <c r="S146" s="2">
        <v>99.66</v>
      </c>
      <c r="T146" s="2">
        <v>8.32</v>
      </c>
    </row>
    <row r="147" spans="18:20" x14ac:dyDescent="0.35">
      <c r="R147" s="12">
        <v>45505</v>
      </c>
      <c r="S147" s="2">
        <v>100</v>
      </c>
      <c r="T147" s="2">
        <v>30.62</v>
      </c>
    </row>
    <row r="148" spans="18:20" x14ac:dyDescent="0.35">
      <c r="R148" s="12">
        <v>45506</v>
      </c>
      <c r="S148" s="2">
        <v>100</v>
      </c>
      <c r="T148" s="2">
        <v>94.47</v>
      </c>
    </row>
    <row r="149" spans="18:20" x14ac:dyDescent="0.35">
      <c r="R149" s="12">
        <v>45509</v>
      </c>
      <c r="S149" s="2">
        <v>100</v>
      </c>
      <c r="T149" s="2">
        <v>95.67</v>
      </c>
    </row>
    <row r="150" spans="18:20" x14ac:dyDescent="0.35">
      <c r="R150" s="12">
        <v>45510</v>
      </c>
      <c r="S150" s="2">
        <v>100</v>
      </c>
      <c r="T150" s="2">
        <v>84.18</v>
      </c>
    </row>
    <row r="151" spans="18:20" x14ac:dyDescent="0.35">
      <c r="R151" s="12">
        <v>45511</v>
      </c>
      <c r="S151" s="2">
        <v>100</v>
      </c>
      <c r="T151" s="2">
        <v>86.24</v>
      </c>
    </row>
    <row r="152" spans="18:20" x14ac:dyDescent="0.35">
      <c r="R152" s="12">
        <v>45512</v>
      </c>
      <c r="S152" s="2">
        <v>100</v>
      </c>
      <c r="T152" s="2">
        <v>77.52</v>
      </c>
    </row>
    <row r="153" spans="18:20" x14ac:dyDescent="0.35">
      <c r="R153" s="12">
        <v>45513</v>
      </c>
      <c r="S153" s="2">
        <v>100</v>
      </c>
      <c r="T153" s="2">
        <v>75.430000000000007</v>
      </c>
    </row>
    <row r="154" spans="18:20" x14ac:dyDescent="0.35">
      <c r="R154" s="12">
        <v>45516</v>
      </c>
      <c r="S154" s="2">
        <v>100</v>
      </c>
      <c r="T154" s="2">
        <v>74.010000000000005</v>
      </c>
    </row>
    <row r="155" spans="18:20" x14ac:dyDescent="0.35">
      <c r="R155" s="12">
        <v>45517</v>
      </c>
      <c r="S155" s="2">
        <v>100</v>
      </c>
      <c r="T155" s="2">
        <v>82.98</v>
      </c>
    </row>
    <row r="156" spans="18:20" x14ac:dyDescent="0.35">
      <c r="R156" s="12">
        <v>45518</v>
      </c>
      <c r="S156" s="2">
        <v>100</v>
      </c>
      <c r="T156" s="2">
        <v>77.39</v>
      </c>
    </row>
    <row r="157" spans="18:20" x14ac:dyDescent="0.35">
      <c r="R157" s="12">
        <v>45519</v>
      </c>
      <c r="S157" s="2">
        <v>100</v>
      </c>
      <c r="T157" s="2">
        <v>55.5</v>
      </c>
    </row>
    <row r="158" spans="18:20" x14ac:dyDescent="0.35">
      <c r="R158" s="12">
        <v>45520</v>
      </c>
      <c r="S158" s="2">
        <v>100</v>
      </c>
      <c r="T158" s="2">
        <v>58.89</v>
      </c>
    </row>
    <row r="159" spans="18:20" x14ac:dyDescent="0.35">
      <c r="R159" s="12">
        <v>45523</v>
      </c>
      <c r="S159" s="2">
        <v>100</v>
      </c>
      <c r="T159" s="2">
        <v>57.28</v>
      </c>
    </row>
    <row r="160" spans="18:20" x14ac:dyDescent="0.35">
      <c r="R160" s="12">
        <v>45524</v>
      </c>
      <c r="S160" s="2">
        <v>100</v>
      </c>
      <c r="T160" s="2">
        <v>65.87</v>
      </c>
    </row>
    <row r="161" spans="18:20" x14ac:dyDescent="0.35">
      <c r="R161" s="12">
        <v>45525</v>
      </c>
      <c r="S161" s="2">
        <v>100</v>
      </c>
      <c r="T161" s="2">
        <v>78.75</v>
      </c>
    </row>
    <row r="162" spans="18:20" x14ac:dyDescent="0.35">
      <c r="R162" s="12">
        <v>45526</v>
      </c>
      <c r="S162" s="2">
        <v>100</v>
      </c>
      <c r="T162" s="2">
        <v>64.33</v>
      </c>
    </row>
    <row r="163" spans="18:20" x14ac:dyDescent="0.35">
      <c r="R163" s="12">
        <v>45527</v>
      </c>
      <c r="S163" s="2">
        <v>100</v>
      </c>
      <c r="T163" s="2">
        <v>76.45</v>
      </c>
    </row>
    <row r="164" spans="18:20" x14ac:dyDescent="0.35">
      <c r="R164" s="12">
        <v>45530</v>
      </c>
      <c r="S164" s="2">
        <v>100</v>
      </c>
      <c r="T164" s="2">
        <v>71.84</v>
      </c>
    </row>
    <row r="165" spans="18:20" x14ac:dyDescent="0.35">
      <c r="R165" s="12">
        <v>45531</v>
      </c>
      <c r="S165" s="2">
        <v>100</v>
      </c>
      <c r="T165" s="2">
        <v>77.290000000000006</v>
      </c>
    </row>
    <row r="166" spans="18:20" x14ac:dyDescent="0.35">
      <c r="R166" s="12">
        <v>45532</v>
      </c>
      <c r="S166" s="2">
        <v>100</v>
      </c>
      <c r="T166" s="2">
        <v>75.69</v>
      </c>
    </row>
    <row r="167" spans="18:20" x14ac:dyDescent="0.35">
      <c r="R167" s="12">
        <v>45533</v>
      </c>
      <c r="S167" s="2">
        <v>100</v>
      </c>
      <c r="T167" s="2">
        <v>73.5</v>
      </c>
    </row>
    <row r="168" spans="18:20" x14ac:dyDescent="0.35">
      <c r="R168" s="12">
        <v>45534</v>
      </c>
      <c r="S168" s="2">
        <v>100</v>
      </c>
      <c r="T168" s="2">
        <v>70.05</v>
      </c>
    </row>
    <row r="169" spans="18:20" x14ac:dyDescent="0.35">
      <c r="R169" s="12">
        <v>45538</v>
      </c>
      <c r="S169" s="2">
        <v>100</v>
      </c>
      <c r="T169" s="2">
        <v>72.650000000000006</v>
      </c>
    </row>
    <row r="170" spans="18:20" x14ac:dyDescent="0.35">
      <c r="R170" s="12">
        <v>45539</v>
      </c>
      <c r="S170" s="2">
        <v>100</v>
      </c>
      <c r="T170" s="2">
        <v>86.14</v>
      </c>
    </row>
    <row r="171" spans="18:20" x14ac:dyDescent="0.35">
      <c r="R171" s="12">
        <v>45540</v>
      </c>
      <c r="S171" s="2">
        <v>100</v>
      </c>
      <c r="T171" s="2">
        <v>83.75</v>
      </c>
    </row>
    <row r="172" spans="18:20" x14ac:dyDescent="0.35">
      <c r="R172" s="12">
        <v>45541</v>
      </c>
      <c r="S172" s="2">
        <v>100</v>
      </c>
      <c r="T172" s="2">
        <v>91.3</v>
      </c>
    </row>
    <row r="173" spans="18:20" x14ac:dyDescent="0.35">
      <c r="R173" s="12">
        <v>45544</v>
      </c>
      <c r="S173" s="2">
        <v>100</v>
      </c>
      <c r="T173" s="2">
        <v>87.89</v>
      </c>
    </row>
    <row r="174" spans="18:20" x14ac:dyDescent="0.35">
      <c r="R174" s="12">
        <v>45545</v>
      </c>
      <c r="S174" s="2">
        <v>100</v>
      </c>
      <c r="T174" s="2">
        <v>90.65</v>
      </c>
    </row>
    <row r="175" spans="18:20" x14ac:dyDescent="0.35">
      <c r="R175" s="12">
        <v>45546</v>
      </c>
      <c r="S175" s="2">
        <v>100</v>
      </c>
      <c r="T175" s="2">
        <v>81.37</v>
      </c>
    </row>
    <row r="176" spans="18:20" x14ac:dyDescent="0.35">
      <c r="R176" s="12">
        <v>45547</v>
      </c>
      <c r="S176" s="2">
        <v>100</v>
      </c>
      <c r="T176" s="2">
        <v>84.99</v>
      </c>
    </row>
    <row r="177" spans="18:20" x14ac:dyDescent="0.35">
      <c r="R177" s="12">
        <v>45548</v>
      </c>
      <c r="S177" s="2">
        <v>100</v>
      </c>
      <c r="T177" s="2">
        <v>91.31</v>
      </c>
    </row>
    <row r="178" spans="18:20" x14ac:dyDescent="0.35">
      <c r="R178" s="12">
        <v>45551</v>
      </c>
      <c r="S178" s="2">
        <v>100</v>
      </c>
      <c r="T178" s="2">
        <v>93.72</v>
      </c>
    </row>
    <row r="179" spans="18:20" x14ac:dyDescent="0.35">
      <c r="R179" s="12">
        <v>45552</v>
      </c>
      <c r="S179" s="2">
        <v>100</v>
      </c>
      <c r="T179" s="2">
        <v>91.93</v>
      </c>
    </row>
    <row r="180" spans="18:20" x14ac:dyDescent="0.35">
      <c r="R180" s="12">
        <v>45553</v>
      </c>
      <c r="S180" s="2">
        <v>100</v>
      </c>
      <c r="T180" s="2">
        <v>100</v>
      </c>
    </row>
  </sheetData>
  <mergeCells count="1">
    <mergeCell ref="A37:N39"/>
  </mergeCells>
  <hyperlinks>
    <hyperlink ref="A47" location="'Read Me'!A1" display="Return to Read Me" xr:uid="{E9F480EA-C805-4021-8AC0-958B218D159A}"/>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EFC4-30A1-4F55-9476-637F1F2D8136}">
  <dimension ref="A1:W194"/>
  <sheetViews>
    <sheetView zoomScale="70" zoomScaleNormal="70" workbookViewId="0">
      <selection activeCell="H41" sqref="H41"/>
    </sheetView>
  </sheetViews>
  <sheetFormatPr defaultColWidth="8.58203125" defaultRowHeight="17.5" x14ac:dyDescent="0.35"/>
  <cols>
    <col min="1" max="16384" width="8.58203125" style="2"/>
  </cols>
  <sheetData>
    <row r="1" spans="1:23" s="7" customFormat="1" ht="25" x14ac:dyDescent="0.5">
      <c r="A1" s="7" t="s">
        <v>68</v>
      </c>
    </row>
    <row r="3" spans="1:23" x14ac:dyDescent="0.35">
      <c r="R3" s="2" t="s">
        <v>69</v>
      </c>
      <c r="S3" s="2" t="s">
        <v>73</v>
      </c>
      <c r="T3" s="2" t="s">
        <v>72</v>
      </c>
      <c r="U3" s="2" t="s">
        <v>57</v>
      </c>
      <c r="V3" s="2" t="s">
        <v>71</v>
      </c>
      <c r="W3" s="2" t="s">
        <v>70</v>
      </c>
    </row>
    <row r="4" spans="1:23" x14ac:dyDescent="0.35">
      <c r="R4" s="12">
        <v>45292</v>
      </c>
      <c r="S4" s="2">
        <v>8.1999999999999993</v>
      </c>
      <c r="T4" s="2">
        <v>-41</v>
      </c>
      <c r="U4" s="2">
        <v>-8.5</v>
      </c>
      <c r="V4" s="2">
        <v>14.9</v>
      </c>
      <c r="W4" s="2">
        <v>3.6</v>
      </c>
    </row>
    <row r="5" spans="1:23" x14ac:dyDescent="0.35">
      <c r="R5" s="12">
        <v>45293</v>
      </c>
      <c r="S5" s="2">
        <v>1.1000000000000001</v>
      </c>
      <c r="T5" s="2">
        <v>-40.5</v>
      </c>
      <c r="U5" s="2">
        <v>-8.8000000000000007</v>
      </c>
      <c r="V5" s="2">
        <v>13.8</v>
      </c>
      <c r="W5" s="2">
        <v>2.9</v>
      </c>
    </row>
    <row r="6" spans="1:23" x14ac:dyDescent="0.35">
      <c r="R6" s="12">
        <v>45294</v>
      </c>
      <c r="S6" s="2">
        <v>0.4</v>
      </c>
      <c r="T6" s="2">
        <v>-40</v>
      </c>
      <c r="U6" s="2">
        <v>-9</v>
      </c>
      <c r="V6" s="2">
        <v>14.4</v>
      </c>
      <c r="W6" s="2">
        <v>4.0999999999999996</v>
      </c>
    </row>
    <row r="7" spans="1:23" x14ac:dyDescent="0.35">
      <c r="R7" s="12">
        <v>45295</v>
      </c>
      <c r="S7" s="2">
        <v>6.4</v>
      </c>
      <c r="T7" s="2">
        <v>-30.4</v>
      </c>
      <c r="U7" s="2">
        <v>-6.3</v>
      </c>
      <c r="V7" s="2">
        <v>15.5</v>
      </c>
      <c r="W7" s="2">
        <v>5.4</v>
      </c>
    </row>
    <row r="8" spans="1:23" x14ac:dyDescent="0.35">
      <c r="R8" s="12">
        <v>45296</v>
      </c>
      <c r="S8" s="2">
        <v>6.1</v>
      </c>
      <c r="T8" s="2">
        <v>-31.3</v>
      </c>
      <c r="U8" s="2">
        <v>-6.6</v>
      </c>
      <c r="V8" s="2">
        <v>15.5</v>
      </c>
      <c r="W8" s="2">
        <v>5.7</v>
      </c>
    </row>
    <row r="9" spans="1:23" x14ac:dyDescent="0.35">
      <c r="R9" s="12">
        <v>45299</v>
      </c>
      <c r="S9" s="2">
        <v>5.9</v>
      </c>
      <c r="T9" s="2">
        <v>-17.399999999999999</v>
      </c>
      <c r="U9" s="2">
        <v>-0.5</v>
      </c>
      <c r="V9" s="2">
        <v>17.5</v>
      </c>
      <c r="W9" s="2">
        <v>10.9</v>
      </c>
    </row>
    <row r="10" spans="1:23" x14ac:dyDescent="0.35">
      <c r="R10" s="12">
        <v>45300</v>
      </c>
      <c r="S10" s="2">
        <v>6.5</v>
      </c>
      <c r="T10" s="2">
        <v>-17.5</v>
      </c>
      <c r="U10" s="2">
        <v>-1.5</v>
      </c>
      <c r="V10" s="2">
        <v>16.899999999999999</v>
      </c>
      <c r="W10" s="2">
        <v>9.6</v>
      </c>
    </row>
    <row r="11" spans="1:23" x14ac:dyDescent="0.35">
      <c r="R11" s="12">
        <v>45301</v>
      </c>
      <c r="S11" s="2">
        <v>6.8</v>
      </c>
      <c r="T11" s="2">
        <v>-16</v>
      </c>
      <c r="U11" s="2">
        <v>-3.1</v>
      </c>
      <c r="V11" s="2">
        <v>16.399999999999999</v>
      </c>
      <c r="W11" s="2">
        <v>8.8000000000000007</v>
      </c>
    </row>
    <row r="12" spans="1:23" x14ac:dyDescent="0.35">
      <c r="R12" s="12">
        <v>45302</v>
      </c>
      <c r="S12" s="2">
        <v>8.1</v>
      </c>
      <c r="T12" s="2">
        <v>-15.9</v>
      </c>
      <c r="U12" s="2">
        <v>-3.6</v>
      </c>
      <c r="V12" s="2">
        <v>13.6</v>
      </c>
      <c r="W12" s="2">
        <v>7.4</v>
      </c>
    </row>
    <row r="13" spans="1:23" x14ac:dyDescent="0.35">
      <c r="R13" s="12">
        <v>45303</v>
      </c>
      <c r="S13" s="2">
        <v>7.5</v>
      </c>
      <c r="T13" s="2">
        <v>-14.8</v>
      </c>
      <c r="U13" s="2">
        <v>-8.6999999999999993</v>
      </c>
      <c r="V13" s="2">
        <v>9.9</v>
      </c>
      <c r="W13" s="2">
        <v>0.5</v>
      </c>
    </row>
    <row r="14" spans="1:23" x14ac:dyDescent="0.35">
      <c r="R14" s="12">
        <v>45306</v>
      </c>
      <c r="S14" s="2">
        <v>5.4</v>
      </c>
      <c r="T14" s="2">
        <v>-16.5</v>
      </c>
      <c r="U14" s="2">
        <v>-13.8</v>
      </c>
      <c r="V14" s="2">
        <v>8.6999999999999993</v>
      </c>
      <c r="W14" s="2">
        <v>-2.5</v>
      </c>
    </row>
    <row r="15" spans="1:23" x14ac:dyDescent="0.35">
      <c r="R15" s="12">
        <v>45307</v>
      </c>
      <c r="S15" s="2">
        <v>-2.4</v>
      </c>
      <c r="T15" s="2">
        <v>-14.4</v>
      </c>
      <c r="U15" s="2">
        <v>-13.5</v>
      </c>
      <c r="V15" s="2">
        <v>8.5</v>
      </c>
      <c r="W15" s="2">
        <v>-2.2999999999999998</v>
      </c>
    </row>
    <row r="16" spans="1:23" x14ac:dyDescent="0.35">
      <c r="R16" s="12">
        <v>45308</v>
      </c>
      <c r="S16" s="2">
        <v>1.4</v>
      </c>
      <c r="T16" s="2">
        <v>-13.9</v>
      </c>
      <c r="U16" s="2">
        <v>-19.399999999999999</v>
      </c>
      <c r="V16" s="2">
        <v>6.4</v>
      </c>
      <c r="W16" s="2">
        <v>-5.3</v>
      </c>
    </row>
    <row r="17" spans="18:23" x14ac:dyDescent="0.35">
      <c r="R17" s="12">
        <v>45309</v>
      </c>
      <c r="S17" s="2">
        <v>4.9000000000000004</v>
      </c>
      <c r="T17" s="2">
        <v>-13.2</v>
      </c>
      <c r="U17" s="2">
        <v>-19</v>
      </c>
      <c r="V17" s="2">
        <v>6.4</v>
      </c>
      <c r="W17" s="2">
        <v>-5.2</v>
      </c>
    </row>
    <row r="18" spans="18:23" x14ac:dyDescent="0.35">
      <c r="R18" s="12">
        <v>45310</v>
      </c>
      <c r="S18" s="2">
        <v>13.5</v>
      </c>
      <c r="T18" s="2">
        <v>-12.4</v>
      </c>
      <c r="U18" s="2">
        <v>-18.600000000000001</v>
      </c>
      <c r="V18" s="2">
        <v>4.5</v>
      </c>
      <c r="W18" s="2">
        <v>-4.8</v>
      </c>
    </row>
    <row r="19" spans="18:23" x14ac:dyDescent="0.35">
      <c r="R19" s="12">
        <v>45313</v>
      </c>
      <c r="S19" s="2">
        <v>11.1</v>
      </c>
      <c r="T19" s="2">
        <v>-9.5</v>
      </c>
      <c r="U19" s="2">
        <v>-17.2</v>
      </c>
      <c r="V19" s="2">
        <v>2.1</v>
      </c>
      <c r="W19" s="2">
        <v>-4.0999999999999996</v>
      </c>
    </row>
    <row r="20" spans="18:23" x14ac:dyDescent="0.35">
      <c r="R20" s="12">
        <v>45314</v>
      </c>
      <c r="S20" s="2">
        <v>8.3000000000000007</v>
      </c>
      <c r="T20" s="2">
        <v>-11.4</v>
      </c>
      <c r="U20" s="2">
        <v>-16.600000000000001</v>
      </c>
      <c r="V20" s="2">
        <v>0.7</v>
      </c>
      <c r="W20" s="2">
        <v>-3.3</v>
      </c>
    </row>
    <row r="21" spans="18:23" x14ac:dyDescent="0.35">
      <c r="R21" s="12">
        <v>45315</v>
      </c>
      <c r="S21" s="2">
        <v>16.8</v>
      </c>
      <c r="T21" s="2">
        <v>-4.7</v>
      </c>
      <c r="U21" s="2">
        <v>-16</v>
      </c>
      <c r="V21" s="2">
        <v>0.3</v>
      </c>
      <c r="W21" s="2">
        <v>-3</v>
      </c>
    </row>
    <row r="22" spans="18:23" x14ac:dyDescent="0.35">
      <c r="R22" s="12">
        <v>45316</v>
      </c>
      <c r="S22" s="2">
        <v>25.3</v>
      </c>
      <c r="T22" s="2">
        <v>-10.5</v>
      </c>
      <c r="U22" s="2">
        <v>-15.2</v>
      </c>
      <c r="V22" s="2">
        <v>1.9</v>
      </c>
      <c r="W22" s="2">
        <v>-2.6</v>
      </c>
    </row>
    <row r="23" spans="18:23" x14ac:dyDescent="0.35">
      <c r="R23" s="12">
        <v>45317</v>
      </c>
      <c r="S23" s="2">
        <v>27.3</v>
      </c>
      <c r="T23" s="2">
        <v>-10.1</v>
      </c>
      <c r="U23" s="2">
        <v>-14.2</v>
      </c>
      <c r="V23" s="2">
        <v>1</v>
      </c>
      <c r="W23" s="2">
        <v>-2.1</v>
      </c>
    </row>
    <row r="24" spans="18:23" x14ac:dyDescent="0.35">
      <c r="R24" s="12">
        <v>45320</v>
      </c>
      <c r="S24" s="2">
        <v>30</v>
      </c>
      <c r="T24" s="2">
        <v>-9.1999999999999993</v>
      </c>
      <c r="U24" s="2">
        <v>-9.6999999999999993</v>
      </c>
      <c r="V24" s="2">
        <v>1.5</v>
      </c>
      <c r="W24" s="2">
        <v>0.3</v>
      </c>
    </row>
    <row r="25" spans="18:23" x14ac:dyDescent="0.35">
      <c r="R25" s="12">
        <v>45321</v>
      </c>
      <c r="S25" s="2">
        <v>27.8</v>
      </c>
      <c r="T25" s="2">
        <v>-1.3</v>
      </c>
      <c r="U25" s="2">
        <v>-9.4</v>
      </c>
      <c r="V25" s="2">
        <v>-2.6</v>
      </c>
      <c r="W25" s="2">
        <v>0.3</v>
      </c>
    </row>
    <row r="26" spans="18:23" x14ac:dyDescent="0.35">
      <c r="R26" s="12">
        <v>45322</v>
      </c>
      <c r="S26" s="2">
        <v>25.7</v>
      </c>
      <c r="T26" s="2">
        <v>-1.1000000000000001</v>
      </c>
      <c r="U26" s="2">
        <v>-9</v>
      </c>
      <c r="V26" s="2">
        <v>-1.5</v>
      </c>
      <c r="W26" s="2">
        <v>1.2</v>
      </c>
    </row>
    <row r="27" spans="18:23" x14ac:dyDescent="0.35">
      <c r="R27" s="12">
        <v>45323</v>
      </c>
      <c r="S27" s="2">
        <v>30.7</v>
      </c>
      <c r="T27" s="2">
        <v>4.4000000000000004</v>
      </c>
      <c r="U27" s="2">
        <v>-8.8000000000000007</v>
      </c>
      <c r="V27" s="2">
        <v>-4.9000000000000004</v>
      </c>
      <c r="W27" s="2">
        <v>-0.5</v>
      </c>
    </row>
    <row r="28" spans="18:23" x14ac:dyDescent="0.35">
      <c r="R28" s="12">
        <v>45324</v>
      </c>
      <c r="S28" s="2">
        <v>39.5</v>
      </c>
      <c r="T28" s="2">
        <v>7</v>
      </c>
      <c r="U28" s="2">
        <v>-8.4</v>
      </c>
      <c r="V28" s="2">
        <v>-2.4</v>
      </c>
      <c r="W28" s="2">
        <v>2.2000000000000002</v>
      </c>
    </row>
    <row r="29" spans="18:23" x14ac:dyDescent="0.35">
      <c r="R29" s="12">
        <v>45327</v>
      </c>
      <c r="S29" s="2">
        <v>42.6</v>
      </c>
      <c r="T29" s="2">
        <v>9</v>
      </c>
      <c r="U29" s="2">
        <v>-7.8</v>
      </c>
      <c r="V29" s="2">
        <v>-2.4</v>
      </c>
      <c r="W29" s="2">
        <v>1.4</v>
      </c>
    </row>
    <row r="30" spans="18:23" x14ac:dyDescent="0.35">
      <c r="R30" s="12">
        <v>45328</v>
      </c>
      <c r="S30" s="2">
        <v>42.9</v>
      </c>
      <c r="T30" s="2">
        <v>22.5</v>
      </c>
      <c r="U30" s="2">
        <v>-7.9</v>
      </c>
      <c r="V30" s="2">
        <v>-1.7</v>
      </c>
      <c r="W30" s="2">
        <v>1.7</v>
      </c>
    </row>
    <row r="31" spans="18:23" x14ac:dyDescent="0.35">
      <c r="R31" s="12">
        <v>45329</v>
      </c>
      <c r="S31" s="2">
        <v>43.5</v>
      </c>
      <c r="T31" s="2">
        <v>20.6</v>
      </c>
      <c r="U31" s="2">
        <v>-8</v>
      </c>
      <c r="V31" s="2">
        <v>-2.2000000000000002</v>
      </c>
      <c r="W31" s="2">
        <v>1.7</v>
      </c>
    </row>
    <row r="32" spans="18:23" x14ac:dyDescent="0.35">
      <c r="R32" s="12">
        <v>45330</v>
      </c>
      <c r="S32" s="2">
        <v>44</v>
      </c>
      <c r="T32" s="2">
        <v>20.7</v>
      </c>
      <c r="U32" s="2">
        <v>-8.1</v>
      </c>
      <c r="V32" s="2">
        <v>-4.0999999999999996</v>
      </c>
      <c r="W32" s="2">
        <v>-1.6</v>
      </c>
    </row>
    <row r="33" spans="1:23" x14ac:dyDescent="0.35">
      <c r="R33" s="12">
        <v>45331</v>
      </c>
      <c r="S33" s="2">
        <v>44.1</v>
      </c>
      <c r="T33" s="2">
        <v>20.9</v>
      </c>
      <c r="U33" s="2">
        <v>11.3</v>
      </c>
      <c r="V33" s="2">
        <v>-0.5</v>
      </c>
      <c r="W33" s="2">
        <v>8.9</v>
      </c>
    </row>
    <row r="34" spans="1:23" x14ac:dyDescent="0.35">
      <c r="R34" s="12">
        <v>45334</v>
      </c>
      <c r="S34" s="2">
        <v>44.3</v>
      </c>
      <c r="T34" s="2">
        <v>21.1</v>
      </c>
      <c r="U34" s="2">
        <v>10.3</v>
      </c>
      <c r="V34" s="2">
        <v>1</v>
      </c>
      <c r="W34" s="2">
        <v>12.7</v>
      </c>
    </row>
    <row r="35" spans="1:23" x14ac:dyDescent="0.35">
      <c r="A35" s="2" t="s">
        <v>74</v>
      </c>
      <c r="R35" s="12">
        <v>45335</v>
      </c>
      <c r="S35" s="2">
        <v>47.7</v>
      </c>
      <c r="T35" s="2">
        <v>22.3</v>
      </c>
      <c r="U35" s="2">
        <v>10.3</v>
      </c>
      <c r="V35" s="2">
        <v>0.2</v>
      </c>
      <c r="W35" s="2">
        <v>12.2</v>
      </c>
    </row>
    <row r="36" spans="1:23" ht="17.5" customHeight="1" x14ac:dyDescent="0.35">
      <c r="A36" s="61" t="s">
        <v>634</v>
      </c>
      <c r="B36" s="61"/>
      <c r="C36" s="61"/>
      <c r="D36" s="61"/>
      <c r="E36" s="61"/>
      <c r="F36" s="61"/>
      <c r="G36" s="61"/>
      <c r="H36" s="61"/>
      <c r="I36" s="61"/>
      <c r="J36" s="61"/>
      <c r="K36" s="61"/>
      <c r="L36" s="61"/>
      <c r="M36" s="61"/>
      <c r="N36" s="61"/>
      <c r="R36" s="12">
        <v>45336</v>
      </c>
      <c r="S36" s="2">
        <v>47.2</v>
      </c>
      <c r="T36" s="2">
        <v>34.6</v>
      </c>
      <c r="U36" s="2">
        <v>10.3</v>
      </c>
      <c r="V36" s="2">
        <v>-0.3</v>
      </c>
      <c r="W36" s="2">
        <v>12.1</v>
      </c>
    </row>
    <row r="37" spans="1:23" x14ac:dyDescent="0.35">
      <c r="A37" s="61"/>
      <c r="B37" s="61"/>
      <c r="C37" s="61"/>
      <c r="D37" s="61"/>
      <c r="E37" s="61"/>
      <c r="F37" s="61"/>
      <c r="G37" s="61"/>
      <c r="H37" s="61"/>
      <c r="I37" s="61"/>
      <c r="J37" s="61"/>
      <c r="K37" s="61"/>
      <c r="L37" s="61"/>
      <c r="M37" s="61"/>
      <c r="N37" s="61"/>
      <c r="R37" s="12">
        <v>45337</v>
      </c>
      <c r="S37" s="2">
        <v>45.8</v>
      </c>
      <c r="T37" s="2">
        <v>34.6</v>
      </c>
      <c r="U37" s="2">
        <v>10.3</v>
      </c>
      <c r="V37" s="2">
        <v>-2.4</v>
      </c>
      <c r="W37" s="2">
        <v>11.9</v>
      </c>
    </row>
    <row r="38" spans="1:23" x14ac:dyDescent="0.35">
      <c r="A38" s="61"/>
      <c r="B38" s="61"/>
      <c r="C38" s="61"/>
      <c r="D38" s="61"/>
      <c r="E38" s="61"/>
      <c r="F38" s="61"/>
      <c r="G38" s="61"/>
      <c r="H38" s="61"/>
      <c r="I38" s="61"/>
      <c r="J38" s="61"/>
      <c r="K38" s="61"/>
      <c r="L38" s="61"/>
      <c r="M38" s="61"/>
      <c r="N38" s="61"/>
      <c r="R38" s="12">
        <v>45338</v>
      </c>
      <c r="S38" s="2">
        <v>40.4</v>
      </c>
      <c r="T38" s="2">
        <v>34.700000000000003</v>
      </c>
      <c r="U38" s="2">
        <v>10.3</v>
      </c>
      <c r="V38" s="2">
        <v>-2.1</v>
      </c>
      <c r="W38" s="2">
        <v>11.7</v>
      </c>
    </row>
    <row r="39" spans="1:23" x14ac:dyDescent="0.35">
      <c r="A39" s="61"/>
      <c r="B39" s="61"/>
      <c r="C39" s="61"/>
      <c r="D39" s="61"/>
      <c r="E39" s="61"/>
      <c r="F39" s="61"/>
      <c r="G39" s="61"/>
      <c r="H39" s="61"/>
      <c r="I39" s="61"/>
      <c r="J39" s="61"/>
      <c r="K39" s="61"/>
      <c r="L39" s="61"/>
      <c r="M39" s="61"/>
      <c r="N39" s="61"/>
      <c r="R39" s="12">
        <v>45341</v>
      </c>
      <c r="S39" s="2">
        <v>40.9</v>
      </c>
      <c r="T39" s="2">
        <v>34.5</v>
      </c>
      <c r="U39" s="2">
        <v>10.199999999999999</v>
      </c>
      <c r="V39" s="2">
        <v>-3.2</v>
      </c>
      <c r="W39" s="2">
        <v>12.1</v>
      </c>
    </row>
    <row r="40" spans="1:23" x14ac:dyDescent="0.35">
      <c r="R40" s="12">
        <v>45342</v>
      </c>
      <c r="S40" s="2">
        <v>40.299999999999997</v>
      </c>
      <c r="T40" s="2">
        <v>34.299999999999997</v>
      </c>
      <c r="U40" s="2">
        <v>10.199999999999999</v>
      </c>
      <c r="V40" s="2">
        <v>-2.5</v>
      </c>
      <c r="W40" s="2">
        <v>11.9</v>
      </c>
    </row>
    <row r="41" spans="1:23" x14ac:dyDescent="0.35">
      <c r="R41" s="12">
        <v>45343</v>
      </c>
      <c r="S41" s="2">
        <v>40.200000000000003</v>
      </c>
      <c r="T41" s="2">
        <v>34.799999999999997</v>
      </c>
      <c r="U41" s="2">
        <v>10.199999999999999</v>
      </c>
      <c r="V41" s="2">
        <v>-4.9000000000000004</v>
      </c>
      <c r="W41" s="2">
        <v>11.6</v>
      </c>
    </row>
    <row r="42" spans="1:23" x14ac:dyDescent="0.35">
      <c r="R42" s="12">
        <v>45344</v>
      </c>
      <c r="S42" s="2">
        <v>43.8</v>
      </c>
      <c r="T42" s="2">
        <v>41.4</v>
      </c>
      <c r="U42" s="2">
        <v>10.1</v>
      </c>
      <c r="V42" s="2">
        <v>-4.2</v>
      </c>
      <c r="W42" s="2">
        <v>11.4</v>
      </c>
    </row>
    <row r="43" spans="1:23" x14ac:dyDescent="0.35">
      <c r="R43" s="12">
        <v>45345</v>
      </c>
      <c r="S43" s="2">
        <v>43.8</v>
      </c>
      <c r="T43" s="2">
        <v>42</v>
      </c>
      <c r="U43" s="2">
        <v>10.1</v>
      </c>
      <c r="V43" s="2">
        <v>-4.3</v>
      </c>
      <c r="W43" s="2">
        <v>11</v>
      </c>
    </row>
    <row r="44" spans="1:23" x14ac:dyDescent="0.35">
      <c r="R44" s="12">
        <v>45348</v>
      </c>
      <c r="S44" s="2">
        <v>42.2</v>
      </c>
      <c r="T44" s="2">
        <v>44.7</v>
      </c>
      <c r="U44" s="2">
        <v>10</v>
      </c>
      <c r="V44" s="2">
        <v>-5.8</v>
      </c>
      <c r="W44" s="2">
        <v>9</v>
      </c>
    </row>
    <row r="45" spans="1:23" x14ac:dyDescent="0.35">
      <c r="R45" s="12">
        <v>45349</v>
      </c>
      <c r="S45" s="2">
        <v>38.299999999999997</v>
      </c>
      <c r="T45" s="2">
        <v>47.1</v>
      </c>
      <c r="U45" s="2">
        <v>10.1</v>
      </c>
      <c r="V45" s="2">
        <v>-3.3</v>
      </c>
      <c r="W45" s="2">
        <v>7.7</v>
      </c>
    </row>
    <row r="46" spans="1:23" x14ac:dyDescent="0.35">
      <c r="R46" s="12">
        <v>45350</v>
      </c>
      <c r="S46" s="2">
        <v>37.799999999999997</v>
      </c>
      <c r="T46" s="2">
        <v>35.200000000000003</v>
      </c>
      <c r="U46" s="2">
        <v>9.1999999999999993</v>
      </c>
      <c r="V46" s="2">
        <v>-3.8</v>
      </c>
      <c r="W46" s="2">
        <v>7.4</v>
      </c>
    </row>
    <row r="47" spans="1:23" x14ac:dyDescent="0.35">
      <c r="A47" s="32" t="s">
        <v>601</v>
      </c>
      <c r="R47" s="12">
        <v>45351</v>
      </c>
      <c r="S47" s="2">
        <v>40.6</v>
      </c>
      <c r="T47" s="2">
        <v>37.299999999999997</v>
      </c>
      <c r="U47" s="2">
        <v>9.1</v>
      </c>
      <c r="V47" s="2">
        <v>8.8000000000000007</v>
      </c>
      <c r="W47" s="2">
        <v>27.9</v>
      </c>
    </row>
    <row r="48" spans="1:23" x14ac:dyDescent="0.35">
      <c r="R48" s="12">
        <v>45352</v>
      </c>
      <c r="S48" s="2">
        <v>34.1</v>
      </c>
      <c r="T48" s="2">
        <v>51.3</v>
      </c>
      <c r="U48" s="2">
        <v>12.9</v>
      </c>
      <c r="V48" s="2">
        <v>13.7</v>
      </c>
      <c r="W48" s="2">
        <v>29.2</v>
      </c>
    </row>
    <row r="49" spans="18:23" x14ac:dyDescent="0.35">
      <c r="R49" s="12">
        <v>45355</v>
      </c>
      <c r="S49" s="2">
        <v>34.200000000000003</v>
      </c>
      <c r="T49" s="2">
        <v>53.3</v>
      </c>
      <c r="U49" s="2">
        <v>11.8</v>
      </c>
      <c r="V49" s="2">
        <v>14.2</v>
      </c>
      <c r="W49" s="2">
        <v>28.3</v>
      </c>
    </row>
    <row r="50" spans="18:23" x14ac:dyDescent="0.35">
      <c r="R50" s="12">
        <v>45356</v>
      </c>
      <c r="S50" s="2">
        <v>27.6</v>
      </c>
      <c r="T50" s="2">
        <v>54.8</v>
      </c>
      <c r="U50" s="2">
        <v>10.199999999999999</v>
      </c>
      <c r="V50" s="2">
        <v>12.9</v>
      </c>
      <c r="W50" s="2">
        <v>27.3</v>
      </c>
    </row>
    <row r="51" spans="18:23" x14ac:dyDescent="0.35">
      <c r="R51" s="12">
        <v>45357</v>
      </c>
      <c r="S51" s="2">
        <v>25.4</v>
      </c>
      <c r="T51" s="2">
        <v>57.1</v>
      </c>
      <c r="U51" s="2">
        <v>10.7</v>
      </c>
      <c r="V51" s="2">
        <v>14.2</v>
      </c>
      <c r="W51" s="2">
        <v>30.3</v>
      </c>
    </row>
    <row r="52" spans="18:23" x14ac:dyDescent="0.35">
      <c r="R52" s="12">
        <v>45358</v>
      </c>
      <c r="S52" s="2">
        <v>24.9</v>
      </c>
      <c r="T52" s="2">
        <v>50.1</v>
      </c>
      <c r="U52" s="2">
        <v>12.6</v>
      </c>
      <c r="V52" s="2">
        <v>14.4</v>
      </c>
      <c r="W52" s="2">
        <v>29.8</v>
      </c>
    </row>
    <row r="53" spans="18:23" x14ac:dyDescent="0.35">
      <c r="R53" s="12">
        <v>45359</v>
      </c>
      <c r="S53" s="2">
        <v>27.8</v>
      </c>
      <c r="T53" s="2">
        <v>51.4</v>
      </c>
      <c r="U53" s="2">
        <v>13.3</v>
      </c>
      <c r="V53" s="2">
        <v>14.3</v>
      </c>
      <c r="W53" s="2">
        <v>29.9</v>
      </c>
    </row>
    <row r="54" spans="18:23" x14ac:dyDescent="0.35">
      <c r="R54" s="12">
        <v>45362</v>
      </c>
      <c r="S54" s="2">
        <v>26.5</v>
      </c>
      <c r="T54" s="2">
        <v>54.7</v>
      </c>
      <c r="U54" s="2">
        <v>16.8</v>
      </c>
      <c r="V54" s="2">
        <v>14.8</v>
      </c>
      <c r="W54" s="2">
        <v>31.2</v>
      </c>
    </row>
    <row r="55" spans="18:23" x14ac:dyDescent="0.35">
      <c r="R55" s="12">
        <v>45363</v>
      </c>
      <c r="S55" s="2">
        <v>29</v>
      </c>
      <c r="T55" s="2">
        <v>56.2</v>
      </c>
      <c r="U55" s="2">
        <v>18</v>
      </c>
      <c r="V55" s="2">
        <v>16.3</v>
      </c>
      <c r="W55" s="2">
        <v>31</v>
      </c>
    </row>
    <row r="56" spans="18:23" x14ac:dyDescent="0.35">
      <c r="R56" s="12">
        <v>45364</v>
      </c>
      <c r="S56" s="2">
        <v>29.7</v>
      </c>
      <c r="T56" s="2">
        <v>51.4</v>
      </c>
      <c r="U56" s="2">
        <v>20.100000000000001</v>
      </c>
      <c r="V56" s="2">
        <v>17.3</v>
      </c>
      <c r="W56" s="2">
        <v>32.200000000000003</v>
      </c>
    </row>
    <row r="57" spans="18:23" x14ac:dyDescent="0.35">
      <c r="R57" s="12">
        <v>45365</v>
      </c>
      <c r="S57" s="2">
        <v>29.2</v>
      </c>
      <c r="T57" s="2">
        <v>51.2</v>
      </c>
      <c r="U57" s="2">
        <v>20</v>
      </c>
      <c r="V57" s="2">
        <v>19.399999999999999</v>
      </c>
      <c r="W57" s="2">
        <v>36</v>
      </c>
    </row>
    <row r="58" spans="18:23" x14ac:dyDescent="0.35">
      <c r="R58" s="12">
        <v>45366</v>
      </c>
      <c r="S58" s="2">
        <v>24.6</v>
      </c>
      <c r="T58" s="2">
        <v>51.1</v>
      </c>
      <c r="U58" s="2">
        <v>19.899999999999999</v>
      </c>
      <c r="V58" s="2">
        <v>20.6</v>
      </c>
      <c r="W58" s="2">
        <v>39.799999999999997</v>
      </c>
    </row>
    <row r="59" spans="18:23" x14ac:dyDescent="0.35">
      <c r="R59" s="12">
        <v>45369</v>
      </c>
      <c r="S59" s="2">
        <v>23</v>
      </c>
      <c r="T59" s="2">
        <v>50</v>
      </c>
      <c r="U59" s="2">
        <v>22.9</v>
      </c>
      <c r="V59" s="2">
        <v>20.100000000000001</v>
      </c>
      <c r="W59" s="2">
        <v>41.1</v>
      </c>
    </row>
    <row r="60" spans="18:23" x14ac:dyDescent="0.35">
      <c r="R60" s="12">
        <v>45370</v>
      </c>
      <c r="S60" s="2">
        <v>25</v>
      </c>
      <c r="T60" s="2">
        <v>54.3</v>
      </c>
      <c r="U60" s="2">
        <v>22.8</v>
      </c>
      <c r="V60" s="2">
        <v>20.5</v>
      </c>
      <c r="W60" s="2">
        <v>41</v>
      </c>
    </row>
    <row r="61" spans="18:23" x14ac:dyDescent="0.35">
      <c r="R61" s="12">
        <v>45371</v>
      </c>
      <c r="S61" s="2">
        <v>24.6</v>
      </c>
      <c r="T61" s="2">
        <v>53.8</v>
      </c>
      <c r="U61" s="2">
        <v>22.6</v>
      </c>
      <c r="V61" s="2">
        <v>19.3</v>
      </c>
      <c r="W61" s="2">
        <v>40.799999999999997</v>
      </c>
    </row>
    <row r="62" spans="18:23" x14ac:dyDescent="0.35">
      <c r="R62" s="12">
        <v>45372</v>
      </c>
      <c r="S62" s="2">
        <v>31.8</v>
      </c>
      <c r="T62" s="2">
        <v>40.5</v>
      </c>
      <c r="U62" s="2">
        <v>22.5</v>
      </c>
      <c r="V62" s="2">
        <v>18.5</v>
      </c>
      <c r="W62" s="2">
        <v>41</v>
      </c>
    </row>
    <row r="63" spans="18:23" x14ac:dyDescent="0.35">
      <c r="R63" s="12">
        <v>45373</v>
      </c>
      <c r="S63" s="2">
        <v>31.6</v>
      </c>
      <c r="T63" s="2">
        <v>46.7</v>
      </c>
      <c r="U63" s="2">
        <v>22.3</v>
      </c>
      <c r="V63" s="2">
        <v>18.2</v>
      </c>
      <c r="W63" s="2">
        <v>40.9</v>
      </c>
    </row>
    <row r="64" spans="18:23" x14ac:dyDescent="0.35">
      <c r="R64" s="12">
        <v>45376</v>
      </c>
      <c r="S64" s="2">
        <v>32.5</v>
      </c>
      <c r="T64" s="2">
        <v>44.7</v>
      </c>
      <c r="U64" s="2">
        <v>21.8</v>
      </c>
      <c r="V64" s="2">
        <v>17.7</v>
      </c>
      <c r="W64" s="2">
        <v>40.6</v>
      </c>
    </row>
    <row r="65" spans="18:23" x14ac:dyDescent="0.35">
      <c r="R65" s="12">
        <v>45377</v>
      </c>
      <c r="S65" s="2">
        <v>31</v>
      </c>
      <c r="T65" s="2">
        <v>43.9</v>
      </c>
      <c r="U65" s="2">
        <v>21.6</v>
      </c>
      <c r="V65" s="2">
        <v>17.3</v>
      </c>
      <c r="W65" s="2">
        <v>40.700000000000003</v>
      </c>
    </row>
    <row r="66" spans="18:23" x14ac:dyDescent="0.35">
      <c r="R66" s="12">
        <v>45378</v>
      </c>
      <c r="S66" s="2">
        <v>30.7</v>
      </c>
      <c r="T66" s="2">
        <v>41.8</v>
      </c>
      <c r="U66" s="2">
        <v>21.4</v>
      </c>
      <c r="V66" s="2">
        <v>17.7</v>
      </c>
      <c r="W66" s="2">
        <v>40.4</v>
      </c>
    </row>
    <row r="67" spans="18:23" x14ac:dyDescent="0.35">
      <c r="R67" s="12">
        <v>45379</v>
      </c>
      <c r="S67" s="2">
        <v>33.5</v>
      </c>
      <c r="T67" s="2">
        <v>42.8</v>
      </c>
      <c r="U67" s="2">
        <v>21.2</v>
      </c>
      <c r="V67" s="2">
        <v>21.1</v>
      </c>
      <c r="W67" s="2">
        <v>47.8</v>
      </c>
    </row>
    <row r="68" spans="18:23" x14ac:dyDescent="0.35">
      <c r="R68" s="12">
        <v>45380</v>
      </c>
      <c r="S68" s="2">
        <v>33.5</v>
      </c>
      <c r="T68" s="2">
        <v>42.8</v>
      </c>
      <c r="U68" s="2">
        <v>21.2</v>
      </c>
      <c r="V68" s="2">
        <v>21.1</v>
      </c>
      <c r="W68" s="2">
        <v>47.8</v>
      </c>
    </row>
    <row r="69" spans="18:23" x14ac:dyDescent="0.35">
      <c r="R69" s="12">
        <v>45383</v>
      </c>
      <c r="S69" s="2">
        <v>39</v>
      </c>
      <c r="T69" s="2">
        <v>37</v>
      </c>
      <c r="U69" s="2">
        <v>28.8</v>
      </c>
      <c r="V69" s="2">
        <v>22.8</v>
      </c>
      <c r="W69" s="2">
        <v>50.9</v>
      </c>
    </row>
    <row r="70" spans="18:23" x14ac:dyDescent="0.35">
      <c r="R70" s="12">
        <v>45384</v>
      </c>
      <c r="S70" s="2">
        <v>41</v>
      </c>
      <c r="T70" s="2">
        <v>40.299999999999997</v>
      </c>
      <c r="U70" s="2">
        <v>28.1</v>
      </c>
      <c r="V70" s="2">
        <v>22.8</v>
      </c>
      <c r="W70" s="2">
        <v>50.3</v>
      </c>
    </row>
    <row r="71" spans="18:23" x14ac:dyDescent="0.35">
      <c r="R71" s="12">
        <v>45385</v>
      </c>
      <c r="S71" s="2">
        <v>38.6</v>
      </c>
      <c r="T71" s="2">
        <v>34.1</v>
      </c>
      <c r="U71" s="2">
        <v>28.2</v>
      </c>
      <c r="V71" s="2">
        <v>21.3</v>
      </c>
      <c r="W71" s="2">
        <v>48.9</v>
      </c>
    </row>
    <row r="72" spans="18:23" x14ac:dyDescent="0.35">
      <c r="R72" s="12">
        <v>45386</v>
      </c>
      <c r="S72" s="2">
        <v>36.6</v>
      </c>
      <c r="T72" s="2">
        <v>40.700000000000003</v>
      </c>
      <c r="U72" s="2">
        <v>27.8</v>
      </c>
      <c r="V72" s="2">
        <v>26</v>
      </c>
      <c r="W72" s="2">
        <v>59.5</v>
      </c>
    </row>
    <row r="73" spans="18:23" x14ac:dyDescent="0.35">
      <c r="R73" s="12">
        <v>45387</v>
      </c>
      <c r="S73" s="2">
        <v>41.2</v>
      </c>
      <c r="T73" s="2">
        <v>36.6</v>
      </c>
      <c r="U73" s="2">
        <v>27.2</v>
      </c>
      <c r="V73" s="2">
        <v>26.8</v>
      </c>
      <c r="W73" s="2">
        <v>59.5</v>
      </c>
    </row>
    <row r="74" spans="18:23" x14ac:dyDescent="0.35">
      <c r="R74" s="12">
        <v>45390</v>
      </c>
      <c r="S74" s="2">
        <v>39.200000000000003</v>
      </c>
      <c r="T74" s="2">
        <v>36.4</v>
      </c>
      <c r="U74" s="2">
        <v>29.2</v>
      </c>
      <c r="V74" s="2">
        <v>27.8</v>
      </c>
      <c r="W74" s="2">
        <v>53.6</v>
      </c>
    </row>
    <row r="75" spans="18:23" x14ac:dyDescent="0.35">
      <c r="R75" s="12">
        <v>45391</v>
      </c>
      <c r="S75" s="2">
        <v>37.6</v>
      </c>
      <c r="T75" s="2">
        <v>36</v>
      </c>
      <c r="U75" s="2">
        <v>29.6</v>
      </c>
      <c r="V75" s="2">
        <v>28.5</v>
      </c>
      <c r="W75" s="2">
        <v>54.1</v>
      </c>
    </row>
    <row r="76" spans="18:23" x14ac:dyDescent="0.35">
      <c r="R76" s="12">
        <v>45392</v>
      </c>
      <c r="S76" s="2">
        <v>40.9</v>
      </c>
      <c r="T76" s="2">
        <v>35.5</v>
      </c>
      <c r="U76" s="2">
        <v>30.2</v>
      </c>
      <c r="V76" s="2">
        <v>30.5</v>
      </c>
      <c r="W76" s="2">
        <v>55</v>
      </c>
    </row>
    <row r="77" spans="18:23" x14ac:dyDescent="0.35">
      <c r="R77" s="12">
        <v>45393</v>
      </c>
      <c r="S77" s="2">
        <v>41.1</v>
      </c>
      <c r="T77" s="2">
        <v>34.9</v>
      </c>
      <c r="U77" s="2">
        <v>30.3</v>
      </c>
      <c r="V77" s="2">
        <v>33.799999999999997</v>
      </c>
      <c r="W77" s="2">
        <v>60</v>
      </c>
    </row>
    <row r="78" spans="18:23" x14ac:dyDescent="0.35">
      <c r="R78" s="12">
        <v>45394</v>
      </c>
      <c r="S78" s="2">
        <v>39.5</v>
      </c>
      <c r="T78" s="2">
        <v>34.6</v>
      </c>
      <c r="U78" s="2">
        <v>19.899999999999999</v>
      </c>
      <c r="V78" s="2">
        <v>29</v>
      </c>
      <c r="W78" s="2">
        <v>50.8</v>
      </c>
    </row>
    <row r="79" spans="18:23" x14ac:dyDescent="0.35">
      <c r="R79" s="12">
        <v>45397</v>
      </c>
      <c r="S79" s="2">
        <v>40</v>
      </c>
      <c r="T79" s="2">
        <v>31.3</v>
      </c>
      <c r="U79" s="2">
        <v>21.2</v>
      </c>
      <c r="V79" s="2">
        <v>29.6</v>
      </c>
      <c r="W79" s="2">
        <v>50.8</v>
      </c>
    </row>
    <row r="80" spans="18:23" x14ac:dyDescent="0.35">
      <c r="R80" s="12">
        <v>45398</v>
      </c>
      <c r="S80" s="2">
        <v>33.799999999999997</v>
      </c>
      <c r="T80" s="2">
        <v>34.1</v>
      </c>
      <c r="U80" s="2">
        <v>26</v>
      </c>
      <c r="V80" s="2">
        <v>31.4</v>
      </c>
      <c r="W80" s="2">
        <v>53.2</v>
      </c>
    </row>
    <row r="81" spans="18:23" x14ac:dyDescent="0.35">
      <c r="R81" s="12">
        <v>45399</v>
      </c>
      <c r="S81" s="2">
        <v>31.6</v>
      </c>
      <c r="T81" s="2">
        <v>33.5</v>
      </c>
      <c r="U81" s="2">
        <v>25.8</v>
      </c>
      <c r="V81" s="2">
        <v>29.6</v>
      </c>
      <c r="W81" s="2">
        <v>52.9</v>
      </c>
    </row>
    <row r="82" spans="18:23" x14ac:dyDescent="0.35">
      <c r="R82" s="12">
        <v>45400</v>
      </c>
      <c r="S82" s="2">
        <v>33.4</v>
      </c>
      <c r="T82" s="2">
        <v>33</v>
      </c>
      <c r="U82" s="2">
        <v>25.5</v>
      </c>
      <c r="V82" s="2">
        <v>28.9</v>
      </c>
      <c r="W82" s="2">
        <v>52.5</v>
      </c>
    </row>
    <row r="83" spans="18:23" x14ac:dyDescent="0.35">
      <c r="R83" s="12">
        <v>45401</v>
      </c>
      <c r="S83" s="2">
        <v>33.1</v>
      </c>
      <c r="T83" s="2">
        <v>32.4</v>
      </c>
      <c r="U83" s="2">
        <v>25.3</v>
      </c>
      <c r="V83" s="2">
        <v>29.2</v>
      </c>
      <c r="W83" s="2">
        <v>52.2</v>
      </c>
    </row>
    <row r="84" spans="18:23" x14ac:dyDescent="0.35">
      <c r="R84" s="12">
        <v>45404</v>
      </c>
      <c r="S84" s="2">
        <v>28.4</v>
      </c>
      <c r="T84" s="2">
        <v>29.6</v>
      </c>
      <c r="U84" s="2">
        <v>24.4</v>
      </c>
      <c r="V84" s="2">
        <v>30.6</v>
      </c>
      <c r="W84" s="2">
        <v>50.9</v>
      </c>
    </row>
    <row r="85" spans="18:23" x14ac:dyDescent="0.35">
      <c r="R85" s="12">
        <v>45405</v>
      </c>
      <c r="S85" s="2">
        <v>20.399999999999999</v>
      </c>
      <c r="T85" s="2">
        <v>34</v>
      </c>
      <c r="U85" s="2">
        <v>24.1</v>
      </c>
      <c r="V85" s="2">
        <v>29</v>
      </c>
      <c r="W85" s="2">
        <v>50.5</v>
      </c>
    </row>
    <row r="86" spans="18:23" x14ac:dyDescent="0.35">
      <c r="R86" s="12">
        <v>45406</v>
      </c>
      <c r="S86" s="2">
        <v>20.100000000000001</v>
      </c>
      <c r="T86" s="2">
        <v>32.700000000000003</v>
      </c>
      <c r="U86" s="2">
        <v>23.8</v>
      </c>
      <c r="V86" s="2">
        <v>29.1</v>
      </c>
      <c r="W86" s="2">
        <v>50</v>
      </c>
    </row>
    <row r="87" spans="18:23" x14ac:dyDescent="0.35">
      <c r="R87" s="12">
        <v>45407</v>
      </c>
      <c r="S87" s="2">
        <v>13.2</v>
      </c>
      <c r="T87" s="2">
        <v>31.6</v>
      </c>
      <c r="U87" s="2">
        <v>23.5</v>
      </c>
      <c r="V87" s="2">
        <v>39</v>
      </c>
      <c r="W87" s="2">
        <v>49.6</v>
      </c>
    </row>
    <row r="88" spans="18:23" x14ac:dyDescent="0.35">
      <c r="R88" s="12">
        <v>45408</v>
      </c>
      <c r="S88" s="2">
        <v>15.1</v>
      </c>
      <c r="T88" s="2">
        <v>28.7</v>
      </c>
      <c r="U88" s="2">
        <v>23.1</v>
      </c>
      <c r="V88" s="2">
        <v>38.299999999999997</v>
      </c>
      <c r="W88" s="2">
        <v>49.2</v>
      </c>
    </row>
    <row r="89" spans="18:23" x14ac:dyDescent="0.35">
      <c r="R89" s="12">
        <v>45411</v>
      </c>
      <c r="S89" s="2">
        <v>14</v>
      </c>
      <c r="T89" s="2">
        <v>15.5</v>
      </c>
      <c r="U89" s="2">
        <v>21.8</v>
      </c>
      <c r="V89" s="2">
        <v>41.6</v>
      </c>
      <c r="W89" s="2">
        <v>57</v>
      </c>
    </row>
    <row r="90" spans="18:23" x14ac:dyDescent="0.35">
      <c r="R90" s="12">
        <v>45412</v>
      </c>
      <c r="S90" s="2">
        <v>7.6</v>
      </c>
      <c r="T90" s="2">
        <v>29.9</v>
      </c>
      <c r="U90" s="2">
        <v>19.7</v>
      </c>
      <c r="V90" s="2">
        <v>34.1</v>
      </c>
      <c r="W90" s="2">
        <v>57.5</v>
      </c>
    </row>
    <row r="91" spans="18:23" x14ac:dyDescent="0.35">
      <c r="R91" s="12">
        <v>45413</v>
      </c>
      <c r="S91" s="2">
        <v>2</v>
      </c>
      <c r="T91" s="2">
        <v>28.7</v>
      </c>
      <c r="U91" s="2">
        <v>19.2</v>
      </c>
      <c r="V91" s="2">
        <v>32.700000000000003</v>
      </c>
      <c r="W91" s="2">
        <v>56.6</v>
      </c>
    </row>
    <row r="92" spans="18:23" x14ac:dyDescent="0.35">
      <c r="R92" s="12">
        <v>45414</v>
      </c>
      <c r="S92" s="2">
        <v>2.6</v>
      </c>
      <c r="T92" s="2">
        <v>29.3</v>
      </c>
      <c r="U92" s="2">
        <v>18.600000000000001</v>
      </c>
      <c r="V92" s="2">
        <v>34</v>
      </c>
      <c r="W92" s="2">
        <v>57.2</v>
      </c>
    </row>
    <row r="93" spans="18:23" x14ac:dyDescent="0.35">
      <c r="R93" s="12">
        <v>45415</v>
      </c>
      <c r="S93" s="2">
        <v>-7.3</v>
      </c>
      <c r="T93" s="2">
        <v>27.2</v>
      </c>
      <c r="U93" s="2">
        <v>17.899999999999999</v>
      </c>
      <c r="V93" s="2">
        <v>32</v>
      </c>
      <c r="W93" s="2">
        <v>56</v>
      </c>
    </row>
    <row r="94" spans="18:23" x14ac:dyDescent="0.35">
      <c r="R94" s="12">
        <v>45418</v>
      </c>
      <c r="S94" s="2">
        <v>-7.5</v>
      </c>
      <c r="T94" s="2">
        <v>27</v>
      </c>
      <c r="U94" s="2">
        <v>14.8</v>
      </c>
      <c r="V94" s="2">
        <v>31.3</v>
      </c>
      <c r="W94" s="2">
        <v>53.9</v>
      </c>
    </row>
    <row r="95" spans="18:23" x14ac:dyDescent="0.35">
      <c r="R95" s="12">
        <v>45419</v>
      </c>
      <c r="S95" s="2">
        <v>-7.5</v>
      </c>
      <c r="T95" s="2">
        <v>25.8</v>
      </c>
      <c r="U95" s="2">
        <v>8.5</v>
      </c>
      <c r="V95" s="2">
        <v>29.7</v>
      </c>
      <c r="W95" s="2">
        <v>50.3</v>
      </c>
    </row>
    <row r="96" spans="18:23" x14ac:dyDescent="0.35">
      <c r="R96" s="12">
        <v>45420</v>
      </c>
      <c r="S96" s="2">
        <v>-7.4</v>
      </c>
      <c r="T96" s="2">
        <v>25.7</v>
      </c>
      <c r="U96" s="2">
        <v>5.4</v>
      </c>
      <c r="V96" s="2">
        <v>27.8</v>
      </c>
      <c r="W96" s="2">
        <v>48.6</v>
      </c>
    </row>
    <row r="97" spans="18:23" x14ac:dyDescent="0.35">
      <c r="R97" s="12">
        <v>45421</v>
      </c>
      <c r="S97" s="2">
        <v>-11.5</v>
      </c>
      <c r="T97" s="2">
        <v>25</v>
      </c>
      <c r="U97" s="2">
        <v>5.6</v>
      </c>
      <c r="V97" s="2">
        <v>27.4</v>
      </c>
      <c r="W97" s="2">
        <v>47.9</v>
      </c>
    </row>
    <row r="98" spans="18:23" x14ac:dyDescent="0.35">
      <c r="R98" s="12">
        <v>45422</v>
      </c>
      <c r="S98" s="2">
        <v>-18.5</v>
      </c>
      <c r="T98" s="2">
        <v>24.2</v>
      </c>
      <c r="U98" s="2">
        <v>5.5</v>
      </c>
      <c r="V98" s="2">
        <v>26.5</v>
      </c>
      <c r="W98" s="2">
        <v>45.8</v>
      </c>
    </row>
    <row r="99" spans="18:23" x14ac:dyDescent="0.35">
      <c r="R99" s="12">
        <v>45425</v>
      </c>
      <c r="S99" s="2">
        <v>-17.899999999999999</v>
      </c>
      <c r="T99" s="2">
        <v>19.8</v>
      </c>
      <c r="U99" s="2">
        <v>5.2</v>
      </c>
      <c r="V99" s="2">
        <v>25.7</v>
      </c>
      <c r="W99" s="2">
        <v>43.6</v>
      </c>
    </row>
    <row r="100" spans="18:23" x14ac:dyDescent="0.35">
      <c r="R100" s="12">
        <v>45426</v>
      </c>
      <c r="S100" s="2">
        <v>-16.2</v>
      </c>
      <c r="T100" s="2">
        <v>19.899999999999999</v>
      </c>
      <c r="U100" s="2">
        <v>5.0999999999999996</v>
      </c>
      <c r="V100" s="2">
        <v>25.1</v>
      </c>
      <c r="W100" s="2">
        <v>43.2</v>
      </c>
    </row>
    <row r="101" spans="18:23" x14ac:dyDescent="0.35">
      <c r="R101" s="12">
        <v>45427</v>
      </c>
      <c r="S101" s="2">
        <v>-18.2</v>
      </c>
      <c r="T101" s="2">
        <v>20.3</v>
      </c>
      <c r="U101" s="2">
        <v>5</v>
      </c>
      <c r="V101" s="2">
        <v>24.3</v>
      </c>
      <c r="W101" s="2">
        <v>42.4</v>
      </c>
    </row>
    <row r="102" spans="18:23" x14ac:dyDescent="0.35">
      <c r="R102" s="12">
        <v>45428</v>
      </c>
      <c r="S102" s="2">
        <v>-21.6</v>
      </c>
      <c r="T102" s="2">
        <v>20.100000000000001</v>
      </c>
      <c r="U102" s="2">
        <v>4.9000000000000004</v>
      </c>
      <c r="V102" s="2">
        <v>23</v>
      </c>
      <c r="W102" s="2">
        <v>41.8</v>
      </c>
    </row>
    <row r="103" spans="18:23" x14ac:dyDescent="0.35">
      <c r="R103" s="12">
        <v>45429</v>
      </c>
      <c r="S103" s="2">
        <v>-23.2</v>
      </c>
      <c r="T103" s="2">
        <v>19.8</v>
      </c>
      <c r="U103" s="2">
        <v>5.5</v>
      </c>
      <c r="V103" s="2">
        <v>23.1</v>
      </c>
      <c r="W103" s="2">
        <v>41.5</v>
      </c>
    </row>
    <row r="104" spans="18:23" x14ac:dyDescent="0.35">
      <c r="R104" s="12">
        <v>45432</v>
      </c>
      <c r="S104" s="2">
        <v>-23.2</v>
      </c>
      <c r="T104" s="2">
        <v>18.5</v>
      </c>
      <c r="U104" s="2">
        <v>5.0999999999999996</v>
      </c>
      <c r="V104" s="2">
        <v>21.4</v>
      </c>
      <c r="W104" s="2">
        <v>39.200000000000003</v>
      </c>
    </row>
    <row r="105" spans="18:23" x14ac:dyDescent="0.35">
      <c r="R105" s="12">
        <v>45433</v>
      </c>
      <c r="S105" s="2">
        <v>-23.5</v>
      </c>
      <c r="T105" s="2">
        <v>17.600000000000001</v>
      </c>
      <c r="U105" s="2">
        <v>4.9000000000000004</v>
      </c>
      <c r="V105" s="2">
        <v>20.6</v>
      </c>
      <c r="W105" s="2">
        <v>38.4</v>
      </c>
    </row>
    <row r="106" spans="18:23" x14ac:dyDescent="0.35">
      <c r="R106" s="12">
        <v>45434</v>
      </c>
      <c r="S106" s="2">
        <v>-23.8</v>
      </c>
      <c r="T106" s="2">
        <v>17.600000000000001</v>
      </c>
      <c r="U106" s="2">
        <v>4.8</v>
      </c>
      <c r="V106" s="2">
        <v>20</v>
      </c>
      <c r="W106" s="2">
        <v>37.5</v>
      </c>
    </row>
    <row r="107" spans="18:23" x14ac:dyDescent="0.35">
      <c r="R107" s="12">
        <v>45435</v>
      </c>
      <c r="S107" s="2">
        <v>-16.7</v>
      </c>
      <c r="T107" s="2">
        <v>26</v>
      </c>
      <c r="U107" s="2">
        <v>4.5999999999999996</v>
      </c>
      <c r="V107" s="2">
        <v>21.2</v>
      </c>
      <c r="W107" s="2">
        <v>36.5</v>
      </c>
    </row>
    <row r="108" spans="18:23" x14ac:dyDescent="0.35">
      <c r="R108" s="12">
        <v>45436</v>
      </c>
      <c r="S108" s="2">
        <v>-10.9</v>
      </c>
      <c r="T108" s="2">
        <v>26</v>
      </c>
      <c r="U108" s="2">
        <v>4.4000000000000004</v>
      </c>
      <c r="V108" s="2">
        <v>19.8</v>
      </c>
      <c r="W108" s="2">
        <v>34.9</v>
      </c>
    </row>
    <row r="109" spans="18:23" x14ac:dyDescent="0.35">
      <c r="R109" s="12">
        <v>45439</v>
      </c>
      <c r="S109" s="2">
        <v>-10.9</v>
      </c>
      <c r="T109" s="2">
        <v>26</v>
      </c>
      <c r="U109" s="2">
        <v>4.4000000000000004</v>
      </c>
      <c r="V109" s="2">
        <v>19.8</v>
      </c>
      <c r="W109" s="2">
        <v>34.9</v>
      </c>
    </row>
    <row r="110" spans="18:23" x14ac:dyDescent="0.35">
      <c r="R110" s="12">
        <v>45440</v>
      </c>
      <c r="S110" s="2">
        <v>-5.2</v>
      </c>
      <c r="T110" s="2">
        <v>21.7</v>
      </c>
      <c r="U110" s="2">
        <v>3.1</v>
      </c>
      <c r="V110" s="2">
        <v>13.8</v>
      </c>
      <c r="W110" s="2">
        <v>25.7</v>
      </c>
    </row>
    <row r="111" spans="18:23" x14ac:dyDescent="0.35">
      <c r="R111" s="12">
        <v>45441</v>
      </c>
      <c r="S111" s="2">
        <v>-3.7</v>
      </c>
      <c r="T111" s="2">
        <v>20.3</v>
      </c>
      <c r="U111" s="2">
        <v>2.5</v>
      </c>
      <c r="V111" s="2">
        <v>13.3</v>
      </c>
      <c r="W111" s="2">
        <v>26.1</v>
      </c>
    </row>
    <row r="112" spans="18:23" x14ac:dyDescent="0.35">
      <c r="R112" s="12">
        <v>45442</v>
      </c>
      <c r="S112" s="2">
        <v>-4.0999999999999996</v>
      </c>
      <c r="T112" s="2">
        <v>20.9</v>
      </c>
      <c r="U112" s="2">
        <v>2.4</v>
      </c>
      <c r="V112" s="2">
        <v>14.6</v>
      </c>
      <c r="W112" s="2">
        <v>26</v>
      </c>
    </row>
    <row r="113" spans="18:23" x14ac:dyDescent="0.35">
      <c r="R113" s="12">
        <v>45443</v>
      </c>
      <c r="S113" s="2">
        <v>-7.6</v>
      </c>
      <c r="T113" s="2">
        <v>27.5</v>
      </c>
      <c r="U113" s="2">
        <v>-3.4</v>
      </c>
      <c r="V113" s="2">
        <v>15.3</v>
      </c>
      <c r="W113" s="2">
        <v>29.7</v>
      </c>
    </row>
    <row r="114" spans="18:23" x14ac:dyDescent="0.35">
      <c r="R114" s="12">
        <v>45446</v>
      </c>
      <c r="S114" s="2">
        <v>-8.9</v>
      </c>
      <c r="T114" s="2">
        <v>26.7</v>
      </c>
      <c r="U114" s="2">
        <v>-3.2</v>
      </c>
      <c r="V114" s="2">
        <v>11.5</v>
      </c>
      <c r="W114" s="2">
        <v>28.3</v>
      </c>
    </row>
    <row r="115" spans="18:23" x14ac:dyDescent="0.35">
      <c r="R115" s="12">
        <v>45447</v>
      </c>
      <c r="S115" s="2">
        <v>-11.8</v>
      </c>
      <c r="T115" s="2">
        <v>27.1</v>
      </c>
      <c r="U115" s="2">
        <v>-3.5</v>
      </c>
      <c r="V115" s="2">
        <v>12.9</v>
      </c>
      <c r="W115" s="2">
        <v>29.7</v>
      </c>
    </row>
    <row r="116" spans="18:23" x14ac:dyDescent="0.35">
      <c r="R116" s="12">
        <v>45448</v>
      </c>
      <c r="S116" s="2">
        <v>-7.6</v>
      </c>
      <c r="T116" s="2">
        <v>27.5</v>
      </c>
      <c r="U116" s="2">
        <v>0</v>
      </c>
      <c r="V116" s="2">
        <v>11.8</v>
      </c>
      <c r="W116" s="2">
        <v>30.7</v>
      </c>
    </row>
    <row r="117" spans="18:23" x14ac:dyDescent="0.35">
      <c r="R117" s="12">
        <v>45449</v>
      </c>
      <c r="S117" s="2">
        <v>-9.9</v>
      </c>
      <c r="T117" s="2">
        <v>26.1</v>
      </c>
      <c r="U117" s="2">
        <v>-0.1</v>
      </c>
      <c r="V117" s="2">
        <v>9.4</v>
      </c>
      <c r="W117" s="2">
        <v>24.9</v>
      </c>
    </row>
    <row r="118" spans="18:23" x14ac:dyDescent="0.35">
      <c r="R118" s="12">
        <v>45450</v>
      </c>
      <c r="S118" s="2">
        <v>-5.5</v>
      </c>
      <c r="T118" s="2">
        <v>26.1</v>
      </c>
      <c r="U118" s="2">
        <v>3.6</v>
      </c>
      <c r="V118" s="2">
        <v>8.3000000000000007</v>
      </c>
      <c r="W118" s="2">
        <v>25.5</v>
      </c>
    </row>
    <row r="119" spans="18:23" x14ac:dyDescent="0.35">
      <c r="R119" s="12">
        <v>45453</v>
      </c>
      <c r="S119" s="2">
        <v>-6.6</v>
      </c>
      <c r="T119" s="2">
        <v>28.2</v>
      </c>
      <c r="U119" s="2">
        <v>3.1</v>
      </c>
      <c r="V119" s="2">
        <v>4.9000000000000004</v>
      </c>
      <c r="W119" s="2">
        <v>23.4</v>
      </c>
    </row>
    <row r="120" spans="18:23" x14ac:dyDescent="0.35">
      <c r="R120" s="12">
        <v>45454</v>
      </c>
      <c r="S120" s="2">
        <v>-6.1</v>
      </c>
      <c r="T120" s="2">
        <v>28.1</v>
      </c>
      <c r="U120" s="2">
        <v>2.9</v>
      </c>
      <c r="V120" s="2">
        <v>6.2</v>
      </c>
      <c r="W120" s="2">
        <v>22.1</v>
      </c>
    </row>
    <row r="121" spans="18:23" x14ac:dyDescent="0.35">
      <c r="R121" s="12">
        <v>45455</v>
      </c>
      <c r="S121" s="2">
        <v>-9.9</v>
      </c>
      <c r="T121" s="2">
        <v>27.9</v>
      </c>
      <c r="U121" s="2">
        <v>2.7</v>
      </c>
      <c r="V121" s="2">
        <v>7.3</v>
      </c>
      <c r="W121" s="2">
        <v>24.2</v>
      </c>
    </row>
    <row r="122" spans="18:23" x14ac:dyDescent="0.35">
      <c r="R122" s="12">
        <v>45456</v>
      </c>
      <c r="S122" s="2">
        <v>-14.2</v>
      </c>
      <c r="T122" s="2">
        <v>25.6</v>
      </c>
      <c r="U122" s="2">
        <v>2.4</v>
      </c>
      <c r="V122" s="2">
        <v>6.2</v>
      </c>
      <c r="W122" s="2">
        <v>21.8</v>
      </c>
    </row>
    <row r="123" spans="18:23" x14ac:dyDescent="0.35">
      <c r="R123" s="12">
        <v>45457</v>
      </c>
      <c r="S123" s="2">
        <v>-19.899999999999999</v>
      </c>
      <c r="T123" s="2">
        <v>25.4</v>
      </c>
      <c r="U123" s="2">
        <v>2</v>
      </c>
      <c r="V123" s="2">
        <v>6.2</v>
      </c>
      <c r="W123" s="2">
        <v>21.5</v>
      </c>
    </row>
    <row r="124" spans="18:23" x14ac:dyDescent="0.35">
      <c r="R124" s="12">
        <v>45460</v>
      </c>
      <c r="S124" s="2">
        <v>-21.5</v>
      </c>
      <c r="T124" s="2">
        <v>25.1</v>
      </c>
      <c r="U124" s="2">
        <v>-0.9</v>
      </c>
      <c r="V124" s="2">
        <v>6.9</v>
      </c>
      <c r="W124" s="2">
        <v>19</v>
      </c>
    </row>
    <row r="125" spans="18:23" x14ac:dyDescent="0.35">
      <c r="R125" s="12">
        <v>45461</v>
      </c>
      <c r="S125" s="2">
        <v>-22.4</v>
      </c>
      <c r="T125" s="2">
        <v>25.1</v>
      </c>
      <c r="U125" s="2">
        <v>-1</v>
      </c>
      <c r="V125" s="2">
        <v>7</v>
      </c>
      <c r="W125" s="2">
        <v>18.5</v>
      </c>
    </row>
    <row r="126" spans="18:23" x14ac:dyDescent="0.35">
      <c r="R126" s="12">
        <v>45462</v>
      </c>
      <c r="S126" s="2">
        <v>-23.6</v>
      </c>
      <c r="T126" s="2">
        <v>23.8</v>
      </c>
      <c r="U126" s="2">
        <v>-1.1000000000000001</v>
      </c>
      <c r="V126" s="2">
        <v>7.9</v>
      </c>
      <c r="W126" s="2">
        <v>18</v>
      </c>
    </row>
    <row r="127" spans="18:23" x14ac:dyDescent="0.35">
      <c r="R127" s="12">
        <v>45463</v>
      </c>
      <c r="S127" s="2">
        <v>-28.1</v>
      </c>
      <c r="T127" s="2">
        <v>23.3</v>
      </c>
      <c r="U127" s="2">
        <v>-1.2</v>
      </c>
      <c r="V127" s="2">
        <v>8.5</v>
      </c>
      <c r="W127" s="2">
        <v>17.5</v>
      </c>
    </row>
    <row r="128" spans="18:23" x14ac:dyDescent="0.35">
      <c r="R128" s="12">
        <v>45464</v>
      </c>
      <c r="S128" s="2">
        <v>-25.6</v>
      </c>
      <c r="T128" s="2">
        <v>-9.8000000000000007</v>
      </c>
      <c r="U128" s="2">
        <v>-1.4</v>
      </c>
      <c r="V128" s="2">
        <v>9.9</v>
      </c>
      <c r="W128" s="2">
        <v>16.899999999999999</v>
      </c>
    </row>
    <row r="129" spans="18:23" x14ac:dyDescent="0.35">
      <c r="R129" s="12">
        <v>45467</v>
      </c>
      <c r="S129" s="2">
        <v>-26.7</v>
      </c>
      <c r="T129" s="2">
        <v>-14.2</v>
      </c>
      <c r="U129" s="2">
        <v>-2</v>
      </c>
      <c r="V129" s="2">
        <v>10.3</v>
      </c>
      <c r="W129" s="2">
        <v>13.6</v>
      </c>
    </row>
    <row r="130" spans="18:23" x14ac:dyDescent="0.35">
      <c r="R130" s="12">
        <v>45468</v>
      </c>
      <c r="S130" s="2">
        <v>-26</v>
      </c>
      <c r="T130" s="2">
        <v>-13.4</v>
      </c>
      <c r="U130" s="2">
        <v>-2.2999999999999998</v>
      </c>
      <c r="V130" s="2">
        <v>10.8</v>
      </c>
      <c r="W130" s="2">
        <v>12</v>
      </c>
    </row>
    <row r="131" spans="18:23" x14ac:dyDescent="0.35">
      <c r="R131" s="12">
        <v>45469</v>
      </c>
      <c r="S131" s="2">
        <v>-26.9</v>
      </c>
      <c r="T131" s="2">
        <v>-13.7</v>
      </c>
      <c r="U131" s="2">
        <v>-2.7</v>
      </c>
      <c r="V131" s="2">
        <v>10.7</v>
      </c>
      <c r="W131" s="2">
        <v>11.5</v>
      </c>
    </row>
    <row r="132" spans="18:23" x14ac:dyDescent="0.35">
      <c r="R132" s="12">
        <v>45470</v>
      </c>
      <c r="S132" s="2">
        <v>-29.2</v>
      </c>
      <c r="T132" s="2">
        <v>-16.2</v>
      </c>
      <c r="U132" s="2">
        <v>-3.2</v>
      </c>
      <c r="V132" s="2">
        <v>12.9</v>
      </c>
      <c r="W132" s="2">
        <v>16.7</v>
      </c>
    </row>
    <row r="133" spans="18:23" x14ac:dyDescent="0.35">
      <c r="R133" s="12">
        <v>45471</v>
      </c>
      <c r="S133" s="2">
        <v>-28.5</v>
      </c>
      <c r="T133" s="2">
        <v>-14.2</v>
      </c>
      <c r="U133" s="2">
        <v>-4</v>
      </c>
      <c r="V133" s="2">
        <v>11.1</v>
      </c>
      <c r="W133" s="2">
        <v>15.7</v>
      </c>
    </row>
    <row r="134" spans="18:23" x14ac:dyDescent="0.35">
      <c r="R134" s="12">
        <v>45474</v>
      </c>
      <c r="S134" s="2">
        <v>-32.4</v>
      </c>
      <c r="T134" s="2">
        <v>-14</v>
      </c>
      <c r="U134" s="2">
        <v>-5.6</v>
      </c>
      <c r="V134" s="2">
        <v>9.1</v>
      </c>
      <c r="W134" s="2">
        <v>12.9</v>
      </c>
    </row>
    <row r="135" spans="18:23" x14ac:dyDescent="0.35">
      <c r="R135" s="12">
        <v>45475</v>
      </c>
      <c r="S135" s="2">
        <v>-30.4</v>
      </c>
      <c r="T135" s="2">
        <v>-10.4</v>
      </c>
      <c r="U135" s="2">
        <v>-5.5</v>
      </c>
      <c r="V135" s="2">
        <v>7.7</v>
      </c>
      <c r="W135" s="2">
        <v>11.3</v>
      </c>
    </row>
    <row r="136" spans="18:23" x14ac:dyDescent="0.35">
      <c r="R136" s="12">
        <v>45476</v>
      </c>
      <c r="S136" s="2">
        <v>-47.5</v>
      </c>
      <c r="T136" s="2">
        <v>-8.5</v>
      </c>
      <c r="U136" s="2">
        <v>-10.6</v>
      </c>
      <c r="V136" s="2">
        <v>6.8</v>
      </c>
      <c r="W136" s="2">
        <v>9.8000000000000007</v>
      </c>
    </row>
    <row r="137" spans="18:23" x14ac:dyDescent="0.35">
      <c r="R137" s="12">
        <v>45477</v>
      </c>
      <c r="S137" s="2">
        <v>-47.3</v>
      </c>
      <c r="T137" s="2">
        <v>-11.7</v>
      </c>
      <c r="U137" s="2">
        <v>-10.5</v>
      </c>
      <c r="V137" s="2">
        <v>7.1</v>
      </c>
      <c r="W137" s="2">
        <v>11.1</v>
      </c>
    </row>
    <row r="138" spans="18:23" x14ac:dyDescent="0.35">
      <c r="R138" s="12">
        <v>45478</v>
      </c>
      <c r="S138" s="2">
        <v>-46.8</v>
      </c>
      <c r="T138" s="2">
        <v>-21.6</v>
      </c>
      <c r="U138" s="2">
        <v>-10.4</v>
      </c>
      <c r="V138" s="2">
        <v>8.1</v>
      </c>
      <c r="W138" s="2">
        <v>13.6</v>
      </c>
    </row>
    <row r="139" spans="18:23" x14ac:dyDescent="0.35">
      <c r="R139" s="12">
        <v>45481</v>
      </c>
      <c r="S139" s="2">
        <v>-46.7</v>
      </c>
      <c r="T139" s="2">
        <v>-25.4</v>
      </c>
      <c r="U139" s="2">
        <v>-9.8000000000000007</v>
      </c>
      <c r="V139" s="2">
        <v>7</v>
      </c>
      <c r="W139" s="2">
        <v>14</v>
      </c>
    </row>
    <row r="140" spans="18:23" x14ac:dyDescent="0.35">
      <c r="R140" s="12">
        <v>45482</v>
      </c>
      <c r="S140" s="2">
        <v>-45.7</v>
      </c>
      <c r="T140" s="2">
        <v>-25.5</v>
      </c>
      <c r="U140" s="2">
        <v>-9</v>
      </c>
      <c r="V140" s="2">
        <v>8.1999999999999993</v>
      </c>
      <c r="W140" s="2">
        <v>13.7</v>
      </c>
    </row>
    <row r="141" spans="18:23" x14ac:dyDescent="0.35">
      <c r="R141" s="12">
        <v>45483</v>
      </c>
      <c r="S141" s="2">
        <v>-45.1</v>
      </c>
      <c r="T141" s="2">
        <v>-25.6</v>
      </c>
      <c r="U141" s="2">
        <v>-7.5</v>
      </c>
      <c r="V141" s="2">
        <v>6.8</v>
      </c>
      <c r="W141" s="2">
        <v>14.9</v>
      </c>
    </row>
    <row r="142" spans="18:23" x14ac:dyDescent="0.35">
      <c r="R142" s="12">
        <v>45484</v>
      </c>
      <c r="S142" s="2">
        <v>-45.8</v>
      </c>
      <c r="T142" s="2">
        <v>-25.7</v>
      </c>
      <c r="U142" s="2">
        <v>-7.7</v>
      </c>
      <c r="V142" s="2">
        <v>8.8000000000000007</v>
      </c>
      <c r="W142" s="2">
        <v>18.8</v>
      </c>
    </row>
    <row r="143" spans="18:23" x14ac:dyDescent="0.35">
      <c r="R143" s="12">
        <v>45485</v>
      </c>
      <c r="S143" s="2">
        <v>-47.5</v>
      </c>
      <c r="T143" s="2">
        <v>-25.9</v>
      </c>
      <c r="U143" s="2">
        <v>-7.2</v>
      </c>
      <c r="V143" s="2">
        <v>10.8</v>
      </c>
      <c r="W143" s="2">
        <v>23.4</v>
      </c>
    </row>
    <row r="144" spans="18:23" x14ac:dyDescent="0.35">
      <c r="R144" s="12">
        <v>45488</v>
      </c>
      <c r="S144" s="2">
        <v>-45.5</v>
      </c>
      <c r="T144" s="2">
        <v>-25.4</v>
      </c>
      <c r="U144" s="2">
        <v>-27.9</v>
      </c>
      <c r="V144" s="2">
        <v>4.8</v>
      </c>
      <c r="W144" s="2">
        <v>11.5</v>
      </c>
    </row>
    <row r="145" spans="18:23" x14ac:dyDescent="0.35">
      <c r="R145" s="12">
        <v>45489</v>
      </c>
      <c r="S145" s="2">
        <v>-42.7</v>
      </c>
      <c r="T145" s="2">
        <v>-25.2</v>
      </c>
      <c r="U145" s="2">
        <v>-27.7</v>
      </c>
      <c r="V145" s="2">
        <v>5</v>
      </c>
      <c r="W145" s="2">
        <v>11.3</v>
      </c>
    </row>
    <row r="146" spans="18:23" x14ac:dyDescent="0.35">
      <c r="R146" s="12">
        <v>45490</v>
      </c>
      <c r="S146" s="2">
        <v>-36.9</v>
      </c>
      <c r="T146" s="2">
        <v>-25.4</v>
      </c>
      <c r="U146" s="2">
        <v>-27.6</v>
      </c>
      <c r="V146" s="2">
        <v>3.5</v>
      </c>
      <c r="W146" s="2">
        <v>11.1</v>
      </c>
    </row>
    <row r="147" spans="18:23" x14ac:dyDescent="0.35">
      <c r="R147" s="12">
        <v>45491</v>
      </c>
      <c r="S147" s="2">
        <v>-36.1</v>
      </c>
      <c r="T147" s="2">
        <v>-25.7</v>
      </c>
      <c r="U147" s="2">
        <v>-27.5</v>
      </c>
      <c r="V147" s="2">
        <v>3.3</v>
      </c>
      <c r="W147" s="2">
        <v>10.9</v>
      </c>
    </row>
    <row r="148" spans="18:23" x14ac:dyDescent="0.35">
      <c r="R148" s="12">
        <v>45492</v>
      </c>
      <c r="S148" s="2">
        <v>-35</v>
      </c>
      <c r="T148" s="2">
        <v>-26</v>
      </c>
      <c r="U148" s="2">
        <v>-27.3</v>
      </c>
      <c r="V148" s="2">
        <v>4.7</v>
      </c>
      <c r="W148" s="2">
        <v>10.6</v>
      </c>
    </row>
    <row r="149" spans="18:23" x14ac:dyDescent="0.35">
      <c r="R149" s="12">
        <v>45495</v>
      </c>
      <c r="S149" s="2">
        <v>-30.1</v>
      </c>
      <c r="T149" s="2">
        <v>-27.3</v>
      </c>
      <c r="U149" s="2">
        <v>-26.8</v>
      </c>
      <c r="V149" s="2">
        <v>1.7</v>
      </c>
      <c r="W149" s="2">
        <v>9.6999999999999993</v>
      </c>
    </row>
    <row r="150" spans="18:23" x14ac:dyDescent="0.35">
      <c r="R150" s="12">
        <v>45496</v>
      </c>
      <c r="S150" s="2">
        <v>-31.1</v>
      </c>
      <c r="T150" s="2">
        <v>-26.7</v>
      </c>
      <c r="U150" s="2">
        <v>-26.6</v>
      </c>
      <c r="V150" s="2">
        <v>-0.8</v>
      </c>
      <c r="W150" s="2">
        <v>9.3000000000000007</v>
      </c>
    </row>
    <row r="151" spans="18:23" x14ac:dyDescent="0.35">
      <c r="R151" s="12">
        <v>45497</v>
      </c>
      <c r="S151" s="2">
        <v>-35.1</v>
      </c>
      <c r="T151" s="2">
        <v>-45.7</v>
      </c>
      <c r="U151" s="2">
        <v>-26.4</v>
      </c>
      <c r="V151" s="2">
        <v>-0.5</v>
      </c>
      <c r="W151" s="2">
        <v>8.8000000000000007</v>
      </c>
    </row>
    <row r="152" spans="18:23" x14ac:dyDescent="0.35">
      <c r="R152" s="12">
        <v>45498</v>
      </c>
      <c r="S152" s="2">
        <v>-33.4</v>
      </c>
      <c r="T152" s="2">
        <v>-53.4</v>
      </c>
      <c r="U152" s="2">
        <v>-26.2</v>
      </c>
      <c r="V152" s="2">
        <v>-4.4000000000000004</v>
      </c>
      <c r="W152" s="2">
        <v>4.3</v>
      </c>
    </row>
    <row r="153" spans="18:23" x14ac:dyDescent="0.35">
      <c r="R153" s="12">
        <v>45499</v>
      </c>
      <c r="S153" s="2">
        <v>-34</v>
      </c>
      <c r="T153" s="2">
        <v>-52.9</v>
      </c>
      <c r="U153" s="2">
        <v>-25.9</v>
      </c>
      <c r="V153" s="2">
        <v>-5.3</v>
      </c>
      <c r="W153" s="2">
        <v>3.1</v>
      </c>
    </row>
    <row r="154" spans="18:23" x14ac:dyDescent="0.35">
      <c r="R154" s="12">
        <v>45502</v>
      </c>
      <c r="S154" s="2">
        <v>-29.3</v>
      </c>
      <c r="T154" s="2">
        <v>-55.7</v>
      </c>
      <c r="U154" s="2">
        <v>-25</v>
      </c>
      <c r="V154" s="2">
        <v>-3.5</v>
      </c>
      <c r="W154" s="2">
        <v>1.4</v>
      </c>
    </row>
    <row r="155" spans="18:23" x14ac:dyDescent="0.35">
      <c r="R155" s="12">
        <v>45503</v>
      </c>
      <c r="S155" s="2">
        <v>-25.5</v>
      </c>
      <c r="T155" s="2">
        <v>-53.4</v>
      </c>
      <c r="U155" s="2">
        <v>-24.7</v>
      </c>
      <c r="V155" s="2">
        <v>-5.4</v>
      </c>
      <c r="W155" s="2">
        <v>1.4</v>
      </c>
    </row>
    <row r="156" spans="18:23" x14ac:dyDescent="0.35">
      <c r="R156" s="12">
        <v>45504</v>
      </c>
      <c r="S156" s="2">
        <v>-25.2</v>
      </c>
      <c r="T156" s="2">
        <v>-49</v>
      </c>
      <c r="U156" s="2">
        <v>-24.9</v>
      </c>
      <c r="V156" s="2">
        <v>-2.6</v>
      </c>
      <c r="W156" s="2">
        <v>1.9</v>
      </c>
    </row>
    <row r="157" spans="18:23" x14ac:dyDescent="0.35">
      <c r="R157" s="12">
        <v>45505</v>
      </c>
      <c r="S157" s="2">
        <v>-34.4</v>
      </c>
      <c r="T157" s="2">
        <v>-48.3</v>
      </c>
      <c r="U157" s="2">
        <v>-32.9</v>
      </c>
      <c r="V157" s="2">
        <v>-5.9</v>
      </c>
      <c r="W157" s="2">
        <v>0</v>
      </c>
    </row>
    <row r="158" spans="18:23" x14ac:dyDescent="0.35">
      <c r="R158" s="12">
        <v>45506</v>
      </c>
      <c r="S158" s="2">
        <v>-40.6</v>
      </c>
      <c r="T158" s="2">
        <v>-49.7</v>
      </c>
      <c r="U158" s="2">
        <v>-32.5</v>
      </c>
      <c r="V158" s="2">
        <v>-5</v>
      </c>
      <c r="W158" s="2">
        <v>2.8</v>
      </c>
    </row>
    <row r="159" spans="18:23" x14ac:dyDescent="0.35">
      <c r="R159" s="12">
        <v>45509</v>
      </c>
      <c r="S159" s="2">
        <v>-39.1</v>
      </c>
      <c r="T159" s="2">
        <v>-55.9</v>
      </c>
      <c r="U159" s="2">
        <v>-29.7</v>
      </c>
      <c r="V159" s="2">
        <v>-4</v>
      </c>
      <c r="W159" s="2">
        <v>4.0999999999999996</v>
      </c>
    </row>
    <row r="160" spans="18:23" x14ac:dyDescent="0.35">
      <c r="R160" s="12">
        <v>45510</v>
      </c>
      <c r="S160" s="2">
        <v>-37.6</v>
      </c>
      <c r="T160" s="2">
        <v>-51.5</v>
      </c>
      <c r="U160" s="2">
        <v>-29.7</v>
      </c>
      <c r="V160" s="2">
        <v>-5.5</v>
      </c>
      <c r="W160" s="2">
        <v>4.0999999999999996</v>
      </c>
    </row>
    <row r="161" spans="18:23" x14ac:dyDescent="0.35">
      <c r="R161" s="12">
        <v>45511</v>
      </c>
      <c r="S161" s="2">
        <v>-36.299999999999997</v>
      </c>
      <c r="T161" s="2">
        <v>-51.6</v>
      </c>
      <c r="U161" s="2">
        <v>-32.200000000000003</v>
      </c>
      <c r="V161" s="2">
        <v>-6.3</v>
      </c>
      <c r="W161" s="2">
        <v>2.2999999999999998</v>
      </c>
    </row>
    <row r="162" spans="18:23" x14ac:dyDescent="0.35">
      <c r="R162" s="12">
        <v>45512</v>
      </c>
      <c r="S162" s="2">
        <v>-34.6</v>
      </c>
      <c r="T162" s="2">
        <v>-51.4</v>
      </c>
      <c r="U162" s="2">
        <v>-32.1</v>
      </c>
      <c r="V162" s="2">
        <v>-6.9</v>
      </c>
      <c r="W162" s="2">
        <v>2.2000000000000002</v>
      </c>
    </row>
    <row r="163" spans="18:23" x14ac:dyDescent="0.35">
      <c r="R163" s="12">
        <v>45513</v>
      </c>
      <c r="S163" s="2">
        <v>-34.299999999999997</v>
      </c>
      <c r="T163" s="2">
        <v>-50.9</v>
      </c>
      <c r="U163" s="2">
        <v>-32</v>
      </c>
      <c r="V163" s="2">
        <v>-7.1</v>
      </c>
      <c r="W163" s="2">
        <v>2.2000000000000002</v>
      </c>
    </row>
    <row r="164" spans="18:23" x14ac:dyDescent="0.35">
      <c r="R164" s="12">
        <v>45516</v>
      </c>
      <c r="S164" s="2">
        <v>-32.9</v>
      </c>
      <c r="T164" s="2">
        <v>-50.8</v>
      </c>
      <c r="U164" s="2">
        <v>-31.7</v>
      </c>
      <c r="V164" s="2">
        <v>-11.1</v>
      </c>
      <c r="W164" s="2">
        <v>-6</v>
      </c>
    </row>
    <row r="165" spans="18:23" x14ac:dyDescent="0.35">
      <c r="R165" s="12">
        <v>45517</v>
      </c>
      <c r="S165" s="2">
        <v>-31.1</v>
      </c>
      <c r="T165" s="2">
        <v>-57.1</v>
      </c>
      <c r="U165" s="2">
        <v>-31.6</v>
      </c>
      <c r="V165" s="2">
        <v>-10.9</v>
      </c>
      <c r="W165" s="2">
        <v>-5.7</v>
      </c>
    </row>
    <row r="166" spans="18:23" x14ac:dyDescent="0.35">
      <c r="R166" s="12">
        <v>45518</v>
      </c>
      <c r="S166" s="2">
        <v>-31</v>
      </c>
      <c r="T166" s="2">
        <v>-59</v>
      </c>
      <c r="U166" s="2">
        <v>-31.6</v>
      </c>
      <c r="V166" s="2">
        <v>-9.9</v>
      </c>
      <c r="W166" s="2">
        <v>-7.7</v>
      </c>
    </row>
    <row r="167" spans="18:23" x14ac:dyDescent="0.35">
      <c r="R167" s="12">
        <v>45519</v>
      </c>
      <c r="S167" s="2">
        <v>-34.9</v>
      </c>
      <c r="T167" s="2">
        <v>-59</v>
      </c>
      <c r="U167" s="2">
        <v>-41.7</v>
      </c>
      <c r="V167" s="2">
        <v>-12.3</v>
      </c>
      <c r="W167" s="2">
        <v>-13.4</v>
      </c>
    </row>
    <row r="168" spans="18:23" x14ac:dyDescent="0.35">
      <c r="R168" s="12">
        <v>45520</v>
      </c>
      <c r="S168" s="2">
        <v>-36.6</v>
      </c>
      <c r="T168" s="2">
        <v>-58.9</v>
      </c>
      <c r="U168" s="2">
        <v>-41.5</v>
      </c>
      <c r="V168" s="2">
        <v>-11.2</v>
      </c>
      <c r="W168" s="2">
        <v>-12.6</v>
      </c>
    </row>
    <row r="169" spans="18:23" x14ac:dyDescent="0.35">
      <c r="R169" s="12">
        <v>45523</v>
      </c>
      <c r="S169" s="2">
        <v>-39.200000000000003</v>
      </c>
      <c r="T169" s="2">
        <v>-59.5</v>
      </c>
      <c r="U169" s="2">
        <v>-41</v>
      </c>
      <c r="V169" s="2">
        <v>-11.1</v>
      </c>
      <c r="W169" s="2">
        <v>-12.8</v>
      </c>
    </row>
    <row r="170" spans="18:23" x14ac:dyDescent="0.35">
      <c r="R170" s="12">
        <v>45524</v>
      </c>
      <c r="S170" s="2">
        <v>-40.5</v>
      </c>
      <c r="T170" s="2">
        <v>-60.3</v>
      </c>
      <c r="U170" s="2">
        <v>-40.799999999999997</v>
      </c>
      <c r="V170" s="2">
        <v>-11.8</v>
      </c>
      <c r="W170" s="2">
        <v>-12.8</v>
      </c>
    </row>
    <row r="171" spans="18:23" x14ac:dyDescent="0.35">
      <c r="R171" s="12">
        <v>45525</v>
      </c>
      <c r="S171" s="2">
        <v>-41.2</v>
      </c>
      <c r="T171" s="2">
        <v>-59.9</v>
      </c>
      <c r="U171" s="2">
        <v>-40.6</v>
      </c>
      <c r="V171" s="2">
        <v>-12.1</v>
      </c>
      <c r="W171" s="2">
        <v>-12.9</v>
      </c>
    </row>
    <row r="172" spans="18:23" x14ac:dyDescent="0.35">
      <c r="R172" s="12">
        <v>45526</v>
      </c>
      <c r="S172" s="2">
        <v>-44.5</v>
      </c>
      <c r="T172" s="2">
        <v>-60.4</v>
      </c>
      <c r="U172" s="2">
        <v>-40.4</v>
      </c>
      <c r="V172" s="2">
        <v>-13.6</v>
      </c>
      <c r="W172" s="2">
        <v>-13</v>
      </c>
    </row>
    <row r="173" spans="18:23" x14ac:dyDescent="0.35">
      <c r="R173" s="12">
        <v>45527</v>
      </c>
      <c r="S173" s="2">
        <v>-38.6</v>
      </c>
      <c r="T173" s="2">
        <v>-59.9</v>
      </c>
      <c r="U173" s="2">
        <v>-40.1</v>
      </c>
      <c r="V173" s="2">
        <v>-13.6</v>
      </c>
      <c r="W173" s="2">
        <v>-13.1</v>
      </c>
    </row>
    <row r="174" spans="18:23" x14ac:dyDescent="0.35">
      <c r="R174" s="12">
        <v>45530</v>
      </c>
      <c r="S174" s="2">
        <v>-31.1</v>
      </c>
      <c r="T174" s="2">
        <v>-56.2</v>
      </c>
      <c r="U174" s="2">
        <v>-39.1</v>
      </c>
      <c r="V174" s="2">
        <v>-14.2</v>
      </c>
      <c r="W174" s="2">
        <v>-13.9</v>
      </c>
    </row>
    <row r="175" spans="18:23" x14ac:dyDescent="0.35">
      <c r="R175" s="12">
        <v>45531</v>
      </c>
      <c r="S175" s="2">
        <v>-28.1</v>
      </c>
      <c r="T175" s="2">
        <v>-56.3</v>
      </c>
      <c r="U175" s="2">
        <v>-38.6</v>
      </c>
      <c r="V175" s="2">
        <v>-12.7</v>
      </c>
      <c r="W175" s="2">
        <v>-14.3</v>
      </c>
    </row>
    <row r="176" spans="18:23" x14ac:dyDescent="0.35">
      <c r="R176" s="12">
        <v>45532</v>
      </c>
      <c r="S176" s="2">
        <v>-27.2</v>
      </c>
      <c r="T176" s="2">
        <v>-56.6</v>
      </c>
      <c r="U176" s="2">
        <v>-37.799999999999997</v>
      </c>
      <c r="V176" s="2">
        <v>-12.7</v>
      </c>
      <c r="W176" s="2">
        <v>-14.9</v>
      </c>
    </row>
    <row r="177" spans="18:23" x14ac:dyDescent="0.35">
      <c r="R177" s="12">
        <v>45533</v>
      </c>
      <c r="S177" s="2">
        <v>-24.8</v>
      </c>
      <c r="T177" s="2">
        <v>-50.2</v>
      </c>
      <c r="U177" s="2">
        <v>-37.9</v>
      </c>
      <c r="V177" s="2">
        <v>-11</v>
      </c>
      <c r="W177" s="2">
        <v>-11.6</v>
      </c>
    </row>
    <row r="178" spans="18:23" x14ac:dyDescent="0.35">
      <c r="R178" s="12">
        <v>45534</v>
      </c>
      <c r="S178" s="2">
        <v>-24.2</v>
      </c>
      <c r="T178" s="2">
        <v>-50.9</v>
      </c>
      <c r="U178" s="2">
        <v>-38</v>
      </c>
      <c r="V178" s="2">
        <v>-11.4</v>
      </c>
      <c r="W178" s="2">
        <v>-12.5</v>
      </c>
    </row>
    <row r="179" spans="18:23" x14ac:dyDescent="0.35">
      <c r="R179" s="12">
        <v>45537</v>
      </c>
      <c r="S179" s="2">
        <v>-23.9</v>
      </c>
      <c r="T179" s="2">
        <v>-40.4</v>
      </c>
      <c r="U179" s="2">
        <v>-38</v>
      </c>
      <c r="V179" s="2">
        <v>-10.1</v>
      </c>
      <c r="W179" s="2">
        <v>-11.9</v>
      </c>
    </row>
    <row r="180" spans="18:23" x14ac:dyDescent="0.35">
      <c r="R180" s="12">
        <v>45538</v>
      </c>
      <c r="S180" s="2">
        <v>-25.1</v>
      </c>
      <c r="T180" s="2">
        <v>-39.5</v>
      </c>
      <c r="U180" s="2">
        <v>-38.1</v>
      </c>
      <c r="V180" s="2">
        <v>-7.7</v>
      </c>
      <c r="W180" s="2">
        <v>-6.3</v>
      </c>
    </row>
    <row r="181" spans="18:23" x14ac:dyDescent="0.35">
      <c r="R181" s="12">
        <v>45539</v>
      </c>
      <c r="S181" s="2">
        <v>-28.9</v>
      </c>
      <c r="T181" s="2">
        <v>-43.3</v>
      </c>
      <c r="U181" s="2">
        <v>-38.9</v>
      </c>
      <c r="V181" s="2">
        <v>-8</v>
      </c>
      <c r="W181" s="2">
        <v>-7.8</v>
      </c>
    </row>
    <row r="182" spans="18:23" x14ac:dyDescent="0.35">
      <c r="R182" s="12">
        <v>45540</v>
      </c>
      <c r="S182" s="2">
        <v>-29.5</v>
      </c>
      <c r="T182" s="2">
        <v>-36.4</v>
      </c>
      <c r="U182" s="2">
        <v>-38.6</v>
      </c>
      <c r="V182" s="2">
        <v>-8</v>
      </c>
      <c r="W182" s="2">
        <v>-7.8</v>
      </c>
    </row>
    <row r="183" spans="18:23" x14ac:dyDescent="0.35">
      <c r="R183" s="12">
        <v>45541</v>
      </c>
      <c r="S183" s="2">
        <v>-30.1</v>
      </c>
      <c r="T183" s="2">
        <v>-43.6</v>
      </c>
      <c r="U183" s="2">
        <v>-38.299999999999997</v>
      </c>
      <c r="V183" s="2">
        <v>-8.8000000000000007</v>
      </c>
      <c r="W183" s="2">
        <v>-9.1999999999999993</v>
      </c>
    </row>
    <row r="184" spans="18:23" x14ac:dyDescent="0.35">
      <c r="R184" s="12">
        <v>45544</v>
      </c>
      <c r="S184" s="2">
        <v>-26.8</v>
      </c>
      <c r="T184" s="2">
        <v>-41.9</v>
      </c>
      <c r="U184" s="2">
        <v>-38</v>
      </c>
      <c r="V184" s="2">
        <v>-7.8</v>
      </c>
      <c r="W184" s="2">
        <v>-10</v>
      </c>
    </row>
    <row r="185" spans="18:23" x14ac:dyDescent="0.35">
      <c r="R185" s="12">
        <v>45545</v>
      </c>
      <c r="S185" s="2">
        <v>-26.8</v>
      </c>
      <c r="T185" s="2">
        <v>-41.4</v>
      </c>
      <c r="U185" s="2">
        <v>-34.9</v>
      </c>
      <c r="V185" s="2">
        <v>-6.8</v>
      </c>
      <c r="W185" s="2">
        <v>-8.1999999999999993</v>
      </c>
    </row>
    <row r="186" spans="18:23" x14ac:dyDescent="0.35">
      <c r="R186" s="12">
        <v>45546</v>
      </c>
      <c r="S186" s="2">
        <v>-21.8</v>
      </c>
      <c r="T186" s="2">
        <v>-40.299999999999997</v>
      </c>
      <c r="U186" s="2">
        <v>-34.6</v>
      </c>
      <c r="V186" s="2">
        <v>-4.8</v>
      </c>
      <c r="W186" s="2">
        <v>-6.6</v>
      </c>
    </row>
    <row r="187" spans="18:23" x14ac:dyDescent="0.35">
      <c r="R187" s="12">
        <v>45547</v>
      </c>
      <c r="S187" s="2">
        <v>-22.4</v>
      </c>
      <c r="T187" s="2">
        <v>-39</v>
      </c>
      <c r="U187" s="2">
        <v>-34.200000000000003</v>
      </c>
      <c r="V187" s="2">
        <v>-4.8</v>
      </c>
      <c r="W187" s="2">
        <v>-5.8</v>
      </c>
    </row>
    <row r="188" spans="18:23" x14ac:dyDescent="0.35">
      <c r="R188" s="12">
        <v>45548</v>
      </c>
      <c r="S188" s="2">
        <v>-21.8</v>
      </c>
      <c r="T188" s="2">
        <v>-37.299999999999997</v>
      </c>
      <c r="U188" s="2">
        <v>-33.700000000000003</v>
      </c>
      <c r="V188" s="2">
        <v>-4.4000000000000004</v>
      </c>
      <c r="W188" s="2">
        <v>-5.2</v>
      </c>
    </row>
    <row r="189" spans="18:23" x14ac:dyDescent="0.35">
      <c r="R189" s="12">
        <v>45551</v>
      </c>
      <c r="S189" s="2">
        <v>-17.100000000000001</v>
      </c>
      <c r="T189" s="2">
        <v>-31.1</v>
      </c>
      <c r="U189" s="2">
        <v>-40.6</v>
      </c>
      <c r="V189" s="2">
        <v>-6.3</v>
      </c>
      <c r="W189" s="2">
        <v>-7.9</v>
      </c>
    </row>
    <row r="190" spans="18:23" x14ac:dyDescent="0.35">
      <c r="R190" s="12">
        <v>45552</v>
      </c>
      <c r="S190" s="2">
        <v>-14.1</v>
      </c>
      <c r="T190" s="2">
        <v>-33.6</v>
      </c>
      <c r="U190" s="2">
        <v>-40.200000000000003</v>
      </c>
      <c r="V190" s="2">
        <v>-6.6</v>
      </c>
      <c r="W190" s="2">
        <v>-8</v>
      </c>
    </row>
    <row r="191" spans="18:23" x14ac:dyDescent="0.35">
      <c r="R191" s="12">
        <v>45553</v>
      </c>
      <c r="S191" s="2">
        <v>-12.3</v>
      </c>
      <c r="T191" s="2">
        <v>-28.2</v>
      </c>
      <c r="U191" s="2">
        <v>-39.799999999999997</v>
      </c>
      <c r="V191" s="2">
        <v>-7</v>
      </c>
      <c r="W191" s="2">
        <v>-8.1</v>
      </c>
    </row>
    <row r="192" spans="18:23" x14ac:dyDescent="0.35">
      <c r="R192" s="12">
        <v>45554</v>
      </c>
      <c r="S192" s="2">
        <v>-8.8000000000000007</v>
      </c>
      <c r="T192" s="2">
        <v>-27.8</v>
      </c>
      <c r="U192" s="2">
        <v>-39.5</v>
      </c>
      <c r="V192" s="2">
        <v>-7.3</v>
      </c>
      <c r="W192" s="2">
        <v>-8.4</v>
      </c>
    </row>
    <row r="193" spans="18:23" x14ac:dyDescent="0.35">
      <c r="R193" s="12">
        <v>45555</v>
      </c>
      <c r="S193" s="2">
        <v>-8.5</v>
      </c>
      <c r="T193" s="2">
        <v>-26.8</v>
      </c>
      <c r="U193" s="2">
        <v>-39.1</v>
      </c>
      <c r="V193" s="2">
        <v>-7.5</v>
      </c>
      <c r="W193" s="2">
        <v>-8.5</v>
      </c>
    </row>
    <row r="194" spans="18:23" x14ac:dyDescent="0.35">
      <c r="R194" s="12">
        <v>45558</v>
      </c>
      <c r="S194" s="2">
        <v>-9.6</v>
      </c>
      <c r="T194" s="2">
        <v>-56.2</v>
      </c>
      <c r="U194" s="2">
        <v>-37.700000000000003</v>
      </c>
      <c r="V194" s="2">
        <v>-7.7</v>
      </c>
      <c r="W194" s="2">
        <v>-9.4</v>
      </c>
    </row>
  </sheetData>
  <mergeCells count="1">
    <mergeCell ref="A36:N39"/>
  </mergeCells>
  <hyperlinks>
    <hyperlink ref="A47" location="'Read Me'!A1" display="Return to Read Me" xr:uid="{F76AB8BF-D935-431A-AF98-F848D3E9B237}"/>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BC6E-6916-49E8-BD3B-D841860D6D44}">
  <dimension ref="A1:W47"/>
  <sheetViews>
    <sheetView zoomScale="70" zoomScaleNormal="70" workbookViewId="0">
      <selection activeCell="S28" sqref="S28"/>
    </sheetView>
  </sheetViews>
  <sheetFormatPr defaultColWidth="8.58203125" defaultRowHeight="17.5" x14ac:dyDescent="0.35"/>
  <cols>
    <col min="1" max="16384" width="8.58203125" style="2"/>
  </cols>
  <sheetData>
    <row r="1" spans="1:23" s="7" customFormat="1" ht="25" x14ac:dyDescent="0.5">
      <c r="A1" s="7" t="s">
        <v>75</v>
      </c>
    </row>
    <row r="3" spans="1:23" x14ac:dyDescent="0.35">
      <c r="S3" s="2" t="s">
        <v>35</v>
      </c>
      <c r="T3" s="2" t="s">
        <v>34</v>
      </c>
      <c r="U3" s="2" t="s">
        <v>32</v>
      </c>
      <c r="V3" s="2" t="s">
        <v>71</v>
      </c>
    </row>
    <row r="4" spans="1:23" x14ac:dyDescent="0.35">
      <c r="R4" s="2" t="s">
        <v>76</v>
      </c>
      <c r="S4" s="2">
        <v>54.85</v>
      </c>
      <c r="T4" s="2">
        <v>56.43</v>
      </c>
      <c r="U4" s="2">
        <v>55</v>
      </c>
      <c r="V4" s="2">
        <v>50.91</v>
      </c>
      <c r="W4" s="2">
        <v>50</v>
      </c>
    </row>
    <row r="5" spans="1:23" x14ac:dyDescent="0.35">
      <c r="R5" s="2" t="s">
        <v>77</v>
      </c>
      <c r="S5" s="2">
        <v>54.03</v>
      </c>
      <c r="T5" s="2">
        <v>56.33</v>
      </c>
      <c r="V5" s="2">
        <v>49.19</v>
      </c>
      <c r="W5" s="2">
        <v>50</v>
      </c>
    </row>
    <row r="6" spans="1:23" x14ac:dyDescent="0.35">
      <c r="R6" s="2" t="s">
        <v>78</v>
      </c>
      <c r="S6" s="2">
        <v>54.72</v>
      </c>
      <c r="T6" s="2">
        <v>48.9</v>
      </c>
      <c r="U6" s="2">
        <v>55</v>
      </c>
      <c r="V6" s="2">
        <v>48.1</v>
      </c>
      <c r="W6" s="2">
        <v>50</v>
      </c>
    </row>
    <row r="7" spans="1:23" x14ac:dyDescent="0.35">
      <c r="R7" s="2" t="s">
        <v>79</v>
      </c>
      <c r="S7" s="2">
        <v>54.57</v>
      </c>
      <c r="T7" s="2">
        <v>48.17</v>
      </c>
      <c r="V7" s="2">
        <v>49.49</v>
      </c>
      <c r="W7" s="2">
        <v>50</v>
      </c>
    </row>
    <row r="8" spans="1:23" x14ac:dyDescent="0.35">
      <c r="R8" s="2" t="s">
        <v>80</v>
      </c>
      <c r="S8" s="2">
        <v>53.91</v>
      </c>
      <c r="T8" s="2">
        <v>43.6</v>
      </c>
      <c r="U8" s="2">
        <v>54.2</v>
      </c>
      <c r="V8" s="2">
        <v>51.65</v>
      </c>
      <c r="W8" s="2">
        <v>50</v>
      </c>
    </row>
    <row r="9" spans="1:23" x14ac:dyDescent="0.35">
      <c r="R9" s="2" t="s">
        <v>81</v>
      </c>
      <c r="S9" s="2">
        <v>56.43</v>
      </c>
      <c r="T9" s="2">
        <v>45.27</v>
      </c>
      <c r="V9" s="2">
        <v>50.79</v>
      </c>
      <c r="W9" s="2">
        <v>50</v>
      </c>
    </row>
    <row r="10" spans="1:23" x14ac:dyDescent="0.35">
      <c r="R10" s="2" t="s">
        <v>82</v>
      </c>
      <c r="S10" s="2">
        <v>56.23</v>
      </c>
      <c r="T10" s="2">
        <v>45.03</v>
      </c>
      <c r="U10" s="2">
        <v>48.6</v>
      </c>
      <c r="V10" s="2">
        <v>50.16</v>
      </c>
      <c r="W10" s="2">
        <v>50</v>
      </c>
    </row>
    <row r="11" spans="1:23" x14ac:dyDescent="0.35">
      <c r="R11" s="2" t="s">
        <v>83</v>
      </c>
      <c r="S11" s="2">
        <v>55.09</v>
      </c>
      <c r="T11" s="2">
        <v>44.53</v>
      </c>
      <c r="V11" s="2">
        <v>49.36</v>
      </c>
      <c r="W11" s="2">
        <v>50</v>
      </c>
    </row>
    <row r="12" spans="1:23" x14ac:dyDescent="0.35">
      <c r="R12" s="2" t="s">
        <v>84</v>
      </c>
      <c r="S12" s="2">
        <v>55.33</v>
      </c>
      <c r="T12" s="2">
        <v>43.53</v>
      </c>
      <c r="U12" s="2">
        <v>48.6</v>
      </c>
      <c r="V12" s="2">
        <v>49.79</v>
      </c>
      <c r="W12" s="2">
        <v>50</v>
      </c>
    </row>
    <row r="13" spans="1:23" x14ac:dyDescent="0.35">
      <c r="R13" s="2" t="s">
        <v>85</v>
      </c>
      <c r="S13" s="2">
        <v>55.72</v>
      </c>
      <c r="T13" s="2">
        <v>41.03</v>
      </c>
      <c r="V13" s="2">
        <v>49.68</v>
      </c>
      <c r="W13" s="2">
        <v>50</v>
      </c>
    </row>
    <row r="14" spans="1:23" x14ac:dyDescent="0.35">
      <c r="R14" s="2" t="s">
        <v>86</v>
      </c>
      <c r="S14" s="2">
        <v>57.81</v>
      </c>
      <c r="T14" s="2">
        <v>41.77</v>
      </c>
      <c r="U14" s="2">
        <v>45.7</v>
      </c>
      <c r="V14" s="2">
        <v>49.77</v>
      </c>
      <c r="W14" s="2">
        <v>50</v>
      </c>
    </row>
    <row r="15" spans="1:23" x14ac:dyDescent="0.35">
      <c r="R15" s="2" t="s">
        <v>87</v>
      </c>
      <c r="S15" s="2">
        <v>55.38</v>
      </c>
      <c r="T15" s="2">
        <v>42.57</v>
      </c>
      <c r="V15" s="2">
        <v>49.89</v>
      </c>
      <c r="W15" s="2">
        <v>50</v>
      </c>
    </row>
    <row r="16" spans="1:23" x14ac:dyDescent="0.35">
      <c r="R16" s="2" t="s">
        <v>88</v>
      </c>
      <c r="S16" s="2">
        <v>55.35</v>
      </c>
      <c r="T16" s="2">
        <v>42.63</v>
      </c>
      <c r="U16" s="2">
        <v>43.6</v>
      </c>
      <c r="V16" s="2">
        <v>51.65</v>
      </c>
      <c r="W16" s="2">
        <v>50</v>
      </c>
    </row>
    <row r="17" spans="18:23" x14ac:dyDescent="0.35">
      <c r="R17" s="2" t="s">
        <v>89</v>
      </c>
      <c r="S17" s="2">
        <v>56.39</v>
      </c>
      <c r="T17" s="2">
        <v>44.83</v>
      </c>
      <c r="U17" s="2">
        <v>39.6</v>
      </c>
      <c r="V17" s="2">
        <v>50.66</v>
      </c>
      <c r="W17" s="2">
        <v>50</v>
      </c>
    </row>
    <row r="18" spans="18:23" x14ac:dyDescent="0.35">
      <c r="R18" s="2" t="s">
        <v>90</v>
      </c>
      <c r="S18" s="2">
        <v>57.22</v>
      </c>
      <c r="T18" s="2">
        <v>42.8</v>
      </c>
      <c r="U18" s="2">
        <v>39.1</v>
      </c>
      <c r="V18" s="2">
        <v>50.51</v>
      </c>
      <c r="W18" s="2">
        <v>50</v>
      </c>
    </row>
    <row r="19" spans="18:23" x14ac:dyDescent="0.35">
      <c r="R19" s="2" t="s">
        <v>91</v>
      </c>
      <c r="S19" s="2">
        <v>58.7</v>
      </c>
      <c r="T19" s="2">
        <v>44.1</v>
      </c>
      <c r="U19" s="2">
        <v>44.2</v>
      </c>
      <c r="V19" s="2">
        <v>51.4</v>
      </c>
      <c r="W19" s="2">
        <v>50</v>
      </c>
    </row>
    <row r="20" spans="18:23" x14ac:dyDescent="0.35">
      <c r="R20" s="2" t="s">
        <v>92</v>
      </c>
      <c r="S20" s="2">
        <v>57.79</v>
      </c>
      <c r="T20" s="2">
        <v>42.73</v>
      </c>
      <c r="U20" s="2">
        <v>47.2</v>
      </c>
      <c r="V20" s="2">
        <v>51.04</v>
      </c>
      <c r="W20" s="2">
        <v>50</v>
      </c>
    </row>
    <row r="21" spans="18:23" x14ac:dyDescent="0.35">
      <c r="R21" s="2" t="s">
        <v>93</v>
      </c>
      <c r="S21" s="2">
        <v>57.67</v>
      </c>
      <c r="T21" s="2">
        <v>46.03</v>
      </c>
      <c r="U21" s="2">
        <v>47.7</v>
      </c>
      <c r="V21" s="2">
        <v>50.19</v>
      </c>
      <c r="W21" s="2">
        <v>50</v>
      </c>
    </row>
    <row r="22" spans="18:23" x14ac:dyDescent="0.35">
      <c r="R22" s="2" t="s">
        <v>94</v>
      </c>
      <c r="S22" s="2">
        <v>58.61</v>
      </c>
      <c r="T22" s="2">
        <v>47.07</v>
      </c>
      <c r="U22" s="2">
        <v>47.1</v>
      </c>
      <c r="V22" s="2">
        <v>51.35</v>
      </c>
      <c r="W22" s="2">
        <v>50</v>
      </c>
    </row>
    <row r="23" spans="18:23" x14ac:dyDescent="0.35">
      <c r="R23" s="2" t="s">
        <v>95</v>
      </c>
      <c r="S23" s="2">
        <v>57.51</v>
      </c>
      <c r="T23" s="2">
        <v>46.53</v>
      </c>
      <c r="U23" s="2">
        <v>47.7</v>
      </c>
      <c r="V23" s="2">
        <v>50.88</v>
      </c>
      <c r="W23" s="2">
        <v>50</v>
      </c>
    </row>
    <row r="24" spans="18:23" x14ac:dyDescent="0.35">
      <c r="R24" s="2" t="s">
        <v>96</v>
      </c>
      <c r="S24" s="2">
        <v>55.53</v>
      </c>
      <c r="T24" s="2">
        <v>48.17</v>
      </c>
      <c r="U24" s="2">
        <v>47.4</v>
      </c>
      <c r="V24" s="2">
        <v>50.06</v>
      </c>
      <c r="W24" s="2">
        <v>50</v>
      </c>
    </row>
    <row r="25" spans="18:23" x14ac:dyDescent="0.35">
      <c r="R25" s="2" t="s">
        <v>97</v>
      </c>
      <c r="S25" s="2">
        <v>55.97</v>
      </c>
      <c r="T25" s="2">
        <v>50.73</v>
      </c>
      <c r="U25" s="2">
        <v>47.4</v>
      </c>
      <c r="V25" s="2">
        <v>50.89</v>
      </c>
      <c r="W25" s="2">
        <v>50</v>
      </c>
    </row>
    <row r="26" spans="18:23" x14ac:dyDescent="0.35">
      <c r="R26" s="2" t="s">
        <v>98</v>
      </c>
      <c r="S26" s="2">
        <v>54.88</v>
      </c>
      <c r="T26" s="2">
        <v>53.07</v>
      </c>
      <c r="U26" s="2">
        <v>48.8</v>
      </c>
      <c r="V26" s="2">
        <v>50.95</v>
      </c>
      <c r="W26" s="2">
        <v>50</v>
      </c>
    </row>
    <row r="27" spans="18:23" x14ac:dyDescent="0.35">
      <c r="R27" s="2" t="s">
        <v>99</v>
      </c>
      <c r="S27" s="2">
        <v>56.51</v>
      </c>
      <c r="T27" s="2">
        <v>55.1</v>
      </c>
      <c r="U27" s="2">
        <v>49.1</v>
      </c>
      <c r="V27" s="2">
        <v>51.12</v>
      </c>
      <c r="W27" s="2">
        <v>50</v>
      </c>
    </row>
    <row r="28" spans="18:23" x14ac:dyDescent="0.35">
      <c r="R28" s="2" t="s">
        <v>100</v>
      </c>
      <c r="S28" s="2">
        <v>56.9</v>
      </c>
      <c r="T28" s="2">
        <v>54.77</v>
      </c>
      <c r="U28" s="2">
        <v>49.6</v>
      </c>
      <c r="V28" s="2">
        <v>51.46</v>
      </c>
      <c r="W28" s="2">
        <v>50</v>
      </c>
    </row>
    <row r="29" spans="18:23" x14ac:dyDescent="0.35">
      <c r="R29" s="2" t="s">
        <v>101</v>
      </c>
      <c r="S29" s="2">
        <v>59.14</v>
      </c>
      <c r="T29" s="2">
        <v>58.03</v>
      </c>
      <c r="U29" s="2">
        <v>49.7</v>
      </c>
      <c r="V29" s="2">
        <v>51.97</v>
      </c>
      <c r="W29" s="2">
        <v>50</v>
      </c>
    </row>
    <row r="30" spans="18:23" x14ac:dyDescent="0.35">
      <c r="R30" s="2" t="s">
        <v>102</v>
      </c>
      <c r="S30" s="2">
        <v>58.85</v>
      </c>
      <c r="T30" s="2">
        <v>53.5</v>
      </c>
      <c r="U30" s="2">
        <v>49.9</v>
      </c>
      <c r="V30" s="2">
        <v>51.97</v>
      </c>
      <c r="W30" s="2">
        <v>50</v>
      </c>
    </row>
    <row r="31" spans="18:23" x14ac:dyDescent="0.35">
      <c r="R31" s="2" t="s">
        <v>103</v>
      </c>
      <c r="S31" s="2">
        <v>57.53</v>
      </c>
      <c r="T31" s="2">
        <v>54.23</v>
      </c>
      <c r="U31" s="2">
        <v>49.3</v>
      </c>
      <c r="V31" s="2">
        <v>51.94</v>
      </c>
      <c r="W31" s="2">
        <v>50</v>
      </c>
    </row>
    <row r="32" spans="18:23" x14ac:dyDescent="0.35">
      <c r="R32" s="2" t="s">
        <v>104</v>
      </c>
      <c r="S32" s="2">
        <v>58.35</v>
      </c>
      <c r="T32" s="2">
        <v>52.27</v>
      </c>
      <c r="U32" s="2">
        <v>50.7</v>
      </c>
      <c r="V32" s="2">
        <v>52.09</v>
      </c>
      <c r="W32" s="2">
        <v>50</v>
      </c>
    </row>
    <row r="33" spans="1:23" x14ac:dyDescent="0.35">
      <c r="R33" s="2" t="s">
        <v>105</v>
      </c>
      <c r="S33" s="2">
        <v>58.07</v>
      </c>
      <c r="T33" s="2">
        <v>58.1</v>
      </c>
      <c r="U33" s="2">
        <v>50.1</v>
      </c>
      <c r="V33" s="2">
        <v>50.67</v>
      </c>
      <c r="W33" s="2">
        <v>50</v>
      </c>
    </row>
    <row r="34" spans="1:23" x14ac:dyDescent="0.35">
      <c r="R34" s="2" t="s">
        <v>106</v>
      </c>
      <c r="S34" s="2">
        <v>57.49</v>
      </c>
      <c r="T34" s="2">
        <v>57.2</v>
      </c>
      <c r="U34" s="2">
        <v>50.1</v>
      </c>
      <c r="V34" s="2">
        <v>50.79</v>
      </c>
      <c r="W34" s="2">
        <v>50</v>
      </c>
    </row>
    <row r="36" spans="1:23" x14ac:dyDescent="0.35">
      <c r="A36" s="2" t="s">
        <v>16</v>
      </c>
    </row>
    <row r="37" spans="1:23" x14ac:dyDescent="0.35">
      <c r="A37" s="62" t="s">
        <v>107</v>
      </c>
      <c r="B37" s="62"/>
      <c r="C37" s="62"/>
      <c r="D37" s="62"/>
      <c r="E37" s="62"/>
      <c r="F37" s="62"/>
      <c r="G37" s="62"/>
      <c r="H37" s="62"/>
      <c r="I37" s="62"/>
      <c r="J37" s="62"/>
      <c r="K37" s="62"/>
      <c r="L37" s="62"/>
      <c r="M37" s="62"/>
      <c r="N37" s="62"/>
    </row>
    <row r="38" spans="1:23" x14ac:dyDescent="0.35">
      <c r="A38" s="62"/>
      <c r="B38" s="62"/>
      <c r="C38" s="62"/>
      <c r="D38" s="62"/>
      <c r="E38" s="62"/>
      <c r="F38" s="62"/>
      <c r="G38" s="62"/>
      <c r="H38" s="62"/>
      <c r="I38" s="62"/>
      <c r="J38" s="62"/>
      <c r="K38" s="62"/>
      <c r="L38" s="62"/>
      <c r="M38" s="62"/>
      <c r="N38" s="62"/>
    </row>
    <row r="39" spans="1:23" x14ac:dyDescent="0.35">
      <c r="A39" s="62"/>
      <c r="B39" s="62"/>
      <c r="C39" s="62"/>
      <c r="D39" s="62"/>
      <c r="E39" s="62"/>
      <c r="F39" s="62"/>
      <c r="G39" s="62"/>
      <c r="H39" s="62"/>
      <c r="I39" s="62"/>
      <c r="J39" s="62"/>
      <c r="K39" s="62"/>
      <c r="L39" s="62"/>
      <c r="M39" s="62"/>
      <c r="N39" s="62"/>
    </row>
    <row r="40" spans="1:23" x14ac:dyDescent="0.35">
      <c r="A40" s="62"/>
      <c r="B40" s="62"/>
      <c r="C40" s="62"/>
      <c r="D40" s="62"/>
      <c r="E40" s="62"/>
      <c r="F40" s="62"/>
      <c r="G40" s="62"/>
      <c r="H40" s="62"/>
      <c r="I40" s="62"/>
      <c r="J40" s="62"/>
      <c r="K40" s="62"/>
      <c r="L40" s="62"/>
      <c r="M40" s="62"/>
      <c r="N40" s="62"/>
    </row>
    <row r="47" spans="1:23" x14ac:dyDescent="0.35">
      <c r="A47" s="32" t="s">
        <v>601</v>
      </c>
    </row>
  </sheetData>
  <mergeCells count="1">
    <mergeCell ref="A37:N40"/>
  </mergeCells>
  <hyperlinks>
    <hyperlink ref="A47" location="'Read Me'!A1" display="Return to Read Me" xr:uid="{B3EACE0C-B9F9-44AE-A64F-A37E401A3B6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4F74-559D-494F-A088-52F3FD6824D9}">
  <dimension ref="A1:T47"/>
  <sheetViews>
    <sheetView topLeftCell="A3" zoomScale="70" zoomScaleNormal="70" workbookViewId="0">
      <selection activeCell="M40" sqref="M40"/>
    </sheetView>
  </sheetViews>
  <sheetFormatPr defaultColWidth="8.58203125" defaultRowHeight="17.5" x14ac:dyDescent="0.35"/>
  <cols>
    <col min="1" max="18" width="8.58203125" style="2"/>
    <col min="19" max="20" width="16.33203125" style="2" bestFit="1" customWidth="1"/>
    <col min="21" max="16384" width="8.58203125" style="2"/>
  </cols>
  <sheetData>
    <row r="1" spans="1:20" s="7" customFormat="1" ht="25" x14ac:dyDescent="0.5">
      <c r="A1" s="7" t="s">
        <v>114</v>
      </c>
    </row>
    <row r="4" spans="1:20" x14ac:dyDescent="0.35">
      <c r="S4" s="2" t="s">
        <v>3</v>
      </c>
      <c r="T4" s="2" t="s">
        <v>112</v>
      </c>
    </row>
    <row r="5" spans="1:20" x14ac:dyDescent="0.35">
      <c r="R5" s="2" t="s">
        <v>113</v>
      </c>
      <c r="S5" s="2">
        <v>27.45</v>
      </c>
      <c r="T5" s="2">
        <v>25.42</v>
      </c>
    </row>
    <row r="6" spans="1:20" x14ac:dyDescent="0.35">
      <c r="R6" s="2" t="s">
        <v>76</v>
      </c>
      <c r="S6" s="2">
        <v>27.42</v>
      </c>
      <c r="T6" s="2">
        <v>23.82</v>
      </c>
    </row>
    <row r="7" spans="1:20" x14ac:dyDescent="0.35">
      <c r="R7" s="2" t="s">
        <v>77</v>
      </c>
      <c r="S7" s="2">
        <v>29.38</v>
      </c>
      <c r="T7" s="2">
        <v>22.88</v>
      </c>
    </row>
    <row r="8" spans="1:20" x14ac:dyDescent="0.35">
      <c r="R8" s="2" t="s">
        <v>78</v>
      </c>
      <c r="S8" s="2">
        <v>30.27</v>
      </c>
      <c r="T8" s="2">
        <v>21.03</v>
      </c>
    </row>
    <row r="9" spans="1:20" x14ac:dyDescent="0.35">
      <c r="R9" s="2" t="s">
        <v>79</v>
      </c>
      <c r="S9" s="2">
        <v>25.68</v>
      </c>
      <c r="T9" s="2">
        <v>20.51</v>
      </c>
    </row>
    <row r="10" spans="1:20" x14ac:dyDescent="0.35">
      <c r="R10" s="2" t="s">
        <v>80</v>
      </c>
      <c r="S10" s="2">
        <v>27.16</v>
      </c>
      <c r="T10" s="2">
        <v>19.93</v>
      </c>
    </row>
    <row r="11" spans="1:20" x14ac:dyDescent="0.35">
      <c r="R11" s="2" t="s">
        <v>81</v>
      </c>
      <c r="S11" s="2">
        <v>19.61</v>
      </c>
      <c r="T11" s="2">
        <v>19.190000000000001</v>
      </c>
    </row>
    <row r="12" spans="1:20" x14ac:dyDescent="0.35">
      <c r="R12" s="2" t="s">
        <v>82</v>
      </c>
      <c r="S12" s="2">
        <v>16.32</v>
      </c>
      <c r="T12" s="2">
        <v>17.059999999999999</v>
      </c>
    </row>
    <row r="13" spans="1:20" x14ac:dyDescent="0.35">
      <c r="R13" s="2" t="s">
        <v>83</v>
      </c>
      <c r="S13" s="2">
        <v>7.73</v>
      </c>
      <c r="T13" s="2">
        <v>13.09</v>
      </c>
    </row>
    <row r="14" spans="1:20" x14ac:dyDescent="0.35">
      <c r="R14" s="2" t="s">
        <v>84</v>
      </c>
      <c r="S14" s="2">
        <v>2.4700000000000002</v>
      </c>
      <c r="T14" s="2">
        <v>9.33</v>
      </c>
    </row>
    <row r="15" spans="1:20" x14ac:dyDescent="0.35">
      <c r="R15" s="2" t="s">
        <v>85</v>
      </c>
      <c r="S15" s="2">
        <v>2.08</v>
      </c>
      <c r="T15" s="2">
        <v>4.95</v>
      </c>
    </row>
    <row r="16" spans="1:20" x14ac:dyDescent="0.35">
      <c r="R16" s="2" t="s">
        <v>86</v>
      </c>
      <c r="S16" s="2">
        <v>-0.38</v>
      </c>
      <c r="T16" s="2">
        <v>2.5</v>
      </c>
    </row>
    <row r="17" spans="18:20" x14ac:dyDescent="0.35">
      <c r="R17" s="2" t="s">
        <v>87</v>
      </c>
      <c r="S17" s="2">
        <v>4.2</v>
      </c>
      <c r="T17" s="2">
        <v>1.86</v>
      </c>
    </row>
    <row r="18" spans="18:20" x14ac:dyDescent="0.35">
      <c r="R18" s="2" t="s">
        <v>88</v>
      </c>
      <c r="S18" s="2">
        <v>0.83</v>
      </c>
      <c r="T18" s="2">
        <v>0.89</v>
      </c>
    </row>
    <row r="19" spans="18:20" x14ac:dyDescent="0.35">
      <c r="R19" s="2" t="s">
        <v>89</v>
      </c>
      <c r="S19" s="2">
        <v>1.01</v>
      </c>
      <c r="T19" s="2">
        <v>-0.66</v>
      </c>
    </row>
    <row r="20" spans="18:20" x14ac:dyDescent="0.35">
      <c r="R20" s="2" t="s">
        <v>90</v>
      </c>
      <c r="S20" s="2">
        <v>-5.22</v>
      </c>
      <c r="T20" s="2">
        <v>-3.9</v>
      </c>
    </row>
    <row r="21" spans="18:20" x14ac:dyDescent="0.35">
      <c r="R21" s="2" t="s">
        <v>91</v>
      </c>
      <c r="S21" s="2">
        <v>-5.98</v>
      </c>
      <c r="T21" s="2">
        <v>-4.57</v>
      </c>
    </row>
    <row r="22" spans="18:20" x14ac:dyDescent="0.35">
      <c r="R22" s="2" t="s">
        <v>92</v>
      </c>
      <c r="S22" s="2">
        <v>-11.43</v>
      </c>
      <c r="T22" s="2">
        <v>-6.54</v>
      </c>
    </row>
    <row r="23" spans="18:20" x14ac:dyDescent="0.35">
      <c r="R23" s="2" t="s">
        <v>93</v>
      </c>
      <c r="S23" s="2">
        <v>-9.92</v>
      </c>
      <c r="T23" s="2">
        <v>-5.52</v>
      </c>
    </row>
    <row r="24" spans="18:20" x14ac:dyDescent="0.35">
      <c r="R24" s="2" t="s">
        <v>94</v>
      </c>
      <c r="S24" s="2">
        <v>-10.6</v>
      </c>
      <c r="T24" s="2">
        <v>-5.77</v>
      </c>
    </row>
    <row r="25" spans="18:20" x14ac:dyDescent="0.35">
      <c r="R25" s="2" t="s">
        <v>95</v>
      </c>
      <c r="S25" s="2">
        <v>-5.25</v>
      </c>
      <c r="T25" s="2">
        <v>-3.97</v>
      </c>
    </row>
    <row r="26" spans="18:20" x14ac:dyDescent="0.35">
      <c r="R26" s="2" t="s">
        <v>96</v>
      </c>
      <c r="S26" s="2">
        <v>-6.01</v>
      </c>
      <c r="T26" s="2">
        <v>-1.81</v>
      </c>
    </row>
    <row r="27" spans="18:20" x14ac:dyDescent="0.35">
      <c r="R27" s="2" t="s">
        <v>97</v>
      </c>
      <c r="S27" s="2">
        <v>-4.3099999999999996</v>
      </c>
      <c r="T27" s="2">
        <v>-0.75</v>
      </c>
    </row>
    <row r="28" spans="18:20" x14ac:dyDescent="0.35">
      <c r="R28" s="2" t="s">
        <v>98</v>
      </c>
      <c r="S28" s="2">
        <v>-3.73</v>
      </c>
      <c r="T28" s="2">
        <v>-0.1</v>
      </c>
    </row>
    <row r="29" spans="18:20" x14ac:dyDescent="0.35">
      <c r="R29" s="2" t="s">
        <v>99</v>
      </c>
      <c r="S29" s="2">
        <v>-0.22</v>
      </c>
      <c r="T29" s="2">
        <v>-0.64</v>
      </c>
    </row>
    <row r="30" spans="18:20" x14ac:dyDescent="0.35">
      <c r="R30" s="2" t="s">
        <v>100</v>
      </c>
      <c r="S30" s="2">
        <v>3.6</v>
      </c>
      <c r="T30" s="2">
        <v>-0.31</v>
      </c>
    </row>
    <row r="31" spans="18:20" x14ac:dyDescent="0.35">
      <c r="R31" s="2" t="s">
        <v>101</v>
      </c>
      <c r="S31" s="2">
        <v>6.77</v>
      </c>
      <c r="T31" s="2">
        <v>-2.2000000000000002</v>
      </c>
    </row>
    <row r="32" spans="18:20" x14ac:dyDescent="0.35">
      <c r="R32" s="2" t="s">
        <v>102</v>
      </c>
      <c r="S32" s="2">
        <v>7.43</v>
      </c>
      <c r="T32" s="2">
        <v>0.62</v>
      </c>
    </row>
    <row r="33" spans="1:20" x14ac:dyDescent="0.35">
      <c r="R33" s="2" t="s">
        <v>103</v>
      </c>
      <c r="S33" s="2">
        <v>3.18</v>
      </c>
      <c r="T33" s="2">
        <v>1.21</v>
      </c>
    </row>
    <row r="34" spans="1:20" x14ac:dyDescent="0.35">
      <c r="R34" s="2" t="s">
        <v>104</v>
      </c>
      <c r="S34" s="2">
        <v>1.97</v>
      </c>
      <c r="T34" s="2">
        <v>4.29</v>
      </c>
    </row>
    <row r="35" spans="1:20" x14ac:dyDescent="0.35">
      <c r="R35" s="2" t="s">
        <v>105</v>
      </c>
      <c r="S35" s="2">
        <v>3.99</v>
      </c>
      <c r="T35" s="2">
        <v>4.1900000000000004</v>
      </c>
    </row>
    <row r="36" spans="1:20" x14ac:dyDescent="0.35">
      <c r="A36" s="2" t="s">
        <v>16</v>
      </c>
    </row>
    <row r="37" spans="1:20" x14ac:dyDescent="0.35">
      <c r="A37" s="61" t="s">
        <v>115</v>
      </c>
      <c r="B37" s="61"/>
      <c r="C37" s="61"/>
      <c r="D37" s="61"/>
      <c r="E37" s="61"/>
      <c r="F37" s="61"/>
      <c r="G37" s="61"/>
      <c r="H37" s="61"/>
      <c r="I37" s="61"/>
      <c r="J37" s="61"/>
      <c r="K37" s="61"/>
      <c r="L37" s="61"/>
      <c r="M37" s="61"/>
      <c r="N37" s="61"/>
    </row>
    <row r="38" spans="1:20" x14ac:dyDescent="0.35">
      <c r="A38" s="61"/>
      <c r="B38" s="61"/>
      <c r="C38" s="61"/>
      <c r="D38" s="61"/>
      <c r="E38" s="61"/>
      <c r="F38" s="61"/>
      <c r="G38" s="61"/>
      <c r="H38" s="61"/>
      <c r="I38" s="61"/>
      <c r="J38" s="61"/>
      <c r="K38" s="61"/>
      <c r="L38" s="61"/>
      <c r="M38" s="61"/>
      <c r="N38" s="61"/>
    </row>
    <row r="39" spans="1:20" x14ac:dyDescent="0.35">
      <c r="A39" s="61"/>
      <c r="B39" s="61"/>
      <c r="C39" s="61"/>
      <c r="D39" s="61"/>
      <c r="E39" s="61"/>
      <c r="F39" s="61"/>
      <c r="G39" s="61"/>
      <c r="H39" s="61"/>
      <c r="I39" s="61"/>
      <c r="J39" s="61"/>
      <c r="K39" s="61"/>
      <c r="L39" s="61"/>
      <c r="M39" s="61"/>
      <c r="N39" s="61"/>
    </row>
    <row r="47" spans="1:20" x14ac:dyDescent="0.35">
      <c r="A47" s="32" t="s">
        <v>601</v>
      </c>
    </row>
  </sheetData>
  <mergeCells count="1">
    <mergeCell ref="A37:N39"/>
  </mergeCells>
  <hyperlinks>
    <hyperlink ref="A47" location="'Read Me'!A1" display="Return to Read Me" xr:uid="{534F4101-87C8-4E78-9C52-35050092FCF2}"/>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F6E6-8E7E-4008-B83B-BDDF68A81BDE}">
  <dimension ref="A1:U47"/>
  <sheetViews>
    <sheetView topLeftCell="A3" zoomScale="70" zoomScaleNormal="70" workbookViewId="0">
      <selection activeCell="A37" sqref="A37:N39"/>
    </sheetView>
  </sheetViews>
  <sheetFormatPr defaultColWidth="8.58203125" defaultRowHeight="17.5" x14ac:dyDescent="0.35"/>
  <cols>
    <col min="1" max="16384" width="8.58203125" style="2"/>
  </cols>
  <sheetData>
    <row r="1" spans="1:21" s="7" customFormat="1" ht="25" x14ac:dyDescent="0.5">
      <c r="A1" s="7" t="s">
        <v>116</v>
      </c>
    </row>
    <row r="3" spans="1:21" x14ac:dyDescent="0.35">
      <c r="S3" s="2" t="s">
        <v>52</v>
      </c>
      <c r="T3" s="2" t="s">
        <v>53</v>
      </c>
    </row>
    <row r="4" spans="1:21" x14ac:dyDescent="0.35">
      <c r="R4" s="2" t="s">
        <v>113</v>
      </c>
      <c r="S4" s="2">
        <v>54.05</v>
      </c>
      <c r="T4" s="2">
        <v>51.52</v>
      </c>
      <c r="U4" s="2">
        <v>50</v>
      </c>
    </row>
    <row r="5" spans="1:21" x14ac:dyDescent="0.35">
      <c r="R5" s="2" t="s">
        <v>76</v>
      </c>
      <c r="S5" s="2">
        <v>54.85</v>
      </c>
      <c r="T5" s="2">
        <v>51.82</v>
      </c>
      <c r="U5" s="2">
        <v>50</v>
      </c>
    </row>
    <row r="6" spans="1:21" x14ac:dyDescent="0.35">
      <c r="R6" s="2" t="s">
        <v>77</v>
      </c>
      <c r="S6" s="2">
        <v>54.03</v>
      </c>
      <c r="T6" s="2">
        <v>53.56</v>
      </c>
      <c r="U6" s="2">
        <v>50</v>
      </c>
    </row>
    <row r="7" spans="1:21" x14ac:dyDescent="0.35">
      <c r="R7" s="2" t="s">
        <v>78</v>
      </c>
      <c r="S7" s="2">
        <v>54.72</v>
      </c>
      <c r="T7" s="2">
        <v>57.89</v>
      </c>
      <c r="U7" s="2">
        <v>50</v>
      </c>
    </row>
    <row r="8" spans="1:21" x14ac:dyDescent="0.35">
      <c r="R8" s="2" t="s">
        <v>79</v>
      </c>
      <c r="S8" s="2">
        <v>54.57</v>
      </c>
      <c r="T8" s="2">
        <v>58.92</v>
      </c>
      <c r="U8" s="2">
        <v>50</v>
      </c>
    </row>
    <row r="9" spans="1:21" x14ac:dyDescent="0.35">
      <c r="R9" s="2" t="s">
        <v>80</v>
      </c>
      <c r="S9" s="2">
        <v>53.91</v>
      </c>
      <c r="T9" s="2">
        <v>59.2</v>
      </c>
      <c r="U9" s="2">
        <v>50</v>
      </c>
    </row>
    <row r="10" spans="1:21" x14ac:dyDescent="0.35">
      <c r="R10" s="2" t="s">
        <v>81</v>
      </c>
      <c r="S10" s="2">
        <v>56.43</v>
      </c>
      <c r="T10" s="2">
        <v>55.46</v>
      </c>
      <c r="U10" s="2">
        <v>50</v>
      </c>
    </row>
    <row r="11" spans="1:21" x14ac:dyDescent="0.35">
      <c r="R11" s="2" t="s">
        <v>82</v>
      </c>
      <c r="S11" s="2">
        <v>56.23</v>
      </c>
      <c r="T11" s="2">
        <v>57.21</v>
      </c>
      <c r="U11" s="2">
        <v>50</v>
      </c>
    </row>
    <row r="12" spans="1:21" x14ac:dyDescent="0.35">
      <c r="R12" s="2" t="s">
        <v>83</v>
      </c>
      <c r="S12" s="2">
        <v>55.09</v>
      </c>
      <c r="T12" s="2">
        <v>54.29</v>
      </c>
      <c r="U12" s="2">
        <v>50</v>
      </c>
    </row>
    <row r="13" spans="1:21" x14ac:dyDescent="0.35">
      <c r="R13" s="2" t="s">
        <v>84</v>
      </c>
      <c r="S13" s="2">
        <v>55.33</v>
      </c>
      <c r="T13" s="2">
        <v>55.05</v>
      </c>
      <c r="U13" s="2">
        <v>50</v>
      </c>
    </row>
    <row r="14" spans="1:21" x14ac:dyDescent="0.35">
      <c r="R14" s="2" t="s">
        <v>85</v>
      </c>
      <c r="S14" s="2">
        <v>55.72</v>
      </c>
      <c r="T14" s="2">
        <v>56.41</v>
      </c>
      <c r="U14" s="2">
        <v>50</v>
      </c>
    </row>
    <row r="15" spans="1:21" x14ac:dyDescent="0.35">
      <c r="R15" s="2" t="s">
        <v>86</v>
      </c>
      <c r="S15" s="2">
        <v>57.81</v>
      </c>
      <c r="T15" s="2">
        <v>58.48</v>
      </c>
      <c r="U15" s="2">
        <v>50</v>
      </c>
    </row>
    <row r="16" spans="1:21" x14ac:dyDescent="0.35">
      <c r="R16" s="2" t="s">
        <v>87</v>
      </c>
      <c r="S16" s="2">
        <v>55.38</v>
      </c>
      <c r="T16" s="2">
        <v>57.24</v>
      </c>
      <c r="U16" s="2">
        <v>50</v>
      </c>
    </row>
    <row r="17" spans="18:21" x14ac:dyDescent="0.35">
      <c r="R17" s="2" t="s">
        <v>88</v>
      </c>
      <c r="S17" s="2">
        <v>55.35</v>
      </c>
      <c r="T17" s="2">
        <v>59.36</v>
      </c>
      <c r="U17" s="2">
        <v>50</v>
      </c>
    </row>
    <row r="18" spans="18:21" x14ac:dyDescent="0.35">
      <c r="R18" s="2" t="s">
        <v>89</v>
      </c>
      <c r="S18" s="2">
        <v>56.39</v>
      </c>
      <c r="T18" s="2">
        <v>57.82</v>
      </c>
      <c r="U18" s="2">
        <v>50</v>
      </c>
    </row>
    <row r="19" spans="18:21" x14ac:dyDescent="0.35">
      <c r="R19" s="2" t="s">
        <v>90</v>
      </c>
      <c r="S19" s="2">
        <v>57.22</v>
      </c>
      <c r="T19" s="2">
        <v>62.01</v>
      </c>
      <c r="U19" s="2">
        <v>50</v>
      </c>
    </row>
    <row r="20" spans="18:21" x14ac:dyDescent="0.35">
      <c r="R20" s="2" t="s">
        <v>91</v>
      </c>
      <c r="S20" s="2">
        <v>58.7</v>
      </c>
      <c r="T20" s="2">
        <v>61.17</v>
      </c>
      <c r="U20" s="2">
        <v>50</v>
      </c>
    </row>
    <row r="21" spans="18:21" x14ac:dyDescent="0.35">
      <c r="R21" s="2" t="s">
        <v>92</v>
      </c>
      <c r="S21" s="2">
        <v>57.79</v>
      </c>
      <c r="T21" s="2">
        <v>58.48</v>
      </c>
      <c r="U21" s="2">
        <v>50</v>
      </c>
    </row>
    <row r="22" spans="18:21" x14ac:dyDescent="0.35">
      <c r="R22" s="2" t="s">
        <v>93</v>
      </c>
      <c r="S22" s="2">
        <v>57.67</v>
      </c>
      <c r="T22" s="2">
        <v>62.27</v>
      </c>
      <c r="U22" s="2">
        <v>50</v>
      </c>
    </row>
    <row r="23" spans="18:21" x14ac:dyDescent="0.35">
      <c r="R23" s="2" t="s">
        <v>94</v>
      </c>
      <c r="S23" s="2">
        <v>58.61</v>
      </c>
      <c r="T23" s="2">
        <v>60.07</v>
      </c>
      <c r="U23" s="2">
        <v>50</v>
      </c>
    </row>
    <row r="24" spans="18:21" x14ac:dyDescent="0.35">
      <c r="R24" s="2" t="s">
        <v>95</v>
      </c>
      <c r="S24" s="2">
        <v>57.51</v>
      </c>
      <c r="T24" s="2">
        <v>61.04</v>
      </c>
      <c r="U24" s="2">
        <v>50</v>
      </c>
    </row>
    <row r="25" spans="18:21" x14ac:dyDescent="0.35">
      <c r="R25" s="2" t="s">
        <v>96</v>
      </c>
      <c r="S25" s="2">
        <v>55.53</v>
      </c>
      <c r="T25" s="2">
        <v>58.44</v>
      </c>
      <c r="U25" s="2">
        <v>50</v>
      </c>
    </row>
    <row r="26" spans="18:21" x14ac:dyDescent="0.35">
      <c r="R26" s="2" t="s">
        <v>97</v>
      </c>
      <c r="S26" s="2">
        <v>55.97</v>
      </c>
      <c r="T26" s="2">
        <v>56.94</v>
      </c>
      <c r="U26" s="2">
        <v>50</v>
      </c>
    </row>
    <row r="27" spans="18:21" x14ac:dyDescent="0.35">
      <c r="R27" s="2" t="s">
        <v>98</v>
      </c>
      <c r="S27" s="2">
        <v>54.88</v>
      </c>
      <c r="T27" s="2">
        <v>59</v>
      </c>
      <c r="U27" s="2">
        <v>50</v>
      </c>
    </row>
    <row r="28" spans="18:21" x14ac:dyDescent="0.35">
      <c r="R28" s="2" t="s">
        <v>99</v>
      </c>
      <c r="S28" s="2">
        <v>56.51</v>
      </c>
      <c r="T28" s="2">
        <v>61.82</v>
      </c>
      <c r="U28" s="2">
        <v>50</v>
      </c>
    </row>
    <row r="29" spans="18:21" x14ac:dyDescent="0.35">
      <c r="R29" s="2" t="s">
        <v>100</v>
      </c>
      <c r="S29" s="2">
        <v>56.9</v>
      </c>
      <c r="T29" s="2">
        <v>60.62</v>
      </c>
      <c r="U29" s="2">
        <v>50</v>
      </c>
    </row>
    <row r="30" spans="18:21" x14ac:dyDescent="0.35">
      <c r="R30" s="2" t="s">
        <v>101</v>
      </c>
      <c r="S30" s="2">
        <v>59.14</v>
      </c>
      <c r="T30" s="2">
        <v>61.21</v>
      </c>
      <c r="U30" s="2">
        <v>50</v>
      </c>
    </row>
    <row r="31" spans="18:21" x14ac:dyDescent="0.35">
      <c r="R31" s="2" t="s">
        <v>102</v>
      </c>
      <c r="S31" s="2">
        <v>58.85</v>
      </c>
      <c r="T31" s="2">
        <v>60.83</v>
      </c>
      <c r="U31" s="2">
        <v>50</v>
      </c>
    </row>
    <row r="32" spans="18:21" x14ac:dyDescent="0.35">
      <c r="R32" s="2" t="s">
        <v>103</v>
      </c>
      <c r="S32" s="2">
        <v>57.53</v>
      </c>
      <c r="T32" s="2">
        <v>60.22</v>
      </c>
      <c r="U32" s="2">
        <v>50</v>
      </c>
    </row>
    <row r="33" spans="1:21" x14ac:dyDescent="0.35">
      <c r="R33" s="2" t="s">
        <v>104</v>
      </c>
      <c r="S33" s="2">
        <v>58.35</v>
      </c>
      <c r="T33" s="2">
        <v>60.49</v>
      </c>
      <c r="U33" s="2">
        <v>50</v>
      </c>
    </row>
    <row r="34" spans="1:21" x14ac:dyDescent="0.35">
      <c r="R34" s="2" t="s">
        <v>105</v>
      </c>
      <c r="S34" s="2">
        <v>58.07</v>
      </c>
      <c r="T34" s="2">
        <v>60.3</v>
      </c>
      <c r="U34" s="2">
        <v>50</v>
      </c>
    </row>
    <row r="35" spans="1:21" x14ac:dyDescent="0.35">
      <c r="R35" s="2" t="s">
        <v>106</v>
      </c>
      <c r="S35" s="2">
        <v>57.49</v>
      </c>
      <c r="T35" s="2">
        <v>60.92</v>
      </c>
      <c r="U35" s="2">
        <v>50</v>
      </c>
    </row>
    <row r="36" spans="1:21" x14ac:dyDescent="0.35">
      <c r="A36" s="2" t="s">
        <v>16</v>
      </c>
    </row>
    <row r="37" spans="1:21" x14ac:dyDescent="0.35">
      <c r="A37" s="61" t="s">
        <v>117</v>
      </c>
      <c r="B37" s="61"/>
      <c r="C37" s="61"/>
      <c r="D37" s="61"/>
      <c r="E37" s="61"/>
      <c r="F37" s="61"/>
      <c r="G37" s="61"/>
      <c r="H37" s="61"/>
      <c r="I37" s="61"/>
      <c r="J37" s="61"/>
      <c r="K37" s="61"/>
      <c r="L37" s="61"/>
      <c r="M37" s="61"/>
      <c r="N37" s="61"/>
    </row>
    <row r="38" spans="1:21" x14ac:dyDescent="0.35">
      <c r="A38" s="61"/>
      <c r="B38" s="61"/>
      <c r="C38" s="61"/>
      <c r="D38" s="61"/>
      <c r="E38" s="61"/>
      <c r="F38" s="61"/>
      <c r="G38" s="61"/>
      <c r="H38" s="61"/>
      <c r="I38" s="61"/>
      <c r="J38" s="61"/>
      <c r="K38" s="61"/>
      <c r="L38" s="61"/>
      <c r="M38" s="61"/>
      <c r="N38" s="61"/>
    </row>
    <row r="39" spans="1:21" x14ac:dyDescent="0.35">
      <c r="A39" s="61"/>
      <c r="B39" s="61"/>
      <c r="C39" s="61"/>
      <c r="D39" s="61"/>
      <c r="E39" s="61"/>
      <c r="F39" s="61"/>
      <c r="G39" s="61"/>
      <c r="H39" s="61"/>
      <c r="I39" s="61"/>
      <c r="J39" s="61"/>
      <c r="K39" s="61"/>
      <c r="L39" s="61"/>
      <c r="M39" s="61"/>
      <c r="N39" s="61"/>
    </row>
    <row r="47" spans="1:21" x14ac:dyDescent="0.35">
      <c r="A47" s="32" t="s">
        <v>601</v>
      </c>
    </row>
  </sheetData>
  <mergeCells count="1">
    <mergeCell ref="A37:N39"/>
  </mergeCells>
  <hyperlinks>
    <hyperlink ref="A47" location="'Read Me'!A1" display="Return to Read Me" xr:uid="{719AC298-806A-46A3-B0A5-9958F001A15F}"/>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9F89-09BF-48E9-A5E5-31B1AA3A92B0}">
  <dimension ref="A1:U58"/>
  <sheetViews>
    <sheetView zoomScale="70" zoomScaleNormal="70" workbookViewId="0">
      <selection activeCell="G43" sqref="G43"/>
    </sheetView>
  </sheetViews>
  <sheetFormatPr defaultColWidth="8.58203125" defaultRowHeight="17.5" x14ac:dyDescent="0.35"/>
  <cols>
    <col min="1" max="17" width="8.58203125" style="2"/>
    <col min="18" max="18" width="9.08203125" style="2" bestFit="1" customWidth="1"/>
    <col min="19" max="20" width="8.75" style="2" bestFit="1" customWidth="1"/>
    <col min="21" max="21" width="9.08203125" style="2" bestFit="1" customWidth="1"/>
    <col min="22" max="16384" width="8.58203125" style="2"/>
  </cols>
  <sheetData>
    <row r="1" spans="1:21" s="7" customFormat="1" ht="25" x14ac:dyDescent="0.5">
      <c r="A1" s="7" t="s">
        <v>118</v>
      </c>
    </row>
    <row r="3" spans="1:21" x14ac:dyDescent="0.35">
      <c r="R3" s="14"/>
      <c r="S3" s="14" t="s">
        <v>71</v>
      </c>
      <c r="T3" s="14" t="s">
        <v>121</v>
      </c>
      <c r="U3" s="14" t="s">
        <v>120</v>
      </c>
    </row>
    <row r="4" spans="1:21" x14ac:dyDescent="0.35">
      <c r="R4" s="15">
        <v>43862</v>
      </c>
      <c r="S4" s="14">
        <v>0.19</v>
      </c>
      <c r="T4" s="16" t="e">
        <v>#N/A</v>
      </c>
      <c r="U4" s="17" t="e">
        <v>#N/A</v>
      </c>
    </row>
    <row r="5" spans="1:21" x14ac:dyDescent="0.35">
      <c r="R5" s="15">
        <v>43891</v>
      </c>
      <c r="S5" s="14">
        <v>0.06</v>
      </c>
      <c r="T5" s="16">
        <v>-1.03</v>
      </c>
      <c r="U5" s="17">
        <v>-0.84</v>
      </c>
    </row>
    <row r="6" spans="1:21" x14ac:dyDescent="0.35">
      <c r="R6" s="15">
        <v>43922</v>
      </c>
      <c r="S6" s="14">
        <v>-1.05</v>
      </c>
      <c r="T6" s="16" t="e">
        <v>#N/A</v>
      </c>
      <c r="U6" s="17" t="e">
        <v>#N/A</v>
      </c>
    </row>
    <row r="7" spans="1:21" x14ac:dyDescent="0.35">
      <c r="R7" s="15">
        <v>43952</v>
      </c>
      <c r="S7" s="14">
        <v>-1.1000000000000001</v>
      </c>
      <c r="T7" s="16">
        <v>-2.0099999999999998</v>
      </c>
      <c r="U7" s="17">
        <v>-1.35</v>
      </c>
    </row>
    <row r="8" spans="1:21" x14ac:dyDescent="0.35">
      <c r="R8" s="15">
        <v>43983</v>
      </c>
      <c r="S8" s="14">
        <v>-1.03</v>
      </c>
      <c r="T8" s="16" t="e">
        <v>#N/A</v>
      </c>
      <c r="U8" s="17" t="e">
        <v>#N/A</v>
      </c>
    </row>
    <row r="9" spans="1:21" x14ac:dyDescent="0.35">
      <c r="R9" s="15">
        <v>44013</v>
      </c>
      <c r="S9" s="14">
        <v>-0.95</v>
      </c>
      <c r="T9" s="16">
        <v>-2.5299999999999998</v>
      </c>
      <c r="U9" s="17">
        <v>-1.86</v>
      </c>
    </row>
    <row r="10" spans="1:21" x14ac:dyDescent="0.35">
      <c r="R10" s="15">
        <v>44044</v>
      </c>
      <c r="S10" s="14">
        <v>-0.86</v>
      </c>
      <c r="T10" s="16" t="e">
        <v>#N/A</v>
      </c>
      <c r="U10" s="17" t="e">
        <v>#N/A</v>
      </c>
    </row>
    <row r="11" spans="1:21" x14ac:dyDescent="0.35">
      <c r="R11" s="15">
        <v>44075</v>
      </c>
      <c r="S11" s="14">
        <v>-0.7</v>
      </c>
      <c r="T11" s="16">
        <v>-2.77</v>
      </c>
      <c r="U11" s="17">
        <v>-0.92</v>
      </c>
    </row>
    <row r="12" spans="1:21" x14ac:dyDescent="0.35">
      <c r="R12" s="15">
        <v>44105</v>
      </c>
      <c r="S12" s="14">
        <v>-0.74</v>
      </c>
      <c r="T12" s="16" t="e">
        <v>#N/A</v>
      </c>
      <c r="U12" s="17" t="e">
        <v>#N/A</v>
      </c>
    </row>
    <row r="13" spans="1:21" x14ac:dyDescent="0.35">
      <c r="R13" s="15">
        <v>44136</v>
      </c>
      <c r="S13" s="14">
        <v>-0.65</v>
      </c>
      <c r="T13" s="16">
        <v>-2.69</v>
      </c>
      <c r="U13" s="17">
        <v>-1.24</v>
      </c>
    </row>
    <row r="14" spans="1:21" x14ac:dyDescent="0.35">
      <c r="R14" s="15">
        <v>44166</v>
      </c>
      <c r="S14" s="14">
        <v>-0.67</v>
      </c>
      <c r="T14" s="16" t="e">
        <v>#N/A</v>
      </c>
      <c r="U14" s="17" t="e">
        <v>#N/A</v>
      </c>
    </row>
    <row r="15" spans="1:21" x14ac:dyDescent="0.35">
      <c r="R15" s="15">
        <v>44197</v>
      </c>
      <c r="S15" s="14">
        <v>-0.69</v>
      </c>
      <c r="T15" s="16">
        <v>-2.57</v>
      </c>
      <c r="U15" s="17">
        <v>-0.85</v>
      </c>
    </row>
    <row r="16" spans="1:21" x14ac:dyDescent="0.35">
      <c r="R16" s="15">
        <v>44228</v>
      </c>
      <c r="S16" s="14">
        <v>-0.57999999999999996</v>
      </c>
      <c r="T16" s="16" t="e">
        <v>#N/A</v>
      </c>
      <c r="U16" s="17" t="e">
        <v>#N/A</v>
      </c>
    </row>
    <row r="17" spans="18:21" x14ac:dyDescent="0.35">
      <c r="R17" s="15">
        <v>44256</v>
      </c>
      <c r="S17" s="14">
        <v>-0.4</v>
      </c>
      <c r="T17" s="16">
        <v>-2.69</v>
      </c>
      <c r="U17" s="17">
        <v>-1.18</v>
      </c>
    </row>
    <row r="18" spans="18:21" x14ac:dyDescent="0.35">
      <c r="R18" s="15">
        <v>44287</v>
      </c>
      <c r="S18" s="14">
        <v>-0.56000000000000005</v>
      </c>
      <c r="T18" s="16" t="e">
        <v>#N/A</v>
      </c>
      <c r="U18" s="17" t="e">
        <v>#N/A</v>
      </c>
    </row>
    <row r="19" spans="18:21" x14ac:dyDescent="0.35">
      <c r="R19" s="15">
        <v>44317</v>
      </c>
      <c r="S19" s="14">
        <v>-0.56999999999999995</v>
      </c>
      <c r="T19" s="16">
        <v>-2.81</v>
      </c>
      <c r="U19" s="17">
        <v>-1.28</v>
      </c>
    </row>
    <row r="20" spans="18:21" x14ac:dyDescent="0.35">
      <c r="R20" s="15">
        <v>44348</v>
      </c>
      <c r="S20" s="14">
        <v>-0.31</v>
      </c>
      <c r="T20" s="16" t="e">
        <v>#N/A</v>
      </c>
      <c r="U20" s="17" t="e">
        <v>#N/A</v>
      </c>
    </row>
    <row r="21" spans="18:21" x14ac:dyDescent="0.35">
      <c r="R21" s="15">
        <v>44378</v>
      </c>
      <c r="S21" s="14">
        <v>-0.38</v>
      </c>
      <c r="T21" s="16">
        <v>-2.77</v>
      </c>
      <c r="U21" s="17">
        <v>-0.66</v>
      </c>
    </row>
    <row r="22" spans="18:21" x14ac:dyDescent="0.35">
      <c r="R22" s="15">
        <v>44409</v>
      </c>
      <c r="S22" s="14">
        <v>-0.47</v>
      </c>
      <c r="T22" s="16" t="e">
        <v>#N/A</v>
      </c>
      <c r="U22" s="17" t="e">
        <v>#N/A</v>
      </c>
    </row>
    <row r="23" spans="18:21" x14ac:dyDescent="0.35">
      <c r="R23" s="15">
        <v>44440</v>
      </c>
      <c r="S23" s="14">
        <v>-0.23</v>
      </c>
      <c r="T23" s="16">
        <v>-2.27</v>
      </c>
      <c r="U23" s="17">
        <v>-1.05</v>
      </c>
    </row>
    <row r="24" spans="18:21" x14ac:dyDescent="0.35">
      <c r="R24" s="15">
        <v>44470</v>
      </c>
      <c r="S24" s="14">
        <v>-0.25</v>
      </c>
      <c r="T24" s="16" t="e">
        <v>#N/A</v>
      </c>
      <c r="U24" s="17" t="e">
        <v>#N/A</v>
      </c>
    </row>
    <row r="25" spans="18:21" x14ac:dyDescent="0.35">
      <c r="R25" s="15">
        <v>44501</v>
      </c>
      <c r="S25" s="14">
        <v>-0.35</v>
      </c>
      <c r="T25" s="16">
        <v>-2.0699999999999998</v>
      </c>
      <c r="U25" s="17">
        <v>-1.55</v>
      </c>
    </row>
    <row r="26" spans="18:21" x14ac:dyDescent="0.35">
      <c r="R26" s="15">
        <v>44531</v>
      </c>
      <c r="S26" s="14">
        <v>-0.43</v>
      </c>
      <c r="T26" s="16" t="e">
        <v>#N/A</v>
      </c>
      <c r="U26" s="17" t="e">
        <v>#N/A</v>
      </c>
    </row>
    <row r="27" spans="18:21" x14ac:dyDescent="0.35">
      <c r="R27" s="15">
        <v>44562</v>
      </c>
      <c r="S27" s="14">
        <v>-0.4</v>
      </c>
      <c r="T27" s="16">
        <v>-2.06</v>
      </c>
      <c r="U27" s="17">
        <v>-1.56</v>
      </c>
    </row>
    <row r="28" spans="18:21" x14ac:dyDescent="0.35">
      <c r="R28" s="15">
        <v>44593</v>
      </c>
      <c r="S28" s="14">
        <v>-0.49</v>
      </c>
      <c r="T28" s="16" t="e">
        <v>#N/A</v>
      </c>
      <c r="U28" s="17" t="e">
        <v>#N/A</v>
      </c>
    </row>
    <row r="29" spans="18:21" x14ac:dyDescent="0.35">
      <c r="R29" s="15">
        <v>44621</v>
      </c>
      <c r="S29" s="14">
        <v>-0.67</v>
      </c>
      <c r="T29" s="16">
        <v>-1.75</v>
      </c>
      <c r="U29" s="17">
        <v>-1.34</v>
      </c>
    </row>
    <row r="30" spans="18:21" x14ac:dyDescent="0.35">
      <c r="R30" s="15">
        <v>44652</v>
      </c>
      <c r="S30" s="14">
        <v>-0.77</v>
      </c>
      <c r="T30" s="16" t="e">
        <v>#N/A</v>
      </c>
      <c r="U30" s="17" t="e">
        <v>#N/A</v>
      </c>
    </row>
    <row r="31" spans="18:21" x14ac:dyDescent="0.35">
      <c r="R31" s="15">
        <v>44682</v>
      </c>
      <c r="S31" s="14">
        <v>-0.65</v>
      </c>
      <c r="T31" s="16">
        <v>-1.31</v>
      </c>
      <c r="U31" s="17">
        <v>-1.25</v>
      </c>
    </row>
    <row r="32" spans="18:21" x14ac:dyDescent="0.35">
      <c r="R32" s="15">
        <v>44713</v>
      </c>
      <c r="S32" s="14">
        <v>-0.7</v>
      </c>
      <c r="T32" s="16" t="e">
        <v>#N/A</v>
      </c>
      <c r="U32" s="17" t="e">
        <v>#N/A</v>
      </c>
    </row>
    <row r="33" spans="1:21" x14ac:dyDescent="0.35">
      <c r="R33" s="15">
        <v>44743</v>
      </c>
      <c r="S33" s="14">
        <v>-0.9</v>
      </c>
      <c r="T33" s="16">
        <v>-1.1299999999999999</v>
      </c>
      <c r="U33" s="17">
        <v>-2.5099999999999998</v>
      </c>
    </row>
    <row r="34" spans="1:21" x14ac:dyDescent="0.35">
      <c r="R34" s="15">
        <v>44774</v>
      </c>
      <c r="S34" s="14">
        <v>-0.79</v>
      </c>
      <c r="T34" s="16" t="e">
        <v>#N/A</v>
      </c>
      <c r="U34" s="17" t="e">
        <v>#N/A</v>
      </c>
    </row>
    <row r="35" spans="1:21" x14ac:dyDescent="0.35">
      <c r="R35" s="15">
        <v>44805</v>
      </c>
      <c r="S35" s="14">
        <v>-0.88</v>
      </c>
      <c r="T35" s="16">
        <v>-1.03</v>
      </c>
      <c r="U35" s="17">
        <v>-1.99</v>
      </c>
    </row>
    <row r="36" spans="1:21" x14ac:dyDescent="0.35">
      <c r="A36" s="2" t="s">
        <v>16</v>
      </c>
      <c r="R36" s="15">
        <v>44835</v>
      </c>
      <c r="S36" s="14">
        <v>-0.9</v>
      </c>
      <c r="T36" s="16" t="e">
        <v>#N/A</v>
      </c>
      <c r="U36" s="17" t="e">
        <v>#N/A</v>
      </c>
    </row>
    <row r="37" spans="1:21" x14ac:dyDescent="0.35">
      <c r="A37" s="62" t="s">
        <v>119</v>
      </c>
      <c r="B37" s="62"/>
      <c r="C37" s="62"/>
      <c r="D37" s="62"/>
      <c r="E37" s="62"/>
      <c r="F37" s="62"/>
      <c r="G37" s="62"/>
      <c r="H37" s="62"/>
      <c r="I37" s="62"/>
      <c r="J37" s="62"/>
      <c r="K37" s="62"/>
      <c r="L37" s="62"/>
      <c r="M37" s="62"/>
      <c r="N37" s="62"/>
      <c r="R37" s="15">
        <v>44866</v>
      </c>
      <c r="S37" s="14">
        <v>-0.89</v>
      </c>
      <c r="T37" s="16">
        <v>-0.94</v>
      </c>
      <c r="U37" s="17">
        <v>-2.09</v>
      </c>
    </row>
    <row r="38" spans="1:21" x14ac:dyDescent="0.35">
      <c r="A38" s="62"/>
      <c r="B38" s="62"/>
      <c r="C38" s="62"/>
      <c r="D38" s="62"/>
      <c r="E38" s="62"/>
      <c r="F38" s="62"/>
      <c r="G38" s="62"/>
      <c r="H38" s="62"/>
      <c r="I38" s="62"/>
      <c r="J38" s="62"/>
      <c r="K38" s="62"/>
      <c r="L38" s="62"/>
      <c r="M38" s="62"/>
      <c r="N38" s="62"/>
      <c r="R38" s="15">
        <v>44896</v>
      </c>
      <c r="S38" s="14">
        <v>-0.79</v>
      </c>
      <c r="T38" s="16" t="e">
        <v>#N/A</v>
      </c>
      <c r="U38" s="17" t="e">
        <v>#N/A</v>
      </c>
    </row>
    <row r="39" spans="1:21" x14ac:dyDescent="0.35">
      <c r="A39" s="62"/>
      <c r="B39" s="62"/>
      <c r="C39" s="62"/>
      <c r="D39" s="62"/>
      <c r="E39" s="62"/>
      <c r="F39" s="62"/>
      <c r="G39" s="62"/>
      <c r="H39" s="62"/>
      <c r="I39" s="62"/>
      <c r="J39" s="62"/>
      <c r="K39" s="62"/>
      <c r="L39" s="62"/>
      <c r="M39" s="62"/>
      <c r="N39" s="62"/>
      <c r="R39" s="15">
        <v>44927</v>
      </c>
      <c r="S39" s="14">
        <v>-0.62</v>
      </c>
      <c r="T39" s="16">
        <v>-0.9</v>
      </c>
      <c r="U39" s="17">
        <v>-2.2799999999999998</v>
      </c>
    </row>
    <row r="40" spans="1:21" x14ac:dyDescent="0.35">
      <c r="R40" s="15">
        <v>44958</v>
      </c>
      <c r="S40" s="14">
        <v>-0.53</v>
      </c>
      <c r="T40" s="16" t="e">
        <v>#N/A</v>
      </c>
      <c r="U40" s="17">
        <v>-2.66</v>
      </c>
    </row>
    <row r="41" spans="1:21" x14ac:dyDescent="0.35">
      <c r="R41" s="15">
        <v>44986</v>
      </c>
      <c r="S41" s="14">
        <v>-0.39</v>
      </c>
      <c r="T41" s="16">
        <v>-0.88</v>
      </c>
      <c r="U41" s="17">
        <v>-2.67</v>
      </c>
    </row>
    <row r="42" spans="1:21" x14ac:dyDescent="0.35">
      <c r="R42" s="15">
        <v>45017</v>
      </c>
      <c r="S42" s="14">
        <v>-0.24</v>
      </c>
      <c r="T42" s="16" t="e">
        <v>#N/A</v>
      </c>
      <c r="U42" s="17">
        <v>-2.86</v>
      </c>
    </row>
    <row r="43" spans="1:21" x14ac:dyDescent="0.35">
      <c r="R43" s="15">
        <v>45047</v>
      </c>
      <c r="S43" s="14">
        <v>-0.14000000000000001</v>
      </c>
      <c r="T43" s="16">
        <v>-0.6</v>
      </c>
      <c r="U43" s="17">
        <v>-2.25</v>
      </c>
    </row>
    <row r="44" spans="1:21" x14ac:dyDescent="0.35">
      <c r="R44" s="15">
        <v>45078</v>
      </c>
      <c r="S44" s="14">
        <v>-0.05</v>
      </c>
      <c r="T44" s="16" t="e">
        <v>#N/A</v>
      </c>
      <c r="U44" s="17">
        <v>-1.85</v>
      </c>
    </row>
    <row r="45" spans="1:21" x14ac:dyDescent="0.35">
      <c r="R45" s="15">
        <v>45108</v>
      </c>
      <c r="S45" s="14">
        <v>-0.15</v>
      </c>
      <c r="T45" s="16">
        <v>-0.52</v>
      </c>
      <c r="U45" s="17">
        <v>-1.91</v>
      </c>
    </row>
    <row r="46" spans="1:21" x14ac:dyDescent="0.35">
      <c r="R46" s="15">
        <v>45139</v>
      </c>
      <c r="S46" s="14">
        <v>-0.27</v>
      </c>
      <c r="T46" s="16" t="e">
        <v>#N/A</v>
      </c>
      <c r="U46" s="17">
        <v>-2.2000000000000002</v>
      </c>
    </row>
    <row r="47" spans="1:21" x14ac:dyDescent="0.35">
      <c r="A47" s="32" t="s">
        <v>601</v>
      </c>
      <c r="R47" s="15">
        <v>45170</v>
      </c>
      <c r="S47" s="14">
        <v>-0.33</v>
      </c>
      <c r="T47" s="16">
        <v>-0.38</v>
      </c>
      <c r="U47" s="17">
        <v>-3.14</v>
      </c>
    </row>
    <row r="48" spans="1:21" x14ac:dyDescent="0.35">
      <c r="R48" s="15">
        <v>45200</v>
      </c>
      <c r="S48" s="14">
        <v>-0.11</v>
      </c>
      <c r="T48" s="16" t="e">
        <v>#N/A</v>
      </c>
      <c r="U48" s="17">
        <v>-2.35</v>
      </c>
    </row>
    <row r="49" spans="18:21" x14ac:dyDescent="0.35">
      <c r="R49" s="15">
        <v>45231</v>
      </c>
      <c r="S49" s="14">
        <v>-0.1</v>
      </c>
      <c r="T49" s="16">
        <v>-0.44</v>
      </c>
      <c r="U49" s="17">
        <v>-1.94</v>
      </c>
    </row>
    <row r="50" spans="18:21" x14ac:dyDescent="0.35">
      <c r="R50" s="15">
        <v>45261</v>
      </c>
      <c r="S50" s="14">
        <v>-0.16</v>
      </c>
      <c r="T50" s="16" t="e">
        <v>#N/A</v>
      </c>
      <c r="U50" s="17">
        <v>-2.21</v>
      </c>
    </row>
    <row r="51" spans="18:21" x14ac:dyDescent="0.35">
      <c r="R51" s="15">
        <v>45292</v>
      </c>
      <c r="S51" s="14">
        <v>-0.03</v>
      </c>
      <c r="T51" s="16">
        <v>-0.3</v>
      </c>
      <c r="U51" s="17">
        <v>-2.2999999999999998</v>
      </c>
    </row>
    <row r="52" spans="18:21" x14ac:dyDescent="0.35">
      <c r="R52" s="15">
        <v>45323</v>
      </c>
      <c r="S52" s="14">
        <v>-0.06</v>
      </c>
      <c r="T52" s="16" t="e">
        <v>#N/A</v>
      </c>
      <c r="U52" s="17">
        <v>-2.2799999999999998</v>
      </c>
    </row>
    <row r="53" spans="18:21" x14ac:dyDescent="0.35">
      <c r="R53" s="15">
        <v>45352</v>
      </c>
      <c r="S53" s="14">
        <v>0.01</v>
      </c>
      <c r="T53" s="16">
        <v>-0.22</v>
      </c>
      <c r="U53" s="17">
        <v>-2.0699999999999998</v>
      </c>
    </row>
    <row r="54" spans="18:21" x14ac:dyDescent="0.35">
      <c r="R54" s="15">
        <v>45383</v>
      </c>
      <c r="S54" s="14">
        <v>0.17</v>
      </c>
      <c r="T54" s="16" t="e">
        <v>#N/A</v>
      </c>
      <c r="U54" s="17">
        <v>-2.25</v>
      </c>
    </row>
    <row r="55" spans="18:21" x14ac:dyDescent="0.35">
      <c r="R55" s="15">
        <v>45413</v>
      </c>
      <c r="S55" s="14">
        <v>0</v>
      </c>
      <c r="T55" s="16">
        <v>-0.12</v>
      </c>
      <c r="U55" s="17">
        <v>-1.89</v>
      </c>
    </row>
    <row r="56" spans="18:21" x14ac:dyDescent="0.35">
      <c r="R56" s="15">
        <v>45444</v>
      </c>
      <c r="S56" s="14">
        <v>-0.05</v>
      </c>
      <c r="T56" s="16" t="e">
        <v>#N/A</v>
      </c>
      <c r="U56" s="17">
        <v>-1.34</v>
      </c>
    </row>
    <row r="57" spans="18:21" x14ac:dyDescent="0.35">
      <c r="R57" s="15">
        <v>45474</v>
      </c>
      <c r="S57" s="14">
        <v>-0.11</v>
      </c>
      <c r="T57" s="16">
        <v>-0.2</v>
      </c>
      <c r="U57" s="17">
        <v>-2.4900000000000002</v>
      </c>
    </row>
    <row r="58" spans="18:21" x14ac:dyDescent="0.35">
      <c r="R58" s="15">
        <v>45505</v>
      </c>
      <c r="S58" s="14">
        <v>-0.05</v>
      </c>
      <c r="U58" s="17">
        <v>-2.57</v>
      </c>
    </row>
  </sheetData>
  <mergeCells count="1">
    <mergeCell ref="A37:N39"/>
  </mergeCells>
  <hyperlinks>
    <hyperlink ref="A47" location="'Read Me'!A1" display="Return to Read Me" xr:uid="{8430CCE8-2268-4B0D-8263-5ABC7A087BF2}"/>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E5A4-7FD5-473B-B6BD-AFC802006E6D}">
  <dimension ref="A1:U47"/>
  <sheetViews>
    <sheetView zoomScale="70" zoomScaleNormal="70" workbookViewId="0">
      <selection activeCell="A41" sqref="A41"/>
    </sheetView>
  </sheetViews>
  <sheetFormatPr defaultColWidth="8.58203125" defaultRowHeight="17.5" x14ac:dyDescent="0.35"/>
  <cols>
    <col min="1" max="16384" width="8.58203125" style="2"/>
  </cols>
  <sheetData>
    <row r="1" spans="1:21" s="7" customFormat="1" ht="25" x14ac:dyDescent="0.5">
      <c r="A1" s="7" t="s">
        <v>122</v>
      </c>
    </row>
    <row r="3" spans="1:21" x14ac:dyDescent="0.35">
      <c r="S3" s="2" t="s">
        <v>3</v>
      </c>
      <c r="T3" s="2" t="s">
        <v>123</v>
      </c>
      <c r="U3" s="2" t="s">
        <v>124</v>
      </c>
    </row>
    <row r="4" spans="1:21" x14ac:dyDescent="0.35">
      <c r="R4" s="12">
        <v>44743</v>
      </c>
      <c r="S4" s="10">
        <v>-21.3</v>
      </c>
      <c r="T4" s="10">
        <v>-29.3</v>
      </c>
      <c r="U4" s="10">
        <v>-24</v>
      </c>
    </row>
    <row r="5" spans="1:21" x14ac:dyDescent="0.35">
      <c r="R5" s="12">
        <v>45108</v>
      </c>
      <c r="S5" s="10">
        <v>-2.6</v>
      </c>
      <c r="T5" s="10">
        <v>8.6999999999999993</v>
      </c>
      <c r="U5" s="10">
        <v>-6.7</v>
      </c>
    </row>
    <row r="6" spans="1:21" x14ac:dyDescent="0.35">
      <c r="R6" s="2" t="s">
        <v>125</v>
      </c>
      <c r="S6" s="10">
        <v>4.3</v>
      </c>
      <c r="T6" s="10">
        <v>24.7</v>
      </c>
      <c r="U6" s="10">
        <v>-2</v>
      </c>
    </row>
    <row r="36" spans="1:14" x14ac:dyDescent="0.35">
      <c r="A36" s="2" t="s">
        <v>126</v>
      </c>
    </row>
    <row r="37" spans="1:14" x14ac:dyDescent="0.35">
      <c r="A37" s="61" t="s">
        <v>635</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1">
    <mergeCell ref="A37:N40"/>
  </mergeCells>
  <hyperlinks>
    <hyperlink ref="A47" location="'Read Me'!A1" display="Return to Read Me" xr:uid="{47B8DA29-AA59-4F42-9179-2E42F58F1145}"/>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4DE5-13A8-4073-904B-85B2C676E076}">
  <dimension ref="A1:U47"/>
  <sheetViews>
    <sheetView topLeftCell="A3" zoomScale="70" zoomScaleNormal="70" workbookViewId="0">
      <selection activeCell="A37" sqref="A37:N40"/>
    </sheetView>
  </sheetViews>
  <sheetFormatPr defaultColWidth="8.58203125" defaultRowHeight="17.5" x14ac:dyDescent="0.35"/>
  <cols>
    <col min="1" max="16384" width="8.58203125" style="2"/>
  </cols>
  <sheetData>
    <row r="1" spans="1:21" s="7" customFormat="1" ht="25" x14ac:dyDescent="0.5">
      <c r="A1" s="7" t="s">
        <v>127</v>
      </c>
    </row>
    <row r="3" spans="1:21" x14ac:dyDescent="0.35">
      <c r="R3" s="2" t="s">
        <v>133</v>
      </c>
      <c r="S3" s="5" t="s">
        <v>131</v>
      </c>
      <c r="T3" s="2" t="s">
        <v>3</v>
      </c>
      <c r="U3" s="5" t="s">
        <v>123</v>
      </c>
    </row>
    <row r="4" spans="1:21" x14ac:dyDescent="0.35">
      <c r="R4" s="2" t="s">
        <v>130</v>
      </c>
      <c r="S4" s="11">
        <v>-35</v>
      </c>
      <c r="T4" s="11">
        <v>-21.6</v>
      </c>
      <c r="U4" s="11">
        <v>-29.5</v>
      </c>
    </row>
    <row r="5" spans="1:21" x14ac:dyDescent="0.35">
      <c r="R5" s="2" t="s">
        <v>129</v>
      </c>
      <c r="S5" s="11">
        <v>-12.3</v>
      </c>
      <c r="T5" s="11">
        <v>3.3</v>
      </c>
      <c r="U5" s="11">
        <v>-1</v>
      </c>
    </row>
    <row r="6" spans="1:21" x14ac:dyDescent="0.35">
      <c r="R6" s="2" t="s">
        <v>128</v>
      </c>
      <c r="S6" s="11">
        <v>-4.3</v>
      </c>
      <c r="T6" s="11">
        <v>25.2</v>
      </c>
      <c r="U6" s="11">
        <v>1</v>
      </c>
    </row>
    <row r="36" spans="1:14" x14ac:dyDescent="0.35">
      <c r="A36" s="2" t="s">
        <v>126</v>
      </c>
    </row>
    <row r="37" spans="1:14" ht="17.5" customHeight="1" x14ac:dyDescent="0.35">
      <c r="A37" s="61" t="s">
        <v>134</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1">
    <mergeCell ref="A37:N40"/>
  </mergeCells>
  <hyperlinks>
    <hyperlink ref="A47" location="'Read Me'!A1" display="Return to Read Me" xr:uid="{2DCB5D95-8F1B-47D4-B802-F0E2565DD1F3}"/>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508-7604-44A6-A5B3-0C572ACE390C}">
  <dimension ref="A1:V47"/>
  <sheetViews>
    <sheetView zoomScale="70" zoomScaleNormal="70" workbookViewId="0">
      <selection activeCell="T4" sqref="T4"/>
    </sheetView>
  </sheetViews>
  <sheetFormatPr defaultColWidth="8.58203125" defaultRowHeight="17.5" x14ac:dyDescent="0.35"/>
  <cols>
    <col min="1" max="17" width="8.58203125" style="2"/>
    <col min="18" max="18" width="9" style="2" bestFit="1" customWidth="1"/>
    <col min="19" max="16384" width="8.58203125" style="2"/>
  </cols>
  <sheetData>
    <row r="1" spans="1:22" s="7" customFormat="1" ht="25" x14ac:dyDescent="0.5">
      <c r="A1" s="7" t="s">
        <v>135</v>
      </c>
    </row>
    <row r="3" spans="1:22" x14ac:dyDescent="0.35">
      <c r="S3" s="2" t="s">
        <v>3</v>
      </c>
      <c r="T3" s="2" t="s">
        <v>123</v>
      </c>
      <c r="U3" s="2" t="s">
        <v>136</v>
      </c>
      <c r="V3" s="2" t="s">
        <v>71</v>
      </c>
    </row>
    <row r="4" spans="1:22" x14ac:dyDescent="0.35">
      <c r="R4" s="2" t="s">
        <v>137</v>
      </c>
      <c r="S4" s="2">
        <v>6.3</v>
      </c>
      <c r="T4" s="2">
        <v>6</v>
      </c>
      <c r="U4" s="2">
        <v>1.4</v>
      </c>
      <c r="V4" s="2">
        <v>3</v>
      </c>
    </row>
    <row r="5" spans="1:22" x14ac:dyDescent="0.35">
      <c r="R5" s="2" t="s">
        <v>87</v>
      </c>
      <c r="S5" s="2">
        <v>7.3</v>
      </c>
      <c r="T5" s="2">
        <v>7.9</v>
      </c>
      <c r="U5" s="2">
        <v>7.7</v>
      </c>
      <c r="V5" s="2">
        <v>8.8000000000000007</v>
      </c>
    </row>
    <row r="6" spans="1:22" x14ac:dyDescent="0.35">
      <c r="R6" s="2" t="s">
        <v>88</v>
      </c>
      <c r="S6" s="2">
        <v>7.9</v>
      </c>
      <c r="T6" s="2">
        <v>8.3000000000000007</v>
      </c>
      <c r="U6" s="2">
        <v>7.1</v>
      </c>
      <c r="V6" s="2">
        <v>8.6999999999999993</v>
      </c>
    </row>
    <row r="7" spans="1:22" x14ac:dyDescent="0.35">
      <c r="R7" s="2" t="s">
        <v>89</v>
      </c>
      <c r="S7" s="2">
        <v>7.4</v>
      </c>
      <c r="T7" s="2">
        <v>8.4</v>
      </c>
      <c r="U7" s="2">
        <v>6.7</v>
      </c>
      <c r="V7" s="2">
        <v>7.6</v>
      </c>
    </row>
    <row r="8" spans="1:22" x14ac:dyDescent="0.35">
      <c r="R8" s="2" t="s">
        <v>90</v>
      </c>
      <c r="S8" s="2">
        <v>7.8</v>
      </c>
      <c r="T8" s="2">
        <v>8.5</v>
      </c>
      <c r="U8" s="2">
        <v>5.7</v>
      </c>
      <c r="V8" s="2">
        <v>7.4</v>
      </c>
    </row>
    <row r="9" spans="1:22" x14ac:dyDescent="0.35">
      <c r="R9" s="2" t="s">
        <v>91</v>
      </c>
      <c r="S9" s="2">
        <v>7.4</v>
      </c>
      <c r="T9" s="2">
        <v>8.6999999999999993</v>
      </c>
      <c r="U9" s="2">
        <v>5.3</v>
      </c>
      <c r="V9" s="2">
        <v>6.5</v>
      </c>
    </row>
    <row r="10" spans="1:22" x14ac:dyDescent="0.35">
      <c r="R10" s="2" t="s">
        <v>92</v>
      </c>
      <c r="S10" s="2">
        <v>6.8</v>
      </c>
      <c r="T10" s="2">
        <v>8.3000000000000007</v>
      </c>
      <c r="U10" s="2">
        <v>4.5</v>
      </c>
      <c r="V10" s="2">
        <v>5.6</v>
      </c>
    </row>
    <row r="11" spans="1:22" x14ac:dyDescent="0.35">
      <c r="R11" s="2" t="s">
        <v>93</v>
      </c>
      <c r="S11" s="2">
        <v>7.4</v>
      </c>
      <c r="T11" s="2">
        <v>6</v>
      </c>
      <c r="U11" s="2">
        <v>4.3</v>
      </c>
      <c r="V11" s="2">
        <v>4.8</v>
      </c>
    </row>
    <row r="12" spans="1:22" x14ac:dyDescent="0.35">
      <c r="R12" s="2" t="s">
        <v>94</v>
      </c>
      <c r="S12" s="2">
        <v>6.8</v>
      </c>
      <c r="T12" s="2">
        <v>6.1</v>
      </c>
      <c r="U12" s="2">
        <v>4.0999999999999996</v>
      </c>
      <c r="V12" s="2">
        <v>4.9000000000000004</v>
      </c>
    </row>
    <row r="13" spans="1:22" x14ac:dyDescent="0.35">
      <c r="R13" s="2" t="s">
        <v>95</v>
      </c>
      <c r="S13" s="2">
        <v>5.0999999999999996</v>
      </c>
      <c r="T13" s="2">
        <v>6.6</v>
      </c>
      <c r="U13" s="2">
        <v>3.8</v>
      </c>
      <c r="V13" s="2">
        <v>5</v>
      </c>
    </row>
    <row r="14" spans="1:22" x14ac:dyDescent="0.35">
      <c r="R14" s="2" t="s">
        <v>96</v>
      </c>
      <c r="S14" s="2">
        <v>5.0999999999999996</v>
      </c>
      <c r="T14" s="2">
        <v>6.3</v>
      </c>
      <c r="U14" s="2">
        <v>3.5</v>
      </c>
      <c r="V14" s="2">
        <v>4.7</v>
      </c>
    </row>
    <row r="15" spans="1:22" x14ac:dyDescent="0.35">
      <c r="R15" s="2" t="s">
        <v>97</v>
      </c>
      <c r="S15" s="2">
        <v>5.4</v>
      </c>
      <c r="T15" s="2">
        <v>5</v>
      </c>
      <c r="U15" s="2">
        <v>3.2</v>
      </c>
      <c r="V15" s="2">
        <v>4.3</v>
      </c>
    </row>
    <row r="16" spans="1:22" x14ac:dyDescent="0.35">
      <c r="R16" s="2" t="s">
        <v>98</v>
      </c>
      <c r="S16" s="2">
        <v>5</v>
      </c>
      <c r="T16" s="2">
        <v>5</v>
      </c>
      <c r="U16" s="2">
        <v>3.4</v>
      </c>
      <c r="V16" s="2">
        <v>4.2</v>
      </c>
    </row>
    <row r="17" spans="18:22" x14ac:dyDescent="0.35">
      <c r="R17" s="2" t="s">
        <v>99</v>
      </c>
      <c r="S17" s="2">
        <v>5.3</v>
      </c>
      <c r="T17" s="2">
        <v>5.9</v>
      </c>
      <c r="U17" s="2">
        <v>2.9</v>
      </c>
      <c r="V17" s="2">
        <v>4.0999999999999996</v>
      </c>
    </row>
    <row r="18" spans="18:22" x14ac:dyDescent="0.35">
      <c r="R18" s="2" t="s">
        <v>100</v>
      </c>
      <c r="S18" s="2">
        <v>5.0999999999999996</v>
      </c>
      <c r="T18" s="2">
        <v>5.0999999999999996</v>
      </c>
      <c r="U18" s="2">
        <v>2.9</v>
      </c>
      <c r="V18" s="2">
        <v>4</v>
      </c>
    </row>
    <row r="19" spans="18:22" x14ac:dyDescent="0.35">
      <c r="R19" s="2" t="s">
        <v>101</v>
      </c>
      <c r="S19" s="2">
        <v>4.9000000000000004</v>
      </c>
      <c r="T19" s="2">
        <v>4.9000000000000004</v>
      </c>
      <c r="U19" s="2">
        <v>2.7</v>
      </c>
      <c r="V19" s="2">
        <v>3.6</v>
      </c>
    </row>
    <row r="20" spans="18:22" x14ac:dyDescent="0.35">
      <c r="R20" s="2" t="s">
        <v>102</v>
      </c>
      <c r="S20" s="2">
        <v>4.8</v>
      </c>
      <c r="T20" s="2">
        <v>4.8</v>
      </c>
      <c r="U20" s="2">
        <v>2.7</v>
      </c>
      <c r="V20" s="2">
        <v>3.6</v>
      </c>
    </row>
    <row r="21" spans="18:22" x14ac:dyDescent="0.35">
      <c r="R21" s="2" t="s">
        <v>103</v>
      </c>
      <c r="S21" s="2">
        <v>4.4000000000000004</v>
      </c>
      <c r="T21" s="2">
        <v>3.3</v>
      </c>
      <c r="U21" s="2">
        <v>2.7</v>
      </c>
      <c r="V21" s="2">
        <v>3.7</v>
      </c>
    </row>
    <row r="22" spans="18:22" x14ac:dyDescent="0.35">
      <c r="R22" s="2" t="s">
        <v>104</v>
      </c>
      <c r="S22" s="2">
        <v>4.2</v>
      </c>
      <c r="T22" s="2">
        <v>3.3</v>
      </c>
      <c r="U22" s="2">
        <v>2.4</v>
      </c>
      <c r="V22" s="2">
        <v>3.8</v>
      </c>
    </row>
    <row r="23" spans="18:22" x14ac:dyDescent="0.35">
      <c r="R23" s="2" t="s">
        <v>105</v>
      </c>
      <c r="S23" s="2">
        <v>3</v>
      </c>
      <c r="T23" s="2">
        <v>2.5</v>
      </c>
      <c r="U23" s="2">
        <v>2.5</v>
      </c>
      <c r="V23" s="2">
        <v>4</v>
      </c>
    </row>
    <row r="24" spans="18:22" x14ac:dyDescent="0.35">
      <c r="R24" s="2" t="s">
        <v>106</v>
      </c>
      <c r="S24" s="2">
        <v>9.6</v>
      </c>
      <c r="T24" s="2">
        <v>10.1</v>
      </c>
      <c r="U24" s="2">
        <v>2</v>
      </c>
      <c r="V24" s="2">
        <v>4.3</v>
      </c>
    </row>
    <row r="36" spans="1:14" x14ac:dyDescent="0.35">
      <c r="A36" s="2" t="s">
        <v>16</v>
      </c>
    </row>
    <row r="37" spans="1:14" x14ac:dyDescent="0.35">
      <c r="A37" s="61" t="s">
        <v>138</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5DBB3428-5C2B-41EE-A754-D4597E1F8EC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B7BA-90B2-4240-B6F5-7C5E8A667D63}">
  <dimension ref="A1:U47"/>
  <sheetViews>
    <sheetView zoomScale="70" zoomScaleNormal="70" workbookViewId="0">
      <selection activeCell="K36" sqref="K36"/>
    </sheetView>
  </sheetViews>
  <sheetFormatPr defaultColWidth="8.58203125" defaultRowHeight="17.5" x14ac:dyDescent="0.35"/>
  <cols>
    <col min="1" max="17" width="8.58203125" style="2"/>
    <col min="18" max="18" width="9" style="2" bestFit="1" customWidth="1"/>
    <col min="19" max="16384" width="8.58203125" style="2"/>
  </cols>
  <sheetData>
    <row r="1" spans="1:21" s="7" customFormat="1" ht="25" x14ac:dyDescent="0.5">
      <c r="A1" s="7" t="s">
        <v>139</v>
      </c>
    </row>
    <row r="3" spans="1:21" x14ac:dyDescent="0.35">
      <c r="S3" s="2" t="s">
        <v>142</v>
      </c>
      <c r="T3" s="2" t="s">
        <v>141</v>
      </c>
      <c r="U3" s="2" t="s">
        <v>140</v>
      </c>
    </row>
    <row r="4" spans="1:21" x14ac:dyDescent="0.35">
      <c r="R4" s="12">
        <v>44957</v>
      </c>
      <c r="S4" s="11">
        <v>125.1</v>
      </c>
      <c r="T4" s="11">
        <v>104.1</v>
      </c>
      <c r="U4" s="11">
        <v>97.9</v>
      </c>
    </row>
    <row r="5" spans="1:21" x14ac:dyDescent="0.35">
      <c r="R5" s="12">
        <v>44985</v>
      </c>
      <c r="S5" s="11">
        <v>115.9</v>
      </c>
      <c r="T5" s="11">
        <v>105.2</v>
      </c>
      <c r="U5" s="11">
        <v>96.2</v>
      </c>
    </row>
    <row r="6" spans="1:21" x14ac:dyDescent="0.35">
      <c r="R6" s="12">
        <v>45016</v>
      </c>
      <c r="S6" s="11">
        <v>108.5</v>
      </c>
      <c r="T6" s="11">
        <v>103</v>
      </c>
      <c r="U6" s="11">
        <v>93.1</v>
      </c>
    </row>
    <row r="7" spans="1:21" x14ac:dyDescent="0.35">
      <c r="R7" s="12">
        <v>45046</v>
      </c>
      <c r="S7" s="11">
        <v>114.6</v>
      </c>
      <c r="T7" s="11">
        <v>105.9</v>
      </c>
      <c r="U7" s="11">
        <v>92.2</v>
      </c>
    </row>
    <row r="8" spans="1:21" x14ac:dyDescent="0.35">
      <c r="R8" s="12">
        <v>45077</v>
      </c>
      <c r="S8" s="11">
        <v>101.6</v>
      </c>
      <c r="T8" s="11">
        <v>103.5</v>
      </c>
      <c r="U8" s="11">
        <v>86.3</v>
      </c>
    </row>
    <row r="9" spans="1:21" x14ac:dyDescent="0.35">
      <c r="R9" s="12">
        <v>45107</v>
      </c>
      <c r="S9" s="11">
        <v>99.8</v>
      </c>
      <c r="T9" s="11">
        <v>101.3</v>
      </c>
      <c r="U9" s="11">
        <v>86.9</v>
      </c>
    </row>
    <row r="10" spans="1:21" x14ac:dyDescent="0.35">
      <c r="R10" s="12">
        <v>45138</v>
      </c>
      <c r="S10" s="11">
        <v>105.7</v>
      </c>
      <c r="T10" s="11">
        <v>102</v>
      </c>
      <c r="U10" s="11">
        <v>87.2</v>
      </c>
    </row>
    <row r="11" spans="1:21" x14ac:dyDescent="0.35">
      <c r="R11" s="12">
        <v>45169</v>
      </c>
      <c r="S11" s="11">
        <v>114</v>
      </c>
      <c r="T11" s="11">
        <v>100.9</v>
      </c>
      <c r="U11" s="11">
        <v>85.6</v>
      </c>
    </row>
    <row r="12" spans="1:21" x14ac:dyDescent="0.35">
      <c r="R12" s="12">
        <v>45199</v>
      </c>
      <c r="S12" s="11">
        <v>123.4</v>
      </c>
      <c r="T12" s="11">
        <v>102.8</v>
      </c>
      <c r="U12" s="11">
        <v>86.9</v>
      </c>
    </row>
    <row r="13" spans="1:21" x14ac:dyDescent="0.35">
      <c r="R13" s="12">
        <v>45230</v>
      </c>
      <c r="S13" s="11">
        <v>121.3</v>
      </c>
      <c r="T13" s="11">
        <v>101.5</v>
      </c>
      <c r="U13" s="11">
        <v>84.6</v>
      </c>
    </row>
    <row r="14" spans="1:21" x14ac:dyDescent="0.35">
      <c r="R14" s="12">
        <v>45260</v>
      </c>
      <c r="S14" s="11">
        <v>111.3</v>
      </c>
      <c r="T14" s="11">
        <v>103</v>
      </c>
      <c r="U14" s="11">
        <v>86.9</v>
      </c>
    </row>
    <row r="15" spans="1:21" x14ac:dyDescent="0.35">
      <c r="R15" s="12">
        <v>45291</v>
      </c>
      <c r="S15" s="11">
        <v>104.4</v>
      </c>
      <c r="T15" s="11">
        <v>101.9</v>
      </c>
      <c r="U15" s="11">
        <v>87.9</v>
      </c>
    </row>
    <row r="16" spans="1:21" x14ac:dyDescent="0.35">
      <c r="R16" s="12">
        <v>45322</v>
      </c>
      <c r="S16" s="11">
        <v>106.1</v>
      </c>
      <c r="T16" s="11">
        <v>101.4</v>
      </c>
      <c r="U16" s="11">
        <v>87.6</v>
      </c>
    </row>
    <row r="17" spans="18:21" x14ac:dyDescent="0.35">
      <c r="R17" s="12">
        <v>45351</v>
      </c>
      <c r="S17" s="11">
        <v>107.2</v>
      </c>
      <c r="T17" s="11">
        <v>102.6</v>
      </c>
      <c r="U17" s="11">
        <v>86</v>
      </c>
    </row>
    <row r="18" spans="18:21" x14ac:dyDescent="0.35">
      <c r="R18" s="12">
        <v>45382</v>
      </c>
      <c r="S18" s="11">
        <v>109.3</v>
      </c>
      <c r="T18" s="11">
        <v>105.6</v>
      </c>
      <c r="U18" s="11">
        <v>87.1</v>
      </c>
    </row>
    <row r="19" spans="18:21" x14ac:dyDescent="0.35">
      <c r="R19" s="12">
        <v>45412</v>
      </c>
      <c r="S19" s="11">
        <v>114.9</v>
      </c>
      <c r="T19" s="11">
        <v>109.6</v>
      </c>
      <c r="U19" s="11">
        <v>94.9</v>
      </c>
    </row>
    <row r="20" spans="18:21" x14ac:dyDescent="0.35">
      <c r="R20" s="12">
        <v>45443</v>
      </c>
      <c r="S20" s="11">
        <v>107.6</v>
      </c>
      <c r="T20" s="11">
        <v>107.2</v>
      </c>
      <c r="U20" s="11">
        <v>100.2</v>
      </c>
    </row>
    <row r="21" spans="18:21" x14ac:dyDescent="0.35">
      <c r="R21" s="12">
        <v>45473</v>
      </c>
      <c r="S21" s="11">
        <v>108.8</v>
      </c>
      <c r="T21" s="11">
        <v>107.4</v>
      </c>
      <c r="U21" s="11">
        <v>95</v>
      </c>
    </row>
    <row r="22" spans="18:21" x14ac:dyDescent="0.35">
      <c r="R22" s="12">
        <v>45504</v>
      </c>
      <c r="S22" s="11">
        <v>111.1</v>
      </c>
      <c r="T22" s="11">
        <v>104.5</v>
      </c>
      <c r="U22" s="11">
        <v>91.8</v>
      </c>
    </row>
    <row r="23" spans="18:21" x14ac:dyDescent="0.35">
      <c r="R23" s="12">
        <v>45535</v>
      </c>
      <c r="S23" s="11">
        <v>107.5</v>
      </c>
      <c r="T23" s="11">
        <v>103.1</v>
      </c>
      <c r="U23" s="11">
        <v>88.9</v>
      </c>
    </row>
    <row r="24" spans="18:21" x14ac:dyDescent="0.35">
      <c r="R24" s="12">
        <v>46022</v>
      </c>
      <c r="S24" s="11">
        <v>104.8</v>
      </c>
      <c r="T24" s="11">
        <v>97.3</v>
      </c>
      <c r="U24" s="11">
        <v>89.4</v>
      </c>
    </row>
    <row r="25" spans="18:21" x14ac:dyDescent="0.35">
      <c r="R25" s="12">
        <v>46022</v>
      </c>
      <c r="S25" s="11">
        <v>104.8</v>
      </c>
      <c r="T25" s="11">
        <v>97.3</v>
      </c>
      <c r="U25" s="11">
        <v>89.4</v>
      </c>
    </row>
    <row r="36" spans="1:14" x14ac:dyDescent="0.35">
      <c r="A36" s="2" t="s">
        <v>143</v>
      </c>
    </row>
    <row r="37" spans="1:14" x14ac:dyDescent="0.35">
      <c r="A37" s="62" t="s">
        <v>144</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47" spans="1:14" x14ac:dyDescent="0.35">
      <c r="A47" s="32" t="s">
        <v>601</v>
      </c>
    </row>
  </sheetData>
  <mergeCells count="1">
    <mergeCell ref="A37:N38"/>
  </mergeCells>
  <hyperlinks>
    <hyperlink ref="A47" location="'Read Me'!A1" display="Return to Read Me" xr:uid="{3203489E-C46B-4FB8-9075-B585916176A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AC9A-28CC-4A27-9EE7-0EFDF8387CA9}">
  <dimension ref="A1:U47"/>
  <sheetViews>
    <sheetView zoomScale="70" zoomScaleNormal="70" workbookViewId="0">
      <selection activeCell="A37" sqref="A37:N39"/>
    </sheetView>
  </sheetViews>
  <sheetFormatPr defaultColWidth="8.58203125" defaultRowHeight="17.5" x14ac:dyDescent="0.35"/>
  <cols>
    <col min="1" max="17" width="8.58203125" style="2"/>
    <col min="18" max="18" width="9" style="2" bestFit="1" customWidth="1"/>
    <col min="19" max="16384" width="8.58203125" style="2"/>
  </cols>
  <sheetData>
    <row r="1" spans="1:21" s="7" customFormat="1" ht="25" x14ac:dyDescent="0.5">
      <c r="A1" s="7" t="s">
        <v>145</v>
      </c>
    </row>
    <row r="3" spans="1:21" x14ac:dyDescent="0.35">
      <c r="S3" s="2" t="s">
        <v>57</v>
      </c>
      <c r="T3" s="2" t="s">
        <v>73</v>
      </c>
      <c r="U3" s="2" t="s">
        <v>72</v>
      </c>
    </row>
    <row r="4" spans="1:21" x14ac:dyDescent="0.35">
      <c r="R4" s="12">
        <v>43830</v>
      </c>
      <c r="S4" s="2">
        <v>4.1500000000000004</v>
      </c>
      <c r="T4" s="2">
        <v>1.625</v>
      </c>
      <c r="U4" s="2">
        <v>0</v>
      </c>
    </row>
    <row r="5" spans="1:21" x14ac:dyDescent="0.35">
      <c r="R5" s="12">
        <v>45322</v>
      </c>
      <c r="S5" s="2">
        <v>3.45</v>
      </c>
      <c r="T5" s="2">
        <v>5.375</v>
      </c>
      <c r="U5" s="2">
        <v>4.5</v>
      </c>
    </row>
    <row r="6" spans="1:21" x14ac:dyDescent="0.35">
      <c r="R6" s="12">
        <v>45351</v>
      </c>
      <c r="S6" s="2">
        <v>3.45</v>
      </c>
      <c r="T6" s="2">
        <v>5.375</v>
      </c>
      <c r="U6" s="2">
        <v>4.5</v>
      </c>
    </row>
    <row r="7" spans="1:21" x14ac:dyDescent="0.35">
      <c r="R7" s="12">
        <v>45382</v>
      </c>
      <c r="S7" s="2">
        <v>3.45</v>
      </c>
      <c r="T7" s="2">
        <v>5.375</v>
      </c>
      <c r="U7" s="2">
        <v>4.5</v>
      </c>
    </row>
    <row r="8" spans="1:21" x14ac:dyDescent="0.35">
      <c r="R8" s="12">
        <v>45412</v>
      </c>
      <c r="S8" s="2">
        <v>3.45</v>
      </c>
      <c r="T8" s="2">
        <v>5.375</v>
      </c>
      <c r="U8" s="2">
        <v>4.5</v>
      </c>
    </row>
    <row r="9" spans="1:21" x14ac:dyDescent="0.35">
      <c r="R9" s="12">
        <v>45443</v>
      </c>
      <c r="S9" s="2">
        <v>3.45</v>
      </c>
      <c r="T9" s="2">
        <v>5.375</v>
      </c>
      <c r="U9" s="2">
        <v>4.5</v>
      </c>
    </row>
    <row r="10" spans="1:21" x14ac:dyDescent="0.35">
      <c r="R10" s="12">
        <v>45473</v>
      </c>
      <c r="S10" s="2">
        <v>3.45</v>
      </c>
      <c r="T10" s="2">
        <v>5.375</v>
      </c>
      <c r="U10" s="2">
        <v>4.25</v>
      </c>
    </row>
    <row r="11" spans="1:21" x14ac:dyDescent="0.35">
      <c r="R11" s="12">
        <v>45504</v>
      </c>
      <c r="S11" s="2">
        <v>3.35</v>
      </c>
      <c r="T11" s="2">
        <v>5.375</v>
      </c>
      <c r="U11" s="2">
        <v>4.25</v>
      </c>
    </row>
    <row r="12" spans="1:21" x14ac:dyDescent="0.35">
      <c r="R12" s="12">
        <v>45535</v>
      </c>
      <c r="S12" s="2">
        <v>3.35</v>
      </c>
      <c r="T12" s="2">
        <v>5.375</v>
      </c>
      <c r="U12" s="2">
        <v>4.25</v>
      </c>
    </row>
    <row r="13" spans="1:21" x14ac:dyDescent="0.35">
      <c r="R13" s="12">
        <v>45565</v>
      </c>
      <c r="T13" s="2">
        <v>4.875</v>
      </c>
      <c r="U13" s="2">
        <v>3.65</v>
      </c>
    </row>
    <row r="36" spans="1:14" x14ac:dyDescent="0.35">
      <c r="A36" s="2" t="s">
        <v>146</v>
      </c>
    </row>
    <row r="37" spans="1:14" x14ac:dyDescent="0.35">
      <c r="A37" s="61" t="s">
        <v>147</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809CB5B0-1314-46E2-AFCD-7B464F7DB185}"/>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CB81F-E3B8-4FC6-9FB5-4F80902204FF}">
  <dimension ref="A1:Z48"/>
  <sheetViews>
    <sheetView topLeftCell="A6" zoomScale="70" zoomScaleNormal="70" workbookViewId="0">
      <selection activeCell="H42" sqref="H42"/>
    </sheetView>
  </sheetViews>
  <sheetFormatPr defaultColWidth="8.58203125" defaultRowHeight="17.5" x14ac:dyDescent="0.35"/>
  <cols>
    <col min="1" max="17" width="8.58203125" style="2"/>
    <col min="18" max="18" width="32.5" style="2" bestFit="1" customWidth="1"/>
    <col min="19" max="16384" width="8.58203125" style="2"/>
  </cols>
  <sheetData>
    <row r="1" spans="1:26" s="7" customFormat="1" ht="25" x14ac:dyDescent="0.5">
      <c r="A1" s="7" t="s">
        <v>148</v>
      </c>
    </row>
    <row r="3" spans="1:26" x14ac:dyDescent="0.35">
      <c r="S3" s="2" t="s">
        <v>132</v>
      </c>
      <c r="T3" s="2" t="s">
        <v>37</v>
      </c>
      <c r="U3" s="2" t="s">
        <v>38</v>
      </c>
      <c r="V3" s="2" t="s">
        <v>35</v>
      </c>
      <c r="W3" s="2" t="s">
        <v>33</v>
      </c>
      <c r="X3" s="2" t="s">
        <v>34</v>
      </c>
      <c r="Y3" s="2" t="s">
        <v>36</v>
      </c>
      <c r="Z3" s="2" t="s">
        <v>32</v>
      </c>
    </row>
    <row r="4" spans="1:26" x14ac:dyDescent="0.35">
      <c r="R4" s="18" t="s">
        <v>154</v>
      </c>
      <c r="S4" s="11">
        <v>-5</v>
      </c>
      <c r="T4" s="11">
        <v>1.6</v>
      </c>
      <c r="U4" s="11">
        <v>0.97</v>
      </c>
      <c r="V4" s="11">
        <v>2.4300000000000002</v>
      </c>
      <c r="W4" s="11">
        <v>2.2999999999999998</v>
      </c>
      <c r="X4" s="11">
        <v>0.89</v>
      </c>
      <c r="Y4" s="11">
        <v>4.8099999999999996</v>
      </c>
      <c r="Z4" s="11">
        <v>0.85</v>
      </c>
    </row>
    <row r="5" spans="1:26" x14ac:dyDescent="0.35">
      <c r="R5" s="18" t="s">
        <v>153</v>
      </c>
      <c r="S5" s="11">
        <v>-1.57</v>
      </c>
      <c r="T5" s="11">
        <v>-0.2</v>
      </c>
      <c r="U5" s="11">
        <v>1.05</v>
      </c>
      <c r="V5" s="11">
        <v>1.22</v>
      </c>
      <c r="W5" s="11">
        <v>1.87</v>
      </c>
      <c r="X5" s="11">
        <v>0.2</v>
      </c>
      <c r="Y5" s="11">
        <v>5.68</v>
      </c>
      <c r="Z5" s="11">
        <v>8.7799999999999994</v>
      </c>
    </row>
    <row r="6" spans="1:26" x14ac:dyDescent="0.35">
      <c r="R6" s="18" t="s">
        <v>152</v>
      </c>
      <c r="S6" s="54"/>
      <c r="T6" s="54"/>
      <c r="U6" s="54"/>
      <c r="V6" s="11">
        <v>6</v>
      </c>
      <c r="W6" s="54">
        <v>7</v>
      </c>
      <c r="X6" s="11">
        <v>6</v>
      </c>
      <c r="Y6" s="54">
        <v>6.5</v>
      </c>
      <c r="Z6" s="54"/>
    </row>
    <row r="7" spans="1:26" x14ac:dyDescent="0.35">
      <c r="R7" s="18" t="s">
        <v>151</v>
      </c>
      <c r="S7" s="54"/>
      <c r="T7" s="54"/>
      <c r="U7" s="54"/>
      <c r="V7" s="11">
        <v>2</v>
      </c>
      <c r="W7" s="54"/>
      <c r="X7" s="11">
        <v>4</v>
      </c>
      <c r="Y7" s="54"/>
      <c r="Z7" s="54"/>
    </row>
    <row r="8" spans="1:26" x14ac:dyDescent="0.35">
      <c r="R8" s="18" t="s">
        <v>150</v>
      </c>
      <c r="S8" s="54"/>
      <c r="T8" s="54"/>
      <c r="U8" s="54"/>
      <c r="V8" s="11">
        <v>4</v>
      </c>
      <c r="W8" s="54">
        <v>7</v>
      </c>
      <c r="X8" s="11">
        <v>5</v>
      </c>
      <c r="Y8" s="54"/>
      <c r="Z8" s="54">
        <v>6</v>
      </c>
    </row>
    <row r="9" spans="1:26" x14ac:dyDescent="0.35">
      <c r="R9" s="18" t="s">
        <v>149</v>
      </c>
      <c r="S9" s="54"/>
      <c r="T9" s="54"/>
      <c r="U9" s="54"/>
      <c r="V9" s="11">
        <v>2</v>
      </c>
      <c r="W9" s="54">
        <v>0</v>
      </c>
      <c r="X9" s="11">
        <v>1</v>
      </c>
      <c r="Y9" s="54"/>
      <c r="Z9" s="54">
        <v>0</v>
      </c>
    </row>
    <row r="36" spans="1:14" x14ac:dyDescent="0.35">
      <c r="A36" s="2" t="s">
        <v>155</v>
      </c>
    </row>
    <row r="37" spans="1:14" x14ac:dyDescent="0.35">
      <c r="A37" s="61" t="s">
        <v>156</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8" spans="1:14" x14ac:dyDescent="0.35">
      <c r="A48" s="32" t="s">
        <v>601</v>
      </c>
    </row>
  </sheetData>
  <mergeCells count="1">
    <mergeCell ref="A37:N39"/>
  </mergeCells>
  <hyperlinks>
    <hyperlink ref="A48" location="'Read Me'!A1" display="Return to Read Me" xr:uid="{A0BCBEE8-84A5-492F-80D9-A44380056E9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C5530-1260-4A7F-B453-CE5B1F4CDAF9}">
  <dimension ref="A1:U47"/>
  <sheetViews>
    <sheetView zoomScale="70" zoomScaleNormal="70" workbookViewId="0">
      <selection activeCell="A37" sqref="A37:N39"/>
    </sheetView>
  </sheetViews>
  <sheetFormatPr defaultColWidth="8.58203125" defaultRowHeight="17.5" x14ac:dyDescent="0.35"/>
  <cols>
    <col min="1" max="16384" width="8.58203125" style="2"/>
  </cols>
  <sheetData>
    <row r="1" spans="1:21" s="7" customFormat="1" ht="25" x14ac:dyDescent="0.5">
      <c r="A1" s="7" t="s">
        <v>157</v>
      </c>
    </row>
    <row r="4" spans="1:21" x14ac:dyDescent="0.35">
      <c r="S4" s="2" t="s">
        <v>34</v>
      </c>
      <c r="T4" s="2" t="s">
        <v>36</v>
      </c>
      <c r="U4" s="2" t="s">
        <v>32</v>
      </c>
    </row>
    <row r="5" spans="1:21" x14ac:dyDescent="0.35">
      <c r="R5" s="2" t="s">
        <v>158</v>
      </c>
      <c r="S5" s="2">
        <v>-6.54</v>
      </c>
      <c r="T5" s="2">
        <v>-0.13</v>
      </c>
      <c r="U5" s="2">
        <v>-1.61</v>
      </c>
    </row>
    <row r="6" spans="1:21" x14ac:dyDescent="0.35">
      <c r="R6" s="2" t="s">
        <v>159</v>
      </c>
      <c r="S6" s="2">
        <v>0.4</v>
      </c>
      <c r="T6" s="2">
        <v>7.99</v>
      </c>
      <c r="U6" s="2">
        <v>0.2</v>
      </c>
    </row>
    <row r="36" spans="1:14" x14ac:dyDescent="0.35">
      <c r="A36" s="2" t="s">
        <v>16</v>
      </c>
    </row>
    <row r="37" spans="1:14" x14ac:dyDescent="0.35">
      <c r="A37" s="61" t="s">
        <v>160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1F22EB1B-9C63-40C7-B8C3-1986A64B13D9}"/>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D3B66-C28A-4A1F-BACD-9390CA829AAD}">
  <dimension ref="A1:W47"/>
  <sheetViews>
    <sheetView zoomScale="70" zoomScaleNormal="70" workbookViewId="0">
      <selection activeCell="P35" sqref="P35"/>
    </sheetView>
  </sheetViews>
  <sheetFormatPr defaultColWidth="8.58203125" defaultRowHeight="17.5" x14ac:dyDescent="0.35"/>
  <cols>
    <col min="1" max="17" width="8.58203125" style="2"/>
    <col min="18" max="18" width="9" style="2" bestFit="1" customWidth="1"/>
    <col min="19" max="16384" width="8.58203125" style="2"/>
  </cols>
  <sheetData>
    <row r="1" spans="1:23" s="7" customFormat="1" ht="25" x14ac:dyDescent="0.5">
      <c r="A1" s="7" t="s">
        <v>161</v>
      </c>
    </row>
    <row r="3" spans="1:23" x14ac:dyDescent="0.35">
      <c r="S3" s="2" t="s">
        <v>36</v>
      </c>
      <c r="T3" s="2" t="s">
        <v>35</v>
      </c>
      <c r="U3" s="2" t="s">
        <v>33</v>
      </c>
      <c r="V3" s="2" t="s">
        <v>162</v>
      </c>
      <c r="W3" s="2" t="s">
        <v>34</v>
      </c>
    </row>
    <row r="4" spans="1:23" x14ac:dyDescent="0.35">
      <c r="R4" s="12">
        <v>43800</v>
      </c>
      <c r="S4" s="11">
        <v>6</v>
      </c>
      <c r="T4" s="11">
        <v>5.15</v>
      </c>
      <c r="U4" s="11">
        <v>6</v>
      </c>
      <c r="V4" s="11">
        <v>13.25</v>
      </c>
      <c r="W4" s="11">
        <v>7</v>
      </c>
    </row>
    <row r="5" spans="1:23" x14ac:dyDescent="0.35">
      <c r="R5" s="12">
        <v>45292</v>
      </c>
      <c r="S5" s="11">
        <v>8</v>
      </c>
      <c r="T5" s="11">
        <v>6.5</v>
      </c>
      <c r="U5" s="11">
        <v>7</v>
      </c>
      <c r="V5" s="11">
        <v>22</v>
      </c>
      <c r="W5" s="11">
        <v>9</v>
      </c>
    </row>
    <row r="6" spans="1:23" x14ac:dyDescent="0.35">
      <c r="R6" s="12">
        <v>45323</v>
      </c>
      <c r="S6" s="11">
        <v>8</v>
      </c>
      <c r="T6" s="11">
        <v>6.5</v>
      </c>
      <c r="U6" s="11">
        <v>7</v>
      </c>
      <c r="V6" s="11">
        <v>22</v>
      </c>
      <c r="W6" s="11">
        <v>9</v>
      </c>
    </row>
    <row r="7" spans="1:23" x14ac:dyDescent="0.35">
      <c r="R7" s="12">
        <v>45352</v>
      </c>
      <c r="S7" s="11">
        <v>8</v>
      </c>
      <c r="T7" s="11">
        <v>6.5</v>
      </c>
      <c r="U7" s="11">
        <v>7</v>
      </c>
      <c r="V7" s="11">
        <v>22</v>
      </c>
      <c r="W7" s="11">
        <v>8.5</v>
      </c>
    </row>
    <row r="8" spans="1:23" x14ac:dyDescent="0.35">
      <c r="R8" s="12">
        <v>45383</v>
      </c>
      <c r="S8" s="11">
        <v>8</v>
      </c>
      <c r="T8" s="11">
        <v>6.5</v>
      </c>
      <c r="U8" s="11">
        <v>7</v>
      </c>
      <c r="V8" s="11">
        <v>22</v>
      </c>
      <c r="W8" s="11">
        <v>8.5</v>
      </c>
    </row>
    <row r="9" spans="1:23" x14ac:dyDescent="0.35">
      <c r="R9" s="12">
        <v>45413</v>
      </c>
      <c r="S9" s="11">
        <v>8.5</v>
      </c>
      <c r="T9" s="11">
        <v>6.5</v>
      </c>
      <c r="U9" s="11">
        <v>7</v>
      </c>
      <c r="V9" s="11">
        <v>22</v>
      </c>
      <c r="W9" s="11">
        <v>8.5</v>
      </c>
    </row>
    <row r="10" spans="1:23" x14ac:dyDescent="0.35">
      <c r="R10" s="12">
        <v>45444</v>
      </c>
      <c r="S10" s="11">
        <v>8.5</v>
      </c>
      <c r="T10" s="11">
        <v>6.5</v>
      </c>
      <c r="U10" s="11">
        <v>7</v>
      </c>
      <c r="V10" s="11">
        <v>20.5</v>
      </c>
      <c r="W10" s="11">
        <v>8.5</v>
      </c>
    </row>
    <row r="11" spans="1:23" x14ac:dyDescent="0.35">
      <c r="R11" s="12">
        <v>45474</v>
      </c>
      <c r="S11" s="11">
        <v>8.5</v>
      </c>
      <c r="T11" s="11">
        <v>6.5</v>
      </c>
      <c r="U11" s="11">
        <v>6.5</v>
      </c>
      <c r="V11" s="11">
        <v>19.5</v>
      </c>
      <c r="W11" s="11">
        <v>8.25</v>
      </c>
    </row>
    <row r="12" spans="1:23" x14ac:dyDescent="0.35">
      <c r="R12" s="12">
        <v>45505</v>
      </c>
      <c r="S12" s="11">
        <v>9</v>
      </c>
      <c r="T12" s="11">
        <v>6.5</v>
      </c>
      <c r="U12" s="11">
        <v>6.5</v>
      </c>
      <c r="V12" s="11">
        <v>19.5</v>
      </c>
      <c r="W12" s="11">
        <v>8.25</v>
      </c>
    </row>
    <row r="13" spans="1:23" x14ac:dyDescent="0.35">
      <c r="R13" s="12">
        <v>45536</v>
      </c>
      <c r="S13" s="11">
        <v>9</v>
      </c>
      <c r="T13" s="11">
        <v>6.5</v>
      </c>
      <c r="U13" s="11">
        <v>6.5</v>
      </c>
      <c r="V13" s="11">
        <v>17.5</v>
      </c>
      <c r="W13" s="11">
        <v>8.25</v>
      </c>
    </row>
    <row r="36" spans="1:14" x14ac:dyDescent="0.35">
      <c r="A36" s="2" t="s">
        <v>163</v>
      </c>
    </row>
    <row r="37" spans="1:14" x14ac:dyDescent="0.35">
      <c r="A37" s="62" t="s">
        <v>164</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47" spans="1:14" x14ac:dyDescent="0.35">
      <c r="A47" s="32" t="s">
        <v>601</v>
      </c>
    </row>
  </sheetData>
  <mergeCells count="1">
    <mergeCell ref="A37:N38"/>
  </mergeCells>
  <hyperlinks>
    <hyperlink ref="A47" location="'Read Me'!A1" display="Return to Read Me" xr:uid="{B8E8572A-236A-4877-9B9A-1F982F5305B7}"/>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96B98-83DF-4692-8B9A-2B51A70B8F1B}">
  <dimension ref="A1:T47"/>
  <sheetViews>
    <sheetView zoomScale="70" zoomScaleNormal="70" workbookViewId="0">
      <selection activeCell="AA37" sqref="AA37"/>
    </sheetView>
  </sheetViews>
  <sheetFormatPr defaultColWidth="8.58203125" defaultRowHeight="17.5" x14ac:dyDescent="0.35"/>
  <cols>
    <col min="1" max="16384" width="8.58203125" style="2"/>
  </cols>
  <sheetData>
    <row r="1" spans="1:20" s="7" customFormat="1" ht="25" x14ac:dyDescent="0.5">
      <c r="A1" s="7" t="s">
        <v>165</v>
      </c>
    </row>
    <row r="3" spans="1:20" x14ac:dyDescent="0.35">
      <c r="R3" s="19"/>
      <c r="S3" s="19" t="s">
        <v>166</v>
      </c>
      <c r="T3" s="19" t="s">
        <v>167</v>
      </c>
    </row>
    <row r="4" spans="1:20" x14ac:dyDescent="0.35">
      <c r="R4" s="19" t="s">
        <v>82</v>
      </c>
      <c r="S4" s="19">
        <v>-0.25</v>
      </c>
      <c r="T4" s="19">
        <v>95.64</v>
      </c>
    </row>
    <row r="5" spans="1:20" x14ac:dyDescent="0.35">
      <c r="R5" s="19" t="s">
        <v>83</v>
      </c>
      <c r="S5" s="19">
        <v>-0.16</v>
      </c>
      <c r="T5" s="19">
        <v>117.95</v>
      </c>
    </row>
    <row r="6" spans="1:20" x14ac:dyDescent="0.35">
      <c r="R6" s="19" t="s">
        <v>84</v>
      </c>
      <c r="S6" s="19">
        <v>-0.11</v>
      </c>
      <c r="T6" s="19">
        <v>128.91</v>
      </c>
    </row>
    <row r="7" spans="1:20" x14ac:dyDescent="0.35">
      <c r="R7" s="19" t="s">
        <v>85</v>
      </c>
      <c r="S7" s="19">
        <v>-0.2</v>
      </c>
      <c r="T7" s="19">
        <v>101.3</v>
      </c>
    </row>
    <row r="8" spans="1:20" x14ac:dyDescent="0.35">
      <c r="R8" s="19" t="s">
        <v>86</v>
      </c>
      <c r="S8" s="19">
        <v>-0.22</v>
      </c>
      <c r="T8" s="19">
        <v>93.97</v>
      </c>
    </row>
    <row r="9" spans="1:20" x14ac:dyDescent="0.35">
      <c r="R9" s="19" t="s">
        <v>87</v>
      </c>
      <c r="S9" s="19">
        <v>-0.31</v>
      </c>
      <c r="T9" s="19">
        <v>87.15</v>
      </c>
    </row>
    <row r="10" spans="1:20" x14ac:dyDescent="0.35">
      <c r="R10" s="19" t="s">
        <v>88</v>
      </c>
      <c r="S10" s="19">
        <v>-0.33</v>
      </c>
      <c r="T10" s="19">
        <v>86.55</v>
      </c>
    </row>
    <row r="11" spans="1:20" x14ac:dyDescent="0.35">
      <c r="R11" s="19" t="s">
        <v>89</v>
      </c>
      <c r="S11" s="19">
        <v>-0.16</v>
      </c>
      <c r="T11" s="19">
        <v>93.37</v>
      </c>
    </row>
    <row r="12" spans="1:20" x14ac:dyDescent="0.35">
      <c r="R12" s="19" t="s">
        <v>90</v>
      </c>
      <c r="S12" s="19">
        <v>-0.2</v>
      </c>
      <c r="T12" s="19">
        <v>76.86</v>
      </c>
    </row>
    <row r="13" spans="1:20" x14ac:dyDescent="0.35">
      <c r="R13" s="19" t="s">
        <v>91</v>
      </c>
      <c r="S13" s="19">
        <v>-0.25</v>
      </c>
      <c r="T13" s="19">
        <v>76.11</v>
      </c>
    </row>
    <row r="14" spans="1:20" x14ac:dyDescent="0.35">
      <c r="R14" s="19" t="s">
        <v>92</v>
      </c>
      <c r="S14" s="19">
        <v>-0.25</v>
      </c>
      <c r="T14" s="19">
        <v>60.37</v>
      </c>
    </row>
    <row r="15" spans="1:20" x14ac:dyDescent="0.35">
      <c r="R15" s="19" t="s">
        <v>93</v>
      </c>
      <c r="S15" s="19">
        <v>-0.28999999999999998</v>
      </c>
      <c r="T15" s="19">
        <v>60.22</v>
      </c>
    </row>
    <row r="16" spans="1:20" x14ac:dyDescent="0.35">
      <c r="R16" s="19" t="s">
        <v>94</v>
      </c>
      <c r="S16" s="19">
        <v>-0.34</v>
      </c>
      <c r="T16" s="19">
        <v>68.39</v>
      </c>
    </row>
    <row r="17" spans="18:20" x14ac:dyDescent="0.35">
      <c r="R17" s="19" t="s">
        <v>95</v>
      </c>
      <c r="S17" s="19">
        <v>-0.36</v>
      </c>
      <c r="T17" s="19">
        <v>65.75</v>
      </c>
    </row>
    <row r="18" spans="18:20" x14ac:dyDescent="0.35">
      <c r="R18" s="19" t="s">
        <v>96</v>
      </c>
      <c r="S18" s="19">
        <v>-0.33</v>
      </c>
      <c r="T18" s="19">
        <v>81.72</v>
      </c>
    </row>
    <row r="19" spans="18:20" x14ac:dyDescent="0.35">
      <c r="R19" s="19" t="s">
        <v>97</v>
      </c>
      <c r="S19" s="19">
        <v>-0.38</v>
      </c>
      <c r="T19" s="19">
        <v>60.73</v>
      </c>
    </row>
    <row r="20" spans="18:20" x14ac:dyDescent="0.35">
      <c r="R20" s="19" t="s">
        <v>98</v>
      </c>
      <c r="S20" s="19">
        <v>-0.46</v>
      </c>
      <c r="T20" s="19">
        <v>54.87</v>
      </c>
    </row>
    <row r="21" spans="18:20" x14ac:dyDescent="0.35">
      <c r="R21" s="19" t="s">
        <v>99</v>
      </c>
      <c r="S21" s="19">
        <v>-0.49</v>
      </c>
      <c r="T21" s="19">
        <v>57.79</v>
      </c>
    </row>
    <row r="22" spans="18:20" x14ac:dyDescent="0.35">
      <c r="R22" s="19" t="s">
        <v>100</v>
      </c>
      <c r="S22" s="19">
        <v>-0.48</v>
      </c>
      <c r="T22" s="19">
        <v>60.15</v>
      </c>
    </row>
    <row r="23" spans="18:20" x14ac:dyDescent="0.35">
      <c r="R23" s="19" t="s">
        <v>101</v>
      </c>
      <c r="S23" s="19">
        <v>-0.48</v>
      </c>
      <c r="T23" s="19">
        <v>59.48</v>
      </c>
    </row>
    <row r="24" spans="18:20" x14ac:dyDescent="0.35">
      <c r="R24" s="19" t="s">
        <v>102</v>
      </c>
      <c r="S24" s="19">
        <v>-0.47</v>
      </c>
      <c r="T24" s="19">
        <v>69.62</v>
      </c>
    </row>
    <row r="25" spans="18:20" x14ac:dyDescent="0.35">
      <c r="R25" s="19" t="s">
        <v>103</v>
      </c>
      <c r="S25" s="19">
        <v>-0.51</v>
      </c>
      <c r="T25" s="19">
        <v>56.47</v>
      </c>
    </row>
    <row r="26" spans="18:20" x14ac:dyDescent="0.35">
      <c r="R26" s="19" t="s">
        <v>104</v>
      </c>
      <c r="S26" s="19">
        <v>-0.52</v>
      </c>
      <c r="T26" s="19">
        <v>54.69</v>
      </c>
    </row>
    <row r="27" spans="18:20" x14ac:dyDescent="0.35">
      <c r="R27" s="19" t="s">
        <v>105</v>
      </c>
      <c r="S27" s="19">
        <v>-0.52</v>
      </c>
      <c r="T27" s="19">
        <v>62.42</v>
      </c>
    </row>
    <row r="28" spans="18:20" x14ac:dyDescent="0.35">
      <c r="R28" s="19" t="s">
        <v>106</v>
      </c>
      <c r="S28" s="19">
        <v>-0.51</v>
      </c>
      <c r="T28" s="19">
        <v>83.31</v>
      </c>
    </row>
    <row r="29" spans="18:20" x14ac:dyDescent="0.35">
      <c r="R29" s="20" t="s">
        <v>168</v>
      </c>
      <c r="S29" s="19">
        <v>-0.55000000000000004</v>
      </c>
      <c r="T29" s="19">
        <v>79.819999999999993</v>
      </c>
    </row>
    <row r="36" spans="1:14" x14ac:dyDescent="0.35">
      <c r="A36" s="2" t="s">
        <v>169</v>
      </c>
    </row>
    <row r="37" spans="1:14" ht="17.5" customHeight="1" x14ac:dyDescent="0.35">
      <c r="A37" s="61" t="s">
        <v>170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7" spans="1:14" x14ac:dyDescent="0.35">
      <c r="A47" s="32" t="s">
        <v>601</v>
      </c>
    </row>
  </sheetData>
  <mergeCells count="1">
    <mergeCell ref="A37:N41"/>
  </mergeCells>
  <hyperlinks>
    <hyperlink ref="A47" location="'Read Me'!A1" display="Return to Read Me" xr:uid="{C827B64C-D7CB-4A78-A4ED-8B56FB4DDD34}"/>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E738-BDCB-4502-BD09-4A52D25A587F}">
  <dimension ref="A1:T145"/>
  <sheetViews>
    <sheetView zoomScale="70" zoomScaleNormal="70" workbookViewId="0">
      <selection activeCell="T4" sqref="T4"/>
    </sheetView>
  </sheetViews>
  <sheetFormatPr defaultColWidth="8.58203125" defaultRowHeight="17.5" x14ac:dyDescent="0.35"/>
  <cols>
    <col min="1" max="16384" width="8.58203125" style="2"/>
  </cols>
  <sheetData>
    <row r="1" spans="1:20" s="7" customFormat="1" ht="25" x14ac:dyDescent="0.5">
      <c r="A1" s="7" t="s">
        <v>171</v>
      </c>
    </row>
    <row r="3" spans="1:20" x14ac:dyDescent="0.35">
      <c r="S3" s="2" t="s">
        <v>173</v>
      </c>
      <c r="T3" s="2" t="s">
        <v>172</v>
      </c>
    </row>
    <row r="4" spans="1:20" x14ac:dyDescent="0.35">
      <c r="R4" s="2" t="s">
        <v>101</v>
      </c>
      <c r="S4" s="4">
        <v>4.33</v>
      </c>
      <c r="T4" s="4">
        <v>4.9400000000000004</v>
      </c>
    </row>
    <row r="5" spans="1:20" x14ac:dyDescent="0.35">
      <c r="R5" s="2" t="s">
        <v>101</v>
      </c>
      <c r="S5" s="4">
        <v>4.3600000000000003</v>
      </c>
      <c r="T5" s="4">
        <v>4.9800000000000004</v>
      </c>
    </row>
    <row r="6" spans="1:20" x14ac:dyDescent="0.35">
      <c r="R6" s="2" t="s">
        <v>101</v>
      </c>
      <c r="S6" s="4">
        <v>4.2699999999999996</v>
      </c>
      <c r="T6" s="4">
        <v>4.9400000000000004</v>
      </c>
    </row>
    <row r="7" spans="1:20" x14ac:dyDescent="0.35">
      <c r="R7" s="2" t="s">
        <v>101</v>
      </c>
      <c r="S7" s="4">
        <v>4.24</v>
      </c>
      <c r="T7" s="4">
        <v>4.95</v>
      </c>
    </row>
    <row r="8" spans="1:20" x14ac:dyDescent="0.35">
      <c r="R8" s="2" t="s">
        <v>101</v>
      </c>
      <c r="S8" s="4">
        <v>4.25</v>
      </c>
      <c r="T8" s="4">
        <v>4.93</v>
      </c>
    </row>
    <row r="9" spans="1:20" x14ac:dyDescent="0.35">
      <c r="R9" s="2" t="s">
        <v>101</v>
      </c>
      <c r="S9" s="4">
        <v>4.26</v>
      </c>
      <c r="T9" s="4">
        <v>4.92</v>
      </c>
    </row>
    <row r="10" spans="1:20" x14ac:dyDescent="0.35">
      <c r="R10" s="2" t="s">
        <v>101</v>
      </c>
      <c r="S10" s="4">
        <v>4.26</v>
      </c>
      <c r="T10" s="4">
        <v>4.95</v>
      </c>
    </row>
    <row r="11" spans="1:20" x14ac:dyDescent="0.35">
      <c r="R11" s="2" t="s">
        <v>101</v>
      </c>
      <c r="S11" s="4">
        <v>4.3099999999999996</v>
      </c>
      <c r="T11" s="4">
        <v>5</v>
      </c>
    </row>
    <row r="12" spans="1:20" x14ac:dyDescent="0.35">
      <c r="R12" s="2" t="s">
        <v>101</v>
      </c>
      <c r="S12" s="4">
        <v>4.3499999999999996</v>
      </c>
      <c r="T12" s="4">
        <v>5.01</v>
      </c>
    </row>
    <row r="13" spans="1:20" x14ac:dyDescent="0.35">
      <c r="R13" s="2" t="s">
        <v>101</v>
      </c>
      <c r="S13" s="4">
        <v>4.4400000000000004</v>
      </c>
      <c r="T13" s="4">
        <v>5.04</v>
      </c>
    </row>
    <row r="14" spans="1:20" x14ac:dyDescent="0.35">
      <c r="R14" s="2" t="s">
        <v>101</v>
      </c>
      <c r="S14" s="4">
        <v>4.43</v>
      </c>
      <c r="T14" s="4">
        <v>5.05</v>
      </c>
    </row>
    <row r="15" spans="1:20" x14ac:dyDescent="0.35">
      <c r="R15" s="2" t="s">
        <v>101</v>
      </c>
      <c r="S15" s="4">
        <v>4.46</v>
      </c>
      <c r="T15" s="4">
        <v>5.0599999999999996</v>
      </c>
    </row>
    <row r="16" spans="1:20" x14ac:dyDescent="0.35">
      <c r="R16" s="2" t="s">
        <v>101</v>
      </c>
      <c r="S16" s="4">
        <v>4.4400000000000004</v>
      </c>
      <c r="T16" s="4">
        <v>5.0599999999999996</v>
      </c>
    </row>
    <row r="17" spans="18:20" x14ac:dyDescent="0.35">
      <c r="R17" s="2" t="s">
        <v>101</v>
      </c>
      <c r="S17" s="4">
        <v>4.45</v>
      </c>
      <c r="T17" s="4">
        <v>5.01</v>
      </c>
    </row>
    <row r="18" spans="18:20" x14ac:dyDescent="0.35">
      <c r="R18" s="2" t="s">
        <v>101</v>
      </c>
      <c r="S18" s="4">
        <v>4.4400000000000004</v>
      </c>
      <c r="T18" s="4">
        <v>5.01</v>
      </c>
    </row>
    <row r="19" spans="18:20" x14ac:dyDescent="0.35">
      <c r="R19" s="2" t="s">
        <v>101</v>
      </c>
      <c r="S19" s="4">
        <v>4.3899999999999997</v>
      </c>
      <c r="T19" s="4">
        <v>4.9800000000000004</v>
      </c>
    </row>
    <row r="20" spans="18:20" x14ac:dyDescent="0.35">
      <c r="R20" s="2" t="s">
        <v>101</v>
      </c>
      <c r="S20" s="4">
        <v>4.42</v>
      </c>
      <c r="T20" s="4">
        <v>5</v>
      </c>
    </row>
    <row r="21" spans="18:20" x14ac:dyDescent="0.35">
      <c r="R21" s="2" t="s">
        <v>101</v>
      </c>
      <c r="S21" s="4">
        <v>4.4000000000000004</v>
      </c>
      <c r="T21" s="4">
        <v>5</v>
      </c>
    </row>
    <row r="22" spans="18:20" x14ac:dyDescent="0.35">
      <c r="R22" s="2" t="s">
        <v>101</v>
      </c>
      <c r="S22" s="4">
        <v>4.3600000000000003</v>
      </c>
      <c r="T22" s="4">
        <v>4.99</v>
      </c>
    </row>
    <row r="23" spans="18:20" x14ac:dyDescent="0.35">
      <c r="R23" s="2" t="s">
        <v>101</v>
      </c>
      <c r="S23" s="4">
        <v>4.34</v>
      </c>
      <c r="T23" s="4">
        <v>5.03</v>
      </c>
    </row>
    <row r="24" spans="18:20" x14ac:dyDescent="0.35">
      <c r="R24" s="2" t="s">
        <v>101</v>
      </c>
      <c r="S24" s="4" t="e">
        <v>#N/A</v>
      </c>
      <c r="T24" s="4" t="e">
        <v>#N/A</v>
      </c>
    </row>
    <row r="25" spans="18:20" x14ac:dyDescent="0.35">
      <c r="R25" s="2" t="s">
        <v>102</v>
      </c>
      <c r="S25" s="4">
        <v>4.47</v>
      </c>
      <c r="T25" s="4">
        <v>5.0599999999999996</v>
      </c>
    </row>
    <row r="26" spans="18:20" x14ac:dyDescent="0.35">
      <c r="R26" s="2" t="s">
        <v>102</v>
      </c>
      <c r="S26" s="4">
        <v>4.51</v>
      </c>
      <c r="T26" s="4">
        <v>5.05</v>
      </c>
    </row>
    <row r="27" spans="18:20" x14ac:dyDescent="0.35">
      <c r="R27" s="2" t="s">
        <v>102</v>
      </c>
      <c r="S27" s="4">
        <v>4.51</v>
      </c>
      <c r="T27" s="4">
        <v>5.03</v>
      </c>
    </row>
    <row r="28" spans="18:20" x14ac:dyDescent="0.35">
      <c r="R28" s="2" t="s">
        <v>102</v>
      </c>
      <c r="S28" s="4">
        <v>4.47</v>
      </c>
      <c r="T28" s="4">
        <v>5</v>
      </c>
    </row>
    <row r="29" spans="18:20" x14ac:dyDescent="0.35">
      <c r="R29" s="2" t="s">
        <v>102</v>
      </c>
      <c r="S29" s="4">
        <v>4.54</v>
      </c>
      <c r="T29" s="4">
        <v>5.05</v>
      </c>
    </row>
    <row r="30" spans="18:20" x14ac:dyDescent="0.35">
      <c r="R30" s="2" t="s">
        <v>102</v>
      </c>
      <c r="S30" s="4">
        <v>4.55</v>
      </c>
      <c r="T30" s="4">
        <v>5.07</v>
      </c>
    </row>
    <row r="31" spans="18:20" x14ac:dyDescent="0.35">
      <c r="R31" s="2" t="s">
        <v>102</v>
      </c>
      <c r="S31" s="4">
        <v>4.5</v>
      </c>
      <c r="T31" s="4">
        <v>5.03</v>
      </c>
    </row>
    <row r="32" spans="18:20" x14ac:dyDescent="0.35">
      <c r="R32" s="2" t="s">
        <v>102</v>
      </c>
      <c r="S32" s="4">
        <v>4.6399999999999997</v>
      </c>
      <c r="T32" s="4">
        <v>5.19</v>
      </c>
    </row>
    <row r="33" spans="1:20" x14ac:dyDescent="0.35">
      <c r="R33" s="2" t="s">
        <v>102</v>
      </c>
      <c r="S33" s="4">
        <v>4.6500000000000004</v>
      </c>
      <c r="T33" s="4">
        <v>5.17</v>
      </c>
    </row>
    <row r="34" spans="1:20" x14ac:dyDescent="0.35">
      <c r="R34" s="2" t="s">
        <v>102</v>
      </c>
      <c r="S34" s="4">
        <v>4.6100000000000003</v>
      </c>
      <c r="T34" s="4">
        <v>5.13</v>
      </c>
    </row>
    <row r="35" spans="1:20" x14ac:dyDescent="0.35">
      <c r="R35" s="2" t="s">
        <v>102</v>
      </c>
      <c r="S35" s="4">
        <v>4.74</v>
      </c>
      <c r="T35" s="4">
        <v>5.16</v>
      </c>
    </row>
    <row r="36" spans="1:20" x14ac:dyDescent="0.35">
      <c r="A36" s="2" t="s">
        <v>16</v>
      </c>
      <c r="R36" s="2" t="s">
        <v>102</v>
      </c>
      <c r="S36" s="4">
        <v>4.7699999999999996</v>
      </c>
      <c r="T36" s="4">
        <v>5.18</v>
      </c>
    </row>
    <row r="37" spans="1:20" ht="17.5" customHeight="1" x14ac:dyDescent="0.35">
      <c r="A37" s="61" t="s">
        <v>602</v>
      </c>
      <c r="B37" s="61"/>
      <c r="C37" s="61"/>
      <c r="D37" s="61"/>
      <c r="E37" s="61"/>
      <c r="F37" s="61"/>
      <c r="G37" s="61"/>
      <c r="H37" s="61"/>
      <c r="I37" s="61"/>
      <c r="J37" s="61"/>
      <c r="K37" s="61"/>
      <c r="L37" s="61"/>
      <c r="M37" s="61"/>
      <c r="N37" s="61"/>
      <c r="R37" s="2" t="s">
        <v>102</v>
      </c>
      <c r="S37" s="4">
        <v>4.71</v>
      </c>
      <c r="T37" s="4">
        <v>5.16</v>
      </c>
    </row>
    <row r="38" spans="1:20" x14ac:dyDescent="0.35">
      <c r="A38" s="61"/>
      <c r="B38" s="61"/>
      <c r="C38" s="61"/>
      <c r="D38" s="61"/>
      <c r="E38" s="61"/>
      <c r="F38" s="61"/>
      <c r="G38" s="61"/>
      <c r="H38" s="61"/>
      <c r="I38" s="61"/>
      <c r="J38" s="61"/>
      <c r="K38" s="61"/>
      <c r="L38" s="61"/>
      <c r="M38" s="61"/>
      <c r="N38" s="61"/>
      <c r="R38" s="2" t="s">
        <v>102</v>
      </c>
      <c r="S38" s="4">
        <v>4.74</v>
      </c>
      <c r="T38" s="4">
        <v>5.18</v>
      </c>
    </row>
    <row r="39" spans="1:20" x14ac:dyDescent="0.35">
      <c r="A39" s="61"/>
      <c r="B39" s="61"/>
      <c r="C39" s="61"/>
      <c r="D39" s="61"/>
      <c r="E39" s="61"/>
      <c r="F39" s="61"/>
      <c r="G39" s="61"/>
      <c r="H39" s="61"/>
      <c r="I39" s="61"/>
      <c r="J39" s="61"/>
      <c r="K39" s="61"/>
      <c r="L39" s="61"/>
      <c r="M39" s="61"/>
      <c r="N39" s="61"/>
      <c r="R39" s="2" t="s">
        <v>102</v>
      </c>
      <c r="S39" s="4">
        <v>4.72</v>
      </c>
      <c r="T39" s="4">
        <v>5.17</v>
      </c>
    </row>
    <row r="40" spans="1:20" x14ac:dyDescent="0.35">
      <c r="R40" s="2" t="s">
        <v>102</v>
      </c>
      <c r="S40" s="4">
        <v>4.72</v>
      </c>
      <c r="T40" s="4">
        <v>5.16</v>
      </c>
    </row>
    <row r="41" spans="1:20" x14ac:dyDescent="0.35">
      <c r="R41" s="2" t="s">
        <v>102</v>
      </c>
      <c r="S41" s="4">
        <v>4.7300000000000004</v>
      </c>
      <c r="T41" s="4">
        <v>5.14</v>
      </c>
    </row>
    <row r="42" spans="1:20" x14ac:dyDescent="0.35">
      <c r="R42" s="2" t="s">
        <v>102</v>
      </c>
      <c r="S42" s="4">
        <v>4.78</v>
      </c>
      <c r="T42" s="4">
        <v>5.17</v>
      </c>
    </row>
    <row r="43" spans="1:20" x14ac:dyDescent="0.35">
      <c r="R43" s="2" t="s">
        <v>102</v>
      </c>
      <c r="S43" s="4">
        <v>4.82</v>
      </c>
      <c r="T43" s="4">
        <v>5.21</v>
      </c>
    </row>
    <row r="44" spans="1:20" x14ac:dyDescent="0.35">
      <c r="R44" s="2" t="s">
        <v>102</v>
      </c>
      <c r="S44" s="4">
        <v>4.78</v>
      </c>
      <c r="T44" s="4">
        <v>5.21</v>
      </c>
    </row>
    <row r="45" spans="1:20" x14ac:dyDescent="0.35">
      <c r="R45" s="2" t="s">
        <v>102</v>
      </c>
      <c r="S45" s="4">
        <v>4.75</v>
      </c>
      <c r="T45" s="4">
        <v>5.2</v>
      </c>
    </row>
    <row r="46" spans="1:20" x14ac:dyDescent="0.35">
      <c r="R46" s="2" t="s">
        <v>102</v>
      </c>
      <c r="S46" s="4">
        <v>4.79</v>
      </c>
      <c r="T46" s="4">
        <v>5.25</v>
      </c>
    </row>
    <row r="47" spans="1:20" x14ac:dyDescent="0.35">
      <c r="A47" s="32" t="s">
        <v>601</v>
      </c>
      <c r="R47" s="2" t="s">
        <v>103</v>
      </c>
      <c r="S47" s="4">
        <v>4.74</v>
      </c>
      <c r="T47" s="4">
        <v>5.21</v>
      </c>
    </row>
    <row r="48" spans="1:20" x14ac:dyDescent="0.35">
      <c r="R48" s="2" t="s">
        <v>103</v>
      </c>
      <c r="S48" s="4">
        <v>4.72</v>
      </c>
      <c r="T48" s="4">
        <v>5.16</v>
      </c>
    </row>
    <row r="49" spans="18:20" x14ac:dyDescent="0.35">
      <c r="R49" s="2" t="s">
        <v>103</v>
      </c>
      <c r="S49" s="4">
        <v>4.66</v>
      </c>
      <c r="T49" s="4">
        <v>5.12</v>
      </c>
    </row>
    <row r="50" spans="18:20" x14ac:dyDescent="0.35">
      <c r="R50" s="2" t="s">
        <v>103</v>
      </c>
      <c r="S50" s="4">
        <v>4.6399999999999997</v>
      </c>
      <c r="T50" s="4">
        <v>5.12</v>
      </c>
    </row>
    <row r="51" spans="18:20" x14ac:dyDescent="0.35">
      <c r="R51" s="2" t="s">
        <v>103</v>
      </c>
      <c r="S51" s="4">
        <v>4.6100000000000003</v>
      </c>
      <c r="T51" s="4">
        <v>5.13</v>
      </c>
    </row>
    <row r="52" spans="18:20" x14ac:dyDescent="0.35">
      <c r="R52" s="2" t="s">
        <v>103</v>
      </c>
      <c r="S52" s="4">
        <v>4.6399999999999997</v>
      </c>
      <c r="T52" s="4">
        <v>5.13</v>
      </c>
    </row>
    <row r="53" spans="18:20" x14ac:dyDescent="0.35">
      <c r="R53" s="2" t="s">
        <v>103</v>
      </c>
      <c r="S53" s="4">
        <v>4.5999999999999996</v>
      </c>
      <c r="T53" s="4">
        <v>5.12</v>
      </c>
    </row>
    <row r="54" spans="18:20" x14ac:dyDescent="0.35">
      <c r="R54" s="2" t="s">
        <v>103</v>
      </c>
      <c r="S54" s="4">
        <v>4.6399999999999997</v>
      </c>
      <c r="T54" s="4">
        <v>5.17</v>
      </c>
    </row>
    <row r="55" spans="18:20" x14ac:dyDescent="0.35">
      <c r="R55" s="2" t="s">
        <v>103</v>
      </c>
      <c r="S55" s="4">
        <v>4.63</v>
      </c>
      <c r="T55" s="4">
        <v>5.16</v>
      </c>
    </row>
    <row r="56" spans="18:20" x14ac:dyDescent="0.35">
      <c r="R56" s="2" t="s">
        <v>103</v>
      </c>
      <c r="S56" s="4">
        <v>4.59</v>
      </c>
      <c r="T56" s="4">
        <v>5.16</v>
      </c>
    </row>
    <row r="57" spans="18:20" x14ac:dyDescent="0.35">
      <c r="R57" s="2" t="s">
        <v>103</v>
      </c>
      <c r="S57" s="4">
        <v>4.5199999999999996</v>
      </c>
      <c r="T57" s="4">
        <v>5.0999999999999996</v>
      </c>
    </row>
    <row r="58" spans="18:20" x14ac:dyDescent="0.35">
      <c r="R58" s="2" t="s">
        <v>103</v>
      </c>
      <c r="S58" s="4">
        <v>4.5199999999999996</v>
      </c>
      <c r="T58" s="4">
        <v>5.13</v>
      </c>
    </row>
    <row r="59" spans="18:20" x14ac:dyDescent="0.35">
      <c r="R59" s="2" t="s">
        <v>103</v>
      </c>
      <c r="S59" s="4">
        <v>4.5599999999999996</v>
      </c>
      <c r="T59" s="4">
        <v>5.14</v>
      </c>
    </row>
    <row r="60" spans="18:20" x14ac:dyDescent="0.35">
      <c r="R60" s="2" t="s">
        <v>103</v>
      </c>
      <c r="S60" s="4">
        <v>4.58</v>
      </c>
      <c r="T60" s="4">
        <v>5.15</v>
      </c>
    </row>
    <row r="61" spans="18:20" x14ac:dyDescent="0.35">
      <c r="R61" s="2" t="s">
        <v>103</v>
      </c>
      <c r="S61" s="4">
        <v>4.55</v>
      </c>
      <c r="T61" s="4">
        <v>5.14</v>
      </c>
    </row>
    <row r="62" spans="18:20" x14ac:dyDescent="0.35">
      <c r="R62" s="2" t="s">
        <v>103</v>
      </c>
      <c r="S62" s="4">
        <v>4.55</v>
      </c>
      <c r="T62" s="4">
        <v>5.16</v>
      </c>
    </row>
    <row r="63" spans="18:20" x14ac:dyDescent="0.35">
      <c r="R63" s="2" t="s">
        <v>103</v>
      </c>
      <c r="S63" s="4">
        <v>4.58</v>
      </c>
      <c r="T63" s="4">
        <v>5.2</v>
      </c>
    </row>
    <row r="64" spans="18:20" x14ac:dyDescent="0.35">
      <c r="R64" s="2" t="s">
        <v>103</v>
      </c>
      <c r="S64" s="4">
        <v>4.57</v>
      </c>
      <c r="T64" s="4">
        <v>5.21</v>
      </c>
    </row>
    <row r="65" spans="18:20" x14ac:dyDescent="0.35">
      <c r="R65" s="2" t="s">
        <v>103</v>
      </c>
      <c r="S65" s="4" t="e">
        <v>#N/A</v>
      </c>
      <c r="T65" s="4" t="e">
        <v>#N/A</v>
      </c>
    </row>
    <row r="66" spans="18:20" x14ac:dyDescent="0.35">
      <c r="R66" s="2" t="s">
        <v>103</v>
      </c>
      <c r="S66" s="4">
        <v>4.66</v>
      </c>
      <c r="T66" s="4">
        <v>5.21</v>
      </c>
    </row>
    <row r="67" spans="18:20" x14ac:dyDescent="0.35">
      <c r="R67" s="2" t="s">
        <v>103</v>
      </c>
      <c r="S67" s="4">
        <v>4.74</v>
      </c>
      <c r="T67" s="4">
        <v>5.22</v>
      </c>
    </row>
    <row r="68" spans="18:20" x14ac:dyDescent="0.35">
      <c r="R68" s="2" t="s">
        <v>103</v>
      </c>
      <c r="S68" s="4">
        <v>4.6900000000000004</v>
      </c>
      <c r="T68" s="4">
        <v>5.19</v>
      </c>
    </row>
    <row r="69" spans="18:20" x14ac:dyDescent="0.35">
      <c r="R69" s="2" t="s">
        <v>103</v>
      </c>
      <c r="S69" s="4">
        <v>4.6500000000000004</v>
      </c>
      <c r="T69" s="4">
        <v>5.18</v>
      </c>
    </row>
    <row r="70" spans="18:20" x14ac:dyDescent="0.35">
      <c r="R70" s="2" t="s">
        <v>104</v>
      </c>
      <c r="S70" s="4">
        <v>4.55</v>
      </c>
      <c r="T70" s="4">
        <v>5.14</v>
      </c>
    </row>
    <row r="71" spans="18:20" x14ac:dyDescent="0.35">
      <c r="R71" s="2" t="s">
        <v>104</v>
      </c>
      <c r="S71" s="4">
        <v>4.4800000000000004</v>
      </c>
      <c r="T71" s="4">
        <v>5.1100000000000003</v>
      </c>
    </row>
    <row r="72" spans="18:20" x14ac:dyDescent="0.35">
      <c r="R72" s="2" t="s">
        <v>104</v>
      </c>
      <c r="S72" s="4">
        <v>4.4400000000000004</v>
      </c>
      <c r="T72" s="4">
        <v>5.08</v>
      </c>
    </row>
    <row r="73" spans="18:20" x14ac:dyDescent="0.35">
      <c r="R73" s="2" t="s">
        <v>104</v>
      </c>
      <c r="S73" s="4">
        <v>4.43</v>
      </c>
      <c r="T73" s="4">
        <v>5.08</v>
      </c>
    </row>
    <row r="74" spans="18:20" x14ac:dyDescent="0.35">
      <c r="R74" s="2" t="s">
        <v>104</v>
      </c>
      <c r="S74" s="4">
        <v>4.55</v>
      </c>
      <c r="T74" s="4">
        <v>5.17</v>
      </c>
    </row>
    <row r="75" spans="18:20" x14ac:dyDescent="0.35">
      <c r="R75" s="2" t="s">
        <v>104</v>
      </c>
      <c r="S75" s="4">
        <v>4.59</v>
      </c>
      <c r="T75" s="4">
        <v>5.16</v>
      </c>
    </row>
    <row r="76" spans="18:20" x14ac:dyDescent="0.35">
      <c r="R76" s="2" t="s">
        <v>104</v>
      </c>
      <c r="S76" s="4">
        <v>4.53</v>
      </c>
      <c r="T76" s="4">
        <v>5.17</v>
      </c>
    </row>
    <row r="77" spans="18:20" x14ac:dyDescent="0.35">
      <c r="R77" s="2" t="s">
        <v>104</v>
      </c>
      <c r="S77" s="4">
        <v>4.47</v>
      </c>
      <c r="T77" s="4">
        <v>5.13</v>
      </c>
    </row>
    <row r="78" spans="18:20" x14ac:dyDescent="0.35">
      <c r="R78" s="2" t="s">
        <v>104</v>
      </c>
      <c r="S78" s="4">
        <v>4.4000000000000004</v>
      </c>
      <c r="T78" s="4">
        <v>5.07</v>
      </c>
    </row>
    <row r="79" spans="18:20" x14ac:dyDescent="0.35">
      <c r="R79" s="2" t="s">
        <v>104</v>
      </c>
      <c r="S79" s="4">
        <v>4.34</v>
      </c>
      <c r="T79" s="4">
        <v>5.07</v>
      </c>
    </row>
    <row r="80" spans="18:20" x14ac:dyDescent="0.35">
      <c r="R80" s="2" t="s">
        <v>104</v>
      </c>
      <c r="S80" s="4">
        <v>4.4000000000000004</v>
      </c>
      <c r="T80" s="4">
        <v>5.1100000000000003</v>
      </c>
    </row>
    <row r="81" spans="18:20" x14ac:dyDescent="0.35">
      <c r="R81" s="2" t="s">
        <v>104</v>
      </c>
      <c r="S81" s="4">
        <v>4.3600000000000003</v>
      </c>
      <c r="T81" s="4">
        <v>5.09</v>
      </c>
    </row>
    <row r="82" spans="18:20" x14ac:dyDescent="0.35">
      <c r="R82" s="2" t="s">
        <v>104</v>
      </c>
      <c r="S82" s="4" t="e">
        <v>#N/A</v>
      </c>
      <c r="T82" s="4" t="e">
        <v>#N/A</v>
      </c>
    </row>
    <row r="83" spans="18:20" x14ac:dyDescent="0.35">
      <c r="R83" s="2" t="s">
        <v>104</v>
      </c>
      <c r="S83" s="4">
        <v>4.3899999999999997</v>
      </c>
      <c r="T83" s="4">
        <v>5.0999999999999996</v>
      </c>
    </row>
    <row r="84" spans="18:20" x14ac:dyDescent="0.35">
      <c r="R84" s="2" t="s">
        <v>104</v>
      </c>
      <c r="S84" s="4">
        <v>4.3899999999999997</v>
      </c>
      <c r="T84" s="4">
        <v>5.0999999999999996</v>
      </c>
    </row>
    <row r="85" spans="18:20" x14ac:dyDescent="0.35">
      <c r="R85" s="2" t="s">
        <v>104</v>
      </c>
      <c r="S85" s="4">
        <v>4.38</v>
      </c>
      <c r="T85" s="4">
        <v>5.0999999999999996</v>
      </c>
    </row>
    <row r="86" spans="18:20" x14ac:dyDescent="0.35">
      <c r="R86" s="2" t="s">
        <v>104</v>
      </c>
      <c r="S86" s="4">
        <v>4.3600000000000003</v>
      </c>
      <c r="T86" s="4">
        <v>5.0999999999999996</v>
      </c>
    </row>
    <row r="87" spans="18:20" x14ac:dyDescent="0.35">
      <c r="R87" s="2" t="s">
        <v>104</v>
      </c>
      <c r="S87" s="4">
        <v>4.45</v>
      </c>
      <c r="T87" s="4">
        <v>5.13</v>
      </c>
    </row>
    <row r="88" spans="18:20" x14ac:dyDescent="0.35">
      <c r="R88" s="2" t="s">
        <v>104</v>
      </c>
      <c r="S88" s="4">
        <v>4.43</v>
      </c>
      <c r="T88" s="4">
        <v>5.0999999999999996</v>
      </c>
    </row>
    <row r="89" spans="18:20" x14ac:dyDescent="0.35">
      <c r="R89" s="2" t="s">
        <v>104</v>
      </c>
      <c r="S89" s="4">
        <v>4.51</v>
      </c>
      <c r="T89" s="4">
        <v>5.09</v>
      </c>
    </row>
    <row r="90" spans="18:20" x14ac:dyDescent="0.35">
      <c r="R90" s="2" t="s">
        <v>105</v>
      </c>
      <c r="S90" s="4">
        <v>4.6399999999999997</v>
      </c>
      <c r="T90" s="4">
        <v>5.0999999999999996</v>
      </c>
    </row>
    <row r="91" spans="18:20" x14ac:dyDescent="0.35">
      <c r="R91" s="2" t="s">
        <v>105</v>
      </c>
      <c r="S91" s="4">
        <v>4.5999999999999996</v>
      </c>
      <c r="T91" s="4">
        <v>5.07</v>
      </c>
    </row>
    <row r="92" spans="18:20" x14ac:dyDescent="0.35">
      <c r="R92" s="2" t="s">
        <v>105</v>
      </c>
      <c r="S92" s="4">
        <v>4.53</v>
      </c>
      <c r="T92" s="4">
        <v>5.04</v>
      </c>
    </row>
    <row r="93" spans="18:20" x14ac:dyDescent="0.35">
      <c r="R93" s="2" t="s">
        <v>105</v>
      </c>
      <c r="S93" s="4" t="e">
        <v>#N/A</v>
      </c>
      <c r="T93" s="4" t="e">
        <v>#N/A</v>
      </c>
    </row>
    <row r="94" spans="18:20" x14ac:dyDescent="0.35">
      <c r="R94" s="2" t="s">
        <v>105</v>
      </c>
      <c r="S94" s="4">
        <v>4.47</v>
      </c>
      <c r="T94" s="4">
        <v>4.9800000000000004</v>
      </c>
    </row>
    <row r="95" spans="18:20" x14ac:dyDescent="0.35">
      <c r="R95" s="2" t="s">
        <v>105</v>
      </c>
      <c r="S95" s="4">
        <v>4.46</v>
      </c>
      <c r="T95" s="4">
        <v>4.99</v>
      </c>
    </row>
    <row r="96" spans="18:20" x14ac:dyDescent="0.35">
      <c r="R96" s="2" t="s">
        <v>105</v>
      </c>
      <c r="S96" s="4">
        <v>4.49</v>
      </c>
      <c r="T96" s="4">
        <v>5.0199999999999996</v>
      </c>
    </row>
    <row r="97" spans="18:20" x14ac:dyDescent="0.35">
      <c r="R97" s="2" t="s">
        <v>105</v>
      </c>
      <c r="S97" s="4">
        <v>4.47</v>
      </c>
      <c r="T97" s="4">
        <v>5.01</v>
      </c>
    </row>
    <row r="98" spans="18:20" x14ac:dyDescent="0.35">
      <c r="R98" s="2" t="s">
        <v>105</v>
      </c>
      <c r="S98" s="4">
        <v>4.41</v>
      </c>
      <c r="T98" s="4">
        <v>4.91</v>
      </c>
    </row>
    <row r="99" spans="18:20" x14ac:dyDescent="0.35">
      <c r="R99" s="2" t="s">
        <v>105</v>
      </c>
      <c r="S99" s="4">
        <v>4.3899999999999997</v>
      </c>
      <c r="T99" s="4">
        <v>4.87</v>
      </c>
    </row>
    <row r="100" spans="18:20" x14ac:dyDescent="0.35">
      <c r="R100" s="2" t="s">
        <v>105</v>
      </c>
      <c r="S100" s="4">
        <v>4.46</v>
      </c>
      <c r="T100" s="4">
        <v>4.8499999999999996</v>
      </c>
    </row>
    <row r="101" spans="18:20" x14ac:dyDescent="0.35">
      <c r="R101" s="2" t="s">
        <v>105</v>
      </c>
      <c r="S101" s="4">
        <v>4.38</v>
      </c>
      <c r="T101" s="4">
        <v>4.8499999999999996</v>
      </c>
    </row>
    <row r="102" spans="18:20" x14ac:dyDescent="0.35">
      <c r="R102" s="2" t="s">
        <v>105</v>
      </c>
      <c r="S102" s="4">
        <v>4.37</v>
      </c>
      <c r="T102" s="4">
        <v>4.8499999999999996</v>
      </c>
    </row>
    <row r="103" spans="18:20" x14ac:dyDescent="0.35">
      <c r="R103" s="2" t="s">
        <v>105</v>
      </c>
      <c r="S103" s="4">
        <v>4.41</v>
      </c>
      <c r="T103" s="4">
        <v>4.8600000000000003</v>
      </c>
    </row>
    <row r="104" spans="18:20" x14ac:dyDescent="0.35">
      <c r="R104" s="2" t="s">
        <v>105</v>
      </c>
      <c r="S104" s="4">
        <v>4.45</v>
      </c>
      <c r="T104" s="4">
        <v>4.87</v>
      </c>
    </row>
    <row r="105" spans="18:20" x14ac:dyDescent="0.35">
      <c r="R105" s="2" t="s">
        <v>105</v>
      </c>
      <c r="S105" s="4">
        <v>4.4800000000000004</v>
      </c>
      <c r="T105" s="4">
        <v>4.88</v>
      </c>
    </row>
    <row r="106" spans="18:20" x14ac:dyDescent="0.35">
      <c r="R106" s="2" t="s">
        <v>105</v>
      </c>
      <c r="S106" s="4">
        <v>4.4800000000000004</v>
      </c>
      <c r="T106" s="4">
        <v>4.8499999999999996</v>
      </c>
    </row>
    <row r="107" spans="18:20" x14ac:dyDescent="0.35">
      <c r="R107" s="2" t="s">
        <v>105</v>
      </c>
      <c r="S107" s="4">
        <v>4.54</v>
      </c>
      <c r="T107" s="4">
        <v>4.82</v>
      </c>
    </row>
    <row r="108" spans="18:20" x14ac:dyDescent="0.35">
      <c r="R108" s="2" t="s">
        <v>105</v>
      </c>
      <c r="S108" s="4">
        <v>4.5</v>
      </c>
      <c r="T108" s="4">
        <v>4.83</v>
      </c>
    </row>
    <row r="109" spans="18:20" x14ac:dyDescent="0.35">
      <c r="R109" s="2" t="s">
        <v>105</v>
      </c>
      <c r="S109" s="4">
        <v>4.45</v>
      </c>
      <c r="T109" s="4">
        <v>4.79</v>
      </c>
    </row>
    <row r="110" spans="18:20" x14ac:dyDescent="0.35">
      <c r="R110" s="2" t="s">
        <v>105</v>
      </c>
      <c r="S110" s="4">
        <v>4.42</v>
      </c>
      <c r="T110" s="4">
        <v>4.79</v>
      </c>
    </row>
    <row r="111" spans="18:20" x14ac:dyDescent="0.35">
      <c r="R111" s="2" t="s">
        <v>105</v>
      </c>
      <c r="S111" s="4">
        <v>4.4000000000000004</v>
      </c>
      <c r="T111" s="4">
        <v>4.78</v>
      </c>
    </row>
    <row r="112" spans="18:20" x14ac:dyDescent="0.35">
      <c r="R112" s="2" t="s">
        <v>105</v>
      </c>
      <c r="S112" s="4">
        <v>4.3499999999999996</v>
      </c>
      <c r="T112" s="4">
        <v>4.7300000000000004</v>
      </c>
    </row>
    <row r="113" spans="18:20" x14ac:dyDescent="0.35">
      <c r="R113" s="2" t="s">
        <v>106</v>
      </c>
      <c r="S113" s="4">
        <v>4.2699999999999996</v>
      </c>
      <c r="T113" s="4">
        <v>4.62</v>
      </c>
    </row>
    <row r="114" spans="18:20" x14ac:dyDescent="0.35">
      <c r="R114" s="2" t="s">
        <v>106</v>
      </c>
      <c r="S114" s="4">
        <v>4.1100000000000003</v>
      </c>
      <c r="T114" s="4">
        <v>4.33</v>
      </c>
    </row>
    <row r="115" spans="18:20" x14ac:dyDescent="0.35">
      <c r="R115" s="2" t="s">
        <v>106</v>
      </c>
      <c r="S115" s="4">
        <v>4.0599999999999996</v>
      </c>
      <c r="T115" s="4">
        <v>4.34</v>
      </c>
    </row>
    <row r="116" spans="18:20" x14ac:dyDescent="0.35">
      <c r="R116" s="2" t="s">
        <v>106</v>
      </c>
      <c r="S116" s="4">
        <v>4.18</v>
      </c>
      <c r="T116" s="4">
        <v>4.46</v>
      </c>
    </row>
    <row r="117" spans="18:20" x14ac:dyDescent="0.35">
      <c r="R117" s="2" t="s">
        <v>106</v>
      </c>
      <c r="S117" s="4">
        <v>4.26</v>
      </c>
      <c r="T117" s="4">
        <v>4.45</v>
      </c>
    </row>
    <row r="118" spans="18:20" x14ac:dyDescent="0.35">
      <c r="R118" s="2" t="s">
        <v>106</v>
      </c>
      <c r="S118" s="4">
        <v>4.28</v>
      </c>
      <c r="T118" s="4">
        <v>4.4800000000000004</v>
      </c>
    </row>
    <row r="119" spans="18:20" x14ac:dyDescent="0.35">
      <c r="R119" s="2" t="s">
        <v>106</v>
      </c>
      <c r="S119" s="4">
        <v>4.2300000000000004</v>
      </c>
      <c r="T119" s="4">
        <v>4.5</v>
      </c>
    </row>
    <row r="120" spans="18:20" x14ac:dyDescent="0.35">
      <c r="R120" s="2" t="s">
        <v>106</v>
      </c>
      <c r="S120" s="4">
        <v>4.1900000000000004</v>
      </c>
      <c r="T120" s="4">
        <v>4.47</v>
      </c>
    </row>
    <row r="121" spans="18:20" x14ac:dyDescent="0.35">
      <c r="R121" s="2" t="s">
        <v>106</v>
      </c>
      <c r="S121" s="4">
        <v>4.16</v>
      </c>
      <c r="T121" s="4">
        <v>4.4000000000000004</v>
      </c>
    </row>
    <row r="122" spans="18:20" x14ac:dyDescent="0.35">
      <c r="R122" s="2" t="s">
        <v>106</v>
      </c>
      <c r="S122" s="4">
        <v>4.12</v>
      </c>
      <c r="T122" s="4">
        <v>4.42</v>
      </c>
    </row>
    <row r="123" spans="18:20" x14ac:dyDescent="0.35">
      <c r="R123" s="2" t="s">
        <v>106</v>
      </c>
      <c r="S123" s="4">
        <v>4.18</v>
      </c>
      <c r="T123" s="4">
        <v>4.5199999999999996</v>
      </c>
    </row>
    <row r="124" spans="18:20" x14ac:dyDescent="0.35">
      <c r="R124" s="2" t="s">
        <v>106</v>
      </c>
      <c r="S124" s="4">
        <v>4.1500000000000004</v>
      </c>
      <c r="T124" s="4">
        <v>4.49</v>
      </c>
    </row>
    <row r="125" spans="18:20" x14ac:dyDescent="0.35">
      <c r="R125" s="2" t="s">
        <v>106</v>
      </c>
      <c r="S125" s="4">
        <v>4.1100000000000003</v>
      </c>
      <c r="T125" s="4">
        <v>4.4800000000000004</v>
      </c>
    </row>
    <row r="126" spans="18:20" x14ac:dyDescent="0.35">
      <c r="R126" s="2" t="s">
        <v>106</v>
      </c>
      <c r="S126" s="4">
        <v>4.07</v>
      </c>
      <c r="T126" s="4">
        <v>4.43</v>
      </c>
    </row>
    <row r="127" spans="18:20" x14ac:dyDescent="0.35">
      <c r="R127" s="2" t="s">
        <v>106</v>
      </c>
      <c r="S127" s="4">
        <v>4.0599999999999996</v>
      </c>
      <c r="T127" s="4">
        <v>4.3600000000000003</v>
      </c>
    </row>
    <row r="128" spans="18:20" x14ac:dyDescent="0.35">
      <c r="R128" s="2" t="s">
        <v>106</v>
      </c>
      <c r="S128" s="4">
        <v>4.13</v>
      </c>
      <c r="T128" s="4">
        <v>4.43</v>
      </c>
    </row>
    <row r="129" spans="18:20" x14ac:dyDescent="0.35">
      <c r="R129" s="2" t="s">
        <v>106</v>
      </c>
      <c r="S129" s="4">
        <v>4.0999999999999996</v>
      </c>
      <c r="T129" s="4">
        <v>4.3600000000000003</v>
      </c>
    </row>
    <row r="130" spans="18:20" x14ac:dyDescent="0.35">
      <c r="R130" s="2" t="s">
        <v>106</v>
      </c>
      <c r="S130" s="4">
        <v>4.1100000000000003</v>
      </c>
      <c r="T130" s="4">
        <v>4.38</v>
      </c>
    </row>
    <row r="131" spans="18:20" x14ac:dyDescent="0.35">
      <c r="R131" s="2" t="s">
        <v>106</v>
      </c>
      <c r="S131" s="4">
        <v>4.13</v>
      </c>
      <c r="T131" s="4">
        <v>4.34</v>
      </c>
    </row>
    <row r="132" spans="18:20" x14ac:dyDescent="0.35">
      <c r="R132" s="2" t="s">
        <v>106</v>
      </c>
      <c r="S132" s="4">
        <v>4.13</v>
      </c>
      <c r="T132" s="4">
        <v>4.3600000000000003</v>
      </c>
    </row>
    <row r="133" spans="18:20" x14ac:dyDescent="0.35">
      <c r="R133" s="2" t="s">
        <v>106</v>
      </c>
      <c r="S133" s="4">
        <v>4.1500000000000004</v>
      </c>
      <c r="T133" s="4">
        <v>4.38</v>
      </c>
    </row>
    <row r="134" spans="18:20" x14ac:dyDescent="0.35">
      <c r="R134" s="2" t="s">
        <v>106</v>
      </c>
      <c r="S134" s="4">
        <v>4.2</v>
      </c>
      <c r="T134" s="4">
        <v>4.38</v>
      </c>
    </row>
    <row r="135" spans="18:20" x14ac:dyDescent="0.35">
      <c r="R135" s="2" t="s">
        <v>168</v>
      </c>
      <c r="S135" s="4" t="e">
        <v>#N/A</v>
      </c>
      <c r="T135" s="4" t="e">
        <v>#N/A</v>
      </c>
    </row>
    <row r="136" spans="18:20" x14ac:dyDescent="0.35">
      <c r="R136" s="2" t="s">
        <v>168</v>
      </c>
      <c r="S136" s="4">
        <v>4.13</v>
      </c>
      <c r="T136" s="4">
        <v>4.3499999999999996</v>
      </c>
    </row>
    <row r="137" spans="18:20" x14ac:dyDescent="0.35">
      <c r="R137" s="2" t="s">
        <v>168</v>
      </c>
      <c r="S137" s="4">
        <v>4.0599999999999996</v>
      </c>
      <c r="T137" s="4">
        <v>4.2300000000000004</v>
      </c>
    </row>
    <row r="138" spans="18:20" x14ac:dyDescent="0.35">
      <c r="R138" s="2" t="s">
        <v>168</v>
      </c>
      <c r="S138" s="4">
        <v>4.0199999999999996</v>
      </c>
      <c r="T138" s="4">
        <v>4.21</v>
      </c>
    </row>
    <row r="139" spans="18:20" x14ac:dyDescent="0.35">
      <c r="R139" s="2" t="s">
        <v>168</v>
      </c>
      <c r="S139" s="4">
        <v>4.03</v>
      </c>
      <c r="T139" s="4">
        <v>4.0999999999999996</v>
      </c>
    </row>
    <row r="140" spans="18:20" x14ac:dyDescent="0.35">
      <c r="R140" s="2" t="s">
        <v>168</v>
      </c>
      <c r="S140" s="4">
        <v>4</v>
      </c>
      <c r="T140" s="4">
        <v>4.12</v>
      </c>
    </row>
    <row r="141" spans="18:20" x14ac:dyDescent="0.35">
      <c r="R141" s="2" t="s">
        <v>168</v>
      </c>
      <c r="S141" s="4">
        <v>3.97</v>
      </c>
      <c r="T141" s="4">
        <v>4.07</v>
      </c>
    </row>
    <row r="142" spans="18:20" x14ac:dyDescent="0.35">
      <c r="R142" s="2" t="s">
        <v>168</v>
      </c>
      <c r="S142" s="4">
        <v>3.96</v>
      </c>
      <c r="T142" s="4">
        <v>4.12</v>
      </c>
    </row>
    <row r="143" spans="18:20" x14ac:dyDescent="0.35">
      <c r="R143" s="2" t="s">
        <v>168</v>
      </c>
      <c r="S143" s="4">
        <v>4</v>
      </c>
      <c r="T143" s="4">
        <v>4.09</v>
      </c>
    </row>
    <row r="144" spans="18:20" x14ac:dyDescent="0.35">
      <c r="R144" s="2" t="s">
        <v>168</v>
      </c>
      <c r="S144" s="4">
        <v>3.98</v>
      </c>
      <c r="T144" s="4">
        <v>4</v>
      </c>
    </row>
    <row r="145" spans="18:20" x14ac:dyDescent="0.35">
      <c r="R145" s="2" t="s">
        <v>168</v>
      </c>
      <c r="S145" s="4">
        <v>3.94</v>
      </c>
      <c r="T145" s="4">
        <v>3.96</v>
      </c>
    </row>
  </sheetData>
  <mergeCells count="1">
    <mergeCell ref="A37:N39"/>
  </mergeCells>
  <hyperlinks>
    <hyperlink ref="A47" location="'Read Me'!A1" display="Return to Read Me" xr:uid="{AB0A12D1-99D3-4F16-91F5-DE103178F002}"/>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6479-9217-4D85-888F-7FB3FA795462}">
  <dimension ref="A1:V47"/>
  <sheetViews>
    <sheetView zoomScale="70" zoomScaleNormal="70" workbookViewId="0">
      <selection activeCell="Y13" sqref="Y13"/>
    </sheetView>
  </sheetViews>
  <sheetFormatPr defaultColWidth="8.58203125" defaultRowHeight="17.5" x14ac:dyDescent="0.35"/>
  <cols>
    <col min="1" max="17" width="8.58203125" style="2"/>
    <col min="18" max="18" width="9" style="2" bestFit="1" customWidth="1"/>
    <col min="19" max="19" width="9.58203125" style="2" bestFit="1" customWidth="1"/>
    <col min="20" max="22" width="8.75" style="2" bestFit="1" customWidth="1"/>
    <col min="23" max="16384" width="8.58203125" style="2"/>
  </cols>
  <sheetData>
    <row r="1" spans="1:22" s="7" customFormat="1" ht="25" x14ac:dyDescent="0.5">
      <c r="A1" s="7" t="s">
        <v>629</v>
      </c>
    </row>
    <row r="3" spans="1:22" x14ac:dyDescent="0.35">
      <c r="T3" s="2" t="s">
        <v>174</v>
      </c>
      <c r="U3" s="21" t="s">
        <v>175</v>
      </c>
      <c r="V3" s="21" t="s">
        <v>167</v>
      </c>
    </row>
    <row r="4" spans="1:22" x14ac:dyDescent="0.35">
      <c r="R4" s="12">
        <v>44834</v>
      </c>
      <c r="S4" s="10">
        <v>50</v>
      </c>
      <c r="T4" s="2">
        <v>52.8</v>
      </c>
      <c r="U4" s="21">
        <v>126.9</v>
      </c>
      <c r="V4" s="21">
        <v>117.9</v>
      </c>
    </row>
    <row r="5" spans="1:22" x14ac:dyDescent="0.35">
      <c r="R5" s="12">
        <v>44865</v>
      </c>
      <c r="S5" s="10">
        <v>50</v>
      </c>
      <c r="T5" s="2">
        <v>50.8</v>
      </c>
      <c r="U5" s="21">
        <v>136.9</v>
      </c>
      <c r="V5" s="21">
        <v>128.9</v>
      </c>
    </row>
    <row r="6" spans="1:22" x14ac:dyDescent="0.35">
      <c r="R6" s="12">
        <v>44895</v>
      </c>
      <c r="S6" s="10">
        <v>50</v>
      </c>
      <c r="T6" s="2">
        <v>51.2</v>
      </c>
      <c r="U6" s="21">
        <v>122.1</v>
      </c>
      <c r="V6" s="21">
        <v>101.3</v>
      </c>
    </row>
    <row r="7" spans="1:22" x14ac:dyDescent="0.35">
      <c r="R7" s="12">
        <v>44926</v>
      </c>
      <c r="S7" s="10">
        <v>50</v>
      </c>
      <c r="T7" s="2">
        <v>53.3</v>
      </c>
      <c r="U7" s="21">
        <v>112.6</v>
      </c>
      <c r="V7" s="21">
        <v>94</v>
      </c>
    </row>
    <row r="8" spans="1:22" x14ac:dyDescent="0.35">
      <c r="R8" s="12">
        <v>44957</v>
      </c>
      <c r="S8" s="10">
        <v>50</v>
      </c>
      <c r="T8" s="2">
        <v>47.1</v>
      </c>
      <c r="U8" s="21">
        <v>111.2</v>
      </c>
      <c r="V8" s="21">
        <v>87.2</v>
      </c>
    </row>
    <row r="9" spans="1:22" x14ac:dyDescent="0.35">
      <c r="R9" s="12">
        <v>44985</v>
      </c>
      <c r="S9" s="10">
        <v>50</v>
      </c>
      <c r="T9" s="2">
        <v>50.4</v>
      </c>
      <c r="U9" s="21">
        <v>108.1</v>
      </c>
      <c r="V9" s="21">
        <v>86.5</v>
      </c>
    </row>
    <row r="10" spans="1:22" x14ac:dyDescent="0.35">
      <c r="R10" s="12">
        <v>45016</v>
      </c>
      <c r="S10" s="10">
        <v>50</v>
      </c>
      <c r="T10" s="2">
        <v>49.6</v>
      </c>
      <c r="U10" s="21">
        <v>116.9</v>
      </c>
      <c r="V10" s="21">
        <v>93.4</v>
      </c>
    </row>
    <row r="11" spans="1:22" x14ac:dyDescent="0.35">
      <c r="R11" s="12">
        <v>45046</v>
      </c>
      <c r="S11" s="10">
        <v>50</v>
      </c>
      <c r="T11" s="2">
        <v>44.3</v>
      </c>
      <c r="U11" s="21">
        <v>118.5</v>
      </c>
      <c r="V11" s="21">
        <v>76.900000000000006</v>
      </c>
    </row>
    <row r="12" spans="1:22" x14ac:dyDescent="0.35">
      <c r="R12" s="12">
        <v>45077</v>
      </c>
      <c r="S12" s="10">
        <v>50</v>
      </c>
      <c r="T12" s="2">
        <v>47.7</v>
      </c>
      <c r="U12" s="21">
        <v>118.9</v>
      </c>
      <c r="V12" s="21">
        <v>76.099999999999994</v>
      </c>
    </row>
    <row r="13" spans="1:22" x14ac:dyDescent="0.35">
      <c r="R13" s="12">
        <v>45107</v>
      </c>
      <c r="S13" s="10">
        <v>50</v>
      </c>
      <c r="T13" s="2">
        <v>49</v>
      </c>
      <c r="U13" s="21">
        <v>110.9</v>
      </c>
      <c r="V13" s="21">
        <v>60.4</v>
      </c>
    </row>
    <row r="14" spans="1:22" x14ac:dyDescent="0.35">
      <c r="R14" s="12">
        <v>45138</v>
      </c>
      <c r="S14" s="10">
        <v>50</v>
      </c>
      <c r="T14" s="2">
        <v>47.3</v>
      </c>
      <c r="U14" s="21">
        <v>104</v>
      </c>
      <c r="V14" s="21">
        <v>60.2</v>
      </c>
    </row>
    <row r="15" spans="1:22" x14ac:dyDescent="0.35">
      <c r="R15" s="12">
        <v>45169</v>
      </c>
      <c r="S15" s="10">
        <v>50</v>
      </c>
      <c r="T15" s="2">
        <v>53.3</v>
      </c>
      <c r="U15" s="21">
        <v>102.6</v>
      </c>
      <c r="V15" s="21">
        <v>68.400000000000006</v>
      </c>
    </row>
    <row r="16" spans="1:22" x14ac:dyDescent="0.35">
      <c r="R16" s="12">
        <v>45199</v>
      </c>
      <c r="S16" s="10">
        <v>50</v>
      </c>
      <c r="T16" s="2">
        <v>52.4</v>
      </c>
      <c r="U16" s="21">
        <v>104.2</v>
      </c>
      <c r="V16" s="21">
        <v>64.900000000000006</v>
      </c>
    </row>
    <row r="17" spans="18:22" x14ac:dyDescent="0.35">
      <c r="R17" s="12">
        <v>45230</v>
      </c>
      <c r="S17" s="10">
        <v>50</v>
      </c>
      <c r="T17" s="2">
        <v>50.6</v>
      </c>
      <c r="U17" s="21">
        <v>110.2</v>
      </c>
      <c r="V17" s="21">
        <v>81.8</v>
      </c>
    </row>
    <row r="18" spans="18:22" x14ac:dyDescent="0.35">
      <c r="R18" s="12">
        <v>45260</v>
      </c>
      <c r="S18" s="10">
        <v>50</v>
      </c>
      <c r="T18" s="2">
        <v>50.6</v>
      </c>
      <c r="U18" s="21">
        <v>104.8</v>
      </c>
      <c r="V18" s="21">
        <v>60.7</v>
      </c>
    </row>
    <row r="19" spans="18:22" x14ac:dyDescent="0.35">
      <c r="R19" s="12">
        <v>45291</v>
      </c>
      <c r="S19" s="10">
        <v>50</v>
      </c>
      <c r="T19" s="2">
        <v>43.2</v>
      </c>
      <c r="U19" s="21">
        <v>96.8</v>
      </c>
      <c r="V19" s="21">
        <v>54.9</v>
      </c>
    </row>
    <row r="20" spans="18:22" x14ac:dyDescent="0.35">
      <c r="R20" s="12">
        <v>45322</v>
      </c>
      <c r="S20" s="10">
        <v>50</v>
      </c>
      <c r="T20" s="2">
        <v>44.7</v>
      </c>
      <c r="U20" s="21">
        <v>98.7</v>
      </c>
      <c r="V20" s="21">
        <v>57.8</v>
      </c>
    </row>
    <row r="21" spans="18:22" x14ac:dyDescent="0.35">
      <c r="R21" s="12">
        <v>45351</v>
      </c>
      <c r="S21" s="10">
        <v>50</v>
      </c>
      <c r="T21" s="2">
        <v>45.6</v>
      </c>
      <c r="U21" s="21">
        <v>94.1</v>
      </c>
      <c r="V21" s="21">
        <v>60.2</v>
      </c>
    </row>
    <row r="22" spans="18:22" x14ac:dyDescent="0.35">
      <c r="R22" s="12">
        <v>45382</v>
      </c>
      <c r="S22" s="10">
        <v>50</v>
      </c>
      <c r="T22" s="2">
        <v>43.6</v>
      </c>
      <c r="U22" s="21">
        <v>88.1</v>
      </c>
      <c r="V22" s="21">
        <v>59.5</v>
      </c>
    </row>
    <row r="23" spans="18:22" x14ac:dyDescent="0.35">
      <c r="R23" s="12">
        <v>45412</v>
      </c>
      <c r="S23" s="10">
        <v>50</v>
      </c>
      <c r="T23" s="2">
        <v>45.2</v>
      </c>
      <c r="U23" s="21">
        <v>83.4</v>
      </c>
      <c r="V23" s="21">
        <v>69.599999999999994</v>
      </c>
    </row>
    <row r="24" spans="18:22" x14ac:dyDescent="0.35">
      <c r="R24" s="12">
        <v>45443</v>
      </c>
      <c r="S24" s="10">
        <v>50</v>
      </c>
      <c r="T24" s="2">
        <v>41.6</v>
      </c>
      <c r="U24" s="21">
        <v>88.1</v>
      </c>
      <c r="V24" s="21">
        <v>56.5</v>
      </c>
    </row>
    <row r="25" spans="18:22" x14ac:dyDescent="0.35">
      <c r="R25" s="12">
        <v>45473</v>
      </c>
      <c r="S25" s="10">
        <v>50</v>
      </c>
      <c r="T25" s="2">
        <v>43.8</v>
      </c>
      <c r="U25" s="21">
        <v>96.9</v>
      </c>
      <c r="V25" s="21">
        <v>54.7</v>
      </c>
    </row>
    <row r="26" spans="18:22" x14ac:dyDescent="0.35">
      <c r="R26" s="12">
        <v>45504</v>
      </c>
      <c r="S26" s="10">
        <v>50</v>
      </c>
      <c r="T26" s="2">
        <v>44.5</v>
      </c>
      <c r="U26" s="21">
        <v>101.9</v>
      </c>
      <c r="V26" s="21">
        <v>62.4</v>
      </c>
    </row>
    <row r="27" spans="18:22" x14ac:dyDescent="0.35">
      <c r="R27" s="12">
        <v>45535</v>
      </c>
      <c r="S27" s="10">
        <v>50</v>
      </c>
      <c r="T27" s="2">
        <v>45.5</v>
      </c>
      <c r="U27" s="21">
        <v>104.7</v>
      </c>
      <c r="V27" s="21">
        <v>83.3</v>
      </c>
    </row>
    <row r="28" spans="18:22" x14ac:dyDescent="0.35">
      <c r="R28" s="12">
        <v>45565</v>
      </c>
      <c r="S28" s="10">
        <v>50</v>
      </c>
      <c r="T28" s="2">
        <v>45.5</v>
      </c>
      <c r="U28" s="21">
        <v>101.5</v>
      </c>
      <c r="V28" s="21">
        <v>79.8</v>
      </c>
    </row>
    <row r="36" spans="1:14" x14ac:dyDescent="0.35">
      <c r="A36" s="2" t="s">
        <v>624</v>
      </c>
    </row>
    <row r="37" spans="1:14" ht="17.5" customHeight="1" x14ac:dyDescent="0.35">
      <c r="A37" s="61" t="s">
        <v>176</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2" spans="1:14" x14ac:dyDescent="0.35">
      <c r="A42" s="61"/>
      <c r="B42" s="61"/>
      <c r="C42" s="61"/>
      <c r="D42" s="61"/>
      <c r="E42" s="61"/>
      <c r="F42" s="61"/>
      <c r="G42" s="61"/>
      <c r="H42" s="61"/>
      <c r="I42" s="61"/>
      <c r="J42" s="61"/>
      <c r="K42" s="61"/>
      <c r="L42" s="61"/>
      <c r="M42" s="61"/>
      <c r="N42" s="61"/>
    </row>
    <row r="47" spans="1:14" x14ac:dyDescent="0.35">
      <c r="A47" s="32" t="s">
        <v>601</v>
      </c>
    </row>
  </sheetData>
  <mergeCells count="1">
    <mergeCell ref="A37:N42"/>
  </mergeCells>
  <hyperlinks>
    <hyperlink ref="A47" location="'Read Me'!A1" display="Return to Read Me" xr:uid="{9C88CECE-B130-4E7C-9418-70EAEA76FEAD}"/>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FA3D-6BEF-461E-AFB0-1FCFEA95BC51}">
  <dimension ref="A1:V47"/>
  <sheetViews>
    <sheetView topLeftCell="A3" zoomScale="70" zoomScaleNormal="70" workbookViewId="0">
      <selection activeCell="Q27" sqref="Q27"/>
    </sheetView>
  </sheetViews>
  <sheetFormatPr defaultColWidth="8.58203125" defaultRowHeight="17.5" x14ac:dyDescent="0.35"/>
  <cols>
    <col min="1" max="16384" width="8.58203125" style="2"/>
  </cols>
  <sheetData>
    <row r="1" spans="1:22" s="7" customFormat="1" ht="25" x14ac:dyDescent="0.5">
      <c r="A1" s="7" t="s">
        <v>178</v>
      </c>
    </row>
    <row r="3" spans="1:22" x14ac:dyDescent="0.35">
      <c r="S3" s="2" t="s">
        <v>179</v>
      </c>
      <c r="T3" s="2" t="s">
        <v>121</v>
      </c>
      <c r="U3" s="2" t="s">
        <v>120</v>
      </c>
      <c r="V3" s="2" t="s">
        <v>180</v>
      </c>
    </row>
    <row r="4" spans="1:22" x14ac:dyDescent="0.35">
      <c r="R4" s="2" t="s">
        <v>99</v>
      </c>
      <c r="S4" s="2">
        <v>100</v>
      </c>
      <c r="T4" s="2">
        <v>100</v>
      </c>
      <c r="U4" s="2">
        <v>100</v>
      </c>
      <c r="V4" s="2">
        <v>100</v>
      </c>
    </row>
    <row r="5" spans="1:22" x14ac:dyDescent="0.35">
      <c r="R5" s="2" t="s">
        <v>100</v>
      </c>
      <c r="S5" s="2">
        <v>100</v>
      </c>
      <c r="T5" s="2">
        <v>99.8</v>
      </c>
      <c r="U5" s="2">
        <v>99.6</v>
      </c>
      <c r="V5" s="2">
        <v>97.3</v>
      </c>
    </row>
    <row r="6" spans="1:22" x14ac:dyDescent="0.35">
      <c r="R6" s="2" t="s">
        <v>101</v>
      </c>
      <c r="S6" s="2">
        <v>100</v>
      </c>
      <c r="T6" s="2">
        <v>99.9</v>
      </c>
      <c r="U6" s="2">
        <v>99.4</v>
      </c>
      <c r="V6" s="2">
        <v>95.2</v>
      </c>
    </row>
    <row r="7" spans="1:22" x14ac:dyDescent="0.35">
      <c r="R7" s="2" t="s">
        <v>102</v>
      </c>
      <c r="S7" s="2">
        <v>100</v>
      </c>
      <c r="T7" s="2">
        <v>100.3</v>
      </c>
      <c r="U7" s="2">
        <v>99.2</v>
      </c>
      <c r="V7" s="2">
        <v>93.2</v>
      </c>
    </row>
    <row r="8" spans="1:22" x14ac:dyDescent="0.35">
      <c r="R8" s="2" t="s">
        <v>103</v>
      </c>
      <c r="S8" s="2">
        <v>104.9</v>
      </c>
      <c r="T8" s="2">
        <v>100.3</v>
      </c>
      <c r="U8" s="2">
        <v>99.2</v>
      </c>
      <c r="V8" s="2">
        <v>93.3</v>
      </c>
    </row>
    <row r="9" spans="1:22" x14ac:dyDescent="0.35">
      <c r="R9" s="2" t="s">
        <v>104</v>
      </c>
      <c r="S9" s="2">
        <v>107.3</v>
      </c>
      <c r="T9" s="2">
        <v>100.4</v>
      </c>
      <c r="U9" s="2">
        <v>99.3</v>
      </c>
      <c r="V9" s="2">
        <v>94.6</v>
      </c>
    </row>
    <row r="10" spans="1:22" x14ac:dyDescent="0.35">
      <c r="R10" s="2" t="s">
        <v>105</v>
      </c>
      <c r="S10" s="2">
        <v>107.3</v>
      </c>
      <c r="T10" s="2">
        <v>100.6</v>
      </c>
      <c r="U10" s="2">
        <v>99.3</v>
      </c>
      <c r="V10" s="2">
        <v>94.6</v>
      </c>
    </row>
    <row r="11" spans="1:22" x14ac:dyDescent="0.35">
      <c r="R11" s="2" t="s">
        <v>106</v>
      </c>
      <c r="S11" s="2">
        <v>107.9</v>
      </c>
      <c r="T11" s="2">
        <v>100.9</v>
      </c>
      <c r="U11" s="2">
        <v>99.3</v>
      </c>
      <c r="V11" s="2">
        <v>93.6</v>
      </c>
    </row>
    <row r="36" spans="1:14" x14ac:dyDescent="0.35">
      <c r="A36" s="2" t="s">
        <v>16</v>
      </c>
    </row>
    <row r="37" spans="1:14" x14ac:dyDescent="0.35">
      <c r="A37" s="33" t="s">
        <v>181</v>
      </c>
      <c r="B37" s="33"/>
      <c r="C37" s="33"/>
      <c r="D37" s="33"/>
      <c r="E37" s="33"/>
      <c r="F37" s="33"/>
      <c r="G37" s="33"/>
      <c r="H37" s="33"/>
      <c r="I37" s="33"/>
      <c r="J37" s="33"/>
      <c r="K37" s="33"/>
      <c r="L37" s="33"/>
      <c r="M37" s="33"/>
      <c r="N37" s="33"/>
    </row>
    <row r="47" spans="1:14" x14ac:dyDescent="0.35">
      <c r="A47" s="32" t="s">
        <v>601</v>
      </c>
    </row>
  </sheetData>
  <hyperlinks>
    <hyperlink ref="A47" location="'Read Me'!A1" display="Return to Read Me" xr:uid="{6EF39A62-7379-4D0D-B36A-AC2533C383DE}"/>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CCD5-216E-4A02-B4CC-6F68AE619349}">
  <dimension ref="A1:W47"/>
  <sheetViews>
    <sheetView zoomScale="70" zoomScaleNormal="70" workbookViewId="0">
      <selection activeCell="T39" sqref="T39"/>
    </sheetView>
  </sheetViews>
  <sheetFormatPr defaultColWidth="8.58203125" defaultRowHeight="17.5" x14ac:dyDescent="0.35"/>
  <cols>
    <col min="1" max="17" width="8.58203125" style="2"/>
    <col min="18" max="18" width="10.25" style="2" bestFit="1" customWidth="1"/>
    <col min="19" max="16384" width="8.58203125" style="2"/>
  </cols>
  <sheetData>
    <row r="1" spans="1:23" s="7" customFormat="1" ht="25" x14ac:dyDescent="0.5">
      <c r="A1" s="7" t="s">
        <v>182</v>
      </c>
    </row>
    <row r="3" spans="1:23" x14ac:dyDescent="0.35">
      <c r="S3" s="2" t="s">
        <v>36</v>
      </c>
      <c r="T3" s="2" t="s">
        <v>35</v>
      </c>
      <c r="U3" s="2" t="s">
        <v>33</v>
      </c>
      <c r="V3" s="2" t="s">
        <v>32</v>
      </c>
      <c r="W3" s="2" t="s">
        <v>34</v>
      </c>
    </row>
    <row r="4" spans="1:23" x14ac:dyDescent="0.35">
      <c r="S4" s="2" t="s">
        <v>179</v>
      </c>
      <c r="T4" s="2" t="s">
        <v>121</v>
      </c>
      <c r="U4" s="2" t="s">
        <v>183</v>
      </c>
      <c r="V4" s="2" t="s">
        <v>120</v>
      </c>
      <c r="W4" s="2" t="s">
        <v>180</v>
      </c>
    </row>
    <row r="5" spans="1:23" x14ac:dyDescent="0.35">
      <c r="R5" s="6" t="s">
        <v>184</v>
      </c>
      <c r="S5" s="11">
        <v>0.7</v>
      </c>
      <c r="T5" s="11">
        <v>2.4</v>
      </c>
      <c r="U5" s="11">
        <v>1.9</v>
      </c>
      <c r="V5" s="11">
        <v>1.8</v>
      </c>
      <c r="W5" s="11">
        <v>2.9</v>
      </c>
    </row>
    <row r="6" spans="1:23" x14ac:dyDescent="0.35">
      <c r="R6" s="22">
        <v>45352</v>
      </c>
      <c r="S6" s="11">
        <v>-1.8</v>
      </c>
      <c r="T6" s="11">
        <v>1.6</v>
      </c>
      <c r="U6" s="11">
        <v>2.2000000000000002</v>
      </c>
      <c r="V6" s="11">
        <v>1.3</v>
      </c>
      <c r="W6" s="11">
        <v>6</v>
      </c>
    </row>
    <row r="7" spans="1:23" x14ac:dyDescent="0.35">
      <c r="R7" s="6" t="s">
        <v>185</v>
      </c>
      <c r="S7" s="11">
        <v>-1.5</v>
      </c>
      <c r="T7" s="11">
        <v>2.8</v>
      </c>
      <c r="U7" s="11">
        <v>2.8</v>
      </c>
      <c r="V7" s="11">
        <v>9.9</v>
      </c>
      <c r="W7" s="11">
        <v>5.8</v>
      </c>
    </row>
    <row r="36" spans="1:14" x14ac:dyDescent="0.35">
      <c r="A36" s="2" t="s">
        <v>163</v>
      </c>
    </row>
    <row r="37" spans="1:14" ht="17.5" customHeight="1" x14ac:dyDescent="0.35">
      <c r="A37" s="61" t="s">
        <v>186</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1">
    <mergeCell ref="A37:N40"/>
  </mergeCells>
  <hyperlinks>
    <hyperlink ref="A47" location="'Read Me'!A1" display="Return to Read Me" xr:uid="{DECD30C1-6A39-48BF-8F53-9CAE95841E18}"/>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D987-9FD9-4431-83DF-B99A0DCBFDCE}">
  <dimension ref="A1:W47"/>
  <sheetViews>
    <sheetView zoomScale="70" zoomScaleNormal="70" workbookViewId="0">
      <selection activeCell="AF44" sqref="AF44"/>
    </sheetView>
  </sheetViews>
  <sheetFormatPr defaultColWidth="8.58203125" defaultRowHeight="17.5" x14ac:dyDescent="0.35"/>
  <cols>
    <col min="1" max="16384" width="8.58203125" style="2"/>
  </cols>
  <sheetData>
    <row r="1" spans="1:23" s="7" customFormat="1" ht="25" x14ac:dyDescent="0.5">
      <c r="A1" s="7" t="s">
        <v>187</v>
      </c>
    </row>
    <row r="3" spans="1:23" x14ac:dyDescent="0.35">
      <c r="U3" s="23">
        <v>45292</v>
      </c>
      <c r="V3" s="23">
        <v>45352</v>
      </c>
    </row>
    <row r="4" spans="1:23" x14ac:dyDescent="0.35">
      <c r="T4" s="2" t="s">
        <v>188</v>
      </c>
      <c r="U4" s="23">
        <v>45292</v>
      </c>
      <c r="V4" s="23">
        <v>45352</v>
      </c>
      <c r="W4" s="2" t="s">
        <v>185</v>
      </c>
    </row>
    <row r="5" spans="1:23" x14ac:dyDescent="0.35">
      <c r="R5" s="2" t="s">
        <v>36</v>
      </c>
      <c r="S5" s="2" t="s">
        <v>179</v>
      </c>
      <c r="T5" s="11">
        <v>14.7</v>
      </c>
      <c r="U5" s="11">
        <v>10</v>
      </c>
      <c r="V5" s="11">
        <v>10.5</v>
      </c>
      <c r="W5" s="11">
        <v>10.1</v>
      </c>
    </row>
    <row r="6" spans="1:23" x14ac:dyDescent="0.35">
      <c r="R6" s="2" t="s">
        <v>35</v>
      </c>
      <c r="S6" s="2" t="s">
        <v>121</v>
      </c>
      <c r="T6" s="11">
        <v>9.9</v>
      </c>
      <c r="U6" s="11">
        <v>14.2</v>
      </c>
      <c r="V6" s="11">
        <v>14.4</v>
      </c>
      <c r="W6" s="11">
        <v>13.5</v>
      </c>
    </row>
    <row r="7" spans="1:23" x14ac:dyDescent="0.35">
      <c r="R7" s="2" t="s">
        <v>37</v>
      </c>
      <c r="S7" s="2" t="s">
        <v>189</v>
      </c>
      <c r="T7" s="11">
        <v>10.199999999999999</v>
      </c>
      <c r="U7" s="11">
        <v>10</v>
      </c>
      <c r="V7" s="11">
        <v>8.4</v>
      </c>
      <c r="W7" s="11">
        <v>11.1</v>
      </c>
    </row>
    <row r="8" spans="1:23" x14ac:dyDescent="0.35">
      <c r="R8" s="2" t="s">
        <v>32</v>
      </c>
      <c r="S8" s="2" t="s">
        <v>120</v>
      </c>
      <c r="T8" s="11">
        <v>15</v>
      </c>
      <c r="U8" s="11">
        <v>-1.8</v>
      </c>
      <c r="V8" s="11">
        <v>1</v>
      </c>
      <c r="W8" s="11">
        <v>2.2999999999999998</v>
      </c>
    </row>
    <row r="9" spans="1:23" x14ac:dyDescent="0.35">
      <c r="R9" s="2" t="s">
        <v>34</v>
      </c>
      <c r="S9" s="2" t="s">
        <v>180</v>
      </c>
      <c r="T9" s="11">
        <v>17.8</v>
      </c>
      <c r="U9" s="11">
        <v>1.4</v>
      </c>
      <c r="V9" s="11">
        <v>4</v>
      </c>
      <c r="W9" s="11">
        <v>6.1</v>
      </c>
    </row>
    <row r="10" spans="1:23" x14ac:dyDescent="0.35">
      <c r="T10" s="3"/>
      <c r="U10" s="3"/>
      <c r="V10" s="3"/>
      <c r="W10" s="3"/>
    </row>
    <row r="36" spans="1:14" x14ac:dyDescent="0.35">
      <c r="A36" s="2" t="s">
        <v>163</v>
      </c>
    </row>
    <row r="37" spans="1:14" x14ac:dyDescent="0.35">
      <c r="A37" s="61" t="s">
        <v>190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1">
    <mergeCell ref="A37:N40"/>
  </mergeCells>
  <hyperlinks>
    <hyperlink ref="A47" location="'Read Me'!A1" display="Return to Read Me" xr:uid="{36204FC5-6C3B-4D13-916A-967D8CFE5B27}"/>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F031-C7D1-426E-9231-3E6394103152}">
  <dimension ref="A1:V47"/>
  <sheetViews>
    <sheetView topLeftCell="A12" zoomScale="70" zoomScaleNormal="70" workbookViewId="0">
      <selection activeCell="A47" sqref="A47"/>
    </sheetView>
  </sheetViews>
  <sheetFormatPr defaultColWidth="8.58203125" defaultRowHeight="17.5" x14ac:dyDescent="0.35"/>
  <cols>
    <col min="1" max="17" width="8.58203125" style="2"/>
    <col min="18" max="18" width="9" style="2" bestFit="1" customWidth="1"/>
    <col min="19" max="22" width="9.58203125" style="2" bestFit="1" customWidth="1"/>
    <col min="23" max="16384" width="8.58203125" style="2"/>
  </cols>
  <sheetData>
    <row r="1" spans="1:22" s="7" customFormat="1" ht="25" x14ac:dyDescent="0.5">
      <c r="A1" s="7" t="s">
        <v>191</v>
      </c>
    </row>
    <row r="2" spans="1:22" x14ac:dyDescent="0.35">
      <c r="R2"/>
    </row>
    <row r="3" spans="1:22" x14ac:dyDescent="0.35">
      <c r="S3" s="2" t="s">
        <v>194</v>
      </c>
      <c r="T3" s="2" t="s">
        <v>193</v>
      </c>
      <c r="U3" s="2" t="s">
        <v>192</v>
      </c>
    </row>
    <row r="4" spans="1:22" x14ac:dyDescent="0.35">
      <c r="R4" s="12">
        <v>45292</v>
      </c>
      <c r="S4" s="4">
        <v>49.22</v>
      </c>
      <c r="T4" s="4">
        <v>48.79</v>
      </c>
      <c r="U4" s="4">
        <v>50.61</v>
      </c>
      <c r="V4" s="4">
        <v>50</v>
      </c>
    </row>
    <row r="5" spans="1:22" x14ac:dyDescent="0.35">
      <c r="R5" s="12">
        <v>45323</v>
      </c>
      <c r="S5" s="4">
        <v>49.58</v>
      </c>
      <c r="T5" s="4">
        <v>49.34</v>
      </c>
      <c r="U5" s="4">
        <v>50.36</v>
      </c>
      <c r="V5" s="4">
        <v>50</v>
      </c>
    </row>
    <row r="6" spans="1:22" x14ac:dyDescent="0.35">
      <c r="R6" s="12">
        <v>45352</v>
      </c>
      <c r="S6" s="4">
        <v>49.78</v>
      </c>
      <c r="T6" s="4">
        <v>49.54</v>
      </c>
      <c r="U6" s="4">
        <v>50.55</v>
      </c>
      <c r="V6" s="4">
        <v>50</v>
      </c>
    </row>
    <row r="7" spans="1:22" x14ac:dyDescent="0.35">
      <c r="R7" s="12">
        <v>45383</v>
      </c>
      <c r="S7" s="4">
        <v>50.6</v>
      </c>
      <c r="T7" s="4">
        <v>50.45</v>
      </c>
      <c r="U7" s="4">
        <v>51.1</v>
      </c>
      <c r="V7" s="4">
        <v>50</v>
      </c>
    </row>
    <row r="8" spans="1:22" x14ac:dyDescent="0.35">
      <c r="R8" s="12">
        <v>45413</v>
      </c>
      <c r="S8" s="4">
        <v>50.56</v>
      </c>
      <c r="T8" s="4">
        <v>50.43</v>
      </c>
      <c r="U8" s="4">
        <v>50.98</v>
      </c>
      <c r="V8" s="4">
        <v>50</v>
      </c>
    </row>
    <row r="9" spans="1:22" x14ac:dyDescent="0.35">
      <c r="R9" s="12">
        <v>45444</v>
      </c>
      <c r="S9" s="4">
        <v>49.66</v>
      </c>
      <c r="T9" s="4">
        <v>49.32</v>
      </c>
      <c r="U9" s="4">
        <v>50.78</v>
      </c>
      <c r="V9" s="4">
        <v>50</v>
      </c>
    </row>
    <row r="10" spans="1:22" x14ac:dyDescent="0.35">
      <c r="R10" s="12">
        <v>45474</v>
      </c>
      <c r="S10" s="4">
        <v>49.64</v>
      </c>
      <c r="T10" s="4">
        <v>49.34</v>
      </c>
      <c r="U10" s="4">
        <v>50.62</v>
      </c>
      <c r="V10" s="4">
        <v>50</v>
      </c>
    </row>
    <row r="11" spans="1:22" x14ac:dyDescent="0.35">
      <c r="R11" s="12">
        <v>45505</v>
      </c>
      <c r="S11" s="4">
        <v>48.93</v>
      </c>
      <c r="T11" s="4">
        <v>48.37</v>
      </c>
      <c r="U11" s="4">
        <v>50.74</v>
      </c>
      <c r="V11" s="4">
        <v>50</v>
      </c>
    </row>
    <row r="36" spans="1:14" x14ac:dyDescent="0.35">
      <c r="A36" s="2" t="s">
        <v>16</v>
      </c>
    </row>
    <row r="37" spans="1:14" x14ac:dyDescent="0.35">
      <c r="A37" s="62" t="s">
        <v>195</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47" spans="1:14" x14ac:dyDescent="0.35">
      <c r="A47" s="32" t="s">
        <v>601</v>
      </c>
    </row>
  </sheetData>
  <mergeCells count="1">
    <mergeCell ref="A37:N38"/>
  </mergeCells>
  <hyperlinks>
    <hyperlink ref="A47" location="'Read Me'!A1" display="Return to Read Me" xr:uid="{67D32439-D6CA-4718-8425-75B5BD0089C7}"/>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5B4E-DC26-44C5-AA41-CF534F212AB2}">
  <dimension ref="A1:V47"/>
  <sheetViews>
    <sheetView zoomScale="70" zoomScaleNormal="70" workbookViewId="0">
      <selection activeCell="S4" sqref="S4:V15"/>
    </sheetView>
  </sheetViews>
  <sheetFormatPr defaultColWidth="8.58203125" defaultRowHeight="17.5" x14ac:dyDescent="0.35"/>
  <cols>
    <col min="1" max="16384" width="8.58203125" style="2"/>
  </cols>
  <sheetData>
    <row r="1" spans="1:22" s="7" customFormat="1" ht="25" x14ac:dyDescent="0.5">
      <c r="A1" s="7" t="s">
        <v>196</v>
      </c>
    </row>
    <row r="3" spans="1:22" x14ac:dyDescent="0.35">
      <c r="S3" s="2" t="s">
        <v>207</v>
      </c>
      <c r="T3" s="2" t="s">
        <v>206</v>
      </c>
      <c r="U3" s="2" t="s">
        <v>205</v>
      </c>
    </row>
    <row r="4" spans="1:22" x14ac:dyDescent="0.35">
      <c r="R4" s="2" t="s">
        <v>197</v>
      </c>
      <c r="S4" s="11">
        <v>3.3</v>
      </c>
      <c r="T4" s="11">
        <v>1</v>
      </c>
      <c r="U4" s="11"/>
      <c r="V4" s="11"/>
    </row>
    <row r="5" spans="1:22" x14ac:dyDescent="0.35">
      <c r="R5" s="2" t="s">
        <v>198</v>
      </c>
      <c r="S5" s="11">
        <v>3.1</v>
      </c>
      <c r="T5" s="11">
        <v>1.4</v>
      </c>
      <c r="U5" s="11"/>
      <c r="V5" s="11"/>
    </row>
    <row r="6" spans="1:22" x14ac:dyDescent="0.35">
      <c r="R6" s="2" t="s">
        <v>130</v>
      </c>
      <c r="S6" s="11">
        <v>4</v>
      </c>
      <c r="T6" s="11">
        <v>1.3</v>
      </c>
      <c r="U6" s="11"/>
      <c r="V6" s="11"/>
    </row>
    <row r="7" spans="1:22" x14ac:dyDescent="0.35">
      <c r="R7" s="2" t="s">
        <v>199</v>
      </c>
      <c r="S7" s="11">
        <v>-0.1</v>
      </c>
      <c r="T7" s="11">
        <v>1</v>
      </c>
      <c r="U7" s="11"/>
      <c r="V7" s="11"/>
    </row>
    <row r="8" spans="1:22" x14ac:dyDescent="0.35">
      <c r="R8" s="2" t="s">
        <v>200</v>
      </c>
      <c r="S8" s="11">
        <v>-0.4</v>
      </c>
      <c r="T8" s="11">
        <v>2.2999999999999998</v>
      </c>
      <c r="U8" s="11"/>
      <c r="V8" s="11"/>
    </row>
    <row r="9" spans="1:22" x14ac:dyDescent="0.35">
      <c r="R9" s="2" t="s">
        <v>201</v>
      </c>
      <c r="S9" s="11">
        <v>-1</v>
      </c>
      <c r="T9" s="11">
        <v>3.1</v>
      </c>
      <c r="U9" s="11"/>
      <c r="V9" s="11"/>
    </row>
    <row r="10" spans="1:22" x14ac:dyDescent="0.35">
      <c r="R10" s="2" t="s">
        <v>129</v>
      </c>
      <c r="S10" s="11">
        <v>-1.7</v>
      </c>
      <c r="T10" s="11">
        <v>3.1</v>
      </c>
      <c r="U10" s="11"/>
      <c r="V10" s="11"/>
    </row>
    <row r="11" spans="1:22" x14ac:dyDescent="0.35">
      <c r="R11" s="2" t="s">
        <v>202</v>
      </c>
      <c r="S11" s="11">
        <v>-0.4</v>
      </c>
      <c r="T11" s="11">
        <v>2.2999999999999998</v>
      </c>
      <c r="U11" s="11"/>
      <c r="V11" s="11"/>
    </row>
    <row r="12" spans="1:22" x14ac:dyDescent="0.35">
      <c r="R12" s="2" t="s">
        <v>128</v>
      </c>
      <c r="S12" s="11">
        <v>-0.2</v>
      </c>
      <c r="T12" s="11">
        <v>1.6</v>
      </c>
      <c r="U12" s="11"/>
      <c r="V12" s="11"/>
    </row>
    <row r="13" spans="1:22" x14ac:dyDescent="0.35">
      <c r="R13" s="2" t="s">
        <v>203</v>
      </c>
      <c r="S13" s="11">
        <v>0.5</v>
      </c>
      <c r="T13" s="11">
        <v>0.3</v>
      </c>
      <c r="U13" s="11"/>
      <c r="V13" s="11"/>
    </row>
    <row r="14" spans="1:22" x14ac:dyDescent="0.35">
      <c r="R14" s="2" t="s">
        <v>204</v>
      </c>
      <c r="S14" s="11"/>
      <c r="T14" s="11"/>
      <c r="U14" s="11">
        <v>2.5</v>
      </c>
      <c r="V14" s="11"/>
    </row>
    <row r="15" spans="1:22" x14ac:dyDescent="0.35">
      <c r="R15" s="2" t="s">
        <v>5</v>
      </c>
      <c r="S15" s="11"/>
      <c r="T15" s="11"/>
      <c r="U15" s="11">
        <v>3.4</v>
      </c>
      <c r="V15" s="11"/>
    </row>
    <row r="36" spans="1:14" x14ac:dyDescent="0.35">
      <c r="A36" s="27" t="s">
        <v>625</v>
      </c>
    </row>
    <row r="37" spans="1:14" x14ac:dyDescent="0.35">
      <c r="A37" s="63" t="s">
        <v>208</v>
      </c>
      <c r="B37" s="63"/>
      <c r="C37" s="63"/>
      <c r="D37" s="63"/>
      <c r="E37" s="63"/>
      <c r="F37" s="63"/>
      <c r="G37" s="63"/>
      <c r="H37" s="63"/>
      <c r="I37" s="63"/>
      <c r="J37" s="63"/>
      <c r="K37" s="63"/>
      <c r="L37" s="63"/>
      <c r="M37" s="63"/>
      <c r="N37" s="63"/>
    </row>
    <row r="47" spans="1:14" x14ac:dyDescent="0.35">
      <c r="A47" s="32" t="s">
        <v>601</v>
      </c>
    </row>
  </sheetData>
  <mergeCells count="1">
    <mergeCell ref="A37:N37"/>
  </mergeCells>
  <hyperlinks>
    <hyperlink ref="A47" location="'Read Me'!A1" display="Return to Read Me" xr:uid="{745476FB-4310-42AF-A70B-CB2CAEA51192}"/>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156A-5A00-4B50-ABC1-245EFF155625}">
  <dimension ref="A1:X47"/>
  <sheetViews>
    <sheetView zoomScale="70" zoomScaleNormal="70" workbookViewId="0">
      <selection activeCell="R4" sqref="R4"/>
    </sheetView>
  </sheetViews>
  <sheetFormatPr defaultColWidth="8.58203125" defaultRowHeight="17.5" x14ac:dyDescent="0.35"/>
  <cols>
    <col min="1" max="17" width="8.58203125" style="2"/>
    <col min="18" max="18" width="9" style="2" bestFit="1" customWidth="1"/>
    <col min="19" max="16384" width="8.58203125" style="2"/>
  </cols>
  <sheetData>
    <row r="1" spans="1:24" s="7" customFormat="1" ht="25" x14ac:dyDescent="0.5">
      <c r="A1" s="7" t="s">
        <v>209</v>
      </c>
    </row>
    <row r="3" spans="1:24" x14ac:dyDescent="0.35">
      <c r="R3" s="5"/>
      <c r="S3" s="2" t="s">
        <v>210</v>
      </c>
      <c r="T3" s="2" t="s">
        <v>183</v>
      </c>
      <c r="U3" s="2" t="s">
        <v>179</v>
      </c>
      <c r="V3" s="2" t="s">
        <v>120</v>
      </c>
      <c r="W3" s="2" t="s">
        <v>180</v>
      </c>
      <c r="X3" s="5"/>
    </row>
    <row r="4" spans="1:24" x14ac:dyDescent="0.35">
      <c r="R4" s="24">
        <v>44927</v>
      </c>
      <c r="S4" s="55">
        <v>159</v>
      </c>
      <c r="T4" s="55">
        <v>118.4</v>
      </c>
      <c r="U4" s="55">
        <v>114.6</v>
      </c>
      <c r="V4" s="55">
        <v>111.6</v>
      </c>
      <c r="W4" s="55">
        <v>77.3</v>
      </c>
      <c r="X4" s="55">
        <v>100</v>
      </c>
    </row>
    <row r="5" spans="1:24" x14ac:dyDescent="0.35">
      <c r="R5" s="24">
        <v>44958</v>
      </c>
      <c r="S5" s="55">
        <v>152.69999999999999</v>
      </c>
      <c r="T5" s="55">
        <v>121.7</v>
      </c>
      <c r="U5" s="55">
        <v>113.9</v>
      </c>
      <c r="V5" s="55">
        <v>108.3</v>
      </c>
      <c r="W5" s="55">
        <v>78.599999999999994</v>
      </c>
      <c r="X5" s="55">
        <v>100</v>
      </c>
    </row>
    <row r="6" spans="1:24" x14ac:dyDescent="0.35">
      <c r="R6" s="24">
        <v>44986</v>
      </c>
      <c r="S6" s="55">
        <v>154.80000000000001</v>
      </c>
      <c r="T6" s="55">
        <v>122.2</v>
      </c>
      <c r="U6" s="55">
        <v>120.9</v>
      </c>
      <c r="V6" s="55">
        <v>116.2</v>
      </c>
      <c r="W6" s="55">
        <v>84.2</v>
      </c>
      <c r="X6" s="55">
        <v>100</v>
      </c>
    </row>
    <row r="7" spans="1:24" x14ac:dyDescent="0.35">
      <c r="R7" s="24">
        <v>45017</v>
      </c>
      <c r="S7" s="55">
        <v>148.4</v>
      </c>
      <c r="T7" s="55">
        <v>124.1</v>
      </c>
      <c r="U7" s="55">
        <v>114.9</v>
      </c>
      <c r="V7" s="55">
        <v>121.6</v>
      </c>
      <c r="W7" s="55">
        <v>85.1</v>
      </c>
      <c r="X7" s="55">
        <v>100</v>
      </c>
    </row>
    <row r="8" spans="1:24" x14ac:dyDescent="0.35">
      <c r="R8" s="24">
        <v>45047</v>
      </c>
      <c r="S8" s="55">
        <v>151.1</v>
      </c>
      <c r="T8" s="55">
        <v>122.8</v>
      </c>
      <c r="U8" s="55">
        <v>117.8</v>
      </c>
      <c r="V8" s="55">
        <v>123.6</v>
      </c>
      <c r="W8" s="55">
        <v>89.4</v>
      </c>
      <c r="X8" s="55">
        <v>100</v>
      </c>
    </row>
    <row r="9" spans="1:24" x14ac:dyDescent="0.35">
      <c r="R9" s="24">
        <v>45078</v>
      </c>
      <c r="S9" s="55">
        <v>144.6</v>
      </c>
      <c r="T9" s="55">
        <v>123.9</v>
      </c>
      <c r="U9" s="55">
        <v>121.7</v>
      </c>
      <c r="V9" s="55">
        <v>117.3</v>
      </c>
      <c r="W9" s="55">
        <v>83.9</v>
      </c>
      <c r="X9" s="55">
        <v>100</v>
      </c>
    </row>
    <row r="10" spans="1:24" x14ac:dyDescent="0.35">
      <c r="R10" s="24">
        <v>45108</v>
      </c>
      <c r="S10" s="55">
        <v>147.6</v>
      </c>
      <c r="T10" s="55">
        <v>131.5</v>
      </c>
      <c r="U10" s="55">
        <v>127.9</v>
      </c>
      <c r="V10" s="55">
        <v>114.2</v>
      </c>
      <c r="W10" s="55">
        <v>89.1</v>
      </c>
      <c r="X10" s="55">
        <v>100</v>
      </c>
    </row>
    <row r="11" spans="1:24" x14ac:dyDescent="0.35">
      <c r="R11" s="24">
        <v>45139</v>
      </c>
      <c r="S11" s="55">
        <v>146.69999999999999</v>
      </c>
      <c r="T11" s="55">
        <v>136.9</v>
      </c>
      <c r="U11" s="55">
        <v>125.9</v>
      </c>
      <c r="V11" s="55">
        <v>114.1</v>
      </c>
      <c r="W11" s="55">
        <v>90.3</v>
      </c>
      <c r="X11" s="55">
        <v>100</v>
      </c>
    </row>
    <row r="12" spans="1:24" x14ac:dyDescent="0.35">
      <c r="R12" s="24">
        <v>45170</v>
      </c>
      <c r="S12" s="55">
        <v>143.69999999999999</v>
      </c>
      <c r="T12" s="55">
        <v>138.5</v>
      </c>
      <c r="U12" s="55">
        <v>107.1</v>
      </c>
      <c r="V12" s="55">
        <v>114.5</v>
      </c>
      <c r="W12" s="55">
        <v>90.7</v>
      </c>
      <c r="X12" s="55">
        <v>100</v>
      </c>
    </row>
    <row r="13" spans="1:24" x14ac:dyDescent="0.35">
      <c r="R13" s="24">
        <v>45200</v>
      </c>
      <c r="S13" s="55">
        <v>138.19999999999999</v>
      </c>
      <c r="T13" s="55">
        <v>141.19999999999999</v>
      </c>
      <c r="U13" s="55">
        <v>107</v>
      </c>
      <c r="V13" s="55">
        <v>122.3</v>
      </c>
      <c r="W13" s="55">
        <v>89.3</v>
      </c>
      <c r="X13" s="55">
        <v>100</v>
      </c>
    </row>
    <row r="14" spans="1:24" x14ac:dyDescent="0.35">
      <c r="R14" s="24">
        <v>45231</v>
      </c>
      <c r="S14" s="55">
        <v>133.19999999999999</v>
      </c>
      <c r="T14" s="55">
        <v>139.4</v>
      </c>
      <c r="U14" s="55">
        <v>114.2</v>
      </c>
      <c r="V14" s="55">
        <v>125.3</v>
      </c>
      <c r="W14" s="55">
        <v>91.5</v>
      </c>
      <c r="X14" s="55">
        <v>100</v>
      </c>
    </row>
    <row r="15" spans="1:24" x14ac:dyDescent="0.35">
      <c r="R15" s="24">
        <v>45261</v>
      </c>
      <c r="S15" s="55">
        <v>134</v>
      </c>
      <c r="T15" s="55">
        <v>148.1</v>
      </c>
      <c r="U15" s="55">
        <v>128.6</v>
      </c>
      <c r="V15" s="55">
        <v>128.4</v>
      </c>
      <c r="W15" s="55">
        <v>96.7</v>
      </c>
      <c r="X15" s="55">
        <v>100</v>
      </c>
    </row>
    <row r="16" spans="1:24" x14ac:dyDescent="0.35">
      <c r="R16" s="24">
        <v>45292</v>
      </c>
      <c r="S16" s="55">
        <v>135.5</v>
      </c>
      <c r="T16" s="55">
        <v>141.6</v>
      </c>
      <c r="U16" s="55">
        <v>131.69999999999999</v>
      </c>
      <c r="V16" s="55">
        <v>127.3</v>
      </c>
      <c r="W16" s="55">
        <v>95</v>
      </c>
      <c r="X16" s="55">
        <v>100</v>
      </c>
    </row>
    <row r="17" spans="18:24" x14ac:dyDescent="0.35">
      <c r="R17" s="24">
        <v>45323</v>
      </c>
      <c r="S17" s="55">
        <v>133.30000000000001</v>
      </c>
      <c r="T17" s="55">
        <v>139.1</v>
      </c>
      <c r="U17" s="55">
        <v>136.80000000000001</v>
      </c>
      <c r="V17" s="55">
        <v>127.1</v>
      </c>
      <c r="W17" s="55">
        <v>91.3</v>
      </c>
      <c r="X17" s="55">
        <v>100</v>
      </c>
    </row>
    <row r="18" spans="18:24" x14ac:dyDescent="0.35">
      <c r="R18" s="24">
        <v>45352</v>
      </c>
      <c r="S18" s="55">
        <v>132.30000000000001</v>
      </c>
      <c r="T18" s="55">
        <v>134.19999999999999</v>
      </c>
      <c r="U18" s="55">
        <v>136.9</v>
      </c>
      <c r="V18" s="55">
        <v>137.4</v>
      </c>
      <c r="W18" s="55">
        <v>91.5</v>
      </c>
      <c r="X18" s="55">
        <v>100</v>
      </c>
    </row>
    <row r="19" spans="18:24" x14ac:dyDescent="0.35">
      <c r="R19" s="24">
        <v>45383</v>
      </c>
      <c r="S19" s="55">
        <v>131.6</v>
      </c>
      <c r="T19" s="55">
        <v>134.80000000000001</v>
      </c>
      <c r="U19" s="55">
        <v>135.4</v>
      </c>
      <c r="V19" s="55">
        <v>145</v>
      </c>
      <c r="W19" s="55">
        <v>94.8</v>
      </c>
      <c r="X19" s="55">
        <v>100</v>
      </c>
    </row>
    <row r="20" spans="18:24" x14ac:dyDescent="0.35">
      <c r="R20" s="24">
        <v>45413</v>
      </c>
      <c r="S20" s="55">
        <v>134.69999999999999</v>
      </c>
      <c r="T20" s="55">
        <v>138.5</v>
      </c>
      <c r="U20" s="55">
        <v>137.4</v>
      </c>
      <c r="V20" s="55">
        <v>162.9</v>
      </c>
      <c r="W20" s="55">
        <v>98.9</v>
      </c>
      <c r="X20" s="55">
        <v>100</v>
      </c>
    </row>
    <row r="21" spans="18:24" x14ac:dyDescent="0.35">
      <c r="R21" s="24">
        <v>45444</v>
      </c>
      <c r="S21" s="55">
        <v>134.5</v>
      </c>
      <c r="T21" s="55">
        <v>140.80000000000001</v>
      </c>
      <c r="U21" s="55">
        <v>149.19999999999999</v>
      </c>
      <c r="V21" s="55">
        <v>166.6</v>
      </c>
      <c r="W21" s="55">
        <v>95.7</v>
      </c>
      <c r="X21" s="55">
        <v>100</v>
      </c>
    </row>
    <row r="22" spans="18:24" x14ac:dyDescent="0.35">
      <c r="R22" s="24">
        <v>45474</v>
      </c>
      <c r="S22" s="55">
        <v>139.80000000000001</v>
      </c>
      <c r="T22" s="55">
        <v>139.30000000000001</v>
      </c>
      <c r="U22" s="55">
        <v>146.4</v>
      </c>
      <c r="V22" s="55">
        <v>169.9</v>
      </c>
      <c r="W22" s="55">
        <v>97.1</v>
      </c>
      <c r="X22" s="55">
        <v>100</v>
      </c>
    </row>
    <row r="23" spans="18:24" x14ac:dyDescent="0.35">
      <c r="R23" s="24">
        <v>45505</v>
      </c>
      <c r="S23" s="55"/>
      <c r="T23" s="55"/>
      <c r="U23" s="55">
        <v>145.69999999999999</v>
      </c>
      <c r="V23" s="55">
        <v>164.4</v>
      </c>
      <c r="W23" s="55">
        <v>99.1</v>
      </c>
      <c r="X23" s="55">
        <v>100</v>
      </c>
    </row>
    <row r="36" spans="1:14" x14ac:dyDescent="0.35">
      <c r="A36" s="2" t="s">
        <v>163</v>
      </c>
    </row>
    <row r="37" spans="1:14" x14ac:dyDescent="0.35">
      <c r="A37" s="61" t="s">
        <v>211</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47" spans="1:14" x14ac:dyDescent="0.35">
      <c r="A47" s="32" t="s">
        <v>601</v>
      </c>
    </row>
  </sheetData>
  <mergeCells count="1">
    <mergeCell ref="A37:N38"/>
  </mergeCells>
  <hyperlinks>
    <hyperlink ref="A47" location="'Read Me'!A1" display="Return to Read Me" xr:uid="{980F4D76-7643-45FF-A0B3-07FDF671090E}"/>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E124-DEE9-4CFD-B802-8B3FB2E54D93}">
  <dimension ref="A1:U47"/>
  <sheetViews>
    <sheetView zoomScale="70" zoomScaleNormal="70" workbookViewId="0">
      <selection activeCell="T28" sqref="T4:U28"/>
    </sheetView>
  </sheetViews>
  <sheetFormatPr defaultColWidth="8.58203125" defaultRowHeight="17.5" x14ac:dyDescent="0.35"/>
  <cols>
    <col min="1" max="16384" width="8.58203125" style="2"/>
  </cols>
  <sheetData>
    <row r="1" spans="1:21" s="7" customFormat="1" ht="25" x14ac:dyDescent="0.5">
      <c r="A1" s="7" t="s">
        <v>212</v>
      </c>
    </row>
    <row r="3" spans="1:21" x14ac:dyDescent="0.35">
      <c r="T3" s="2" t="s">
        <v>213</v>
      </c>
      <c r="U3" s="2" t="s">
        <v>214</v>
      </c>
    </row>
    <row r="4" spans="1:21" x14ac:dyDescent="0.35">
      <c r="R4" s="64" t="s">
        <v>36</v>
      </c>
      <c r="S4" s="25" t="s">
        <v>200</v>
      </c>
      <c r="T4" s="26">
        <v>0.27</v>
      </c>
      <c r="U4" s="26">
        <v>1.07</v>
      </c>
    </row>
    <row r="5" spans="1:21" x14ac:dyDescent="0.35">
      <c r="R5" s="64"/>
      <c r="S5" s="25" t="s">
        <v>201</v>
      </c>
      <c r="T5" s="26">
        <v>0.39</v>
      </c>
      <c r="U5" s="26">
        <v>1.07</v>
      </c>
    </row>
    <row r="6" spans="1:21" x14ac:dyDescent="0.35">
      <c r="R6" s="64"/>
      <c r="S6" s="25" t="s">
        <v>129</v>
      </c>
      <c r="T6" s="26">
        <v>0.28999999999999998</v>
      </c>
      <c r="U6" s="26">
        <v>1.07</v>
      </c>
    </row>
    <row r="7" spans="1:21" x14ac:dyDescent="0.35">
      <c r="R7" s="64"/>
      <c r="S7" s="25" t="s">
        <v>202</v>
      </c>
      <c r="T7" s="26">
        <v>0.27</v>
      </c>
      <c r="U7" s="26">
        <v>1.07</v>
      </c>
    </row>
    <row r="8" spans="1:21" x14ac:dyDescent="0.35">
      <c r="R8" s="64"/>
      <c r="S8" s="25" t="s">
        <v>128</v>
      </c>
      <c r="T8" s="26">
        <v>0.31</v>
      </c>
      <c r="U8" s="26">
        <v>1.07</v>
      </c>
    </row>
    <row r="9" spans="1:21" x14ac:dyDescent="0.35">
      <c r="R9" s="64" t="s">
        <v>35</v>
      </c>
      <c r="S9" s="25" t="s">
        <v>200</v>
      </c>
      <c r="T9" s="26">
        <v>1.08</v>
      </c>
      <c r="U9" s="26">
        <v>1.7</v>
      </c>
    </row>
    <row r="10" spans="1:21" x14ac:dyDescent="0.35">
      <c r="R10" s="64"/>
      <c r="S10" s="25" t="s">
        <v>201</v>
      </c>
      <c r="T10" s="26">
        <v>0.86</v>
      </c>
      <c r="U10" s="26">
        <v>1.7</v>
      </c>
    </row>
    <row r="11" spans="1:21" x14ac:dyDescent="0.35">
      <c r="R11" s="64"/>
      <c r="S11" s="25" t="s">
        <v>129</v>
      </c>
      <c r="T11" s="26">
        <v>0.35</v>
      </c>
      <c r="U11" s="26">
        <v>1.7</v>
      </c>
    </row>
    <row r="12" spans="1:21" x14ac:dyDescent="0.35">
      <c r="R12" s="64"/>
      <c r="S12" s="25" t="s">
        <v>202</v>
      </c>
      <c r="T12" s="26">
        <v>0.92</v>
      </c>
      <c r="U12" s="26">
        <v>1.7</v>
      </c>
    </row>
    <row r="13" spans="1:21" x14ac:dyDescent="0.35">
      <c r="R13" s="64"/>
      <c r="S13" s="25" t="s">
        <v>128</v>
      </c>
      <c r="T13" s="26">
        <v>0.82</v>
      </c>
      <c r="U13" s="26">
        <v>1.7</v>
      </c>
    </row>
    <row r="14" spans="1:21" x14ac:dyDescent="0.35">
      <c r="R14" s="64" t="s">
        <v>34</v>
      </c>
      <c r="S14" s="25" t="s">
        <v>200</v>
      </c>
      <c r="T14" s="26">
        <v>0.84</v>
      </c>
      <c r="U14" s="26">
        <v>1.17</v>
      </c>
    </row>
    <row r="15" spans="1:21" x14ac:dyDescent="0.35">
      <c r="R15" s="64"/>
      <c r="S15" s="25" t="s">
        <v>201</v>
      </c>
      <c r="T15" s="26">
        <v>0.61</v>
      </c>
      <c r="U15" s="26">
        <v>1.17</v>
      </c>
    </row>
    <row r="16" spans="1:21" x14ac:dyDescent="0.35">
      <c r="R16" s="64"/>
      <c r="S16" s="25" t="s">
        <v>129</v>
      </c>
      <c r="T16" s="26">
        <v>0.76</v>
      </c>
      <c r="U16" s="26">
        <v>1.17</v>
      </c>
    </row>
    <row r="17" spans="18:21" x14ac:dyDescent="0.35">
      <c r="R17" s="64"/>
      <c r="S17" s="25" t="s">
        <v>202</v>
      </c>
      <c r="T17" s="26">
        <v>1.1200000000000001</v>
      </c>
      <c r="U17" s="26">
        <v>1.17</v>
      </c>
    </row>
    <row r="18" spans="18:21" x14ac:dyDescent="0.35">
      <c r="R18" s="64"/>
      <c r="S18" s="25" t="s">
        <v>128</v>
      </c>
      <c r="T18" s="26">
        <v>0.38</v>
      </c>
      <c r="U18" s="26">
        <v>1.17</v>
      </c>
    </row>
    <row r="19" spans="18:21" x14ac:dyDescent="0.35">
      <c r="R19" s="64" t="s">
        <v>32</v>
      </c>
      <c r="S19" s="25" t="s">
        <v>200</v>
      </c>
      <c r="T19" s="26">
        <v>0.63</v>
      </c>
      <c r="U19" s="26">
        <v>0.65</v>
      </c>
    </row>
    <row r="20" spans="18:21" x14ac:dyDescent="0.35">
      <c r="R20" s="64"/>
      <c r="S20" s="25" t="s">
        <v>201</v>
      </c>
      <c r="T20" s="26">
        <v>0.48</v>
      </c>
      <c r="U20" s="26">
        <v>0.65</v>
      </c>
    </row>
    <row r="21" spans="18:21" x14ac:dyDescent="0.35">
      <c r="R21" s="64"/>
      <c r="S21" s="25" t="s">
        <v>129</v>
      </c>
      <c r="T21" s="26">
        <v>0.47</v>
      </c>
      <c r="U21" s="26">
        <v>0.65</v>
      </c>
    </row>
    <row r="22" spans="18:21" x14ac:dyDescent="0.35">
      <c r="R22" s="64"/>
      <c r="S22" s="25" t="s">
        <v>202</v>
      </c>
      <c r="T22" s="26">
        <v>0.56999999999999995</v>
      </c>
      <c r="U22" s="26">
        <v>0.65</v>
      </c>
    </row>
    <row r="23" spans="18:21" x14ac:dyDescent="0.35">
      <c r="R23" s="64"/>
      <c r="S23" s="25" t="s">
        <v>128</v>
      </c>
      <c r="T23" s="26">
        <v>0.23</v>
      </c>
      <c r="U23" s="26">
        <v>0.65</v>
      </c>
    </row>
    <row r="24" spans="18:21" x14ac:dyDescent="0.35">
      <c r="R24" s="64" t="s">
        <v>112</v>
      </c>
      <c r="S24" s="25" t="s">
        <v>200</v>
      </c>
      <c r="T24" s="26">
        <v>1.8</v>
      </c>
      <c r="U24" s="26">
        <v>3.06</v>
      </c>
    </row>
    <row r="25" spans="18:21" x14ac:dyDescent="0.35">
      <c r="R25" s="64"/>
      <c r="S25" s="25" t="s">
        <v>201</v>
      </c>
      <c r="T25" s="26">
        <v>1.17</v>
      </c>
      <c r="U25" s="26">
        <v>3.06</v>
      </c>
    </row>
    <row r="26" spans="18:21" x14ac:dyDescent="0.35">
      <c r="R26" s="64"/>
      <c r="S26" s="25" t="s">
        <v>129</v>
      </c>
      <c r="T26" s="26">
        <v>0.97</v>
      </c>
      <c r="U26" s="26">
        <v>3.06</v>
      </c>
    </row>
    <row r="27" spans="18:21" x14ac:dyDescent="0.35">
      <c r="R27" s="64"/>
      <c r="S27" s="25" t="s">
        <v>202</v>
      </c>
      <c r="T27" s="26">
        <v>0.99</v>
      </c>
      <c r="U27" s="26">
        <v>3.06</v>
      </c>
    </row>
    <row r="28" spans="18:21" x14ac:dyDescent="0.35">
      <c r="R28" s="64"/>
      <c r="S28" s="25" t="s">
        <v>128</v>
      </c>
      <c r="T28" s="26">
        <v>1.45</v>
      </c>
      <c r="U28" s="26">
        <v>3.06</v>
      </c>
    </row>
    <row r="36" spans="1:14" x14ac:dyDescent="0.35">
      <c r="A36" s="2" t="s">
        <v>626</v>
      </c>
    </row>
    <row r="37" spans="1:14" x14ac:dyDescent="0.35">
      <c r="A37" s="61" t="s">
        <v>215</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6">
    <mergeCell ref="A37:N40"/>
    <mergeCell ref="R4:R8"/>
    <mergeCell ref="R9:R13"/>
    <mergeCell ref="R14:R18"/>
    <mergeCell ref="R19:R23"/>
    <mergeCell ref="R24:R28"/>
  </mergeCells>
  <hyperlinks>
    <hyperlink ref="A47" location="'Read Me'!A1" display="Return to Read Me" xr:uid="{1C3B52E5-68C9-4FA8-AA27-C83396ED09BD}"/>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ABE7-E0E0-4AB4-9971-61A0EE80831F}">
  <dimension ref="A1:V47"/>
  <sheetViews>
    <sheetView zoomScale="70" zoomScaleNormal="70" workbookViewId="0">
      <selection activeCell="S8" sqref="S8"/>
    </sheetView>
  </sheetViews>
  <sheetFormatPr defaultColWidth="8.58203125" defaultRowHeight="17.5" x14ac:dyDescent="0.35"/>
  <cols>
    <col min="1" max="17" width="8.58203125" style="2"/>
    <col min="18" max="18" width="9.5" style="2" bestFit="1" customWidth="1"/>
    <col min="19" max="16384" width="8.58203125" style="2"/>
  </cols>
  <sheetData>
    <row r="1" spans="1:22" s="7" customFormat="1" ht="25" x14ac:dyDescent="0.5">
      <c r="A1" s="7" t="s">
        <v>216</v>
      </c>
    </row>
    <row r="3" spans="1:22" x14ac:dyDescent="0.35">
      <c r="S3" s="2" t="s">
        <v>120</v>
      </c>
      <c r="T3" s="2" t="s">
        <v>121</v>
      </c>
      <c r="U3" s="2" t="s">
        <v>179</v>
      </c>
      <c r="V3" s="2" t="s">
        <v>180</v>
      </c>
    </row>
    <row r="4" spans="1:22" x14ac:dyDescent="0.35">
      <c r="R4" s="2" t="s">
        <v>224</v>
      </c>
      <c r="S4" s="4">
        <v>-0.32</v>
      </c>
      <c r="T4" s="4">
        <v>-1.93</v>
      </c>
      <c r="U4" s="4">
        <v>0</v>
      </c>
      <c r="V4" s="4">
        <v>-2.27</v>
      </c>
    </row>
    <row r="5" spans="1:22" x14ac:dyDescent="0.35">
      <c r="R5" s="2" t="s">
        <v>223</v>
      </c>
      <c r="S5" s="4">
        <v>-0.52</v>
      </c>
      <c r="T5" s="4">
        <v>-0.24</v>
      </c>
      <c r="U5" s="4">
        <v>0</v>
      </c>
      <c r="V5" s="4">
        <v>-1.94</v>
      </c>
    </row>
    <row r="6" spans="1:22" x14ac:dyDescent="0.35">
      <c r="R6" s="2" t="s">
        <v>222</v>
      </c>
      <c r="S6" s="4">
        <v>-0.53</v>
      </c>
      <c r="T6" s="4">
        <v>1.36</v>
      </c>
      <c r="U6" s="4">
        <v>0</v>
      </c>
      <c r="V6" s="4">
        <v>-2.91</v>
      </c>
    </row>
    <row r="7" spans="1:22" x14ac:dyDescent="0.35">
      <c r="R7" s="2" t="s">
        <v>221</v>
      </c>
      <c r="S7" s="4">
        <v>-0.14000000000000001</v>
      </c>
      <c r="T7" s="4">
        <v>1.63</v>
      </c>
      <c r="U7" s="4">
        <v>0.02</v>
      </c>
      <c r="V7" s="4">
        <v>-3.45</v>
      </c>
    </row>
    <row r="8" spans="1:22" x14ac:dyDescent="0.35">
      <c r="R8" s="2" t="s">
        <v>220</v>
      </c>
      <c r="S8" s="4">
        <v>1.1100000000000001</v>
      </c>
      <c r="T8" s="4">
        <v>1.28</v>
      </c>
      <c r="U8" s="4">
        <v>0.04</v>
      </c>
      <c r="V8" s="4">
        <v>-2.77</v>
      </c>
    </row>
    <row r="9" spans="1:22" x14ac:dyDescent="0.35">
      <c r="R9" s="2" t="s">
        <v>219</v>
      </c>
      <c r="S9" s="4">
        <v>1.59</v>
      </c>
      <c r="T9" s="4">
        <v>0.5</v>
      </c>
      <c r="U9" s="4">
        <v>0.05</v>
      </c>
      <c r="V9" s="4">
        <v>-2.23</v>
      </c>
    </row>
    <row r="10" spans="1:22" x14ac:dyDescent="0.35">
      <c r="R10" s="2" t="s">
        <v>218</v>
      </c>
      <c r="S10" s="4">
        <v>1.03</v>
      </c>
      <c r="T10" s="4">
        <v>-0.04</v>
      </c>
      <c r="U10" s="4">
        <v>0.02</v>
      </c>
      <c r="V10" s="4">
        <v>-1.21</v>
      </c>
    </row>
    <row r="11" spans="1:22" x14ac:dyDescent="0.35">
      <c r="R11" s="2" t="s">
        <v>217</v>
      </c>
      <c r="S11" s="4">
        <v>0.05</v>
      </c>
      <c r="T11" s="4">
        <v>-0.65</v>
      </c>
      <c r="U11" s="4">
        <v>0.01</v>
      </c>
      <c r="V11" s="4">
        <v>-1.54</v>
      </c>
    </row>
    <row r="12" spans="1:22" x14ac:dyDescent="0.35">
      <c r="R12" s="2" t="s">
        <v>197</v>
      </c>
      <c r="S12" s="4">
        <v>-0.39</v>
      </c>
      <c r="T12" s="4">
        <v>-1.4</v>
      </c>
      <c r="U12" s="4">
        <v>-0.03</v>
      </c>
      <c r="V12" s="4">
        <v>0.06</v>
      </c>
    </row>
    <row r="13" spans="1:22" x14ac:dyDescent="0.35">
      <c r="R13" s="2" t="s">
        <v>198</v>
      </c>
      <c r="S13" s="4">
        <v>0.1</v>
      </c>
      <c r="T13" s="4">
        <v>-0.9</v>
      </c>
      <c r="U13" s="4">
        <v>-0.02</v>
      </c>
      <c r="V13" s="4">
        <v>0.47</v>
      </c>
    </row>
    <row r="14" spans="1:22" x14ac:dyDescent="0.35">
      <c r="R14" s="2" t="s">
        <v>130</v>
      </c>
      <c r="S14" s="4">
        <v>-0.45</v>
      </c>
      <c r="T14" s="4">
        <v>-0.13</v>
      </c>
      <c r="U14" s="4">
        <v>-0.02</v>
      </c>
      <c r="V14" s="4">
        <v>1.19</v>
      </c>
    </row>
    <row r="15" spans="1:22" x14ac:dyDescent="0.35">
      <c r="R15" s="2" t="s">
        <v>199</v>
      </c>
      <c r="S15" s="4">
        <v>-0.36</v>
      </c>
      <c r="T15" s="4">
        <v>0.39</v>
      </c>
      <c r="U15" s="4">
        <v>-0.01</v>
      </c>
      <c r="V15" s="4">
        <v>1.25</v>
      </c>
    </row>
    <row r="16" spans="1:22" x14ac:dyDescent="0.35">
      <c r="R16" s="2" t="s">
        <v>200</v>
      </c>
      <c r="S16" s="4">
        <v>-0.35</v>
      </c>
      <c r="T16" s="4">
        <v>0.73</v>
      </c>
      <c r="U16" s="4">
        <v>0</v>
      </c>
      <c r="V16" s="4">
        <v>1.73</v>
      </c>
    </row>
    <row r="17" spans="18:22" x14ac:dyDescent="0.35">
      <c r="R17" s="2" t="s">
        <v>201</v>
      </c>
      <c r="S17" s="4">
        <v>0.01</v>
      </c>
      <c r="T17" s="4">
        <v>0.74</v>
      </c>
      <c r="U17" s="4">
        <v>-0.01</v>
      </c>
      <c r="V17" s="4">
        <v>1.46</v>
      </c>
    </row>
    <row r="18" spans="18:22" x14ac:dyDescent="0.35">
      <c r="R18" s="2" t="s">
        <v>129</v>
      </c>
      <c r="S18" s="4">
        <v>0.03</v>
      </c>
      <c r="T18" s="4">
        <v>1.24</v>
      </c>
      <c r="U18" s="4">
        <v>-0.02</v>
      </c>
      <c r="V18" s="4">
        <v>0.81</v>
      </c>
    </row>
    <row r="19" spans="18:22" x14ac:dyDescent="0.35">
      <c r="R19" s="2" t="s">
        <v>202</v>
      </c>
      <c r="S19" s="4">
        <v>0.06</v>
      </c>
      <c r="T19" s="4">
        <v>1.04</v>
      </c>
      <c r="U19" s="4">
        <v>-0.03</v>
      </c>
      <c r="V19" s="4">
        <v>-0.04</v>
      </c>
    </row>
    <row r="20" spans="18:22" x14ac:dyDescent="0.35">
      <c r="R20" s="2" t="s">
        <v>128</v>
      </c>
      <c r="S20" s="4">
        <v>0.1</v>
      </c>
      <c r="T20" s="4">
        <v>1.21</v>
      </c>
      <c r="U20" s="4">
        <v>-0.01</v>
      </c>
      <c r="V20" s="4">
        <v>7.0000000000000007E-2</v>
      </c>
    </row>
    <row r="21" spans="18:22" x14ac:dyDescent="0.35">
      <c r="R21" s="2" t="s">
        <v>203</v>
      </c>
      <c r="S21" s="4">
        <v>-0.57999999999999996</v>
      </c>
      <c r="T21" s="4"/>
      <c r="U21" s="4">
        <v>0.02</v>
      </c>
      <c r="V21" s="4"/>
    </row>
    <row r="36" spans="1:14" x14ac:dyDescent="0.35">
      <c r="A36" s="2" t="s">
        <v>626</v>
      </c>
    </row>
    <row r="37" spans="1:14" x14ac:dyDescent="0.35">
      <c r="A37" s="61" t="s">
        <v>225</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47" spans="1:14" x14ac:dyDescent="0.35">
      <c r="A47" s="32" t="s">
        <v>601</v>
      </c>
    </row>
  </sheetData>
  <mergeCells count="1">
    <mergeCell ref="A37:N38"/>
  </mergeCells>
  <hyperlinks>
    <hyperlink ref="A47" location="'Read Me'!A1" display="Return to Read Me" xr:uid="{36F756B5-67A9-4180-B63F-6E7ED5E8D2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95AE-DFAD-4D89-9E18-BEB9F9A121CD}">
  <dimension ref="A1:V47"/>
  <sheetViews>
    <sheetView zoomScale="70" zoomScaleNormal="70" workbookViewId="0">
      <selection activeCell="A36" sqref="A36"/>
    </sheetView>
  </sheetViews>
  <sheetFormatPr defaultColWidth="8.58203125" defaultRowHeight="17.5" x14ac:dyDescent="0.35"/>
  <cols>
    <col min="1" max="16384" width="8.58203125" style="2"/>
  </cols>
  <sheetData>
    <row r="1" spans="1:22" s="7" customFormat="1" ht="25" x14ac:dyDescent="0.5">
      <c r="A1" s="7" t="s">
        <v>226</v>
      </c>
    </row>
    <row r="3" spans="1:22" x14ac:dyDescent="0.35">
      <c r="R3" s="12"/>
    </row>
    <row r="4" spans="1:22" x14ac:dyDescent="0.35">
      <c r="T4" s="53" t="s">
        <v>185</v>
      </c>
      <c r="U4" s="2" t="s">
        <v>603</v>
      </c>
      <c r="V4" s="2" t="s">
        <v>604</v>
      </c>
    </row>
    <row r="5" spans="1:22" x14ac:dyDescent="0.35">
      <c r="S5" s="53">
        <v>45352</v>
      </c>
      <c r="T5" s="53"/>
      <c r="U5" s="4" t="s">
        <v>605</v>
      </c>
    </row>
    <row r="6" spans="1:22" x14ac:dyDescent="0.35">
      <c r="R6" s="2" t="s">
        <v>33</v>
      </c>
      <c r="S6" s="56">
        <v>12.4</v>
      </c>
      <c r="T6" s="56">
        <v>13.3</v>
      </c>
      <c r="U6" s="11">
        <v>6.3</v>
      </c>
      <c r="V6" s="11">
        <v>6</v>
      </c>
    </row>
    <row r="7" spans="1:22" x14ac:dyDescent="0.35">
      <c r="R7" s="2" t="s">
        <v>35</v>
      </c>
      <c r="S7" s="56">
        <v>10</v>
      </c>
      <c r="T7" s="56">
        <v>10.3</v>
      </c>
      <c r="U7" s="11">
        <v>6.3</v>
      </c>
      <c r="V7" s="11">
        <v>6</v>
      </c>
    </row>
    <row r="8" spans="1:22" x14ac:dyDescent="0.35">
      <c r="R8" s="25" t="s">
        <v>36</v>
      </c>
      <c r="S8" s="56">
        <v>3.2</v>
      </c>
      <c r="T8" s="56">
        <v>3.5</v>
      </c>
      <c r="U8" s="11">
        <v>6.3</v>
      </c>
      <c r="V8" s="11">
        <v>6</v>
      </c>
    </row>
    <row r="9" spans="1:22" x14ac:dyDescent="0.35">
      <c r="R9" s="2" t="s">
        <v>34</v>
      </c>
      <c r="S9" s="56">
        <v>3.3</v>
      </c>
      <c r="T9" s="56">
        <v>3.6</v>
      </c>
      <c r="U9" s="11">
        <v>6.3</v>
      </c>
      <c r="V9" s="11">
        <v>6</v>
      </c>
    </row>
    <row r="10" spans="1:22" x14ac:dyDescent="0.35">
      <c r="R10" s="2" t="s">
        <v>37</v>
      </c>
      <c r="S10" s="56">
        <v>1.7</v>
      </c>
      <c r="T10" s="56">
        <v>0.9</v>
      </c>
      <c r="U10" s="11">
        <v>6.3</v>
      </c>
      <c r="V10" s="11">
        <v>6</v>
      </c>
    </row>
    <row r="11" spans="1:22" x14ac:dyDescent="0.35">
      <c r="R11" s="2" t="s">
        <v>32</v>
      </c>
      <c r="S11" s="56">
        <v>2.6</v>
      </c>
      <c r="T11" s="56">
        <v>3.1</v>
      </c>
      <c r="U11" s="11">
        <v>6.3</v>
      </c>
      <c r="V11" s="11">
        <v>6</v>
      </c>
    </row>
    <row r="36" spans="1:14" x14ac:dyDescent="0.35">
      <c r="A36" s="2" t="s">
        <v>155</v>
      </c>
    </row>
    <row r="37" spans="1:14" x14ac:dyDescent="0.35">
      <c r="A37" s="61" t="s">
        <v>631</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4ACF078B-D5D7-4E10-A2B1-E70B8381ECC2}"/>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35D1-8332-40A4-BE2F-775AE05665F6}">
  <dimension ref="A1:W47"/>
  <sheetViews>
    <sheetView zoomScale="55" zoomScaleNormal="55" workbookViewId="0">
      <selection activeCell="A47" sqref="A47"/>
    </sheetView>
  </sheetViews>
  <sheetFormatPr defaultColWidth="8.58203125" defaultRowHeight="17.5" x14ac:dyDescent="0.35"/>
  <cols>
    <col min="1" max="17" width="8.58203125" style="2"/>
    <col min="18" max="18" width="23.08203125" style="2" bestFit="1" customWidth="1"/>
    <col min="19" max="19" width="8.58203125" style="2"/>
    <col min="20" max="20" width="20.83203125" style="2" bestFit="1" customWidth="1"/>
    <col min="21" max="21" width="17.75" style="2" bestFit="1" customWidth="1"/>
    <col min="22" max="22" width="20.83203125" style="2" bestFit="1" customWidth="1"/>
    <col min="23" max="23" width="17.75" style="2" bestFit="1" customWidth="1"/>
    <col min="24" max="16384" width="8.58203125" style="2"/>
  </cols>
  <sheetData>
    <row r="1" spans="1:23" s="1" customFormat="1" ht="25" x14ac:dyDescent="0.5">
      <c r="A1" s="1" t="s">
        <v>227</v>
      </c>
    </row>
    <row r="3" spans="1:23" x14ac:dyDescent="0.35">
      <c r="T3" s="5" t="s">
        <v>0</v>
      </c>
      <c r="U3" s="5" t="s">
        <v>1</v>
      </c>
      <c r="V3" s="5" t="s">
        <v>0</v>
      </c>
      <c r="W3" s="5" t="s">
        <v>1</v>
      </c>
    </row>
    <row r="4" spans="1:23" x14ac:dyDescent="0.35">
      <c r="R4" s="2" t="s">
        <v>3</v>
      </c>
      <c r="S4" s="6">
        <v>2023</v>
      </c>
      <c r="T4" s="11">
        <v>6.6</v>
      </c>
      <c r="U4" s="11">
        <v>6.6</v>
      </c>
      <c r="V4" s="11"/>
      <c r="W4" s="11"/>
    </row>
    <row r="5" spans="1:23" x14ac:dyDescent="0.35">
      <c r="S5" s="6" t="s">
        <v>4</v>
      </c>
      <c r="T5" s="11">
        <v>6</v>
      </c>
      <c r="U5" s="11">
        <v>6.4</v>
      </c>
      <c r="V5" s="11"/>
      <c r="W5" s="11"/>
    </row>
    <row r="6" spans="1:23" x14ac:dyDescent="0.35">
      <c r="S6" s="6" t="s">
        <v>5</v>
      </c>
      <c r="T6" s="11">
        <v>6.1</v>
      </c>
      <c r="U6" s="11">
        <v>6.2</v>
      </c>
      <c r="V6" s="11"/>
      <c r="W6" s="11"/>
    </row>
    <row r="7" spans="1:23" x14ac:dyDescent="0.35">
      <c r="S7" s="6" t="s">
        <v>6</v>
      </c>
      <c r="T7" s="11"/>
      <c r="U7" s="11">
        <v>6.2</v>
      </c>
      <c r="V7" s="11"/>
      <c r="W7" s="11"/>
    </row>
    <row r="8" spans="1:23" x14ac:dyDescent="0.35">
      <c r="R8" s="2" t="s">
        <v>2</v>
      </c>
      <c r="S8" s="6">
        <v>2023</v>
      </c>
      <c r="T8" s="11"/>
      <c r="U8" s="11"/>
      <c r="V8" s="11">
        <v>3.9</v>
      </c>
      <c r="W8" s="11">
        <v>4</v>
      </c>
    </row>
    <row r="9" spans="1:23" x14ac:dyDescent="0.35">
      <c r="S9" s="6" t="s">
        <v>4</v>
      </c>
      <c r="T9" s="11"/>
      <c r="U9" s="11"/>
      <c r="V9" s="11">
        <v>3.5</v>
      </c>
      <c r="W9" s="11">
        <v>3.8</v>
      </c>
    </row>
    <row r="10" spans="1:23" x14ac:dyDescent="0.35">
      <c r="S10" s="6" t="s">
        <v>5</v>
      </c>
      <c r="T10" s="11"/>
      <c r="U10" s="11"/>
      <c r="V10" s="11">
        <v>3.8</v>
      </c>
      <c r="W10" s="11">
        <v>3.7</v>
      </c>
    </row>
    <row r="11" spans="1:23" x14ac:dyDescent="0.35">
      <c r="S11" s="6" t="s">
        <v>6</v>
      </c>
      <c r="T11" s="11"/>
      <c r="U11" s="11"/>
      <c r="V11" s="11"/>
      <c r="W11" s="11">
        <v>3.8</v>
      </c>
    </row>
    <row r="36" spans="1:14" x14ac:dyDescent="0.35">
      <c r="A36" s="2" t="s">
        <v>8</v>
      </c>
    </row>
    <row r="37" spans="1:14" ht="17.5" customHeight="1" x14ac:dyDescent="0.35">
      <c r="A37" s="61" t="s">
        <v>108</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769A94B0-4FB2-45F1-9AE0-998D7D643EF6}"/>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8738B-FF2F-45F7-BB16-644AE87BEA3A}">
  <dimension ref="A1:U47"/>
  <sheetViews>
    <sheetView zoomScale="70" zoomScaleNormal="70" workbookViewId="0">
      <selection activeCell="F37" sqref="F37"/>
    </sheetView>
  </sheetViews>
  <sheetFormatPr defaultColWidth="8.58203125" defaultRowHeight="17.5" x14ac:dyDescent="0.35"/>
  <cols>
    <col min="1" max="16384" width="8.58203125" style="2"/>
  </cols>
  <sheetData>
    <row r="1" spans="1:21" s="7" customFormat="1" ht="25" x14ac:dyDescent="0.5">
      <c r="A1" s="7" t="s">
        <v>228</v>
      </c>
    </row>
    <row r="3" spans="1:21" x14ac:dyDescent="0.35">
      <c r="R3" s="5" t="s">
        <v>229</v>
      </c>
      <c r="S3" s="5" t="s">
        <v>230</v>
      </c>
      <c r="T3" s="5" t="s">
        <v>231</v>
      </c>
    </row>
    <row r="4" spans="1:21" x14ac:dyDescent="0.35">
      <c r="R4" s="2">
        <v>5</v>
      </c>
      <c r="S4" s="2">
        <v>1</v>
      </c>
      <c r="T4" s="2">
        <v>1</v>
      </c>
      <c r="U4" s="5" t="s">
        <v>232</v>
      </c>
    </row>
    <row r="5" spans="1:21" x14ac:dyDescent="0.35">
      <c r="R5" s="2">
        <v>5</v>
      </c>
      <c r="S5" s="2">
        <v>0</v>
      </c>
      <c r="T5" s="2">
        <v>2</v>
      </c>
      <c r="U5" s="5" t="s">
        <v>233</v>
      </c>
    </row>
    <row r="36" spans="1:1" x14ac:dyDescent="0.35">
      <c r="A36" s="2" t="s">
        <v>235</v>
      </c>
    </row>
    <row r="37" spans="1:1" x14ac:dyDescent="0.35">
      <c r="A37" s="2" t="s">
        <v>234</v>
      </c>
    </row>
    <row r="47" spans="1:1" x14ac:dyDescent="0.35">
      <c r="A47" s="32" t="s">
        <v>601</v>
      </c>
    </row>
  </sheetData>
  <hyperlinks>
    <hyperlink ref="A47" location="'Read Me'!A1" display="Return to Read Me" xr:uid="{85CCE4F2-41B2-43C1-AA18-40ADE1F437A6}"/>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0328-AC6E-4CA7-B94A-02385E19711D}">
  <dimension ref="A1:V47"/>
  <sheetViews>
    <sheetView zoomScale="70" zoomScaleNormal="70" workbookViewId="0">
      <selection activeCell="R36" sqref="R36"/>
    </sheetView>
  </sheetViews>
  <sheetFormatPr defaultColWidth="8.58203125" defaultRowHeight="17.5" x14ac:dyDescent="0.35"/>
  <cols>
    <col min="1" max="16384" width="8.58203125" style="2"/>
  </cols>
  <sheetData>
    <row r="1" spans="1:22" s="7" customFormat="1" ht="25" x14ac:dyDescent="0.5">
      <c r="A1" s="7" t="s">
        <v>236</v>
      </c>
    </row>
    <row r="3" spans="1:22" x14ac:dyDescent="0.35">
      <c r="T3" s="5" t="s">
        <v>239</v>
      </c>
      <c r="U3" s="5" t="s">
        <v>237</v>
      </c>
      <c r="V3" s="5" t="s">
        <v>238</v>
      </c>
    </row>
    <row r="4" spans="1:22" x14ac:dyDescent="0.35">
      <c r="R4" s="5" t="s">
        <v>3</v>
      </c>
      <c r="S4" s="27">
        <v>2023</v>
      </c>
      <c r="T4" s="11">
        <v>6.6</v>
      </c>
      <c r="U4" s="11">
        <v>7.8</v>
      </c>
      <c r="V4" s="11">
        <v>-1.2</v>
      </c>
    </row>
    <row r="5" spans="1:22" x14ac:dyDescent="0.35">
      <c r="S5" s="5" t="s">
        <v>4</v>
      </c>
      <c r="T5" s="11">
        <v>6.4</v>
      </c>
      <c r="U5" s="11">
        <v>5.7</v>
      </c>
      <c r="V5" s="11">
        <v>0.6</v>
      </c>
    </row>
    <row r="6" spans="1:22" x14ac:dyDescent="0.35">
      <c r="S6" s="5" t="s">
        <v>5</v>
      </c>
      <c r="T6" s="11">
        <v>6.2</v>
      </c>
      <c r="U6" s="11">
        <v>6.2</v>
      </c>
      <c r="V6" s="11">
        <v>-0.1</v>
      </c>
    </row>
    <row r="7" spans="1:22" x14ac:dyDescent="0.35">
      <c r="S7" s="5" t="s">
        <v>6</v>
      </c>
      <c r="T7" s="11">
        <v>6.2</v>
      </c>
      <c r="U7" s="11">
        <v>6.3</v>
      </c>
      <c r="V7" s="11">
        <v>-0.2</v>
      </c>
    </row>
    <row r="8" spans="1:22" x14ac:dyDescent="0.35">
      <c r="R8" s="5" t="s">
        <v>240</v>
      </c>
      <c r="S8" s="27">
        <v>2023</v>
      </c>
      <c r="T8" s="11">
        <v>4</v>
      </c>
      <c r="U8" s="11">
        <v>4.5999999999999996</v>
      </c>
      <c r="V8" s="11">
        <v>-0.7</v>
      </c>
    </row>
    <row r="9" spans="1:22" x14ac:dyDescent="0.35">
      <c r="S9" s="5" t="s">
        <v>4</v>
      </c>
      <c r="T9" s="11">
        <v>3.8</v>
      </c>
      <c r="U9" s="11">
        <v>3.6</v>
      </c>
      <c r="V9" s="11">
        <v>0.1</v>
      </c>
    </row>
    <row r="10" spans="1:22" x14ac:dyDescent="0.35">
      <c r="S10" s="5" t="s">
        <v>5</v>
      </c>
      <c r="T10" s="11">
        <v>3.8</v>
      </c>
      <c r="U10" s="11">
        <v>3.7</v>
      </c>
      <c r="V10" s="11">
        <v>0</v>
      </c>
    </row>
    <row r="11" spans="1:22" x14ac:dyDescent="0.35">
      <c r="S11" s="5" t="s">
        <v>6</v>
      </c>
      <c r="T11" s="11">
        <v>3.8</v>
      </c>
      <c r="U11" s="11">
        <v>3.7</v>
      </c>
      <c r="V11" s="11">
        <v>0</v>
      </c>
    </row>
    <row r="36" spans="1:14" x14ac:dyDescent="0.35">
      <c r="A36" s="2" t="s">
        <v>235</v>
      </c>
    </row>
    <row r="37" spans="1:14" x14ac:dyDescent="0.35">
      <c r="A37" s="62" t="s">
        <v>241</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39" spans="1:14" x14ac:dyDescent="0.35">
      <c r="A39" s="62"/>
      <c r="B39" s="62"/>
      <c r="C39" s="62"/>
      <c r="D39" s="62"/>
      <c r="E39" s="62"/>
      <c r="F39" s="62"/>
      <c r="G39" s="62"/>
      <c r="H39" s="62"/>
      <c r="I39" s="62"/>
      <c r="J39" s="62"/>
      <c r="K39" s="62"/>
      <c r="L39" s="62"/>
      <c r="M39" s="62"/>
      <c r="N39" s="62"/>
    </row>
    <row r="40" spans="1:14" x14ac:dyDescent="0.35">
      <c r="A40" s="62"/>
      <c r="B40" s="62"/>
      <c r="C40" s="62"/>
      <c r="D40" s="62"/>
      <c r="E40" s="62"/>
      <c r="F40" s="62"/>
      <c r="G40" s="62"/>
      <c r="H40" s="62"/>
      <c r="I40" s="62"/>
      <c r="J40" s="62"/>
      <c r="K40" s="62"/>
      <c r="L40" s="62"/>
      <c r="M40" s="62"/>
      <c r="N40" s="62"/>
    </row>
    <row r="41" spans="1:14" x14ac:dyDescent="0.35">
      <c r="A41" s="62"/>
      <c r="B41" s="62"/>
      <c r="C41" s="62"/>
      <c r="D41" s="62"/>
      <c r="E41" s="62"/>
      <c r="F41" s="62"/>
      <c r="G41" s="62"/>
      <c r="H41" s="62"/>
      <c r="I41" s="62"/>
      <c r="J41" s="62"/>
      <c r="K41" s="62"/>
      <c r="L41" s="62"/>
      <c r="M41" s="62"/>
      <c r="N41" s="62"/>
    </row>
    <row r="47" spans="1:14" x14ac:dyDescent="0.35">
      <c r="A47" s="32" t="s">
        <v>601</v>
      </c>
    </row>
  </sheetData>
  <mergeCells count="1">
    <mergeCell ref="A37:N41"/>
  </mergeCells>
  <hyperlinks>
    <hyperlink ref="A47" location="'Read Me'!A1" display="Return to Read Me" xr:uid="{C96F1A18-0381-4951-9142-30696F753056}"/>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6BE2-50B4-4186-B7B5-C1FAF517E457}">
  <dimension ref="A1:U47"/>
  <sheetViews>
    <sheetView zoomScale="70" zoomScaleNormal="70" workbookViewId="0">
      <selection activeCell="A40" sqref="A40"/>
    </sheetView>
  </sheetViews>
  <sheetFormatPr defaultColWidth="8.58203125" defaultRowHeight="17.5" x14ac:dyDescent="0.35"/>
  <cols>
    <col min="1" max="16384" width="8.58203125" style="2"/>
  </cols>
  <sheetData>
    <row r="1" spans="1:21" s="7" customFormat="1" ht="25" x14ac:dyDescent="0.5">
      <c r="A1" s="7" t="s">
        <v>242</v>
      </c>
    </row>
    <row r="3" spans="1:21" x14ac:dyDescent="0.35">
      <c r="S3" s="21"/>
      <c r="T3" s="21" t="s">
        <v>243</v>
      </c>
      <c r="U3" s="21" t="s">
        <v>244</v>
      </c>
    </row>
    <row r="4" spans="1:21" x14ac:dyDescent="0.35">
      <c r="R4" s="2" t="s">
        <v>3</v>
      </c>
      <c r="S4" s="21">
        <v>2023</v>
      </c>
      <c r="T4" s="57">
        <v>-8</v>
      </c>
      <c r="U4" s="57">
        <v>-6.1</v>
      </c>
    </row>
    <row r="5" spans="1:21" x14ac:dyDescent="0.35">
      <c r="S5" s="21" t="s">
        <v>4</v>
      </c>
      <c r="T5" s="57">
        <v>-7.4</v>
      </c>
      <c r="U5" s="57">
        <v>-6.1</v>
      </c>
    </row>
    <row r="6" spans="1:21" x14ac:dyDescent="0.35">
      <c r="S6" s="21" t="s">
        <v>5</v>
      </c>
      <c r="T6" s="57">
        <v>-7.1</v>
      </c>
      <c r="U6" s="57">
        <v>-6.1</v>
      </c>
    </row>
    <row r="7" spans="1:21" x14ac:dyDescent="0.35">
      <c r="S7" s="21" t="s">
        <v>6</v>
      </c>
      <c r="T7" s="57">
        <v>-7</v>
      </c>
      <c r="U7" s="57">
        <v>-6.1</v>
      </c>
    </row>
    <row r="8" spans="1:21" x14ac:dyDescent="0.35">
      <c r="R8" s="21" t="s">
        <v>245</v>
      </c>
      <c r="S8" s="21">
        <v>2023</v>
      </c>
      <c r="T8" s="57">
        <v>-6.2</v>
      </c>
      <c r="U8" s="57">
        <v>-4.7</v>
      </c>
    </row>
    <row r="9" spans="1:21" x14ac:dyDescent="0.35">
      <c r="S9" s="21" t="s">
        <v>4</v>
      </c>
      <c r="T9" s="57">
        <v>-5.5</v>
      </c>
      <c r="U9" s="57">
        <v>-4.7</v>
      </c>
    </row>
    <row r="10" spans="1:21" x14ac:dyDescent="0.35">
      <c r="S10" s="21" t="s">
        <v>5</v>
      </c>
      <c r="T10" s="57">
        <v>-5.6</v>
      </c>
      <c r="U10" s="57">
        <v>-4.7</v>
      </c>
    </row>
    <row r="11" spans="1:21" x14ac:dyDescent="0.35">
      <c r="S11" s="21" t="s">
        <v>6</v>
      </c>
      <c r="T11" s="57">
        <v>-5.5</v>
      </c>
      <c r="U11" s="57">
        <v>-4.7</v>
      </c>
    </row>
    <row r="36" spans="1:14" x14ac:dyDescent="0.35">
      <c r="A36" s="2" t="s">
        <v>235</v>
      </c>
    </row>
    <row r="37" spans="1:14" ht="17.5" customHeight="1" x14ac:dyDescent="0.35">
      <c r="A37" s="61" t="s">
        <v>636</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28"/>
      <c r="B40" s="28"/>
      <c r="C40" s="28"/>
      <c r="D40" s="28"/>
      <c r="E40" s="28"/>
      <c r="F40" s="28"/>
      <c r="G40" s="28"/>
      <c r="H40" s="28"/>
      <c r="I40" s="28"/>
      <c r="J40" s="28"/>
      <c r="K40" s="28"/>
      <c r="L40" s="28"/>
      <c r="M40" s="28"/>
      <c r="N40" s="28"/>
    </row>
    <row r="47" spans="1:14" x14ac:dyDescent="0.35">
      <c r="A47" s="32" t="s">
        <v>601</v>
      </c>
    </row>
  </sheetData>
  <mergeCells count="1">
    <mergeCell ref="A37:N39"/>
  </mergeCells>
  <hyperlinks>
    <hyperlink ref="A47" location="'Read Me'!A1" display="Return to Read Me" xr:uid="{D8837B5E-0C81-4483-8876-D030CFE40D9C}"/>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DBF7-E88D-4854-ADAD-C1EB9574B220}">
  <dimension ref="A1:T47"/>
  <sheetViews>
    <sheetView zoomScale="70" zoomScaleNormal="70" workbookViewId="0">
      <selection activeCell="S5" sqref="S5:T8"/>
    </sheetView>
  </sheetViews>
  <sheetFormatPr defaultColWidth="8.58203125" defaultRowHeight="17.5" x14ac:dyDescent="0.35"/>
  <cols>
    <col min="1" max="16384" width="8.58203125" style="2"/>
  </cols>
  <sheetData>
    <row r="1" spans="1:20" s="7" customFormat="1" ht="25" x14ac:dyDescent="0.5">
      <c r="A1" s="7" t="s">
        <v>246</v>
      </c>
    </row>
    <row r="4" spans="1:20" x14ac:dyDescent="0.35">
      <c r="S4" s="2" t="s">
        <v>247</v>
      </c>
      <c r="T4" s="5" t="s">
        <v>248</v>
      </c>
    </row>
    <row r="5" spans="1:20" x14ac:dyDescent="0.35">
      <c r="R5" s="2">
        <v>2023</v>
      </c>
      <c r="S5" s="11">
        <v>-2.9</v>
      </c>
      <c r="T5" s="11">
        <v>-1</v>
      </c>
    </row>
    <row r="6" spans="1:20" x14ac:dyDescent="0.35">
      <c r="R6" s="5" t="s">
        <v>4</v>
      </c>
      <c r="S6" s="11">
        <v>-2.9</v>
      </c>
      <c r="T6" s="11">
        <v>-1.1000000000000001</v>
      </c>
    </row>
    <row r="7" spans="1:20" x14ac:dyDescent="0.35">
      <c r="R7" s="5" t="s">
        <v>5</v>
      </c>
      <c r="S7" s="11">
        <v>-2.9</v>
      </c>
      <c r="T7" s="11">
        <v>-0.9</v>
      </c>
    </row>
    <row r="8" spans="1:20" x14ac:dyDescent="0.35">
      <c r="R8" s="5" t="s">
        <v>6</v>
      </c>
      <c r="S8" s="11">
        <v>-2.9</v>
      </c>
      <c r="T8" s="11">
        <v>-0.7</v>
      </c>
    </row>
    <row r="36" spans="1:14" x14ac:dyDescent="0.35">
      <c r="A36" s="2" t="s">
        <v>235</v>
      </c>
    </row>
    <row r="37" spans="1:14" x14ac:dyDescent="0.35">
      <c r="A37" s="61" t="s">
        <v>249</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7" spans="1:14" x14ac:dyDescent="0.35">
      <c r="A47" s="32" t="s">
        <v>601</v>
      </c>
    </row>
  </sheetData>
  <mergeCells count="1">
    <mergeCell ref="A37:N39"/>
  </mergeCells>
  <hyperlinks>
    <hyperlink ref="A47" location="'Read Me'!A1" display="Return to Read Me" xr:uid="{F067C94D-C6F5-479E-B409-82FF34A05555}"/>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E5F2-93D4-41BB-8E72-76C1FE92D6EF}">
  <dimension ref="A1:U47"/>
  <sheetViews>
    <sheetView zoomScale="70" zoomScaleNormal="70" workbookViewId="0">
      <selection activeCell="V8" sqref="V8"/>
    </sheetView>
  </sheetViews>
  <sheetFormatPr defaultColWidth="8.58203125" defaultRowHeight="17.5" x14ac:dyDescent="0.35"/>
  <cols>
    <col min="1" max="16384" width="8.58203125" style="2"/>
  </cols>
  <sheetData>
    <row r="1" spans="1:21" s="7" customFormat="1" ht="25" x14ac:dyDescent="0.5">
      <c r="A1" s="7" t="s">
        <v>250</v>
      </c>
    </row>
    <row r="3" spans="1:21" x14ac:dyDescent="0.35">
      <c r="U3" s="2" t="s">
        <v>247</v>
      </c>
    </row>
    <row r="4" spans="1:21" x14ac:dyDescent="0.35">
      <c r="R4" s="5" t="s">
        <v>3</v>
      </c>
      <c r="S4" s="2">
        <v>2023</v>
      </c>
      <c r="T4" s="11">
        <v>7.7</v>
      </c>
      <c r="U4" s="11">
        <v>4.3</v>
      </c>
    </row>
    <row r="5" spans="1:21" x14ac:dyDescent="0.35">
      <c r="S5" s="2" t="s">
        <v>4</v>
      </c>
      <c r="T5" s="11">
        <v>4.5</v>
      </c>
      <c r="U5" s="11">
        <v>4.3</v>
      </c>
    </row>
    <row r="6" spans="1:21" x14ac:dyDescent="0.35">
      <c r="S6" s="2" t="s">
        <v>5</v>
      </c>
      <c r="T6" s="11">
        <v>5</v>
      </c>
      <c r="U6" s="11">
        <v>4.3</v>
      </c>
    </row>
    <row r="7" spans="1:21" x14ac:dyDescent="0.35">
      <c r="S7" s="2" t="s">
        <v>6</v>
      </c>
      <c r="T7" s="11">
        <v>4.5</v>
      </c>
      <c r="U7" s="11">
        <v>4.3</v>
      </c>
    </row>
    <row r="8" spans="1:21" x14ac:dyDescent="0.35">
      <c r="R8" s="5" t="s">
        <v>245</v>
      </c>
      <c r="S8" s="2">
        <v>2023</v>
      </c>
      <c r="T8" s="11">
        <v>8.4</v>
      </c>
      <c r="U8" s="11">
        <v>4.4000000000000004</v>
      </c>
    </row>
    <row r="9" spans="1:21" x14ac:dyDescent="0.35">
      <c r="S9" s="2" t="s">
        <v>4</v>
      </c>
      <c r="T9" s="11">
        <v>4.8</v>
      </c>
      <c r="U9" s="11">
        <v>4.4000000000000004</v>
      </c>
    </row>
    <row r="10" spans="1:21" x14ac:dyDescent="0.35">
      <c r="S10" s="2" t="s">
        <v>5</v>
      </c>
      <c r="T10" s="11">
        <v>6.4</v>
      </c>
      <c r="U10" s="11">
        <v>4.4000000000000004</v>
      </c>
    </row>
    <row r="11" spans="1:21" x14ac:dyDescent="0.35">
      <c r="S11" s="2" t="s">
        <v>6</v>
      </c>
      <c r="T11" s="11">
        <v>4.8</v>
      </c>
      <c r="U11" s="11">
        <v>4.4000000000000004</v>
      </c>
    </row>
    <row r="36" spans="1:13" x14ac:dyDescent="0.35">
      <c r="A36" s="2" t="s">
        <v>235</v>
      </c>
    </row>
    <row r="37" spans="1:13" ht="17.5" customHeight="1" x14ac:dyDescent="0.35">
      <c r="A37" s="61" t="s">
        <v>251</v>
      </c>
      <c r="B37" s="61"/>
      <c r="C37" s="61"/>
      <c r="D37" s="61"/>
      <c r="E37" s="61"/>
      <c r="F37" s="61"/>
      <c r="G37" s="61"/>
      <c r="H37" s="61"/>
      <c r="I37" s="61"/>
      <c r="J37" s="61"/>
      <c r="K37" s="61"/>
      <c r="L37" s="61"/>
      <c r="M37" s="61"/>
    </row>
    <row r="38" spans="1:13" x14ac:dyDescent="0.35">
      <c r="A38" s="61"/>
      <c r="B38" s="61"/>
      <c r="C38" s="61"/>
      <c r="D38" s="61"/>
      <c r="E38" s="61"/>
      <c r="F38" s="61"/>
      <c r="G38" s="61"/>
      <c r="H38" s="61"/>
      <c r="I38" s="61"/>
      <c r="J38" s="61"/>
      <c r="K38" s="61"/>
      <c r="L38" s="61"/>
      <c r="M38" s="61"/>
    </row>
    <row r="39" spans="1:13" x14ac:dyDescent="0.35">
      <c r="A39" s="61"/>
      <c r="B39" s="61"/>
      <c r="C39" s="61"/>
      <c r="D39" s="61"/>
      <c r="E39" s="61"/>
      <c r="F39" s="61"/>
      <c r="G39" s="61"/>
      <c r="H39" s="61"/>
      <c r="I39" s="61"/>
      <c r="J39" s="61"/>
      <c r="K39" s="61"/>
      <c r="L39" s="61"/>
      <c r="M39" s="61"/>
    </row>
    <row r="47" spans="1:13" x14ac:dyDescent="0.35">
      <c r="A47" s="32" t="s">
        <v>601</v>
      </c>
    </row>
  </sheetData>
  <mergeCells count="1">
    <mergeCell ref="A37:M39"/>
  </mergeCells>
  <hyperlinks>
    <hyperlink ref="A47" location="'Read Me'!A1" display="Return to Read Me" xr:uid="{843B8D8E-9046-47BC-9675-E282088032D8}"/>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306D-5CCF-48AC-AEFE-1C4186CED80D}">
  <dimension ref="A1:T47"/>
  <sheetViews>
    <sheetView zoomScale="70" zoomScaleNormal="70" workbookViewId="0">
      <selection activeCell="A42" sqref="A42"/>
    </sheetView>
  </sheetViews>
  <sheetFormatPr defaultColWidth="8.58203125" defaultRowHeight="17.5" x14ac:dyDescent="0.35"/>
  <cols>
    <col min="1" max="16384" width="8.58203125" style="2"/>
  </cols>
  <sheetData>
    <row r="1" spans="1:20" s="7" customFormat="1" ht="25" x14ac:dyDescent="0.5">
      <c r="A1" s="7" t="s">
        <v>252</v>
      </c>
    </row>
    <row r="3" spans="1:20" x14ac:dyDescent="0.35">
      <c r="R3" s="29"/>
      <c r="S3" s="29" t="s">
        <v>253</v>
      </c>
      <c r="T3" s="29" t="s">
        <v>254</v>
      </c>
    </row>
    <row r="4" spans="1:20" x14ac:dyDescent="0.35">
      <c r="R4" s="30" t="s">
        <v>15</v>
      </c>
      <c r="S4" s="58">
        <v>18.7</v>
      </c>
      <c r="T4" s="58">
        <v>57.9</v>
      </c>
    </row>
    <row r="5" spans="1:20" x14ac:dyDescent="0.35">
      <c r="R5" s="30" t="s">
        <v>13</v>
      </c>
      <c r="S5" s="58">
        <v>43.5</v>
      </c>
      <c r="T5" s="58">
        <v>44</v>
      </c>
    </row>
    <row r="6" spans="1:20" x14ac:dyDescent="0.35">
      <c r="R6" s="30" t="s">
        <v>11</v>
      </c>
      <c r="S6" s="58">
        <v>58.5</v>
      </c>
      <c r="T6" s="58">
        <v>45.8</v>
      </c>
    </row>
    <row r="7" spans="1:20" x14ac:dyDescent="0.35">
      <c r="R7" s="30" t="s">
        <v>12</v>
      </c>
      <c r="S7" s="58">
        <v>55</v>
      </c>
      <c r="T7" s="58">
        <v>54.4</v>
      </c>
    </row>
    <row r="8" spans="1:20" x14ac:dyDescent="0.35">
      <c r="R8" s="30" t="s">
        <v>14</v>
      </c>
      <c r="S8" s="58">
        <v>68.900000000000006</v>
      </c>
      <c r="T8" s="58">
        <v>52.4</v>
      </c>
    </row>
    <row r="9" spans="1:20" x14ac:dyDescent="0.35">
      <c r="R9" s="29" t="s">
        <v>3</v>
      </c>
      <c r="S9" s="58">
        <v>56</v>
      </c>
      <c r="T9" s="58">
        <v>75.8</v>
      </c>
    </row>
    <row r="36" spans="1:14" x14ac:dyDescent="0.35">
      <c r="A36" s="2" t="s">
        <v>255</v>
      </c>
    </row>
    <row r="37" spans="1:14" x14ac:dyDescent="0.35">
      <c r="A37" s="62" t="s">
        <v>637</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39" spans="1:14" x14ac:dyDescent="0.35">
      <c r="A39" s="62"/>
      <c r="B39" s="62"/>
      <c r="C39" s="62"/>
      <c r="D39" s="62"/>
      <c r="E39" s="62"/>
      <c r="F39" s="62"/>
      <c r="G39" s="62"/>
      <c r="H39" s="62"/>
      <c r="I39" s="62"/>
      <c r="J39" s="62"/>
      <c r="K39" s="62"/>
      <c r="L39" s="62"/>
      <c r="M39" s="62"/>
      <c r="N39" s="62"/>
    </row>
    <row r="40" spans="1:14" x14ac:dyDescent="0.35">
      <c r="A40" s="62"/>
      <c r="B40" s="62"/>
      <c r="C40" s="62"/>
      <c r="D40" s="62"/>
      <c r="E40" s="62"/>
      <c r="F40" s="62"/>
      <c r="G40" s="62"/>
      <c r="H40" s="62"/>
      <c r="I40" s="62"/>
      <c r="J40" s="62"/>
      <c r="K40" s="62"/>
      <c r="L40" s="62"/>
      <c r="M40" s="62"/>
      <c r="N40" s="62"/>
    </row>
    <row r="41" spans="1:14" x14ac:dyDescent="0.35">
      <c r="A41" s="62"/>
      <c r="B41" s="62"/>
      <c r="C41" s="62"/>
      <c r="D41" s="62"/>
      <c r="E41" s="62"/>
      <c r="F41" s="62"/>
      <c r="G41" s="62"/>
      <c r="H41" s="62"/>
      <c r="I41" s="62"/>
      <c r="J41" s="62"/>
      <c r="K41" s="62"/>
      <c r="L41" s="62"/>
      <c r="M41" s="62"/>
      <c r="N41" s="62"/>
    </row>
    <row r="47" spans="1:14" x14ac:dyDescent="0.35">
      <c r="A47" s="32" t="s">
        <v>601</v>
      </c>
    </row>
  </sheetData>
  <mergeCells count="1">
    <mergeCell ref="A37:N41"/>
  </mergeCells>
  <hyperlinks>
    <hyperlink ref="A47" location="'Read Me'!A1" display="Return to Read Me" xr:uid="{2DF980F3-C90B-4097-A870-89D808FAE004}"/>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54878-45EE-4805-B1AE-1B2FBFEAF064}">
  <dimension ref="A1:T47"/>
  <sheetViews>
    <sheetView zoomScale="70" zoomScaleNormal="70" workbookViewId="0">
      <selection activeCell="A37" sqref="A37:N40"/>
    </sheetView>
  </sheetViews>
  <sheetFormatPr defaultColWidth="8.58203125" defaultRowHeight="17.5" x14ac:dyDescent="0.35"/>
  <cols>
    <col min="1" max="16384" width="8.58203125" style="2"/>
  </cols>
  <sheetData>
    <row r="1" spans="1:20" s="7" customFormat="1" ht="25" x14ac:dyDescent="0.5">
      <c r="A1" s="7" t="s">
        <v>600</v>
      </c>
    </row>
    <row r="3" spans="1:20" x14ac:dyDescent="0.35">
      <c r="S3" s="2" t="s">
        <v>256</v>
      </c>
      <c r="T3" s="2" t="s">
        <v>112</v>
      </c>
    </row>
    <row r="4" spans="1:20" x14ac:dyDescent="0.35">
      <c r="R4" s="2" t="s">
        <v>32</v>
      </c>
      <c r="S4" s="11">
        <v>9.9</v>
      </c>
      <c r="T4" s="11">
        <v>3.3</v>
      </c>
    </row>
    <row r="5" spans="1:20" x14ac:dyDescent="0.35">
      <c r="R5" s="2" t="s">
        <v>35</v>
      </c>
      <c r="S5" s="11">
        <v>6.5</v>
      </c>
      <c r="T5" s="11">
        <v>3.3</v>
      </c>
    </row>
    <row r="6" spans="1:20" x14ac:dyDescent="0.35">
      <c r="R6" s="2" t="s">
        <v>36</v>
      </c>
      <c r="S6" s="11">
        <v>4.9000000000000004</v>
      </c>
      <c r="T6" s="11">
        <v>3.3</v>
      </c>
    </row>
    <row r="7" spans="1:20" x14ac:dyDescent="0.35">
      <c r="R7" s="2" t="s">
        <v>37</v>
      </c>
      <c r="S7" s="11">
        <v>3.5</v>
      </c>
      <c r="T7" s="11">
        <v>3.3</v>
      </c>
    </row>
    <row r="8" spans="1:20" x14ac:dyDescent="0.35">
      <c r="R8" s="2" t="s">
        <v>33</v>
      </c>
      <c r="S8" s="11">
        <v>3</v>
      </c>
      <c r="T8" s="11">
        <v>3.3</v>
      </c>
    </row>
    <row r="36" spans="1:14" x14ac:dyDescent="0.35">
      <c r="A36" s="2" t="s">
        <v>272</v>
      </c>
    </row>
    <row r="37" spans="1:14" x14ac:dyDescent="0.35">
      <c r="A37" s="62" t="s">
        <v>258</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39" spans="1:14" x14ac:dyDescent="0.35">
      <c r="A39" s="62"/>
      <c r="B39" s="62"/>
      <c r="C39" s="62"/>
      <c r="D39" s="62"/>
      <c r="E39" s="62"/>
      <c r="F39" s="62"/>
      <c r="G39" s="62"/>
      <c r="H39" s="62"/>
      <c r="I39" s="62"/>
      <c r="J39" s="62"/>
      <c r="K39" s="62"/>
      <c r="L39" s="62"/>
      <c r="M39" s="62"/>
      <c r="N39" s="62"/>
    </row>
    <row r="40" spans="1:14" x14ac:dyDescent="0.35">
      <c r="A40" s="62"/>
      <c r="B40" s="62"/>
      <c r="C40" s="62"/>
      <c r="D40" s="62"/>
      <c r="E40" s="62"/>
      <c r="F40" s="62"/>
      <c r="G40" s="62"/>
      <c r="H40" s="62"/>
      <c r="I40" s="62"/>
      <c r="J40" s="62"/>
      <c r="K40" s="62"/>
      <c r="L40" s="62"/>
      <c r="M40" s="62"/>
      <c r="N40" s="62"/>
    </row>
    <row r="47" spans="1:14" x14ac:dyDescent="0.35">
      <c r="A47" s="32" t="s">
        <v>601</v>
      </c>
    </row>
  </sheetData>
  <mergeCells count="1">
    <mergeCell ref="A37:N40"/>
  </mergeCells>
  <hyperlinks>
    <hyperlink ref="A47" location="'Read Me'!A1" display="Return to Read Me" xr:uid="{0C5DD006-D9D1-4F2F-ABE2-6C367BE72694}"/>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B023-9729-4B88-BAD0-E6DEC1719771}">
  <dimension ref="A1:V47"/>
  <sheetViews>
    <sheetView zoomScale="70" zoomScaleNormal="70" workbookViewId="0">
      <selection activeCell="A37" sqref="A37:N40"/>
    </sheetView>
  </sheetViews>
  <sheetFormatPr defaultColWidth="8.58203125" defaultRowHeight="17.5" x14ac:dyDescent="0.35"/>
  <cols>
    <col min="1" max="16384" width="8.58203125" style="2"/>
  </cols>
  <sheetData>
    <row r="1" spans="1:22" s="7" customFormat="1" ht="25" x14ac:dyDescent="0.5">
      <c r="A1" s="7" t="s">
        <v>259</v>
      </c>
    </row>
    <row r="3" spans="1:22" x14ac:dyDescent="0.35">
      <c r="S3" s="2" t="s">
        <v>260</v>
      </c>
      <c r="T3" s="2" t="s">
        <v>4</v>
      </c>
      <c r="U3" s="2" t="s">
        <v>5</v>
      </c>
      <c r="V3" s="2" t="s">
        <v>6</v>
      </c>
    </row>
    <row r="4" spans="1:22" x14ac:dyDescent="0.35">
      <c r="R4" s="2" t="s">
        <v>3</v>
      </c>
      <c r="S4" s="11">
        <v>30.1</v>
      </c>
      <c r="T4" s="11">
        <v>32</v>
      </c>
      <c r="U4" s="11">
        <v>32.299999999999997</v>
      </c>
      <c r="V4" s="11">
        <v>29.4</v>
      </c>
    </row>
    <row r="5" spans="1:22" x14ac:dyDescent="0.35">
      <c r="R5" s="2" t="s">
        <v>112</v>
      </c>
      <c r="S5" s="11">
        <v>6.6</v>
      </c>
      <c r="T5" s="11">
        <v>15.2</v>
      </c>
      <c r="U5" s="11">
        <v>17.600000000000001</v>
      </c>
      <c r="V5" s="11">
        <v>18.2</v>
      </c>
    </row>
    <row r="36" spans="1:14" x14ac:dyDescent="0.35">
      <c r="A36" s="2" t="s">
        <v>257</v>
      </c>
    </row>
    <row r="37" spans="1:14" x14ac:dyDescent="0.35">
      <c r="A37" s="62" t="s">
        <v>261</v>
      </c>
      <c r="B37" s="62"/>
      <c r="C37" s="62"/>
      <c r="D37" s="62"/>
      <c r="E37" s="62"/>
      <c r="F37" s="62"/>
      <c r="G37" s="62"/>
      <c r="H37" s="62"/>
      <c r="I37" s="62"/>
      <c r="J37" s="62"/>
      <c r="K37" s="62"/>
      <c r="L37" s="62"/>
      <c r="M37" s="62"/>
      <c r="N37" s="62"/>
    </row>
    <row r="38" spans="1:14" x14ac:dyDescent="0.35">
      <c r="A38" s="62"/>
      <c r="B38" s="62"/>
      <c r="C38" s="62"/>
      <c r="D38" s="62"/>
      <c r="E38" s="62"/>
      <c r="F38" s="62"/>
      <c r="G38" s="62"/>
      <c r="H38" s="62"/>
      <c r="I38" s="62"/>
      <c r="J38" s="62"/>
      <c r="K38" s="62"/>
      <c r="L38" s="62"/>
      <c r="M38" s="62"/>
      <c r="N38" s="62"/>
    </row>
    <row r="39" spans="1:14" x14ac:dyDescent="0.35">
      <c r="A39" s="62"/>
      <c r="B39" s="62"/>
      <c r="C39" s="62"/>
      <c r="D39" s="62"/>
      <c r="E39" s="62"/>
      <c r="F39" s="62"/>
      <c r="G39" s="62"/>
      <c r="H39" s="62"/>
      <c r="I39" s="62"/>
      <c r="J39" s="62"/>
      <c r="K39" s="62"/>
      <c r="L39" s="62"/>
      <c r="M39" s="62"/>
      <c r="N39" s="62"/>
    </row>
    <row r="40" spans="1:14" x14ac:dyDescent="0.35">
      <c r="A40" s="62"/>
      <c r="B40" s="62"/>
      <c r="C40" s="62"/>
      <c r="D40" s="62"/>
      <c r="E40" s="62"/>
      <c r="F40" s="62"/>
      <c r="G40" s="62"/>
      <c r="H40" s="62"/>
      <c r="I40" s="62"/>
      <c r="J40" s="62"/>
      <c r="K40" s="62"/>
      <c r="L40" s="62"/>
      <c r="M40" s="62"/>
      <c r="N40" s="62"/>
    </row>
    <row r="47" spans="1:14" x14ac:dyDescent="0.35">
      <c r="A47" s="32" t="s">
        <v>601</v>
      </c>
    </row>
  </sheetData>
  <mergeCells count="1">
    <mergeCell ref="A37:N40"/>
  </mergeCells>
  <hyperlinks>
    <hyperlink ref="A47" location="'Read Me'!A1" display="Return to Read Me" xr:uid="{DD4A6F96-3794-4581-938B-BCA3C3D4E421}"/>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A249-2F57-4FCB-9FE6-6CE4AB2BE4A9}">
  <dimension ref="A1:X47"/>
  <sheetViews>
    <sheetView zoomScale="70" zoomScaleNormal="70" workbookViewId="0">
      <selection activeCell="R7" sqref="R7"/>
    </sheetView>
  </sheetViews>
  <sheetFormatPr defaultColWidth="8.58203125" defaultRowHeight="17.5" x14ac:dyDescent="0.35"/>
  <cols>
    <col min="1" max="16384" width="8.58203125" style="2"/>
  </cols>
  <sheetData>
    <row r="1" spans="1:24" s="7" customFormat="1" ht="25" x14ac:dyDescent="0.5">
      <c r="A1" s="7" t="s">
        <v>632</v>
      </c>
    </row>
    <row r="3" spans="1:24" x14ac:dyDescent="0.35">
      <c r="R3" s="2" t="s">
        <v>263</v>
      </c>
      <c r="S3" s="2" t="s">
        <v>15</v>
      </c>
      <c r="T3" s="2" t="s">
        <v>3</v>
      </c>
      <c r="U3" s="2" t="s">
        <v>12</v>
      </c>
      <c r="V3" s="2" t="s">
        <v>14</v>
      </c>
      <c r="W3" s="2" t="s">
        <v>11</v>
      </c>
      <c r="X3" s="2" t="s">
        <v>13</v>
      </c>
    </row>
    <row r="4" spans="1:24" x14ac:dyDescent="0.35">
      <c r="R4" s="2" t="s">
        <v>266</v>
      </c>
      <c r="S4" s="11">
        <v>20.6</v>
      </c>
      <c r="T4" s="11">
        <v>20.6</v>
      </c>
      <c r="U4" s="11">
        <v>24.6</v>
      </c>
      <c r="V4" s="11">
        <v>27.8</v>
      </c>
      <c r="W4" s="11">
        <v>28</v>
      </c>
      <c r="X4" s="11">
        <v>33.700000000000003</v>
      </c>
    </row>
    <row r="5" spans="1:24" x14ac:dyDescent="0.35">
      <c r="R5" s="2" t="s">
        <v>264</v>
      </c>
      <c r="S5" s="11">
        <v>5.0999999999999996</v>
      </c>
      <c r="T5" s="11">
        <v>8.1</v>
      </c>
      <c r="U5" s="11">
        <v>6.4</v>
      </c>
      <c r="V5" s="11">
        <v>10</v>
      </c>
      <c r="W5" s="11">
        <v>11.4</v>
      </c>
      <c r="X5" s="11">
        <v>4.5</v>
      </c>
    </row>
    <row r="6" spans="1:24" x14ac:dyDescent="0.35">
      <c r="R6" s="2" t="s">
        <v>265</v>
      </c>
      <c r="S6" s="11">
        <v>4</v>
      </c>
      <c r="T6" s="11">
        <v>5.7</v>
      </c>
      <c r="U6" s="11">
        <v>5.9</v>
      </c>
      <c r="V6" s="11">
        <v>3</v>
      </c>
      <c r="W6" s="11">
        <v>13.3</v>
      </c>
      <c r="X6" s="11">
        <v>5.4</v>
      </c>
    </row>
    <row r="7" spans="1:24" x14ac:dyDescent="0.35">
      <c r="R7" s="2" t="s">
        <v>10</v>
      </c>
      <c r="S7" s="11">
        <v>23.5</v>
      </c>
      <c r="T7" s="11">
        <v>23.5</v>
      </c>
      <c r="U7" s="11">
        <v>23.5</v>
      </c>
      <c r="V7" s="11">
        <v>23.5</v>
      </c>
      <c r="W7" s="11">
        <v>23.5</v>
      </c>
      <c r="X7" s="11">
        <v>23.5</v>
      </c>
    </row>
    <row r="36" spans="1:14" x14ac:dyDescent="0.35">
      <c r="A36" s="2" t="s">
        <v>235</v>
      </c>
    </row>
    <row r="37" spans="1:14" ht="17.5" customHeight="1" x14ac:dyDescent="0.35">
      <c r="A37" s="61" t="s">
        <v>267</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7" spans="1:14" x14ac:dyDescent="0.35">
      <c r="A47" s="32" t="s">
        <v>601</v>
      </c>
    </row>
  </sheetData>
  <mergeCells count="1">
    <mergeCell ref="A37:N40"/>
  </mergeCells>
  <hyperlinks>
    <hyperlink ref="A47" location="'Read Me'!A1" display="Return to Read Me" xr:uid="{74AB1790-5799-4412-A77E-06452AFD4471}"/>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E14A-AE76-40B9-A2BC-98EAFE384AA0}">
  <dimension ref="A1:X47"/>
  <sheetViews>
    <sheetView zoomScale="70" zoomScaleNormal="70" workbookViewId="0">
      <selection activeCell="U4" sqref="U4"/>
    </sheetView>
  </sheetViews>
  <sheetFormatPr defaultColWidth="8.58203125" defaultRowHeight="17.5" x14ac:dyDescent="0.35"/>
  <cols>
    <col min="1" max="16384" width="8.58203125" style="2"/>
  </cols>
  <sheetData>
    <row r="1" spans="1:24" s="7" customFormat="1" ht="25" x14ac:dyDescent="0.5">
      <c r="A1" s="7" t="s">
        <v>268</v>
      </c>
    </row>
    <row r="3" spans="1:24" x14ac:dyDescent="0.35">
      <c r="R3" s="2" t="s">
        <v>269</v>
      </c>
      <c r="S3" s="2" t="s">
        <v>3</v>
      </c>
      <c r="T3" s="2" t="s">
        <v>15</v>
      </c>
      <c r="U3" s="2" t="s">
        <v>13</v>
      </c>
      <c r="V3" s="2" t="s">
        <v>14</v>
      </c>
      <c r="W3" s="2" t="s">
        <v>12</v>
      </c>
      <c r="X3" s="2" t="s">
        <v>11</v>
      </c>
    </row>
    <row r="4" spans="1:24" x14ac:dyDescent="0.35">
      <c r="R4" s="10">
        <v>2024</v>
      </c>
      <c r="S4" s="2">
        <v>4.04</v>
      </c>
      <c r="T4" s="2">
        <v>4.3099999999999996</v>
      </c>
      <c r="U4" s="2">
        <v>4.3499999999999996</v>
      </c>
      <c r="V4" s="2">
        <v>4.88</v>
      </c>
      <c r="W4" s="2">
        <v>7.21</v>
      </c>
      <c r="X4" s="2">
        <v>7.3</v>
      </c>
    </row>
    <row r="5" spans="1:24" x14ac:dyDescent="0.35">
      <c r="R5" s="10" t="s">
        <v>10</v>
      </c>
      <c r="S5" s="2">
        <v>5.41</v>
      </c>
      <c r="T5" s="2">
        <v>5.41</v>
      </c>
      <c r="U5" s="2">
        <v>5.41</v>
      </c>
      <c r="V5" s="2">
        <v>5.41</v>
      </c>
      <c r="W5" s="2">
        <v>5.41</v>
      </c>
      <c r="X5" s="2">
        <v>5.41</v>
      </c>
    </row>
    <row r="6" spans="1:24" x14ac:dyDescent="0.35">
      <c r="R6" s="2">
        <v>2024</v>
      </c>
      <c r="S6" s="2">
        <v>5.95</v>
      </c>
      <c r="T6" s="2">
        <v>1.41</v>
      </c>
      <c r="U6" s="2">
        <v>2.13</v>
      </c>
      <c r="V6" s="2">
        <v>0.99</v>
      </c>
      <c r="W6" s="2">
        <v>1.1299999999999999</v>
      </c>
      <c r="X6" s="2">
        <v>2.2400000000000002</v>
      </c>
    </row>
    <row r="7" spans="1:24" x14ac:dyDescent="0.35">
      <c r="R7" s="2">
        <v>2024</v>
      </c>
      <c r="S7" s="2">
        <v>0.92</v>
      </c>
      <c r="T7" s="2">
        <v>0.62</v>
      </c>
      <c r="U7" s="2">
        <v>1.75</v>
      </c>
      <c r="V7" s="2">
        <v>0.36</v>
      </c>
      <c r="W7" s="2">
        <v>3</v>
      </c>
      <c r="X7" s="2">
        <v>2.0699999999999998</v>
      </c>
    </row>
    <row r="36" spans="1:14" x14ac:dyDescent="0.35">
      <c r="A36" s="2" t="s">
        <v>155</v>
      </c>
    </row>
    <row r="37" spans="1:14" x14ac:dyDescent="0.35">
      <c r="A37" s="61" t="s">
        <v>270</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7" spans="1:14" x14ac:dyDescent="0.35">
      <c r="A47" s="32" t="s">
        <v>601</v>
      </c>
    </row>
  </sheetData>
  <mergeCells count="1">
    <mergeCell ref="A37:N41"/>
  </mergeCells>
  <hyperlinks>
    <hyperlink ref="A47" location="'Read Me'!A1" display="Return to Read Me" xr:uid="{74293E1D-48B2-4B95-9086-FB486E2AD389}"/>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AB94-6F5F-46CD-A275-3F1CE0A50A11}">
  <dimension ref="A1:T47"/>
  <sheetViews>
    <sheetView zoomScale="70" zoomScaleNormal="70" workbookViewId="0">
      <selection activeCell="A42" sqref="A42"/>
    </sheetView>
  </sheetViews>
  <sheetFormatPr defaultColWidth="8.58203125" defaultRowHeight="17.5" x14ac:dyDescent="0.35"/>
  <cols>
    <col min="1" max="16384" width="8.58203125" style="2"/>
  </cols>
  <sheetData>
    <row r="1" spans="1:20" s="1" customFormat="1" ht="25" x14ac:dyDescent="0.5">
      <c r="A1" s="1" t="s">
        <v>271</v>
      </c>
    </row>
    <row r="4" spans="1:20" x14ac:dyDescent="0.35">
      <c r="T4" s="2" t="s">
        <v>10</v>
      </c>
    </row>
    <row r="5" spans="1:20" x14ac:dyDescent="0.35">
      <c r="R5" s="2" t="s">
        <v>11</v>
      </c>
      <c r="S5" s="2">
        <v>3.1</v>
      </c>
      <c r="T5" s="2">
        <v>12.5</v>
      </c>
    </row>
    <row r="6" spans="1:20" x14ac:dyDescent="0.35">
      <c r="R6" s="2" t="s">
        <v>12</v>
      </c>
      <c r="S6" s="2">
        <v>8.5</v>
      </c>
      <c r="T6" s="2">
        <v>12.5</v>
      </c>
    </row>
    <row r="7" spans="1:20" x14ac:dyDescent="0.35">
      <c r="R7" s="2" t="s">
        <v>13</v>
      </c>
      <c r="S7" s="2">
        <v>10.5</v>
      </c>
      <c r="T7" s="2">
        <v>12.5</v>
      </c>
    </row>
    <row r="8" spans="1:20" x14ac:dyDescent="0.35">
      <c r="R8" s="2" t="s">
        <v>14</v>
      </c>
      <c r="S8" s="2">
        <v>15.1</v>
      </c>
      <c r="T8" s="2">
        <v>12.5</v>
      </c>
    </row>
    <row r="9" spans="1:20" x14ac:dyDescent="0.35">
      <c r="R9" s="2" t="s">
        <v>15</v>
      </c>
      <c r="S9" s="2">
        <v>16.2</v>
      </c>
      <c r="T9" s="2">
        <v>12.5</v>
      </c>
    </row>
    <row r="10" spans="1:20" x14ac:dyDescent="0.35">
      <c r="R10" s="2" t="s">
        <v>3</v>
      </c>
      <c r="S10" s="2">
        <v>24.7</v>
      </c>
      <c r="T10" s="2">
        <v>12.5</v>
      </c>
    </row>
    <row r="36" spans="1:14" x14ac:dyDescent="0.35">
      <c r="A36" s="2" t="s">
        <v>16</v>
      </c>
    </row>
    <row r="37" spans="1:14" ht="17.5" customHeight="1" x14ac:dyDescent="0.35">
      <c r="A37" s="61" t="s">
        <v>109</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61"/>
      <c r="B39" s="61"/>
      <c r="C39" s="61"/>
      <c r="D39" s="61"/>
      <c r="E39" s="61"/>
      <c r="F39" s="61"/>
      <c r="G39" s="61"/>
      <c r="H39" s="61"/>
      <c r="I39" s="61"/>
      <c r="J39" s="61"/>
      <c r="K39" s="61"/>
      <c r="L39" s="61"/>
      <c r="M39" s="61"/>
      <c r="N39" s="61"/>
    </row>
    <row r="40" spans="1:14" x14ac:dyDescent="0.35">
      <c r="A40" s="61"/>
      <c r="B40" s="61"/>
      <c r="C40" s="61"/>
      <c r="D40" s="61"/>
      <c r="E40" s="61"/>
      <c r="F40" s="61"/>
      <c r="G40" s="61"/>
      <c r="H40" s="61"/>
      <c r="I40" s="61"/>
      <c r="J40" s="61"/>
      <c r="K40" s="61"/>
      <c r="L40" s="61"/>
      <c r="M40" s="61"/>
      <c r="N40" s="61"/>
    </row>
    <row r="41" spans="1:14" x14ac:dyDescent="0.35">
      <c r="A41" s="61"/>
      <c r="B41" s="61"/>
      <c r="C41" s="61"/>
      <c r="D41" s="61"/>
      <c r="E41" s="61"/>
      <c r="F41" s="61"/>
      <c r="G41" s="61"/>
      <c r="H41" s="61"/>
      <c r="I41" s="61"/>
      <c r="J41" s="61"/>
      <c r="K41" s="61"/>
      <c r="L41" s="61"/>
      <c r="M41" s="61"/>
      <c r="N41" s="61"/>
    </row>
    <row r="47" spans="1:14" x14ac:dyDescent="0.35">
      <c r="A47" s="32" t="s">
        <v>601</v>
      </c>
    </row>
  </sheetData>
  <mergeCells count="1">
    <mergeCell ref="A37:N41"/>
  </mergeCells>
  <hyperlinks>
    <hyperlink ref="A47" location="'Read Me'!A1" display="Return to Read Me" xr:uid="{C670B84E-505D-493F-A4A0-28D343B9CF93}"/>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4CF5-B692-48A0-9224-7AD6D46CFBCA}">
  <dimension ref="A1:V47"/>
  <sheetViews>
    <sheetView zoomScale="70" zoomScaleNormal="70" workbookViewId="0">
      <selection activeCell="S4" sqref="S4"/>
    </sheetView>
  </sheetViews>
  <sheetFormatPr defaultColWidth="8.58203125" defaultRowHeight="17.5" x14ac:dyDescent="0.35"/>
  <cols>
    <col min="1" max="16384" width="8.58203125" style="2"/>
  </cols>
  <sheetData>
    <row r="1" spans="1:22" s="1" customFormat="1" ht="25" x14ac:dyDescent="0.5">
      <c r="A1" s="1" t="s">
        <v>273</v>
      </c>
    </row>
    <row r="2" spans="1:22" ht="17.25" customHeight="1" x14ac:dyDescent="0.35"/>
    <row r="3" spans="1:22" ht="17.25" customHeight="1" x14ac:dyDescent="0.4">
      <c r="S3" s="31" t="s">
        <v>312</v>
      </c>
      <c r="T3" s="31" t="s">
        <v>313</v>
      </c>
      <c r="U3" s="31" t="s">
        <v>314</v>
      </c>
      <c r="V3" s="31" t="s">
        <v>315</v>
      </c>
    </row>
    <row r="4" spans="1:22" ht="17.25" customHeight="1" x14ac:dyDescent="0.35">
      <c r="R4" s="2" t="s">
        <v>316</v>
      </c>
      <c r="S4" s="11">
        <v>51.5</v>
      </c>
      <c r="T4" s="11">
        <v>3.7</v>
      </c>
      <c r="U4" s="11">
        <v>12.6</v>
      </c>
      <c r="V4" s="11">
        <v>4.9000000000000004</v>
      </c>
    </row>
    <row r="5" spans="1:22" ht="17.25" customHeight="1" x14ac:dyDescent="0.35">
      <c r="R5" s="2" t="s">
        <v>317</v>
      </c>
      <c r="S5" s="11">
        <v>86.1</v>
      </c>
      <c r="T5" s="11">
        <v>9.1</v>
      </c>
      <c r="U5" s="11">
        <v>13.7</v>
      </c>
      <c r="V5" s="11">
        <v>10</v>
      </c>
    </row>
    <row r="6" spans="1:22" ht="17.25" customHeight="1" x14ac:dyDescent="0.35">
      <c r="R6" s="2" t="s">
        <v>318</v>
      </c>
      <c r="S6" s="11">
        <v>171.9</v>
      </c>
      <c r="T6" s="11">
        <v>22.3</v>
      </c>
      <c r="U6" s="11">
        <v>17.3</v>
      </c>
      <c r="V6" s="11">
        <v>14.3</v>
      </c>
    </row>
    <row r="7" spans="1:22" ht="17.25" customHeight="1" x14ac:dyDescent="0.35">
      <c r="R7" s="2" t="s">
        <v>319</v>
      </c>
      <c r="S7" s="11">
        <v>153.1</v>
      </c>
      <c r="T7" s="11">
        <v>20.8</v>
      </c>
      <c r="U7" s="11">
        <v>16.899999999999999</v>
      </c>
      <c r="V7" s="11">
        <v>9.6999999999999993</v>
      </c>
    </row>
    <row r="8" spans="1:22" ht="17.25" customHeight="1" x14ac:dyDescent="0.35"/>
    <row r="9" spans="1:22" ht="17.25" customHeight="1" x14ac:dyDescent="0.35"/>
    <row r="10" spans="1:22" ht="17.25" customHeight="1" x14ac:dyDescent="0.35"/>
    <row r="11" spans="1:22" ht="17.25" customHeight="1" x14ac:dyDescent="0.35"/>
    <row r="12" spans="1:22" ht="17.25" customHeight="1" x14ac:dyDescent="0.35"/>
    <row r="13" spans="1:22" ht="17.25" customHeight="1" x14ac:dyDescent="0.35"/>
    <row r="14" spans="1:22" ht="17.25" customHeight="1" x14ac:dyDescent="0.35"/>
    <row r="15" spans="1:22" ht="17.25" customHeight="1" x14ac:dyDescent="0.35"/>
    <row r="16" spans="1:2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2" ht="17.25" customHeight="1" x14ac:dyDescent="0.35"/>
    <row r="34" spans="1:2" ht="17.25" customHeight="1" x14ac:dyDescent="0.35"/>
    <row r="35" spans="1:2" ht="17.25" customHeight="1" x14ac:dyDescent="0.35"/>
    <row r="36" spans="1:2" ht="17.25" customHeight="1" x14ac:dyDescent="0.35">
      <c r="A36" s="33" t="s">
        <v>320</v>
      </c>
      <c r="B36" s="33"/>
    </row>
    <row r="37" spans="1:2" ht="17.25" customHeight="1" x14ac:dyDescent="0.35"/>
    <row r="38" spans="1:2" ht="17.25" customHeight="1" x14ac:dyDescent="0.35"/>
    <row r="39" spans="1:2" ht="17.25" customHeight="1" x14ac:dyDescent="0.35"/>
    <row r="40" spans="1:2" ht="17.25" customHeight="1" x14ac:dyDescent="0.35"/>
    <row r="41" spans="1:2" ht="17.25" customHeight="1" x14ac:dyDescent="0.35"/>
    <row r="42" spans="1:2" ht="17.25" customHeight="1" x14ac:dyDescent="0.35"/>
    <row r="43" spans="1:2" ht="17.25" customHeight="1" x14ac:dyDescent="0.35"/>
    <row r="44" spans="1:2" ht="17.25" customHeight="1" x14ac:dyDescent="0.35"/>
    <row r="45" spans="1:2" ht="17.25" customHeight="1" x14ac:dyDescent="0.35"/>
    <row r="47" spans="1:2" x14ac:dyDescent="0.35">
      <c r="A47" s="32" t="s">
        <v>601</v>
      </c>
    </row>
  </sheetData>
  <hyperlinks>
    <hyperlink ref="A47" location="'Read Me'!A1" display="Return to Read Me" xr:uid="{48024351-DEDB-49D9-9677-67DBD02624D6}"/>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FFAF-D842-49C4-B5E8-BD81AF35B6FE}">
  <dimension ref="A1:X48"/>
  <sheetViews>
    <sheetView zoomScale="70" zoomScaleNormal="70" workbookViewId="0">
      <selection activeCell="D36" sqref="D36"/>
    </sheetView>
  </sheetViews>
  <sheetFormatPr defaultColWidth="8.58203125" defaultRowHeight="17.5" x14ac:dyDescent="0.35"/>
  <cols>
    <col min="1" max="19" width="8.58203125" style="2"/>
    <col min="20" max="20" width="13.33203125" style="2" customWidth="1"/>
    <col min="21" max="16384" width="8.58203125" style="2"/>
  </cols>
  <sheetData>
    <row r="1" spans="1:24" s="1" customFormat="1" ht="25" x14ac:dyDescent="0.5">
      <c r="A1" s="1" t="s">
        <v>275</v>
      </c>
    </row>
    <row r="2" spans="1:24" ht="17.25" customHeight="1" x14ac:dyDescent="0.35"/>
    <row r="3" spans="1:24" ht="17.25" customHeight="1" x14ac:dyDescent="0.4">
      <c r="R3" s="29"/>
      <c r="S3" s="31" t="s">
        <v>314</v>
      </c>
      <c r="T3" s="31" t="s">
        <v>321</v>
      </c>
      <c r="U3" s="31" t="s">
        <v>313</v>
      </c>
      <c r="V3" s="31" t="s">
        <v>312</v>
      </c>
      <c r="W3" s="31" t="s">
        <v>322</v>
      </c>
      <c r="X3" s="31" t="s">
        <v>323</v>
      </c>
    </row>
    <row r="4" spans="1:24" ht="17.25" customHeight="1" x14ac:dyDescent="0.35">
      <c r="R4" s="30" t="s">
        <v>11</v>
      </c>
      <c r="S4" s="58">
        <v>26.9</v>
      </c>
      <c r="T4" s="58">
        <v>121.6</v>
      </c>
      <c r="U4" s="58">
        <v>9.4</v>
      </c>
      <c r="V4" s="58">
        <v>251.7</v>
      </c>
      <c r="W4" s="58">
        <v>235.4</v>
      </c>
      <c r="X4" s="58">
        <v>95</v>
      </c>
    </row>
    <row r="5" spans="1:24" ht="17.25" customHeight="1" x14ac:dyDescent="0.35">
      <c r="R5" s="29" t="s">
        <v>3</v>
      </c>
      <c r="S5" s="58">
        <v>7.4</v>
      </c>
      <c r="T5" s="58">
        <v>20.100000000000001</v>
      </c>
      <c r="U5" s="58">
        <v>45.4</v>
      </c>
      <c r="V5" s="58">
        <v>224.2</v>
      </c>
      <c r="W5" s="58">
        <v>131.5</v>
      </c>
      <c r="X5" s="58">
        <v>96.4</v>
      </c>
    </row>
    <row r="6" spans="1:24" ht="17.25" customHeight="1" x14ac:dyDescent="0.35">
      <c r="R6" s="30" t="s">
        <v>12</v>
      </c>
      <c r="S6" s="58">
        <v>9.1999999999999993</v>
      </c>
      <c r="T6" s="58">
        <v>11.8</v>
      </c>
      <c r="U6" s="58">
        <v>6.1</v>
      </c>
      <c r="V6" s="58">
        <v>90.4</v>
      </c>
      <c r="W6" s="58">
        <v>34.9</v>
      </c>
      <c r="X6" s="58">
        <v>32.1</v>
      </c>
    </row>
    <row r="7" spans="1:24" ht="17.25" customHeight="1" x14ac:dyDescent="0.35">
      <c r="R7" s="30" t="s">
        <v>15</v>
      </c>
      <c r="S7" s="58">
        <v>7.3</v>
      </c>
      <c r="T7" s="58">
        <v>1.3</v>
      </c>
      <c r="U7" s="58">
        <v>0.6</v>
      </c>
      <c r="V7" s="58">
        <v>41.2</v>
      </c>
      <c r="W7" s="58">
        <v>7.3</v>
      </c>
      <c r="X7" s="58">
        <v>43.3</v>
      </c>
    </row>
    <row r="8" spans="1:24" ht="17.25" customHeight="1" x14ac:dyDescent="0.35">
      <c r="R8" s="30" t="s">
        <v>13</v>
      </c>
      <c r="S8" s="58">
        <v>2.1</v>
      </c>
      <c r="T8" s="58">
        <v>13.3</v>
      </c>
      <c r="U8" s="58">
        <v>11.8</v>
      </c>
      <c r="V8" s="58">
        <v>38.799999999999997</v>
      </c>
      <c r="W8" s="58">
        <v>13.7</v>
      </c>
      <c r="X8" s="58">
        <v>20.6</v>
      </c>
    </row>
    <row r="9" spans="1:24" ht="17.25" customHeight="1" x14ac:dyDescent="0.35">
      <c r="R9" s="30" t="s">
        <v>14</v>
      </c>
      <c r="S9" s="58">
        <v>1.1000000000000001</v>
      </c>
      <c r="T9" s="58">
        <v>19.100000000000001</v>
      </c>
      <c r="U9" s="58">
        <v>1.8</v>
      </c>
      <c r="V9" s="58">
        <v>31.6</v>
      </c>
      <c r="W9" s="58">
        <v>6.6</v>
      </c>
      <c r="X9" s="58">
        <v>5.3</v>
      </c>
    </row>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33" t="s">
        <v>320</v>
      </c>
      <c r="B36" s="33"/>
      <c r="C36" s="33"/>
      <c r="D36" s="33"/>
      <c r="E36" s="33"/>
      <c r="F36" s="33"/>
      <c r="G36" s="33"/>
      <c r="H36" s="33"/>
      <c r="I36" s="33"/>
    </row>
    <row r="37" spans="1:14" ht="17.25" customHeight="1" x14ac:dyDescent="0.35">
      <c r="A37" s="61" t="s">
        <v>324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33"/>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95A2522F-2FFA-49C7-8555-BB729856AEDA}"/>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90EFB-BCA5-44FE-98E3-E7949FE656F9}">
  <dimension ref="A1:T48"/>
  <sheetViews>
    <sheetView zoomScale="70" zoomScaleNormal="70" workbookViewId="0">
      <selection activeCell="V37" sqref="V37"/>
    </sheetView>
  </sheetViews>
  <sheetFormatPr defaultColWidth="8.58203125" defaultRowHeight="17.5" x14ac:dyDescent="0.35"/>
  <cols>
    <col min="1" max="17" width="8.58203125" style="2"/>
    <col min="18" max="18" width="22.33203125" style="2" customWidth="1"/>
    <col min="19" max="19" width="10.83203125" style="2" customWidth="1"/>
    <col min="20" max="16384" width="8.58203125" style="2"/>
  </cols>
  <sheetData>
    <row r="1" spans="1:20" s="1" customFormat="1" ht="25" x14ac:dyDescent="0.5">
      <c r="A1" s="1" t="s">
        <v>277</v>
      </c>
    </row>
    <row r="2" spans="1:20" ht="17.25" customHeight="1" x14ac:dyDescent="0.35"/>
    <row r="3" spans="1:20" ht="17.25" customHeight="1" x14ac:dyDescent="0.35">
      <c r="S3" s="2" t="s">
        <v>325</v>
      </c>
      <c r="T3" s="2" t="s">
        <v>326</v>
      </c>
    </row>
    <row r="4" spans="1:20" ht="17.25" customHeight="1" x14ac:dyDescent="0.35">
      <c r="R4" s="2" t="s">
        <v>313</v>
      </c>
      <c r="S4" s="11">
        <v>49.7</v>
      </c>
      <c r="T4" s="11">
        <v>63.4</v>
      </c>
    </row>
    <row r="5" spans="1:20" ht="17.25" customHeight="1" x14ac:dyDescent="0.35">
      <c r="R5" s="2" t="s">
        <v>327</v>
      </c>
      <c r="S5" s="11">
        <v>84.4</v>
      </c>
      <c r="T5" s="11">
        <v>60.6</v>
      </c>
    </row>
    <row r="6" spans="1:20" ht="17.25" customHeight="1" x14ac:dyDescent="0.35"/>
    <row r="7" spans="1:20" ht="17.25" customHeight="1" x14ac:dyDescent="0.35"/>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33" t="s">
        <v>320</v>
      </c>
      <c r="B36" s="33"/>
      <c r="C36" s="33"/>
      <c r="D36" s="33"/>
      <c r="E36" s="33"/>
      <c r="F36" s="33"/>
      <c r="G36" s="33"/>
      <c r="H36" s="33"/>
      <c r="I36" s="33"/>
    </row>
    <row r="37" spans="1:14" ht="17.25" customHeight="1" x14ac:dyDescent="0.35">
      <c r="A37" s="61" t="s">
        <v>328</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6ABD4C6B-778F-4E61-B047-6F2FDD30F019}"/>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AC9B2-C564-4EFD-AC62-D4380746FFCC}">
  <dimension ref="A1:U48"/>
  <sheetViews>
    <sheetView zoomScale="70" zoomScaleNormal="70" workbookViewId="0">
      <selection activeCell="A37" sqref="A37:N39"/>
    </sheetView>
  </sheetViews>
  <sheetFormatPr defaultColWidth="8.58203125" defaultRowHeight="17.5" x14ac:dyDescent="0.35"/>
  <cols>
    <col min="1" max="17" width="8.58203125" style="2"/>
    <col min="18" max="18" width="8.58203125" style="2" customWidth="1"/>
    <col min="19" max="20" width="8.58203125" style="2"/>
    <col min="21" max="21" width="12.5" style="2" customWidth="1"/>
    <col min="22" max="16384" width="8.58203125" style="2"/>
  </cols>
  <sheetData>
    <row r="1" spans="1:21" s="1" customFormat="1" ht="25" x14ac:dyDescent="0.5">
      <c r="A1" s="1" t="s">
        <v>279</v>
      </c>
    </row>
    <row r="2" spans="1:21" ht="17.25" customHeight="1" x14ac:dyDescent="0.35"/>
    <row r="3" spans="1:21" ht="17.25" customHeight="1" x14ac:dyDescent="0.35">
      <c r="T3" s="2" t="s">
        <v>329</v>
      </c>
      <c r="U3" s="2" t="s">
        <v>330</v>
      </c>
    </row>
    <row r="4" spans="1:21" ht="17.25" customHeight="1" x14ac:dyDescent="0.35">
      <c r="R4" s="2" t="s">
        <v>21</v>
      </c>
      <c r="S4" s="2" t="s">
        <v>22</v>
      </c>
      <c r="T4" s="2">
        <v>0.04</v>
      </c>
      <c r="U4" s="2">
        <v>0.03</v>
      </c>
    </row>
    <row r="5" spans="1:21" ht="17.25" customHeight="1" x14ac:dyDescent="0.35">
      <c r="S5" s="2" t="s">
        <v>23</v>
      </c>
      <c r="T5" s="2">
        <v>-0.18</v>
      </c>
      <c r="U5" s="2">
        <v>0.06</v>
      </c>
    </row>
    <row r="6" spans="1:21" ht="17.25" customHeight="1" x14ac:dyDescent="0.35">
      <c r="R6" s="2" t="s">
        <v>24</v>
      </c>
      <c r="S6" s="2" t="s">
        <v>22</v>
      </c>
      <c r="T6" s="2">
        <v>0.02</v>
      </c>
      <c r="U6" s="2">
        <v>0.02</v>
      </c>
    </row>
    <row r="7" spans="1:21" ht="17.25" customHeight="1" x14ac:dyDescent="0.35">
      <c r="S7" s="2" t="s">
        <v>23</v>
      </c>
      <c r="T7" s="2">
        <v>-0.09</v>
      </c>
      <c r="U7" s="2">
        <v>0.03</v>
      </c>
    </row>
    <row r="8" spans="1:21" ht="17.25" customHeight="1" x14ac:dyDescent="0.35"/>
    <row r="9" spans="1:21" ht="17.25" customHeight="1" x14ac:dyDescent="0.35"/>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33" t="s">
        <v>18</v>
      </c>
      <c r="B36" s="33"/>
      <c r="C36" s="33"/>
      <c r="D36" s="33"/>
      <c r="E36" s="33"/>
      <c r="F36" s="33"/>
      <c r="G36" s="33"/>
      <c r="H36" s="33"/>
      <c r="I36" s="33"/>
    </row>
    <row r="37" spans="1:14" ht="17.25" customHeight="1" x14ac:dyDescent="0.35">
      <c r="A37" s="61" t="s">
        <v>331</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51227924-3B04-4DD7-BA21-B0B5FB10C753}"/>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EAC5-081B-4D55-997D-58B690CC3DBB}">
  <dimension ref="A1:T101"/>
  <sheetViews>
    <sheetView zoomScale="70" zoomScaleNormal="70" workbookViewId="0">
      <selection activeCell="O33" sqref="O33"/>
    </sheetView>
  </sheetViews>
  <sheetFormatPr defaultColWidth="8.58203125" defaultRowHeight="17.5" x14ac:dyDescent="0.35"/>
  <cols>
    <col min="1" max="17" width="8.58203125" style="2"/>
    <col min="18" max="18" width="18.33203125" style="2" customWidth="1"/>
    <col min="19" max="19" width="13.25" style="2" customWidth="1"/>
    <col min="20" max="20" width="11.33203125" style="2" customWidth="1"/>
    <col min="21" max="16384" width="8.58203125" style="2"/>
  </cols>
  <sheetData>
    <row r="1" spans="1:20" s="1" customFormat="1" ht="25" x14ac:dyDescent="0.5">
      <c r="A1" s="1" t="s">
        <v>281</v>
      </c>
    </row>
    <row r="2" spans="1:20" ht="17.25" customHeight="1" x14ac:dyDescent="0.35"/>
    <row r="3" spans="1:20" ht="17.25" customHeight="1" x14ac:dyDescent="0.4">
      <c r="R3" s="31" t="s">
        <v>332</v>
      </c>
      <c r="S3" s="31" t="s">
        <v>333</v>
      </c>
      <c r="T3" s="31" t="s">
        <v>334</v>
      </c>
    </row>
    <row r="4" spans="1:20" ht="17.25" customHeight="1" x14ac:dyDescent="0.35">
      <c r="R4" s="2" t="s">
        <v>335</v>
      </c>
      <c r="S4" s="4">
        <v>3.44</v>
      </c>
      <c r="T4" s="4">
        <v>-0.67</v>
      </c>
    </row>
    <row r="5" spans="1:20" ht="17.25" customHeight="1" x14ac:dyDescent="0.35">
      <c r="R5" s="2" t="s">
        <v>336</v>
      </c>
      <c r="S5" s="4">
        <v>-0.51</v>
      </c>
      <c r="T5" s="4">
        <v>-0.96</v>
      </c>
    </row>
    <row r="6" spans="1:20" ht="17.25" customHeight="1" x14ac:dyDescent="0.35">
      <c r="R6" s="2" t="s">
        <v>337</v>
      </c>
      <c r="S6" s="4">
        <v>-0.22</v>
      </c>
      <c r="T6" s="4">
        <v>-1</v>
      </c>
    </row>
    <row r="7" spans="1:20" ht="17.25" customHeight="1" x14ac:dyDescent="0.35">
      <c r="R7" s="2" t="s">
        <v>338</v>
      </c>
      <c r="S7" s="4"/>
      <c r="T7" s="4"/>
    </row>
    <row r="8" spans="1:20" ht="17.25" customHeight="1" x14ac:dyDescent="0.35">
      <c r="R8" s="2" t="s">
        <v>339</v>
      </c>
      <c r="S8" s="4"/>
      <c r="T8" s="4"/>
    </row>
    <row r="9" spans="1:20" ht="17.25" customHeight="1" x14ac:dyDescent="0.35">
      <c r="R9" s="2" t="s">
        <v>179</v>
      </c>
      <c r="S9" s="4">
        <v>1.61</v>
      </c>
      <c r="T9" s="4">
        <v>-0.63</v>
      </c>
    </row>
    <row r="10" spans="1:20" ht="17.25" customHeight="1" x14ac:dyDescent="0.35">
      <c r="R10" s="2" t="s">
        <v>340</v>
      </c>
      <c r="S10" s="4">
        <v>2.54</v>
      </c>
      <c r="T10" s="4">
        <v>-0.59</v>
      </c>
    </row>
    <row r="11" spans="1:20" ht="17.25" customHeight="1" x14ac:dyDescent="0.35">
      <c r="R11" s="2" t="s">
        <v>341</v>
      </c>
      <c r="S11" s="4">
        <v>0.69</v>
      </c>
      <c r="T11" s="4">
        <v>-0.81</v>
      </c>
    </row>
    <row r="12" spans="1:20" ht="17.25" customHeight="1" x14ac:dyDescent="0.35">
      <c r="R12" s="2" t="s">
        <v>342</v>
      </c>
      <c r="S12" s="4">
        <v>1.25</v>
      </c>
      <c r="T12" s="4">
        <v>-0.98</v>
      </c>
    </row>
    <row r="13" spans="1:20" ht="17.25" customHeight="1" x14ac:dyDescent="0.35">
      <c r="R13" s="2" t="s">
        <v>343</v>
      </c>
      <c r="S13" s="4">
        <v>-0.36</v>
      </c>
      <c r="T13" s="4">
        <v>-1.07</v>
      </c>
    </row>
    <row r="14" spans="1:20" ht="17.25" customHeight="1" x14ac:dyDescent="0.35">
      <c r="R14" s="2" t="s">
        <v>344</v>
      </c>
      <c r="S14" s="4">
        <v>3.23</v>
      </c>
      <c r="T14" s="4">
        <v>-0.62</v>
      </c>
    </row>
    <row r="15" spans="1:20" ht="17.25" customHeight="1" x14ac:dyDescent="0.35">
      <c r="R15" s="2" t="s">
        <v>345</v>
      </c>
      <c r="S15" s="4">
        <v>4.13</v>
      </c>
      <c r="T15" s="4">
        <v>-0.57999999999999996</v>
      </c>
    </row>
    <row r="16" spans="1:20" ht="17.25" customHeight="1" x14ac:dyDescent="0.35">
      <c r="R16" s="2" t="s">
        <v>346</v>
      </c>
      <c r="S16" s="4">
        <v>3.14</v>
      </c>
      <c r="T16" s="4">
        <v>-0.78</v>
      </c>
    </row>
    <row r="17" spans="18:20" ht="17.25" customHeight="1" x14ac:dyDescent="0.35">
      <c r="R17" s="2" t="s">
        <v>347</v>
      </c>
      <c r="S17" s="4"/>
      <c r="T17" s="4"/>
    </row>
    <row r="18" spans="18:20" ht="17.25" customHeight="1" x14ac:dyDescent="0.35">
      <c r="R18" s="2" t="s">
        <v>348</v>
      </c>
      <c r="S18" s="4">
        <v>4.1900000000000004</v>
      </c>
      <c r="T18" s="4">
        <v>-0.54</v>
      </c>
    </row>
    <row r="19" spans="18:20" ht="17.25" customHeight="1" x14ac:dyDescent="0.35">
      <c r="R19" s="2" t="s">
        <v>349</v>
      </c>
      <c r="S19" s="4">
        <v>3.43</v>
      </c>
      <c r="T19" s="4">
        <v>-0.43</v>
      </c>
    </row>
    <row r="20" spans="18:20" ht="17.25" customHeight="1" x14ac:dyDescent="0.35">
      <c r="R20" s="2" t="s">
        <v>350</v>
      </c>
      <c r="S20" s="4">
        <v>-0.92</v>
      </c>
      <c r="T20" s="4">
        <v>-1.1100000000000001</v>
      </c>
    </row>
    <row r="21" spans="18:20" ht="17.25" customHeight="1" x14ac:dyDescent="0.35">
      <c r="R21" s="2" t="s">
        <v>57</v>
      </c>
      <c r="S21" s="4">
        <v>-2.2999999999999998</v>
      </c>
      <c r="T21" s="4">
        <v>-0.95</v>
      </c>
    </row>
    <row r="22" spans="18:20" ht="17.25" customHeight="1" x14ac:dyDescent="0.35">
      <c r="R22" s="2" t="s">
        <v>351</v>
      </c>
      <c r="S22" s="4">
        <v>1.79</v>
      </c>
      <c r="T22" s="4">
        <v>-0.88</v>
      </c>
    </row>
    <row r="23" spans="18:20" ht="17.25" customHeight="1" x14ac:dyDescent="0.35">
      <c r="R23" s="2" t="s">
        <v>352</v>
      </c>
      <c r="S23" s="4">
        <v>4.37</v>
      </c>
      <c r="T23" s="4">
        <v>-0.56999999999999995</v>
      </c>
    </row>
    <row r="24" spans="18:20" ht="17.25" customHeight="1" x14ac:dyDescent="0.35">
      <c r="R24" s="2" t="s">
        <v>353</v>
      </c>
      <c r="S24" s="4">
        <v>-0.11</v>
      </c>
      <c r="T24" s="4">
        <v>-0.99</v>
      </c>
    </row>
    <row r="25" spans="18:20" ht="17.25" customHeight="1" x14ac:dyDescent="0.35">
      <c r="R25" s="2" t="s">
        <v>354</v>
      </c>
      <c r="S25" s="4">
        <v>2.27</v>
      </c>
      <c r="T25" s="4">
        <v>-0.72</v>
      </c>
    </row>
    <row r="26" spans="18:20" ht="17.25" customHeight="1" x14ac:dyDescent="0.35">
      <c r="R26" s="2" t="s">
        <v>355</v>
      </c>
      <c r="S26" s="4"/>
      <c r="T26" s="4"/>
    </row>
    <row r="27" spans="18:20" ht="17.25" customHeight="1" x14ac:dyDescent="0.35">
      <c r="R27" s="2" t="s">
        <v>356</v>
      </c>
      <c r="S27" s="4"/>
      <c r="T27" s="4"/>
    </row>
    <row r="28" spans="18:20" ht="17.25" customHeight="1" x14ac:dyDescent="0.35">
      <c r="R28" s="2" t="s">
        <v>357</v>
      </c>
      <c r="S28" s="4"/>
      <c r="T28" s="4"/>
    </row>
    <row r="29" spans="18:20" ht="17.25" customHeight="1" x14ac:dyDescent="0.35">
      <c r="R29" s="2" t="s">
        <v>358</v>
      </c>
      <c r="S29" s="4">
        <v>-0.22</v>
      </c>
      <c r="T29" s="4">
        <v>-0.87</v>
      </c>
    </row>
    <row r="30" spans="18:20" ht="17.25" customHeight="1" x14ac:dyDescent="0.35">
      <c r="R30" s="2" t="s">
        <v>359</v>
      </c>
      <c r="S30" s="4">
        <v>1.1599999999999999</v>
      </c>
      <c r="T30" s="4">
        <v>-0.8</v>
      </c>
    </row>
    <row r="31" spans="18:20" ht="17.25" customHeight="1" x14ac:dyDescent="0.35">
      <c r="R31" s="2" t="s">
        <v>360</v>
      </c>
      <c r="S31" s="4">
        <v>0.41</v>
      </c>
      <c r="T31" s="4">
        <v>-0.87</v>
      </c>
    </row>
    <row r="32" spans="18:20" ht="17.25" customHeight="1" x14ac:dyDescent="0.35">
      <c r="R32" s="2" t="s">
        <v>361</v>
      </c>
      <c r="S32" s="4">
        <v>1.22</v>
      </c>
      <c r="T32" s="4">
        <v>-0.86</v>
      </c>
    </row>
    <row r="33" spans="1:20" ht="17.25" customHeight="1" x14ac:dyDescent="0.35">
      <c r="R33" s="2" t="s">
        <v>362</v>
      </c>
      <c r="S33" s="4"/>
      <c r="T33" s="4"/>
    </row>
    <row r="34" spans="1:20" ht="17.25" customHeight="1" x14ac:dyDescent="0.35">
      <c r="R34" s="2" t="s">
        <v>363</v>
      </c>
      <c r="S34" s="4">
        <v>0.26</v>
      </c>
      <c r="T34" s="4">
        <v>-0.79</v>
      </c>
    </row>
    <row r="35" spans="1:20" ht="17.25" customHeight="1" x14ac:dyDescent="0.35">
      <c r="R35" s="2" t="s">
        <v>364</v>
      </c>
      <c r="S35" s="4"/>
      <c r="T35" s="4"/>
    </row>
    <row r="36" spans="1:20" ht="17.25" customHeight="1" x14ac:dyDescent="0.35">
      <c r="A36" s="33" t="s">
        <v>365</v>
      </c>
      <c r="B36" s="33"/>
      <c r="C36" s="33"/>
      <c r="D36" s="33"/>
      <c r="E36" s="33"/>
      <c r="F36" s="33"/>
      <c r="G36" s="33"/>
      <c r="H36" s="33"/>
      <c r="I36" s="33"/>
      <c r="R36" s="2" t="s">
        <v>366</v>
      </c>
      <c r="S36" s="4">
        <v>2.84</v>
      </c>
      <c r="T36" s="4">
        <v>-0.64</v>
      </c>
    </row>
    <row r="37" spans="1:20" ht="17.25" customHeight="1" x14ac:dyDescent="0.35">
      <c r="A37" s="61" t="s">
        <v>638</v>
      </c>
      <c r="B37" s="61"/>
      <c r="C37" s="61"/>
      <c r="D37" s="61"/>
      <c r="E37" s="61"/>
      <c r="F37" s="61"/>
      <c r="G37" s="61"/>
      <c r="H37" s="61"/>
      <c r="I37" s="61"/>
      <c r="J37" s="61"/>
      <c r="K37" s="61"/>
      <c r="L37" s="61"/>
      <c r="M37" s="61"/>
      <c r="N37" s="61"/>
      <c r="R37" s="2" t="s">
        <v>367</v>
      </c>
      <c r="S37" s="4">
        <v>1.7</v>
      </c>
      <c r="T37" s="4">
        <v>-0.92</v>
      </c>
    </row>
    <row r="38" spans="1:20" ht="17.25" customHeight="1" x14ac:dyDescent="0.35">
      <c r="A38" s="61"/>
      <c r="B38" s="61"/>
      <c r="C38" s="61"/>
      <c r="D38" s="61"/>
      <c r="E38" s="61"/>
      <c r="F38" s="61"/>
      <c r="G38" s="61"/>
      <c r="H38" s="61"/>
      <c r="I38" s="61"/>
      <c r="J38" s="61"/>
      <c r="K38" s="61"/>
      <c r="L38" s="61"/>
      <c r="M38" s="61"/>
      <c r="N38" s="61"/>
      <c r="R38" s="2" t="s">
        <v>368</v>
      </c>
      <c r="S38" s="4"/>
      <c r="T38" s="4"/>
    </row>
    <row r="39" spans="1:20" ht="17.25" customHeight="1" x14ac:dyDescent="0.35">
      <c r="A39" s="61"/>
      <c r="B39" s="61"/>
      <c r="C39" s="61"/>
      <c r="D39" s="61"/>
      <c r="E39" s="61"/>
      <c r="F39" s="61"/>
      <c r="G39" s="61"/>
      <c r="H39" s="61"/>
      <c r="I39" s="61"/>
      <c r="J39" s="61"/>
      <c r="K39" s="61"/>
      <c r="L39" s="61"/>
      <c r="M39" s="61"/>
      <c r="N39" s="61"/>
      <c r="R39" s="2" t="s">
        <v>369</v>
      </c>
      <c r="S39" s="4">
        <v>-1.2</v>
      </c>
      <c r="T39" s="4">
        <v>-0.96</v>
      </c>
    </row>
    <row r="40" spans="1:20" ht="17.25" customHeight="1" x14ac:dyDescent="0.35">
      <c r="A40" s="61"/>
      <c r="B40" s="61"/>
      <c r="C40" s="61"/>
      <c r="D40" s="61"/>
      <c r="E40" s="61"/>
      <c r="F40" s="61"/>
      <c r="G40" s="61"/>
      <c r="H40" s="61"/>
      <c r="I40" s="61"/>
      <c r="J40" s="61"/>
      <c r="K40" s="61"/>
      <c r="L40" s="61"/>
      <c r="M40" s="61"/>
      <c r="N40" s="61"/>
      <c r="R40" s="2" t="s">
        <v>370</v>
      </c>
      <c r="S40" s="4">
        <v>2.62</v>
      </c>
      <c r="T40" s="4">
        <v>-0.6</v>
      </c>
    </row>
    <row r="41" spans="1:20" ht="17.25" customHeight="1" x14ac:dyDescent="0.35">
      <c r="A41" s="28"/>
      <c r="B41" s="28"/>
      <c r="C41" s="28"/>
      <c r="D41" s="28"/>
      <c r="E41" s="28"/>
      <c r="F41" s="28"/>
      <c r="G41" s="28"/>
      <c r="H41" s="28"/>
      <c r="I41" s="28"/>
      <c r="J41" s="28"/>
      <c r="K41" s="28"/>
      <c r="L41" s="28"/>
      <c r="M41" s="28"/>
      <c r="N41" s="28"/>
      <c r="R41" s="2" t="s">
        <v>371</v>
      </c>
      <c r="S41" s="4">
        <v>3.26</v>
      </c>
      <c r="T41" s="4">
        <v>-0.47</v>
      </c>
    </row>
    <row r="42" spans="1:20" ht="17.25" customHeight="1" x14ac:dyDescent="0.35">
      <c r="A42" s="28"/>
      <c r="B42" s="28"/>
      <c r="C42" s="28"/>
      <c r="D42" s="28"/>
      <c r="E42" s="28"/>
      <c r="F42" s="28"/>
      <c r="G42" s="28"/>
      <c r="H42" s="28"/>
      <c r="I42" s="28"/>
      <c r="J42" s="28"/>
      <c r="K42" s="28"/>
      <c r="L42" s="28"/>
      <c r="M42" s="28"/>
      <c r="N42" s="28"/>
      <c r="R42" s="2" t="s">
        <v>372</v>
      </c>
      <c r="S42" s="4">
        <v>2.54</v>
      </c>
      <c r="T42" s="4">
        <v>-0.79</v>
      </c>
    </row>
    <row r="43" spans="1:20" ht="17.25" customHeight="1" x14ac:dyDescent="0.35">
      <c r="A43" s="28"/>
      <c r="B43" s="28"/>
      <c r="C43" s="28"/>
      <c r="D43" s="28"/>
      <c r="E43" s="28"/>
      <c r="F43" s="28"/>
      <c r="G43" s="28"/>
      <c r="H43" s="28"/>
      <c r="I43" s="28"/>
      <c r="J43" s="28"/>
      <c r="K43" s="28"/>
      <c r="L43" s="28"/>
      <c r="M43" s="28"/>
      <c r="N43" s="28"/>
      <c r="R43" s="2" t="s">
        <v>373</v>
      </c>
      <c r="S43" s="4">
        <v>-0.92</v>
      </c>
      <c r="T43" s="4">
        <v>-1.06</v>
      </c>
    </row>
    <row r="44" spans="1:20" ht="17.25" customHeight="1" x14ac:dyDescent="0.35">
      <c r="A44" s="28"/>
      <c r="B44" s="28"/>
      <c r="C44" s="28"/>
      <c r="D44" s="28"/>
      <c r="E44" s="28"/>
      <c r="F44" s="28"/>
      <c r="G44" s="28"/>
      <c r="H44" s="28"/>
      <c r="I44" s="28"/>
      <c r="J44" s="28"/>
      <c r="K44" s="28"/>
      <c r="L44" s="28"/>
      <c r="M44" s="28"/>
      <c r="N44" s="28"/>
      <c r="R44" s="2" t="s">
        <v>121</v>
      </c>
      <c r="S44" s="4">
        <v>2.56</v>
      </c>
      <c r="T44" s="4">
        <v>-0.7</v>
      </c>
    </row>
    <row r="45" spans="1:20" ht="17.25" customHeight="1" x14ac:dyDescent="0.35">
      <c r="A45" s="28"/>
      <c r="B45" s="28"/>
      <c r="C45" s="28"/>
      <c r="D45" s="28"/>
      <c r="E45" s="28"/>
      <c r="F45" s="28"/>
      <c r="G45" s="28"/>
      <c r="H45" s="28"/>
      <c r="I45" s="28"/>
      <c r="J45" s="28"/>
      <c r="K45" s="28"/>
      <c r="L45" s="28"/>
      <c r="M45" s="28"/>
      <c r="N45" s="28"/>
      <c r="R45" s="2" t="s">
        <v>374</v>
      </c>
      <c r="S45" s="4">
        <v>0.64</v>
      </c>
      <c r="T45" s="4">
        <v>-0.82</v>
      </c>
    </row>
    <row r="46" spans="1:20" x14ac:dyDescent="0.35">
      <c r="A46" s="28"/>
      <c r="B46" s="28"/>
      <c r="C46" s="28"/>
      <c r="D46" s="28"/>
      <c r="E46" s="28"/>
      <c r="F46" s="28"/>
      <c r="G46" s="28"/>
      <c r="H46" s="28"/>
      <c r="I46" s="28"/>
      <c r="J46" s="28"/>
      <c r="K46" s="28"/>
      <c r="L46" s="28"/>
      <c r="M46" s="28"/>
      <c r="N46" s="28"/>
      <c r="R46" s="2" t="s">
        <v>375</v>
      </c>
      <c r="S46" s="4">
        <v>-0.69</v>
      </c>
      <c r="T46" s="4">
        <v>-0.97</v>
      </c>
    </row>
    <row r="47" spans="1:20" x14ac:dyDescent="0.35">
      <c r="A47" s="32" t="s">
        <v>601</v>
      </c>
      <c r="B47" s="28"/>
      <c r="C47" s="28"/>
      <c r="D47" s="28"/>
      <c r="E47" s="28"/>
      <c r="F47" s="28"/>
      <c r="G47" s="28"/>
      <c r="H47" s="28"/>
      <c r="I47" s="28"/>
      <c r="J47" s="28"/>
      <c r="K47" s="28"/>
      <c r="L47" s="28"/>
      <c r="M47" s="28"/>
      <c r="N47" s="28"/>
      <c r="R47" s="2" t="s">
        <v>376</v>
      </c>
      <c r="S47" s="4"/>
      <c r="T47" s="4"/>
    </row>
    <row r="48" spans="1:20" x14ac:dyDescent="0.35">
      <c r="B48" s="28"/>
      <c r="C48" s="28"/>
      <c r="D48" s="28"/>
      <c r="E48" s="28"/>
      <c r="F48" s="28"/>
      <c r="G48" s="28"/>
      <c r="H48" s="28"/>
      <c r="I48" s="28"/>
      <c r="J48" s="28"/>
      <c r="K48" s="28"/>
      <c r="L48" s="28"/>
      <c r="M48" s="28"/>
      <c r="N48" s="28"/>
      <c r="R48" s="2" t="s">
        <v>377</v>
      </c>
      <c r="S48" s="4"/>
      <c r="T48" s="4"/>
    </row>
    <row r="49" spans="18:20" x14ac:dyDescent="0.35">
      <c r="R49" s="2" t="s">
        <v>378</v>
      </c>
      <c r="S49" s="4"/>
      <c r="T49" s="4"/>
    </row>
    <row r="50" spans="18:20" x14ac:dyDescent="0.35">
      <c r="R50" s="2" t="s">
        <v>379</v>
      </c>
      <c r="S50" s="4">
        <v>-1.2</v>
      </c>
      <c r="T50" s="4">
        <v>-0.84</v>
      </c>
    </row>
    <row r="51" spans="18:20" x14ac:dyDescent="0.35">
      <c r="R51" s="2" t="s">
        <v>380</v>
      </c>
      <c r="S51" s="4">
        <v>3.59</v>
      </c>
      <c r="T51" s="4">
        <v>-0.67</v>
      </c>
    </row>
    <row r="52" spans="18:20" x14ac:dyDescent="0.35">
      <c r="R52" s="2" t="s">
        <v>381</v>
      </c>
      <c r="S52" s="4">
        <v>-0.36</v>
      </c>
      <c r="T52" s="4">
        <v>-1.1100000000000001</v>
      </c>
    </row>
    <row r="53" spans="18:20" x14ac:dyDescent="0.35">
      <c r="R53" s="2" t="s">
        <v>382</v>
      </c>
      <c r="S53" s="4">
        <v>1.96</v>
      </c>
      <c r="T53" s="4">
        <v>-0.78</v>
      </c>
    </row>
    <row r="54" spans="18:20" x14ac:dyDescent="0.35">
      <c r="R54" s="2" t="s">
        <v>383</v>
      </c>
      <c r="S54" s="4"/>
      <c r="T54" s="4"/>
    </row>
    <row r="55" spans="18:20" x14ac:dyDescent="0.35">
      <c r="R55" s="2" t="s">
        <v>384</v>
      </c>
      <c r="S55" s="4"/>
      <c r="T55" s="4"/>
    </row>
    <row r="56" spans="18:20" x14ac:dyDescent="0.35">
      <c r="R56" s="2" t="s">
        <v>385</v>
      </c>
      <c r="S56" s="4"/>
      <c r="T56" s="4"/>
    </row>
    <row r="57" spans="18:20" x14ac:dyDescent="0.35">
      <c r="R57" s="2" t="s">
        <v>386</v>
      </c>
      <c r="S57" s="4">
        <v>4.25</v>
      </c>
      <c r="T57" s="4">
        <v>-0.61</v>
      </c>
    </row>
    <row r="58" spans="18:20" x14ac:dyDescent="0.35">
      <c r="R58" s="2" t="s">
        <v>387</v>
      </c>
      <c r="S58" s="4">
        <v>3.03</v>
      </c>
      <c r="T58" s="4">
        <v>-0.52</v>
      </c>
    </row>
    <row r="59" spans="18:20" x14ac:dyDescent="0.35">
      <c r="R59" s="2" t="s">
        <v>388</v>
      </c>
      <c r="S59" s="4"/>
      <c r="T59" s="4"/>
    </row>
    <row r="60" spans="18:20" x14ac:dyDescent="0.35">
      <c r="R60" s="2" t="s">
        <v>389</v>
      </c>
      <c r="S60" s="4">
        <v>-0.11</v>
      </c>
      <c r="T60" s="4">
        <v>-0.56000000000000005</v>
      </c>
    </row>
    <row r="61" spans="18:20" x14ac:dyDescent="0.35">
      <c r="R61" s="2" t="s">
        <v>390</v>
      </c>
      <c r="S61" s="4">
        <v>1.69</v>
      </c>
      <c r="T61" s="4">
        <v>-0.57999999999999996</v>
      </c>
    </row>
    <row r="62" spans="18:20" x14ac:dyDescent="0.35">
      <c r="R62" s="2" t="s">
        <v>391</v>
      </c>
      <c r="S62" s="4">
        <v>0.18</v>
      </c>
      <c r="T62" s="4">
        <v>-0.96</v>
      </c>
    </row>
    <row r="63" spans="18:20" x14ac:dyDescent="0.35">
      <c r="R63" s="2" t="s">
        <v>392</v>
      </c>
      <c r="S63" s="4">
        <v>-1.61</v>
      </c>
      <c r="T63" s="4">
        <v>-0.98</v>
      </c>
    </row>
    <row r="64" spans="18:20" x14ac:dyDescent="0.35">
      <c r="R64" s="2" t="s">
        <v>393</v>
      </c>
      <c r="S64" s="4">
        <v>0.69</v>
      </c>
      <c r="T64" s="4">
        <v>-1</v>
      </c>
    </row>
    <row r="65" spans="18:20" x14ac:dyDescent="0.35">
      <c r="R65" s="2" t="s">
        <v>394</v>
      </c>
      <c r="S65" s="4">
        <v>4.3099999999999996</v>
      </c>
      <c r="T65" s="4">
        <v>-0.71</v>
      </c>
    </row>
    <row r="66" spans="18:20" x14ac:dyDescent="0.35">
      <c r="R66" s="2" t="s">
        <v>395</v>
      </c>
      <c r="S66" s="4"/>
      <c r="T66" s="4"/>
    </row>
    <row r="67" spans="18:20" x14ac:dyDescent="0.35">
      <c r="R67" s="2" t="s">
        <v>396</v>
      </c>
      <c r="S67" s="4">
        <v>3.92</v>
      </c>
      <c r="T67" s="4">
        <v>-0.46</v>
      </c>
    </row>
    <row r="68" spans="18:20" x14ac:dyDescent="0.35">
      <c r="R68" s="2" t="s">
        <v>397</v>
      </c>
      <c r="S68" s="4">
        <v>3.43</v>
      </c>
      <c r="T68" s="4">
        <v>-0.72</v>
      </c>
    </row>
    <row r="69" spans="18:20" x14ac:dyDescent="0.35">
      <c r="R69" s="2" t="s">
        <v>398</v>
      </c>
      <c r="S69" s="4">
        <v>0.99</v>
      </c>
      <c r="T69" s="4">
        <v>-0.97</v>
      </c>
    </row>
    <row r="70" spans="18:20" x14ac:dyDescent="0.35">
      <c r="R70" s="2" t="s">
        <v>399</v>
      </c>
      <c r="S70" s="4"/>
      <c r="T70" s="4"/>
    </row>
    <row r="71" spans="18:20" x14ac:dyDescent="0.35">
      <c r="R71" s="2" t="s">
        <v>120</v>
      </c>
      <c r="S71" s="4">
        <v>1.59</v>
      </c>
      <c r="T71" s="4">
        <v>-0.65</v>
      </c>
    </row>
    <row r="72" spans="18:20" x14ac:dyDescent="0.35">
      <c r="R72" s="2" t="s">
        <v>400</v>
      </c>
      <c r="S72" s="4">
        <v>0.26</v>
      </c>
      <c r="T72" s="4">
        <v>-0.91</v>
      </c>
    </row>
    <row r="73" spans="18:20" x14ac:dyDescent="0.35">
      <c r="R73" s="2" t="s">
        <v>401</v>
      </c>
      <c r="S73" s="4">
        <v>0.26</v>
      </c>
      <c r="T73" s="4">
        <v>-0.99</v>
      </c>
    </row>
    <row r="74" spans="18:20" x14ac:dyDescent="0.35">
      <c r="R74" s="2" t="s">
        <v>402</v>
      </c>
      <c r="S74" s="4">
        <v>0.99</v>
      </c>
      <c r="T74" s="4">
        <v>-0.87</v>
      </c>
    </row>
    <row r="75" spans="18:20" x14ac:dyDescent="0.35">
      <c r="R75" s="2" t="s">
        <v>403</v>
      </c>
      <c r="S75" s="4">
        <v>1.1000000000000001</v>
      </c>
      <c r="T75" s="4">
        <v>-0.77</v>
      </c>
    </row>
    <row r="76" spans="18:20" x14ac:dyDescent="0.35">
      <c r="R76" s="2" t="s">
        <v>404</v>
      </c>
      <c r="S76" s="4">
        <v>-2.2999999999999998</v>
      </c>
      <c r="T76" s="4">
        <v>-1.1599999999999999</v>
      </c>
    </row>
    <row r="77" spans="18:20" x14ac:dyDescent="0.35">
      <c r="R77" s="2" t="s">
        <v>405</v>
      </c>
      <c r="S77" s="4"/>
      <c r="T77" s="4"/>
    </row>
    <row r="78" spans="18:20" x14ac:dyDescent="0.35">
      <c r="R78" s="2" t="s">
        <v>406</v>
      </c>
      <c r="S78" s="4">
        <v>0.59</v>
      </c>
      <c r="T78" s="4">
        <v>-0.92</v>
      </c>
    </row>
    <row r="79" spans="18:20" x14ac:dyDescent="0.35">
      <c r="R79" s="2" t="s">
        <v>407</v>
      </c>
      <c r="S79" s="4">
        <v>2.29</v>
      </c>
      <c r="T79" s="4">
        <v>-0.65</v>
      </c>
    </row>
    <row r="80" spans="18:20" x14ac:dyDescent="0.35">
      <c r="R80" s="2" t="s">
        <v>408</v>
      </c>
      <c r="S80" s="4">
        <v>0.18</v>
      </c>
      <c r="T80" s="4">
        <v>-0.89</v>
      </c>
    </row>
    <row r="81" spans="18:20" x14ac:dyDescent="0.35">
      <c r="R81" s="2" t="s">
        <v>409</v>
      </c>
      <c r="S81" s="4">
        <v>-0.69</v>
      </c>
      <c r="T81" s="4">
        <v>-0.78</v>
      </c>
    </row>
    <row r="82" spans="18:20" x14ac:dyDescent="0.35">
      <c r="R82" s="2" t="s">
        <v>410</v>
      </c>
      <c r="S82" s="4">
        <v>3.26</v>
      </c>
      <c r="T82" s="4">
        <v>-0.57999999999999996</v>
      </c>
    </row>
    <row r="83" spans="18:20" x14ac:dyDescent="0.35">
      <c r="R83" s="2" t="s">
        <v>411</v>
      </c>
      <c r="S83" s="4"/>
      <c r="T83" s="4"/>
    </row>
    <row r="84" spans="18:20" x14ac:dyDescent="0.35">
      <c r="R84" s="2" t="s">
        <v>412</v>
      </c>
      <c r="S84" s="4"/>
      <c r="T84" s="4"/>
    </row>
    <row r="85" spans="18:20" x14ac:dyDescent="0.35">
      <c r="R85" s="2" t="s">
        <v>180</v>
      </c>
      <c r="S85" s="4">
        <v>0</v>
      </c>
      <c r="T85" s="4">
        <v>-0.76</v>
      </c>
    </row>
    <row r="86" spans="18:20" x14ac:dyDescent="0.35">
      <c r="R86" s="2" t="s">
        <v>413</v>
      </c>
      <c r="S86" s="4">
        <v>0.1</v>
      </c>
      <c r="T86" s="4">
        <v>-0.93</v>
      </c>
    </row>
    <row r="87" spans="18:20" x14ac:dyDescent="0.35">
      <c r="R87" s="2" t="s">
        <v>414</v>
      </c>
      <c r="S87" s="4"/>
      <c r="T87" s="4"/>
    </row>
    <row r="88" spans="18:20" x14ac:dyDescent="0.35">
      <c r="R88" s="2" t="s">
        <v>415</v>
      </c>
      <c r="S88" s="4">
        <v>3.21</v>
      </c>
      <c r="T88" s="4">
        <v>-0.77</v>
      </c>
    </row>
    <row r="89" spans="18:20" x14ac:dyDescent="0.35">
      <c r="R89" s="2" t="s">
        <v>416</v>
      </c>
      <c r="S89" s="4">
        <v>3.8</v>
      </c>
      <c r="T89" s="4">
        <v>-0.68</v>
      </c>
    </row>
    <row r="90" spans="18:20" x14ac:dyDescent="0.35">
      <c r="R90" s="2" t="s">
        <v>417</v>
      </c>
      <c r="S90" s="4">
        <v>3.28</v>
      </c>
      <c r="T90" s="4">
        <v>-0.7</v>
      </c>
    </row>
    <row r="91" spans="18:20" x14ac:dyDescent="0.35">
      <c r="R91" s="2" t="s">
        <v>418</v>
      </c>
      <c r="S91" s="4">
        <v>-1.2</v>
      </c>
      <c r="T91" s="4">
        <v>-0.97</v>
      </c>
    </row>
    <row r="92" spans="18:20" x14ac:dyDescent="0.35">
      <c r="R92" s="2" t="s">
        <v>419</v>
      </c>
      <c r="S92" s="4">
        <v>-0.92</v>
      </c>
      <c r="T92" s="4">
        <v>-1.04</v>
      </c>
    </row>
    <row r="93" spans="18:20" x14ac:dyDescent="0.35">
      <c r="R93" s="2" t="s">
        <v>420</v>
      </c>
      <c r="S93" s="4">
        <v>3.74</v>
      </c>
      <c r="T93" s="4">
        <v>-0.54</v>
      </c>
    </row>
    <row r="94" spans="18:20" x14ac:dyDescent="0.35">
      <c r="R94" s="2" t="s">
        <v>421</v>
      </c>
      <c r="S94" s="4"/>
      <c r="T94" s="4"/>
    </row>
    <row r="95" spans="18:20" x14ac:dyDescent="0.35">
      <c r="R95" s="2" t="s">
        <v>73</v>
      </c>
      <c r="S95" s="4"/>
      <c r="T95" s="4"/>
    </row>
    <row r="96" spans="18:20" x14ac:dyDescent="0.35">
      <c r="R96" s="2" t="s">
        <v>422</v>
      </c>
      <c r="S96" s="4">
        <v>-1.61</v>
      </c>
      <c r="T96" s="4">
        <v>-0.99</v>
      </c>
    </row>
    <row r="97" spans="18:20" x14ac:dyDescent="0.35">
      <c r="R97" s="2" t="s">
        <v>423</v>
      </c>
      <c r="S97" s="4">
        <v>0.83</v>
      </c>
      <c r="T97" s="4">
        <v>-1.01</v>
      </c>
    </row>
    <row r="98" spans="18:20" x14ac:dyDescent="0.35">
      <c r="R98" s="2" t="s">
        <v>424</v>
      </c>
      <c r="S98" s="4">
        <v>2.2999999999999998</v>
      </c>
      <c r="T98" s="4">
        <v>-0.59</v>
      </c>
    </row>
    <row r="99" spans="18:20" x14ac:dyDescent="0.35">
      <c r="R99" s="2" t="s">
        <v>425</v>
      </c>
      <c r="S99" s="4">
        <v>0</v>
      </c>
      <c r="T99" s="4">
        <v>-0.74</v>
      </c>
    </row>
    <row r="100" spans="18:20" x14ac:dyDescent="0.35">
      <c r="R100" s="2" t="s">
        <v>426</v>
      </c>
      <c r="S100" s="4">
        <v>4.16</v>
      </c>
      <c r="T100" s="4">
        <v>-0.73</v>
      </c>
    </row>
    <row r="101" spans="18:20" x14ac:dyDescent="0.35">
      <c r="R101" s="2" t="s">
        <v>427</v>
      </c>
      <c r="S101" s="4">
        <v>3.68</v>
      </c>
      <c r="T101" s="4">
        <v>-0.68</v>
      </c>
    </row>
  </sheetData>
  <mergeCells count="1">
    <mergeCell ref="A37:N40"/>
  </mergeCells>
  <hyperlinks>
    <hyperlink ref="A47" location="'Read Me'!A1" display="Return to Read Me" xr:uid="{26EA7E5C-8CAC-46A2-A919-DCE7DDBD3FA9}"/>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8A6F5-65B3-4432-8BE7-74D89D5EB99D}">
  <dimension ref="A1:T48"/>
  <sheetViews>
    <sheetView zoomScale="70" zoomScaleNormal="70" workbookViewId="0">
      <selection activeCell="A37" sqref="A37:N41"/>
    </sheetView>
  </sheetViews>
  <sheetFormatPr defaultColWidth="8.58203125" defaultRowHeight="17.5" x14ac:dyDescent="0.35"/>
  <cols>
    <col min="1" max="17" width="8.58203125" style="2"/>
    <col min="18" max="18" width="8.58203125" style="2" customWidth="1"/>
    <col min="19" max="19" width="24.08203125" style="2" customWidth="1"/>
    <col min="20" max="20" width="22.33203125" style="2" customWidth="1"/>
    <col min="21" max="16384" width="8.58203125" style="2"/>
  </cols>
  <sheetData>
    <row r="1" spans="1:20" s="1" customFormat="1" ht="25" x14ac:dyDescent="0.5">
      <c r="A1" s="1" t="s">
        <v>283</v>
      </c>
    </row>
    <row r="2" spans="1:20" ht="17.25" customHeight="1" x14ac:dyDescent="0.35"/>
    <row r="3" spans="1:20" ht="17.25" customHeight="1" x14ac:dyDescent="0.35">
      <c r="R3" s="29"/>
      <c r="S3" s="29" t="s">
        <v>428</v>
      </c>
      <c r="T3" s="29" t="s">
        <v>429</v>
      </c>
    </row>
    <row r="4" spans="1:20" ht="17.25" customHeight="1" x14ac:dyDescent="0.35">
      <c r="R4" s="29" t="s">
        <v>3</v>
      </c>
      <c r="S4" s="34">
        <v>-5.1100000000000003</v>
      </c>
      <c r="T4" s="34">
        <v>5.04</v>
      </c>
    </row>
    <row r="5" spans="1:20" ht="17.25" customHeight="1" x14ac:dyDescent="0.35">
      <c r="R5" s="30" t="s">
        <v>11</v>
      </c>
      <c r="S5" s="34">
        <v>-4.1100000000000003</v>
      </c>
      <c r="T5" s="34">
        <v>3.96</v>
      </c>
    </row>
    <row r="6" spans="1:20" ht="17.25" customHeight="1" x14ac:dyDescent="0.35">
      <c r="R6" s="30" t="s">
        <v>14</v>
      </c>
      <c r="S6" s="34">
        <v>-3.79</v>
      </c>
      <c r="T6" s="34">
        <v>3.97</v>
      </c>
    </row>
    <row r="7" spans="1:20" ht="17.25" customHeight="1" x14ac:dyDescent="0.35">
      <c r="R7" s="30" t="s">
        <v>12</v>
      </c>
      <c r="S7" s="34">
        <v>-3.4</v>
      </c>
      <c r="T7" s="34">
        <v>3.85</v>
      </c>
    </row>
    <row r="8" spans="1:20" ht="17.25" customHeight="1" x14ac:dyDescent="0.35">
      <c r="R8" s="30" t="s">
        <v>15</v>
      </c>
      <c r="S8" s="34">
        <v>-3.13</v>
      </c>
      <c r="T8" s="34">
        <v>4.8499999999999996</v>
      </c>
    </row>
    <row r="9" spans="1:20" ht="17.25" customHeight="1" x14ac:dyDescent="0.35">
      <c r="R9" s="30" t="s">
        <v>13</v>
      </c>
      <c r="S9" s="34">
        <v>-2.4</v>
      </c>
      <c r="T9" s="34">
        <v>3.4</v>
      </c>
    </row>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33" t="s">
        <v>640</v>
      </c>
      <c r="B36" s="33"/>
      <c r="C36" s="33"/>
      <c r="D36" s="33"/>
      <c r="E36" s="33"/>
      <c r="F36" s="33"/>
      <c r="G36" s="33"/>
      <c r="H36" s="33"/>
      <c r="I36" s="33"/>
    </row>
    <row r="37" spans="1:14" ht="17.25" customHeight="1" x14ac:dyDescent="0.35">
      <c r="A37" s="61" t="s">
        <v>639</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78594F9E-1C40-45B1-BF4A-2F3B4CDAB4BD}"/>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51B31-6FDF-46E5-9FC6-A1F9D64B09AC}">
  <dimension ref="A1:AC48"/>
  <sheetViews>
    <sheetView zoomScale="70" zoomScaleNormal="70" workbookViewId="0">
      <selection activeCell="Q17" sqref="Q17"/>
    </sheetView>
  </sheetViews>
  <sheetFormatPr defaultColWidth="8.58203125" defaultRowHeight="17.5" x14ac:dyDescent="0.35"/>
  <cols>
    <col min="1" max="17" width="8.58203125" style="2"/>
    <col min="18" max="18" width="19.08203125" style="2" customWidth="1"/>
    <col min="19" max="16384" width="8.58203125" style="2"/>
  </cols>
  <sheetData>
    <row r="1" spans="1:29" s="1" customFormat="1" ht="25" x14ac:dyDescent="0.5">
      <c r="A1" s="1" t="s">
        <v>285</v>
      </c>
    </row>
    <row r="2" spans="1:29" ht="17.25" customHeight="1" x14ac:dyDescent="0.35"/>
    <row r="3" spans="1:29" ht="17.25" customHeight="1" x14ac:dyDescent="0.35">
      <c r="S3" s="2">
        <v>2013</v>
      </c>
      <c r="T3" s="2">
        <v>2014</v>
      </c>
      <c r="U3" s="2">
        <v>2015</v>
      </c>
      <c r="V3" s="2">
        <v>2016</v>
      </c>
      <c r="W3" s="2">
        <v>2017</v>
      </c>
      <c r="X3" s="2">
        <v>2018</v>
      </c>
      <c r="Y3" s="2">
        <v>2019</v>
      </c>
      <c r="Z3" s="2">
        <v>2020</v>
      </c>
      <c r="AA3" s="2">
        <v>2021</v>
      </c>
      <c r="AB3" s="2">
        <v>2022</v>
      </c>
      <c r="AC3" s="2">
        <v>2023</v>
      </c>
    </row>
    <row r="4" spans="1:29" ht="17.25" customHeight="1" x14ac:dyDescent="0.35">
      <c r="R4" s="2" t="s">
        <v>430</v>
      </c>
      <c r="S4" s="11">
        <v>100</v>
      </c>
      <c r="T4" s="11">
        <v>102.8</v>
      </c>
      <c r="U4" s="11">
        <v>106.6</v>
      </c>
      <c r="V4" s="11">
        <v>110.9</v>
      </c>
      <c r="W4" s="11">
        <v>113.2</v>
      </c>
      <c r="X4" s="11">
        <v>115.5</v>
      </c>
      <c r="Y4" s="11">
        <v>115.9</v>
      </c>
      <c r="Z4" s="11">
        <v>112.3</v>
      </c>
      <c r="AA4" s="11">
        <v>112.4</v>
      </c>
      <c r="AB4" s="11">
        <v>117.4</v>
      </c>
      <c r="AC4" s="11">
        <v>122.8</v>
      </c>
    </row>
    <row r="5" spans="1:29" ht="17.25" customHeight="1" x14ac:dyDescent="0.35">
      <c r="R5" s="2" t="s">
        <v>431</v>
      </c>
      <c r="S5" s="11">
        <v>100</v>
      </c>
      <c r="T5" s="11">
        <v>99.3</v>
      </c>
      <c r="U5" s="11">
        <v>98.8</v>
      </c>
      <c r="V5" s="11">
        <v>98.1</v>
      </c>
      <c r="W5" s="11">
        <v>97.2</v>
      </c>
      <c r="X5" s="11">
        <v>96.6</v>
      </c>
      <c r="Y5" s="11">
        <v>96.4</v>
      </c>
      <c r="Z5" s="11">
        <v>95.9</v>
      </c>
      <c r="AA5" s="11">
        <v>95.9</v>
      </c>
      <c r="AB5" s="11">
        <v>96.2</v>
      </c>
      <c r="AC5" s="11">
        <v>94.3</v>
      </c>
    </row>
    <row r="6" spans="1:29" ht="17.25" customHeight="1" x14ac:dyDescent="0.35">
      <c r="R6" s="2" t="s">
        <v>432</v>
      </c>
      <c r="S6" s="11">
        <v>100</v>
      </c>
      <c r="T6" s="11">
        <v>100</v>
      </c>
      <c r="U6" s="11">
        <v>100</v>
      </c>
      <c r="V6" s="11">
        <v>100</v>
      </c>
      <c r="W6" s="11">
        <v>100</v>
      </c>
      <c r="X6" s="11">
        <v>100</v>
      </c>
      <c r="Y6" s="11">
        <v>100</v>
      </c>
      <c r="Z6" s="11">
        <v>100</v>
      </c>
      <c r="AA6" s="11">
        <v>100</v>
      </c>
      <c r="AB6" s="11">
        <v>100</v>
      </c>
      <c r="AC6" s="11">
        <v>100</v>
      </c>
    </row>
    <row r="7" spans="1:29" ht="17.25" customHeight="1" x14ac:dyDescent="0.35"/>
    <row r="8" spans="1:29" ht="17.25" customHeight="1" x14ac:dyDescent="0.35"/>
    <row r="9" spans="1:29" ht="17.25" customHeight="1" x14ac:dyDescent="0.35"/>
    <row r="10" spans="1:29" ht="17.25" customHeight="1" x14ac:dyDescent="0.35"/>
    <row r="11" spans="1:29" ht="17.25" customHeight="1" x14ac:dyDescent="0.35"/>
    <row r="12" spans="1:29" ht="17.25" customHeight="1" x14ac:dyDescent="0.35"/>
    <row r="13" spans="1:29" ht="17.25" customHeight="1" x14ac:dyDescent="0.35"/>
    <row r="14" spans="1:29" ht="17.25" customHeight="1" x14ac:dyDescent="0.35"/>
    <row r="15" spans="1:29" ht="17.25" customHeight="1" x14ac:dyDescent="0.35"/>
    <row r="16" spans="1:29"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33" t="s">
        <v>433</v>
      </c>
      <c r="B36" s="33"/>
      <c r="C36" s="33"/>
      <c r="D36" s="33"/>
      <c r="E36" s="33"/>
      <c r="F36" s="33"/>
      <c r="G36" s="33"/>
      <c r="H36" s="33"/>
      <c r="I36" s="33"/>
    </row>
    <row r="37" spans="1:14" ht="17.25" customHeight="1" x14ac:dyDescent="0.35">
      <c r="A37" s="61" t="s">
        <v>434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2"/>
  </mergeCells>
  <hyperlinks>
    <hyperlink ref="A47" location="'Read Me'!A1" display="Return to Read Me" xr:uid="{481CC7ED-32E3-4209-B878-B59C358B749F}"/>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4DD0-DA49-4887-A80D-E47B88904889}">
  <dimension ref="A1:T48"/>
  <sheetViews>
    <sheetView zoomScale="70" zoomScaleNormal="70" workbookViewId="0">
      <selection activeCell="S31" sqref="S31"/>
    </sheetView>
  </sheetViews>
  <sheetFormatPr defaultColWidth="8.58203125" defaultRowHeight="17.5" x14ac:dyDescent="0.35"/>
  <cols>
    <col min="1" max="17" width="8.58203125" style="2"/>
    <col min="18" max="18" width="17.25" style="2" customWidth="1"/>
    <col min="19" max="19" width="20.25" style="2" customWidth="1"/>
    <col min="20" max="20" width="21.58203125" style="2" customWidth="1"/>
    <col min="21" max="16384" width="8.58203125" style="2"/>
  </cols>
  <sheetData>
    <row r="1" spans="1:20" s="1" customFormat="1" ht="25" x14ac:dyDescent="0.5">
      <c r="A1" s="1" t="s">
        <v>287</v>
      </c>
    </row>
    <row r="2" spans="1:20" ht="17.25" customHeight="1" x14ac:dyDescent="0.35"/>
    <row r="3" spans="1:20" ht="17.25" customHeight="1" x14ac:dyDescent="0.35">
      <c r="S3" s="2" t="s">
        <v>435</v>
      </c>
      <c r="T3" s="2" t="s">
        <v>436</v>
      </c>
    </row>
    <row r="4" spans="1:20" ht="17.25" customHeight="1" x14ac:dyDescent="0.35">
      <c r="R4" s="2" t="s">
        <v>3</v>
      </c>
      <c r="S4" s="2">
        <v>6.6</v>
      </c>
      <c r="T4" s="2">
        <v>6.4</v>
      </c>
    </row>
    <row r="5" spans="1:20" ht="17.25" customHeight="1" x14ac:dyDescent="0.35">
      <c r="R5" s="8" t="s">
        <v>437</v>
      </c>
      <c r="S5" s="2">
        <v>6.3</v>
      </c>
      <c r="T5" s="2">
        <v>3.5</v>
      </c>
    </row>
    <row r="6" spans="1:20" ht="17.25" customHeight="1" x14ac:dyDescent="0.35">
      <c r="R6" s="8" t="s">
        <v>438</v>
      </c>
      <c r="S6" s="2">
        <v>4.3</v>
      </c>
      <c r="T6" s="2">
        <v>3.8</v>
      </c>
    </row>
    <row r="7" spans="1:20" ht="17.25" customHeight="1" x14ac:dyDescent="0.35"/>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235</v>
      </c>
    </row>
    <row r="37" spans="1:14" ht="17.25" customHeight="1" x14ac:dyDescent="0.35">
      <c r="A37" s="33" t="s">
        <v>439</v>
      </c>
      <c r="B37" s="33"/>
      <c r="C37" s="33"/>
      <c r="D37" s="33"/>
      <c r="E37" s="33"/>
      <c r="F37" s="33"/>
      <c r="G37" s="33"/>
      <c r="H37" s="33"/>
      <c r="I37" s="33"/>
      <c r="J37" s="33"/>
      <c r="K37" s="33"/>
      <c r="L37" s="33"/>
      <c r="M37" s="33"/>
      <c r="N37" s="33"/>
    </row>
    <row r="38" spans="1:14" ht="17.25" customHeight="1" x14ac:dyDescent="0.35">
      <c r="A38" s="33"/>
      <c r="B38" s="33"/>
      <c r="C38" s="33"/>
      <c r="D38" s="33"/>
      <c r="E38" s="33"/>
      <c r="F38" s="33"/>
      <c r="G38" s="33"/>
      <c r="H38" s="33"/>
      <c r="I38" s="33"/>
      <c r="J38" s="33"/>
      <c r="K38" s="33"/>
      <c r="L38" s="33"/>
      <c r="M38" s="33"/>
      <c r="N38" s="33"/>
    </row>
    <row r="39" spans="1:14" ht="17.25" customHeight="1" x14ac:dyDescent="0.35">
      <c r="A39" s="28"/>
      <c r="B39" s="28"/>
      <c r="C39" s="28"/>
      <c r="D39" s="28"/>
      <c r="E39" s="28"/>
      <c r="F39" s="28"/>
      <c r="G39" s="28"/>
      <c r="H39" s="28"/>
      <c r="I39" s="28"/>
      <c r="J39" s="28"/>
      <c r="K39" s="28"/>
      <c r="L39" s="28"/>
      <c r="M39" s="28"/>
      <c r="N39" s="28"/>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hyperlinks>
    <hyperlink ref="A47" location="'Read Me'!A1" display="Return to Read Me" xr:uid="{C00E6D62-1ADF-445C-90EB-B06A6075AA7D}"/>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88BD-F88A-4472-9B34-4F36EDD8777D}">
  <dimension ref="A1:S48"/>
  <sheetViews>
    <sheetView zoomScale="70" zoomScaleNormal="70" workbookViewId="0">
      <selection activeCell="S3" sqref="S3"/>
    </sheetView>
  </sheetViews>
  <sheetFormatPr defaultColWidth="8.58203125" defaultRowHeight="17.5" x14ac:dyDescent="0.35"/>
  <cols>
    <col min="1" max="17" width="8.58203125" style="2"/>
    <col min="18" max="18" width="8.58203125" style="2" customWidth="1"/>
    <col min="19" max="16384" width="8.58203125" style="2"/>
  </cols>
  <sheetData>
    <row r="1" spans="1:19" s="1" customFormat="1" ht="25" x14ac:dyDescent="0.5">
      <c r="A1" s="1" t="s">
        <v>289</v>
      </c>
    </row>
    <row r="2" spans="1:19" ht="17.25" customHeight="1" x14ac:dyDescent="0.35"/>
    <row r="3" spans="1:19" ht="17.25" customHeight="1" x14ac:dyDescent="0.35">
      <c r="R3" s="2" t="s">
        <v>440</v>
      </c>
      <c r="S3" s="2" t="s">
        <v>441</v>
      </c>
    </row>
    <row r="4" spans="1:19" ht="17.25" customHeight="1" x14ac:dyDescent="0.35">
      <c r="R4" s="2" t="s">
        <v>13</v>
      </c>
      <c r="S4" s="10">
        <v>16</v>
      </c>
    </row>
    <row r="5" spans="1:19" ht="17.25" customHeight="1" x14ac:dyDescent="0.35">
      <c r="R5" s="2" t="s">
        <v>3</v>
      </c>
      <c r="S5" s="10">
        <v>12</v>
      </c>
    </row>
    <row r="6" spans="1:19" ht="17.25" customHeight="1" x14ac:dyDescent="0.35">
      <c r="R6" s="2" t="s">
        <v>12</v>
      </c>
      <c r="S6" s="10">
        <v>11</v>
      </c>
    </row>
    <row r="7" spans="1:19" ht="17.25" customHeight="1" x14ac:dyDescent="0.35">
      <c r="R7" s="2" t="s">
        <v>15</v>
      </c>
      <c r="S7" s="10">
        <v>4</v>
      </c>
    </row>
    <row r="8" spans="1:19" ht="17.25" customHeight="1" x14ac:dyDescent="0.35">
      <c r="R8" s="2" t="s">
        <v>14</v>
      </c>
      <c r="S8" s="10">
        <v>2</v>
      </c>
    </row>
    <row r="9" spans="1:19" ht="17.25" customHeight="1" x14ac:dyDescent="0.35"/>
    <row r="10" spans="1:19" ht="17.25" customHeight="1" x14ac:dyDescent="0.35"/>
    <row r="11" spans="1:19" ht="17.25" customHeight="1" x14ac:dyDescent="0.35"/>
    <row r="12" spans="1:19" ht="17.25" customHeight="1" x14ac:dyDescent="0.35"/>
    <row r="13" spans="1:19" ht="17.25" customHeight="1" x14ac:dyDescent="0.35"/>
    <row r="14" spans="1:19" ht="17.25" customHeight="1" x14ac:dyDescent="0.35"/>
    <row r="15" spans="1:19" ht="17.25" customHeight="1" x14ac:dyDescent="0.35"/>
    <row r="16" spans="1:19"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442</v>
      </c>
    </row>
    <row r="37" spans="1:14" ht="17.25" customHeight="1" x14ac:dyDescent="0.35">
      <c r="A37" s="61" t="s">
        <v>443</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F3A2B007-D795-40AD-8977-F146ED72CB87}"/>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C441-F95D-4465-AC90-49EB63254AFC}">
  <dimension ref="A1:X48"/>
  <sheetViews>
    <sheetView zoomScale="70" zoomScaleNormal="70" workbookViewId="0">
      <selection activeCell="T21" sqref="T21"/>
    </sheetView>
  </sheetViews>
  <sheetFormatPr defaultColWidth="8.58203125" defaultRowHeight="17.5" x14ac:dyDescent="0.35"/>
  <cols>
    <col min="1" max="17" width="8.58203125" style="2"/>
    <col min="18" max="18" width="20.08203125" style="2" customWidth="1"/>
    <col min="19" max="16384" width="8.58203125" style="2"/>
  </cols>
  <sheetData>
    <row r="1" spans="1:24" s="1" customFormat="1" ht="25" x14ac:dyDescent="0.5">
      <c r="A1" s="1" t="s">
        <v>606</v>
      </c>
    </row>
    <row r="2" spans="1:24" ht="17.25" customHeight="1" x14ac:dyDescent="0.35"/>
    <row r="3" spans="1:24" ht="17.25" customHeight="1" x14ac:dyDescent="0.35">
      <c r="S3" s="2" t="s">
        <v>11</v>
      </c>
      <c r="T3" s="2" t="s">
        <v>13</v>
      </c>
      <c r="U3" s="2" t="s">
        <v>12</v>
      </c>
      <c r="V3" s="2" t="s">
        <v>14</v>
      </c>
      <c r="W3" s="2" t="s">
        <v>3</v>
      </c>
      <c r="X3" s="2" t="s">
        <v>15</v>
      </c>
    </row>
    <row r="4" spans="1:24" ht="17.25" customHeight="1" x14ac:dyDescent="0.35">
      <c r="R4" s="5" t="s">
        <v>571</v>
      </c>
      <c r="S4" s="4">
        <v>-0.27</v>
      </c>
      <c r="T4" s="4">
        <v>-0.11</v>
      </c>
      <c r="U4" s="4">
        <v>-0.14000000000000001</v>
      </c>
      <c r="V4" s="4">
        <v>-0.49</v>
      </c>
      <c r="W4" s="4">
        <v>-0.63</v>
      </c>
      <c r="X4" s="4">
        <v>-0.77</v>
      </c>
    </row>
    <row r="5" spans="1:24" ht="17.25" customHeight="1" x14ac:dyDescent="0.35">
      <c r="R5" s="5" t="s">
        <v>444</v>
      </c>
      <c r="S5" s="4">
        <v>0.02</v>
      </c>
      <c r="T5" s="4">
        <v>0.44</v>
      </c>
      <c r="U5" s="4">
        <v>0.33</v>
      </c>
      <c r="V5" s="4">
        <v>0.16</v>
      </c>
      <c r="W5" s="4">
        <v>-0.36</v>
      </c>
      <c r="X5" s="4">
        <v>-0.43</v>
      </c>
    </row>
    <row r="6" spans="1:24" ht="17.25" customHeight="1" x14ac:dyDescent="0.35">
      <c r="R6" s="2" t="s">
        <v>445</v>
      </c>
      <c r="S6" s="4">
        <v>-0.65</v>
      </c>
      <c r="T6" s="4">
        <v>-0.5</v>
      </c>
      <c r="U6" s="4">
        <v>-0.51</v>
      </c>
      <c r="V6" s="4">
        <v>-1.27</v>
      </c>
      <c r="W6" s="4">
        <v>-0.47</v>
      </c>
      <c r="X6" s="4">
        <v>-0.64</v>
      </c>
    </row>
    <row r="7" spans="1:24" ht="17.25" customHeight="1" x14ac:dyDescent="0.35">
      <c r="R7" s="5" t="s">
        <v>572</v>
      </c>
      <c r="S7" s="4">
        <v>1.1399999999999999</v>
      </c>
      <c r="T7" s="4">
        <v>1.1399999999999999</v>
      </c>
      <c r="U7" s="4">
        <v>1.1399999999999999</v>
      </c>
      <c r="V7" s="4">
        <v>1.1399999999999999</v>
      </c>
      <c r="W7" s="4">
        <v>1.1399999999999999</v>
      </c>
      <c r="X7" s="4">
        <v>1.1399999999999999</v>
      </c>
    </row>
    <row r="8" spans="1:24" ht="17.25" customHeight="1" x14ac:dyDescent="0.35">
      <c r="S8" s="10"/>
    </row>
    <row r="9" spans="1:24" ht="17.25" customHeight="1" x14ac:dyDescent="0.35"/>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446</v>
      </c>
    </row>
    <row r="37" spans="1:14" ht="17.25" customHeight="1" x14ac:dyDescent="0.35">
      <c r="A37" s="61" t="s">
        <v>447</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61"/>
      <c r="B43" s="61"/>
      <c r="C43" s="61"/>
      <c r="D43" s="61"/>
      <c r="E43" s="61"/>
      <c r="F43" s="61"/>
      <c r="G43" s="61"/>
      <c r="H43" s="61"/>
      <c r="I43" s="61"/>
      <c r="J43" s="61"/>
      <c r="K43" s="61"/>
      <c r="L43" s="61"/>
      <c r="M43" s="61"/>
      <c r="N43" s="61"/>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3"/>
  </mergeCells>
  <hyperlinks>
    <hyperlink ref="A47" location="'Read Me'!A1" display="Return to Read Me" xr:uid="{42ACD276-24BC-4575-B7AD-D30F6528C72A}"/>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7520-EA5F-4B7C-A75A-6095384C3A60}">
  <dimension ref="A1:T48"/>
  <sheetViews>
    <sheetView zoomScale="70" zoomScaleNormal="70" workbookViewId="0">
      <selection activeCell="U31" sqref="U31"/>
    </sheetView>
  </sheetViews>
  <sheetFormatPr defaultColWidth="8.58203125" defaultRowHeight="17.5" x14ac:dyDescent="0.35"/>
  <cols>
    <col min="1" max="17" width="8.58203125" style="2"/>
    <col min="18" max="18" width="22.33203125" style="2" customWidth="1"/>
    <col min="19" max="19" width="12.08203125" style="2" customWidth="1"/>
    <col min="20" max="20" width="19.75" style="2" customWidth="1"/>
    <col min="21" max="16384" width="8.58203125" style="2"/>
  </cols>
  <sheetData>
    <row r="1" spans="1:20" s="1" customFormat="1" ht="25" x14ac:dyDescent="0.5">
      <c r="A1" s="1" t="s">
        <v>292</v>
      </c>
    </row>
    <row r="2" spans="1:20" ht="17.25" customHeight="1" x14ac:dyDescent="0.35"/>
    <row r="3" spans="1:20" ht="17.25" customHeight="1" x14ac:dyDescent="0.35">
      <c r="S3" s="2">
        <v>2023</v>
      </c>
      <c r="T3" s="35" t="s">
        <v>244</v>
      </c>
    </row>
    <row r="4" spans="1:20" ht="17.25" customHeight="1" x14ac:dyDescent="0.35">
      <c r="R4" s="5" t="s">
        <v>3</v>
      </c>
      <c r="S4" s="2">
        <v>20.7</v>
      </c>
      <c r="T4" s="2">
        <v>20.399999999999999</v>
      </c>
    </row>
    <row r="5" spans="1:20" ht="17.25" customHeight="1" x14ac:dyDescent="0.35">
      <c r="R5" s="5" t="s">
        <v>240</v>
      </c>
      <c r="S5" s="2">
        <v>24.2</v>
      </c>
      <c r="T5" s="2">
        <v>23.9</v>
      </c>
    </row>
    <row r="6" spans="1:20" ht="17.25" customHeight="1" x14ac:dyDescent="0.35"/>
    <row r="7" spans="1:20" ht="17.25" customHeight="1" x14ac:dyDescent="0.35"/>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235</v>
      </c>
    </row>
    <row r="37" spans="1:14" ht="17.25" customHeight="1" x14ac:dyDescent="0.35">
      <c r="A37" s="61" t="s">
        <v>448</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28"/>
      <c r="B39" s="28"/>
      <c r="C39" s="28"/>
      <c r="D39" s="28"/>
      <c r="E39" s="28"/>
      <c r="F39" s="28"/>
      <c r="G39" s="28"/>
      <c r="H39" s="28"/>
      <c r="I39" s="28"/>
      <c r="J39" s="28"/>
      <c r="K39" s="28"/>
      <c r="L39" s="28"/>
      <c r="M39" s="28"/>
      <c r="N39" s="28"/>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8"/>
  </mergeCells>
  <hyperlinks>
    <hyperlink ref="A47" location="'Read Me'!A1" display="Return to Read Me" xr:uid="{A912E9E4-E950-4623-B7E5-7DA6C04D50D8}"/>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D301-1152-4939-B6B2-5D7AA288B0C4}">
  <dimension ref="A1:U48"/>
  <sheetViews>
    <sheetView zoomScale="70" zoomScaleNormal="70" workbookViewId="0">
      <selection activeCell="A37" sqref="A37:N40"/>
    </sheetView>
  </sheetViews>
  <sheetFormatPr defaultColWidth="8.58203125" defaultRowHeight="17.5" x14ac:dyDescent="0.35"/>
  <cols>
    <col min="1" max="17" width="8.58203125" style="2"/>
    <col min="18" max="18" width="28.33203125" style="2" customWidth="1"/>
    <col min="19" max="19" width="34.25" style="2" customWidth="1"/>
    <col min="20" max="16384" width="8.58203125" style="2"/>
  </cols>
  <sheetData>
    <row r="1" spans="1:21" s="1" customFormat="1" ht="25" x14ac:dyDescent="0.5">
      <c r="A1" s="1" t="s">
        <v>294</v>
      </c>
    </row>
    <row r="2" spans="1:21" ht="17.25" customHeight="1" x14ac:dyDescent="0.35"/>
    <row r="3" spans="1:21" ht="17.25" customHeight="1" x14ac:dyDescent="0.4">
      <c r="S3" s="36"/>
      <c r="T3" s="37"/>
      <c r="U3" s="4"/>
    </row>
    <row r="4" spans="1:21" ht="17.25" customHeight="1" x14ac:dyDescent="0.35">
      <c r="R4" s="2" t="s">
        <v>449</v>
      </c>
      <c r="S4" s="36" t="s">
        <v>450</v>
      </c>
      <c r="T4" s="4"/>
      <c r="U4" s="38">
        <v>6.2</v>
      </c>
    </row>
    <row r="5" spans="1:21" ht="17.25" customHeight="1" x14ac:dyDescent="0.35">
      <c r="R5" s="36" t="s">
        <v>451</v>
      </c>
      <c r="S5" s="36" t="s">
        <v>452</v>
      </c>
      <c r="T5" s="38">
        <v>0.54</v>
      </c>
      <c r="U5" s="4">
        <v>5.66</v>
      </c>
    </row>
    <row r="6" spans="1:21" ht="17.25" customHeight="1" x14ac:dyDescent="0.35">
      <c r="S6" s="36" t="s">
        <v>453</v>
      </c>
      <c r="T6" s="38">
        <v>0.72</v>
      </c>
      <c r="U6" s="4">
        <v>5.48</v>
      </c>
    </row>
    <row r="7" spans="1:21" ht="17.25" customHeight="1" x14ac:dyDescent="0.35"/>
    <row r="8" spans="1:21" ht="17.25" customHeight="1" x14ac:dyDescent="0.35"/>
    <row r="9" spans="1:21" ht="17.25" customHeight="1" x14ac:dyDescent="0.35"/>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235</v>
      </c>
    </row>
    <row r="37" spans="1:14" ht="17.25" customHeight="1" x14ac:dyDescent="0.35">
      <c r="A37" s="61" t="s">
        <v>454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BD4EC3E4-FE76-491B-ABD3-80477CE7B129}"/>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1BA0-96B5-4821-9377-5E0273468B7F}">
  <dimension ref="A1:U48"/>
  <sheetViews>
    <sheetView topLeftCell="A3" zoomScale="70" zoomScaleNormal="70" workbookViewId="0">
      <selection activeCell="U48" sqref="U48"/>
    </sheetView>
  </sheetViews>
  <sheetFormatPr defaultColWidth="8.58203125" defaultRowHeight="17.5" x14ac:dyDescent="0.35"/>
  <cols>
    <col min="1" max="17" width="8.58203125" style="2"/>
    <col min="18" max="18" width="15.83203125" style="2" customWidth="1"/>
    <col min="19" max="19" width="10.75" style="2" customWidth="1"/>
    <col min="20" max="16384" width="8.58203125" style="2"/>
  </cols>
  <sheetData>
    <row r="1" spans="1:21" s="1" customFormat="1" ht="25" x14ac:dyDescent="0.5">
      <c r="A1" s="1" t="s">
        <v>298</v>
      </c>
    </row>
    <row r="2" spans="1:21" ht="17.25" customHeight="1" x14ac:dyDescent="0.35"/>
    <row r="3" spans="1:21" ht="17.25" customHeight="1" x14ac:dyDescent="0.35">
      <c r="S3" s="2" t="s">
        <v>455</v>
      </c>
      <c r="T3" s="2" t="s">
        <v>456</v>
      </c>
      <c r="U3" s="2" t="s">
        <v>457</v>
      </c>
    </row>
    <row r="4" spans="1:21" ht="17.25" customHeight="1" x14ac:dyDescent="0.35">
      <c r="R4" s="2" t="s">
        <v>57</v>
      </c>
      <c r="S4" s="11">
        <v>9</v>
      </c>
      <c r="T4" s="11">
        <v>8.1999999999999993</v>
      </c>
      <c r="U4" s="11">
        <v>-6.1</v>
      </c>
    </row>
    <row r="5" spans="1:21" ht="17.25" customHeight="1" x14ac:dyDescent="0.35">
      <c r="R5" s="2" t="s">
        <v>458</v>
      </c>
      <c r="S5" s="11">
        <v>22.9</v>
      </c>
      <c r="T5" s="11">
        <v>14.7</v>
      </c>
      <c r="U5" s="11">
        <v>14.2</v>
      </c>
    </row>
    <row r="6" spans="1:21" ht="17.25" customHeight="1" x14ac:dyDescent="0.35">
      <c r="R6" s="2" t="s">
        <v>121</v>
      </c>
      <c r="S6" s="11">
        <v>11.3</v>
      </c>
      <c r="T6" s="11">
        <v>10.9</v>
      </c>
      <c r="U6" s="11">
        <v>-5</v>
      </c>
    </row>
    <row r="7" spans="1:21" ht="17.25" customHeight="1" x14ac:dyDescent="0.35">
      <c r="R7" s="2" t="s">
        <v>112</v>
      </c>
      <c r="S7" s="11">
        <v>16.2</v>
      </c>
      <c r="T7" s="11">
        <v>13.4</v>
      </c>
      <c r="U7" s="11">
        <v>7</v>
      </c>
    </row>
    <row r="8" spans="1:21" ht="17.25" customHeight="1" x14ac:dyDescent="0.35">
      <c r="R8" s="2" t="s">
        <v>459</v>
      </c>
      <c r="S8" s="11">
        <v>12.8</v>
      </c>
      <c r="T8" s="11">
        <v>7.9</v>
      </c>
      <c r="U8" s="11">
        <v>3.8</v>
      </c>
    </row>
    <row r="9" spans="1:21" ht="17.25" customHeight="1" x14ac:dyDescent="0.35"/>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460</v>
      </c>
    </row>
    <row r="37" spans="1:14" ht="17.25" customHeight="1" x14ac:dyDescent="0.35">
      <c r="A37" s="61" t="s">
        <v>461</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CDC96943-4590-4014-A5A7-CECBD3AFA028}"/>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03FA-F228-4BE7-B328-BDB9CF9CA1DD}">
  <dimension ref="A1:AF48"/>
  <sheetViews>
    <sheetView topLeftCell="A6" zoomScale="70" zoomScaleNormal="70" workbookViewId="0">
      <selection activeCell="A47" sqref="A47"/>
    </sheetView>
  </sheetViews>
  <sheetFormatPr defaultColWidth="8.58203125" defaultRowHeight="17.5" x14ac:dyDescent="0.35"/>
  <cols>
    <col min="1" max="17" width="8.58203125" style="2"/>
    <col min="18" max="18" width="15.58203125" style="2" customWidth="1"/>
    <col min="19" max="16384" width="8.58203125" style="2"/>
  </cols>
  <sheetData>
    <row r="1" spans="1:32" s="1" customFormat="1" ht="25" x14ac:dyDescent="0.5">
      <c r="A1" s="1" t="s">
        <v>300</v>
      </c>
    </row>
    <row r="2" spans="1:32" ht="17.25" customHeight="1" x14ac:dyDescent="0.35"/>
    <row r="3" spans="1:32" ht="17.25" customHeight="1" x14ac:dyDescent="0.35">
      <c r="R3" s="2" t="s">
        <v>462</v>
      </c>
      <c r="S3" s="2">
        <v>2011</v>
      </c>
      <c r="T3" s="2">
        <v>2012</v>
      </c>
      <c r="U3" s="2">
        <v>2013</v>
      </c>
      <c r="V3" s="2">
        <v>2014</v>
      </c>
      <c r="W3" s="2">
        <v>2015</v>
      </c>
      <c r="X3" s="2">
        <v>2016</v>
      </c>
      <c r="Y3" s="2">
        <v>2017</v>
      </c>
      <c r="Z3" s="2">
        <v>2018</v>
      </c>
      <c r="AA3" s="2">
        <v>2019</v>
      </c>
      <c r="AB3" s="2">
        <v>2020</v>
      </c>
      <c r="AC3" s="2">
        <v>2021</v>
      </c>
      <c r="AD3" s="2">
        <v>2022</v>
      </c>
      <c r="AE3" s="2">
        <v>2023</v>
      </c>
      <c r="AF3" s="2">
        <v>2024</v>
      </c>
    </row>
    <row r="4" spans="1:32" ht="17.25" customHeight="1" x14ac:dyDescent="0.35">
      <c r="R4" s="2" t="s">
        <v>57</v>
      </c>
      <c r="S4" s="10">
        <v>261</v>
      </c>
      <c r="T4" s="10">
        <v>323</v>
      </c>
      <c r="U4" s="10">
        <v>348</v>
      </c>
      <c r="V4" s="10">
        <v>403</v>
      </c>
      <c r="W4" s="10">
        <v>459</v>
      </c>
      <c r="X4" s="10">
        <v>520</v>
      </c>
      <c r="Y4" s="10">
        <v>471</v>
      </c>
      <c r="Z4" s="10">
        <v>566</v>
      </c>
      <c r="AA4" s="10">
        <v>597</v>
      </c>
      <c r="AB4" s="10">
        <v>689</v>
      </c>
      <c r="AC4" s="10">
        <v>724</v>
      </c>
      <c r="AD4" s="10">
        <v>868</v>
      </c>
      <c r="AE4" s="2">
        <v>905</v>
      </c>
      <c r="AF4" s="2">
        <v>63</v>
      </c>
    </row>
    <row r="5" spans="1:32" ht="17.25" customHeight="1" x14ac:dyDescent="0.35">
      <c r="R5" s="2" t="s">
        <v>458</v>
      </c>
      <c r="S5" s="10">
        <v>1366</v>
      </c>
      <c r="T5" s="10">
        <v>1329</v>
      </c>
      <c r="U5" s="10">
        <v>1261</v>
      </c>
      <c r="V5" s="10">
        <v>1304</v>
      </c>
      <c r="W5" s="10">
        <v>1328</v>
      </c>
      <c r="X5" s="10">
        <v>1546</v>
      </c>
      <c r="Y5" s="10">
        <v>1672</v>
      </c>
      <c r="Z5" s="10">
        <v>1330</v>
      </c>
      <c r="AA5" s="10">
        <v>1196</v>
      </c>
      <c r="AB5" s="10">
        <v>2077</v>
      </c>
      <c r="AC5" s="10">
        <v>2049</v>
      </c>
      <c r="AD5" s="10">
        <v>3017</v>
      </c>
      <c r="AE5" s="2">
        <v>2617</v>
      </c>
      <c r="AF5" s="2">
        <v>586</v>
      </c>
    </row>
    <row r="6" spans="1:32" ht="17.25" customHeight="1" x14ac:dyDescent="0.35">
      <c r="R6" s="2" t="s">
        <v>121</v>
      </c>
      <c r="S6" s="10">
        <v>70</v>
      </c>
      <c r="T6" s="10">
        <v>119</v>
      </c>
      <c r="U6" s="10">
        <v>138</v>
      </c>
      <c r="V6" s="10">
        <v>119</v>
      </c>
      <c r="W6" s="10">
        <v>107</v>
      </c>
      <c r="X6" s="10">
        <v>120</v>
      </c>
      <c r="Y6" s="10">
        <v>105</v>
      </c>
      <c r="Z6" s="10">
        <v>163</v>
      </c>
      <c r="AA6" s="10">
        <v>104</v>
      </c>
      <c r="AB6" s="10">
        <v>209</v>
      </c>
      <c r="AC6" s="10">
        <v>187</v>
      </c>
      <c r="AD6" s="10">
        <v>188</v>
      </c>
      <c r="AE6" s="2">
        <v>186</v>
      </c>
      <c r="AF6" s="2">
        <v>63</v>
      </c>
    </row>
    <row r="7" spans="1:32" ht="17.25" customHeight="1" x14ac:dyDescent="0.35">
      <c r="R7" s="2" t="s">
        <v>463</v>
      </c>
      <c r="S7" s="10">
        <v>588</v>
      </c>
      <c r="T7" s="10">
        <v>550</v>
      </c>
      <c r="U7" s="10">
        <v>561</v>
      </c>
      <c r="V7" s="10">
        <v>534</v>
      </c>
      <c r="W7" s="10">
        <v>682</v>
      </c>
      <c r="X7" s="10">
        <v>728</v>
      </c>
      <c r="Y7" s="10">
        <v>835</v>
      </c>
      <c r="Z7" s="10">
        <v>750</v>
      </c>
      <c r="AA7" s="10">
        <v>710</v>
      </c>
      <c r="AB7" s="10">
        <v>1290</v>
      </c>
      <c r="AC7" s="10">
        <v>1153</v>
      </c>
      <c r="AD7" s="10">
        <v>1394</v>
      </c>
      <c r="AE7" s="2">
        <v>1181</v>
      </c>
      <c r="AF7" s="2">
        <v>261</v>
      </c>
    </row>
    <row r="8" spans="1:32" ht="17.25" customHeight="1" x14ac:dyDescent="0.35">
      <c r="R8" s="2" t="s">
        <v>112</v>
      </c>
      <c r="S8" s="10">
        <v>1623</v>
      </c>
      <c r="T8" s="10">
        <v>1682</v>
      </c>
      <c r="U8" s="10">
        <v>1562</v>
      </c>
      <c r="V8" s="10">
        <v>1536</v>
      </c>
      <c r="W8" s="10">
        <v>1318</v>
      </c>
      <c r="X8" s="10">
        <v>1084</v>
      </c>
      <c r="Y8" s="10">
        <v>1249</v>
      </c>
      <c r="Z8" s="10">
        <v>1207</v>
      </c>
      <c r="AA8" s="10">
        <v>1038</v>
      </c>
      <c r="AB8" s="10">
        <v>2061</v>
      </c>
      <c r="AC8" s="10">
        <v>1622</v>
      </c>
      <c r="AD8" s="10">
        <v>2404</v>
      </c>
      <c r="AE8" s="2">
        <v>1498</v>
      </c>
      <c r="AF8" s="2">
        <v>430</v>
      </c>
    </row>
    <row r="9" spans="1:32" ht="17.25" customHeight="1" x14ac:dyDescent="0.35">
      <c r="R9" s="2" t="s">
        <v>464</v>
      </c>
      <c r="S9" s="10">
        <v>599</v>
      </c>
      <c r="T9" s="10">
        <v>650</v>
      </c>
      <c r="U9" s="10">
        <v>540</v>
      </c>
      <c r="V9" s="10">
        <v>524</v>
      </c>
      <c r="W9" s="10">
        <v>459</v>
      </c>
      <c r="X9" s="10">
        <v>347</v>
      </c>
      <c r="Y9" s="10">
        <v>338</v>
      </c>
      <c r="Z9" s="10">
        <v>452</v>
      </c>
      <c r="AA9" s="10">
        <v>408</v>
      </c>
      <c r="AB9" s="10">
        <v>1536</v>
      </c>
      <c r="AC9" s="10">
        <v>1046</v>
      </c>
      <c r="AD9" s="10">
        <v>941</v>
      </c>
      <c r="AE9" s="2">
        <v>584</v>
      </c>
      <c r="AF9" s="2">
        <v>217</v>
      </c>
    </row>
    <row r="10" spans="1:32" ht="17.25" customHeight="1" x14ac:dyDescent="0.35"/>
    <row r="11" spans="1:32" ht="17.25" customHeight="1" x14ac:dyDescent="0.35"/>
    <row r="12" spans="1:32" ht="17.25" customHeight="1" x14ac:dyDescent="0.35"/>
    <row r="13" spans="1:32" ht="17.25" customHeight="1" x14ac:dyDescent="0.35"/>
    <row r="14" spans="1:32" ht="17.25" customHeight="1" x14ac:dyDescent="0.35"/>
    <row r="15" spans="1:32" ht="17.25" customHeight="1" x14ac:dyDescent="0.35"/>
    <row r="16" spans="1:3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5" t="s">
        <v>465</v>
      </c>
      <c r="B36" s="5"/>
      <c r="C36" s="5"/>
      <c r="D36" s="5"/>
      <c r="E36" s="5"/>
      <c r="F36" s="5"/>
      <c r="G36" s="5"/>
      <c r="H36" s="5"/>
      <c r="I36" s="5"/>
    </row>
    <row r="37" spans="1:14" ht="17.25" customHeight="1" x14ac:dyDescent="0.35">
      <c r="A37" s="65" t="s">
        <v>466</v>
      </c>
      <c r="B37" s="65"/>
      <c r="C37" s="65"/>
      <c r="D37" s="65"/>
      <c r="E37" s="65"/>
      <c r="F37" s="65"/>
      <c r="G37" s="65"/>
      <c r="H37" s="65"/>
      <c r="I37" s="65"/>
      <c r="J37" s="65"/>
      <c r="K37" s="65"/>
      <c r="L37" s="65"/>
      <c r="M37" s="65"/>
      <c r="N37" s="65"/>
    </row>
    <row r="38" spans="1:14" ht="17.25" customHeight="1" x14ac:dyDescent="0.35">
      <c r="A38" s="65"/>
      <c r="B38" s="65"/>
      <c r="C38" s="65"/>
      <c r="D38" s="65"/>
      <c r="E38" s="65"/>
      <c r="F38" s="65"/>
      <c r="G38" s="65"/>
      <c r="H38" s="65"/>
      <c r="I38" s="65"/>
      <c r="J38" s="65"/>
      <c r="K38" s="65"/>
      <c r="L38" s="65"/>
      <c r="M38" s="65"/>
      <c r="N38" s="65"/>
    </row>
    <row r="39" spans="1:14" ht="17.25" customHeight="1" x14ac:dyDescent="0.35">
      <c r="A39" s="39"/>
      <c r="B39" s="39"/>
      <c r="C39" s="39"/>
      <c r="D39" s="39"/>
      <c r="E39" s="39"/>
      <c r="F39" s="39"/>
      <c r="G39" s="39"/>
      <c r="H39" s="39"/>
      <c r="I39" s="39"/>
      <c r="J39" s="39"/>
      <c r="K39" s="39"/>
      <c r="L39" s="39"/>
      <c r="M39" s="39"/>
      <c r="N39" s="39"/>
    </row>
    <row r="40" spans="1:14" ht="17.25" customHeight="1" x14ac:dyDescent="0.35">
      <c r="A40" s="39"/>
      <c r="B40" s="39"/>
      <c r="C40" s="39"/>
      <c r="D40" s="39"/>
      <c r="E40" s="39"/>
      <c r="F40" s="39"/>
      <c r="G40" s="39"/>
      <c r="H40" s="39"/>
      <c r="I40" s="39"/>
      <c r="J40" s="39"/>
      <c r="K40" s="39"/>
      <c r="L40" s="39"/>
      <c r="M40" s="39"/>
      <c r="N40" s="39"/>
    </row>
    <row r="41" spans="1:14" ht="17.25" customHeight="1" x14ac:dyDescent="0.35">
      <c r="A41" s="39"/>
      <c r="B41" s="39"/>
      <c r="C41" s="39"/>
      <c r="D41" s="39"/>
      <c r="E41" s="39"/>
      <c r="F41" s="39"/>
      <c r="G41" s="39"/>
      <c r="H41" s="39"/>
      <c r="I41" s="39"/>
      <c r="J41" s="39"/>
      <c r="K41" s="39"/>
      <c r="L41" s="39"/>
      <c r="M41" s="39"/>
      <c r="N41" s="39"/>
    </row>
    <row r="42" spans="1:14" ht="17.25" customHeight="1" x14ac:dyDescent="0.35">
      <c r="A42" s="39"/>
      <c r="B42" s="39"/>
      <c r="C42" s="39"/>
      <c r="D42" s="39"/>
      <c r="E42" s="39"/>
      <c r="F42" s="39"/>
      <c r="G42" s="39"/>
      <c r="H42" s="39"/>
      <c r="I42" s="39"/>
      <c r="J42" s="39"/>
      <c r="K42" s="39"/>
      <c r="L42" s="39"/>
      <c r="M42" s="39"/>
      <c r="N42" s="39"/>
    </row>
    <row r="43" spans="1:14" ht="17.25" customHeight="1" x14ac:dyDescent="0.35">
      <c r="A43" s="39"/>
      <c r="B43" s="39"/>
      <c r="C43" s="39"/>
      <c r="D43" s="39"/>
      <c r="E43" s="39"/>
      <c r="F43" s="39"/>
      <c r="G43" s="39"/>
      <c r="H43" s="39"/>
      <c r="I43" s="39"/>
      <c r="J43" s="39"/>
      <c r="K43" s="39"/>
      <c r="L43" s="39"/>
      <c r="M43" s="39"/>
      <c r="N43" s="39"/>
    </row>
    <row r="44" spans="1:14" ht="17.25" customHeight="1" x14ac:dyDescent="0.35">
      <c r="A44" s="39"/>
      <c r="B44" s="39"/>
      <c r="C44" s="39"/>
      <c r="D44" s="39"/>
      <c r="E44" s="39"/>
      <c r="F44" s="39"/>
      <c r="G44" s="39"/>
      <c r="H44" s="39"/>
      <c r="I44" s="39"/>
      <c r="J44" s="39"/>
      <c r="K44" s="39"/>
      <c r="L44" s="39"/>
      <c r="M44" s="39"/>
      <c r="N44" s="39"/>
    </row>
    <row r="45" spans="1:14" ht="17.25" customHeight="1" x14ac:dyDescent="0.35">
      <c r="A45" s="39"/>
      <c r="B45" s="39"/>
      <c r="C45" s="39"/>
      <c r="D45" s="39"/>
      <c r="E45" s="39"/>
      <c r="F45" s="39"/>
      <c r="G45" s="39"/>
      <c r="H45" s="39"/>
      <c r="I45" s="39"/>
      <c r="J45" s="39"/>
      <c r="K45" s="39"/>
      <c r="L45" s="39"/>
      <c r="M45" s="39"/>
      <c r="N45" s="39"/>
    </row>
    <row r="46" spans="1:14" x14ac:dyDescent="0.35">
      <c r="A46" s="39"/>
      <c r="B46" s="39"/>
      <c r="C46" s="39"/>
      <c r="D46" s="39"/>
      <c r="E46" s="39"/>
      <c r="F46" s="39"/>
      <c r="G46" s="39"/>
      <c r="H46" s="39"/>
      <c r="I46" s="39"/>
      <c r="J46" s="39"/>
      <c r="K46" s="39"/>
      <c r="L46" s="39"/>
      <c r="M46" s="39"/>
      <c r="N46" s="39"/>
    </row>
    <row r="47" spans="1:14" x14ac:dyDescent="0.35">
      <c r="A47" s="32" t="s">
        <v>601</v>
      </c>
      <c r="B47" s="39"/>
      <c r="C47" s="39"/>
      <c r="D47" s="39"/>
      <c r="E47" s="39"/>
      <c r="F47" s="39"/>
      <c r="G47" s="39"/>
      <c r="H47" s="39"/>
      <c r="I47" s="39"/>
      <c r="J47" s="39"/>
      <c r="K47" s="39"/>
      <c r="L47" s="39"/>
      <c r="M47" s="39"/>
      <c r="N47" s="39"/>
    </row>
    <row r="48" spans="1:14" x14ac:dyDescent="0.35">
      <c r="B48" s="39"/>
      <c r="C48" s="39"/>
      <c r="D48" s="39"/>
      <c r="E48" s="39"/>
      <c r="F48" s="39"/>
      <c r="G48" s="39"/>
      <c r="H48" s="39"/>
      <c r="I48" s="39"/>
      <c r="J48" s="39"/>
      <c r="K48" s="39"/>
      <c r="L48" s="39"/>
      <c r="M48" s="39"/>
      <c r="N48" s="39"/>
    </row>
  </sheetData>
  <mergeCells count="1">
    <mergeCell ref="A37:N38"/>
  </mergeCells>
  <hyperlinks>
    <hyperlink ref="A47" location="'Read Me'!A1" display="Return to Read Me" xr:uid="{AA8B8E55-AFDB-4D5B-8921-FED01485E6DE}"/>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B888-2D14-4835-A1C5-E531E8810038}">
  <dimension ref="A1:Z48"/>
  <sheetViews>
    <sheetView tabSelected="1" zoomScale="70" zoomScaleNormal="70" workbookViewId="0"/>
  </sheetViews>
  <sheetFormatPr defaultColWidth="8.58203125" defaultRowHeight="17.5" x14ac:dyDescent="0.35"/>
  <cols>
    <col min="1" max="17" width="8.58203125" style="2"/>
    <col min="18" max="18" width="28.58203125" style="2" customWidth="1"/>
    <col min="19" max="19" width="13.83203125" style="2" customWidth="1"/>
    <col min="20" max="20" width="8.58203125" style="2"/>
    <col min="21" max="21" width="17.33203125" style="2" customWidth="1"/>
    <col min="22" max="16384" width="8.58203125" style="2"/>
  </cols>
  <sheetData>
    <row r="1" spans="1:26" s="1" customFormat="1" ht="25" x14ac:dyDescent="0.5">
      <c r="A1" s="1" t="s">
        <v>646</v>
      </c>
    </row>
    <row r="2" spans="1:26" ht="17.25" customHeight="1" x14ac:dyDescent="0.35"/>
    <row r="3" spans="1:26" ht="17.25" customHeight="1" x14ac:dyDescent="0.35">
      <c r="S3" s="2" t="s">
        <v>25</v>
      </c>
      <c r="U3" s="2" t="s">
        <v>26</v>
      </c>
    </row>
    <row r="4" spans="1:26" ht="17.25" customHeight="1" x14ac:dyDescent="0.35">
      <c r="R4" s="2" t="s">
        <v>27</v>
      </c>
      <c r="S4" s="4">
        <v>28.57</v>
      </c>
      <c r="T4" s="4">
        <v>16.809999999999999</v>
      </c>
      <c r="U4" s="4">
        <v>9.7899999999999991</v>
      </c>
      <c r="V4" s="4">
        <v>42.97</v>
      </c>
      <c r="W4" s="4"/>
      <c r="X4" s="4"/>
      <c r="Y4" s="4"/>
      <c r="Z4" s="4"/>
    </row>
    <row r="5" spans="1:26" ht="17.25" customHeight="1" x14ac:dyDescent="0.35">
      <c r="R5" s="8" t="s">
        <v>28</v>
      </c>
      <c r="S5" s="4">
        <v>2.95</v>
      </c>
      <c r="T5" s="4">
        <v>6.45</v>
      </c>
      <c r="U5" s="4">
        <v>1.32</v>
      </c>
      <c r="V5" s="4">
        <v>31.29</v>
      </c>
      <c r="W5" s="4"/>
      <c r="X5" s="4"/>
      <c r="Y5" s="4"/>
      <c r="Z5" s="4"/>
    </row>
    <row r="6" spans="1:26" ht="17.25" customHeight="1" x14ac:dyDescent="0.35">
      <c r="R6" s="8" t="s">
        <v>29</v>
      </c>
      <c r="S6" s="4"/>
      <c r="T6" s="4"/>
      <c r="U6" s="4"/>
      <c r="V6" s="4"/>
      <c r="W6" s="4">
        <v>0.36</v>
      </c>
      <c r="X6" s="4">
        <v>0.59</v>
      </c>
      <c r="Y6" s="4">
        <v>0.78</v>
      </c>
      <c r="Z6" s="4">
        <v>2.99</v>
      </c>
    </row>
    <row r="7" spans="1:26" ht="17.25" customHeight="1" x14ac:dyDescent="0.35">
      <c r="R7" s="2" t="s">
        <v>30</v>
      </c>
      <c r="S7" s="4"/>
      <c r="T7" s="4"/>
      <c r="U7" s="4"/>
      <c r="V7" s="4"/>
      <c r="W7" s="4">
        <v>-0.69</v>
      </c>
      <c r="X7" s="4">
        <v>-0.26</v>
      </c>
      <c r="Y7" s="4">
        <v>7.0000000000000007E-2</v>
      </c>
      <c r="Z7" s="4">
        <v>2.0699999999999998</v>
      </c>
    </row>
    <row r="8" spans="1:26" ht="17.25" customHeight="1" x14ac:dyDescent="0.35"/>
    <row r="9" spans="1:26" ht="17.25" customHeight="1" x14ac:dyDescent="0.35"/>
    <row r="10" spans="1:26" ht="17.25" customHeight="1" x14ac:dyDescent="0.35"/>
    <row r="11" spans="1:26" ht="17.25" customHeight="1" x14ac:dyDescent="0.35"/>
    <row r="12" spans="1:26" ht="17.25" customHeight="1" x14ac:dyDescent="0.35"/>
    <row r="13" spans="1:26" ht="17.25" customHeight="1" x14ac:dyDescent="0.35"/>
    <row r="14" spans="1:26" ht="17.25" customHeight="1" x14ac:dyDescent="0.35"/>
    <row r="15" spans="1:26" ht="17.25" customHeight="1" x14ac:dyDescent="0.35"/>
    <row r="16" spans="1:26"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62" t="s">
        <v>645</v>
      </c>
      <c r="B36" s="62"/>
      <c r="C36" s="62"/>
      <c r="D36" s="62"/>
      <c r="E36" s="62"/>
      <c r="F36" s="62"/>
      <c r="G36" s="62"/>
      <c r="H36" s="62"/>
      <c r="I36" s="62"/>
      <c r="J36" s="62"/>
      <c r="K36" s="62"/>
      <c r="L36" s="62"/>
      <c r="M36" s="62"/>
      <c r="N36" s="62"/>
    </row>
    <row r="37" spans="1:14" ht="17.25" customHeight="1" x14ac:dyDescent="0.35">
      <c r="A37" s="62"/>
      <c r="B37" s="62"/>
      <c r="C37" s="62"/>
      <c r="D37" s="62"/>
      <c r="E37" s="62"/>
      <c r="F37" s="62"/>
      <c r="G37" s="62"/>
      <c r="H37" s="62"/>
      <c r="I37" s="62"/>
      <c r="J37" s="62"/>
      <c r="K37" s="62"/>
      <c r="L37" s="62"/>
      <c r="M37" s="62"/>
      <c r="N37" s="62"/>
    </row>
    <row r="38" spans="1:14" ht="17.25" customHeight="1" x14ac:dyDescent="0.35">
      <c r="A38" s="61" t="s">
        <v>467</v>
      </c>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2">
    <mergeCell ref="A36:N37"/>
    <mergeCell ref="A38:N40"/>
  </mergeCells>
  <hyperlinks>
    <hyperlink ref="A47" location="'Read Me'!A1" display="Return to Read Me" xr:uid="{030F3E51-FEA9-4835-83C7-BE9F1536042D}"/>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4DDD-B99A-4A15-AE7F-8AD32F7A7538}">
  <dimension ref="A1:T48"/>
  <sheetViews>
    <sheetView zoomScale="70" zoomScaleNormal="70" workbookViewId="0">
      <selection activeCell="A37" sqref="A37:N41"/>
    </sheetView>
  </sheetViews>
  <sheetFormatPr defaultColWidth="8.58203125" defaultRowHeight="17.5" x14ac:dyDescent="0.35"/>
  <cols>
    <col min="1" max="18" width="8.58203125" style="2"/>
    <col min="19" max="19" width="11.58203125" style="2" customWidth="1"/>
    <col min="20" max="16384" width="8.58203125" style="2"/>
  </cols>
  <sheetData>
    <row r="1" spans="1:20" s="1" customFormat="1" ht="25" x14ac:dyDescent="0.5">
      <c r="A1" s="1" t="s">
        <v>302</v>
      </c>
    </row>
    <row r="2" spans="1:20" ht="17.25" customHeight="1" x14ac:dyDescent="0.35"/>
    <row r="3" spans="1:20" ht="17.25" customHeight="1" x14ac:dyDescent="0.35">
      <c r="S3" s="2" t="s">
        <v>468</v>
      </c>
      <c r="T3" s="2" t="s">
        <v>71</v>
      </c>
    </row>
    <row r="4" spans="1:20" ht="17.25" customHeight="1" x14ac:dyDescent="0.35">
      <c r="R4" s="2" t="s">
        <v>3</v>
      </c>
      <c r="S4" s="4">
        <v>0.26</v>
      </c>
      <c r="T4" s="4">
        <v>0.43</v>
      </c>
    </row>
    <row r="5" spans="1:20" ht="17.25" customHeight="1" x14ac:dyDescent="0.35">
      <c r="R5" s="2" t="s">
        <v>15</v>
      </c>
      <c r="S5" s="4">
        <v>0.33</v>
      </c>
      <c r="T5" s="4">
        <v>0.43</v>
      </c>
    </row>
    <row r="6" spans="1:20" ht="17.25" customHeight="1" x14ac:dyDescent="0.35">
      <c r="R6" s="2" t="s">
        <v>13</v>
      </c>
      <c r="S6" s="4">
        <v>0.43</v>
      </c>
      <c r="T6" s="4">
        <v>0.43</v>
      </c>
    </row>
    <row r="7" spans="1:20" ht="17.25" customHeight="1" x14ac:dyDescent="0.35">
      <c r="R7" s="2" t="s">
        <v>11</v>
      </c>
      <c r="S7" s="4">
        <v>0.44</v>
      </c>
      <c r="T7" s="4">
        <v>0.43</v>
      </c>
    </row>
    <row r="8" spans="1:20" ht="17.25" customHeight="1" x14ac:dyDescent="0.35">
      <c r="R8" s="2" t="s">
        <v>12</v>
      </c>
      <c r="S8" s="4">
        <v>0.52</v>
      </c>
      <c r="T8" s="4">
        <v>0.43</v>
      </c>
    </row>
    <row r="9" spans="1:20" ht="17.25" customHeight="1" x14ac:dyDescent="0.35">
      <c r="R9" s="2" t="s">
        <v>14</v>
      </c>
      <c r="S9" s="4">
        <v>0.56000000000000005</v>
      </c>
      <c r="T9" s="4">
        <v>0.43</v>
      </c>
    </row>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469</v>
      </c>
    </row>
    <row r="37" spans="1:14" ht="17.25" customHeight="1" x14ac:dyDescent="0.35">
      <c r="A37" s="61" t="s">
        <v>470</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CFC52E26-384C-4E0C-AABE-7118AE31B0BD}"/>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7986-C820-46CF-A802-5286E5342C47}">
  <dimension ref="A1:V48"/>
  <sheetViews>
    <sheetView zoomScale="70" zoomScaleNormal="70" workbookViewId="0">
      <selection activeCell="S5" sqref="S5"/>
    </sheetView>
  </sheetViews>
  <sheetFormatPr defaultColWidth="8.58203125" defaultRowHeight="17.5" x14ac:dyDescent="0.35"/>
  <cols>
    <col min="1" max="17" width="8.58203125" style="2"/>
    <col min="18" max="18" width="11.08203125" style="2" customWidth="1"/>
    <col min="19" max="19" width="17.33203125" style="2" customWidth="1"/>
    <col min="20" max="20" width="20.83203125" style="2" customWidth="1"/>
    <col min="21" max="21" width="21.58203125" style="2" customWidth="1"/>
    <col min="22" max="16384" width="8.58203125" style="2"/>
  </cols>
  <sheetData>
    <row r="1" spans="1:22" s="1" customFormat="1" ht="25" x14ac:dyDescent="0.5">
      <c r="A1" s="1" t="s">
        <v>303</v>
      </c>
    </row>
    <row r="2" spans="1:22" ht="17.25" customHeight="1" x14ac:dyDescent="0.35"/>
    <row r="3" spans="1:22" ht="17.25" customHeight="1" x14ac:dyDescent="0.4">
      <c r="R3" s="31" t="s">
        <v>42</v>
      </c>
      <c r="S3" s="31" t="s">
        <v>41</v>
      </c>
      <c r="T3" s="31" t="s">
        <v>40</v>
      </c>
      <c r="U3" s="31" t="s">
        <v>471</v>
      </c>
      <c r="V3" s="31" t="s">
        <v>39</v>
      </c>
    </row>
    <row r="4" spans="1:22" ht="17.25" customHeight="1" x14ac:dyDescent="0.35">
      <c r="R4" s="2" t="s">
        <v>38</v>
      </c>
      <c r="S4" s="11">
        <v>64.5</v>
      </c>
      <c r="T4" s="11">
        <v>43</v>
      </c>
      <c r="U4" s="11">
        <v>60.5</v>
      </c>
      <c r="V4" s="11">
        <v>17.5</v>
      </c>
    </row>
    <row r="5" spans="1:22" ht="17.25" customHeight="1" x14ac:dyDescent="0.35">
      <c r="R5" s="2" t="s">
        <v>37</v>
      </c>
      <c r="S5" s="11">
        <v>42.6</v>
      </c>
      <c r="T5" s="11">
        <v>43</v>
      </c>
      <c r="U5" s="11">
        <v>60.5</v>
      </c>
      <c r="V5" s="11">
        <v>17.5</v>
      </c>
    </row>
    <row r="6" spans="1:22" ht="17.25" customHeight="1" x14ac:dyDescent="0.35">
      <c r="R6" s="2" t="s">
        <v>36</v>
      </c>
      <c r="S6" s="11">
        <v>37</v>
      </c>
      <c r="T6" s="11">
        <v>43</v>
      </c>
      <c r="U6" s="11">
        <v>60.5</v>
      </c>
      <c r="V6" s="11">
        <v>17.5</v>
      </c>
    </row>
    <row r="7" spans="1:22" ht="17.25" customHeight="1" x14ac:dyDescent="0.35">
      <c r="R7" s="2" t="s">
        <v>35</v>
      </c>
      <c r="S7" s="11">
        <v>32.700000000000003</v>
      </c>
      <c r="T7" s="11">
        <v>43</v>
      </c>
      <c r="U7" s="11">
        <v>60.5</v>
      </c>
      <c r="V7" s="11">
        <v>17.5</v>
      </c>
    </row>
    <row r="8" spans="1:22" ht="17.25" customHeight="1" x14ac:dyDescent="0.35">
      <c r="R8" s="2" t="s">
        <v>34</v>
      </c>
      <c r="S8" s="11">
        <v>32.1</v>
      </c>
      <c r="T8" s="11">
        <v>43</v>
      </c>
      <c r="U8" s="11">
        <v>60.5</v>
      </c>
      <c r="V8" s="11">
        <v>17.5</v>
      </c>
    </row>
    <row r="9" spans="1:22" ht="17.25" customHeight="1" x14ac:dyDescent="0.35">
      <c r="R9" s="2" t="s">
        <v>33</v>
      </c>
      <c r="S9" s="11">
        <v>28.7</v>
      </c>
      <c r="T9" s="11">
        <v>43</v>
      </c>
      <c r="U9" s="11">
        <v>60.5</v>
      </c>
      <c r="V9" s="11">
        <v>17.5</v>
      </c>
    </row>
    <row r="10" spans="1:22" ht="17.25" customHeight="1" x14ac:dyDescent="0.35">
      <c r="R10" s="11" t="s">
        <v>32</v>
      </c>
      <c r="S10" s="11">
        <v>24.5</v>
      </c>
      <c r="T10" s="11">
        <v>43</v>
      </c>
      <c r="U10" s="11">
        <v>60.5</v>
      </c>
      <c r="V10" s="11">
        <v>17.5</v>
      </c>
    </row>
    <row r="11" spans="1:22" ht="17.25" customHeight="1" x14ac:dyDescent="0.35"/>
    <row r="12" spans="1:22" ht="17.25" customHeight="1" x14ac:dyDescent="0.35"/>
    <row r="13" spans="1:22" ht="17.25" customHeight="1" x14ac:dyDescent="0.35"/>
    <row r="14" spans="1:22" ht="17.25" customHeight="1" x14ac:dyDescent="0.35"/>
    <row r="15" spans="1:22" ht="17.25" customHeight="1" x14ac:dyDescent="0.35"/>
    <row r="16" spans="1:2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472</v>
      </c>
    </row>
    <row r="37" spans="1:14" ht="17.25" customHeight="1" x14ac:dyDescent="0.35">
      <c r="A37" s="61" t="s">
        <v>473</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2"/>
  </mergeCells>
  <hyperlinks>
    <hyperlink ref="A47" location="'Read Me'!A1" display="Return to Read Me" xr:uid="{A6256FB6-9448-419F-BA01-91164F712BFE}"/>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6869-1FC5-4F77-81EA-0B46D040436B}">
  <dimension ref="A1:T48"/>
  <sheetViews>
    <sheetView zoomScale="70" zoomScaleNormal="70" workbookViewId="0">
      <selection activeCell="I40" sqref="I40"/>
    </sheetView>
  </sheetViews>
  <sheetFormatPr defaultColWidth="8.58203125" defaultRowHeight="17.5" x14ac:dyDescent="0.35"/>
  <cols>
    <col min="1" max="16384" width="8.58203125" style="2"/>
  </cols>
  <sheetData>
    <row r="1" spans="1:20" s="1" customFormat="1" ht="25" x14ac:dyDescent="0.5">
      <c r="A1" s="1" t="s">
        <v>305</v>
      </c>
    </row>
    <row r="2" spans="1:20" ht="17.25" customHeight="1" x14ac:dyDescent="0.35"/>
    <row r="3" spans="1:20" ht="17.25" customHeight="1" x14ac:dyDescent="0.35">
      <c r="R3" s="2" t="s">
        <v>474</v>
      </c>
      <c r="S3" s="2" t="s">
        <v>475</v>
      </c>
      <c r="T3" s="2" t="s">
        <v>476</v>
      </c>
    </row>
    <row r="4" spans="1:20" ht="17.25" customHeight="1" x14ac:dyDescent="0.35">
      <c r="R4" s="2">
        <v>1991</v>
      </c>
      <c r="S4" s="11">
        <v>26.4</v>
      </c>
      <c r="T4" s="11">
        <v>79.8</v>
      </c>
    </row>
    <row r="5" spans="1:20" ht="17.25" customHeight="1" x14ac:dyDescent="0.35">
      <c r="R5" s="2">
        <v>2000</v>
      </c>
      <c r="S5" s="11">
        <v>28.8</v>
      </c>
      <c r="T5" s="11">
        <v>82.3</v>
      </c>
    </row>
    <row r="6" spans="1:20" ht="17.25" customHeight="1" x14ac:dyDescent="0.35">
      <c r="R6" s="2">
        <v>2010</v>
      </c>
      <c r="S6" s="11">
        <v>28.2</v>
      </c>
      <c r="T6" s="11">
        <v>79.2</v>
      </c>
    </row>
    <row r="7" spans="1:20" ht="17.25" customHeight="1" x14ac:dyDescent="0.35">
      <c r="R7" s="2">
        <v>2023</v>
      </c>
      <c r="S7" s="11">
        <v>32.1</v>
      </c>
      <c r="T7" s="11">
        <v>77.2</v>
      </c>
    </row>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43</v>
      </c>
    </row>
    <row r="37" spans="1:14" ht="17.25" customHeight="1" x14ac:dyDescent="0.35">
      <c r="A37" s="61" t="s">
        <v>477</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28"/>
      <c r="B39" s="28"/>
      <c r="C39" s="28"/>
      <c r="D39" s="28"/>
      <c r="E39" s="28"/>
      <c r="F39" s="28"/>
      <c r="G39" s="28"/>
      <c r="H39" s="28"/>
      <c r="I39" s="28"/>
      <c r="J39" s="28"/>
      <c r="K39" s="28"/>
      <c r="L39" s="28"/>
      <c r="M39" s="28"/>
      <c r="N39" s="28"/>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8"/>
  </mergeCells>
  <hyperlinks>
    <hyperlink ref="A47" location="'Read Me'!A1" display="Return to Read Me" xr:uid="{EFB85FEC-74D4-46AE-BC4A-A5A6CEEE6A6E}"/>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37DD-A1A2-4FB2-B012-57192A830C74}">
  <dimension ref="A1:Y48"/>
  <sheetViews>
    <sheetView zoomScale="70" zoomScaleNormal="70" workbookViewId="0">
      <selection activeCell="S34" sqref="S34"/>
    </sheetView>
  </sheetViews>
  <sheetFormatPr defaultColWidth="8.58203125" defaultRowHeight="17.5" x14ac:dyDescent="0.35"/>
  <cols>
    <col min="1" max="18" width="8.58203125" style="2"/>
    <col min="19" max="19" width="14.83203125" style="2" customWidth="1"/>
    <col min="20" max="21" width="8.58203125" style="2"/>
    <col min="22" max="22" width="6.83203125" style="2" bestFit="1" customWidth="1"/>
    <col min="23" max="23" width="15.33203125" style="2" bestFit="1" customWidth="1"/>
    <col min="24" max="24" width="6.83203125" style="2" bestFit="1" customWidth="1"/>
    <col min="25" max="16384" width="8.58203125" style="2"/>
  </cols>
  <sheetData>
    <row r="1" spans="1:25" s="1" customFormat="1" ht="25" x14ac:dyDescent="0.5">
      <c r="A1" s="1" t="s">
        <v>307</v>
      </c>
    </row>
    <row r="2" spans="1:25" ht="17.25" customHeight="1" x14ac:dyDescent="0.35"/>
    <row r="3" spans="1:25" ht="17.25" customHeight="1" x14ac:dyDescent="0.35">
      <c r="R3" s="2" t="s">
        <v>478</v>
      </c>
      <c r="T3" s="2">
        <v>2020</v>
      </c>
      <c r="U3" s="2" t="s">
        <v>479</v>
      </c>
      <c r="V3" s="2">
        <v>2020</v>
      </c>
      <c r="W3" s="2" t="s">
        <v>480</v>
      </c>
      <c r="X3" s="2" t="s">
        <v>149</v>
      </c>
    </row>
    <row r="4" spans="1:25" ht="17.25" customHeight="1" x14ac:dyDescent="0.35">
      <c r="R4" s="2">
        <v>2020</v>
      </c>
      <c r="T4" s="11">
        <v>86.5</v>
      </c>
      <c r="U4" s="11">
        <v>86.5</v>
      </c>
      <c r="V4" s="11"/>
      <c r="W4" s="11"/>
      <c r="X4" s="11"/>
      <c r="Y4" s="11">
        <v>100</v>
      </c>
    </row>
    <row r="5" spans="1:25" ht="17.25" customHeight="1" x14ac:dyDescent="0.35">
      <c r="R5" s="2">
        <v>2021</v>
      </c>
      <c r="T5" s="11">
        <v>94.1</v>
      </c>
      <c r="U5" s="11">
        <v>94.1</v>
      </c>
      <c r="V5" s="11"/>
      <c r="W5" s="11"/>
      <c r="X5" s="11"/>
      <c r="Y5" s="11">
        <v>100</v>
      </c>
    </row>
    <row r="6" spans="1:25" ht="17.25" customHeight="1" x14ac:dyDescent="0.35">
      <c r="R6" s="2">
        <v>2022</v>
      </c>
      <c r="T6" s="11">
        <v>100</v>
      </c>
      <c r="U6" s="11">
        <v>100</v>
      </c>
      <c r="V6" s="11"/>
      <c r="W6" s="11"/>
      <c r="X6" s="11"/>
      <c r="Y6" s="11">
        <v>100</v>
      </c>
    </row>
    <row r="7" spans="1:25" ht="17.25" customHeight="1" x14ac:dyDescent="0.35">
      <c r="R7" s="2">
        <v>2023</v>
      </c>
      <c r="S7" s="2" t="s">
        <v>481</v>
      </c>
      <c r="T7" s="11">
        <v>106.4</v>
      </c>
      <c r="U7" s="11">
        <v>106.4</v>
      </c>
      <c r="V7" s="11"/>
      <c r="W7" s="11"/>
      <c r="X7" s="11"/>
      <c r="Y7" s="11">
        <v>100</v>
      </c>
    </row>
    <row r="8" spans="1:25" ht="16.899999999999999" customHeight="1" x14ac:dyDescent="0.35">
      <c r="R8" s="8"/>
      <c r="S8" s="8" t="s">
        <v>482</v>
      </c>
      <c r="T8" s="11">
        <v>120.6</v>
      </c>
      <c r="U8" s="11">
        <v>140.69999999999999</v>
      </c>
      <c r="V8" s="11">
        <v>120.6</v>
      </c>
      <c r="W8" s="11">
        <v>160.30000000000001</v>
      </c>
      <c r="X8" s="11">
        <f>W8-V8</f>
        <v>39.700000000000017</v>
      </c>
      <c r="Y8" s="11">
        <v>100</v>
      </c>
    </row>
    <row r="9" spans="1:25" ht="17.25" customHeight="1" x14ac:dyDescent="0.35"/>
    <row r="10" spans="1:25" ht="17.25" customHeight="1" x14ac:dyDescent="0.35"/>
    <row r="11" spans="1:25" ht="17.25" customHeight="1" x14ac:dyDescent="0.35"/>
    <row r="12" spans="1:25" ht="17.25" customHeight="1" x14ac:dyDescent="0.35"/>
    <row r="13" spans="1:25" ht="17.25" customHeight="1" x14ac:dyDescent="0.35"/>
    <row r="14" spans="1:25" ht="17.25" customHeight="1" x14ac:dyDescent="0.35"/>
    <row r="15" spans="1:25" ht="17.25" customHeight="1" x14ac:dyDescent="0.35"/>
    <row r="16" spans="1:25"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62" t="s">
        <v>483</v>
      </c>
      <c r="B36" s="62"/>
      <c r="C36" s="62"/>
      <c r="D36" s="62"/>
      <c r="E36" s="62"/>
      <c r="F36" s="62"/>
      <c r="G36" s="62"/>
      <c r="H36" s="62"/>
      <c r="I36" s="62"/>
      <c r="J36" s="62"/>
      <c r="K36" s="62"/>
      <c r="L36" s="62"/>
      <c r="M36" s="62"/>
      <c r="N36" s="62"/>
    </row>
    <row r="37" spans="1:14" ht="17.25" customHeight="1" x14ac:dyDescent="0.35">
      <c r="A37" s="62"/>
      <c r="B37" s="62"/>
      <c r="C37" s="62"/>
      <c r="D37" s="62"/>
      <c r="E37" s="62"/>
      <c r="F37" s="62"/>
      <c r="G37" s="62"/>
      <c r="H37" s="62"/>
      <c r="I37" s="62"/>
      <c r="J37" s="62"/>
      <c r="K37" s="62"/>
      <c r="L37" s="62"/>
      <c r="M37" s="62"/>
      <c r="N37" s="62"/>
    </row>
    <row r="38" spans="1:14" ht="17.25" customHeight="1" x14ac:dyDescent="0.35">
      <c r="A38" s="62"/>
      <c r="B38" s="62"/>
      <c r="C38" s="62"/>
      <c r="D38" s="62"/>
      <c r="E38" s="62"/>
      <c r="F38" s="62"/>
      <c r="G38" s="62"/>
      <c r="H38" s="62"/>
      <c r="I38" s="62"/>
      <c r="J38" s="62"/>
      <c r="K38" s="62"/>
      <c r="L38" s="62"/>
      <c r="M38" s="62"/>
      <c r="N38" s="62"/>
    </row>
    <row r="39" spans="1:14" ht="17.25" customHeight="1" x14ac:dyDescent="0.35">
      <c r="A39" s="61" t="s">
        <v>484</v>
      </c>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2">
    <mergeCell ref="A36:N38"/>
    <mergeCell ref="A39:N42"/>
  </mergeCells>
  <hyperlinks>
    <hyperlink ref="A47" location="'Read Me'!A1" display="Return to Read Me" xr:uid="{79C679B3-F3E7-4100-BE3B-E3B841463406}"/>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A6BC-52ED-43C2-AE9A-059C99BAF6A7}">
  <dimension ref="A1:U48"/>
  <sheetViews>
    <sheetView zoomScale="70" zoomScaleNormal="70" workbookViewId="0">
      <selection activeCell="A45" sqref="A45"/>
    </sheetView>
  </sheetViews>
  <sheetFormatPr defaultColWidth="8.58203125" defaultRowHeight="17.5" x14ac:dyDescent="0.35"/>
  <cols>
    <col min="1" max="17" width="8.58203125" style="2"/>
    <col min="18" max="18" width="27.58203125" style="2" customWidth="1"/>
    <col min="19" max="20" width="8.58203125" style="2"/>
    <col min="21" max="21" width="18.08203125" style="2" customWidth="1"/>
    <col min="22" max="16384" width="8.58203125" style="2"/>
  </cols>
  <sheetData>
    <row r="1" spans="1:21" s="1" customFormat="1" ht="25" x14ac:dyDescent="0.5">
      <c r="A1" s="1" t="s">
        <v>309</v>
      </c>
    </row>
    <row r="2" spans="1:21" ht="17.25" customHeight="1" x14ac:dyDescent="0.35"/>
    <row r="3" spans="1:21" ht="17.25" customHeight="1" x14ac:dyDescent="0.35">
      <c r="T3" s="2" t="s">
        <v>3</v>
      </c>
      <c r="U3" s="2" t="s">
        <v>112</v>
      </c>
    </row>
    <row r="4" spans="1:21" ht="17.25" customHeight="1" x14ac:dyDescent="0.35">
      <c r="R4" s="2" t="s">
        <v>485</v>
      </c>
      <c r="S4" s="2" t="s">
        <v>486</v>
      </c>
      <c r="T4" s="11">
        <v>43.7</v>
      </c>
      <c r="U4" s="11"/>
    </row>
    <row r="5" spans="1:21" ht="17.25" customHeight="1" x14ac:dyDescent="0.35">
      <c r="S5" s="8" t="s">
        <v>487</v>
      </c>
      <c r="T5" s="11">
        <v>16.399999999999999</v>
      </c>
      <c r="U5" s="11"/>
    </row>
    <row r="6" spans="1:21" ht="17.25" customHeight="1" x14ac:dyDescent="0.35">
      <c r="S6" s="2" t="s">
        <v>488</v>
      </c>
      <c r="T6" s="11">
        <v>17.7</v>
      </c>
      <c r="U6" s="11">
        <v>44.1</v>
      </c>
    </row>
    <row r="7" spans="1:21" ht="17.25" customHeight="1" x14ac:dyDescent="0.35">
      <c r="S7" s="8" t="s">
        <v>489</v>
      </c>
      <c r="T7" s="11">
        <v>30.9</v>
      </c>
      <c r="U7" s="11">
        <v>28.8</v>
      </c>
    </row>
    <row r="8" spans="1:21" ht="17.25" customHeight="1" x14ac:dyDescent="0.35">
      <c r="R8" s="2" t="s">
        <v>490</v>
      </c>
      <c r="S8" s="2" t="s">
        <v>21</v>
      </c>
      <c r="T8" s="11">
        <v>25.8</v>
      </c>
      <c r="U8" s="11"/>
    </row>
    <row r="9" spans="1:21" ht="17.25" customHeight="1" x14ac:dyDescent="0.35">
      <c r="S9" s="2" t="s">
        <v>24</v>
      </c>
      <c r="T9" s="11">
        <v>38.4</v>
      </c>
      <c r="U9" s="11"/>
    </row>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491</v>
      </c>
    </row>
    <row r="37" spans="1:14" ht="17.25" customHeight="1" x14ac:dyDescent="0.35">
      <c r="A37" s="61" t="s">
        <v>641</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61"/>
      <c r="B43" s="61"/>
      <c r="C43" s="61"/>
      <c r="D43" s="61"/>
      <c r="E43" s="61"/>
      <c r="F43" s="61"/>
      <c r="G43" s="61"/>
      <c r="H43" s="61"/>
      <c r="I43" s="61"/>
      <c r="J43" s="61"/>
      <c r="K43" s="61"/>
      <c r="L43" s="61"/>
      <c r="M43" s="61"/>
      <c r="N43" s="61"/>
    </row>
    <row r="44" spans="1:14" ht="17.25" customHeight="1" x14ac:dyDescent="0.35">
      <c r="A44" s="61"/>
      <c r="B44" s="61"/>
      <c r="C44" s="61"/>
      <c r="D44" s="61"/>
      <c r="E44" s="61"/>
      <c r="F44" s="61"/>
      <c r="G44" s="61"/>
      <c r="H44" s="61"/>
      <c r="I44" s="61"/>
      <c r="J44" s="61"/>
      <c r="K44" s="61"/>
      <c r="L44" s="61"/>
      <c r="M44" s="61"/>
      <c r="N44" s="61"/>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4"/>
  </mergeCells>
  <hyperlinks>
    <hyperlink ref="A47" location="'Read Me'!A1" display="Return to Read Me" xr:uid="{A24895B3-0C83-4A90-9552-68EB2CA9FA42}"/>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6753-E5B3-4A46-BF02-7A3AC933A145}">
  <dimension ref="A1:T48"/>
  <sheetViews>
    <sheetView zoomScale="70" zoomScaleNormal="70" workbookViewId="0">
      <selection activeCell="T41" sqref="T41"/>
    </sheetView>
  </sheetViews>
  <sheetFormatPr defaultColWidth="8.58203125" defaultRowHeight="17.5" x14ac:dyDescent="0.35"/>
  <cols>
    <col min="1" max="18" width="8.58203125" style="2"/>
    <col min="19" max="19" width="24.58203125" style="2" customWidth="1"/>
    <col min="20" max="20" width="17.33203125" style="2" customWidth="1"/>
    <col min="21" max="16384" width="8.58203125" style="2"/>
  </cols>
  <sheetData>
    <row r="1" spans="1:20" s="1" customFormat="1" ht="25" x14ac:dyDescent="0.5">
      <c r="A1" s="1" t="s">
        <v>311</v>
      </c>
    </row>
    <row r="2" spans="1:20" ht="17.25" customHeight="1" x14ac:dyDescent="0.35">
      <c r="S2" s="2" t="s">
        <v>492</v>
      </c>
      <c r="T2" s="2" t="s">
        <v>493</v>
      </c>
    </row>
    <row r="3" spans="1:20" ht="17.25" customHeight="1" x14ac:dyDescent="0.35">
      <c r="R3" s="2" t="s">
        <v>13</v>
      </c>
      <c r="S3" s="2">
        <v>95.3</v>
      </c>
      <c r="T3" s="2">
        <v>39.700000000000003</v>
      </c>
    </row>
    <row r="4" spans="1:20" ht="17.25" customHeight="1" x14ac:dyDescent="0.35">
      <c r="R4" s="2" t="s">
        <v>11</v>
      </c>
      <c r="S4" s="2">
        <v>89.2</v>
      </c>
      <c r="T4" s="2">
        <v>39.700000000000003</v>
      </c>
    </row>
    <row r="5" spans="1:20" ht="17.25" customHeight="1" x14ac:dyDescent="0.35">
      <c r="R5" s="2" t="s">
        <v>12</v>
      </c>
      <c r="S5" s="2">
        <v>70.099999999999994</v>
      </c>
      <c r="T5" s="2">
        <v>39.700000000000003</v>
      </c>
    </row>
    <row r="6" spans="1:20" ht="17.25" customHeight="1" x14ac:dyDescent="0.35">
      <c r="R6" s="2" t="s">
        <v>14</v>
      </c>
      <c r="S6" s="2">
        <v>38.4</v>
      </c>
      <c r="T6" s="2">
        <v>39.700000000000003</v>
      </c>
    </row>
    <row r="7" spans="1:20" ht="17.25" customHeight="1" x14ac:dyDescent="0.35">
      <c r="R7" s="2" t="s">
        <v>15</v>
      </c>
      <c r="S7" s="2">
        <v>38.4</v>
      </c>
      <c r="T7" s="2">
        <v>39.700000000000003</v>
      </c>
    </row>
    <row r="8" spans="1:20" ht="17.25" customHeight="1" x14ac:dyDescent="0.35">
      <c r="R8" s="2" t="s">
        <v>3</v>
      </c>
      <c r="S8" s="2">
        <v>24.2</v>
      </c>
      <c r="T8" s="2">
        <v>39.700000000000003</v>
      </c>
    </row>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494</v>
      </c>
    </row>
    <row r="37" spans="1:14" ht="17.25" customHeight="1" x14ac:dyDescent="0.35">
      <c r="A37" s="61" t="s">
        <v>495</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61"/>
      <c r="B43" s="61"/>
      <c r="C43" s="61"/>
      <c r="D43" s="61"/>
      <c r="E43" s="61"/>
      <c r="F43" s="61"/>
      <c r="G43" s="61"/>
      <c r="H43" s="61"/>
      <c r="I43" s="61"/>
      <c r="J43" s="61"/>
      <c r="K43" s="61"/>
      <c r="L43" s="61"/>
      <c r="M43" s="61"/>
      <c r="N43" s="61"/>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3"/>
  </mergeCells>
  <hyperlinks>
    <hyperlink ref="A47" location="'Read Me'!A1" display="Return to Read Me" xr:uid="{C3589BA2-FF62-45EE-8E24-A35746039336}"/>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A47E-F610-420B-ABBF-67EA8756A617}">
  <dimension ref="A1:T48"/>
  <sheetViews>
    <sheetView zoomScale="70" zoomScaleNormal="70" workbookViewId="0">
      <selection activeCell="S26" sqref="S26"/>
    </sheetView>
  </sheetViews>
  <sheetFormatPr defaultColWidth="8.58203125" defaultRowHeight="17.5" x14ac:dyDescent="0.35"/>
  <cols>
    <col min="1" max="18" width="8.58203125" style="2"/>
    <col min="19" max="19" width="30.58203125" style="2" customWidth="1"/>
    <col min="20" max="20" width="20.58203125" style="2" customWidth="1"/>
    <col min="21" max="16384" width="8.58203125" style="2"/>
  </cols>
  <sheetData>
    <row r="1" spans="1:20" s="1" customFormat="1" ht="25" x14ac:dyDescent="0.5">
      <c r="A1" s="1" t="s">
        <v>496</v>
      </c>
    </row>
    <row r="2" spans="1:20" ht="17.25" customHeight="1" x14ac:dyDescent="0.35"/>
    <row r="3" spans="1:20" ht="17.25" customHeight="1" x14ac:dyDescent="0.35">
      <c r="S3" s="2" t="s">
        <v>497</v>
      </c>
      <c r="T3" s="2" t="s">
        <v>498</v>
      </c>
    </row>
    <row r="4" spans="1:20" ht="17.25" customHeight="1" x14ac:dyDescent="0.35">
      <c r="R4" s="2" t="s">
        <v>12</v>
      </c>
      <c r="S4" s="11">
        <v>27.2</v>
      </c>
      <c r="T4" s="11">
        <v>78.5</v>
      </c>
    </row>
    <row r="5" spans="1:20" ht="17.25" customHeight="1" x14ac:dyDescent="0.35">
      <c r="R5" s="2" t="s">
        <v>499</v>
      </c>
      <c r="S5" s="11">
        <v>31.8</v>
      </c>
      <c r="T5" s="11">
        <v>84.7</v>
      </c>
    </row>
    <row r="6" spans="1:20" ht="17.25" customHeight="1" x14ac:dyDescent="0.35">
      <c r="R6" s="2" t="s">
        <v>13</v>
      </c>
      <c r="S6" s="11">
        <v>61.4</v>
      </c>
      <c r="T6" s="11">
        <v>74</v>
      </c>
    </row>
    <row r="7" spans="1:20" ht="17.25" customHeight="1" x14ac:dyDescent="0.35">
      <c r="R7" s="2" t="s">
        <v>11</v>
      </c>
      <c r="S7" s="11">
        <v>63.4</v>
      </c>
      <c r="T7" s="11">
        <v>63.9</v>
      </c>
    </row>
    <row r="8" spans="1:20" ht="17.25" customHeight="1" x14ac:dyDescent="0.35">
      <c r="R8" s="2" t="s">
        <v>15</v>
      </c>
      <c r="S8" s="11">
        <v>69.3</v>
      </c>
      <c r="T8" s="11">
        <v>60.1</v>
      </c>
    </row>
    <row r="9" spans="1:20" ht="17.25" customHeight="1" x14ac:dyDescent="0.35">
      <c r="R9" s="2" t="s">
        <v>14</v>
      </c>
      <c r="S9" s="11">
        <v>70.099999999999994</v>
      </c>
      <c r="T9" s="11">
        <v>42.1</v>
      </c>
    </row>
    <row r="10" spans="1:20" ht="17.25" customHeight="1" x14ac:dyDescent="0.35">
      <c r="R10" s="2" t="s">
        <v>3</v>
      </c>
      <c r="S10" s="11">
        <v>70.8</v>
      </c>
      <c r="T10" s="11">
        <v>54.8</v>
      </c>
    </row>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5" ht="17.25" customHeight="1" x14ac:dyDescent="0.35"/>
    <row r="34" spans="1:15" ht="17.25" customHeight="1" x14ac:dyDescent="0.35"/>
    <row r="35" spans="1:15" ht="17.25" customHeight="1" x14ac:dyDescent="0.35"/>
    <row r="36" spans="1:15" ht="17.25" customHeight="1" x14ac:dyDescent="0.35">
      <c r="A36" s="5" t="s">
        <v>500</v>
      </c>
      <c r="B36" s="5"/>
      <c r="C36" s="5"/>
      <c r="D36" s="5"/>
      <c r="E36" s="5"/>
      <c r="F36" s="5"/>
      <c r="G36" s="5"/>
      <c r="H36" s="5"/>
      <c r="I36" s="5"/>
    </row>
    <row r="37" spans="1:15" ht="17.25" customHeight="1" x14ac:dyDescent="0.35">
      <c r="A37" s="65" t="s">
        <v>501</v>
      </c>
      <c r="B37" s="65"/>
      <c r="C37" s="65"/>
      <c r="D37" s="65"/>
      <c r="E37" s="65"/>
      <c r="F37" s="65"/>
      <c r="G37" s="65"/>
      <c r="H37" s="65"/>
      <c r="I37" s="65"/>
      <c r="J37" s="65"/>
      <c r="K37" s="65"/>
      <c r="L37" s="65"/>
      <c r="M37" s="65"/>
      <c r="N37" s="65"/>
      <c r="O37" s="65"/>
    </row>
    <row r="38" spans="1:15" ht="17.25" customHeight="1" x14ac:dyDescent="0.35">
      <c r="A38" s="65"/>
      <c r="B38" s="65"/>
      <c r="C38" s="65"/>
      <c r="D38" s="65"/>
      <c r="E38" s="65"/>
      <c r="F38" s="65"/>
      <c r="G38" s="65"/>
      <c r="H38" s="65"/>
      <c r="I38" s="65"/>
      <c r="J38" s="65"/>
      <c r="K38" s="65"/>
      <c r="L38" s="65"/>
      <c r="M38" s="65"/>
      <c r="N38" s="65"/>
      <c r="O38" s="65"/>
    </row>
    <row r="39" spans="1:15" ht="17.25" customHeight="1" x14ac:dyDescent="0.35">
      <c r="A39" s="65"/>
      <c r="B39" s="65"/>
      <c r="C39" s="65"/>
      <c r="D39" s="65"/>
      <c r="E39" s="65"/>
      <c r="F39" s="65"/>
      <c r="G39" s="65"/>
      <c r="H39" s="65"/>
      <c r="I39" s="65"/>
      <c r="J39" s="65"/>
      <c r="K39" s="65"/>
      <c r="L39" s="65"/>
      <c r="M39" s="65"/>
      <c r="N39" s="65"/>
      <c r="O39" s="65"/>
    </row>
    <row r="40" spans="1:15" ht="17.25" customHeight="1" x14ac:dyDescent="0.35">
      <c r="A40" s="65"/>
      <c r="B40" s="65"/>
      <c r="C40" s="65"/>
      <c r="D40" s="65"/>
      <c r="E40" s="65"/>
      <c r="F40" s="65"/>
      <c r="G40" s="65"/>
      <c r="H40" s="65"/>
      <c r="I40" s="65"/>
      <c r="J40" s="65"/>
      <c r="K40" s="65"/>
      <c r="L40" s="65"/>
      <c r="M40" s="65"/>
      <c r="N40" s="65"/>
      <c r="O40" s="65"/>
    </row>
    <row r="41" spans="1:15" ht="17.25" customHeight="1" x14ac:dyDescent="0.35">
      <c r="A41" s="65"/>
      <c r="B41" s="65"/>
      <c r="C41" s="65"/>
      <c r="D41" s="65"/>
      <c r="E41" s="65"/>
      <c r="F41" s="65"/>
      <c r="G41" s="65"/>
      <c r="H41" s="65"/>
      <c r="I41" s="65"/>
      <c r="J41" s="65"/>
      <c r="K41" s="65"/>
      <c r="L41" s="65"/>
      <c r="M41" s="65"/>
      <c r="N41" s="65"/>
      <c r="O41" s="65"/>
    </row>
    <row r="42" spans="1:15" ht="17.25" customHeight="1" x14ac:dyDescent="0.35">
      <c r="A42" s="65"/>
      <c r="B42" s="65"/>
      <c r="C42" s="65"/>
      <c r="D42" s="65"/>
      <c r="E42" s="65"/>
      <c r="F42" s="65"/>
      <c r="G42" s="65"/>
      <c r="H42" s="65"/>
      <c r="I42" s="65"/>
      <c r="J42" s="65"/>
      <c r="K42" s="65"/>
      <c r="L42" s="65"/>
      <c r="M42" s="65"/>
      <c r="N42" s="65"/>
      <c r="O42" s="65"/>
    </row>
    <row r="43" spans="1:15" ht="17.25" customHeight="1" x14ac:dyDescent="0.35">
      <c r="A43" s="39"/>
      <c r="B43" s="39"/>
      <c r="C43" s="39"/>
      <c r="D43" s="39"/>
      <c r="E43" s="39"/>
      <c r="F43" s="39"/>
      <c r="G43" s="39"/>
      <c r="H43" s="39"/>
      <c r="I43" s="39"/>
      <c r="J43" s="39"/>
      <c r="K43" s="39"/>
      <c r="L43" s="39"/>
      <c r="M43" s="39"/>
      <c r="N43" s="39"/>
      <c r="O43" s="39"/>
    </row>
    <row r="44" spans="1:15" ht="17.25" customHeight="1" x14ac:dyDescent="0.35">
      <c r="A44" s="39"/>
      <c r="B44" s="39"/>
      <c r="C44" s="39"/>
      <c r="D44" s="39"/>
      <c r="E44" s="39"/>
      <c r="F44" s="39"/>
      <c r="G44" s="39"/>
      <c r="H44" s="39"/>
      <c r="I44" s="39"/>
      <c r="J44" s="39"/>
      <c r="K44" s="39"/>
      <c r="L44" s="39"/>
      <c r="M44" s="39"/>
      <c r="N44" s="39"/>
      <c r="O44" s="39"/>
    </row>
    <row r="45" spans="1:15" ht="17.25" customHeight="1" x14ac:dyDescent="0.35">
      <c r="A45" s="39"/>
      <c r="B45" s="39"/>
      <c r="C45" s="39"/>
      <c r="D45" s="39"/>
      <c r="E45" s="39"/>
      <c r="F45" s="39"/>
      <c r="G45" s="39"/>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x14ac:dyDescent="0.35">
      <c r="A47" s="32" t="s">
        <v>601</v>
      </c>
      <c r="B47" s="39"/>
      <c r="C47" s="39"/>
      <c r="D47" s="39"/>
      <c r="E47" s="39"/>
      <c r="F47" s="39"/>
      <c r="G47" s="39"/>
      <c r="H47" s="39"/>
      <c r="I47" s="39"/>
      <c r="J47" s="39"/>
      <c r="K47" s="39"/>
      <c r="L47" s="39"/>
      <c r="M47" s="39"/>
      <c r="N47" s="39"/>
      <c r="O47" s="39"/>
    </row>
    <row r="48" spans="1:15" x14ac:dyDescent="0.35">
      <c r="B48" s="39"/>
      <c r="C48" s="39"/>
      <c r="D48" s="39"/>
      <c r="E48" s="39"/>
      <c r="F48" s="39"/>
      <c r="G48" s="39"/>
      <c r="H48" s="39"/>
      <c r="I48" s="39"/>
      <c r="J48" s="39"/>
      <c r="K48" s="39"/>
      <c r="L48" s="39"/>
      <c r="M48" s="39"/>
      <c r="N48" s="39"/>
      <c r="O48" s="39"/>
    </row>
  </sheetData>
  <mergeCells count="1">
    <mergeCell ref="A37:O42"/>
  </mergeCells>
  <hyperlinks>
    <hyperlink ref="A47" location="'Read Me'!A1" display="Return to Read Me" xr:uid="{B5EF5A80-9EA3-47C9-B404-7F9F5DABD077}"/>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20FA-7822-48F1-A1B2-4D4252B67415}">
  <dimension ref="A1:V48"/>
  <sheetViews>
    <sheetView zoomScale="70" zoomScaleNormal="70" workbookViewId="0">
      <selection activeCell="A41" sqref="A41"/>
    </sheetView>
  </sheetViews>
  <sheetFormatPr defaultColWidth="8.58203125" defaultRowHeight="17.5" x14ac:dyDescent="0.35"/>
  <cols>
    <col min="1" max="18" width="8.58203125" style="2"/>
    <col min="19" max="19" width="35.75" style="2" customWidth="1"/>
    <col min="20" max="20" width="30.08203125" style="2" customWidth="1"/>
    <col min="21" max="21" width="33.58203125" style="2" customWidth="1"/>
    <col min="22" max="22" width="55.75" style="2" customWidth="1"/>
    <col min="23" max="16384" width="8.58203125" style="2"/>
  </cols>
  <sheetData>
    <row r="1" spans="1:22" s="1" customFormat="1" ht="25" x14ac:dyDescent="0.5">
      <c r="A1" s="1" t="s">
        <v>274</v>
      </c>
    </row>
    <row r="2" spans="1:22" ht="17.25" customHeight="1" x14ac:dyDescent="0.35"/>
    <row r="3" spans="1:22" ht="17.25" customHeight="1" x14ac:dyDescent="0.35">
      <c r="R3" s="2" t="s">
        <v>42</v>
      </c>
      <c r="S3" s="5" t="s">
        <v>47</v>
      </c>
      <c r="T3" s="5" t="s">
        <v>48</v>
      </c>
      <c r="U3" s="5" t="s">
        <v>49</v>
      </c>
      <c r="V3" s="5" t="s">
        <v>50</v>
      </c>
    </row>
    <row r="4" spans="1:22" ht="17.25" customHeight="1" x14ac:dyDescent="0.35">
      <c r="R4" s="5" t="s">
        <v>36</v>
      </c>
      <c r="S4" s="11">
        <v>185.8</v>
      </c>
      <c r="T4" s="11">
        <v>67</v>
      </c>
      <c r="U4" s="11"/>
      <c r="V4" s="11"/>
    </row>
    <row r="5" spans="1:22" ht="17.25" customHeight="1" x14ac:dyDescent="0.35">
      <c r="R5" s="5" t="s">
        <v>32</v>
      </c>
      <c r="S5" s="11">
        <v>81.599999999999994</v>
      </c>
      <c r="T5" s="11">
        <v>67</v>
      </c>
      <c r="U5" s="11"/>
      <c r="V5" s="11"/>
    </row>
    <row r="6" spans="1:22" ht="17.25" customHeight="1" x14ac:dyDescent="0.35">
      <c r="R6" s="5" t="s">
        <v>34</v>
      </c>
      <c r="S6" s="11">
        <v>59.9</v>
      </c>
      <c r="T6" s="11">
        <v>67</v>
      </c>
      <c r="U6" s="11"/>
      <c r="V6" s="11"/>
    </row>
    <row r="7" spans="1:22" ht="17.25" customHeight="1" x14ac:dyDescent="0.35">
      <c r="R7" s="5" t="s">
        <v>33</v>
      </c>
      <c r="S7" s="11">
        <v>44.1</v>
      </c>
      <c r="T7" s="11">
        <v>67</v>
      </c>
      <c r="U7" s="11"/>
      <c r="V7" s="11"/>
    </row>
    <row r="8" spans="1:22" ht="17.25" customHeight="1" x14ac:dyDescent="0.35">
      <c r="R8" s="5" t="s">
        <v>35</v>
      </c>
      <c r="S8" s="11">
        <v>31.4</v>
      </c>
      <c r="T8" s="11">
        <v>67</v>
      </c>
      <c r="U8" s="11"/>
      <c r="V8" s="11"/>
    </row>
    <row r="9" spans="1:22" ht="17.25" customHeight="1" x14ac:dyDescent="0.35">
      <c r="R9" s="5" t="s">
        <v>33</v>
      </c>
      <c r="S9" s="11"/>
      <c r="T9" s="11"/>
      <c r="U9" s="11">
        <v>21.7</v>
      </c>
      <c r="V9" s="11">
        <v>12.6</v>
      </c>
    </row>
    <row r="10" spans="1:22" ht="17.25" customHeight="1" x14ac:dyDescent="0.35">
      <c r="R10" s="5" t="s">
        <v>35</v>
      </c>
      <c r="S10" s="11"/>
      <c r="T10" s="11"/>
      <c r="U10" s="11">
        <v>10.6</v>
      </c>
      <c r="V10" s="11">
        <v>12.6</v>
      </c>
    </row>
    <row r="11" spans="1:22" ht="17.25" customHeight="1" x14ac:dyDescent="0.35">
      <c r="R11" s="5" t="s">
        <v>34</v>
      </c>
      <c r="S11" s="11"/>
      <c r="T11" s="11"/>
      <c r="U11" s="11">
        <v>9.9</v>
      </c>
      <c r="V11" s="11">
        <v>12.6</v>
      </c>
    </row>
    <row r="12" spans="1:22" ht="17.25" customHeight="1" x14ac:dyDescent="0.35">
      <c r="R12" s="5" t="s">
        <v>36</v>
      </c>
      <c r="S12" s="11"/>
      <c r="T12" s="11"/>
      <c r="U12" s="11">
        <v>7.3</v>
      </c>
      <c r="V12" s="11">
        <v>12.6</v>
      </c>
    </row>
    <row r="13" spans="1:22" ht="17.25" customHeight="1" x14ac:dyDescent="0.35">
      <c r="R13" s="5" t="s">
        <v>32</v>
      </c>
      <c r="S13" s="11"/>
      <c r="T13" s="11"/>
      <c r="U13" s="11">
        <v>2.1</v>
      </c>
      <c r="V13" s="11">
        <v>12.6</v>
      </c>
    </row>
    <row r="14" spans="1:22" ht="17.25" customHeight="1" x14ac:dyDescent="0.35"/>
    <row r="15" spans="1:22" ht="17.25" customHeight="1" x14ac:dyDescent="0.35"/>
    <row r="16" spans="1:2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502</v>
      </c>
    </row>
    <row r="37" spans="1:14" ht="17.25" customHeight="1" x14ac:dyDescent="0.35">
      <c r="A37" s="61" t="s">
        <v>642</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EE776B0A-04F7-47E1-B60A-A327E3532DBD}"/>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BCEE-75FB-4183-936A-ED0343D7C8AA}">
  <dimension ref="A1:T48"/>
  <sheetViews>
    <sheetView zoomScale="70" zoomScaleNormal="70" workbookViewId="0">
      <selection activeCell="Q39" sqref="Q39"/>
    </sheetView>
  </sheetViews>
  <sheetFormatPr defaultColWidth="8.58203125" defaultRowHeight="17.5" x14ac:dyDescent="0.35"/>
  <cols>
    <col min="1" max="18" width="8.58203125" style="2"/>
    <col min="19" max="19" width="23.58203125" style="2" customWidth="1"/>
    <col min="20" max="20" width="25.58203125" style="2" customWidth="1"/>
    <col min="21" max="16384" width="8.58203125" style="2"/>
  </cols>
  <sheetData>
    <row r="1" spans="1:20" s="1" customFormat="1" ht="25" x14ac:dyDescent="0.5">
      <c r="A1" s="1" t="s">
        <v>276</v>
      </c>
    </row>
    <row r="2" spans="1:20" ht="17.25" customHeight="1" x14ac:dyDescent="0.35"/>
    <row r="3" spans="1:20" ht="17.25" customHeight="1" x14ac:dyDescent="0.35">
      <c r="R3" s="40"/>
      <c r="S3" s="41" t="s">
        <v>503</v>
      </c>
      <c r="T3" s="41" t="s">
        <v>504</v>
      </c>
    </row>
    <row r="4" spans="1:20" ht="17.25" customHeight="1" x14ac:dyDescent="0.35">
      <c r="R4" s="40" t="s">
        <v>71</v>
      </c>
      <c r="S4" s="42">
        <v>6.3</v>
      </c>
      <c r="T4" s="42">
        <v>9.9</v>
      </c>
    </row>
    <row r="5" spans="1:20" ht="17.25" customHeight="1" x14ac:dyDescent="0.35">
      <c r="R5" s="40" t="s">
        <v>3</v>
      </c>
      <c r="S5" s="42">
        <v>3.7</v>
      </c>
      <c r="T5" s="42">
        <v>7.2</v>
      </c>
    </row>
    <row r="6" spans="1:20" ht="17.25" customHeight="1" x14ac:dyDescent="0.35"/>
    <row r="7" spans="1:20" ht="17.25" customHeight="1" x14ac:dyDescent="0.35"/>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502</v>
      </c>
    </row>
    <row r="37" spans="1:14" ht="17.25" customHeight="1" x14ac:dyDescent="0.35">
      <c r="A37" s="61" t="s">
        <v>505</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A0906655-AF45-49EE-A24D-41CD326E49DF}"/>
  </hyperlink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EA71-DDF8-472C-9081-C7630D5FD1AA}">
  <dimension ref="A1:X48"/>
  <sheetViews>
    <sheetView zoomScale="70" zoomScaleNormal="70" workbookViewId="0">
      <selection activeCell="A37" sqref="A37:N41"/>
    </sheetView>
  </sheetViews>
  <sheetFormatPr defaultColWidth="8.58203125" defaultRowHeight="17.5" x14ac:dyDescent="0.35"/>
  <cols>
    <col min="1" max="17" width="8.58203125" style="2"/>
    <col min="18" max="18" width="15.58203125" style="2" customWidth="1"/>
    <col min="19" max="19" width="17.08203125" style="2" customWidth="1"/>
    <col min="20" max="20" width="11.83203125" style="2" customWidth="1"/>
    <col min="21" max="21" width="18.08203125" style="2" customWidth="1"/>
    <col min="22" max="22" width="12.08203125" style="2" customWidth="1"/>
    <col min="23" max="23" width="24.33203125" style="2" customWidth="1"/>
    <col min="24" max="24" width="11.08203125" style="2" customWidth="1"/>
    <col min="25" max="16384" width="8.58203125" style="2"/>
  </cols>
  <sheetData>
    <row r="1" spans="1:24" s="1" customFormat="1" ht="25" x14ac:dyDescent="0.5">
      <c r="A1" s="1" t="s">
        <v>278</v>
      </c>
    </row>
    <row r="2" spans="1:24" ht="17.25" customHeight="1" x14ac:dyDescent="0.35"/>
    <row r="3" spans="1:24" ht="17.25" customHeight="1" x14ac:dyDescent="0.35">
      <c r="S3" s="66" t="s">
        <v>248</v>
      </c>
      <c r="T3" s="66"/>
      <c r="U3" s="66" t="s">
        <v>506</v>
      </c>
      <c r="V3" s="66"/>
      <c r="W3" s="66" t="s">
        <v>507</v>
      </c>
      <c r="X3" s="66"/>
    </row>
    <row r="4" spans="1:24" ht="17.25" customHeight="1" x14ac:dyDescent="0.35">
      <c r="S4" s="40" t="s">
        <v>508</v>
      </c>
      <c r="T4" s="40" t="s">
        <v>509</v>
      </c>
      <c r="U4" s="40" t="s">
        <v>508</v>
      </c>
      <c r="V4" s="40" t="s">
        <v>509</v>
      </c>
      <c r="W4" s="40" t="s">
        <v>510</v>
      </c>
      <c r="X4" s="40" t="s">
        <v>509</v>
      </c>
    </row>
    <row r="5" spans="1:24" ht="17.25" customHeight="1" x14ac:dyDescent="0.35">
      <c r="R5" s="2" t="s">
        <v>112</v>
      </c>
      <c r="S5" s="2">
        <v>1.8</v>
      </c>
      <c r="T5" s="2">
        <v>0.2</v>
      </c>
      <c r="U5" s="2">
        <v>1.1000000000000001</v>
      </c>
      <c r="V5" s="2">
        <v>0.2</v>
      </c>
      <c r="W5" s="2">
        <v>1.9</v>
      </c>
      <c r="X5" s="2">
        <v>0.6</v>
      </c>
    </row>
    <row r="6" spans="1:24" ht="17.25" customHeight="1" x14ac:dyDescent="0.35">
      <c r="R6" s="2" t="s">
        <v>3</v>
      </c>
      <c r="S6" s="2">
        <v>0.7</v>
      </c>
      <c r="T6" s="2">
        <v>0.1</v>
      </c>
      <c r="U6" s="2">
        <v>0.6</v>
      </c>
      <c r="V6" s="2">
        <v>0.1</v>
      </c>
      <c r="W6" s="2">
        <v>3.5</v>
      </c>
      <c r="X6" s="2">
        <v>0.1</v>
      </c>
    </row>
    <row r="7" spans="1:24" ht="17.25" customHeight="1" x14ac:dyDescent="0.35"/>
    <row r="8" spans="1:24" ht="17.25" customHeight="1" x14ac:dyDescent="0.35"/>
    <row r="9" spans="1:24" ht="17.25" customHeight="1" x14ac:dyDescent="0.35"/>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511</v>
      </c>
    </row>
    <row r="37" spans="1:14" ht="17.25" customHeight="1" x14ac:dyDescent="0.35">
      <c r="A37" s="61" t="s">
        <v>512</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4">
    <mergeCell ref="S3:T3"/>
    <mergeCell ref="U3:V3"/>
    <mergeCell ref="W3:X3"/>
    <mergeCell ref="A37:N41"/>
  </mergeCells>
  <hyperlinks>
    <hyperlink ref="A47" location="'Read Me'!A1" display="Return to Read Me" xr:uid="{47C85F1E-8F86-4805-98D4-35E611FFB2FB}"/>
  </hyperlink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D1B9-C583-4F1F-B71D-25914DF9F485}">
  <dimension ref="A1:V48"/>
  <sheetViews>
    <sheetView zoomScale="70" zoomScaleNormal="70" workbookViewId="0">
      <selection activeCell="E33" sqref="E33"/>
    </sheetView>
  </sheetViews>
  <sheetFormatPr defaultColWidth="8.58203125" defaultRowHeight="17.5" x14ac:dyDescent="0.35"/>
  <cols>
    <col min="1" max="18" width="8.58203125" style="2"/>
    <col min="19" max="19" width="24.58203125" style="2" customWidth="1"/>
    <col min="20" max="20" width="8.58203125" style="2"/>
    <col min="21" max="21" width="35.83203125" style="2" customWidth="1"/>
    <col min="22" max="16384" width="8.58203125" style="2"/>
  </cols>
  <sheetData>
    <row r="1" spans="1:22" s="1" customFormat="1" ht="25" x14ac:dyDescent="0.5">
      <c r="A1" s="1" t="s">
        <v>280</v>
      </c>
    </row>
    <row r="2" spans="1:22" ht="17.25" customHeight="1" x14ac:dyDescent="0.35"/>
    <row r="3" spans="1:22" ht="17.25" customHeight="1" x14ac:dyDescent="0.35">
      <c r="R3" s="5"/>
      <c r="S3" s="5" t="s">
        <v>513</v>
      </c>
      <c r="T3" s="2" t="s">
        <v>248</v>
      </c>
      <c r="U3" s="5" t="s">
        <v>514</v>
      </c>
      <c r="V3" s="2" t="s">
        <v>248</v>
      </c>
    </row>
    <row r="4" spans="1:22" ht="17.25" customHeight="1" x14ac:dyDescent="0.35">
      <c r="R4" s="2" t="s">
        <v>33</v>
      </c>
      <c r="S4" s="4">
        <v>11.99</v>
      </c>
      <c r="T4" s="4">
        <v>4.34</v>
      </c>
      <c r="U4" s="4"/>
      <c r="V4" s="4"/>
    </row>
    <row r="5" spans="1:22" ht="17.25" customHeight="1" x14ac:dyDescent="0.35">
      <c r="R5" s="2" t="s">
        <v>36</v>
      </c>
      <c r="S5" s="4">
        <v>10.95</v>
      </c>
      <c r="T5" s="4">
        <v>4.34</v>
      </c>
      <c r="U5" s="4"/>
      <c r="V5" s="4"/>
    </row>
    <row r="6" spans="1:22" ht="17.25" customHeight="1" x14ac:dyDescent="0.35">
      <c r="R6" s="2" t="s">
        <v>37</v>
      </c>
      <c r="S6" s="4">
        <v>10.55</v>
      </c>
      <c r="T6" s="4">
        <v>4.34</v>
      </c>
      <c r="U6" s="4"/>
      <c r="V6" s="4"/>
    </row>
    <row r="7" spans="1:22" ht="17.25" customHeight="1" x14ac:dyDescent="0.35">
      <c r="R7" s="2" t="s">
        <v>32</v>
      </c>
      <c r="S7" s="4">
        <v>9.0299999999999994</v>
      </c>
      <c r="T7" s="4">
        <v>4.34</v>
      </c>
      <c r="U7" s="4"/>
      <c r="V7" s="4"/>
    </row>
    <row r="8" spans="1:22" ht="17.25" customHeight="1" x14ac:dyDescent="0.35">
      <c r="R8" s="2" t="s">
        <v>35</v>
      </c>
      <c r="S8" s="4">
        <v>5.87</v>
      </c>
      <c r="T8" s="4">
        <v>4.34</v>
      </c>
      <c r="U8" s="4"/>
      <c r="V8" s="4"/>
    </row>
    <row r="9" spans="1:22" ht="17.25" customHeight="1" x14ac:dyDescent="0.35">
      <c r="R9" s="2" t="s">
        <v>34</v>
      </c>
      <c r="S9" s="4">
        <v>4.3600000000000003</v>
      </c>
      <c r="T9" s="4">
        <v>4.34</v>
      </c>
      <c r="U9" s="4"/>
      <c r="V9" s="4"/>
    </row>
    <row r="10" spans="1:22" ht="17.25" customHeight="1" x14ac:dyDescent="0.35">
      <c r="R10" s="2" t="s">
        <v>38</v>
      </c>
      <c r="S10" s="4">
        <v>3.33</v>
      </c>
      <c r="T10" s="4">
        <v>4.34</v>
      </c>
      <c r="U10" s="4"/>
      <c r="V10" s="4"/>
    </row>
    <row r="11" spans="1:22" ht="17.25" customHeight="1" x14ac:dyDescent="0.35">
      <c r="R11" s="2" t="s">
        <v>35</v>
      </c>
      <c r="S11" s="4"/>
      <c r="T11" s="4"/>
      <c r="U11" s="4">
        <v>3.4</v>
      </c>
      <c r="V11" s="4">
        <v>2.7</v>
      </c>
    </row>
    <row r="12" spans="1:22" ht="17.25" customHeight="1" x14ac:dyDescent="0.35">
      <c r="R12" s="2" t="s">
        <v>34</v>
      </c>
      <c r="S12" s="4"/>
      <c r="T12" s="4"/>
      <c r="U12" s="4">
        <v>2.8</v>
      </c>
      <c r="V12" s="4">
        <v>2.7</v>
      </c>
    </row>
    <row r="13" spans="1:22" ht="17.25" customHeight="1" x14ac:dyDescent="0.35">
      <c r="R13" s="2" t="s">
        <v>36</v>
      </c>
      <c r="S13" s="4"/>
      <c r="T13" s="4"/>
      <c r="U13" s="4">
        <v>2.6</v>
      </c>
      <c r="V13" s="4">
        <v>2.7</v>
      </c>
    </row>
    <row r="14" spans="1:22" ht="17.25" customHeight="1" x14ac:dyDescent="0.35">
      <c r="R14" s="2" t="s">
        <v>38</v>
      </c>
      <c r="S14" s="4"/>
      <c r="T14" s="4"/>
      <c r="U14" s="4">
        <v>2.5</v>
      </c>
      <c r="V14" s="4">
        <v>2.7</v>
      </c>
    </row>
    <row r="15" spans="1:22" ht="17.25" customHeight="1" x14ac:dyDescent="0.35"/>
    <row r="16" spans="1:2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627</v>
      </c>
    </row>
    <row r="37" spans="1:14" ht="17.25" customHeight="1" x14ac:dyDescent="0.35">
      <c r="A37" s="61" t="s">
        <v>515</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C026E364-3C70-4DE5-AC3E-3627B05F49E6}"/>
  </hyperlink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88900-8F2B-4A85-8AAF-70E4BEC4B914}">
  <dimension ref="A1:X48"/>
  <sheetViews>
    <sheetView zoomScale="70" zoomScaleNormal="70" workbookViewId="0">
      <selection activeCell="T4" sqref="T4"/>
    </sheetView>
  </sheetViews>
  <sheetFormatPr defaultColWidth="8.58203125" defaultRowHeight="17.5" x14ac:dyDescent="0.35"/>
  <cols>
    <col min="1" max="17" width="8.58203125" style="2"/>
    <col min="18" max="22" width="15.58203125" style="2" customWidth="1"/>
    <col min="23" max="23" width="18.58203125" style="2" customWidth="1"/>
    <col min="24" max="24" width="17.58203125" style="2" customWidth="1"/>
    <col min="25" max="16384" width="8.58203125" style="2"/>
  </cols>
  <sheetData>
    <row r="1" spans="1:24" s="1" customFormat="1" ht="25" x14ac:dyDescent="0.5">
      <c r="A1" s="1" t="s">
        <v>282</v>
      </c>
    </row>
    <row r="2" spans="1:24" ht="17.25" customHeight="1" x14ac:dyDescent="0.35"/>
    <row r="3" spans="1:24" ht="17.25" customHeight="1" x14ac:dyDescent="0.35">
      <c r="S3" s="64" t="s">
        <v>516</v>
      </c>
      <c r="T3" s="64"/>
      <c r="U3" s="64"/>
      <c r="V3" s="64"/>
      <c r="W3" s="64" t="s">
        <v>517</v>
      </c>
      <c r="X3" s="64"/>
    </row>
    <row r="4" spans="1:24" ht="17.25" customHeight="1" x14ac:dyDescent="0.35">
      <c r="S4" s="2" t="s">
        <v>518</v>
      </c>
      <c r="T4" s="2" t="s">
        <v>519</v>
      </c>
      <c r="U4" s="8" t="s">
        <v>520</v>
      </c>
      <c r="V4" s="2" t="s">
        <v>521</v>
      </c>
      <c r="W4" s="2" t="s">
        <v>518</v>
      </c>
      <c r="X4" s="2" t="s">
        <v>519</v>
      </c>
    </row>
    <row r="5" spans="1:24" ht="17.25" customHeight="1" x14ac:dyDescent="0.35">
      <c r="R5" s="2" t="s">
        <v>112</v>
      </c>
      <c r="S5" s="11">
        <v>10.7</v>
      </c>
      <c r="T5" s="11">
        <v>13</v>
      </c>
      <c r="U5" s="11">
        <v>12.6</v>
      </c>
      <c r="V5" s="11">
        <v>12.9</v>
      </c>
      <c r="W5" s="11"/>
      <c r="X5" s="11"/>
    </row>
    <row r="6" spans="1:24" ht="17.25" customHeight="1" x14ac:dyDescent="0.35">
      <c r="R6" s="2" t="s">
        <v>3</v>
      </c>
      <c r="S6" s="11">
        <v>8.8000000000000007</v>
      </c>
      <c r="T6" s="11">
        <v>12.9</v>
      </c>
      <c r="U6" s="11">
        <v>19</v>
      </c>
      <c r="V6" s="11">
        <v>13.5</v>
      </c>
      <c r="W6" s="11"/>
      <c r="X6" s="11"/>
    </row>
    <row r="7" spans="1:24" ht="17.25" customHeight="1" x14ac:dyDescent="0.35">
      <c r="R7" s="2" t="s">
        <v>112</v>
      </c>
      <c r="S7" s="11"/>
      <c r="T7" s="11"/>
      <c r="U7" s="11"/>
      <c r="V7" s="11"/>
      <c r="W7" s="11">
        <v>21.9</v>
      </c>
      <c r="X7" s="11">
        <v>42.7</v>
      </c>
    </row>
    <row r="8" spans="1:24" ht="17.25" customHeight="1" x14ac:dyDescent="0.35">
      <c r="R8" s="2" t="s">
        <v>3</v>
      </c>
      <c r="S8" s="11"/>
      <c r="T8" s="11"/>
      <c r="U8" s="11"/>
      <c r="V8" s="11"/>
      <c r="W8" s="11">
        <v>52.3</v>
      </c>
      <c r="X8" s="11">
        <v>89.8</v>
      </c>
    </row>
    <row r="9" spans="1:24" ht="17.25" customHeight="1" x14ac:dyDescent="0.35"/>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502</v>
      </c>
    </row>
    <row r="37" spans="1:14" ht="17.25" customHeight="1" x14ac:dyDescent="0.35">
      <c r="A37" s="61" t="s">
        <v>522</v>
      </c>
      <c r="B37" s="61"/>
      <c r="C37" s="61"/>
      <c r="D37" s="61"/>
      <c r="E37" s="61"/>
      <c r="F37" s="61"/>
      <c r="G37" s="61"/>
      <c r="H37" s="61"/>
      <c r="I37" s="61"/>
      <c r="J37" s="61"/>
      <c r="K37" s="61"/>
      <c r="L37" s="61"/>
      <c r="M37" s="61"/>
      <c r="N37" s="61"/>
    </row>
    <row r="38" spans="1:14" x14ac:dyDescent="0.35">
      <c r="A38" s="61"/>
      <c r="B38" s="61"/>
      <c r="C38" s="61"/>
      <c r="D38" s="61"/>
      <c r="E38" s="61"/>
      <c r="F38" s="61"/>
      <c r="G38" s="61"/>
      <c r="H38" s="61"/>
      <c r="I38" s="61"/>
      <c r="J38" s="61"/>
      <c r="K38" s="61"/>
      <c r="L38" s="61"/>
      <c r="M38" s="61"/>
      <c r="N38" s="61"/>
    </row>
    <row r="39" spans="1:14" x14ac:dyDescent="0.35">
      <c r="A39" s="28"/>
      <c r="B39" s="28"/>
      <c r="C39" s="28"/>
      <c r="D39" s="28"/>
      <c r="E39" s="28"/>
      <c r="F39" s="28"/>
      <c r="G39" s="28"/>
      <c r="H39" s="28"/>
      <c r="I39" s="28"/>
      <c r="J39" s="28"/>
      <c r="K39" s="28"/>
      <c r="L39" s="28"/>
      <c r="M39" s="28"/>
      <c r="N39" s="28"/>
    </row>
    <row r="40" spans="1:14" x14ac:dyDescent="0.35">
      <c r="A40" s="28"/>
      <c r="B40" s="28"/>
      <c r="C40" s="28"/>
      <c r="D40" s="28"/>
      <c r="E40" s="28"/>
      <c r="F40" s="28"/>
      <c r="G40" s="28"/>
      <c r="H40" s="28"/>
      <c r="I40" s="28"/>
      <c r="J40" s="28"/>
      <c r="K40" s="28"/>
      <c r="L40" s="28"/>
      <c r="M40" s="28"/>
      <c r="N40" s="28"/>
    </row>
    <row r="41" spans="1:14" x14ac:dyDescent="0.35">
      <c r="A41" s="28"/>
      <c r="B41" s="28"/>
      <c r="C41" s="28"/>
      <c r="D41" s="28"/>
      <c r="E41" s="28"/>
      <c r="F41" s="28"/>
      <c r="G41" s="28"/>
      <c r="H41" s="28"/>
      <c r="I41" s="28"/>
      <c r="J41" s="28"/>
      <c r="K41" s="28"/>
      <c r="L41" s="28"/>
      <c r="M41" s="28"/>
      <c r="N41" s="28"/>
    </row>
    <row r="42" spans="1:14" x14ac:dyDescent="0.35">
      <c r="A42" s="28"/>
      <c r="B42" s="28"/>
      <c r="C42" s="28"/>
      <c r="D42" s="28"/>
      <c r="E42" s="28"/>
      <c r="F42" s="28"/>
      <c r="G42" s="28"/>
      <c r="H42" s="28"/>
      <c r="I42" s="28"/>
      <c r="J42" s="28"/>
      <c r="K42" s="28"/>
      <c r="L42" s="28"/>
      <c r="M42" s="28"/>
      <c r="N42" s="28"/>
    </row>
    <row r="43" spans="1:14" x14ac:dyDescent="0.35">
      <c r="A43" s="28"/>
      <c r="B43" s="28"/>
      <c r="C43" s="28"/>
      <c r="D43" s="28"/>
      <c r="E43" s="28"/>
      <c r="F43" s="28"/>
      <c r="G43" s="28"/>
      <c r="H43" s="28"/>
      <c r="I43" s="28"/>
      <c r="J43" s="28"/>
      <c r="K43" s="28"/>
      <c r="L43" s="28"/>
      <c r="M43" s="28"/>
      <c r="N43" s="28"/>
    </row>
    <row r="44" spans="1:14" x14ac:dyDescent="0.35">
      <c r="A44" s="28"/>
      <c r="B44" s="28"/>
      <c r="C44" s="28"/>
      <c r="D44" s="28"/>
      <c r="E44" s="28"/>
      <c r="F44" s="28"/>
      <c r="G44" s="28"/>
      <c r="H44" s="28"/>
      <c r="I44" s="28"/>
      <c r="J44" s="28"/>
      <c r="K44" s="28"/>
      <c r="L44" s="28"/>
      <c r="M44" s="28"/>
      <c r="N44" s="28"/>
    </row>
    <row r="45" spans="1:14"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3">
    <mergeCell ref="S3:V3"/>
    <mergeCell ref="W3:X3"/>
    <mergeCell ref="A37:N38"/>
  </mergeCells>
  <hyperlinks>
    <hyperlink ref="A47" location="'Read Me'!A1" display="Return to Read Me" xr:uid="{FD8FA391-AC48-4FD2-B4CC-0027B5747D18}"/>
  </hyperlink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2029-0C52-4E0A-80FE-5C6B275D0684}">
  <dimension ref="A1:T48"/>
  <sheetViews>
    <sheetView zoomScale="70" zoomScaleNormal="70" workbookViewId="0">
      <selection activeCell="A37" sqref="A37:N39"/>
    </sheetView>
  </sheetViews>
  <sheetFormatPr defaultColWidth="8.58203125" defaultRowHeight="17.5" x14ac:dyDescent="0.35"/>
  <cols>
    <col min="1" max="17" width="8.58203125" style="2"/>
    <col min="18" max="18" width="10.33203125" style="2" customWidth="1"/>
    <col min="19" max="20" width="14.58203125" style="2" customWidth="1"/>
    <col min="21" max="16384" width="8.58203125" style="2"/>
  </cols>
  <sheetData>
    <row r="1" spans="1:20" s="1" customFormat="1" ht="25" x14ac:dyDescent="0.5">
      <c r="A1" s="1" t="s">
        <v>284</v>
      </c>
    </row>
    <row r="2" spans="1:20" ht="17.25" customHeight="1" x14ac:dyDescent="0.35"/>
    <row r="3" spans="1:20" ht="17.25" customHeight="1" x14ac:dyDescent="0.35">
      <c r="S3" s="5" t="s">
        <v>523</v>
      </c>
      <c r="T3" s="2" t="s">
        <v>524</v>
      </c>
    </row>
    <row r="4" spans="1:20" ht="17.25" customHeight="1" x14ac:dyDescent="0.35">
      <c r="R4" s="2" t="s">
        <v>525</v>
      </c>
      <c r="S4" s="2">
        <v>40.299999999999997</v>
      </c>
      <c r="T4" s="2">
        <v>38.700000000000003</v>
      </c>
    </row>
    <row r="5" spans="1:20" ht="17.25" customHeight="1" x14ac:dyDescent="0.35">
      <c r="R5" s="5" t="s">
        <v>526</v>
      </c>
      <c r="S5" s="2">
        <v>1.8</v>
      </c>
      <c r="T5" s="2">
        <v>29.5</v>
      </c>
    </row>
    <row r="6" spans="1:20" ht="17.25" customHeight="1" x14ac:dyDescent="0.35"/>
    <row r="7" spans="1:20" ht="17.25" customHeight="1" x14ac:dyDescent="0.35"/>
    <row r="8" spans="1:20" ht="17.25" customHeight="1" x14ac:dyDescent="0.35"/>
    <row r="9" spans="1:20" ht="17.25" customHeight="1" x14ac:dyDescent="0.35"/>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527</v>
      </c>
    </row>
    <row r="37" spans="1:14" ht="17.25" customHeight="1" x14ac:dyDescent="0.35">
      <c r="A37" s="61" t="s">
        <v>528</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2737E43D-D853-4B70-888F-F4C5AAAB4F94}"/>
  </hyperlink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E168-6A93-4FBB-9644-51023F26E1AB}">
  <dimension ref="A1:V48"/>
  <sheetViews>
    <sheetView zoomScale="70" zoomScaleNormal="70" workbookViewId="0">
      <selection activeCell="V9" sqref="V9"/>
    </sheetView>
  </sheetViews>
  <sheetFormatPr defaultColWidth="8.58203125" defaultRowHeight="17.5" x14ac:dyDescent="0.35"/>
  <cols>
    <col min="1" max="18" width="8.58203125" style="2"/>
    <col min="19" max="19" width="26.58203125" style="2" customWidth="1"/>
    <col min="20" max="16384" width="8.58203125" style="2"/>
  </cols>
  <sheetData>
    <row r="1" spans="1:22" s="1" customFormat="1" ht="25" x14ac:dyDescent="0.5">
      <c r="A1" s="1" t="s">
        <v>286</v>
      </c>
    </row>
    <row r="2" spans="1:22" ht="17.25" customHeight="1" x14ac:dyDescent="0.35"/>
    <row r="3" spans="1:22" ht="17.25" customHeight="1" x14ac:dyDescent="0.35">
      <c r="R3" s="2" t="s">
        <v>529</v>
      </c>
      <c r="S3" s="2" t="s">
        <v>530</v>
      </c>
      <c r="T3" s="2" t="s">
        <v>531</v>
      </c>
      <c r="U3" s="2" t="s">
        <v>532</v>
      </c>
      <c r="V3" s="2" t="s">
        <v>533</v>
      </c>
    </row>
    <row r="4" spans="1:22" ht="17.25" customHeight="1" x14ac:dyDescent="0.35">
      <c r="R4" s="2" t="s">
        <v>33</v>
      </c>
      <c r="S4" s="11">
        <v>13.9</v>
      </c>
      <c r="T4" s="11">
        <v>4.2</v>
      </c>
      <c r="U4" s="11">
        <v>10.1</v>
      </c>
      <c r="V4" s="11">
        <v>24.1</v>
      </c>
    </row>
    <row r="5" spans="1:22" ht="17.25" customHeight="1" x14ac:dyDescent="0.35">
      <c r="R5" s="2" t="s">
        <v>34</v>
      </c>
      <c r="S5" s="11">
        <v>13.6</v>
      </c>
      <c r="T5" s="11">
        <v>4.2</v>
      </c>
      <c r="U5" s="11">
        <v>10.1</v>
      </c>
      <c r="V5" s="11">
        <v>24.1</v>
      </c>
    </row>
    <row r="6" spans="1:22" ht="17.25" customHeight="1" x14ac:dyDescent="0.35">
      <c r="R6" s="2" t="s">
        <v>38</v>
      </c>
      <c r="S6" s="11">
        <v>9.6</v>
      </c>
      <c r="T6" s="11">
        <v>4.2</v>
      </c>
      <c r="U6" s="11">
        <v>10.1</v>
      </c>
      <c r="V6" s="11">
        <v>24.1</v>
      </c>
    </row>
    <row r="7" spans="1:22" ht="17.25" customHeight="1" x14ac:dyDescent="0.35">
      <c r="R7" s="2" t="s">
        <v>36</v>
      </c>
      <c r="S7" s="11">
        <v>6.6</v>
      </c>
      <c r="T7" s="11">
        <v>4.2</v>
      </c>
      <c r="U7" s="11">
        <v>10.1</v>
      </c>
      <c r="V7" s="11">
        <v>24.1</v>
      </c>
    </row>
    <row r="8" spans="1:22" ht="17.25" customHeight="1" x14ac:dyDescent="0.35">
      <c r="R8" s="2" t="s">
        <v>32</v>
      </c>
      <c r="S8" s="11">
        <v>4.8</v>
      </c>
      <c r="T8" s="11">
        <v>4.2</v>
      </c>
      <c r="U8" s="11">
        <v>10.1</v>
      </c>
      <c r="V8" s="11">
        <v>24.1</v>
      </c>
    </row>
    <row r="9" spans="1:22" ht="17.25" customHeight="1" x14ac:dyDescent="0.35">
      <c r="R9" s="2" t="s">
        <v>35</v>
      </c>
      <c r="S9" s="11">
        <v>1.9</v>
      </c>
      <c r="T9" s="11">
        <v>4.2</v>
      </c>
      <c r="U9" s="11">
        <v>10.1</v>
      </c>
      <c r="V9" s="11">
        <v>24.1</v>
      </c>
    </row>
    <row r="10" spans="1:22" ht="17.25" customHeight="1" x14ac:dyDescent="0.35"/>
    <row r="11" spans="1:22" ht="17.25" customHeight="1" x14ac:dyDescent="0.35"/>
    <row r="12" spans="1:22" ht="17.25" customHeight="1" x14ac:dyDescent="0.35"/>
    <row r="13" spans="1:22" ht="17.25" customHeight="1" x14ac:dyDescent="0.35"/>
    <row r="14" spans="1:22" ht="17.25" customHeight="1" x14ac:dyDescent="0.35"/>
    <row r="15" spans="1:22" ht="17.25" customHeight="1" x14ac:dyDescent="0.35"/>
    <row r="16" spans="1:22"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527</v>
      </c>
    </row>
    <row r="37" spans="1:14" ht="17.25" customHeight="1" x14ac:dyDescent="0.35">
      <c r="A37" s="61" t="s">
        <v>534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28"/>
      <c r="B40" s="28"/>
      <c r="C40" s="28"/>
      <c r="D40" s="28"/>
      <c r="E40" s="28"/>
      <c r="F40" s="28"/>
      <c r="G40" s="28"/>
      <c r="H40" s="28"/>
      <c r="I40" s="28"/>
      <c r="J40" s="28"/>
      <c r="K40" s="28"/>
      <c r="L40" s="28"/>
      <c r="M40" s="28"/>
      <c r="N40" s="28"/>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39"/>
  </mergeCells>
  <hyperlinks>
    <hyperlink ref="A47" location="'Read Me'!A1" display="Return to Read Me" xr:uid="{EB8776AE-0B45-41D5-BC58-21CA05E9CEC4}"/>
  </hyperlink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094C-73D3-45F6-8EDA-FE17B437372C}">
  <dimension ref="A1:W48"/>
  <sheetViews>
    <sheetView zoomScale="70" zoomScaleNormal="70" workbookViewId="0">
      <selection activeCell="A37" sqref="A37:N41"/>
    </sheetView>
  </sheetViews>
  <sheetFormatPr defaultColWidth="8.58203125" defaultRowHeight="17.5" x14ac:dyDescent="0.35"/>
  <cols>
    <col min="1" max="17" width="8.58203125" style="2"/>
    <col min="18" max="20" width="18.58203125" style="2" customWidth="1"/>
    <col min="21" max="21" width="29" style="2" customWidth="1"/>
    <col min="22" max="22" width="18.58203125" style="2" customWidth="1"/>
    <col min="23" max="23" width="30.58203125" style="2" customWidth="1"/>
    <col min="24" max="16384" width="8.58203125" style="2"/>
  </cols>
  <sheetData>
    <row r="1" spans="1:23" s="1" customFormat="1" ht="25" x14ac:dyDescent="0.5">
      <c r="A1" s="1" t="s">
        <v>288</v>
      </c>
    </row>
    <row r="2" spans="1:23" ht="17.25" customHeight="1" x14ac:dyDescent="0.35"/>
    <row r="3" spans="1:23" ht="28.5" customHeight="1" x14ac:dyDescent="0.35">
      <c r="S3" s="2" t="s">
        <v>332</v>
      </c>
      <c r="T3" s="43" t="s">
        <v>535</v>
      </c>
      <c r="U3" s="44" t="s">
        <v>536</v>
      </c>
      <c r="V3" s="43" t="s">
        <v>535</v>
      </c>
      <c r="W3" s="44" t="s">
        <v>537</v>
      </c>
    </row>
    <row r="4" spans="1:23" ht="17.25" customHeight="1" x14ac:dyDescent="0.35">
      <c r="R4" s="67" t="s">
        <v>538</v>
      </c>
      <c r="S4" s="2" t="s">
        <v>34</v>
      </c>
      <c r="T4" s="11">
        <v>7.4</v>
      </c>
      <c r="U4" s="11">
        <v>1.9</v>
      </c>
      <c r="V4" s="11"/>
      <c r="W4" s="11"/>
    </row>
    <row r="5" spans="1:23" ht="17.25" customHeight="1" x14ac:dyDescent="0.35">
      <c r="R5" s="67"/>
      <c r="S5" s="2" t="s">
        <v>32</v>
      </c>
      <c r="T5" s="11">
        <v>7.1</v>
      </c>
      <c r="U5" s="11">
        <v>1.7</v>
      </c>
      <c r="V5" s="11"/>
      <c r="W5" s="11"/>
    </row>
    <row r="6" spans="1:23" ht="17.25" customHeight="1" x14ac:dyDescent="0.35">
      <c r="R6" s="67"/>
      <c r="S6" s="2" t="s">
        <v>36</v>
      </c>
      <c r="T6" s="11">
        <v>5.7</v>
      </c>
      <c r="U6" s="11">
        <v>2.1</v>
      </c>
      <c r="V6" s="11"/>
      <c r="W6" s="11"/>
    </row>
    <row r="7" spans="1:23" ht="17.25" customHeight="1" x14ac:dyDescent="0.35">
      <c r="R7" s="67"/>
      <c r="S7" s="2" t="s">
        <v>35</v>
      </c>
      <c r="T7" s="11">
        <v>3.1</v>
      </c>
      <c r="U7" s="11">
        <v>2.4</v>
      </c>
      <c r="V7" s="11"/>
      <c r="W7" s="11"/>
    </row>
    <row r="8" spans="1:23" ht="17.25" customHeight="1" x14ac:dyDescent="0.35">
      <c r="R8" s="67" t="s">
        <v>539</v>
      </c>
      <c r="S8" s="8" t="s">
        <v>33</v>
      </c>
      <c r="T8" s="11"/>
      <c r="U8" s="11"/>
      <c r="V8" s="11">
        <v>25</v>
      </c>
      <c r="W8" s="11">
        <v>4.5999999999999996</v>
      </c>
    </row>
    <row r="9" spans="1:23" ht="17.25" customHeight="1" x14ac:dyDescent="0.35">
      <c r="R9" s="67"/>
      <c r="S9" s="8" t="s">
        <v>38</v>
      </c>
      <c r="T9" s="11"/>
      <c r="U9" s="11"/>
      <c r="V9" s="11">
        <v>2.1</v>
      </c>
      <c r="W9" s="11">
        <v>5.6</v>
      </c>
    </row>
    <row r="10" spans="1:23" ht="17.25" customHeight="1" x14ac:dyDescent="0.35">
      <c r="R10" s="67"/>
      <c r="S10" s="8" t="s">
        <v>37</v>
      </c>
      <c r="T10" s="11"/>
      <c r="U10" s="11"/>
      <c r="V10" s="11">
        <v>0.1</v>
      </c>
      <c r="W10" s="11">
        <v>14.4</v>
      </c>
    </row>
    <row r="11" spans="1:23" ht="17.25" customHeight="1" x14ac:dyDescent="0.35"/>
    <row r="12" spans="1:23" ht="17.25" customHeight="1" x14ac:dyDescent="0.35"/>
    <row r="13" spans="1:23" ht="17.25" customHeight="1" x14ac:dyDescent="0.35"/>
    <row r="14" spans="1:23" ht="17.25" customHeight="1" x14ac:dyDescent="0.35"/>
    <row r="15" spans="1:23" ht="17.25" customHeight="1" x14ac:dyDescent="0.35"/>
    <row r="16" spans="1:23"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5" t="s">
        <v>540</v>
      </c>
      <c r="B36" s="5"/>
      <c r="C36" s="5"/>
      <c r="D36" s="5"/>
      <c r="E36" s="5"/>
      <c r="F36" s="5"/>
      <c r="G36" s="5"/>
      <c r="H36" s="5"/>
      <c r="I36" s="5"/>
    </row>
    <row r="37" spans="1:14" ht="17.25" customHeight="1" x14ac:dyDescent="0.35">
      <c r="A37" s="65" t="s">
        <v>541</v>
      </c>
      <c r="B37" s="65"/>
      <c r="C37" s="65"/>
      <c r="D37" s="65"/>
      <c r="E37" s="65"/>
      <c r="F37" s="65"/>
      <c r="G37" s="65"/>
      <c r="H37" s="65"/>
      <c r="I37" s="65"/>
      <c r="J37" s="65"/>
      <c r="K37" s="65"/>
      <c r="L37" s="65"/>
      <c r="M37" s="65"/>
      <c r="N37" s="65"/>
    </row>
    <row r="38" spans="1:14" ht="17.25" customHeight="1" x14ac:dyDescent="0.35">
      <c r="A38" s="65"/>
      <c r="B38" s="65"/>
      <c r="C38" s="65"/>
      <c r="D38" s="65"/>
      <c r="E38" s="65"/>
      <c r="F38" s="65"/>
      <c r="G38" s="65"/>
      <c r="H38" s="65"/>
      <c r="I38" s="65"/>
      <c r="J38" s="65"/>
      <c r="K38" s="65"/>
      <c r="L38" s="65"/>
      <c r="M38" s="65"/>
      <c r="N38" s="65"/>
    </row>
    <row r="39" spans="1:14" ht="17.25" customHeight="1" x14ac:dyDescent="0.35">
      <c r="A39" s="65"/>
      <c r="B39" s="65"/>
      <c r="C39" s="65"/>
      <c r="D39" s="65"/>
      <c r="E39" s="65"/>
      <c r="F39" s="65"/>
      <c r="G39" s="65"/>
      <c r="H39" s="65"/>
      <c r="I39" s="65"/>
      <c r="J39" s="65"/>
      <c r="K39" s="65"/>
      <c r="L39" s="65"/>
      <c r="M39" s="65"/>
      <c r="N39" s="65"/>
    </row>
    <row r="40" spans="1:14" ht="17.25" customHeight="1" x14ac:dyDescent="0.35">
      <c r="A40" s="65"/>
      <c r="B40" s="65"/>
      <c r="C40" s="65"/>
      <c r="D40" s="65"/>
      <c r="E40" s="65"/>
      <c r="F40" s="65"/>
      <c r="G40" s="65"/>
      <c r="H40" s="65"/>
      <c r="I40" s="65"/>
      <c r="J40" s="65"/>
      <c r="K40" s="65"/>
      <c r="L40" s="65"/>
      <c r="M40" s="65"/>
      <c r="N40" s="65"/>
    </row>
    <row r="41" spans="1:14" ht="17.25" customHeight="1" x14ac:dyDescent="0.35">
      <c r="A41" s="65"/>
      <c r="B41" s="65"/>
      <c r="C41" s="65"/>
      <c r="D41" s="65"/>
      <c r="E41" s="65"/>
      <c r="F41" s="65"/>
      <c r="G41" s="65"/>
      <c r="H41" s="65"/>
      <c r="I41" s="65"/>
      <c r="J41" s="65"/>
      <c r="K41" s="65"/>
      <c r="L41" s="65"/>
      <c r="M41" s="65"/>
      <c r="N41" s="65"/>
    </row>
    <row r="42" spans="1:14" ht="17.25" customHeight="1" x14ac:dyDescent="0.35">
      <c r="A42" s="39"/>
      <c r="B42" s="39"/>
      <c r="C42" s="39"/>
      <c r="D42" s="39"/>
      <c r="E42" s="39"/>
      <c r="F42" s="39"/>
      <c r="G42" s="39"/>
      <c r="H42" s="39"/>
      <c r="I42" s="39"/>
      <c r="J42" s="39"/>
      <c r="K42" s="39"/>
      <c r="L42" s="39"/>
      <c r="M42" s="39"/>
      <c r="N42" s="39"/>
    </row>
    <row r="43" spans="1:14" ht="17.25" customHeight="1" x14ac:dyDescent="0.35">
      <c r="A43" s="39"/>
      <c r="B43" s="39"/>
      <c r="C43" s="39"/>
      <c r="D43" s="39"/>
      <c r="E43" s="39"/>
      <c r="F43" s="39"/>
      <c r="G43" s="39"/>
      <c r="H43" s="39"/>
      <c r="I43" s="39"/>
      <c r="J43" s="39"/>
      <c r="K43" s="39"/>
      <c r="L43" s="39"/>
      <c r="M43" s="39"/>
      <c r="N43" s="39"/>
    </row>
    <row r="44" spans="1:14" ht="17.25" customHeight="1" x14ac:dyDescent="0.35">
      <c r="A44" s="39"/>
      <c r="B44" s="39"/>
      <c r="C44" s="39"/>
      <c r="D44" s="39"/>
      <c r="E44" s="39"/>
      <c r="F44" s="39"/>
      <c r="G44" s="39"/>
      <c r="H44" s="39"/>
      <c r="I44" s="39"/>
      <c r="J44" s="39"/>
      <c r="K44" s="39"/>
      <c r="L44" s="39"/>
      <c r="M44" s="39"/>
      <c r="N44" s="39"/>
    </row>
    <row r="45" spans="1:14" ht="17.25" customHeight="1" x14ac:dyDescent="0.35">
      <c r="A45" s="39"/>
      <c r="B45" s="39"/>
      <c r="C45" s="39"/>
      <c r="D45" s="39"/>
      <c r="E45" s="39"/>
      <c r="F45" s="39"/>
      <c r="G45" s="39"/>
      <c r="H45" s="39"/>
      <c r="I45" s="39"/>
      <c r="J45" s="39"/>
      <c r="K45" s="39"/>
      <c r="L45" s="39"/>
      <c r="M45" s="39"/>
      <c r="N45" s="39"/>
    </row>
    <row r="46" spans="1:14" x14ac:dyDescent="0.35">
      <c r="A46" s="39"/>
      <c r="B46" s="39"/>
      <c r="C46" s="39"/>
      <c r="D46" s="39"/>
      <c r="E46" s="39"/>
      <c r="F46" s="39"/>
      <c r="G46" s="39"/>
      <c r="H46" s="39"/>
      <c r="I46" s="39"/>
      <c r="J46" s="39"/>
      <c r="K46" s="39"/>
      <c r="L46" s="39"/>
      <c r="M46" s="39"/>
      <c r="N46" s="39"/>
    </row>
    <row r="47" spans="1:14" x14ac:dyDescent="0.35">
      <c r="A47" s="32" t="s">
        <v>601</v>
      </c>
      <c r="B47" s="39"/>
      <c r="C47" s="39"/>
      <c r="D47" s="39"/>
      <c r="E47" s="39"/>
      <c r="F47" s="39"/>
      <c r="G47" s="39"/>
      <c r="H47" s="39"/>
      <c r="I47" s="39"/>
      <c r="J47" s="39"/>
      <c r="K47" s="39"/>
      <c r="L47" s="39"/>
      <c r="M47" s="39"/>
      <c r="N47" s="39"/>
    </row>
    <row r="48" spans="1:14" x14ac:dyDescent="0.35">
      <c r="B48" s="39"/>
      <c r="C48" s="39"/>
      <c r="D48" s="39"/>
      <c r="E48" s="39"/>
      <c r="F48" s="39"/>
      <c r="G48" s="39"/>
      <c r="H48" s="39"/>
      <c r="I48" s="39"/>
      <c r="J48" s="39"/>
      <c r="K48" s="39"/>
      <c r="L48" s="39"/>
      <c r="M48" s="39"/>
      <c r="N48" s="39"/>
    </row>
  </sheetData>
  <mergeCells count="3">
    <mergeCell ref="R4:R7"/>
    <mergeCell ref="R8:R10"/>
    <mergeCell ref="A37:N41"/>
  </mergeCells>
  <hyperlinks>
    <hyperlink ref="A47" location="'Read Me'!A1" display="Return to Read Me" xr:uid="{A3A92C3C-8B75-45D4-AA33-349A657A9353}"/>
  </hyperlink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795A-8F8C-4FAE-8299-8FE3293877E8}">
  <dimension ref="A1:U48"/>
  <sheetViews>
    <sheetView zoomScale="70" zoomScaleNormal="70" workbookViewId="0">
      <selection activeCell="U40" sqref="U40"/>
    </sheetView>
  </sheetViews>
  <sheetFormatPr defaultColWidth="8.58203125" defaultRowHeight="17.5" x14ac:dyDescent="0.35"/>
  <cols>
    <col min="1" max="17" width="8.58203125" style="2"/>
    <col min="18" max="18" width="17.58203125" style="2" customWidth="1"/>
    <col min="19" max="19" width="8.58203125" style="2"/>
    <col min="20" max="20" width="16" style="2" customWidth="1"/>
    <col min="21" max="21" width="14.25" style="2" customWidth="1"/>
    <col min="22" max="16384" width="8.58203125" style="2"/>
  </cols>
  <sheetData>
    <row r="1" spans="1:21" s="1" customFormat="1" ht="25" x14ac:dyDescent="0.5">
      <c r="A1" s="1" t="s">
        <v>290</v>
      </c>
    </row>
    <row r="2" spans="1:21" ht="17.25" customHeight="1" x14ac:dyDescent="0.35"/>
    <row r="3" spans="1:21" ht="17.149999999999999" customHeight="1" x14ac:dyDescent="0.35">
      <c r="T3" s="2" t="s">
        <v>535</v>
      </c>
      <c r="U3" s="2" t="s">
        <v>542</v>
      </c>
    </row>
    <row r="4" spans="1:21" ht="17.25" customHeight="1" x14ac:dyDescent="0.35">
      <c r="R4" s="2" t="s">
        <v>543</v>
      </c>
      <c r="S4" s="5" t="s">
        <v>544</v>
      </c>
      <c r="T4" s="11">
        <v>8.5</v>
      </c>
      <c r="U4" s="11">
        <v>0.8</v>
      </c>
    </row>
    <row r="5" spans="1:21" ht="17.25" customHeight="1" x14ac:dyDescent="0.35">
      <c r="S5" s="5" t="s">
        <v>545</v>
      </c>
      <c r="T5" s="11">
        <v>2.5</v>
      </c>
      <c r="U5" s="11">
        <v>0.8</v>
      </c>
    </row>
    <row r="6" spans="1:21" ht="17.25" customHeight="1" x14ac:dyDescent="0.35">
      <c r="R6" s="2" t="s">
        <v>546</v>
      </c>
      <c r="S6" s="5" t="s">
        <v>544</v>
      </c>
      <c r="T6" s="11">
        <v>2.9</v>
      </c>
      <c r="U6" s="11">
        <v>0.9</v>
      </c>
    </row>
    <row r="7" spans="1:21" ht="17.25" customHeight="1" x14ac:dyDescent="0.35">
      <c r="S7" s="5" t="s">
        <v>545</v>
      </c>
      <c r="T7" s="11">
        <v>5.9</v>
      </c>
      <c r="U7" s="11">
        <v>0.9</v>
      </c>
    </row>
    <row r="8" spans="1:21" ht="17.25" customHeight="1" x14ac:dyDescent="0.35"/>
    <row r="9" spans="1:21" ht="17.25" customHeight="1" x14ac:dyDescent="0.35"/>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540</v>
      </c>
    </row>
    <row r="37" spans="1:14" ht="17.25" customHeight="1" x14ac:dyDescent="0.35">
      <c r="A37" s="61" t="s">
        <v>547</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163145C7-4827-4123-BB50-C894C1243C1F}"/>
  </hyperlink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5EFB-D30A-40B2-B6A0-30B0D30E19BF}">
  <dimension ref="A1:U48"/>
  <sheetViews>
    <sheetView zoomScale="70" zoomScaleNormal="70" workbookViewId="0">
      <selection activeCell="R4" sqref="R4:R7"/>
    </sheetView>
  </sheetViews>
  <sheetFormatPr defaultColWidth="8.58203125" defaultRowHeight="17.5" x14ac:dyDescent="0.35"/>
  <cols>
    <col min="1" max="17" width="8.58203125" style="2"/>
    <col min="18" max="18" width="13.08203125" style="2" customWidth="1"/>
    <col min="19" max="19" width="8.58203125" style="2"/>
    <col min="20" max="20" width="14.5" style="2" customWidth="1"/>
    <col min="21" max="21" width="10.83203125" style="2" customWidth="1"/>
    <col min="22" max="16384" width="8.58203125" style="2"/>
  </cols>
  <sheetData>
    <row r="1" spans="1:21" s="1" customFormat="1" ht="25" x14ac:dyDescent="0.5">
      <c r="A1" s="1" t="s">
        <v>291</v>
      </c>
    </row>
    <row r="2" spans="1:21" ht="17.25" customHeight="1" x14ac:dyDescent="0.35"/>
    <row r="3" spans="1:21" ht="17.149999999999999" customHeight="1" x14ac:dyDescent="0.35">
      <c r="T3" s="2" t="s">
        <v>535</v>
      </c>
      <c r="U3" s="2" t="s">
        <v>542</v>
      </c>
    </row>
    <row r="4" spans="1:21" ht="17.25" customHeight="1" x14ac:dyDescent="0.35">
      <c r="R4" s="2" t="s">
        <v>486</v>
      </c>
      <c r="S4" s="5" t="s">
        <v>544</v>
      </c>
      <c r="T4" s="11">
        <v>3.7</v>
      </c>
      <c r="U4" s="11">
        <v>1.6</v>
      </c>
    </row>
    <row r="5" spans="1:21" ht="17.25" customHeight="1" x14ac:dyDescent="0.35">
      <c r="S5" s="5" t="s">
        <v>545</v>
      </c>
      <c r="T5" s="11">
        <v>6.8</v>
      </c>
      <c r="U5" s="11">
        <v>1.6</v>
      </c>
    </row>
    <row r="6" spans="1:21" ht="17.25" customHeight="1" x14ac:dyDescent="0.35">
      <c r="R6" s="2" t="s">
        <v>548</v>
      </c>
      <c r="S6" s="5" t="s">
        <v>544</v>
      </c>
      <c r="T6" s="11">
        <v>4.5</v>
      </c>
      <c r="U6" s="11">
        <v>0.3</v>
      </c>
    </row>
    <row r="7" spans="1:21" ht="17.25" customHeight="1" x14ac:dyDescent="0.35">
      <c r="R7" s="59"/>
      <c r="S7" s="5" t="s">
        <v>545</v>
      </c>
      <c r="T7" s="11">
        <v>2.5</v>
      </c>
      <c r="U7" s="11">
        <v>0.3</v>
      </c>
    </row>
    <row r="8" spans="1:21" ht="17.25" customHeight="1" x14ac:dyDescent="0.35"/>
    <row r="9" spans="1:21" ht="17.25" customHeight="1" x14ac:dyDescent="0.35"/>
    <row r="10" spans="1:21" ht="17.25" customHeight="1" x14ac:dyDescent="0.35"/>
    <row r="11" spans="1:21" ht="17.25" customHeight="1" x14ac:dyDescent="0.35"/>
    <row r="12" spans="1:21" ht="17.25" customHeight="1" x14ac:dyDescent="0.35"/>
    <row r="13" spans="1:21" ht="17.25" customHeight="1" x14ac:dyDescent="0.35"/>
    <row r="14" spans="1:21" ht="17.25" customHeight="1" x14ac:dyDescent="0.35"/>
    <row r="15" spans="1:21" ht="17.25" customHeight="1" x14ac:dyDescent="0.35"/>
    <row r="16" spans="1:21"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540</v>
      </c>
    </row>
    <row r="37" spans="1:14" ht="17.25" customHeight="1" x14ac:dyDescent="0.35">
      <c r="A37" s="61" t="s">
        <v>549</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A03E778F-2997-4ACF-8EBD-628BF10ECBF5}"/>
  </hyperlink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B9E5-56FD-46BD-A61F-8BEC8368608C}">
  <dimension ref="A1:T48"/>
  <sheetViews>
    <sheetView zoomScale="70" zoomScaleNormal="70" workbookViewId="0">
      <selection activeCell="S4" sqref="S4"/>
    </sheetView>
  </sheetViews>
  <sheetFormatPr defaultColWidth="8.58203125" defaultRowHeight="17.5" x14ac:dyDescent="0.35"/>
  <cols>
    <col min="1" max="16384" width="8.58203125" style="2"/>
  </cols>
  <sheetData>
    <row r="1" spans="1:20" s="1" customFormat="1" ht="25" x14ac:dyDescent="0.5">
      <c r="A1" s="1" t="s">
        <v>293</v>
      </c>
    </row>
    <row r="2" spans="1:20" ht="17.25" customHeight="1" x14ac:dyDescent="0.35"/>
    <row r="3" spans="1:20" ht="17.149999999999999" customHeight="1" x14ac:dyDescent="0.35">
      <c r="R3" s="2" t="s">
        <v>550</v>
      </c>
      <c r="S3" s="2" t="s">
        <v>136</v>
      </c>
      <c r="T3" s="2" t="s">
        <v>71</v>
      </c>
    </row>
    <row r="4" spans="1:20" ht="17.25" customHeight="1" x14ac:dyDescent="0.35">
      <c r="R4" s="23">
        <v>44927</v>
      </c>
      <c r="S4" s="2">
        <v>123</v>
      </c>
      <c r="T4" s="2">
        <v>87</v>
      </c>
    </row>
    <row r="5" spans="1:20" ht="17.25" customHeight="1" x14ac:dyDescent="0.35">
      <c r="R5" s="23">
        <v>44958</v>
      </c>
      <c r="S5" s="2">
        <v>244</v>
      </c>
      <c r="T5" s="2">
        <v>133</v>
      </c>
    </row>
    <row r="6" spans="1:20" ht="17.25" customHeight="1" x14ac:dyDescent="0.35">
      <c r="R6" s="23">
        <v>44986</v>
      </c>
      <c r="S6" s="2">
        <v>400</v>
      </c>
      <c r="T6" s="2">
        <v>186</v>
      </c>
    </row>
    <row r="7" spans="1:20" ht="17.25" customHeight="1" x14ac:dyDescent="0.35">
      <c r="R7" s="23">
        <v>45017</v>
      </c>
      <c r="S7" s="2">
        <v>539</v>
      </c>
      <c r="T7" s="2">
        <v>255</v>
      </c>
    </row>
    <row r="8" spans="1:20" ht="17.25" customHeight="1" x14ac:dyDescent="0.35">
      <c r="R8" s="23">
        <v>45047</v>
      </c>
      <c r="S8" s="2">
        <v>639</v>
      </c>
      <c r="T8" s="2">
        <v>297</v>
      </c>
    </row>
    <row r="9" spans="1:20" ht="17.25" customHeight="1" x14ac:dyDescent="0.35">
      <c r="R9" s="23">
        <v>45078</v>
      </c>
      <c r="S9" s="2">
        <v>785</v>
      </c>
      <c r="T9" s="2">
        <v>338</v>
      </c>
    </row>
    <row r="10" spans="1:20" ht="17.25" customHeight="1" x14ac:dyDescent="0.35">
      <c r="R10" s="23">
        <v>45108</v>
      </c>
      <c r="S10" s="2">
        <v>904</v>
      </c>
      <c r="T10" s="2">
        <v>387</v>
      </c>
    </row>
    <row r="11" spans="1:20" ht="17.25" customHeight="1" x14ac:dyDescent="0.35">
      <c r="R11" s="23">
        <v>45139</v>
      </c>
      <c r="S11" s="2">
        <v>1007</v>
      </c>
      <c r="T11" s="2">
        <v>430</v>
      </c>
    </row>
    <row r="12" spans="1:20" ht="17.25" customHeight="1" x14ac:dyDescent="0.35">
      <c r="R12" s="23">
        <v>45170</v>
      </c>
      <c r="S12" s="2">
        <v>1099</v>
      </c>
      <c r="T12" s="2">
        <v>469</v>
      </c>
    </row>
    <row r="13" spans="1:20" ht="17.25" customHeight="1" x14ac:dyDescent="0.35">
      <c r="R13" s="23">
        <v>45200</v>
      </c>
      <c r="S13" s="2">
        <v>1179</v>
      </c>
      <c r="T13" s="2">
        <v>505</v>
      </c>
    </row>
    <row r="14" spans="1:20" ht="17.25" customHeight="1" x14ac:dyDescent="0.35">
      <c r="R14" s="23">
        <v>45231</v>
      </c>
      <c r="S14" s="2">
        <v>1234</v>
      </c>
      <c r="T14" s="2">
        <v>529</v>
      </c>
    </row>
    <row r="15" spans="1:20" ht="17.25" customHeight="1" x14ac:dyDescent="0.35">
      <c r="R15" s="23">
        <v>45261</v>
      </c>
      <c r="S15" s="2">
        <v>1234</v>
      </c>
      <c r="T15" s="2">
        <v>532</v>
      </c>
    </row>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551</v>
      </c>
    </row>
    <row r="37" spans="1:14" ht="17.25" customHeight="1" x14ac:dyDescent="0.35">
      <c r="A37" s="61" t="s">
        <v>552</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5F552B7D-1F0E-4395-B3DA-E11F8754414E}"/>
  </hyperlink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3DA8-4A94-4401-AA13-BA54DC1847DF}">
  <dimension ref="A1:S48"/>
  <sheetViews>
    <sheetView zoomScale="70" zoomScaleNormal="70" workbookViewId="0">
      <selection activeCell="A37" sqref="A37:N40"/>
    </sheetView>
  </sheetViews>
  <sheetFormatPr defaultColWidth="8.58203125" defaultRowHeight="17.5" x14ac:dyDescent="0.35"/>
  <cols>
    <col min="1" max="18" width="8.58203125" style="2"/>
    <col min="19" max="19" width="24.08203125" style="2" customWidth="1"/>
    <col min="20" max="16384" width="8.58203125" style="2"/>
  </cols>
  <sheetData>
    <row r="1" spans="1:19" s="1" customFormat="1" ht="25" x14ac:dyDescent="0.5">
      <c r="A1" s="1" t="s">
        <v>295</v>
      </c>
    </row>
    <row r="2" spans="1:19" ht="17.25" customHeight="1" x14ac:dyDescent="0.35"/>
    <row r="3" spans="1:19" ht="17.149999999999999" customHeight="1" x14ac:dyDescent="0.35">
      <c r="R3" s="2" t="s">
        <v>440</v>
      </c>
      <c r="S3" s="2" t="s">
        <v>553</v>
      </c>
    </row>
    <row r="4" spans="1:19" ht="17.25" customHeight="1" x14ac:dyDescent="0.35">
      <c r="R4" s="2" t="s">
        <v>15</v>
      </c>
      <c r="S4" s="2">
        <v>13</v>
      </c>
    </row>
    <row r="5" spans="1:19" ht="17.25" customHeight="1" x14ac:dyDescent="0.35">
      <c r="R5" s="2" t="s">
        <v>14</v>
      </c>
      <c r="S5" s="2">
        <v>17</v>
      </c>
    </row>
    <row r="6" spans="1:19" ht="17.25" customHeight="1" x14ac:dyDescent="0.35">
      <c r="R6" s="2" t="s">
        <v>11</v>
      </c>
      <c r="S6" s="2">
        <v>99</v>
      </c>
    </row>
    <row r="7" spans="1:19" ht="17.25" customHeight="1" x14ac:dyDescent="0.35">
      <c r="R7" s="2" t="s">
        <v>3</v>
      </c>
      <c r="S7" s="2">
        <v>118</v>
      </c>
    </row>
    <row r="8" spans="1:19" ht="17.25" customHeight="1" x14ac:dyDescent="0.35">
      <c r="R8" s="2" t="s">
        <v>13</v>
      </c>
      <c r="S8" s="2">
        <v>135</v>
      </c>
    </row>
    <row r="9" spans="1:19" ht="17.25" customHeight="1" x14ac:dyDescent="0.35">
      <c r="R9" s="2" t="s">
        <v>12</v>
      </c>
      <c r="S9" s="2">
        <v>150</v>
      </c>
    </row>
    <row r="10" spans="1:19" ht="17.25" customHeight="1" x14ac:dyDescent="0.35"/>
    <row r="11" spans="1:19" ht="17.25" customHeight="1" x14ac:dyDescent="0.35"/>
    <row r="12" spans="1:19" ht="17.25" customHeight="1" x14ac:dyDescent="0.35"/>
    <row r="13" spans="1:19" ht="17.25" customHeight="1" x14ac:dyDescent="0.35"/>
    <row r="14" spans="1:19" ht="17.25" customHeight="1" x14ac:dyDescent="0.35"/>
    <row r="15" spans="1:19" ht="17.25" customHeight="1" x14ac:dyDescent="0.35"/>
    <row r="16" spans="1:19"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551</v>
      </c>
    </row>
    <row r="37" spans="1:14" ht="17.25" customHeight="1" x14ac:dyDescent="0.35">
      <c r="A37" s="61" t="s">
        <v>554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68F79F5D-1236-44F0-B46C-F511DB226DA3}"/>
  </hyperlink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76D2-0779-4095-AB9A-D83400992E7A}">
  <dimension ref="A1:Z48"/>
  <sheetViews>
    <sheetView zoomScale="70" zoomScaleNormal="70" workbookViewId="0">
      <selection activeCell="A41" sqref="A41"/>
    </sheetView>
  </sheetViews>
  <sheetFormatPr defaultColWidth="8.58203125" defaultRowHeight="17.5" x14ac:dyDescent="0.35"/>
  <cols>
    <col min="1" max="17" width="8.58203125" style="2"/>
    <col min="18" max="26" width="18.58203125" style="2" customWidth="1"/>
    <col min="27" max="16384" width="8.58203125" style="2"/>
  </cols>
  <sheetData>
    <row r="1" spans="1:26" s="1" customFormat="1" ht="25" x14ac:dyDescent="0.5">
      <c r="A1" s="1" t="s">
        <v>296</v>
      </c>
    </row>
    <row r="2" spans="1:26" ht="17.25" customHeight="1" x14ac:dyDescent="0.35"/>
    <row r="3" spans="1:26" ht="17.149999999999999" customHeight="1" x14ac:dyDescent="0.35">
      <c r="R3" s="2" t="s">
        <v>440</v>
      </c>
      <c r="S3" s="2" t="s">
        <v>555</v>
      </c>
      <c r="T3" s="2" t="s">
        <v>556</v>
      </c>
      <c r="U3" s="2" t="s">
        <v>557</v>
      </c>
      <c r="V3" s="2" t="s">
        <v>558</v>
      </c>
      <c r="W3" s="2" t="s">
        <v>559</v>
      </c>
      <c r="X3" s="2" t="s">
        <v>560</v>
      </c>
      <c r="Y3" s="2" t="s">
        <v>561</v>
      </c>
      <c r="Z3" s="2" t="s">
        <v>562</v>
      </c>
    </row>
    <row r="4" spans="1:26" ht="17.25" customHeight="1" x14ac:dyDescent="0.35">
      <c r="R4" s="2" t="s">
        <v>563</v>
      </c>
      <c r="S4" s="11">
        <v>10.1</v>
      </c>
      <c r="T4" s="11">
        <v>21</v>
      </c>
      <c r="U4" s="11">
        <v>52.4</v>
      </c>
      <c r="V4" s="11">
        <v>5.3</v>
      </c>
      <c r="W4" s="11">
        <v>4.0999999999999996</v>
      </c>
      <c r="X4" s="11">
        <v>1</v>
      </c>
      <c r="Y4" s="11">
        <v>4.5999999999999996</v>
      </c>
      <c r="Z4" s="11">
        <v>1.5</v>
      </c>
    </row>
    <row r="5" spans="1:26" ht="17.25" customHeight="1" x14ac:dyDescent="0.35">
      <c r="R5" s="2" t="s">
        <v>3</v>
      </c>
      <c r="S5" s="11">
        <v>8.5</v>
      </c>
      <c r="T5" s="11">
        <v>41.5</v>
      </c>
      <c r="U5" s="11">
        <v>24.6</v>
      </c>
      <c r="V5" s="11">
        <v>5.0999999999999996</v>
      </c>
      <c r="W5" s="11">
        <v>0</v>
      </c>
      <c r="X5" s="11">
        <v>0.9</v>
      </c>
      <c r="Y5" s="11">
        <v>19.5</v>
      </c>
      <c r="Z5" s="11">
        <v>0</v>
      </c>
    </row>
    <row r="6" spans="1:26" ht="17.25" customHeight="1" x14ac:dyDescent="0.35"/>
    <row r="7" spans="1:26" ht="17.25" customHeight="1" x14ac:dyDescent="0.35"/>
    <row r="8" spans="1:26" ht="17.25" customHeight="1" x14ac:dyDescent="0.35"/>
    <row r="9" spans="1:26" ht="17.25" customHeight="1" x14ac:dyDescent="0.35"/>
    <row r="10" spans="1:26" ht="17.25" customHeight="1" x14ac:dyDescent="0.35"/>
    <row r="11" spans="1:26" ht="17.25" customHeight="1" x14ac:dyDescent="0.35"/>
    <row r="12" spans="1:26" ht="17.25" customHeight="1" x14ac:dyDescent="0.35"/>
    <row r="13" spans="1:26" ht="17.25" customHeight="1" x14ac:dyDescent="0.35"/>
    <row r="14" spans="1:26" ht="17.25" customHeight="1" x14ac:dyDescent="0.35"/>
    <row r="15" spans="1:26" ht="17.25" customHeight="1" x14ac:dyDescent="0.35"/>
    <row r="16" spans="1:26"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564</v>
      </c>
    </row>
    <row r="37" spans="1:14" ht="17.25" customHeight="1" x14ac:dyDescent="0.35">
      <c r="A37" s="61" t="s">
        <v>643</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28"/>
      <c r="B41" s="28"/>
      <c r="C41" s="28"/>
      <c r="D41" s="28"/>
      <c r="E41" s="28"/>
      <c r="F41" s="28"/>
      <c r="G41" s="28"/>
      <c r="H41" s="28"/>
      <c r="I41" s="28"/>
      <c r="J41" s="28"/>
      <c r="K41" s="28"/>
      <c r="L41" s="28"/>
      <c r="M41" s="28"/>
      <c r="N41" s="28"/>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0"/>
  </mergeCells>
  <hyperlinks>
    <hyperlink ref="A47" location="'Read Me'!A1" display="Return to Read Me" xr:uid="{89EF5D8E-F306-42E6-8D4A-63E7A596A7E0}"/>
  </hyperlink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0E9D-EECD-498A-B109-09024E3BC89F}">
  <dimension ref="A1:W48"/>
  <sheetViews>
    <sheetView zoomScale="70" zoomScaleNormal="70" workbookViewId="0">
      <selection activeCell="A37" sqref="A37:N41"/>
    </sheetView>
  </sheetViews>
  <sheetFormatPr defaultColWidth="8.58203125" defaultRowHeight="17.5" x14ac:dyDescent="0.35"/>
  <cols>
    <col min="1" max="17" width="8.58203125" style="2"/>
    <col min="18" max="18" width="15.58203125" style="2" customWidth="1"/>
    <col min="19" max="19" width="18.33203125" style="2" customWidth="1"/>
    <col min="20" max="20" width="14.83203125" style="2" customWidth="1"/>
    <col min="21" max="21" width="11.25" style="2" customWidth="1"/>
    <col min="22" max="22" width="12" style="2" customWidth="1"/>
    <col min="23" max="23" width="14.5" style="2" customWidth="1"/>
    <col min="24" max="16384" width="8.58203125" style="2"/>
  </cols>
  <sheetData>
    <row r="1" spans="1:23" s="1" customFormat="1" ht="25" x14ac:dyDescent="0.5">
      <c r="A1" s="1" t="s">
        <v>297</v>
      </c>
    </row>
    <row r="2" spans="1:23" ht="17.25" customHeight="1" x14ac:dyDescent="0.35"/>
    <row r="3" spans="1:23" ht="73.150000000000006" customHeight="1" x14ac:dyDescent="0.35">
      <c r="S3" s="8" t="s">
        <v>565</v>
      </c>
      <c r="T3" s="8" t="s">
        <v>566</v>
      </c>
      <c r="U3" s="8" t="s">
        <v>567</v>
      </c>
      <c r="V3" s="8" t="s">
        <v>568</v>
      </c>
      <c r="W3" s="8" t="s">
        <v>569</v>
      </c>
    </row>
    <row r="4" spans="1:23" ht="17.25" customHeight="1" x14ac:dyDescent="0.35">
      <c r="R4" s="2" t="s">
        <v>112</v>
      </c>
      <c r="S4" s="11">
        <v>58.8</v>
      </c>
      <c r="T4" s="11">
        <v>15.5</v>
      </c>
      <c r="U4" s="11">
        <v>12.2</v>
      </c>
      <c r="V4" s="11">
        <v>7.9</v>
      </c>
      <c r="W4" s="11">
        <v>5.6</v>
      </c>
    </row>
    <row r="5" spans="1:23" ht="17.25" customHeight="1" x14ac:dyDescent="0.35">
      <c r="R5" s="2" t="s">
        <v>3</v>
      </c>
      <c r="S5" s="11">
        <v>69</v>
      </c>
      <c r="T5" s="11">
        <v>24.1</v>
      </c>
      <c r="U5" s="11">
        <v>6.9</v>
      </c>
      <c r="V5" s="11">
        <v>0</v>
      </c>
      <c r="W5" s="11">
        <v>0</v>
      </c>
    </row>
    <row r="6" spans="1:23" ht="17.25" customHeight="1" x14ac:dyDescent="0.35"/>
    <row r="7" spans="1:23" ht="17.25" customHeight="1" x14ac:dyDescent="0.35"/>
    <row r="8" spans="1:23" ht="17.25" customHeight="1" x14ac:dyDescent="0.35"/>
    <row r="9" spans="1:23" ht="17.25" customHeight="1" x14ac:dyDescent="0.35"/>
    <row r="10" spans="1:23" ht="17.25" customHeight="1" x14ac:dyDescent="0.35"/>
    <row r="11" spans="1:23" ht="17.25" customHeight="1" x14ac:dyDescent="0.35"/>
    <row r="12" spans="1:23" ht="17.25" customHeight="1" x14ac:dyDescent="0.35"/>
    <row r="13" spans="1:23" ht="17.25" customHeight="1" x14ac:dyDescent="0.35"/>
    <row r="14" spans="1:23" ht="17.25" customHeight="1" x14ac:dyDescent="0.35"/>
    <row r="15" spans="1:23" ht="17.25" customHeight="1" x14ac:dyDescent="0.35"/>
    <row r="16" spans="1:23"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551</v>
      </c>
    </row>
    <row r="37" spans="1:14" ht="17.25" customHeight="1" x14ac:dyDescent="0.35">
      <c r="A37" s="61" t="s">
        <v>570</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44DF8E58-9174-4457-87A6-25B074C8493C}"/>
  </hyperlink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CF7F-A83D-474C-8C79-19F74B401DAC}">
  <dimension ref="A1:X48"/>
  <sheetViews>
    <sheetView zoomScale="70" zoomScaleNormal="70" workbookViewId="0">
      <selection activeCell="P37" sqref="P37"/>
    </sheetView>
  </sheetViews>
  <sheetFormatPr defaultColWidth="8.58203125" defaultRowHeight="17.5" x14ac:dyDescent="0.35"/>
  <cols>
    <col min="1" max="17" width="8.58203125" style="2"/>
    <col min="18" max="18" width="21.75" style="2" customWidth="1"/>
    <col min="19" max="16384" width="8.58203125" style="2"/>
  </cols>
  <sheetData>
    <row r="1" spans="1:24" s="1" customFormat="1" ht="25" x14ac:dyDescent="0.5">
      <c r="A1" s="1" t="s">
        <v>299</v>
      </c>
    </row>
    <row r="2" spans="1:24" ht="17.25" customHeight="1" x14ac:dyDescent="0.35"/>
    <row r="3" spans="1:24" ht="17.25" customHeight="1" x14ac:dyDescent="0.35">
      <c r="S3" s="2" t="s">
        <v>11</v>
      </c>
      <c r="T3" s="2" t="s">
        <v>13</v>
      </c>
      <c r="U3" s="2" t="s">
        <v>12</v>
      </c>
      <c r="V3" s="2" t="s">
        <v>14</v>
      </c>
      <c r="W3" s="2" t="s">
        <v>3</v>
      </c>
      <c r="X3" s="2" t="s">
        <v>15</v>
      </c>
    </row>
    <row r="4" spans="1:24" ht="17.25" customHeight="1" x14ac:dyDescent="0.35">
      <c r="R4" s="5" t="s">
        <v>571</v>
      </c>
      <c r="S4" s="4">
        <v>-0.02</v>
      </c>
      <c r="T4" s="4">
        <v>-0.22</v>
      </c>
      <c r="U4" s="4">
        <v>-0.23</v>
      </c>
      <c r="V4" s="4">
        <v>-0.46</v>
      </c>
      <c r="W4" s="4">
        <v>-0.45</v>
      </c>
      <c r="X4" s="4">
        <v>-0.85</v>
      </c>
    </row>
    <row r="5" spans="1:24" ht="17.25" customHeight="1" x14ac:dyDescent="0.35">
      <c r="R5" s="2" t="s">
        <v>444</v>
      </c>
      <c r="S5" s="4">
        <v>0.3</v>
      </c>
      <c r="T5" s="4">
        <v>0.01</v>
      </c>
      <c r="U5" s="4">
        <v>0.19</v>
      </c>
      <c r="V5" s="4">
        <v>0.13</v>
      </c>
      <c r="W5" s="4">
        <v>0.08</v>
      </c>
      <c r="X5" s="4">
        <v>-0.57999999999999996</v>
      </c>
    </row>
    <row r="6" spans="1:24" ht="17.25" customHeight="1" x14ac:dyDescent="0.35">
      <c r="R6" s="2" t="s">
        <v>445</v>
      </c>
      <c r="S6" s="4">
        <v>-0.5</v>
      </c>
      <c r="T6" s="4">
        <v>-0.49</v>
      </c>
      <c r="U6" s="4">
        <v>-0.57999999999999996</v>
      </c>
      <c r="V6" s="4">
        <v>-1.0900000000000001</v>
      </c>
      <c r="W6" s="4">
        <v>-0.86</v>
      </c>
      <c r="X6" s="4">
        <v>-0.7</v>
      </c>
    </row>
    <row r="7" spans="1:24" ht="17.25" customHeight="1" x14ac:dyDescent="0.35">
      <c r="R7" s="2" t="s">
        <v>572</v>
      </c>
      <c r="S7" s="4">
        <v>1.1599999999999999</v>
      </c>
      <c r="T7" s="4">
        <v>1.1599999999999999</v>
      </c>
      <c r="U7" s="4">
        <v>1.1599999999999999</v>
      </c>
      <c r="V7" s="4">
        <v>1.1599999999999999</v>
      </c>
      <c r="W7" s="4">
        <v>1.1599999999999999</v>
      </c>
      <c r="X7" s="4">
        <v>1.1599999999999999</v>
      </c>
    </row>
    <row r="8" spans="1:24" ht="17.25" customHeight="1" x14ac:dyDescent="0.35"/>
    <row r="9" spans="1:24" ht="17.25" customHeight="1" x14ac:dyDescent="0.35"/>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446</v>
      </c>
    </row>
    <row r="37" spans="1:14" ht="17.25" customHeight="1" x14ac:dyDescent="0.35">
      <c r="A37" s="61" t="s">
        <v>573</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61"/>
      <c r="B43" s="61"/>
      <c r="C43" s="61"/>
      <c r="D43" s="61"/>
      <c r="E43" s="61"/>
      <c r="F43" s="61"/>
      <c r="G43" s="61"/>
      <c r="H43" s="61"/>
      <c r="I43" s="61"/>
      <c r="J43" s="61"/>
      <c r="K43" s="61"/>
      <c r="L43" s="61"/>
      <c r="M43" s="61"/>
      <c r="N43" s="61"/>
    </row>
    <row r="44" spans="1:14" ht="17.25" customHeight="1" x14ac:dyDescent="0.35">
      <c r="A44" s="61"/>
      <c r="B44" s="61"/>
      <c r="C44" s="61"/>
      <c r="D44" s="61"/>
      <c r="E44" s="61"/>
      <c r="F44" s="61"/>
      <c r="G44" s="61"/>
      <c r="H44" s="61"/>
      <c r="I44" s="61"/>
      <c r="J44" s="61"/>
      <c r="K44" s="61"/>
      <c r="L44" s="61"/>
      <c r="M44" s="61"/>
      <c r="N44" s="61"/>
    </row>
    <row r="45" spans="1:14" ht="17.25" customHeight="1" x14ac:dyDescent="0.35">
      <c r="A45" s="61"/>
      <c r="B45" s="61"/>
      <c r="C45" s="61"/>
      <c r="D45" s="61"/>
      <c r="E45" s="61"/>
      <c r="F45" s="61"/>
      <c r="G45" s="61"/>
      <c r="H45" s="61"/>
      <c r="I45" s="61"/>
      <c r="J45" s="61"/>
      <c r="K45" s="61"/>
      <c r="L45" s="61"/>
      <c r="M45" s="61"/>
      <c r="N45" s="61"/>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5"/>
  </mergeCells>
  <hyperlinks>
    <hyperlink ref="A47" location="'Read Me'!A1" display="Return to Read Me" xr:uid="{78643622-A6DF-4410-8234-B0B2F7A1CE69}"/>
  </hyperlink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7A65-A5AE-4917-B084-ABFB3A8039CD}">
  <dimension ref="A1:T48"/>
  <sheetViews>
    <sheetView zoomScale="70" zoomScaleNormal="70" workbookViewId="0">
      <selection activeCell="A37" sqref="A37:N41"/>
    </sheetView>
  </sheetViews>
  <sheetFormatPr defaultColWidth="8.58203125" defaultRowHeight="17.5" x14ac:dyDescent="0.35"/>
  <cols>
    <col min="1" max="18" width="8.58203125" style="2"/>
    <col min="19" max="19" width="37.75" style="2" customWidth="1"/>
    <col min="20" max="20" width="14.58203125" style="2" customWidth="1"/>
    <col min="21" max="16384" width="8.58203125" style="2"/>
  </cols>
  <sheetData>
    <row r="1" spans="1:20" s="1" customFormat="1" ht="25" x14ac:dyDescent="0.5">
      <c r="A1" s="1" t="s">
        <v>301</v>
      </c>
    </row>
    <row r="2" spans="1:20" ht="17.25" customHeight="1" x14ac:dyDescent="0.35"/>
    <row r="3" spans="1:20" ht="17.25" customHeight="1" x14ac:dyDescent="0.35">
      <c r="R3" s="2" t="s">
        <v>440</v>
      </c>
      <c r="S3" s="2" t="s">
        <v>574</v>
      </c>
      <c r="T3" s="2" t="s">
        <v>575</v>
      </c>
    </row>
    <row r="4" spans="1:20" ht="17.25" customHeight="1" x14ac:dyDescent="0.35">
      <c r="R4" s="2" t="s">
        <v>15</v>
      </c>
      <c r="S4" s="11">
        <v>66.5</v>
      </c>
      <c r="T4" s="11">
        <v>75.5</v>
      </c>
    </row>
    <row r="5" spans="1:20" ht="17.25" customHeight="1" x14ac:dyDescent="0.35">
      <c r="R5" s="2" t="s">
        <v>11</v>
      </c>
      <c r="S5" s="11">
        <v>73.5</v>
      </c>
      <c r="T5" s="11">
        <v>75.5</v>
      </c>
    </row>
    <row r="6" spans="1:20" ht="17.25" customHeight="1" x14ac:dyDescent="0.35">
      <c r="R6" s="2" t="s">
        <v>13</v>
      </c>
      <c r="S6" s="11">
        <v>77.900000000000006</v>
      </c>
      <c r="T6" s="11">
        <v>75.5</v>
      </c>
    </row>
    <row r="7" spans="1:20" ht="17.25" customHeight="1" x14ac:dyDescent="0.35">
      <c r="R7" s="2" t="s">
        <v>14</v>
      </c>
      <c r="S7" s="11">
        <v>81.8</v>
      </c>
      <c r="T7" s="11">
        <v>75.5</v>
      </c>
    </row>
    <row r="8" spans="1:20" ht="17.25" customHeight="1" x14ac:dyDescent="0.35">
      <c r="R8" s="2" t="s">
        <v>12</v>
      </c>
      <c r="S8" s="11">
        <v>83.3</v>
      </c>
      <c r="T8" s="11">
        <v>75.5</v>
      </c>
    </row>
    <row r="9" spans="1:20" ht="17.25" customHeight="1" x14ac:dyDescent="0.35">
      <c r="R9" s="2" t="s">
        <v>3</v>
      </c>
      <c r="S9" s="11">
        <v>89.3</v>
      </c>
      <c r="T9" s="11">
        <v>75.5</v>
      </c>
    </row>
    <row r="10" spans="1:20" ht="17.25" customHeight="1" x14ac:dyDescent="0.35"/>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45</v>
      </c>
    </row>
    <row r="37" spans="1:14" ht="17.25" customHeight="1" x14ac:dyDescent="0.35">
      <c r="A37" s="61" t="s">
        <v>576</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A86CA1D1-242F-4CC2-A719-C2315C116F36}"/>
  </hyperlink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61994-6D04-48DA-A8B2-AABAD7EFF97A}">
  <dimension ref="A1:Z48"/>
  <sheetViews>
    <sheetView zoomScale="70" zoomScaleNormal="70" workbookViewId="0">
      <selection activeCell="Q35" sqref="Q35"/>
    </sheetView>
  </sheetViews>
  <sheetFormatPr defaultColWidth="8.58203125" defaultRowHeight="17.5" x14ac:dyDescent="0.35"/>
  <cols>
    <col min="1" max="17" width="8.58203125" style="2"/>
    <col min="18" max="18" width="34.33203125" style="2" customWidth="1"/>
    <col min="19" max="16384" width="8.58203125" style="2"/>
  </cols>
  <sheetData>
    <row r="1" spans="1:26" s="1" customFormat="1" ht="25" x14ac:dyDescent="0.5">
      <c r="A1" s="1" t="s">
        <v>304</v>
      </c>
    </row>
    <row r="2" spans="1:26" ht="17.25" customHeight="1" x14ac:dyDescent="0.35"/>
    <row r="3" spans="1:26" ht="17.25" customHeight="1" x14ac:dyDescent="0.35">
      <c r="R3" s="40"/>
      <c r="S3" s="40" t="s">
        <v>37</v>
      </c>
      <c r="T3" s="40" t="s">
        <v>38</v>
      </c>
      <c r="U3" s="40"/>
      <c r="V3" s="40" t="s">
        <v>35</v>
      </c>
      <c r="W3" s="40" t="s">
        <v>36</v>
      </c>
      <c r="X3" s="40" t="s">
        <v>33</v>
      </c>
      <c r="Y3" s="40" t="s">
        <v>32</v>
      </c>
      <c r="Z3" s="40" t="s">
        <v>34</v>
      </c>
    </row>
    <row r="4" spans="1:26" ht="17.25" customHeight="1" x14ac:dyDescent="0.35">
      <c r="R4" s="45" t="s">
        <v>577</v>
      </c>
      <c r="S4" s="42">
        <v>11.7</v>
      </c>
      <c r="T4" s="42">
        <v>9.8000000000000007</v>
      </c>
      <c r="U4" s="42"/>
      <c r="V4" s="42">
        <v>18.100000000000001</v>
      </c>
      <c r="W4" s="42">
        <v>14.1</v>
      </c>
      <c r="X4" s="42">
        <v>12.6</v>
      </c>
      <c r="Y4" s="42">
        <v>10.3</v>
      </c>
      <c r="Z4" s="42">
        <v>5.9</v>
      </c>
    </row>
    <row r="5" spans="1:26" ht="17.25" customHeight="1" x14ac:dyDescent="0.35">
      <c r="R5" s="46" t="s">
        <v>531</v>
      </c>
      <c r="S5" s="42">
        <v>4</v>
      </c>
      <c r="T5" s="42">
        <v>4</v>
      </c>
      <c r="U5" s="42">
        <v>4</v>
      </c>
      <c r="V5" s="42">
        <v>6</v>
      </c>
      <c r="W5" s="42">
        <v>6</v>
      </c>
      <c r="X5" s="42">
        <v>6</v>
      </c>
      <c r="Y5" s="42">
        <v>6</v>
      </c>
      <c r="Z5" s="42">
        <v>6</v>
      </c>
    </row>
    <row r="6" spans="1:26" ht="17.25" customHeight="1" x14ac:dyDescent="0.35">
      <c r="R6" s="46" t="s">
        <v>578</v>
      </c>
      <c r="S6" s="42">
        <v>11.3</v>
      </c>
      <c r="T6" s="42">
        <v>11.3</v>
      </c>
      <c r="U6" s="42"/>
      <c r="V6" s="42">
        <v>12</v>
      </c>
      <c r="W6" s="42">
        <v>12</v>
      </c>
      <c r="X6" s="42">
        <v>12</v>
      </c>
      <c r="Y6" s="42">
        <v>12</v>
      </c>
      <c r="Z6" s="42">
        <v>12</v>
      </c>
    </row>
    <row r="7" spans="1:26" ht="17.25" customHeight="1" x14ac:dyDescent="0.35">
      <c r="R7" s="46" t="s">
        <v>579</v>
      </c>
      <c r="S7" s="42"/>
      <c r="T7" s="42"/>
      <c r="U7" s="42"/>
      <c r="V7" s="42">
        <v>12</v>
      </c>
      <c r="W7" s="42">
        <v>12</v>
      </c>
      <c r="X7" s="42">
        <v>12</v>
      </c>
      <c r="Y7" s="42">
        <v>12</v>
      </c>
      <c r="Z7" s="42">
        <v>12</v>
      </c>
    </row>
    <row r="8" spans="1:26" ht="17.25" customHeight="1" x14ac:dyDescent="0.35"/>
    <row r="9" spans="1:26" ht="17.25" customHeight="1" x14ac:dyDescent="0.35"/>
    <row r="10" spans="1:26" ht="17.25" customHeight="1" x14ac:dyDescent="0.35"/>
    <row r="11" spans="1:26" ht="17.25" customHeight="1" x14ac:dyDescent="0.35"/>
    <row r="12" spans="1:26" ht="17.25" customHeight="1" x14ac:dyDescent="0.35"/>
    <row r="13" spans="1:26" ht="17.25" customHeight="1" x14ac:dyDescent="0.35"/>
    <row r="14" spans="1:26" ht="17.25" customHeight="1" x14ac:dyDescent="0.35"/>
    <row r="15" spans="1:26" ht="17.25" customHeight="1" x14ac:dyDescent="0.35"/>
    <row r="16" spans="1:26"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633</v>
      </c>
    </row>
    <row r="37" spans="1:14" ht="17.25" customHeight="1" x14ac:dyDescent="0.35">
      <c r="A37" s="61" t="s">
        <v>580</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28"/>
      <c r="B42" s="28"/>
      <c r="C42" s="28"/>
      <c r="D42" s="28"/>
      <c r="E42" s="28"/>
      <c r="F42" s="28"/>
      <c r="G42" s="28"/>
      <c r="H42" s="28"/>
      <c r="I42" s="28"/>
      <c r="J42" s="28"/>
      <c r="K42" s="28"/>
      <c r="L42" s="28"/>
      <c r="M42" s="28"/>
      <c r="N42" s="28"/>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1"/>
  </mergeCells>
  <hyperlinks>
    <hyperlink ref="A47" location="'Read Me'!A1" display="Return to Read Me" xr:uid="{125D627C-78A7-4DF8-9A9F-D637F9C2AC09}"/>
  </hyperlink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AFEA-AB76-47E6-886C-0858FA4A7FA7}">
  <dimension ref="A1:T48"/>
  <sheetViews>
    <sheetView zoomScale="70" zoomScaleNormal="70" workbookViewId="0">
      <selection activeCell="S36" sqref="S36"/>
    </sheetView>
  </sheetViews>
  <sheetFormatPr defaultColWidth="8.58203125" defaultRowHeight="17.5" x14ac:dyDescent="0.35"/>
  <cols>
    <col min="1" max="17" width="8.58203125" style="2"/>
    <col min="18" max="18" width="17" style="2" customWidth="1"/>
    <col min="19" max="19" width="16.25" style="2" customWidth="1"/>
    <col min="20" max="20" width="14.33203125" style="2" customWidth="1"/>
    <col min="21" max="16384" width="8.58203125" style="2"/>
  </cols>
  <sheetData>
    <row r="1" spans="1:20" s="1" customFormat="1" ht="25" x14ac:dyDescent="0.5">
      <c r="A1" s="1" t="s">
        <v>306</v>
      </c>
    </row>
    <row r="2" spans="1:20" ht="17.25" customHeight="1" x14ac:dyDescent="0.35"/>
    <row r="3" spans="1:20" ht="17.5" customHeight="1" x14ac:dyDescent="0.35">
      <c r="S3" s="60" t="s">
        <v>581</v>
      </c>
      <c r="T3" s="60" t="s">
        <v>582</v>
      </c>
    </row>
    <row r="4" spans="1:20" ht="16.899999999999999" customHeight="1" x14ac:dyDescent="0.35">
      <c r="R4" s="47" t="s">
        <v>583</v>
      </c>
      <c r="S4" s="11">
        <v>267.60000000000002</v>
      </c>
      <c r="T4" s="11">
        <v>245.6</v>
      </c>
    </row>
    <row r="5" spans="1:20" ht="16.899999999999999" customHeight="1" x14ac:dyDescent="0.35">
      <c r="R5" s="47" t="s">
        <v>584</v>
      </c>
      <c r="S5" s="11">
        <v>263.5</v>
      </c>
      <c r="T5" s="11">
        <v>231.5</v>
      </c>
    </row>
    <row r="6" spans="1:20" ht="17.25" customHeight="1" x14ac:dyDescent="0.35">
      <c r="R6" s="48" t="s">
        <v>585</v>
      </c>
      <c r="S6" s="11">
        <v>271.2</v>
      </c>
      <c r="T6" s="11">
        <v>143.5</v>
      </c>
    </row>
    <row r="7" spans="1:20" ht="17.25" customHeight="1" x14ac:dyDescent="0.35">
      <c r="R7" s="47" t="s">
        <v>586</v>
      </c>
      <c r="S7" s="11">
        <v>265</v>
      </c>
      <c r="T7" s="11">
        <v>141.6</v>
      </c>
    </row>
    <row r="8" spans="1:20" ht="17.25" customHeight="1" x14ac:dyDescent="0.35">
      <c r="R8" s="47" t="s">
        <v>587</v>
      </c>
      <c r="S8" s="11">
        <v>229.6</v>
      </c>
      <c r="T8" s="11">
        <v>130.4</v>
      </c>
    </row>
    <row r="9" spans="1:20" ht="17.25" customHeight="1" x14ac:dyDescent="0.35">
      <c r="R9" s="48" t="s">
        <v>458</v>
      </c>
      <c r="S9" s="11">
        <v>204.2</v>
      </c>
      <c r="T9" s="11">
        <v>103.8</v>
      </c>
    </row>
    <row r="10" spans="1:20" ht="17.25" customHeight="1" x14ac:dyDescent="0.35">
      <c r="R10" s="48" t="s">
        <v>588</v>
      </c>
      <c r="S10" s="11">
        <v>188.7</v>
      </c>
      <c r="T10" s="11">
        <v>43.3</v>
      </c>
    </row>
    <row r="11" spans="1:20" ht="17.25" customHeight="1" x14ac:dyDescent="0.35"/>
    <row r="12" spans="1:20" ht="17.25" customHeight="1" x14ac:dyDescent="0.35"/>
    <row r="13" spans="1:20" ht="17.25" customHeight="1" x14ac:dyDescent="0.35"/>
    <row r="14" spans="1:20" ht="17.25" customHeight="1" x14ac:dyDescent="0.35"/>
    <row r="15" spans="1:20" ht="17.25" customHeight="1" x14ac:dyDescent="0.35"/>
    <row r="16" spans="1:20"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589</v>
      </c>
    </row>
    <row r="37" spans="1:14" ht="17.25" customHeight="1" x14ac:dyDescent="0.35">
      <c r="A37" s="61" t="s">
        <v>590</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61"/>
      <c r="B43" s="61"/>
      <c r="C43" s="61"/>
      <c r="D43" s="61"/>
      <c r="E43" s="61"/>
      <c r="F43" s="61"/>
      <c r="G43" s="61"/>
      <c r="H43" s="61"/>
      <c r="I43" s="61"/>
      <c r="J43" s="61"/>
      <c r="K43" s="61"/>
      <c r="L43" s="61"/>
      <c r="M43" s="61"/>
      <c r="N43" s="61"/>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3"/>
  </mergeCells>
  <hyperlinks>
    <hyperlink ref="A47" location="'Read Me'!A1" display="Return to Read Me" xr:uid="{96E8F33E-DEE0-4816-8EDF-8BCBFE4276FA}"/>
  </hyperlink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4C99-6B59-4040-8B1C-76484041049D}">
  <dimension ref="A1:AC48"/>
  <sheetViews>
    <sheetView zoomScale="70" zoomScaleNormal="70" workbookViewId="0">
      <selection activeCell="T37" sqref="T37"/>
    </sheetView>
  </sheetViews>
  <sheetFormatPr defaultColWidth="8.58203125" defaultRowHeight="17.5" x14ac:dyDescent="0.35"/>
  <cols>
    <col min="1" max="17" width="8.58203125" style="2"/>
    <col min="18" max="18" width="33.08203125" style="2" customWidth="1"/>
    <col min="19" max="16384" width="8.58203125" style="2"/>
  </cols>
  <sheetData>
    <row r="1" spans="1:29" s="1" customFormat="1" ht="25" x14ac:dyDescent="0.5">
      <c r="A1" s="1" t="s">
        <v>308</v>
      </c>
    </row>
    <row r="2" spans="1:29" ht="17.25" customHeight="1" x14ac:dyDescent="0.35"/>
    <row r="3" spans="1:29" ht="17.25" customHeight="1" x14ac:dyDescent="0.35">
      <c r="R3" s="40"/>
      <c r="S3" s="40" t="str">
        <f>Z3</f>
        <v>MDV</v>
      </c>
      <c r="T3" s="40" t="str">
        <f>AC3</f>
        <v>BTN</v>
      </c>
      <c r="U3" s="40"/>
      <c r="V3" s="40" t="s">
        <v>34</v>
      </c>
      <c r="W3" s="40" t="s">
        <v>32</v>
      </c>
      <c r="X3" s="40" t="s">
        <v>33</v>
      </c>
      <c r="Y3" s="40" t="s">
        <v>35</v>
      </c>
      <c r="Z3" s="40" t="s">
        <v>37</v>
      </c>
      <c r="AA3" s="40" t="s">
        <v>36</v>
      </c>
      <c r="AB3" s="40" t="s">
        <v>132</v>
      </c>
      <c r="AC3" s="40" t="s">
        <v>38</v>
      </c>
    </row>
    <row r="4" spans="1:29" ht="16.899999999999999" customHeight="1" x14ac:dyDescent="0.35">
      <c r="R4" s="40" t="s">
        <v>486</v>
      </c>
      <c r="S4" s="49">
        <v>0.95</v>
      </c>
      <c r="T4" s="49">
        <v>0.25</v>
      </c>
      <c r="U4" s="49"/>
      <c r="V4" s="49">
        <v>1.17</v>
      </c>
      <c r="W4" s="49">
        <v>1.01</v>
      </c>
      <c r="X4" s="49">
        <v>1</v>
      </c>
      <c r="Y4" s="49">
        <v>0.95</v>
      </c>
      <c r="Z4" s="49">
        <v>0.95</v>
      </c>
      <c r="AA4" s="49">
        <v>0.85</v>
      </c>
      <c r="AB4" s="49">
        <v>0.52</v>
      </c>
      <c r="AC4" s="49">
        <v>0.25</v>
      </c>
    </row>
    <row r="5" spans="1:29" ht="16.899999999999999" customHeight="1" x14ac:dyDescent="0.35">
      <c r="R5" s="40" t="s">
        <v>531</v>
      </c>
      <c r="S5" s="49"/>
      <c r="T5" s="49"/>
      <c r="U5" s="49"/>
      <c r="V5" s="49">
        <v>0.53</v>
      </c>
      <c r="W5" s="49">
        <v>0.53</v>
      </c>
      <c r="X5" s="49">
        <v>0.53</v>
      </c>
      <c r="Y5" s="49">
        <v>0.53</v>
      </c>
      <c r="Z5" s="49">
        <v>0.53</v>
      </c>
      <c r="AA5" s="49">
        <v>0.53</v>
      </c>
      <c r="AB5" s="49">
        <v>0.53</v>
      </c>
      <c r="AC5" s="49">
        <v>0.53</v>
      </c>
    </row>
    <row r="6" spans="1:29" ht="17.25" customHeight="1" x14ac:dyDescent="0.35">
      <c r="R6" s="40" t="s">
        <v>579</v>
      </c>
      <c r="S6" s="49"/>
      <c r="T6" s="49"/>
      <c r="U6" s="49"/>
      <c r="V6" s="49">
        <v>0.94</v>
      </c>
      <c r="W6" s="49">
        <v>0.94</v>
      </c>
      <c r="X6" s="49">
        <v>0.94</v>
      </c>
      <c r="Y6" s="49">
        <v>0.94</v>
      </c>
      <c r="Z6" s="49">
        <v>0.94</v>
      </c>
      <c r="AA6" s="49">
        <v>0.94</v>
      </c>
      <c r="AB6" s="49">
        <v>0.94</v>
      </c>
      <c r="AC6" s="49">
        <v>0.94</v>
      </c>
    </row>
    <row r="7" spans="1:29" ht="17.25" customHeight="1" x14ac:dyDescent="0.35">
      <c r="R7" s="40" t="s">
        <v>591</v>
      </c>
      <c r="S7" s="49">
        <v>0.48</v>
      </c>
      <c r="T7" s="49">
        <v>0.48</v>
      </c>
      <c r="U7" s="49"/>
      <c r="V7" s="49"/>
      <c r="W7" s="49"/>
      <c r="X7" s="49"/>
      <c r="Y7" s="49"/>
      <c r="Z7" s="49"/>
      <c r="AA7" s="49"/>
      <c r="AB7" s="49"/>
      <c r="AC7" s="49"/>
    </row>
    <row r="8" spans="1:29" ht="17.25" customHeight="1" x14ac:dyDescent="0.35">
      <c r="R8" s="40" t="s">
        <v>592</v>
      </c>
      <c r="S8" s="49">
        <v>0.89</v>
      </c>
      <c r="T8" s="49">
        <v>0.89</v>
      </c>
      <c r="U8" s="49"/>
      <c r="V8" s="49"/>
      <c r="W8" s="49"/>
      <c r="X8" s="49"/>
      <c r="Y8" s="49"/>
      <c r="Z8" s="49"/>
      <c r="AA8" s="49"/>
      <c r="AB8" s="49"/>
      <c r="AC8" s="49"/>
    </row>
    <row r="9" spans="1:29" ht="17.25" customHeight="1" x14ac:dyDescent="0.35"/>
    <row r="10" spans="1:29" ht="17.25" customHeight="1" x14ac:dyDescent="0.35"/>
    <row r="11" spans="1:29" ht="17.25" customHeight="1" x14ac:dyDescent="0.35"/>
    <row r="12" spans="1:29" ht="17.25" customHeight="1" x14ac:dyDescent="0.35"/>
    <row r="13" spans="1:29" ht="17.25" customHeight="1" x14ac:dyDescent="0.35"/>
    <row r="14" spans="1:29" ht="17.25" customHeight="1" x14ac:dyDescent="0.35"/>
    <row r="15" spans="1:29" ht="17.25" customHeight="1" x14ac:dyDescent="0.35"/>
    <row r="16" spans="1:29"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593</v>
      </c>
    </row>
    <row r="37" spans="1:14" ht="17.25" customHeight="1" x14ac:dyDescent="0.35">
      <c r="A37" s="61" t="s">
        <v>594</v>
      </c>
      <c r="B37" s="61"/>
      <c r="C37" s="61"/>
      <c r="D37" s="61"/>
      <c r="E37" s="61"/>
      <c r="F37" s="61"/>
      <c r="G37" s="61"/>
      <c r="H37" s="61"/>
      <c r="I37" s="61"/>
      <c r="J37" s="61"/>
      <c r="K37" s="61"/>
      <c r="L37" s="61"/>
      <c r="M37" s="61"/>
      <c r="N37" s="61"/>
    </row>
    <row r="38" spans="1:14" ht="17.25" customHeight="1" x14ac:dyDescent="0.35">
      <c r="A38" s="61"/>
      <c r="B38" s="61"/>
      <c r="C38" s="61"/>
      <c r="D38" s="61"/>
      <c r="E38" s="61"/>
      <c r="F38" s="61"/>
      <c r="G38" s="61"/>
      <c r="H38" s="61"/>
      <c r="I38" s="61"/>
      <c r="J38" s="61"/>
      <c r="K38" s="61"/>
      <c r="L38" s="61"/>
      <c r="M38" s="61"/>
      <c r="N38" s="61"/>
    </row>
    <row r="39" spans="1:14" ht="17.25" customHeight="1" x14ac:dyDescent="0.35">
      <c r="A39" s="61"/>
      <c r="B39" s="61"/>
      <c r="C39" s="61"/>
      <c r="D39" s="61"/>
      <c r="E39" s="61"/>
      <c r="F39" s="61"/>
      <c r="G39" s="61"/>
      <c r="H39" s="61"/>
      <c r="I39" s="61"/>
      <c r="J39" s="61"/>
      <c r="K39" s="61"/>
      <c r="L39" s="61"/>
      <c r="M39" s="61"/>
      <c r="N39" s="61"/>
    </row>
    <row r="40" spans="1:14" ht="17.25" customHeight="1" x14ac:dyDescent="0.35">
      <c r="A40" s="61"/>
      <c r="B40" s="61"/>
      <c r="C40" s="61"/>
      <c r="D40" s="61"/>
      <c r="E40" s="61"/>
      <c r="F40" s="61"/>
      <c r="G40" s="61"/>
      <c r="H40" s="61"/>
      <c r="I40" s="61"/>
      <c r="J40" s="61"/>
      <c r="K40" s="61"/>
      <c r="L40" s="61"/>
      <c r="M40" s="61"/>
      <c r="N40" s="61"/>
    </row>
    <row r="41" spans="1:14" ht="17.25" customHeight="1" x14ac:dyDescent="0.35">
      <c r="A41" s="61"/>
      <c r="B41" s="61"/>
      <c r="C41" s="61"/>
      <c r="D41" s="61"/>
      <c r="E41" s="61"/>
      <c r="F41" s="61"/>
      <c r="G41" s="61"/>
      <c r="H41" s="61"/>
      <c r="I41" s="61"/>
      <c r="J41" s="61"/>
      <c r="K41" s="61"/>
      <c r="L41" s="61"/>
      <c r="M41" s="61"/>
      <c r="N41" s="61"/>
    </row>
    <row r="42" spans="1:14" ht="17.25" customHeight="1" x14ac:dyDescent="0.35">
      <c r="A42" s="61"/>
      <c r="B42" s="61"/>
      <c r="C42" s="61"/>
      <c r="D42" s="61"/>
      <c r="E42" s="61"/>
      <c r="F42" s="61"/>
      <c r="G42" s="61"/>
      <c r="H42" s="61"/>
      <c r="I42" s="61"/>
      <c r="J42" s="61"/>
      <c r="K42" s="61"/>
      <c r="L42" s="61"/>
      <c r="M42" s="61"/>
      <c r="N42" s="61"/>
    </row>
    <row r="43" spans="1:14" ht="17.25" customHeight="1" x14ac:dyDescent="0.35">
      <c r="A43" s="28"/>
      <c r="B43" s="28"/>
      <c r="C43" s="28"/>
      <c r="D43" s="28"/>
      <c r="E43" s="28"/>
      <c r="F43" s="28"/>
      <c r="G43" s="28"/>
      <c r="H43" s="28"/>
      <c r="I43" s="28"/>
      <c r="J43" s="28"/>
      <c r="K43" s="28"/>
      <c r="L43" s="28"/>
      <c r="M43" s="28"/>
      <c r="N43" s="28"/>
    </row>
    <row r="44" spans="1:14" ht="17.25" customHeight="1" x14ac:dyDescent="0.35">
      <c r="A44" s="28"/>
      <c r="B44" s="28"/>
      <c r="C44" s="28"/>
      <c r="D44" s="28"/>
      <c r="E44" s="28"/>
      <c r="F44" s="28"/>
      <c r="G44" s="28"/>
      <c r="H44" s="28"/>
      <c r="I44" s="28"/>
      <c r="J44" s="28"/>
      <c r="K44" s="28"/>
      <c r="L44" s="28"/>
      <c r="M44" s="28"/>
      <c r="N44" s="28"/>
    </row>
    <row r="45" spans="1:14" ht="17.25" customHeight="1" x14ac:dyDescent="0.35">
      <c r="A45" s="28"/>
      <c r="B45" s="28"/>
      <c r="C45" s="28"/>
      <c r="D45" s="28"/>
      <c r="E45" s="28"/>
      <c r="F45" s="28"/>
      <c r="G45" s="28"/>
      <c r="H45" s="28"/>
      <c r="I45" s="28"/>
      <c r="J45" s="28"/>
      <c r="K45" s="28"/>
      <c r="L45" s="28"/>
      <c r="M45" s="28"/>
      <c r="N45" s="28"/>
    </row>
    <row r="46" spans="1:14" x14ac:dyDescent="0.35">
      <c r="A46" s="28"/>
      <c r="B46" s="28"/>
      <c r="C46" s="28"/>
      <c r="D46" s="28"/>
      <c r="E46" s="28"/>
      <c r="F46" s="28"/>
      <c r="G46" s="28"/>
      <c r="H46" s="28"/>
      <c r="I46" s="28"/>
      <c r="J46" s="28"/>
      <c r="K46" s="28"/>
      <c r="L46" s="28"/>
      <c r="M46" s="28"/>
      <c r="N46" s="28"/>
    </row>
    <row r="47" spans="1:14" x14ac:dyDescent="0.35">
      <c r="A47" s="32" t="s">
        <v>601</v>
      </c>
      <c r="B47" s="28"/>
      <c r="C47" s="28"/>
      <c r="D47" s="28"/>
      <c r="E47" s="28"/>
      <c r="F47" s="28"/>
      <c r="G47" s="28"/>
      <c r="H47" s="28"/>
      <c r="I47" s="28"/>
      <c r="J47" s="28"/>
      <c r="K47" s="28"/>
      <c r="L47" s="28"/>
      <c r="M47" s="28"/>
      <c r="N47" s="28"/>
    </row>
    <row r="48" spans="1:14" x14ac:dyDescent="0.35">
      <c r="B48" s="28"/>
      <c r="C48" s="28"/>
      <c r="D48" s="28"/>
      <c r="E48" s="28"/>
      <c r="F48" s="28"/>
      <c r="G48" s="28"/>
      <c r="H48" s="28"/>
      <c r="I48" s="28"/>
      <c r="J48" s="28"/>
      <c r="K48" s="28"/>
      <c r="L48" s="28"/>
      <c r="M48" s="28"/>
      <c r="N48" s="28"/>
    </row>
  </sheetData>
  <mergeCells count="1">
    <mergeCell ref="A37:N42"/>
  </mergeCells>
  <hyperlinks>
    <hyperlink ref="A47" location="'Read Me'!A1" display="Return to Read Me" xr:uid="{E5ADE708-CF3E-4158-841C-BD626057E4E1}"/>
  </hyperlink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5897-7584-4EB1-894E-CCE19861E0B8}">
  <dimension ref="A1:X48"/>
  <sheetViews>
    <sheetView topLeftCell="A13" zoomScale="70" zoomScaleNormal="70" workbookViewId="0">
      <selection activeCell="A47" sqref="A47"/>
    </sheetView>
  </sheetViews>
  <sheetFormatPr defaultColWidth="8.58203125" defaultRowHeight="17.5" x14ac:dyDescent="0.35"/>
  <cols>
    <col min="1" max="17" width="8.58203125" style="2"/>
    <col min="18" max="18" width="10.08203125" style="2" customWidth="1"/>
    <col min="19" max="19" width="8.58203125" style="2"/>
    <col min="20" max="20" width="11.08203125" style="2" customWidth="1"/>
    <col min="21" max="21" width="8.58203125" style="2"/>
    <col min="22" max="22" width="11.08203125" style="2" customWidth="1"/>
    <col min="23" max="23" width="8.58203125" style="2"/>
    <col min="24" max="24" width="15.58203125" style="2" customWidth="1"/>
    <col min="25" max="16384" width="8.58203125" style="2"/>
  </cols>
  <sheetData>
    <row r="1" spans="1:24" s="1" customFormat="1" ht="25" x14ac:dyDescent="0.5">
      <c r="A1" s="1" t="s">
        <v>310</v>
      </c>
    </row>
    <row r="2" spans="1:24" ht="17.25" customHeight="1" x14ac:dyDescent="0.35"/>
    <row r="3" spans="1:24" ht="17.25" customHeight="1" x14ac:dyDescent="0.35">
      <c r="R3" s="50"/>
      <c r="S3" s="50"/>
      <c r="T3" s="50" t="s">
        <v>595</v>
      </c>
      <c r="U3" s="50" t="s">
        <v>596</v>
      </c>
      <c r="V3" s="51" t="s">
        <v>463</v>
      </c>
      <c r="W3" s="51" t="s">
        <v>597</v>
      </c>
      <c r="X3" s="51" t="s">
        <v>112</v>
      </c>
    </row>
    <row r="4" spans="1:24" ht="16.899999999999999" customHeight="1" x14ac:dyDescent="0.35">
      <c r="R4" s="50" t="s">
        <v>486</v>
      </c>
      <c r="S4" s="50" t="s">
        <v>71</v>
      </c>
      <c r="T4" s="52">
        <v>18.899999999999999</v>
      </c>
      <c r="U4" s="52">
        <v>23.8</v>
      </c>
      <c r="V4" s="52">
        <v>13</v>
      </c>
      <c r="W4" s="52">
        <v>12.1</v>
      </c>
      <c r="X4" s="52">
        <v>32.200000000000003</v>
      </c>
    </row>
    <row r="5" spans="1:24" ht="16.899999999999999" customHeight="1" x14ac:dyDescent="0.35">
      <c r="R5" s="50"/>
      <c r="S5" s="50" t="s">
        <v>3</v>
      </c>
      <c r="T5" s="52">
        <v>22.2</v>
      </c>
      <c r="U5" s="52">
        <v>20.8</v>
      </c>
      <c r="V5" s="52">
        <v>10.1</v>
      </c>
      <c r="W5" s="52">
        <v>3.9</v>
      </c>
      <c r="X5" s="52">
        <v>43</v>
      </c>
    </row>
    <row r="6" spans="1:24" ht="17.25" customHeight="1" x14ac:dyDescent="0.35">
      <c r="R6" s="50"/>
      <c r="S6" s="50"/>
      <c r="T6" s="52"/>
      <c r="U6" s="52"/>
      <c r="V6" s="52"/>
      <c r="W6" s="52"/>
      <c r="X6" s="52"/>
    </row>
    <row r="7" spans="1:24" ht="17.25" customHeight="1" x14ac:dyDescent="0.35">
      <c r="R7" s="50" t="s">
        <v>598</v>
      </c>
      <c r="S7" s="50" t="s">
        <v>71</v>
      </c>
      <c r="T7" s="52">
        <v>16.8</v>
      </c>
      <c r="U7" s="52">
        <v>42.2</v>
      </c>
      <c r="V7" s="52">
        <v>21.7</v>
      </c>
      <c r="W7" s="52">
        <v>3.1</v>
      </c>
      <c r="X7" s="52">
        <v>16.399999999999999</v>
      </c>
    </row>
    <row r="8" spans="1:24" ht="17.25" customHeight="1" x14ac:dyDescent="0.35">
      <c r="R8" s="50"/>
      <c r="S8" s="50" t="s">
        <v>3</v>
      </c>
      <c r="T8" s="52">
        <v>26.2</v>
      </c>
      <c r="U8" s="52">
        <v>23.9</v>
      </c>
      <c r="V8" s="52">
        <v>27.6</v>
      </c>
      <c r="W8" s="52">
        <v>1.5</v>
      </c>
      <c r="X8" s="52">
        <v>20.8</v>
      </c>
    </row>
    <row r="9" spans="1:24" ht="17.25" customHeight="1" x14ac:dyDescent="0.35"/>
    <row r="10" spans="1:24" ht="17.25" customHeight="1" x14ac:dyDescent="0.35"/>
    <row r="11" spans="1:24" ht="17.25" customHeight="1" x14ac:dyDescent="0.35"/>
    <row r="12" spans="1:24" ht="17.25" customHeight="1" x14ac:dyDescent="0.35"/>
    <row r="13" spans="1:24" ht="17.25" customHeight="1" x14ac:dyDescent="0.35"/>
    <row r="14" spans="1:24" ht="17.25" customHeight="1" x14ac:dyDescent="0.35"/>
    <row r="15" spans="1:24" ht="17.25" customHeight="1" x14ac:dyDescent="0.35"/>
    <row r="16" spans="1:24" ht="17.25" customHeight="1" x14ac:dyDescent="0.35"/>
    <row r="17" s="2" customFormat="1" ht="17.25" customHeight="1" x14ac:dyDescent="0.35"/>
    <row r="18" s="2" customFormat="1" ht="17.25" customHeight="1" x14ac:dyDescent="0.35"/>
    <row r="19" s="2" customFormat="1" ht="17.25" customHeight="1" x14ac:dyDescent="0.35"/>
    <row r="20" s="2" customFormat="1" ht="17.25" customHeight="1" x14ac:dyDescent="0.35"/>
    <row r="21" s="2" customFormat="1" ht="17.25" customHeight="1" x14ac:dyDescent="0.35"/>
    <row r="22" s="2" customFormat="1" ht="17.25" customHeight="1" x14ac:dyDescent="0.35"/>
    <row r="23" s="2" customFormat="1" ht="17.25" customHeight="1" x14ac:dyDescent="0.35"/>
    <row r="24" s="2" customFormat="1" ht="17.25" customHeight="1" x14ac:dyDescent="0.35"/>
    <row r="25" s="2" customFormat="1" ht="17.25" customHeight="1" x14ac:dyDescent="0.35"/>
    <row r="26" s="2" customFormat="1" ht="17.25" customHeight="1" x14ac:dyDescent="0.35"/>
    <row r="27" s="2" customFormat="1" ht="17.25" customHeight="1" x14ac:dyDescent="0.35"/>
    <row r="28" s="2" customFormat="1" ht="17.25" customHeight="1" x14ac:dyDescent="0.35"/>
    <row r="29" s="2" customFormat="1" ht="17.25" customHeight="1" x14ac:dyDescent="0.35"/>
    <row r="30" s="2" customFormat="1" ht="17.25" customHeight="1" x14ac:dyDescent="0.35"/>
    <row r="31" s="2" customFormat="1" ht="17.25" customHeight="1" x14ac:dyDescent="0.35"/>
    <row r="32" s="2" customFormat="1" ht="17.25" customHeight="1" x14ac:dyDescent="0.35"/>
    <row r="33" spans="1:14" ht="17.25" customHeight="1" x14ac:dyDescent="0.35"/>
    <row r="34" spans="1:14" ht="17.25" customHeight="1" x14ac:dyDescent="0.35"/>
    <row r="35" spans="1:14" ht="17.25" customHeight="1" x14ac:dyDescent="0.35"/>
    <row r="36" spans="1:14" ht="17.25" customHeight="1" x14ac:dyDescent="0.35">
      <c r="A36" s="2" t="s">
        <v>593</v>
      </c>
    </row>
    <row r="37" spans="1:14" ht="17.25" customHeight="1" x14ac:dyDescent="0.35">
      <c r="A37" s="65" t="s">
        <v>599</v>
      </c>
      <c r="B37" s="65"/>
      <c r="C37" s="65"/>
      <c r="D37" s="65"/>
      <c r="E37" s="65"/>
      <c r="F37" s="65"/>
      <c r="G37" s="65"/>
      <c r="H37" s="65"/>
      <c r="I37" s="65"/>
      <c r="J37" s="65"/>
      <c r="K37" s="65"/>
      <c r="L37" s="65"/>
      <c r="M37" s="65"/>
      <c r="N37" s="65"/>
    </row>
    <row r="38" spans="1:14" ht="17.25" customHeight="1" x14ac:dyDescent="0.35">
      <c r="A38" s="65"/>
      <c r="B38" s="65"/>
      <c r="C38" s="65"/>
      <c r="D38" s="65"/>
      <c r="E38" s="65"/>
      <c r="F38" s="65"/>
      <c r="G38" s="65"/>
      <c r="H38" s="65"/>
      <c r="I38" s="65"/>
      <c r="J38" s="65"/>
      <c r="K38" s="65"/>
      <c r="L38" s="65"/>
      <c r="M38" s="65"/>
      <c r="N38" s="65"/>
    </row>
    <row r="39" spans="1:14" ht="17.25" customHeight="1" x14ac:dyDescent="0.35">
      <c r="A39" s="65"/>
      <c r="B39" s="65"/>
      <c r="C39" s="65"/>
      <c r="D39" s="65"/>
      <c r="E39" s="65"/>
      <c r="F39" s="65"/>
      <c r="G39" s="65"/>
      <c r="H39" s="65"/>
      <c r="I39" s="65"/>
      <c r="J39" s="65"/>
      <c r="K39" s="65"/>
      <c r="L39" s="65"/>
      <c r="M39" s="65"/>
      <c r="N39" s="65"/>
    </row>
    <row r="40" spans="1:14" ht="17.25" customHeight="1" x14ac:dyDescent="0.35">
      <c r="A40" s="39"/>
      <c r="B40" s="39"/>
      <c r="C40" s="39"/>
      <c r="D40" s="39"/>
      <c r="E40" s="39"/>
      <c r="F40" s="39"/>
      <c r="G40" s="39"/>
      <c r="H40" s="39"/>
      <c r="I40" s="39"/>
      <c r="J40" s="39"/>
      <c r="K40" s="39"/>
      <c r="L40" s="39"/>
      <c r="M40" s="39"/>
      <c r="N40" s="39"/>
    </row>
    <row r="41" spans="1:14" ht="17.25" customHeight="1" x14ac:dyDescent="0.35">
      <c r="A41" s="39"/>
      <c r="B41" s="39"/>
      <c r="C41" s="39"/>
      <c r="D41" s="39"/>
      <c r="E41" s="39"/>
      <c r="F41" s="39"/>
      <c r="G41" s="39"/>
      <c r="H41" s="39"/>
      <c r="I41" s="39"/>
      <c r="J41" s="39"/>
      <c r="K41" s="39"/>
      <c r="L41" s="39"/>
      <c r="M41" s="39"/>
      <c r="N41" s="39"/>
    </row>
    <row r="42" spans="1:14" ht="17.25" customHeight="1" x14ac:dyDescent="0.35">
      <c r="A42" s="39"/>
      <c r="B42" s="39"/>
      <c r="C42" s="39"/>
      <c r="D42" s="39"/>
      <c r="E42" s="39"/>
      <c r="F42" s="39"/>
      <c r="G42" s="39"/>
      <c r="H42" s="39"/>
      <c r="I42" s="39"/>
      <c r="J42" s="39"/>
      <c r="K42" s="39"/>
      <c r="L42" s="39"/>
      <c r="M42" s="39"/>
      <c r="N42" s="39"/>
    </row>
    <row r="43" spans="1:14" ht="17.25" customHeight="1" x14ac:dyDescent="0.35">
      <c r="A43" s="39"/>
      <c r="B43" s="39"/>
      <c r="C43" s="39"/>
      <c r="D43" s="39"/>
      <c r="E43" s="39"/>
      <c r="F43" s="39"/>
      <c r="G43" s="39"/>
      <c r="H43" s="39"/>
      <c r="I43" s="39"/>
      <c r="J43" s="39"/>
      <c r="K43" s="39"/>
      <c r="L43" s="39"/>
      <c r="M43" s="39"/>
      <c r="N43" s="39"/>
    </row>
    <row r="44" spans="1:14" ht="17.25" customHeight="1" x14ac:dyDescent="0.35">
      <c r="A44" s="39"/>
      <c r="B44" s="39"/>
      <c r="C44" s="39"/>
      <c r="D44" s="39"/>
      <c r="E44" s="39"/>
      <c r="F44" s="39"/>
      <c r="G44" s="39"/>
      <c r="H44" s="39"/>
      <c r="I44" s="39"/>
      <c r="J44" s="39"/>
      <c r="K44" s="39"/>
      <c r="L44" s="39"/>
      <c r="M44" s="39"/>
      <c r="N44" s="39"/>
    </row>
    <row r="45" spans="1:14" ht="17.25" customHeight="1" x14ac:dyDescent="0.35">
      <c r="A45" s="39"/>
      <c r="B45" s="39"/>
      <c r="C45" s="39"/>
      <c r="D45" s="39"/>
      <c r="E45" s="39"/>
      <c r="F45" s="39"/>
      <c r="G45" s="39"/>
      <c r="H45" s="39"/>
      <c r="I45" s="39"/>
      <c r="J45" s="39"/>
      <c r="K45" s="39"/>
      <c r="L45" s="39"/>
      <c r="M45" s="39"/>
      <c r="N45" s="39"/>
    </row>
    <row r="46" spans="1:14" x14ac:dyDescent="0.35">
      <c r="A46" s="39"/>
      <c r="B46" s="39"/>
      <c r="C46" s="39"/>
      <c r="D46" s="39"/>
      <c r="E46" s="39"/>
      <c r="F46" s="39"/>
      <c r="G46" s="39"/>
      <c r="H46" s="39"/>
      <c r="I46" s="39"/>
      <c r="J46" s="39"/>
      <c r="K46" s="39"/>
      <c r="L46" s="39"/>
      <c r="M46" s="39"/>
      <c r="N46" s="39"/>
    </row>
    <row r="47" spans="1:14" x14ac:dyDescent="0.35">
      <c r="A47" s="32" t="s">
        <v>601</v>
      </c>
      <c r="B47" s="39"/>
      <c r="C47" s="39"/>
      <c r="D47" s="39"/>
      <c r="E47" s="39"/>
      <c r="F47" s="39"/>
      <c r="G47" s="39"/>
      <c r="H47" s="39"/>
      <c r="I47" s="39"/>
      <c r="J47" s="39"/>
      <c r="K47" s="39"/>
      <c r="L47" s="39"/>
      <c r="M47" s="39"/>
      <c r="N47" s="39"/>
    </row>
    <row r="48" spans="1:14" x14ac:dyDescent="0.35">
      <c r="B48" s="39"/>
      <c r="C48" s="39"/>
      <c r="D48" s="39"/>
      <c r="E48" s="39"/>
      <c r="F48" s="39"/>
      <c r="G48" s="39"/>
      <c r="H48" s="39"/>
      <c r="I48" s="39"/>
      <c r="J48" s="39"/>
      <c r="K48" s="39"/>
      <c r="L48" s="39"/>
      <c r="M48" s="39"/>
      <c r="N48" s="39"/>
    </row>
  </sheetData>
  <mergeCells count="1">
    <mergeCell ref="A37:N39"/>
  </mergeCells>
  <hyperlinks>
    <hyperlink ref="A47" location="'Read Me'!A1" display="Return to Read Me" xr:uid="{E3386BF0-AE15-4CF3-920C-0513C9B45A7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89</vt:i4>
      </vt:variant>
    </vt:vector>
  </HeadingPairs>
  <TitlesOfParts>
    <vt:vector size="89" baseType="lpstr">
      <vt:lpstr>Read Me</vt:lpstr>
      <vt:lpstr>1.1A</vt:lpstr>
      <vt:lpstr>1.1B</vt:lpstr>
      <vt:lpstr>1.1C</vt:lpstr>
      <vt:lpstr>1.1D</vt:lpstr>
      <vt:lpstr>1.1E</vt:lpstr>
      <vt:lpstr>1.1F</vt:lpstr>
      <vt:lpstr>1.2A</vt:lpstr>
      <vt:lpstr>1.2B</vt:lpstr>
      <vt:lpstr>1.2C</vt:lpstr>
      <vt:lpstr>1.2D</vt:lpstr>
      <vt:lpstr>1.3A</vt:lpstr>
      <vt:lpstr>1.3B</vt:lpstr>
      <vt:lpstr>1.3C</vt:lpstr>
      <vt:lpstr>1.3D</vt:lpstr>
      <vt:lpstr>1.3E</vt:lpstr>
      <vt:lpstr>1.3F</vt:lpstr>
      <vt:lpstr>1.4A</vt:lpstr>
      <vt:lpstr>1.4B</vt:lpstr>
      <vt:lpstr>1.4C</vt:lpstr>
      <vt:lpstr>1.4D</vt:lpstr>
      <vt:lpstr>1.4E</vt:lpstr>
      <vt:lpstr>1.4F</vt:lpstr>
      <vt:lpstr>1.5A</vt:lpstr>
      <vt:lpstr>1.5B</vt:lpstr>
      <vt:lpstr>1.5C</vt:lpstr>
      <vt:lpstr>1.5D</vt:lpstr>
      <vt:lpstr>1.5E</vt:lpstr>
      <vt:lpstr>1.5F</vt:lpstr>
      <vt:lpstr>1.6A</vt:lpstr>
      <vt:lpstr>1.6B</vt:lpstr>
      <vt:lpstr>1.6C</vt:lpstr>
      <vt:lpstr>1.6D</vt:lpstr>
      <vt:lpstr>1.6E</vt:lpstr>
      <vt:lpstr>1.6F</vt:lpstr>
      <vt:lpstr>1.7A</vt:lpstr>
      <vt:lpstr>1.7B</vt:lpstr>
      <vt:lpstr>1.7C</vt:lpstr>
      <vt:lpstr>1.7D</vt:lpstr>
      <vt:lpstr>1.7E</vt:lpstr>
      <vt:lpstr>1.7F</vt:lpstr>
      <vt:lpstr>1.8A</vt:lpstr>
      <vt:lpstr>1.8B</vt:lpstr>
      <vt:lpstr>1.8C</vt:lpstr>
      <vt:lpstr>1.8D</vt:lpstr>
      <vt:lpstr>1.8E</vt:lpstr>
      <vt:lpstr>1.8F</vt:lpstr>
      <vt:lpstr>1.9A</vt:lpstr>
      <vt:lpstr>1.9B</vt:lpstr>
      <vt:lpstr>1.9C</vt:lpstr>
      <vt:lpstr>1.9D</vt:lpstr>
      <vt:lpstr>1.9E</vt:lpstr>
      <vt:lpstr>1.9F</vt:lpstr>
      <vt:lpstr>1.10A</vt:lpstr>
      <vt:lpstr>1.10B</vt:lpstr>
      <vt:lpstr>1.10C</vt:lpstr>
      <vt:lpstr>1.10D</vt:lpstr>
      <vt:lpstr>1.11A</vt:lpstr>
      <vt:lpstr>1.11B</vt:lpstr>
      <vt:lpstr>1.12A</vt:lpstr>
      <vt:lpstr>1.12B</vt:lpstr>
      <vt:lpstr>1.12C</vt:lpstr>
      <vt:lpstr>1.12D</vt:lpstr>
      <vt:lpstr>1.13A</vt:lpstr>
      <vt:lpstr>1.13B</vt:lpstr>
      <vt:lpstr>1.13C</vt:lpstr>
      <vt:lpstr>1.13D</vt:lpstr>
      <vt:lpstr>1.13E</vt:lpstr>
      <vt:lpstr>1.13F</vt:lpstr>
      <vt:lpstr>1.14A</vt:lpstr>
      <vt:lpstr>1.14B</vt:lpstr>
      <vt:lpstr>1.14C</vt:lpstr>
      <vt:lpstr>1.14D</vt:lpstr>
      <vt:lpstr>1.14E</vt:lpstr>
      <vt:lpstr>1.14F</vt:lpstr>
      <vt:lpstr>1.15A</vt:lpstr>
      <vt:lpstr>1.15B</vt:lpstr>
      <vt:lpstr>1.15C</vt:lpstr>
      <vt:lpstr>1.15D</vt:lpstr>
      <vt:lpstr>1.16A</vt:lpstr>
      <vt:lpstr>1.16B</vt:lpstr>
      <vt:lpstr>1.16C</vt:lpstr>
      <vt:lpstr>1.16D</vt:lpstr>
      <vt:lpstr>1.16E</vt:lpstr>
      <vt:lpstr>1.16F</vt:lpstr>
      <vt:lpstr>1.17A</vt:lpstr>
      <vt:lpstr>1.17B</vt:lpstr>
      <vt:lpstr>1.17C</vt:lpstr>
      <vt:lpstr>1.17D</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Felipe Serrano Ariza</dc:creator>
  <cp:lastModifiedBy>Juan Felipe Serrano Ariza</cp:lastModifiedBy>
  <dcterms:created xsi:type="dcterms:W3CDTF">2024-09-30T16:32:12Z</dcterms:created>
  <dcterms:modified xsi:type="dcterms:W3CDTF">2024-10-09T18:52:21Z</dcterms:modified>
</cp:coreProperties>
</file>
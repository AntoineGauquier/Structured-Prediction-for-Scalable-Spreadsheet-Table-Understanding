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5.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6.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Perso\HG\_RapportCVS-MODULES VALIDES\"/>
    </mc:Choice>
  </mc:AlternateContent>
  <bookViews>
    <workbookView xWindow="0" yWindow="0" windowWidth="21570" windowHeight="8160" activeTab="8"/>
  </bookViews>
  <sheets>
    <sheet name="1.TableauREPERES" sheetId="1" r:id="rId1"/>
    <sheet name="2.CourbeRepères" sheetId="8" r:id="rId2"/>
    <sheet name="3.TypeActe" sheetId="54" r:id="rId3"/>
    <sheet name="4.CoutActe" sheetId="41" r:id="rId4"/>
    <sheet name="5.RecoursPolice" sheetId="22" r:id="rId5"/>
    <sheet name="6.RecoursAssurance" sheetId="45" r:id="rId6"/>
    <sheet name="7.Profil1" sheetId="25" r:id="rId7"/>
    <sheet name="8.Profil2" sheetId="27" r:id="rId8"/>
    <sheet name="9.Profil3" sheetId="28" r:id="rId9"/>
  </sheets>
  <definedNames>
    <definedName name="_xlnm._FilterDatabase" localSheetId="8">'9.Profil3'!$B$42:$C$48</definedName>
    <definedName name="CambriolagesColine" localSheetId="3">#REF!</definedName>
    <definedName name="CambriolagesColine" localSheetId="4">#REF!</definedName>
    <definedName name="CambriolagesColine" localSheetId="5">#REF!</definedName>
    <definedName name="CambriolagesColine" localSheetId="7">#REF!</definedName>
    <definedName name="CambriolagesColine" localSheetId="8">#REF!</definedName>
    <definedName name="CambriolagesColine">#REF!</definedName>
    <definedName name="d" localSheetId="3">#REF!</definedName>
    <definedName name="d" localSheetId="5">#REF!</definedName>
    <definedName name="d" localSheetId="7">#REF!</definedName>
    <definedName name="d" localSheetId="8">#REF!</definedName>
    <definedName name="d">#REF!</definedName>
    <definedName name="djdkd" localSheetId="3">#REF!</definedName>
    <definedName name="djdkd" localSheetId="5">#REF!</definedName>
    <definedName name="djdkd" localSheetId="7">#REF!</definedName>
    <definedName name="djdkd" localSheetId="8">#REF!</definedName>
    <definedName name="djdkd">#REF!</definedName>
    <definedName name="DonneesActeDL">#REF!</definedName>
    <definedName name="DonneesAssurance" localSheetId="5">#REF!</definedName>
    <definedName name="DonneesAssurance">#REF!</definedName>
    <definedName name="DonneesAssuranceDL">#REF!</definedName>
    <definedName name="DonneesAssuranceVSE">#REF!</definedName>
    <definedName name="DonneesAuteurs" localSheetId="5">#REF!</definedName>
    <definedName name="DonneesAuteurs">#REF!</definedName>
    <definedName name="DonneesAuteursDL">#REF!</definedName>
    <definedName name="DonneesAuteursVSE">#REF!</definedName>
    <definedName name="DonnéesCambri" localSheetId="3">#REF!</definedName>
    <definedName name="DonnéesCambri" localSheetId="4">#REF!</definedName>
    <definedName name="DonnéesCambri" localSheetId="5">#REF!</definedName>
    <definedName name="DonnéesCambri" localSheetId="7">#REF!</definedName>
    <definedName name="DonnéesCambri" localSheetId="8">#REF!</definedName>
    <definedName name="DonnéesCambri">#REF!</definedName>
    <definedName name="DonneesEffraction" localSheetId="5">#REF!</definedName>
    <definedName name="DonneesEffraction">#REF!</definedName>
    <definedName name="DonneesEntreeVE">#REF!</definedName>
    <definedName name="DonneesPlainte" localSheetId="5">#REF!</definedName>
    <definedName name="DonneesPlainte">#REF!</definedName>
    <definedName name="DonneesPlainteDL">#REF!</definedName>
    <definedName name="DonneesPlainteVSE">#REF!</definedName>
    <definedName name="DonneesPlainteVV" localSheetId="5">#REF!</definedName>
    <definedName name="DonneesPlainteVV">#REF!</definedName>
    <definedName name="DonneesReperes" localSheetId="3">#REF!</definedName>
    <definedName name="DonneesReperes" localSheetId="5">#REF!</definedName>
    <definedName name="DonneesReperes">#REF!</definedName>
    <definedName name="DonneesReperes2" localSheetId="5">#REF!</definedName>
    <definedName name="DonneesReperes2">#REF!</definedName>
    <definedName name="DonneesReperes3" localSheetId="3">#REF!</definedName>
    <definedName name="DonneesReperes3" localSheetId="5">#REF!</definedName>
    <definedName name="DonneesReperes3">#REF!</definedName>
    <definedName name="DonneesReperesDL">#REF!</definedName>
    <definedName name="DonneesReperesVE">#REF!</definedName>
    <definedName name="DonneesVol" localSheetId="5">#REF!</definedName>
    <definedName name="DonneesVol">#REF!</definedName>
    <definedName name="DonneesVolVSE">#REF!</definedName>
    <definedName name="Effraction" localSheetId="3">#REF!</definedName>
    <definedName name="Effraction" localSheetId="4">#REF!</definedName>
    <definedName name="Effraction" localSheetId="5">#REF!</definedName>
    <definedName name="Effraction" localSheetId="7">#REF!</definedName>
    <definedName name="Effraction" localSheetId="8">#REF!</definedName>
    <definedName name="Effraction">#REF!</definedName>
    <definedName name="ONGLETASSURANCEDL">#REF!</definedName>
    <definedName name="ONGLETVOL" localSheetId="3">#REF!</definedName>
    <definedName name="ONGLETVOL" localSheetId="4">#REF!</definedName>
    <definedName name="ONGLETVOL" localSheetId="5">#REF!</definedName>
    <definedName name="ONGLETVOL" localSheetId="7">#REF!</definedName>
    <definedName name="ONGLETVOL" localSheetId="8">#REF!</definedName>
    <definedName name="ONGLETVOL">#REF!</definedName>
    <definedName name="ReperesCambri" localSheetId="3">#REF!</definedName>
    <definedName name="ReperesCambri" localSheetId="4">#REF!</definedName>
    <definedName name="ReperesCambri" localSheetId="5">#REF!</definedName>
    <definedName name="ReperesCambri" localSheetId="7">#REF!</definedName>
    <definedName name="ReperesCambri" localSheetId="8">#REF!</definedName>
    <definedName name="ReperesCambri">#REF!</definedName>
    <definedName name="_xlnm.Print_Area" localSheetId="0">'1.TableauREPERES'!$A$1:$G$2</definedName>
    <definedName name="_xlnm.Print_Area" localSheetId="1">'2.CourbeRepères'!$A$1:$F$14</definedName>
    <definedName name="_xlnm.Print_Area" localSheetId="2">'3.TypeActe'!$A$1:$D$13</definedName>
    <definedName name="_xlnm.Print_Area" localSheetId="4">'5.RecoursPolice'!$A$1:$H$14</definedName>
    <definedName name="_xlnm.Print_Area" localSheetId="5">'6.RecoursAssurance'!$A$1:$G$14</definedName>
    <definedName name="_xlnm.Print_Area" localSheetId="6">'7.Profil1'!$B$1:$H$21</definedName>
    <definedName name="_xlnm.Print_Area" localSheetId="7">'8.Profil2'!$B$1:$H$17</definedName>
    <definedName name="_xlnm.Print_Area" localSheetId="8">'9.Profil3'!$B$1:$G$27</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1" i="41" l="1"/>
  <c r="C9" i="1"/>
  <c r="D9" i="1"/>
  <c r="E9" i="1"/>
  <c r="F9" i="1"/>
  <c r="B9" i="1"/>
  <c r="B27" i="41" l="1"/>
</calcChain>
</file>

<file path=xl/sharedStrings.xml><?xml version="1.0" encoding="utf-8"?>
<sst xmlns="http://schemas.openxmlformats.org/spreadsheetml/2006/main" count="141" uniqueCount="110">
  <si>
    <t>Champ : ménages ordinaires de France métropolitaine.</t>
  </si>
  <si>
    <t>Ensemble</t>
  </si>
  <si>
    <t>Source : enquêtes Cadre de vie et sécurité 2007 à 2016, Insee-ONDRP-SSMSI.</t>
  </si>
  <si>
    <t>Source : enquêtes Cadre de vie et sécurité 2008, 2010, 2012, 2014 et 2016, Insee-ONDRP-SSMSI.</t>
  </si>
  <si>
    <t>Champ : ménages ordinaires de France métropolitaine, incident le plus récent dans l'année.</t>
  </si>
  <si>
    <t>NSP</t>
  </si>
  <si>
    <t>Données</t>
  </si>
  <si>
    <t>Moins de 150 euros</t>
  </si>
  <si>
    <t>Non renseigné</t>
  </si>
  <si>
    <t>Déclaration à la police ou la gendarmerie</t>
  </si>
  <si>
    <t>Ménages assurés qui ont fait une déclaration auprès de leur assurance</t>
  </si>
  <si>
    <t>Ménages qui n'ont fait aucune déclaration à la police ou à la gendarmerie</t>
  </si>
  <si>
    <t>Ménages qui se sont déplacés au commissariat de police ou à la gendarmerie et qui ont déposé plainte.</t>
  </si>
  <si>
    <t>Ménages qui se sont déplacés au commissariat de police ou à la gendarmerie et qui ont déposé une main courante ou ont abandonné leur démarche sur place</t>
  </si>
  <si>
    <t>Déclaration à l'assurance</t>
  </si>
  <si>
    <t>30-39 ans</t>
  </si>
  <si>
    <t>40-49 ans</t>
  </si>
  <si>
    <t>50-59 ans</t>
  </si>
  <si>
    <t>Région parisienne</t>
  </si>
  <si>
    <t>Bassin parisien</t>
  </si>
  <si>
    <t>Nord</t>
  </si>
  <si>
    <t>Est</t>
  </si>
  <si>
    <t>Ouest</t>
  </si>
  <si>
    <t>Sud-Ouest</t>
  </si>
  <si>
    <t>Méditerranée</t>
  </si>
  <si>
    <t xml:space="preserve"> </t>
  </si>
  <si>
    <t>Zone</t>
  </si>
  <si>
    <t>TV</t>
  </si>
  <si>
    <t>Agglomération parisienne</t>
  </si>
  <si>
    <t>Ferme, pavillon, maison indépendante</t>
  </si>
  <si>
    <t>Maison de ville groupée</t>
  </si>
  <si>
    <t>Appartement dans un immeuble de 2 à 9 logements</t>
  </si>
  <si>
    <t>Autres types de logement</t>
  </si>
  <si>
    <t>Maisons dispersées, hors agglomération</t>
  </si>
  <si>
    <t>Maisons en lotissement, en quartier pavillonnaire</t>
  </si>
  <si>
    <t>Immeubles en ville</t>
  </si>
  <si>
    <t>Immeubles en cité ou grand ensemble</t>
  </si>
  <si>
    <t>Habitat mixte : immeubles et maisons</t>
  </si>
  <si>
    <t>Type Logement</t>
  </si>
  <si>
    <t>Type de voisinage</t>
  </si>
  <si>
    <t>Communes rurales</t>
  </si>
  <si>
    <t>Taille de l'UU</t>
  </si>
  <si>
    <t>Appartement dans un immeuble de 10 logements ou plus</t>
  </si>
  <si>
    <t>Age de la PR</t>
  </si>
  <si>
    <t>CS de la PR</t>
  </si>
  <si>
    <t>60 ans ou plus</t>
  </si>
  <si>
    <t>Cadres et professions intellectuelles supérieures</t>
  </si>
  <si>
    <t>Professions intermédiaires</t>
  </si>
  <si>
    <t>Employés</t>
  </si>
  <si>
    <t>Ouvriers</t>
  </si>
  <si>
    <t>Retraités</t>
  </si>
  <si>
    <t>1. Y compris agriculteurs exploitants.</t>
  </si>
  <si>
    <t>moyen</t>
  </si>
  <si>
    <t>pct</t>
  </si>
  <si>
    <t>Ménages victimes</t>
  </si>
  <si>
    <t>Faits</t>
  </si>
  <si>
    <t>Pct</t>
  </si>
  <si>
    <t>Valeur monétaire</t>
  </si>
  <si>
    <t>Valeur sentimentale</t>
  </si>
  <si>
    <t>Donnees</t>
  </si>
  <si>
    <t>Centre-est</t>
  </si>
  <si>
    <t>CodeZone</t>
  </si>
  <si>
    <t>CodeUU</t>
  </si>
  <si>
    <t>Code</t>
  </si>
  <si>
    <t>Nombre total d'actes de vandalisme contre le logement déclarés</t>
  </si>
  <si>
    <t>Actes de vandalisme contre le logement</t>
  </si>
  <si>
    <t>Lecture : en 2015, environ 626 000 ménages - soit 2,2% de l'ensemble des ménages - déclarent avoir été victimes d'un acte de vandalisme contre leur logement.</t>
  </si>
  <si>
    <r>
      <t> </t>
    </r>
    <r>
      <rPr>
        <b/>
        <sz val="12"/>
        <color theme="5"/>
        <rFont val="Calibri"/>
        <family val="2"/>
      </rPr>
      <t>É</t>
    </r>
    <r>
      <rPr>
        <b/>
        <sz val="12"/>
        <color theme="5"/>
        <rFont val="Palatino Linotype"/>
        <family val="1"/>
      </rPr>
      <t>volution du nombre annuel d'actes de vandalisme contre le logement</t>
    </r>
  </si>
  <si>
    <t>Lecture : en 2015, on estime à 1 195 000 le nombre d'actes de vandalisme contre le logement subis par les ménages.</t>
  </si>
  <si>
    <t>Une dégradation (inscriptions sur les murs, plante abîmée ou clôture endommagée , jet de détritus)</t>
  </si>
  <si>
    <t>Une destruction totale (boîte aux lettres, vitres ou pots de fleurs cassés, volets arrachées,...)</t>
  </si>
  <si>
    <t>Les deux (murs tagués et vitres cassés par exemple)</t>
  </si>
  <si>
    <t>Ampleur  et coût des dégâts</t>
  </si>
  <si>
    <t xml:space="preserve"> Importants</t>
  </si>
  <si>
    <t>Assez importants</t>
  </si>
  <si>
    <t>Peu importants</t>
  </si>
  <si>
    <t>150 euros ou plus</t>
  </si>
  <si>
    <t>Ménages assurés qui n'ont pas fait de déclaration auprès de leur assurance ou ménages non assurés</t>
  </si>
  <si>
    <t>Lecture : en 2015, 72% des ménages victimes d'actes de vandalisme contre le logement déclarent qu'ils ont subi un acte de dégradation.</t>
  </si>
  <si>
    <t>Lecture : en 2015, 28% des ménages victimes d'actes de vandalisme contre leur logement déclarent que les dégâts qu'ils ont subis sont importants. 35% des ménages victimes d'actes de vandalisme contre leur logement estiment le coût des dégâts à moins de 150 euros.</t>
  </si>
  <si>
    <t>Lecture : en 2015, parmi les ménages victimes d'actes de vandalisme contre leur logement, 82% n'ont pas fait de déclaration à la police ou la gendarmerie, les autres se sont déplacés au commissariat de police ou à la gendarmerie : 9% ont déposé plainte et 8% ont déposé une main courante ou ont abandonné leur démarche de dépôt de plainte sur place.</t>
  </si>
  <si>
    <t>Lecture : en 2015, parmi les ménages victimes d'actes de vandalisme contre le logement, 8% étaient assurés et ont fait une déclaration auprès de leur assurance.</t>
  </si>
  <si>
    <t>appartenance à une Zus</t>
  </si>
  <si>
    <t>Hors Zus</t>
  </si>
  <si>
    <t>En Zus</t>
  </si>
  <si>
    <t>Moins de 30 ans</t>
  </si>
  <si>
    <t>Lecture : en 2015, 2,8% des ménages résidant en appartement au sein d'un immeuble de 10 logements ou plus ont été victimes d'un acte de vandalisme contre leur logement dans les 12 mois précédant l'enquête.</t>
  </si>
  <si>
    <t>Quartiles de niveau de vie par uc</t>
  </si>
  <si>
    <t>…les plus modestes</t>
  </si>
  <si>
    <t>…intermédiaires -</t>
  </si>
  <si>
    <t>…intermédiaires +</t>
  </si>
  <si>
    <t>…les plus aisés</t>
  </si>
  <si>
    <r>
      <t>Artisans, commerçants et chefs d'entreprise</t>
    </r>
    <r>
      <rPr>
        <sz val="11"/>
        <color rgb="FF000000"/>
        <rFont val="Calibri"/>
        <family val="2"/>
      </rPr>
      <t>¹</t>
    </r>
  </si>
  <si>
    <t>Proportion de ménages victimes d'actes de vandalisme contre le logement selon les caractéristiques du ménage ou de la personne de référence du ménage</t>
  </si>
  <si>
    <t>Type d'acte de vandalisme contre le logement</t>
  </si>
  <si>
    <t>Note : les ménages dont le logement appartient à la catégorie "autres types de logement" ne sont pas représentés car leur effectif n'est pas suffisant pour calculer une proportion de ménages victimes.</t>
  </si>
  <si>
    <t>Etudiants et autres inactifs</t>
  </si>
  <si>
    <t>Lecture : en 2015, 3,4% des ménages résidant dans les ZEAT « Nord » et « Centre-Est » ont été victimes d'actes de vandalisme contre leur logement dans les 12 mois précédant l'enquête.</t>
  </si>
  <si>
    <t>Moins de 20 000 habitants</t>
  </si>
  <si>
    <t>20 000 - moins de 100 000 habitants</t>
  </si>
  <si>
    <t>100 000 habitants ou plus</t>
  </si>
  <si>
    <t>Lecture : en 2015, 3,8% des ménages dont la personne de référence est cadre (ou exerce une profession intellectuelle supérieure) déclarent avoir été victimes d'un acte de vandalisme contre leur logement.</t>
  </si>
  <si>
    <t xml:space="preserve">Nombre </t>
  </si>
  <si>
    <t>En % de l'ensemble des ménages</t>
  </si>
  <si>
    <t>Nombre moyen par ménage victime</t>
  </si>
  <si>
    <t>Nombre pour 1000 ménages</t>
  </si>
  <si>
    <t>2. Il s'agit du revenu disponible du ménage (c’est-à-dire tous ses revenus, y compris les prestations sociales, nets des impôts directs) divisé par le nombre d'unités de consommation (uc). Le revenu par unité de consommation (aussi appelé "niveau de vie") est donc le même pour tous les individus d'un même ménage. Les unités de consommation sont calculées selon l'échelle d'équivalence dite de l'OCDE modifiée qui attribue 1 uc au premier adulte du ménage, 0,5 uc aux autres personnes de 14 ans ou plus et 0,3 uc aux enfants de moins de 14 ans.</t>
  </si>
  <si>
    <t>Proportion de ménages victimes d'actes de vandalisme contre leur logement selon les caractéristiques du logement</t>
  </si>
  <si>
    <t>Proportion de ménages victimes d'actes de vandalisme contre leur logement selon les caractéristiques du lieu de résidence</t>
  </si>
  <si>
    <t>Source : enquête Cadre de vie et sécurité 2016, Insee-ONDRP-SSMSI.</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</si>
</sst>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
  </numFmts>
  <fonts count="45" x14ac:knownFonts="1">
    <font>
      <sz val="11"/>
      <color theme="1"/>
      <name val="Calibri"/>
      <family val="2"/>
      <scheme val="minor"/>
    </font>
    <font>
      <sz val="11"/>
      <color theme="1"/>
      <name val="Palatino Linotype"/>
      <family val="1"/>
    </font>
    <font>
      <sz val="11"/>
      <color rgb="FFFF0000"/>
      <name val="Palatino Linotype"/>
      <family val="1"/>
    </font>
    <font>
      <b/>
      <sz val="14"/>
      <color theme="5"/>
      <name val="Palatino Linotype"/>
      <family val="1"/>
    </font>
    <font>
      <sz val="11"/>
      <name val="Palatino Linotype"/>
      <family val="1"/>
    </font>
    <font>
      <sz val="11"/>
      <color rgb="FF000000"/>
      <name val="Arial"/>
      <family val="2"/>
    </font>
    <font>
      <b/>
      <sz val="10"/>
      <color theme="1"/>
      <name val="Palatino Linotype"/>
      <family val="1"/>
    </font>
    <font>
      <b/>
      <sz val="10"/>
      <color rgb="FF000000"/>
      <name val="Palatino Linotype"/>
      <family val="1"/>
    </font>
    <font>
      <sz val="10"/>
      <color rgb="FF000000"/>
      <name val="Palatino Linotype"/>
      <family val="1"/>
    </font>
    <font>
      <sz val="10"/>
      <color theme="1"/>
      <name val="Palatino Linotype"/>
      <family val="1"/>
    </font>
    <font>
      <b/>
      <sz val="10"/>
      <name val="Palatino Linotype"/>
      <family val="1"/>
    </font>
    <font>
      <sz val="10"/>
      <name val="Palatino Linotype"/>
      <family val="1"/>
    </font>
    <font>
      <sz val="10"/>
      <color theme="1"/>
      <name val="Calibri"/>
      <family val="2"/>
      <scheme val="minor"/>
    </font>
    <font>
      <sz val="8"/>
      <color theme="1"/>
      <name val="Palatino Linotype"/>
      <family val="1"/>
    </font>
    <font>
      <sz val="8"/>
      <color rgb="FF000000"/>
      <name val="Palatino Linotype"/>
      <family val="1"/>
    </font>
    <font>
      <sz val="8"/>
      <name val="Palatino Linotype"/>
      <family val="1"/>
    </font>
    <font>
      <sz val="8"/>
      <color theme="1"/>
      <name val="Calibri"/>
      <family val="2"/>
      <scheme val="minor"/>
    </font>
    <font>
      <b/>
      <sz val="11"/>
      <color rgb="FF000000"/>
      <name val="Arial"/>
      <family val="2"/>
    </font>
    <font>
      <b/>
      <sz val="12"/>
      <color theme="5"/>
      <name val="Palatino Linotype"/>
      <family val="1"/>
    </font>
    <font>
      <b/>
      <sz val="12"/>
      <color theme="5"/>
      <name val="Calibri"/>
      <family val="2"/>
    </font>
    <font>
      <sz val="12"/>
      <color theme="1"/>
      <name val="Calibri"/>
      <family val="2"/>
      <scheme val="minor"/>
    </font>
    <font>
      <sz val="11"/>
      <color rgb="FF000000"/>
      <name val="Calibri"/>
      <family val="2"/>
      <scheme val="minor"/>
    </font>
    <font>
      <sz val="11"/>
      <color theme="5"/>
      <name val="Calibri"/>
      <family val="2"/>
      <scheme val="minor"/>
    </font>
    <font>
      <b/>
      <sz val="12"/>
      <color rgb="FF000000"/>
      <name val="Palatino Linotype"/>
      <family val="1"/>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000FF"/>
      <name val="Calibri"/>
      <family val="2"/>
      <scheme val="minor"/>
    </font>
    <font>
      <u/>
      <sz val="11"/>
      <color rgb="FF800080"/>
      <name val="Calibri"/>
      <family val="2"/>
      <scheme val="minor"/>
    </font>
    <font>
      <b/>
      <sz val="11"/>
      <color rgb="FF000000"/>
      <name val="Calibri"/>
      <family val="2"/>
      <scheme val="minor"/>
    </font>
    <font>
      <sz val="11"/>
      <color rgb="FF000000"/>
      <name val="Calibri"/>
      <family val="2"/>
    </font>
  </fonts>
  <fills count="3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rgb="FFFAFBFE"/>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top style="thin">
        <color theme="0"/>
      </top>
      <bottom/>
      <diagonal/>
    </border>
    <border>
      <left/>
      <right/>
      <top style="thin">
        <color theme="0"/>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5" fillId="0" borderId="0" applyNumberFormat="0" applyFill="0" applyBorder="0" applyAlignment="0" applyProtection="0"/>
    <xf numFmtId="0" fontId="26" fillId="0" borderId="6" applyNumberFormat="0" applyFill="0" applyAlignment="0" applyProtection="0"/>
    <xf numFmtId="0" fontId="27" fillId="0" borderId="7" applyNumberFormat="0" applyFill="0" applyAlignment="0" applyProtection="0"/>
    <xf numFmtId="0" fontId="28" fillId="0" borderId="8" applyNumberFormat="0" applyFill="0" applyAlignment="0" applyProtection="0"/>
    <xf numFmtId="0" fontId="28" fillId="0" borderId="0" applyNumberFormat="0" applyFill="0" applyBorder="0" applyAlignment="0" applyProtection="0"/>
    <xf numFmtId="0" fontId="29" fillId="6" borderId="0" applyNumberFormat="0" applyBorder="0" applyAlignment="0" applyProtection="0"/>
    <xf numFmtId="0" fontId="30" fillId="7" borderId="0" applyNumberFormat="0" applyBorder="0" applyAlignment="0" applyProtection="0"/>
    <xf numFmtId="0" fontId="31" fillId="8" borderId="0" applyNumberFormat="0" applyBorder="0" applyAlignment="0" applyProtection="0"/>
    <xf numFmtId="0" fontId="32" fillId="9" borderId="9" applyNumberFormat="0" applyAlignment="0" applyProtection="0"/>
    <xf numFmtId="0" fontId="33" fillId="10" borderId="10" applyNumberFormat="0" applyAlignment="0" applyProtection="0"/>
    <xf numFmtId="0" fontId="34" fillId="10" borderId="9" applyNumberFormat="0" applyAlignment="0" applyProtection="0"/>
    <xf numFmtId="0" fontId="35" fillId="0" borderId="11" applyNumberFormat="0" applyFill="0" applyAlignment="0" applyProtection="0"/>
    <xf numFmtId="0" fontId="36" fillId="11" borderId="12" applyNumberFormat="0" applyAlignment="0" applyProtection="0"/>
    <xf numFmtId="0" fontId="37" fillId="0" borderId="0" applyNumberFormat="0" applyFill="0" applyBorder="0" applyAlignment="0" applyProtection="0"/>
    <xf numFmtId="0" fontId="24" fillId="12" borderId="13" applyNumberFormat="0" applyFont="0" applyAlignment="0" applyProtection="0"/>
    <xf numFmtId="0" fontId="38" fillId="0" borderId="0" applyNumberFormat="0" applyFill="0" applyBorder="0" applyAlignment="0" applyProtection="0"/>
    <xf numFmtId="0" fontId="39" fillId="0" borderId="14" applyNumberFormat="0" applyFill="0" applyAlignment="0" applyProtection="0"/>
    <xf numFmtId="0" fontId="40"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40" fillId="24" borderId="0" applyNumberFormat="0" applyBorder="0" applyAlignment="0" applyProtection="0"/>
    <xf numFmtId="0" fontId="40" fillId="25"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40" fillId="28" borderId="0" applyNumberFormat="0" applyBorder="0" applyAlignment="0" applyProtection="0"/>
    <xf numFmtId="0" fontId="40" fillId="29" borderId="0" applyNumberFormat="0" applyBorder="0" applyAlignment="0" applyProtection="0"/>
    <xf numFmtId="0" fontId="24" fillId="30" borderId="0" applyNumberFormat="0" applyBorder="0" applyAlignment="0" applyProtection="0"/>
    <xf numFmtId="0" fontId="24" fillId="31" borderId="0" applyNumberFormat="0" applyBorder="0" applyAlignment="0" applyProtection="0"/>
    <xf numFmtId="0" fontId="40" fillId="32" borderId="0" applyNumberFormat="0" applyBorder="0" applyAlignment="0" applyProtection="0"/>
    <xf numFmtId="0" fontId="40" fillId="33"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40" fillId="36" borderId="0" applyNumberFormat="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cellStyleXfs>
  <cellXfs count="101">
    <xf numFmtId="0" fontId="0" fillId="0" borderId="0" xfId="0"/>
    <xf numFmtId="0" fontId="0" fillId="2" borderId="0" xfId="0" applyFill="1"/>
    <xf numFmtId="0" fontId="0" fillId="0" borderId="0" xfId="0" applyFill="1"/>
    <xf numFmtId="0" fontId="1" fillId="3" borderId="0" xfId="0" applyFont="1" applyFill="1"/>
    <xf numFmtId="0" fontId="2" fillId="3" borderId="0" xfId="0" applyFont="1" applyFill="1"/>
    <xf numFmtId="0" fontId="0" fillId="3" borderId="0" xfId="0" applyFill="1"/>
    <xf numFmtId="0" fontId="4" fillId="3" borderId="0" xfId="0" applyFont="1" applyFill="1" applyBorder="1" applyAlignment="1">
      <alignment vertical="center"/>
    </xf>
    <xf numFmtId="9" fontId="0" fillId="0" borderId="0" xfId="0" applyNumberFormat="1" applyFill="1"/>
    <xf numFmtId="0" fontId="6" fillId="4" borderId="1" xfId="0" applyFont="1" applyFill="1" applyBorder="1" applyAlignment="1">
      <alignment vertical="center"/>
    </xf>
    <xf numFmtId="0" fontId="12" fillId="3" borderId="0" xfId="0" applyFont="1" applyFill="1"/>
    <xf numFmtId="9" fontId="0" fillId="0" borderId="0" xfId="0" applyNumberFormat="1"/>
    <xf numFmtId="0" fontId="3" fillId="0" borderId="0" xfId="0" applyFont="1" applyFill="1" applyAlignment="1">
      <alignment horizontal="left" vertical="center" wrapText="1"/>
    </xf>
    <xf numFmtId="0" fontId="13" fillId="3" borderId="0" xfId="0" applyFont="1" applyFill="1" applyAlignment="1">
      <alignment vertical="center"/>
    </xf>
    <xf numFmtId="0" fontId="14" fillId="3" borderId="0" xfId="0" applyFont="1" applyFill="1" applyBorder="1" applyAlignment="1">
      <alignment vertical="center"/>
    </xf>
    <xf numFmtId="0" fontId="15" fillId="3" borderId="0" xfId="0" applyFont="1" applyFill="1" applyAlignment="1">
      <alignment vertical="center"/>
    </xf>
    <xf numFmtId="0" fontId="16" fillId="3" borderId="0" xfId="0" applyFont="1" applyFill="1"/>
    <xf numFmtId="0" fontId="15" fillId="3" borderId="0" xfId="0" applyFont="1" applyFill="1" applyBorder="1" applyAlignment="1">
      <alignment vertical="center"/>
    </xf>
    <xf numFmtId="0" fontId="13" fillId="3" borderId="0" xfId="0" applyFont="1" applyFill="1"/>
    <xf numFmtId="0" fontId="8" fillId="3" borderId="3" xfId="0" applyFont="1" applyFill="1" applyBorder="1" applyAlignment="1">
      <alignment horizontal="left" vertical="center"/>
    </xf>
    <xf numFmtId="0" fontId="10" fillId="4" borderId="4" xfId="0" applyFont="1" applyFill="1" applyBorder="1" applyAlignment="1">
      <alignment wrapText="1"/>
    </xf>
    <xf numFmtId="3" fontId="10" fillId="4" borderId="5" xfId="0" applyNumberFormat="1" applyFont="1" applyFill="1" applyBorder="1" applyAlignment="1">
      <alignment horizontal="center" vertical="center"/>
    </xf>
    <xf numFmtId="0" fontId="11" fillId="4" borderId="3" xfId="0" applyFont="1" applyFill="1" applyBorder="1" applyAlignment="1">
      <alignment vertical="center"/>
    </xf>
    <xf numFmtId="0" fontId="11" fillId="4" borderId="3" xfId="0" applyFont="1" applyFill="1" applyBorder="1" applyAlignment="1">
      <alignment horizontal="left" vertical="center" wrapText="1"/>
    </xf>
    <xf numFmtId="164" fontId="9" fillId="3" borderId="0" xfId="0" applyNumberFormat="1" applyFont="1" applyFill="1" applyBorder="1" applyAlignment="1">
      <alignment horizontal="center" vertical="center"/>
    </xf>
    <xf numFmtId="0" fontId="3" fillId="3" borderId="0" xfId="0" applyFont="1" applyFill="1" applyAlignment="1">
      <alignment horizontal="left" vertical="center" wrapText="1"/>
    </xf>
    <xf numFmtId="3" fontId="0" fillId="0" borderId="0" xfId="0" applyNumberFormat="1" applyFill="1"/>
    <xf numFmtId="9" fontId="5" fillId="0" borderId="0" xfId="0" applyNumberFormat="1" applyFont="1" applyFill="1" applyAlignment="1">
      <alignment vertical="top" wrapText="1"/>
    </xf>
    <xf numFmtId="9" fontId="0" fillId="0" borderId="0" xfId="0" applyNumberFormat="1" applyFill="1" applyAlignment="1">
      <alignment horizontal="left" vertical="center" wrapText="1"/>
    </xf>
    <xf numFmtId="0" fontId="3" fillId="3" borderId="0" xfId="0" applyFont="1" applyFill="1" applyAlignment="1">
      <alignment horizontal="left" vertical="center" wrapText="1"/>
    </xf>
    <xf numFmtId="0" fontId="11" fillId="3" borderId="0" xfId="0" applyFont="1" applyFill="1" applyBorder="1" applyAlignment="1">
      <alignment horizontal="left" vertical="center"/>
    </xf>
    <xf numFmtId="164" fontId="11" fillId="3" borderId="0" xfId="0" applyNumberFormat="1" applyFont="1" applyFill="1" applyBorder="1" applyAlignment="1">
      <alignment horizontal="center" vertical="center"/>
    </xf>
    <xf numFmtId="0" fontId="18" fillId="3" borderId="0" xfId="0" applyFont="1" applyFill="1" applyAlignment="1">
      <alignment vertical="center"/>
    </xf>
    <xf numFmtId="0" fontId="18" fillId="3" borderId="0" xfId="0" applyFont="1" applyFill="1"/>
    <xf numFmtId="0" fontId="0" fillId="0" borderId="0" xfId="0" applyAlignment="1">
      <alignment horizontal="left"/>
    </xf>
    <xf numFmtId="0" fontId="0" fillId="0" borderId="0" xfId="0" applyAlignment="1">
      <alignment wrapText="1"/>
    </xf>
    <xf numFmtId="0" fontId="22" fillId="3" borderId="0" xfId="0" applyFont="1" applyFill="1" applyAlignment="1">
      <alignment horizontal="left"/>
    </xf>
    <xf numFmtId="0" fontId="0" fillId="3" borderId="0" xfId="0" applyFill="1" applyAlignment="1">
      <alignment horizontal="left"/>
    </xf>
    <xf numFmtId="0" fontId="0" fillId="2" borderId="0" xfId="0" applyFill="1" applyAlignment="1">
      <alignment horizontal="left"/>
    </xf>
    <xf numFmtId="165" fontId="21" fillId="2" borderId="0" xfId="0" applyNumberFormat="1" applyFont="1" applyFill="1" applyAlignment="1">
      <alignment vertical="top" wrapText="1"/>
    </xf>
    <xf numFmtId="165" fontId="0" fillId="2" borderId="0" xfId="0" applyNumberFormat="1" applyFill="1"/>
    <xf numFmtId="165" fontId="21" fillId="2" borderId="0" xfId="0" applyNumberFormat="1" applyFont="1" applyFill="1" applyAlignment="1">
      <alignment horizontal="left" vertical="top" wrapText="1"/>
    </xf>
    <xf numFmtId="165" fontId="0" fillId="2" borderId="0" xfId="0" applyNumberFormat="1" applyFill="1" applyAlignment="1">
      <alignment horizontal="left"/>
    </xf>
    <xf numFmtId="0" fontId="13" fillId="3" borderId="0" xfId="0" applyFont="1" applyFill="1" applyAlignment="1">
      <alignment horizontal="left"/>
    </xf>
    <xf numFmtId="0" fontId="0" fillId="0" borderId="0" xfId="0" applyFill="1" applyAlignment="1">
      <alignment vertical="center" wrapText="1"/>
    </xf>
    <xf numFmtId="0" fontId="8" fillId="4" borderId="0" xfId="0" applyFont="1" applyFill="1" applyBorder="1" applyAlignment="1">
      <alignment horizontal="left" vertical="center"/>
    </xf>
    <xf numFmtId="3" fontId="0" fillId="4" borderId="0" xfId="0" applyNumberFormat="1" applyFill="1" applyAlignment="1">
      <alignment horizontal="center" vertical="center" wrapText="1"/>
    </xf>
    <xf numFmtId="164" fontId="0" fillId="4" borderId="0" xfId="0" applyNumberFormat="1" applyFill="1" applyAlignment="1">
      <alignment horizontal="center" wrapText="1"/>
    </xf>
    <xf numFmtId="1" fontId="0" fillId="4" borderId="0" xfId="0" applyNumberFormat="1" applyFill="1" applyAlignment="1">
      <alignment horizontal="center" vertical="center" wrapText="1"/>
    </xf>
    <xf numFmtId="0" fontId="0" fillId="2" borderId="0" xfId="0" applyFill="1" applyAlignment="1">
      <alignment vertical="center" wrapText="1"/>
    </xf>
    <xf numFmtId="9" fontId="0" fillId="2" borderId="0" xfId="0" applyNumberFormat="1" applyFill="1" applyAlignment="1">
      <alignment vertical="center" wrapText="1"/>
    </xf>
    <xf numFmtId="0" fontId="7" fillId="4" borderId="0" xfId="0" applyFont="1" applyFill="1" applyBorder="1" applyAlignment="1">
      <alignment horizontal="left" vertical="center"/>
    </xf>
    <xf numFmtId="166" fontId="0" fillId="4" borderId="0" xfId="0" applyNumberFormat="1" applyFill="1" applyAlignment="1">
      <alignment horizontal="center" vertical="center" wrapText="1"/>
    </xf>
    <xf numFmtId="0" fontId="23" fillId="4" borderId="2" xfId="0" applyFont="1" applyFill="1" applyBorder="1" applyAlignment="1">
      <alignment horizontal="center" vertical="center"/>
    </xf>
    <xf numFmtId="0" fontId="15" fillId="0" borderId="0" xfId="0" applyFont="1" applyFill="1" applyAlignment="1">
      <alignment vertical="center" wrapText="1"/>
    </xf>
    <xf numFmtId="0" fontId="15" fillId="3" borderId="0" xfId="0" applyFont="1" applyFill="1" applyAlignment="1">
      <alignment horizontal="left" vertical="center" wrapText="1"/>
    </xf>
    <xf numFmtId="0" fontId="0" fillId="0" borderId="0" xfId="0" applyAlignment="1">
      <alignment vertical="center" wrapText="1"/>
    </xf>
    <xf numFmtId="0" fontId="0" fillId="0" borderId="0" xfId="0"/>
    <xf numFmtId="0" fontId="0" fillId="2" borderId="0" xfId="0" applyFill="1" applyAlignment="1">
      <alignment wrapText="1"/>
    </xf>
    <xf numFmtId="0" fontId="0" fillId="0" borderId="0" xfId="0" applyFill="1" applyAlignment="1">
      <alignment wrapText="1"/>
    </xf>
    <xf numFmtId="0" fontId="0" fillId="2" borderId="0" xfId="0" applyFill="1" applyBorder="1"/>
    <xf numFmtId="0" fontId="17" fillId="5" borderId="0" xfId="0" applyFont="1" applyFill="1" applyBorder="1" applyAlignment="1">
      <alignment horizontal="left" vertical="top" wrapText="1"/>
    </xf>
    <xf numFmtId="0" fontId="0" fillId="0" borderId="0" xfId="0" applyBorder="1"/>
    <xf numFmtId="0" fontId="0" fillId="2" borderId="0" xfId="0" applyFill="1" applyBorder="1" applyAlignment="1">
      <alignment horizontal="left"/>
    </xf>
    <xf numFmtId="0" fontId="0" fillId="2" borderId="0" xfId="0" applyFill="1" applyAlignment="1"/>
    <xf numFmtId="0" fontId="39" fillId="2" borderId="0" xfId="0" applyFont="1" applyFill="1" applyAlignment="1">
      <alignment horizontal="left"/>
    </xf>
    <xf numFmtId="0" fontId="39" fillId="2" borderId="0" xfId="0" applyFont="1" applyFill="1" applyAlignment="1"/>
    <xf numFmtId="0" fontId="39" fillId="2" borderId="0" xfId="0" applyFont="1" applyFill="1" applyAlignment="1">
      <alignment horizontal="right"/>
    </xf>
    <xf numFmtId="0" fontId="5" fillId="2" borderId="0" xfId="0" applyFont="1" applyFill="1" applyBorder="1" applyAlignment="1">
      <alignment vertical="top" wrapText="1"/>
    </xf>
    <xf numFmtId="0" fontId="39" fillId="2" borderId="0" xfId="0" applyFont="1" applyFill="1" applyBorder="1" applyAlignment="1">
      <alignment horizontal="left"/>
    </xf>
    <xf numFmtId="165" fontId="39" fillId="2" borderId="0" xfId="0" applyNumberFormat="1" applyFont="1" applyFill="1" applyAlignment="1">
      <alignment horizontal="right"/>
    </xf>
    <xf numFmtId="0" fontId="0" fillId="2" borderId="0" xfId="0" applyFont="1" applyFill="1" applyBorder="1" applyAlignment="1">
      <alignment horizontal="left"/>
    </xf>
    <xf numFmtId="0" fontId="0" fillId="0" borderId="0" xfId="0" applyAlignment="1">
      <alignment horizontal="center"/>
    </xf>
    <xf numFmtId="0" fontId="17" fillId="2" borderId="0" xfId="0" applyFont="1" applyFill="1" applyBorder="1" applyAlignment="1">
      <alignment horizontal="left" vertical="top" wrapText="1"/>
    </xf>
    <xf numFmtId="0" fontId="21" fillId="5" borderId="0" xfId="0" applyFont="1" applyFill="1" applyBorder="1" applyAlignment="1">
      <alignment vertical="top" wrapText="1"/>
    </xf>
    <xf numFmtId="0" fontId="5" fillId="2" borderId="0" xfId="0" applyFont="1" applyFill="1" applyBorder="1" applyAlignment="1">
      <alignment horizontal="left" vertical="top" wrapText="1"/>
    </xf>
    <xf numFmtId="0" fontId="0" fillId="2" borderId="0" xfId="0" applyFont="1" applyFill="1" applyBorder="1" applyAlignment="1">
      <alignment horizontal="left" vertical="top"/>
    </xf>
    <xf numFmtId="165" fontId="21" fillId="2" borderId="0" xfId="0" applyNumberFormat="1" applyFont="1" applyFill="1" applyBorder="1" applyAlignment="1">
      <alignment vertical="top" wrapText="1"/>
    </xf>
    <xf numFmtId="165" fontId="21" fillId="2" borderId="0" xfId="0" applyNumberFormat="1" applyFont="1" applyFill="1" applyBorder="1" applyAlignment="1">
      <alignment horizontal="left" vertical="top" wrapText="1"/>
    </xf>
    <xf numFmtId="165" fontId="0" fillId="2" borderId="0" xfId="0" applyNumberFormat="1" applyFont="1" applyFill="1" applyBorder="1" applyAlignment="1">
      <alignment horizontal="left" vertical="top"/>
    </xf>
    <xf numFmtId="165" fontId="39" fillId="2" borderId="0" xfId="0" applyNumberFormat="1" applyFont="1" applyFill="1" applyBorder="1" applyAlignment="1">
      <alignment horizontal="left" vertical="top"/>
    </xf>
    <xf numFmtId="0" fontId="39" fillId="2" borderId="0" xfId="0" applyFont="1" applyFill="1" applyBorder="1" applyAlignment="1">
      <alignment horizontal="left" vertical="top"/>
    </xf>
    <xf numFmtId="165" fontId="43" fillId="2" borderId="0" xfId="0" applyNumberFormat="1" applyFont="1" applyFill="1" applyBorder="1" applyAlignment="1">
      <alignment horizontal="left" vertical="top" wrapText="1"/>
    </xf>
    <xf numFmtId="165" fontId="17" fillId="2" borderId="0" xfId="0" applyNumberFormat="1" applyFont="1" applyFill="1" applyBorder="1" applyAlignment="1">
      <alignment horizontal="left" vertical="top" wrapText="1"/>
    </xf>
    <xf numFmtId="0" fontId="0" fillId="0" borderId="0" xfId="0" applyAlignment="1">
      <alignment wrapText="1"/>
    </xf>
    <xf numFmtId="0" fontId="0" fillId="0" borderId="0" xfId="0" applyAlignment="1">
      <alignment wrapText="1"/>
    </xf>
    <xf numFmtId="0" fontId="17" fillId="2" borderId="0" xfId="0" applyFont="1" applyFill="1" applyBorder="1" applyAlignment="1">
      <alignment horizontal="left" vertical="top" wrapText="1"/>
    </xf>
    <xf numFmtId="0" fontId="21" fillId="2" borderId="0" xfId="0" applyFont="1" applyFill="1" applyAlignment="1">
      <alignment vertical="top" wrapText="1"/>
    </xf>
    <xf numFmtId="9" fontId="5" fillId="2" borderId="0" xfId="0" applyNumberFormat="1" applyFont="1" applyFill="1" applyAlignment="1">
      <alignment vertical="top" wrapText="1"/>
    </xf>
    <xf numFmtId="9" fontId="5" fillId="2" borderId="0" xfId="0" applyNumberFormat="1" applyFont="1" applyFill="1" applyBorder="1" applyAlignment="1">
      <alignment vertical="top" wrapText="1"/>
    </xf>
    <xf numFmtId="9" fontId="0" fillId="2" borderId="0" xfId="0" applyNumberFormat="1" applyFill="1"/>
    <xf numFmtId="0" fontId="21" fillId="0" borderId="0" xfId="0" applyFont="1" applyFill="1" applyAlignment="1">
      <alignment vertical="top" wrapText="1"/>
    </xf>
    <xf numFmtId="0" fontId="21" fillId="0" borderId="0" xfId="0" applyFont="1" applyFill="1" applyAlignment="1">
      <alignment horizontal="left" vertical="top" wrapText="1"/>
    </xf>
    <xf numFmtId="0" fontId="13" fillId="3" borderId="0" xfId="0" applyFont="1" applyFill="1" applyAlignment="1">
      <alignment horizontal="left" vertical="center" wrapText="1"/>
    </xf>
    <xf numFmtId="0" fontId="18" fillId="3" borderId="0" xfId="0" applyFont="1" applyFill="1" applyBorder="1" applyAlignment="1">
      <alignment horizontal="left" vertical="center" wrapText="1"/>
    </xf>
    <xf numFmtId="0" fontId="13" fillId="3" borderId="0" xfId="0" applyFont="1" applyFill="1" applyAlignment="1">
      <alignment vertical="center" wrapText="1"/>
    </xf>
    <xf numFmtId="0" fontId="0" fillId="0" borderId="0" xfId="0" applyAlignment="1">
      <alignment wrapText="1"/>
    </xf>
    <xf numFmtId="0" fontId="18" fillId="3" borderId="0" xfId="0" applyFont="1" applyFill="1" applyAlignment="1">
      <alignment horizontal="left" vertical="center" wrapText="1"/>
    </xf>
    <xf numFmtId="0" fontId="15" fillId="3" borderId="0" xfId="0" applyFont="1" applyFill="1" applyAlignment="1">
      <alignment horizontal="left" vertical="center" wrapText="1"/>
    </xf>
    <xf numFmtId="0" fontId="20" fillId="3" borderId="0" xfId="0" applyFont="1" applyFill="1" applyAlignment="1">
      <alignment horizontal="left" vertical="center" wrapText="1"/>
    </xf>
    <xf numFmtId="0" fontId="18" fillId="3" borderId="0" xfId="0" applyFont="1" applyFill="1" applyAlignment="1">
      <alignment horizontal="left" wrapText="1"/>
    </xf>
    <xf numFmtId="0" fontId="13" fillId="3" borderId="0" xfId="0" applyFont="1" applyFill="1" applyAlignment="1">
      <alignment horizontal="left" wrapText="1"/>
    </xf>
  </cellXfs>
  <cellStyles count="44">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Lien hypertexte" xfId="42" builtinId="8" customBuiltin="1"/>
    <cellStyle name="Lien hypertexte visité" xfId="43" builtinId="9"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F0FEFD"/>
      <color rgb="FFFF3300"/>
      <color rgb="FFDA90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701391794624706E-2"/>
          <c:y val="5.5226824457593686E-2"/>
          <c:w val="0.8618053178135342"/>
          <c:h val="0.8387507297725757"/>
        </c:manualLayout>
      </c:layout>
      <c:lineChart>
        <c:grouping val="standard"/>
        <c:varyColors val="0"/>
        <c:ser>
          <c:idx val="0"/>
          <c:order val="0"/>
          <c:spPr>
            <a:ln w="28575" cap="rnd">
              <a:solidFill>
                <a:schemeClr val="accent1"/>
              </a:solidFill>
              <a:round/>
            </a:ln>
            <a:effectLst>
              <a:outerShdw blurRad="50800" dist="38100" dir="2700000" algn="tl" rotWithShape="0">
                <a:prstClr val="black">
                  <a:alpha val="40000"/>
                </a:prstClr>
              </a:outerShdw>
            </a:effectLst>
          </c:spPr>
          <c:marker>
            <c:symbol val="none"/>
          </c:marker>
          <c:cat>
            <c:numRef>
              <c:f>'2.CourbeRepères'!$B$20:$K$20</c:f>
              <c:numCache>
                <c:formatCode>General</c:formatCode>
                <c:ptCount val="10"/>
                <c:pt idx="0">
                  <c:v>2006</c:v>
                </c:pt>
                <c:pt idx="1">
                  <c:v>2007</c:v>
                </c:pt>
                <c:pt idx="2">
                  <c:v>2008</c:v>
                </c:pt>
                <c:pt idx="3">
                  <c:v>2009</c:v>
                </c:pt>
                <c:pt idx="4">
                  <c:v>2010</c:v>
                </c:pt>
                <c:pt idx="5">
                  <c:v>2011</c:v>
                </c:pt>
                <c:pt idx="6">
                  <c:v>2012</c:v>
                </c:pt>
                <c:pt idx="7">
                  <c:v>2013</c:v>
                </c:pt>
                <c:pt idx="8">
                  <c:v>2014</c:v>
                </c:pt>
                <c:pt idx="9">
                  <c:v>2015</c:v>
                </c:pt>
              </c:numCache>
            </c:numRef>
          </c:cat>
          <c:val>
            <c:numRef>
              <c:f>'2.CourbeRepères'!$B$21:$K$21</c:f>
              <c:numCache>
                <c:formatCode>General</c:formatCode>
                <c:ptCount val="10"/>
                <c:pt idx="0">
                  <c:v>896914</c:v>
                </c:pt>
                <c:pt idx="1">
                  <c:v>1154479</c:v>
                </c:pt>
                <c:pt idx="2">
                  <c:v>1210300</c:v>
                </c:pt>
                <c:pt idx="3">
                  <c:v>1416287</c:v>
                </c:pt>
                <c:pt idx="4">
                  <c:v>1407421</c:v>
                </c:pt>
                <c:pt idx="5">
                  <c:v>1412066</c:v>
                </c:pt>
                <c:pt idx="6">
                  <c:v>1217751</c:v>
                </c:pt>
                <c:pt idx="7">
                  <c:v>1240889</c:v>
                </c:pt>
                <c:pt idx="8">
                  <c:v>1188352</c:v>
                </c:pt>
                <c:pt idx="9">
                  <c:v>1195175</c:v>
                </c:pt>
              </c:numCache>
            </c:numRef>
          </c:val>
          <c:smooth val="0"/>
        </c:ser>
        <c:dLbls>
          <c:showLegendKey val="0"/>
          <c:showVal val="0"/>
          <c:showCatName val="0"/>
          <c:showSerName val="0"/>
          <c:showPercent val="0"/>
          <c:showBubbleSize val="0"/>
        </c:dLbls>
        <c:smooth val="0"/>
        <c:axId val="340670368"/>
        <c:axId val="340664208"/>
      </c:lineChart>
      <c:catAx>
        <c:axId val="340670368"/>
        <c:scaling>
          <c:orientation val="minMax"/>
        </c:scaling>
        <c:delete val="0"/>
        <c:axPos val="b"/>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40664208"/>
        <c:crossesAt val="0"/>
        <c:auto val="1"/>
        <c:lblAlgn val="ctr"/>
        <c:lblOffset val="100"/>
        <c:noMultiLvlLbl val="0"/>
      </c:catAx>
      <c:valAx>
        <c:axId val="340664208"/>
        <c:scaling>
          <c:orientation val="minMax"/>
          <c:max val="1800000"/>
          <c:min val="0"/>
        </c:scaling>
        <c:delete val="0"/>
        <c:axPos val="l"/>
        <c:majorGridlines>
          <c:spPr>
            <a:ln w="9525" cap="flat" cmpd="sng" algn="ctr">
              <a:solidFill>
                <a:schemeClr val="bg1">
                  <a:lumMod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40670368"/>
        <c:crosses val="autoZero"/>
        <c:crossBetween val="midCat"/>
        <c:majorUnit val="300000"/>
        <c:minorUnit val="100000"/>
      </c:valAx>
      <c:spPr>
        <a:solidFill>
          <a:schemeClr val="bg1">
            <a:lumMod val="95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351751221516966E-2"/>
          <c:y val="6.9295412513496232E-2"/>
          <c:w val="0.27664438679329717"/>
          <c:h val="0.83473062976954471"/>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dLblPos val="in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'3.TypeActe'!$A$23:$A$25</c:f>
              <c:strCache>
                <c:ptCount val="3"/>
                <c:pt idx="0">
                  <c:v>Une dégradation (inscriptions sur les murs, plante abîmée ou clôture endommagée , jet de détritus)</c:v>
                </c:pt>
                <c:pt idx="1">
                  <c:v>Une destruction totale (boîte aux lettres, vitres ou pots de fleurs cassés, volets arrachées,...)</c:v>
                </c:pt>
                <c:pt idx="2">
                  <c:v>Les deux (murs tagués et vitres cassés par exemple)</c:v>
                </c:pt>
              </c:strCache>
            </c:strRef>
          </c:cat>
          <c:val>
            <c:numRef>
              <c:f>'3.TypeActe'!$B$23:$B$25</c:f>
              <c:numCache>
                <c:formatCode>0%</c:formatCode>
                <c:ptCount val="3"/>
                <c:pt idx="0">
                  <c:v>0.72</c:v>
                </c:pt>
                <c:pt idx="1">
                  <c:v>0.26</c:v>
                </c:pt>
                <c:pt idx="2">
                  <c:v>0.02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8198723223072328"/>
          <c:y val="0.22350674373795762"/>
          <c:w val="0.61423786682799508"/>
          <c:h val="0.61464354527938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2839175103112111"/>
          <c:y val="7.0562415860379077E-2"/>
          <c:w val="0.51441641223418499"/>
          <c:h val="0.54796530868424054"/>
        </c:manualLayout>
      </c:layout>
      <c:pieChart>
        <c:varyColors val="1"/>
        <c:ser>
          <c:idx val="0"/>
          <c:order val="0"/>
          <c:dPt>
            <c:idx val="0"/>
            <c:bubble3D val="0"/>
            <c:spPr>
              <a:solidFill>
                <a:schemeClr val="accent1">
                  <a:lumMod val="20000"/>
                  <a:lumOff val="80000"/>
                </a:schemeClr>
              </a:solidFill>
              <a:ln w="9525" cap="flat" cmpd="sng" algn="ctr">
                <a:solidFill>
                  <a:schemeClr val="accent1">
                    <a:lumMod val="20000"/>
                    <a:lumOff val="80000"/>
                  </a:schemeClr>
                </a:solidFill>
                <a:round/>
              </a:ln>
              <a:effectLst/>
            </c:spPr>
          </c:dPt>
          <c:dPt>
            <c:idx val="1"/>
            <c:bubble3D val="0"/>
            <c:spPr>
              <a:solidFill>
                <a:schemeClr val="accent1">
                  <a:lumMod val="60000"/>
                  <a:lumOff val="40000"/>
                </a:schemeClr>
              </a:solidFill>
              <a:ln w="9525" cap="flat" cmpd="sng" algn="ctr">
                <a:solidFill>
                  <a:schemeClr val="accent1">
                    <a:lumMod val="60000"/>
                    <a:lumOff val="40000"/>
                  </a:schemeClr>
                </a:solidFill>
                <a:round/>
              </a:ln>
              <a:effectLst/>
            </c:spPr>
          </c:dPt>
          <c:dPt>
            <c:idx val="2"/>
            <c:bubble3D val="0"/>
            <c:spPr>
              <a:solidFill>
                <a:schemeClr val="tx1">
                  <a:lumMod val="50000"/>
                  <a:lumOff val="50000"/>
                </a:schemeClr>
              </a:solidFill>
              <a:ln w="9525" cap="flat" cmpd="sng" algn="ctr">
                <a:solidFill>
                  <a:schemeClr val="tx1">
                    <a:lumMod val="50000"/>
                    <a:lumOff val="50000"/>
                  </a:schemeClr>
                </a:solidFill>
                <a:round/>
              </a:ln>
              <a:effectLst/>
            </c:spPr>
          </c:dPt>
          <c:dPt>
            <c:idx val="3"/>
            <c:bubble3D val="0"/>
            <c:spPr>
              <a:solidFill>
                <a:schemeClr val="bg1">
                  <a:lumMod val="65000"/>
                </a:schemeClr>
              </a:solidFill>
              <a:ln w="9525" cap="flat" cmpd="sng" algn="ctr">
                <a:solidFill>
                  <a:schemeClr val="bg1">
                    <a:lumMod val="65000"/>
                  </a:schemeClr>
                </a:solidFill>
                <a:round/>
              </a:ln>
              <a:effectLst/>
            </c:spPr>
          </c:dPt>
          <c:dLbls>
            <c:dLbl>
              <c:idx val="0"/>
              <c:layout>
                <c:manualLayout>
                  <c:x val="-0.12651861374471057"/>
                  <c:y val="6.9746890334360351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2354170014462477"/>
                  <c:y val="1.19030324161509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dLbl>
              <c:idx val="3"/>
              <c:layout>
                <c:manualLayout>
                  <c:x val="7.4677808131126469E-2"/>
                  <c:y val="7.9950799507995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'4.CoutActe'!$A$30:$A$33</c:f>
              <c:strCache>
                <c:ptCount val="3"/>
                <c:pt idx="0">
                  <c:v>Moins de 150 euros</c:v>
                </c:pt>
                <c:pt idx="1">
                  <c:v>150 euros ou plus</c:v>
                </c:pt>
                <c:pt idx="2">
                  <c:v>Non renseigné</c:v>
                </c:pt>
              </c:strCache>
            </c:strRef>
          </c:cat>
          <c:val>
            <c:numRef>
              <c:f>'4.CoutActe'!$B$30:$B$33</c:f>
              <c:numCache>
                <c:formatCode>0%</c:formatCode>
                <c:ptCount val="4"/>
                <c:pt idx="0">
                  <c:v>0.3498</c:v>
                </c:pt>
                <c:pt idx="1">
                  <c:v>0.20220000000000005</c:v>
                </c:pt>
                <c:pt idx="2">
                  <c:v>0.44800000000000001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3"/>
        <c:delete val="1"/>
      </c:legendEntry>
      <c:layout>
        <c:manualLayout>
          <c:xMode val="edge"/>
          <c:yMode val="edge"/>
          <c:x val="7.6124912957308902E-2"/>
          <c:y val="0.71565080451900032"/>
          <c:w val="0.8140245326477048"/>
          <c:h val="0.26393974666210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03153523719982"/>
          <c:y val="0.20818235955799647"/>
          <c:w val="0.81928687272299916"/>
          <c:h val="0.61414146761066635"/>
        </c:manualLayout>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0"/>
              <c:layout>
                <c:manualLayout>
                  <c:x val="3.9800995024875619E-3"/>
                  <c:y val="2.4645713023765087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
                  <c:y val="9.8582852095060267E-3"/>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7.2967647950442939E-17"/>
                  <c:y val="9.8582852095060267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'4.CoutActe'!$A$23:$A$25</c:f>
              <c:strCache>
                <c:ptCount val="3"/>
                <c:pt idx="0">
                  <c:v> Importants</c:v>
                </c:pt>
                <c:pt idx="1">
                  <c:v>Assez importants</c:v>
                </c:pt>
                <c:pt idx="2">
                  <c:v>Peu importants</c:v>
                </c:pt>
              </c:strCache>
            </c:strRef>
          </c:cat>
          <c:val>
            <c:numRef>
              <c:f>'4.CoutActe'!$B$23:$B$25</c:f>
              <c:numCache>
                <c:formatCode>0%</c:formatCode>
                <c:ptCount val="3"/>
                <c:pt idx="0">
                  <c:v>0.27788469588145698</c:v>
                </c:pt>
                <c:pt idx="1">
                  <c:v>0.25523421189020201</c:v>
                </c:pt>
                <c:pt idx="2">
                  <c:v>0.45959518175154501</c:v>
                </c:pt>
              </c:numCache>
            </c:numRef>
          </c:val>
        </c:ser>
        <c:dLbls>
          <c:showLegendKey val="0"/>
          <c:showVal val="0"/>
          <c:showCatName val="0"/>
          <c:showSerName val="0"/>
          <c:showPercent val="0"/>
          <c:showBubbleSize val="0"/>
        </c:dLbls>
        <c:gapWidth val="160"/>
        <c:overlap val="-24"/>
        <c:axId val="276641728"/>
        <c:axId val="276640608"/>
      </c:barChart>
      <c:catAx>
        <c:axId val="27664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40608"/>
        <c:crosses val="autoZero"/>
        <c:auto val="1"/>
        <c:lblAlgn val="ctr"/>
        <c:lblOffset val="100"/>
        <c:noMultiLvlLbl val="0"/>
      </c:catAx>
      <c:valAx>
        <c:axId val="276640608"/>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41728"/>
        <c:crosses val="autoZero"/>
        <c:crossBetween val="between"/>
        <c:majorUnit val="0.1"/>
      </c:valAx>
      <c:spPr>
        <a:solidFill>
          <a:schemeClr val="bg1">
            <a:lumMod val="95000"/>
          </a:schemeClr>
        </a:solidFill>
        <a:ln>
          <a:solidFill>
            <a:schemeClr val="bg2">
              <a:lumMod val="90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496518513698175E-2"/>
          <c:y val="0.13004629629629633"/>
          <c:w val="0.25231608858810006"/>
          <c:h val="0.68453467980179605"/>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'5.RecoursPolice'!$A$18:$A$20</c:f>
              <c:strCache>
                <c:ptCount val="3"/>
                <c:pt idx="0">
                  <c:v>Ménages qui n'ont fait aucune déclaration à la police ou à la gendarmerie</c:v>
                </c:pt>
                <c:pt idx="1">
                  <c:v>Ménages qui se sont déplacés au commissariat de police ou à la gendarmerie et qui ont déposé plainte.</c:v>
                </c:pt>
                <c:pt idx="2">
                  <c:v>Ménages qui se sont déplacés au commissariat de police ou à la gendarmerie et qui ont déposé une main courante ou ont abandonné leur démarche sur place</c:v>
                </c:pt>
              </c:strCache>
            </c:strRef>
          </c:cat>
          <c:val>
            <c:numRef>
              <c:f>'5.RecoursPolice'!$B$18:$B$20</c:f>
              <c:numCache>
                <c:formatCode>0%</c:formatCode>
                <c:ptCount val="3"/>
                <c:pt idx="0">
                  <c:v>0.81809508046071</c:v>
                </c:pt>
                <c:pt idx="1">
                  <c:v>9.3430298804768205E-2</c:v>
                </c:pt>
                <c:pt idx="2">
                  <c:v>8.1008176119519298E-2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280080692392789"/>
          <c:y val="0.11284959335240045"/>
          <c:w val="0.54481160929264005"/>
          <c:h val="0.79618265726262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496518513698175E-2"/>
          <c:y val="0.13004629629629633"/>
          <c:w val="0.25231608858810006"/>
          <c:h val="0.68453467980179605"/>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no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noFill/>
                <a:round/>
              </a:ln>
              <a:effectLst/>
            </c:spPr>
          </c:dPt>
          <c:dLbls>
            <c:dLbl>
              <c:idx val="2"/>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'6.RecoursAssurance'!$A$18:$A$21</c:f>
              <c:strCache>
                <c:ptCount val="4"/>
                <c:pt idx="0">
                  <c:v>Ménages assurés qui ont fait une déclaration auprès de leur assurance</c:v>
                </c:pt>
                <c:pt idx="1">
                  <c:v>Ménages assurés qui n'ont pas fait de déclaration auprès de leur assurance ou ménages non assurés</c:v>
                </c:pt>
                <c:pt idx="2">
                  <c:v>NSP</c:v>
                </c:pt>
                <c:pt idx="3">
                  <c:v>NSP</c:v>
                </c:pt>
              </c:strCache>
            </c:strRef>
          </c:cat>
          <c:val>
            <c:numRef>
              <c:f>'6.RecoursAssurance'!$B$18:$B$21</c:f>
              <c:numCache>
                <c:formatCode>0%</c:formatCode>
                <c:ptCount val="4"/>
                <c:pt idx="0">
                  <c:v>0.08</c:v>
                </c:pt>
                <c:pt idx="1">
                  <c:v>0.9</c:v>
                </c:pt>
                <c:pt idx="2">
                  <c:v>0</c:v>
                </c:pt>
                <c:pt idx="3">
                  <c:v>0.02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2"/>
        <c:delete val="1"/>
      </c:legendEntry>
      <c:layout>
        <c:manualLayout>
          <c:xMode val="edge"/>
          <c:yMode val="edge"/>
          <c:x val="0.36861276955765143"/>
          <c:y val="0.16972148623602146"/>
          <c:w val="0.54481160929264005"/>
          <c:h val="0.657162120137826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713110556302415"/>
          <c:y val="0.14841415125350962"/>
          <c:w val="0.62229978874591885"/>
          <c:h val="0.74052290636902918"/>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3"/>
              <c:layout>
                <c:manualLayout>
                  <c:x val="-1.3745704467353952E-2"/>
                  <c:y val="0"/>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8327605956471937E-2"/>
                  <c:y val="0"/>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1.8327605956471937E-2"/>
                  <c:y val="5.3547523427041497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'7.Profil1'!$B$30:$B$37</c:f>
              <c:strCache>
                <c:ptCount val="8"/>
                <c:pt idx="0">
                  <c:v>Ouest</c:v>
                </c:pt>
                <c:pt idx="1">
                  <c:v>Bassin parisien</c:v>
                </c:pt>
                <c:pt idx="2">
                  <c:v>Sud-Ouest</c:v>
                </c:pt>
                <c:pt idx="3">
                  <c:v>Est</c:v>
                </c:pt>
                <c:pt idx="4">
                  <c:v>Région parisienne</c:v>
                </c:pt>
                <c:pt idx="5">
                  <c:v>Méditerranée</c:v>
                </c:pt>
                <c:pt idx="6">
                  <c:v>Centre-est</c:v>
                </c:pt>
                <c:pt idx="7">
                  <c:v>Nord</c:v>
                </c:pt>
              </c:strCache>
            </c:strRef>
          </c:cat>
          <c:val>
            <c:numRef>
              <c:f>'7.Profil1'!$C$30:$C$37</c:f>
              <c:numCache>
                <c:formatCode>0.0%</c:formatCode>
                <c:ptCount val="8"/>
                <c:pt idx="0">
                  <c:v>1.47E-2</c:v>
                </c:pt>
                <c:pt idx="1">
                  <c:v>1.6500000000000001E-2</c:v>
                </c:pt>
                <c:pt idx="2">
                  <c:v>1.67E-2</c:v>
                </c:pt>
                <c:pt idx="3">
                  <c:v>2.2799999999999997E-2</c:v>
                </c:pt>
                <c:pt idx="4">
                  <c:v>2.3099999999999999E-2</c:v>
                </c:pt>
                <c:pt idx="5">
                  <c:v>2.46E-2</c:v>
                </c:pt>
                <c:pt idx="6">
                  <c:v>3.3599999999999998E-2</c:v>
                </c:pt>
                <c:pt idx="7">
                  <c:v>3.3700000000000001E-2</c:v>
                </c:pt>
              </c:numCache>
            </c:numRef>
          </c:val>
        </c:ser>
        <c:dLbls>
          <c:showLegendKey val="0"/>
          <c:showVal val="0"/>
          <c:showCatName val="0"/>
          <c:showSerName val="0"/>
          <c:showPercent val="0"/>
          <c:showBubbleSize val="0"/>
        </c:dLbls>
        <c:gapWidth val="100"/>
        <c:axId val="276654608"/>
        <c:axId val="276655168"/>
      </c:barChart>
      <c:catAx>
        <c:axId val="27665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55168"/>
        <c:crosses val="autoZero"/>
        <c:auto val="1"/>
        <c:lblAlgn val="ctr"/>
        <c:lblOffset val="100"/>
        <c:noMultiLvlLbl val="0"/>
      </c:catAx>
      <c:valAx>
        <c:axId val="276655168"/>
        <c:scaling>
          <c:orientation val="minMax"/>
          <c:max val="4.0000000000000008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54608"/>
        <c:crosses val="autoZero"/>
        <c:crossBetween val="between"/>
        <c:majorUnit val="1.0000000000000002E-2"/>
        <c:minorUnit val="5.000000000000001E-3"/>
      </c:valAx>
      <c:spPr>
        <a:solidFill>
          <a:schemeClr val="bg1">
            <a:lumMod val="95000"/>
          </a:schemeClr>
        </a:solidFill>
        <a:ln>
          <a:solidFill>
            <a:schemeClr val="bg1">
              <a:lumMod val="8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6294072901461734"/>
          <c:y val="0.16907480314960632"/>
          <c:w val="0.376118363794604"/>
          <c:h val="0.65695345799786886"/>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4"/>
              <c:layout>
                <c:manualLayout>
                  <c:x val="-1.966568338249754E-2"/>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'7.Profil1'!$B$40:$B$44</c:f>
              <c:strCache>
                <c:ptCount val="5"/>
                <c:pt idx="0">
                  <c:v>Communes rurales</c:v>
                </c:pt>
                <c:pt idx="1">
                  <c:v>Moins de 20 000 habitants</c:v>
                </c:pt>
                <c:pt idx="2">
                  <c:v>Agglomération parisienne</c:v>
                </c:pt>
                <c:pt idx="3">
                  <c:v>20 000 - moins de 100 000 habitants</c:v>
                </c:pt>
                <c:pt idx="4">
                  <c:v>100 000 habitants ou plus</c:v>
                </c:pt>
              </c:strCache>
            </c:strRef>
          </c:cat>
          <c:val>
            <c:numRef>
              <c:f>'7.Profil1'!$C$40:$C$44</c:f>
              <c:numCache>
                <c:formatCode>0.0%</c:formatCode>
                <c:ptCount val="5"/>
                <c:pt idx="0">
                  <c:v>9.0000000000000011E-3</c:v>
                </c:pt>
                <c:pt idx="1">
                  <c:v>1.6200000000000003E-2</c:v>
                </c:pt>
                <c:pt idx="2">
                  <c:v>2.3E-2</c:v>
                </c:pt>
                <c:pt idx="3">
                  <c:v>2.3399999999999997E-2</c:v>
                </c:pt>
                <c:pt idx="4">
                  <c:v>3.3599999999999998E-2</c:v>
                </c:pt>
              </c:numCache>
            </c:numRef>
          </c:val>
        </c:ser>
        <c:dLbls>
          <c:showLegendKey val="0"/>
          <c:showVal val="0"/>
          <c:showCatName val="0"/>
          <c:showSerName val="0"/>
          <c:showPercent val="0"/>
          <c:showBubbleSize val="0"/>
        </c:dLbls>
        <c:gapWidth val="177"/>
        <c:axId val="276657408"/>
        <c:axId val="276657968"/>
      </c:barChart>
      <c:catAx>
        <c:axId val="27665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57968"/>
        <c:crosses val="autoZero"/>
        <c:auto val="1"/>
        <c:lblAlgn val="ctr"/>
        <c:lblOffset val="100"/>
        <c:noMultiLvlLbl val="0"/>
      </c:catAx>
      <c:valAx>
        <c:axId val="276657968"/>
        <c:scaling>
          <c:orientation val="minMax"/>
          <c:max val="4.0000000000000008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57408"/>
        <c:crosses val="autoZero"/>
        <c:crossBetween val="between"/>
        <c:majorUnit val="1.0000000000000002E-2"/>
        <c:minorUnit val="5.000000000000001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695274816311677"/>
          <c:y val="0.34066538979924804"/>
          <c:w val="0.60210655084043696"/>
          <c:h val="0.44073679979191782"/>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0"/>
              <c:layout>
                <c:manualLayout>
                  <c:x val="-1.966568338249754E-2"/>
                  <c:y val="-1.1010883812341616E-16"/>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1799410029498525E-2"/>
                  <c:y val="1.2012012012012012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'7.Profil1'!$B$47:$B$48</c:f>
              <c:strCache>
                <c:ptCount val="2"/>
                <c:pt idx="0">
                  <c:v>Hors Zus</c:v>
                </c:pt>
                <c:pt idx="1">
                  <c:v>En Zus</c:v>
                </c:pt>
              </c:strCache>
            </c:strRef>
          </c:cat>
          <c:val>
            <c:numRef>
              <c:f>'7.Profil1'!$C$47:$C$48</c:f>
              <c:numCache>
                <c:formatCode>0.0%</c:formatCode>
                <c:ptCount val="2"/>
                <c:pt idx="0">
                  <c:v>2.0799999999999999E-2</c:v>
                </c:pt>
                <c:pt idx="1">
                  <c:v>4.3700000000000003E-2</c:v>
                </c:pt>
              </c:numCache>
            </c:numRef>
          </c:val>
        </c:ser>
        <c:dLbls>
          <c:showLegendKey val="0"/>
          <c:showVal val="0"/>
          <c:showCatName val="0"/>
          <c:showSerName val="0"/>
          <c:showPercent val="0"/>
          <c:showBubbleSize val="0"/>
        </c:dLbls>
        <c:gapWidth val="177"/>
        <c:axId val="276660208"/>
        <c:axId val="276660768"/>
      </c:barChart>
      <c:catAx>
        <c:axId val="27666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60768"/>
        <c:crosses val="autoZero"/>
        <c:auto val="1"/>
        <c:lblAlgn val="ctr"/>
        <c:lblOffset val="100"/>
        <c:noMultiLvlLbl val="0"/>
      </c:catAx>
      <c:valAx>
        <c:axId val="276660768"/>
        <c:scaling>
          <c:orientation val="minMax"/>
          <c:max val="5.000000000000001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60208"/>
        <c:crosses val="autoZero"/>
        <c:crossBetween val="between"/>
        <c:majorUnit val="1.0000000000000002E-2"/>
        <c:minorUnit val="5.000000000000001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5831252800717"/>
          <c:y val="0.1791023419369876"/>
          <c:w val="0.49359964150822611"/>
          <c:h val="0.69177960863000221"/>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'8.Profil2'!$B$24:$B$31</c15:sqref>
                  </c15:fullRef>
                </c:ext>
              </c:extLst>
              <c:f>'8.Profil2'!$B$24:$B$27</c:f>
              <c:strCache>
                <c:ptCount val="4"/>
                <c:pt idx="0">
                  <c:v>Ferme, pavillon, maison indépendante</c:v>
                </c:pt>
                <c:pt idx="1">
                  <c:v>Maison de ville groupée</c:v>
                </c:pt>
                <c:pt idx="2">
                  <c:v>Appartement dans un immeuble de 2 à 9 logements</c:v>
                </c:pt>
                <c:pt idx="3">
                  <c:v>Appartement dans un immeuble de 10 logements ou plus</c:v>
                </c:pt>
              </c:strCache>
            </c:strRef>
          </c:cat>
          <c:val>
            <c:numRef>
              <c:extLst>
                <c:ext xmlns:c15="http://schemas.microsoft.com/office/drawing/2012/chart" uri="{02D57815-91ED-43cb-92C2-25804820EDAC}">
                  <c15:fullRef>
                    <c15:sqref>'8.Profil2'!$C$24:$C$31</c15:sqref>
                  </c15:fullRef>
                </c:ext>
              </c:extLst>
              <c:f>'8.Profil2'!$C$24:$C$27</c:f>
              <c:numCache>
                <c:formatCode>0.0%</c:formatCode>
                <c:ptCount val="4"/>
                <c:pt idx="0">
                  <c:v>1.6200000000000003E-2</c:v>
                </c:pt>
                <c:pt idx="1">
                  <c:v>2.23E-2</c:v>
                </c:pt>
                <c:pt idx="2">
                  <c:v>2.6499999999999999E-2</c:v>
                </c:pt>
                <c:pt idx="3">
                  <c:v>2.76E-2</c:v>
                </c:pt>
              </c:numCache>
            </c:numRef>
          </c:val>
        </c:ser>
        <c:dLbls>
          <c:showLegendKey val="0"/>
          <c:showVal val="0"/>
          <c:showCatName val="0"/>
          <c:showSerName val="0"/>
          <c:showPercent val="0"/>
          <c:showBubbleSize val="0"/>
        </c:dLbls>
        <c:gapWidth val="200"/>
        <c:axId val="276663008"/>
        <c:axId val="276663568"/>
      </c:barChart>
      <c:catAx>
        <c:axId val="27666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50000"/>
                    <a:lumOff val="50000"/>
                  </a:schemeClr>
                </a:solidFill>
                <a:latin typeface="+mn-lt"/>
                <a:ea typeface="+mn-ea"/>
                <a:cs typeface="+mn-cs"/>
              </a:defRPr>
            </a:pPr>
            <a:endParaRPr lang="fr-FR"/>
          </a:p>
        </c:txPr>
        <c:crossAx val="276663568"/>
        <c:crosses val="autoZero"/>
        <c:auto val="1"/>
        <c:lblAlgn val="ctr"/>
        <c:lblOffset val="100"/>
        <c:noMultiLvlLbl val="0"/>
      </c:catAx>
      <c:valAx>
        <c:axId val="276663568"/>
        <c:scaling>
          <c:orientation val="minMax"/>
          <c:max val="4.0000000000000008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63008"/>
        <c:crosses val="autoZero"/>
        <c:crossBetween val="between"/>
        <c:majorUnit val="1.0000000000000002E-2"/>
        <c:minorUnit val="5.000000000000001E-3"/>
      </c:valAx>
      <c:spPr>
        <a:solidFill>
          <a:schemeClr val="bg1">
            <a:lumMod val="95000"/>
          </a:schemeClr>
        </a:solidFill>
        <a:ln>
          <a:solidFill>
            <a:schemeClr val="bg1">
              <a:lumMod val="8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494678195900357"/>
          <c:y val="0.16463992782152231"/>
          <c:w val="0.48411252274447292"/>
          <c:h val="0.71376230314960631"/>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dLbl>
            <c:dLbl>
              <c:idx val="3"/>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'8.Profil2'!$B$34:$B$38</c:f>
              <c:strCache>
                <c:ptCount val="5"/>
                <c:pt idx="0">
                  <c:v>Maisons dispersées, hors agglomération</c:v>
                </c:pt>
                <c:pt idx="1">
                  <c:v>Maisons en lotissement, en quartier pavillonnaire</c:v>
                </c:pt>
                <c:pt idx="2">
                  <c:v>Habitat mixte : immeubles et maisons</c:v>
                </c:pt>
                <c:pt idx="3">
                  <c:v>Immeubles en ville</c:v>
                </c:pt>
                <c:pt idx="4">
                  <c:v>Immeubles en cité ou grand ensemble</c:v>
                </c:pt>
              </c:strCache>
            </c:strRef>
          </c:cat>
          <c:val>
            <c:numRef>
              <c:f>'8.Profil2'!$C$34:$C$38</c:f>
              <c:numCache>
                <c:formatCode>0.0%</c:formatCode>
                <c:ptCount val="5"/>
                <c:pt idx="0">
                  <c:v>1.2199999999999999E-2</c:v>
                </c:pt>
                <c:pt idx="1">
                  <c:v>1.9400000000000001E-2</c:v>
                </c:pt>
                <c:pt idx="2">
                  <c:v>2.0799999999999999E-2</c:v>
                </c:pt>
                <c:pt idx="3">
                  <c:v>2.8900000000000002E-2</c:v>
                </c:pt>
                <c:pt idx="4">
                  <c:v>3.2199999999999999E-2</c:v>
                </c:pt>
              </c:numCache>
            </c:numRef>
          </c:val>
        </c:ser>
        <c:dLbls>
          <c:showLegendKey val="0"/>
          <c:showVal val="0"/>
          <c:showCatName val="0"/>
          <c:showSerName val="0"/>
          <c:showPercent val="0"/>
          <c:showBubbleSize val="0"/>
        </c:dLbls>
        <c:gapWidth val="177"/>
        <c:axId val="276665808"/>
        <c:axId val="276666368"/>
      </c:barChart>
      <c:catAx>
        <c:axId val="27666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66368"/>
        <c:crosses val="autoZero"/>
        <c:auto val="1"/>
        <c:lblAlgn val="ctr"/>
        <c:lblOffset val="100"/>
        <c:noMultiLvlLbl val="0"/>
      </c:catAx>
      <c:valAx>
        <c:axId val="276666368"/>
        <c:scaling>
          <c:orientation val="minMax"/>
          <c:max val="4.0000000000000008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65808"/>
        <c:crosses val="autoZero"/>
        <c:crossBetween val="between"/>
        <c:majorUnit val="1.0000000000000002E-2"/>
        <c:minorUnit val="5.000000000000001E-3"/>
      </c:valAx>
      <c:spPr>
        <a:solidFill>
          <a:schemeClr val="bg1">
            <a:lumMod val="95000"/>
          </a:schemeClr>
        </a:solidFill>
        <a:ln>
          <a:solidFill>
            <a:schemeClr val="bg1">
              <a:lumMod val="8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5831252800717"/>
          <c:y val="0.18602724659417572"/>
          <c:w val="0.49359964150822611"/>
          <c:h val="0.68437695288088984"/>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fr-FR"/>
                </a:p>
              </c:txPr>
              <c:showLegendKey val="0"/>
              <c:showVal val="1"/>
              <c:showCatName val="0"/>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'9.Profil3'!$B$35:$B$39</c:f>
              <c:strCache>
                <c:ptCount val="5"/>
                <c:pt idx="0">
                  <c:v>60 ans ou plus</c:v>
                </c:pt>
                <c:pt idx="1">
                  <c:v>Moins de 30 ans</c:v>
                </c:pt>
                <c:pt idx="2">
                  <c:v>40-49 ans</c:v>
                </c:pt>
                <c:pt idx="3">
                  <c:v>30-39 ans</c:v>
                </c:pt>
                <c:pt idx="4">
                  <c:v>50-59 ans</c:v>
                </c:pt>
              </c:strCache>
            </c:strRef>
          </c:cat>
          <c:val>
            <c:numRef>
              <c:f>'9.Profil3'!$C$35:$C$39</c:f>
              <c:numCache>
                <c:formatCode>0.0%</c:formatCode>
                <c:ptCount val="5"/>
                <c:pt idx="0">
                  <c:v>1.67E-2</c:v>
                </c:pt>
                <c:pt idx="1">
                  <c:v>2.3099999999999999E-2</c:v>
                </c:pt>
                <c:pt idx="2">
                  <c:v>2.3399999999999997E-2</c:v>
                </c:pt>
                <c:pt idx="3">
                  <c:v>2.69E-2</c:v>
                </c:pt>
                <c:pt idx="4">
                  <c:v>2.7999999999999997E-2</c:v>
                </c:pt>
              </c:numCache>
            </c:numRef>
          </c:val>
        </c:ser>
        <c:dLbls>
          <c:showLegendKey val="0"/>
          <c:showVal val="0"/>
          <c:showCatName val="0"/>
          <c:showSerName val="0"/>
          <c:showPercent val="0"/>
          <c:showBubbleSize val="0"/>
        </c:dLbls>
        <c:gapWidth val="130"/>
        <c:axId val="276668608"/>
        <c:axId val="276669168"/>
      </c:barChart>
      <c:catAx>
        <c:axId val="27666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50000"/>
                    <a:lumOff val="50000"/>
                  </a:schemeClr>
                </a:solidFill>
                <a:latin typeface="+mn-lt"/>
                <a:ea typeface="+mn-ea"/>
                <a:cs typeface="+mn-cs"/>
              </a:defRPr>
            </a:pPr>
            <a:endParaRPr lang="fr-FR"/>
          </a:p>
        </c:txPr>
        <c:crossAx val="276669168"/>
        <c:crosses val="autoZero"/>
        <c:auto val="1"/>
        <c:lblAlgn val="ctr"/>
        <c:lblOffset val="100"/>
        <c:noMultiLvlLbl val="0"/>
      </c:catAx>
      <c:valAx>
        <c:axId val="276669168"/>
        <c:scaling>
          <c:orientation val="minMax"/>
          <c:max val="4.0000000000000008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76668608"/>
        <c:crosses val="autoZero"/>
        <c:crossBetween val="between"/>
        <c:minorUnit val="5.000000000000001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126759723216416"/>
          <c:y val="0.16102743195629246"/>
          <c:w val="0.45377456984543607"/>
          <c:h val="0.75231411785306257"/>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dLbl>
              <c:idx val="0"/>
              <c:layout>
                <c:manualLayout>
                  <c:x val="-3.7878787878789268E-3"/>
                  <c:y val="-3.3032651437024845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1111111111111112E-2"/>
                  <c:y val="3.6036036036036037E-3"/>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'9.Profil3'!$B$43:$B$49</c:f>
              <c:strCache>
                <c:ptCount val="7"/>
                <c:pt idx="0">
                  <c:v>Retraités</c:v>
                </c:pt>
                <c:pt idx="1">
                  <c:v>Employés</c:v>
                </c:pt>
                <c:pt idx="2">
                  <c:v>Ouvriers</c:v>
                </c:pt>
                <c:pt idx="3">
                  <c:v>Professions intermédiaires</c:v>
                </c:pt>
                <c:pt idx="4">
                  <c:v>Artisans, commerçants et chefs d'entreprise¹</c:v>
                </c:pt>
                <c:pt idx="5">
                  <c:v>Etudiants et autres inactifs</c:v>
                </c:pt>
                <c:pt idx="6">
                  <c:v>Cadres et professions intellectuelles supérieures</c:v>
                </c:pt>
              </c:strCache>
            </c:strRef>
          </c:cat>
          <c:val>
            <c:numRef>
              <c:f>'9.Profil3'!$C$43:$C$49</c:f>
              <c:numCache>
                <c:formatCode>0.0%</c:formatCode>
                <c:ptCount val="7"/>
                <c:pt idx="0">
                  <c:v>1.66E-2</c:v>
                </c:pt>
                <c:pt idx="1">
                  <c:v>1.95E-2</c:v>
                </c:pt>
                <c:pt idx="2">
                  <c:v>2.0899999999999998E-2</c:v>
                </c:pt>
                <c:pt idx="3">
                  <c:v>2.1099999999999997E-2</c:v>
                </c:pt>
                <c:pt idx="4">
                  <c:v>2.4500000000000001E-2</c:v>
                </c:pt>
                <c:pt idx="5">
                  <c:v>2.8500000000000001E-2</c:v>
                </c:pt>
                <c:pt idx="6">
                  <c:v>3.8300000000000001E-2</c:v>
                </c:pt>
              </c:numCache>
            </c:numRef>
          </c:val>
        </c:ser>
        <c:dLbls>
          <c:showLegendKey val="0"/>
          <c:showVal val="0"/>
          <c:showCatName val="0"/>
          <c:showSerName val="0"/>
          <c:showPercent val="0"/>
          <c:showBubbleSize val="0"/>
        </c:dLbls>
        <c:gapWidth val="155"/>
        <c:axId val="308145888"/>
        <c:axId val="308145328"/>
      </c:barChart>
      <c:catAx>
        <c:axId val="30814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50000"/>
                    <a:lumOff val="50000"/>
                  </a:schemeClr>
                </a:solidFill>
                <a:latin typeface="+mn-lt"/>
                <a:ea typeface="+mn-ea"/>
                <a:cs typeface="+mn-cs"/>
              </a:defRPr>
            </a:pPr>
            <a:endParaRPr lang="fr-FR"/>
          </a:p>
        </c:txPr>
        <c:crossAx val="308145328"/>
        <c:crosses val="autoZero"/>
        <c:auto val="1"/>
        <c:lblAlgn val="ctr"/>
        <c:lblOffset val="100"/>
        <c:noMultiLvlLbl val="0"/>
      </c:catAx>
      <c:valAx>
        <c:axId val="308145328"/>
        <c:scaling>
          <c:orientation val="minMax"/>
          <c:max val="5.000000000000001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08145888"/>
        <c:crosses val="autoZero"/>
        <c:crossBetween val="between"/>
        <c:majorUnit val="1.0000000000000002E-2"/>
        <c:minorUnit val="1.0000000000000002E-2"/>
      </c:valAx>
      <c:spPr>
        <a:solidFill>
          <a:schemeClr val="bg1">
            <a:lumMod val="95000"/>
          </a:schemeClr>
        </a:solidFill>
        <a:ln>
          <a:solidFill>
            <a:schemeClr val="bg1">
              <a:lumMod val="8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9723833301325138"/>
          <c:y val="0.38045278822905759"/>
          <c:w val="0.40310767556494465"/>
          <c:h val="0.49543263159050738"/>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'9.Profil3'!$B$52:$B$55</c:f>
              <c:strCache>
                <c:ptCount val="4"/>
                <c:pt idx="0">
                  <c:v>…les plus aisés</c:v>
                </c:pt>
                <c:pt idx="1">
                  <c:v>…intermédiaires +</c:v>
                </c:pt>
                <c:pt idx="2">
                  <c:v>…intermédiaires -</c:v>
                </c:pt>
                <c:pt idx="3">
                  <c:v>…les plus modestes</c:v>
                </c:pt>
              </c:strCache>
            </c:strRef>
          </c:cat>
          <c:val>
            <c:numRef>
              <c:f>'9.Profil3'!$C$52:$C$55</c:f>
              <c:numCache>
                <c:formatCode>0.0%</c:formatCode>
                <c:ptCount val="4"/>
                <c:pt idx="0">
                  <c:v>2.4199999999999999E-2</c:v>
                </c:pt>
                <c:pt idx="1">
                  <c:v>2.1000000000000001E-2</c:v>
                </c:pt>
                <c:pt idx="2">
                  <c:v>2.2099999999999998E-2</c:v>
                </c:pt>
                <c:pt idx="3">
                  <c:v>2.1299999999999999E-2</c:v>
                </c:pt>
              </c:numCache>
            </c:numRef>
          </c:val>
        </c:ser>
        <c:dLbls>
          <c:showLegendKey val="0"/>
          <c:showVal val="0"/>
          <c:showCatName val="0"/>
          <c:showSerName val="0"/>
          <c:showPercent val="0"/>
          <c:showBubbleSize val="0"/>
        </c:dLbls>
        <c:gapWidth val="140"/>
        <c:axId val="308143648"/>
        <c:axId val="308117328"/>
      </c:barChart>
      <c:catAx>
        <c:axId val="30814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08117328"/>
        <c:crosses val="autoZero"/>
        <c:auto val="1"/>
        <c:lblAlgn val="ctr"/>
        <c:lblOffset val="100"/>
        <c:noMultiLvlLbl val="0"/>
      </c:catAx>
      <c:valAx>
        <c:axId val="308117328"/>
        <c:scaling>
          <c:orientation val="minMax"/>
          <c:max val="4.0000000000000008E-2"/>
          <c:min val="0"/>
        </c:scaling>
        <c:delete val="0"/>
        <c:axPos val="b"/>
        <c:majorGridlines>
          <c:spPr>
            <a:ln w="9525" cap="flat" cmpd="sng" algn="ctr">
              <a:solidFill>
                <a:schemeClr val="tx1">
                  <a:lumMod val="15000"/>
                  <a:lumOff val="85000"/>
                </a:schemeClr>
              </a:solidFill>
              <a:round/>
            </a:ln>
            <a:effectLst/>
          </c:spPr>
        </c:majorGridlines>
        <c:minorGridlines>
          <c:spPr>
            <a:ln>
              <a:solidFill>
                <a:schemeClr val="bg1">
                  <a:lumMod val="85000"/>
                </a:schemeClr>
              </a:solidFill>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08143648"/>
        <c:crosses val="autoZero"/>
        <c:crossBetween val="between"/>
        <c:majorUnit val="1.0000000000000002E-2"/>
        <c:minorUnit val="5.000000000000001E-3"/>
      </c:valAx>
      <c:spPr>
        <a:solidFill>
          <a:schemeClr val="bg1">
            <a:lumMod val="95000"/>
          </a:schemeClr>
        </a:solidFill>
        <a:ln>
          <a:solidFill>
            <a:schemeClr val="bg1">
              <a:lumMod val="85000"/>
            </a:schemeClr>
          </a:solid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114301</xdr:colOff>
      <xdr:row>1</xdr:row>
      <xdr:rowOff>57149</xdr:rowOff>
    </xdr:from>
    <xdr:to>
      <xdr:col>6</xdr:col>
      <xdr:colOff>590550</xdr:colOff>
      <xdr:row>11</xdr:row>
      <xdr:rowOff>66675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19049</xdr:colOff>
      <xdr:row>1</xdr:row>
      <xdr:rowOff>76199</xdr:rowOff>
    </xdr:from>
    <xdr:to>
      <xdr:col>4</xdr:col>
      <xdr:colOff>0</xdr:colOff>
      <xdr:row>9</xdr:row>
      <xdr:rowOff>190499</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6</xdr:col>
      <xdr:colOff>0</xdr:colOff>
      <xdr:row>1</xdr:row>
      <xdr:rowOff>38100</xdr:rowOff>
    </xdr:from>
    <xdr:ext cx="184731" cy="264560"/>
    <xdr:sp macro="" textlink="">
      <xdr:nvSpPr>
        <xdr:cNvPr id="2" name="ZoneTexte 1"/>
        <xdr:cNvSpPr txBox="1"/>
      </xdr:nvSpPr>
      <xdr:spPr>
        <a:xfrm>
          <a:off x="4572000" y="22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4</xdr:col>
      <xdr:colOff>409575</xdr:colOff>
      <xdr:row>1</xdr:row>
      <xdr:rowOff>114300</xdr:rowOff>
    </xdr:from>
    <xdr:to>
      <xdr:col>6</xdr:col>
      <xdr:colOff>504825</xdr:colOff>
      <xdr:row>3</xdr:row>
      <xdr:rowOff>177800</xdr:rowOff>
    </xdr:to>
    <xdr:sp macro="" textlink="">
      <xdr:nvSpPr>
        <xdr:cNvPr id="3" name="ZoneTexte 1"/>
        <xdr:cNvSpPr txBox="1"/>
      </xdr:nvSpPr>
      <xdr:spPr>
        <a:xfrm>
          <a:off x="3457575" y="304800"/>
          <a:ext cx="1619250" cy="444500"/>
        </a:xfrm>
        <a:prstGeom prst="rect">
          <a:avLst/>
        </a:prstGeom>
        <a:noFill/>
      </xdr:spPr>
      <xdr:txBody>
        <a:bodyPr wrap="square" rtlCol="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FR" sz="1000" b="1" i="0" baseline="0">
              <a:solidFill>
                <a:schemeClr val="bg1">
                  <a:lumMod val="50000"/>
                </a:schemeClr>
              </a:solidFill>
              <a:effectLst/>
              <a:latin typeface="+mn-lt"/>
              <a:ea typeface="+mn-ea"/>
              <a:cs typeface="+mn-cs"/>
            </a:rPr>
            <a:t>« A combien estimez-vous le coût des dégâts ?</a:t>
          </a:r>
          <a:r>
            <a:rPr lang="fr-FR" sz="1000" b="1" i="0" baseline="0">
              <a:solidFill>
                <a:schemeClr val="tx1">
                  <a:lumMod val="50000"/>
                  <a:lumOff val="50000"/>
                </a:schemeClr>
              </a:solidFill>
              <a:effectLst/>
              <a:latin typeface="+mn-lt"/>
              <a:ea typeface="+mn-ea"/>
              <a:cs typeface="+mn-cs"/>
            </a:rPr>
            <a:t> » </a:t>
          </a:r>
          <a:endParaRPr lang="fr-FR" sz="1000" b="1">
            <a:solidFill>
              <a:schemeClr val="bg1">
                <a:lumMod val="50000"/>
              </a:schemeClr>
            </a:solidFill>
            <a:effectLst/>
          </a:endParaRPr>
        </a:p>
        <a:p>
          <a:pPr algn="ctr"/>
          <a:endParaRPr lang="fr-FR" sz="1000">
            <a:solidFill>
              <a:schemeClr val="bg1">
                <a:lumMod val="50000"/>
              </a:schemeClr>
            </a:solidFill>
          </a:endParaRPr>
        </a:p>
      </xdr:txBody>
    </xdr:sp>
    <xdr:clientData/>
  </xdr:twoCellAnchor>
  <xdr:twoCellAnchor>
    <xdr:from>
      <xdr:col>4</xdr:col>
      <xdr:colOff>66674</xdr:colOff>
      <xdr:row>3</xdr:row>
      <xdr:rowOff>95251</xdr:rowOff>
    </xdr:from>
    <xdr:to>
      <xdr:col>6</xdr:col>
      <xdr:colOff>733424</xdr:colOff>
      <xdr:row>14</xdr:row>
      <xdr:rowOff>190501</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1</xdr:row>
      <xdr:rowOff>85725</xdr:rowOff>
    </xdr:from>
    <xdr:to>
      <xdr:col>3</xdr:col>
      <xdr:colOff>1162050</xdr:colOff>
      <xdr:row>13</xdr:row>
      <xdr:rowOff>66675</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0.06667</cdr:x>
      <cdr:y>0.01434</cdr:y>
    </cdr:from>
    <cdr:to>
      <cdr:x>0.86567</cdr:x>
      <cdr:y>0.18686</cdr:y>
    </cdr:to>
    <cdr:sp macro="" textlink="">
      <cdr:nvSpPr>
        <cdr:cNvPr id="2" name="ZoneTexte 1"/>
        <cdr:cNvSpPr txBox="1"/>
      </cdr:nvSpPr>
      <cdr:spPr>
        <a:xfrm xmlns:a="http://schemas.openxmlformats.org/drawingml/2006/main">
          <a:off x="212725" y="38100"/>
          <a:ext cx="2549525" cy="458468"/>
        </a:xfrm>
        <a:prstGeom xmlns:a="http://schemas.openxmlformats.org/drawingml/2006/main" prst="rect">
          <a:avLst/>
        </a:prstGeom>
        <a:noFill xmlns:a="http://schemas.openxmlformats.org/drawingml/2006/main"/>
      </cdr:spPr>
      <cdr:txBody>
        <a:bodyPr xmlns:a="http://schemas.openxmlformats.org/drawingml/2006/main" wrap="square"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fr-FR" sz="1000" b="1" i="0" baseline="0">
              <a:solidFill>
                <a:schemeClr val="bg1">
                  <a:lumMod val="50000"/>
                </a:schemeClr>
              </a:solidFill>
              <a:effectLst/>
              <a:latin typeface="+mn-lt"/>
              <a:ea typeface="+mn-ea"/>
              <a:cs typeface="+mn-cs"/>
            </a:rPr>
            <a:t>« Comment qualifieriez-vous ces dégâts ?</a:t>
          </a:r>
          <a:r>
            <a:rPr lang="fr-FR" sz="1000" b="1" i="0" baseline="0">
              <a:solidFill>
                <a:schemeClr val="tx1">
                  <a:lumMod val="50000"/>
                  <a:lumOff val="50000"/>
                </a:schemeClr>
              </a:solidFill>
              <a:effectLst/>
              <a:latin typeface="+mn-lt"/>
              <a:ea typeface="+mn-ea"/>
              <a:cs typeface="+mn-cs"/>
            </a:rPr>
            <a:t> » </a:t>
          </a:r>
          <a:endParaRPr lang="fr-FR" sz="1000" b="1">
            <a:solidFill>
              <a:schemeClr val="bg1">
                <a:lumMod val="50000"/>
              </a:schemeClr>
            </a:solidFill>
            <a:effectLst/>
          </a:endParaRPr>
        </a:p>
        <a:p xmlns:a="http://schemas.openxmlformats.org/drawingml/2006/main">
          <a:pPr algn="ctr"/>
          <a:endParaRPr lang="fr-FR" sz="1000">
            <a:solidFill>
              <a:schemeClr val="bg1">
                <a:lumMod val="50000"/>
              </a:schemeClr>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4</xdr:col>
      <xdr:colOff>590550</xdr:colOff>
      <xdr:row>11</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628650</xdr:colOff>
      <xdr:row>3</xdr:row>
      <xdr:rowOff>61912</xdr:rowOff>
    </xdr:from>
    <xdr:to>
      <xdr:col>7</xdr:col>
      <xdr:colOff>152400</xdr:colOff>
      <xdr:row>11</xdr:row>
      <xdr:rowOff>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371475</xdr:rowOff>
    </xdr:from>
    <xdr:to>
      <xdr:col>7</xdr:col>
      <xdr:colOff>647699</xdr:colOff>
      <xdr:row>11</xdr:row>
      <xdr:rowOff>0</xdr:rowOff>
    </xdr:to>
    <xdr:graphicFrame macro="">
      <xdr:nvGraphicFramePr>
        <xdr:cNvPr id="5" name="Graphique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4</xdr:col>
      <xdr:colOff>590550</xdr:colOff>
      <xdr:row>11</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628650</xdr:colOff>
      <xdr:row>3</xdr:row>
      <xdr:rowOff>61912</xdr:rowOff>
    </xdr:from>
    <xdr:to>
      <xdr:col>7</xdr:col>
      <xdr:colOff>0</xdr:colOff>
      <xdr:row>11</xdr:row>
      <xdr:rowOff>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0</xdr:row>
      <xdr:rowOff>371475</xdr:rowOff>
    </xdr:from>
    <xdr:to>
      <xdr:col>6</xdr:col>
      <xdr:colOff>628651</xdr:colOff>
      <xdr:row>11</xdr:row>
      <xdr:rowOff>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38100</xdr:rowOff>
    </xdr:from>
    <xdr:to>
      <xdr:col>2</xdr:col>
      <xdr:colOff>447675</xdr:colOff>
      <xdr:row>16</xdr:row>
      <xdr:rowOff>123825</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200025</xdr:colOff>
      <xdr:row>0</xdr:row>
      <xdr:rowOff>714374</xdr:rowOff>
    </xdr:from>
    <xdr:to>
      <xdr:col>7</xdr:col>
      <xdr:colOff>38100</xdr:colOff>
      <xdr:row>12</xdr:row>
      <xdr:rowOff>85724</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628650</xdr:colOff>
      <xdr:row>11</xdr:row>
      <xdr:rowOff>142875</xdr:rowOff>
    </xdr:from>
    <xdr:to>
      <xdr:col>7</xdr:col>
      <xdr:colOff>47625</xdr:colOff>
      <xdr:row>17</xdr:row>
      <xdr:rowOff>57150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0.41565</cdr:x>
      <cdr:y>0.00515</cdr:y>
    </cdr:from>
    <cdr:to>
      <cdr:x>0.62195</cdr:x>
      <cdr:y>0.11804</cdr:y>
    </cdr:to>
    <cdr:sp macro="" textlink="">
      <cdr:nvSpPr>
        <cdr:cNvPr id="2" name="ZoneTexte 1"/>
        <cdr:cNvSpPr txBox="1"/>
      </cdr:nvSpPr>
      <cdr:spPr>
        <a:xfrm xmlns:a="http://schemas.openxmlformats.org/drawingml/2006/main">
          <a:off x="1298570" y="12693"/>
          <a:ext cx="644522" cy="278521"/>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chemeClr val="tx1">
                  <a:lumMod val="50000"/>
                  <a:lumOff val="50000"/>
                </a:schemeClr>
              </a:solidFill>
            </a:rPr>
            <a:t>ZEAT</a:t>
          </a:r>
        </a:p>
      </cdr:txBody>
    </cdr:sp>
  </cdr:relSizeAnchor>
</c:userShapes>
</file>

<file path=xl/drawings/drawing9.xml><?xml version="1.0" encoding="utf-8"?>
<c:userShapes xmlns:c="http://schemas.openxmlformats.org/drawingml/2006/chart">
  <cdr:relSizeAnchor xmlns:cdr="http://schemas.openxmlformats.org/drawingml/2006/chartDrawing">
    <cdr:from>
      <cdr:x>0.42144</cdr:x>
      <cdr:y>0.02263</cdr:y>
    </cdr:from>
    <cdr:to>
      <cdr:x>0.81488</cdr:x>
      <cdr:y>0.13685</cdr:y>
    </cdr:to>
    <cdr:sp macro="" textlink="">
      <cdr:nvSpPr>
        <cdr:cNvPr id="2" name="ZoneTexte 1"/>
        <cdr:cNvSpPr txBox="1"/>
      </cdr:nvSpPr>
      <cdr:spPr>
        <a:xfrm xmlns:a="http://schemas.openxmlformats.org/drawingml/2006/main">
          <a:off x="1360830" y="54310"/>
          <a:ext cx="1270408" cy="274163"/>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none" rtlCol="0"/>
        <a:lstStyle xmlns:a="http://schemas.openxmlformats.org/drawingml/2006/main"/>
        <a:p xmlns:a="http://schemas.openxmlformats.org/drawingml/2006/main">
          <a:r>
            <a:rPr lang="fr-FR" sz="1100" b="1">
              <a:solidFill>
                <a:schemeClr val="tx1">
                  <a:lumMod val="50000"/>
                  <a:lumOff val="50000"/>
                </a:schemeClr>
              </a:solidFill>
            </a:rPr>
            <a:t>Taille d'unité</a:t>
          </a:r>
          <a:r>
            <a:rPr lang="fr-FR" sz="1100" b="1" baseline="0">
              <a:solidFill>
                <a:schemeClr val="tx1">
                  <a:lumMod val="50000"/>
                  <a:lumOff val="50000"/>
                </a:schemeClr>
              </a:solidFill>
            </a:rPr>
            <a:t> urbaine</a:t>
          </a:r>
          <a:endParaRPr lang="fr-FR" sz="1100" b="1">
            <a:solidFill>
              <a:schemeClr val="tx1">
                <a:lumMod val="50000"/>
                <a:lumOff val="50000"/>
              </a:schemeClr>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0.37129</cdr:x>
      <cdr:y>0.04065</cdr:y>
    </cdr:from>
    <cdr:to>
      <cdr:x>0.89086</cdr:x>
      <cdr:y>0.28829</cdr:y>
    </cdr:to>
    <cdr:sp macro="" textlink="">
      <cdr:nvSpPr>
        <cdr:cNvPr id="2" name="ZoneTexte 1"/>
        <cdr:cNvSpPr txBox="1"/>
      </cdr:nvSpPr>
      <cdr:spPr>
        <a:xfrm xmlns:a="http://schemas.openxmlformats.org/drawingml/2006/main">
          <a:off x="1198894" y="42976"/>
          <a:ext cx="1677656" cy="261824"/>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fr-FR" sz="1100" b="1">
              <a:solidFill>
                <a:schemeClr val="tx1">
                  <a:lumMod val="50000"/>
                  <a:lumOff val="50000"/>
                </a:schemeClr>
              </a:solidFill>
            </a:rPr>
            <a:t>Appartenance à une Zus</a:t>
          </a: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76200</xdr:colOff>
      <xdr:row>1</xdr:row>
      <xdr:rowOff>19050</xdr:rowOff>
    </xdr:from>
    <xdr:to>
      <xdr:col>3</xdr:col>
      <xdr:colOff>276225</xdr:colOff>
      <xdr:row>14</xdr:row>
      <xdr:rowOff>9525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314325</xdr:colOff>
      <xdr:row>1</xdr:row>
      <xdr:rowOff>38101</xdr:rowOff>
    </xdr:from>
    <xdr:to>
      <xdr:col>7</xdr:col>
      <xdr:colOff>371475</xdr:colOff>
      <xdr:row>14</xdr:row>
      <xdr:rowOff>1</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10</xdr:row>
      <xdr:rowOff>28575</xdr:rowOff>
    </xdr:from>
    <xdr:to>
      <xdr:col>11</xdr:col>
      <xdr:colOff>228600</xdr:colOff>
      <xdr:row>10</xdr:row>
      <xdr:rowOff>74294</xdr:rowOff>
    </xdr:to>
    <xdr:sp macro="" textlink="">
      <xdr:nvSpPr>
        <xdr:cNvPr id="4" name="ZoneTexte 3"/>
        <xdr:cNvSpPr txBox="1"/>
      </xdr:nvSpPr>
      <xdr:spPr>
        <a:xfrm>
          <a:off x="8924925" y="2162175"/>
          <a:ext cx="762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xdr:txBody>
    </xdr:sp>
    <xdr:clientData/>
  </xdr:twoCellAnchor>
</xdr:wsDr>
</file>

<file path=xl/drawings/drawing12.xml><?xml version="1.0" encoding="utf-8"?>
<c:userShapes xmlns:c="http://schemas.openxmlformats.org/drawingml/2006/chart">
  <cdr:relSizeAnchor xmlns:cdr="http://schemas.openxmlformats.org/drawingml/2006/chartDrawing">
    <cdr:from>
      <cdr:x>0.4126</cdr:x>
      <cdr:y>0.00128</cdr:y>
    </cdr:from>
    <cdr:to>
      <cdr:x>0.81402</cdr:x>
      <cdr:y>0.11418</cdr:y>
    </cdr:to>
    <cdr:sp macro="" textlink="">
      <cdr:nvSpPr>
        <cdr:cNvPr id="2" name="ZoneTexte 1"/>
        <cdr:cNvSpPr txBox="1"/>
      </cdr:nvSpPr>
      <cdr:spPr>
        <a:xfrm xmlns:a="http://schemas.openxmlformats.org/drawingml/2006/main">
          <a:off x="1324415" y="3168"/>
          <a:ext cx="1288528" cy="278521"/>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chemeClr val="tx1">
                  <a:lumMod val="50000"/>
                  <a:lumOff val="50000"/>
                </a:schemeClr>
              </a:solidFill>
            </a:rPr>
            <a:t>Type de logement</a:t>
          </a:r>
        </a:p>
      </cdr:txBody>
    </cdr:sp>
  </cdr:relSizeAnchor>
</c:userShapes>
</file>

<file path=xl/drawings/drawing13.xml><?xml version="1.0" encoding="utf-8"?>
<c:userShapes xmlns:c="http://schemas.openxmlformats.org/drawingml/2006/chart">
  <cdr:relSizeAnchor xmlns:cdr="http://schemas.openxmlformats.org/drawingml/2006/chartDrawing">
    <cdr:from>
      <cdr:x>0.37423</cdr:x>
      <cdr:y>0.01078</cdr:y>
    </cdr:from>
    <cdr:to>
      <cdr:x>0.94785</cdr:x>
      <cdr:y>0.125</cdr:y>
    </cdr:to>
    <cdr:sp macro="" textlink="">
      <cdr:nvSpPr>
        <cdr:cNvPr id="2" name="ZoneTexte 1"/>
        <cdr:cNvSpPr txBox="1"/>
      </cdr:nvSpPr>
      <cdr:spPr>
        <a:xfrm xmlns:a="http://schemas.openxmlformats.org/drawingml/2006/main">
          <a:off x="1162050" y="26295"/>
          <a:ext cx="1781175" cy="278514"/>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none" rtlCol="0"/>
        <a:lstStyle xmlns:a="http://schemas.openxmlformats.org/drawingml/2006/main"/>
        <a:p xmlns:a="http://schemas.openxmlformats.org/drawingml/2006/main">
          <a:r>
            <a:rPr lang="fr-FR" sz="1100" b="1">
              <a:solidFill>
                <a:schemeClr val="tx1">
                  <a:lumMod val="50000"/>
                  <a:lumOff val="50000"/>
                </a:schemeClr>
              </a:solidFill>
            </a:rPr>
            <a:t>Type d'habitat</a:t>
          </a:r>
          <a:r>
            <a:rPr lang="fr-FR" sz="1100" b="1" baseline="0">
              <a:solidFill>
                <a:schemeClr val="tx1">
                  <a:lumMod val="50000"/>
                  <a:lumOff val="50000"/>
                </a:schemeClr>
              </a:solidFill>
            </a:rPr>
            <a:t> environnant</a:t>
          </a:r>
          <a:endParaRPr lang="fr-FR" sz="1100" b="1">
            <a:solidFill>
              <a:schemeClr val="tx1">
                <a:lumMod val="50000"/>
                <a:lumOff val="50000"/>
              </a:schemeClr>
            </a:solidFill>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3</xdr:col>
      <xdr:colOff>190501</xdr:colOff>
      <xdr:row>2</xdr:row>
      <xdr:rowOff>19050</xdr:rowOff>
    </xdr:from>
    <xdr:to>
      <xdr:col>7</xdr:col>
      <xdr:colOff>9525</xdr:colOff>
      <xdr:row>12</xdr:row>
      <xdr:rowOff>47626</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xdr:row>
      <xdr:rowOff>104775</xdr:rowOff>
    </xdr:from>
    <xdr:to>
      <xdr:col>3</xdr:col>
      <xdr:colOff>342900</xdr:colOff>
      <xdr:row>20</xdr:row>
      <xdr:rowOff>114300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219075</xdr:colOff>
      <xdr:row>12</xdr:row>
      <xdr:rowOff>133349</xdr:rowOff>
    </xdr:from>
    <xdr:to>
      <xdr:col>7</xdr:col>
      <xdr:colOff>133350</xdr:colOff>
      <xdr:row>22</xdr:row>
      <xdr:rowOff>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390525</xdr:colOff>
      <xdr:row>14</xdr:row>
      <xdr:rowOff>180975</xdr:rowOff>
    </xdr:from>
    <xdr:ext cx="1732205" cy="233205"/>
    <xdr:sp macro="" textlink="">
      <xdr:nvSpPr>
        <xdr:cNvPr id="4" name="ZoneTexte 3"/>
        <xdr:cNvSpPr txBox="1"/>
      </xdr:nvSpPr>
      <xdr:spPr>
        <a:xfrm>
          <a:off x="3486150" y="3143250"/>
          <a:ext cx="173220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900" b="1">
              <a:solidFill>
                <a:schemeClr val="bg1">
                  <a:lumMod val="50000"/>
                </a:schemeClr>
              </a:solidFill>
            </a:rPr>
            <a:t>25% des ménages</a:t>
          </a:r>
          <a:r>
            <a:rPr lang="fr-FR" sz="900" b="1" baseline="0">
              <a:solidFill>
                <a:schemeClr val="bg1">
                  <a:lumMod val="50000"/>
                </a:schemeClr>
              </a:solidFill>
            </a:rPr>
            <a:t> aux revenus...</a:t>
          </a:r>
          <a:endParaRPr lang="fr-FR" sz="900" b="1">
            <a:solidFill>
              <a:schemeClr val="bg1">
                <a:lumMod val="50000"/>
              </a:schemeClr>
            </a:solidFill>
          </a:endParaRPr>
        </a:p>
      </xdr:txBody>
    </xdr:sp>
    <xdr:clientData/>
  </xdr:oneCellAnchor>
</xdr:wsDr>
</file>

<file path=xl/drawings/drawing15.xml><?xml version="1.0" encoding="utf-8"?>
<c:userShapes xmlns:c="http://schemas.openxmlformats.org/drawingml/2006/chart">
  <cdr:relSizeAnchor xmlns:cdr="http://schemas.openxmlformats.org/drawingml/2006/chartDrawing">
    <cdr:from>
      <cdr:x>0.10366</cdr:x>
      <cdr:y>0.02057</cdr:y>
    </cdr:from>
    <cdr:to>
      <cdr:x>0.91159</cdr:x>
      <cdr:y>0.23664</cdr:y>
    </cdr:to>
    <cdr:sp macro="" textlink="">
      <cdr:nvSpPr>
        <cdr:cNvPr id="2" name="ZoneTexte 1"/>
        <cdr:cNvSpPr txBox="1"/>
      </cdr:nvSpPr>
      <cdr:spPr>
        <a:xfrm xmlns:a="http://schemas.openxmlformats.org/drawingml/2006/main">
          <a:off x="271524" y="25667"/>
          <a:ext cx="2116272" cy="269608"/>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baseline="0">
              <a:solidFill>
                <a:schemeClr val="tx1">
                  <a:lumMod val="50000"/>
                  <a:lumOff val="50000"/>
                </a:schemeClr>
              </a:solidFill>
            </a:rPr>
            <a:t>Âge de la personne de référence </a:t>
          </a:r>
          <a:endParaRPr lang="fr-FR" sz="1000" b="1">
            <a:solidFill>
              <a:schemeClr val="tx1">
                <a:lumMod val="50000"/>
                <a:lumOff val="50000"/>
              </a:schemeClr>
            </a:solidFill>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0.13207</cdr:x>
      <cdr:y>0.03138</cdr:y>
    </cdr:from>
    <cdr:to>
      <cdr:x>0.94</cdr:x>
      <cdr:y>0.13514</cdr:y>
    </cdr:to>
    <cdr:sp macro="" textlink="">
      <cdr:nvSpPr>
        <cdr:cNvPr id="2" name="ZoneTexte 1"/>
        <cdr:cNvSpPr txBox="1"/>
      </cdr:nvSpPr>
      <cdr:spPr>
        <a:xfrm xmlns:a="http://schemas.openxmlformats.org/drawingml/2006/main">
          <a:off x="442801" y="110595"/>
          <a:ext cx="2708828" cy="365656"/>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baseline="0">
              <a:solidFill>
                <a:schemeClr val="tx1">
                  <a:lumMod val="50000"/>
                  <a:lumOff val="50000"/>
                </a:schemeClr>
              </a:solidFill>
            </a:rPr>
            <a:t>Catégorie socio-professionnelle </a:t>
          </a:r>
        </a:p>
        <a:p xmlns:a="http://schemas.openxmlformats.org/drawingml/2006/main">
          <a:pPr algn="ctr"/>
          <a:r>
            <a:rPr lang="fr-FR" sz="1000" b="1" baseline="0">
              <a:solidFill>
                <a:schemeClr val="tx1">
                  <a:lumMod val="50000"/>
                  <a:lumOff val="50000"/>
                </a:schemeClr>
              </a:solidFill>
            </a:rPr>
            <a:t>de la personne de référence </a:t>
          </a:r>
          <a:endParaRPr lang="fr-FR" sz="1000" b="1">
            <a:solidFill>
              <a:schemeClr val="tx1">
                <a:lumMod val="50000"/>
                <a:lumOff val="50000"/>
              </a:schemeClr>
            </a:solidFill>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0.23476</cdr:x>
      <cdr:y>0.02004</cdr:y>
    </cdr:from>
    <cdr:to>
      <cdr:x>0.78049</cdr:x>
      <cdr:y>0.27957</cdr:y>
    </cdr:to>
    <cdr:sp macro="" textlink="">
      <cdr:nvSpPr>
        <cdr:cNvPr id="2" name="ZoneTexte 1"/>
        <cdr:cNvSpPr txBox="1"/>
      </cdr:nvSpPr>
      <cdr:spPr>
        <a:xfrm xmlns:a="http://schemas.openxmlformats.org/drawingml/2006/main">
          <a:off x="733437" y="35504"/>
          <a:ext cx="1704970" cy="459797"/>
        </a:xfrm>
        <a:prstGeom xmlns:a="http://schemas.openxmlformats.org/drawingml/2006/main" prst="rect">
          <a:avLst/>
        </a:prstGeom>
        <a:noFill xmlns:a="http://schemas.openxmlformats.org/drawingml/2006/main"/>
      </cdr:spPr>
      <cdr:txBody>
        <a:bodyPr xmlns:a="http://schemas.openxmlformats.org/drawingml/2006/main" vertOverflow="clip" horzOverflow="clip" wrap="square" rtlCol="0">
          <a:noAutofit/>
        </a:bodyPr>
        <a:lstStyle xmlns:a="http://schemas.openxmlformats.org/drawingml/2006/main"/>
        <a:p xmlns:a="http://schemas.openxmlformats.org/drawingml/2006/main">
          <a:pPr algn="ctr"/>
          <a:r>
            <a:rPr lang="fr-FR" sz="1000" b="1">
              <a:solidFill>
                <a:schemeClr val="tx1">
                  <a:lumMod val="50000"/>
                  <a:lumOff val="50000"/>
                </a:schemeClr>
              </a:solidFill>
            </a:rPr>
            <a:t>Quartiles</a:t>
          </a:r>
          <a:r>
            <a:rPr lang="fr-FR" sz="1000" b="1" baseline="0">
              <a:solidFill>
                <a:schemeClr val="tx1">
                  <a:lumMod val="50000"/>
                  <a:lumOff val="50000"/>
                </a:schemeClr>
              </a:solidFill>
            </a:rPr>
            <a:t> de revenu par unité de consommation</a:t>
          </a:r>
          <a:r>
            <a:rPr lang="fr-FR" sz="1000" b="1" baseline="30000">
              <a:solidFill>
                <a:schemeClr val="tx1">
                  <a:lumMod val="50000"/>
                  <a:lumOff val="50000"/>
                </a:schemeClr>
              </a:solidFill>
            </a:rPr>
            <a:t>2</a:t>
          </a:r>
        </a:p>
      </cdr:txBody>
    </cdr:sp>
  </cdr:relSizeAnchor>
</c:userShape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R26"/>
  <sheetViews>
    <sheetView workbookViewId="0">
      <selection activeCell="H17" sqref="H17:R29"/>
    </sheetView>
  </sheetViews>
  <sheetFormatPr baseColWidth="10" defaultRowHeight="15" x14ac:dyDescent="0.25"/>
  <cols>
    <col min="1" max="1" width="34.140625" customWidth="1"/>
    <col min="2" max="6" width="12.7109375" customWidth="1"/>
    <col min="7" max="7" width="11.42578125" style="2"/>
    <col min="8" max="8" width="47" style="2" customWidth="1"/>
  </cols>
  <sheetData>
    <row r="1" spans="1:12" ht="18.75" thickBot="1" x14ac:dyDescent="0.35">
      <c r="A1" s="31" t="s">
        <v>65</v>
      </c>
      <c r="B1" s="3"/>
      <c r="C1" s="4"/>
      <c r="D1" s="3"/>
      <c r="E1" s="5"/>
      <c r="F1" s="5"/>
    </row>
    <row r="2" spans="1:12" ht="23.25" customHeight="1" x14ac:dyDescent="0.25">
      <c r="A2" s="8"/>
      <c r="B2" s="52">
        <v>2007</v>
      </c>
      <c r="C2" s="52">
        <v>2009</v>
      </c>
      <c r="D2" s="52">
        <v>2011</v>
      </c>
      <c r="E2" s="52">
        <v>2013</v>
      </c>
      <c r="F2" s="52">
        <v>2015</v>
      </c>
    </row>
    <row r="3" spans="1:12" s="5" customFormat="1" ht="4.5" customHeight="1" x14ac:dyDescent="0.25">
      <c r="A3" s="18"/>
      <c r="B3" s="23"/>
      <c r="C3" s="23"/>
      <c r="D3" s="23"/>
      <c r="E3" s="23"/>
      <c r="F3" s="23"/>
      <c r="G3" s="2"/>
      <c r="H3" s="25"/>
    </row>
    <row r="4" spans="1:12" ht="15.75" x14ac:dyDescent="0.3">
      <c r="A4" s="19" t="s">
        <v>54</v>
      </c>
      <c r="B4" s="20"/>
      <c r="C4" s="20"/>
      <c r="D4" s="20"/>
      <c r="E4" s="20"/>
      <c r="F4" s="20"/>
      <c r="H4" s="83"/>
      <c r="I4" s="83"/>
      <c r="J4" s="83"/>
      <c r="K4" s="83"/>
      <c r="L4" s="83"/>
    </row>
    <row r="5" spans="1:12" ht="15" customHeight="1" x14ac:dyDescent="0.25">
      <c r="A5" s="22" t="s">
        <v>102</v>
      </c>
      <c r="B5" s="45">
        <v>782000</v>
      </c>
      <c r="C5" s="45">
        <v>824000</v>
      </c>
      <c r="D5" s="45">
        <v>739000</v>
      </c>
      <c r="E5" s="45">
        <v>675000</v>
      </c>
      <c r="F5" s="45">
        <v>626000</v>
      </c>
      <c r="H5" s="83"/>
      <c r="I5" s="83"/>
      <c r="J5" s="83"/>
      <c r="K5" s="83"/>
      <c r="L5" s="83"/>
    </row>
    <row r="6" spans="1:12" ht="15" customHeight="1" x14ac:dyDescent="0.25">
      <c r="A6" s="22" t="s">
        <v>103</v>
      </c>
      <c r="B6" s="46">
        <v>2.92342300255069</v>
      </c>
      <c r="C6" s="46">
        <v>3.00426848163417</v>
      </c>
      <c r="D6" s="46">
        <v>2.6732232208464799</v>
      </c>
      <c r="E6" s="46">
        <v>2.4041934758783801</v>
      </c>
      <c r="F6" s="46">
        <v>2.1962167846195602</v>
      </c>
      <c r="H6" s="83"/>
      <c r="I6" s="83"/>
      <c r="J6" s="83"/>
      <c r="K6" s="83"/>
      <c r="L6" s="83"/>
    </row>
    <row r="7" spans="1:12" ht="15" customHeight="1" x14ac:dyDescent="0.25">
      <c r="A7" s="50" t="s">
        <v>55</v>
      </c>
      <c r="B7" s="46"/>
      <c r="C7" s="46"/>
      <c r="D7" s="46"/>
      <c r="E7" s="46"/>
      <c r="F7" s="46"/>
      <c r="H7" s="83"/>
      <c r="I7" s="83"/>
      <c r="J7" s="83"/>
      <c r="K7" s="83"/>
      <c r="L7" s="83"/>
    </row>
    <row r="8" spans="1:12" ht="15" customHeight="1" x14ac:dyDescent="0.25">
      <c r="A8" s="44" t="s">
        <v>102</v>
      </c>
      <c r="B8" s="45">
        <v>1154000</v>
      </c>
      <c r="C8" s="45">
        <v>1416000</v>
      </c>
      <c r="D8" s="45">
        <v>1412000</v>
      </c>
      <c r="E8" s="45">
        <v>1241000</v>
      </c>
      <c r="F8" s="45">
        <v>1195000</v>
      </c>
      <c r="H8" s="83"/>
      <c r="I8" s="83"/>
      <c r="J8" s="83"/>
      <c r="K8" s="83"/>
      <c r="L8" s="83"/>
    </row>
    <row r="9" spans="1:12" ht="15" customHeight="1" x14ac:dyDescent="0.25">
      <c r="A9" s="44" t="s">
        <v>104</v>
      </c>
      <c r="B9" s="51">
        <f>B8/B5</f>
        <v>1.4757033248081841</v>
      </c>
      <c r="C9" s="51">
        <f t="shared" ref="C9:F9" si="0">C8/C5</f>
        <v>1.7184466019417475</v>
      </c>
      <c r="D9" s="51">
        <f t="shared" si="0"/>
        <v>1.9106901217861976</v>
      </c>
      <c r="E9" s="51">
        <f t="shared" si="0"/>
        <v>1.8385185185185184</v>
      </c>
      <c r="F9" s="51">
        <f t="shared" si="0"/>
        <v>1.9089456869009584</v>
      </c>
      <c r="H9" s="83"/>
      <c r="I9" s="83"/>
      <c r="J9" s="83"/>
      <c r="K9" s="83"/>
      <c r="L9" s="83"/>
    </row>
    <row r="10" spans="1:12" ht="15" customHeight="1" x14ac:dyDescent="0.25">
      <c r="A10" s="21" t="s">
        <v>105</v>
      </c>
      <c r="B10" s="47">
        <v>43.181464719484403</v>
      </c>
      <c r="C10" s="47">
        <v>51.651060278759303</v>
      </c>
      <c r="D10" s="47">
        <v>51.070249667959402</v>
      </c>
      <c r="E10" s="47">
        <v>44.224405081321898</v>
      </c>
      <c r="F10" s="47">
        <v>41.936057613039601</v>
      </c>
      <c r="H10" s="83"/>
      <c r="I10" s="83"/>
      <c r="J10" s="83"/>
      <c r="K10" s="83"/>
      <c r="L10" s="83"/>
    </row>
    <row r="11" spans="1:12" s="5" customFormat="1" ht="4.5" customHeight="1" x14ac:dyDescent="0.25">
      <c r="A11" s="29"/>
      <c r="B11" s="30"/>
      <c r="C11" s="30"/>
      <c r="D11" s="30"/>
      <c r="E11" s="30"/>
      <c r="F11" s="30"/>
      <c r="G11" s="2"/>
      <c r="H11" s="83"/>
      <c r="I11" s="83"/>
      <c r="J11" s="83"/>
      <c r="K11" s="83"/>
      <c r="L11" s="83"/>
    </row>
    <row r="12" spans="1:12" ht="12" customHeight="1" x14ac:dyDescent="0.3">
      <c r="A12" s="12" t="s">
        <v>0</v>
      </c>
      <c r="B12" s="17"/>
      <c r="C12" s="17"/>
      <c r="D12" s="17"/>
      <c r="E12" s="15"/>
      <c r="F12" s="9"/>
    </row>
    <row r="13" spans="1:12" ht="12" customHeight="1" x14ac:dyDescent="0.3">
      <c r="A13" s="13" t="s">
        <v>3</v>
      </c>
      <c r="B13" s="17"/>
      <c r="C13" s="17"/>
      <c r="D13" s="17"/>
      <c r="E13" s="15"/>
      <c r="F13" s="9"/>
    </row>
    <row r="14" spans="1:12" ht="12" customHeight="1" x14ac:dyDescent="0.25">
      <c r="A14" s="92" t="s">
        <v>66</v>
      </c>
      <c r="B14" s="92"/>
      <c r="C14" s="92"/>
      <c r="D14" s="92"/>
      <c r="E14" s="92"/>
      <c r="F14" s="92"/>
    </row>
    <row r="15" spans="1:12" x14ac:dyDescent="0.25">
      <c r="A15" s="92"/>
      <c r="B15" s="92"/>
      <c r="C15" s="92"/>
      <c r="D15" s="92"/>
      <c r="E15" s="92"/>
      <c r="F15" s="92"/>
    </row>
    <row r="16" spans="1:12" x14ac:dyDescent="0.25">
      <c r="A16" s="2"/>
      <c r="B16" s="2"/>
      <c r="C16" s="2"/>
      <c r="D16" s="2"/>
      <c r="E16" s="2"/>
      <c r="F16" s="2"/>
    </row>
    <row r="17" spans="8:18" ht="15" customHeight="1" x14ac:dyDescent="0.25">
      <c r="I17" s="83"/>
      <c r="J17" s="83"/>
      <c r="K17" s="83"/>
      <c r="L17" s="83"/>
      <c r="M17" s="83"/>
      <c r="N17" s="56"/>
    </row>
    <row r="18" spans="8:18" ht="15" customHeight="1" x14ac:dyDescent="0.25">
      <c r="H18" s="83"/>
      <c r="I18" s="83"/>
      <c r="J18" s="83"/>
      <c r="K18" s="83"/>
      <c r="L18" s="83"/>
      <c r="M18" s="83"/>
      <c r="N18" s="56"/>
      <c r="O18" s="56"/>
      <c r="P18" s="56"/>
      <c r="Q18" s="56"/>
      <c r="R18" s="56"/>
    </row>
    <row r="19" spans="8:18" ht="15" customHeight="1" x14ac:dyDescent="0.25">
      <c r="H19" s="83"/>
      <c r="I19" s="83"/>
      <c r="J19" s="83"/>
      <c r="K19" s="83"/>
      <c r="L19" s="83"/>
      <c r="M19" s="83"/>
      <c r="N19" s="56"/>
      <c r="O19" s="56"/>
      <c r="P19" s="56"/>
      <c r="Q19" s="56"/>
      <c r="R19" s="56"/>
    </row>
    <row r="20" spans="8:18" ht="15" customHeight="1" x14ac:dyDescent="0.25">
      <c r="H20" s="83"/>
      <c r="I20" s="83"/>
      <c r="J20" s="83"/>
      <c r="K20" s="83"/>
      <c r="L20" s="83"/>
      <c r="M20" s="83"/>
      <c r="N20" s="56"/>
      <c r="O20" s="56"/>
      <c r="P20" s="56"/>
      <c r="Q20" s="56"/>
      <c r="R20" s="56"/>
    </row>
    <row r="21" spans="8:18" ht="15" customHeight="1" x14ac:dyDescent="0.25">
      <c r="H21" s="83"/>
      <c r="I21" s="83"/>
      <c r="J21" s="83"/>
      <c r="K21" s="83"/>
      <c r="L21" s="83"/>
      <c r="M21" s="83"/>
      <c r="N21" s="56"/>
      <c r="O21" s="56"/>
      <c r="P21" s="56"/>
      <c r="Q21" s="56"/>
      <c r="R21" s="56"/>
    </row>
    <row r="22" spans="8:18" ht="15" customHeight="1" x14ac:dyDescent="0.25">
      <c r="H22" s="83"/>
      <c r="I22" s="83"/>
      <c r="J22" s="83"/>
      <c r="K22" s="83"/>
      <c r="L22" s="83"/>
      <c r="M22" s="83"/>
      <c r="N22" s="56"/>
      <c r="O22" s="56"/>
      <c r="P22" s="56"/>
      <c r="Q22" s="56"/>
      <c r="R22" s="56"/>
    </row>
    <row r="23" spans="8:18" ht="15" customHeight="1" x14ac:dyDescent="0.25">
      <c r="H23" s="83"/>
      <c r="I23" s="83"/>
      <c r="J23" s="83"/>
      <c r="K23" s="83"/>
      <c r="L23" s="83"/>
      <c r="M23" s="83"/>
      <c r="N23" s="56"/>
      <c r="O23" s="56"/>
      <c r="P23" s="56"/>
      <c r="Q23" s="56"/>
      <c r="R23" s="56"/>
    </row>
    <row r="24" spans="8:18" ht="15" customHeight="1" x14ac:dyDescent="0.25">
      <c r="H24" s="83"/>
      <c r="I24" s="83"/>
      <c r="J24" s="83"/>
      <c r="K24" s="83"/>
      <c r="L24" s="83"/>
      <c r="M24" s="83"/>
      <c r="N24" s="56"/>
      <c r="O24" s="56"/>
      <c r="P24" s="56"/>
      <c r="Q24" s="56"/>
      <c r="R24" s="56"/>
    </row>
    <row r="25" spans="8:18" x14ac:dyDescent="0.25">
      <c r="N25" s="56"/>
    </row>
    <row r="26" spans="8:18" x14ac:dyDescent="0.25">
      <c r="J26" s="56"/>
      <c r="K26" s="56"/>
      <c r="L26" s="56"/>
      <c r="M26" s="56"/>
    </row>
  </sheetData>
  <mergeCells count="1">
    <mergeCell ref="A14:F15"/>
  </mergeCells>
  <pageMargins left="0.70866141732283472" right="0.70866141732283472" top="0.74803149606299213" bottom="0.74803149606299213" header="0.31496062992125984" footer="0.31496062992125984"/>
  <pageSetup paperSize="9" scale="9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election activeCell="D27" sqref="D27"/>
    </sheetView>
  </sheetViews>
  <sheetFormatPr baseColWidth="10" defaultRowHeight="15" x14ac:dyDescent="0.25"/>
  <sheetData>
    <row r="1" spans="1:7" ht="18" x14ac:dyDescent="0.25">
      <c r="A1" s="93" t="s">
        <v>67</v>
      </c>
      <c r="B1" s="93"/>
      <c r="C1" s="93"/>
      <c r="D1" s="93"/>
      <c r="E1" s="93"/>
      <c r="F1" s="93"/>
      <c r="G1" s="93"/>
    </row>
    <row r="2" spans="1:7" x14ac:dyDescent="0.25">
      <c r="A2" s="5"/>
      <c r="B2" s="5"/>
      <c r="C2" s="5"/>
      <c r="D2" s="5"/>
      <c r="E2" s="5"/>
      <c r="F2" s="5"/>
      <c r="G2" s="5"/>
    </row>
    <row r="3" spans="1:7" x14ac:dyDescent="0.25">
      <c r="A3" s="5"/>
      <c r="B3" s="5"/>
      <c r="C3" s="5"/>
      <c r="D3" s="5"/>
      <c r="E3" s="5"/>
      <c r="F3" s="5"/>
      <c r="G3" s="5"/>
    </row>
    <row r="4" spans="1:7" x14ac:dyDescent="0.25">
      <c r="A4" s="5"/>
      <c r="B4" s="5"/>
      <c r="C4" s="5"/>
      <c r="D4" s="5"/>
      <c r="E4" s="5"/>
      <c r="F4" s="5"/>
      <c r="G4" s="5"/>
    </row>
    <row r="5" spans="1:7" x14ac:dyDescent="0.25">
      <c r="A5" s="5"/>
      <c r="B5" s="5"/>
      <c r="C5" s="5"/>
      <c r="D5" s="5"/>
      <c r="E5" s="5"/>
      <c r="F5" s="5"/>
      <c r="G5" s="5"/>
    </row>
    <row r="6" spans="1:7" x14ac:dyDescent="0.25">
      <c r="A6" s="5"/>
      <c r="B6" s="5"/>
      <c r="C6" s="5"/>
      <c r="D6" s="5"/>
      <c r="E6" s="5"/>
      <c r="F6" s="5"/>
      <c r="G6" s="5"/>
    </row>
    <row r="7" spans="1:7" x14ac:dyDescent="0.25">
      <c r="A7" s="5"/>
      <c r="B7" s="5"/>
      <c r="C7" s="5"/>
      <c r="D7" s="5"/>
      <c r="E7" s="5"/>
      <c r="F7" s="5"/>
      <c r="G7" s="5"/>
    </row>
    <row r="8" spans="1:7" x14ac:dyDescent="0.25">
      <c r="A8" s="5"/>
      <c r="B8" s="5"/>
      <c r="C8" s="5"/>
      <c r="D8" s="5"/>
      <c r="E8" s="5"/>
      <c r="F8" s="5"/>
      <c r="G8" s="5"/>
    </row>
    <row r="9" spans="1:7" x14ac:dyDescent="0.25">
      <c r="A9" s="5"/>
      <c r="B9" s="5"/>
      <c r="C9" s="5"/>
      <c r="D9" s="5"/>
      <c r="E9" s="5"/>
      <c r="F9" s="5"/>
      <c r="G9" s="5"/>
    </row>
    <row r="10" spans="1:7" x14ac:dyDescent="0.25">
      <c r="A10" s="5"/>
      <c r="B10" s="5"/>
      <c r="C10" s="5"/>
      <c r="D10" s="5"/>
      <c r="E10" s="5"/>
      <c r="F10" s="5"/>
      <c r="G10" s="5"/>
    </row>
    <row r="11" spans="1:7" x14ac:dyDescent="0.25">
      <c r="A11" s="5"/>
      <c r="B11" s="5"/>
      <c r="C11" s="5"/>
      <c r="D11" s="5"/>
      <c r="E11" s="5"/>
      <c r="F11" s="5"/>
      <c r="G11" s="5"/>
    </row>
    <row r="12" spans="1:7" x14ac:dyDescent="0.25">
      <c r="A12" s="5"/>
      <c r="B12" s="5"/>
      <c r="C12" s="5"/>
      <c r="D12" s="5"/>
      <c r="E12" s="5"/>
      <c r="F12" s="5"/>
      <c r="G12" s="5"/>
    </row>
    <row r="13" spans="1:7" x14ac:dyDescent="0.25">
      <c r="A13" s="12" t="s">
        <v>0</v>
      </c>
      <c r="B13" s="5"/>
      <c r="C13" s="5"/>
      <c r="D13" s="5"/>
      <c r="E13" s="5"/>
      <c r="F13" s="5"/>
      <c r="G13" s="5"/>
    </row>
    <row r="14" spans="1:7" x14ac:dyDescent="0.25">
      <c r="A14" s="13" t="s">
        <v>2</v>
      </c>
      <c r="B14" s="5"/>
      <c r="C14" s="5"/>
      <c r="D14" s="5"/>
      <c r="E14" s="5"/>
      <c r="F14" s="5"/>
      <c r="G14" s="5"/>
    </row>
    <row r="15" spans="1:7" ht="27" customHeight="1" x14ac:dyDescent="0.25">
      <c r="A15" s="94" t="s">
        <v>68</v>
      </c>
      <c r="B15" s="95"/>
      <c r="C15" s="95"/>
      <c r="D15" s="95"/>
      <c r="E15" s="95"/>
      <c r="F15" s="95"/>
      <c r="G15" s="95"/>
    </row>
    <row r="19" spans="1:11" x14ac:dyDescent="0.25">
      <c r="A19" s="1" t="s">
        <v>59</v>
      </c>
    </row>
    <row r="20" spans="1:11" x14ac:dyDescent="0.25">
      <c r="A20" s="1"/>
      <c r="B20" s="1">
        <v>2006</v>
      </c>
      <c r="C20" s="1">
        <v>2007</v>
      </c>
      <c r="D20" s="1">
        <v>2008</v>
      </c>
      <c r="E20" s="1">
        <v>2009</v>
      </c>
      <c r="F20" s="1">
        <v>2010</v>
      </c>
      <c r="G20" s="1">
        <v>2011</v>
      </c>
      <c r="H20" s="1">
        <v>2012</v>
      </c>
      <c r="I20" s="1">
        <v>2013</v>
      </c>
      <c r="J20" s="1">
        <v>2014</v>
      </c>
      <c r="K20" s="1">
        <v>2015</v>
      </c>
    </row>
    <row r="21" spans="1:11" ht="105" x14ac:dyDescent="0.25">
      <c r="A21" s="57" t="s">
        <v>64</v>
      </c>
      <c r="B21" s="57">
        <v>896914</v>
      </c>
      <c r="C21" s="57">
        <v>1154479</v>
      </c>
      <c r="D21" s="57">
        <v>1210300</v>
      </c>
      <c r="E21" s="57">
        <v>1416287</v>
      </c>
      <c r="F21" s="57">
        <v>1407421</v>
      </c>
      <c r="G21" s="57">
        <v>1412066</v>
      </c>
      <c r="H21" s="57">
        <v>1217751</v>
      </c>
      <c r="I21" s="57">
        <v>1240889</v>
      </c>
      <c r="J21" s="57">
        <v>1188352</v>
      </c>
      <c r="K21" s="57">
        <v>1195175</v>
      </c>
    </row>
  </sheetData>
  <mergeCells count="2">
    <mergeCell ref="A1:G1"/>
    <mergeCell ref="A15:G15"/>
  </mergeCells>
  <pageMargins left="0.70866141732283472" right="0.70866141732283472" top="0.74803149606299213" bottom="0.74803149606299213" header="0.31496062992125984" footer="0.31496062992125984"/>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activeCell="A12" sqref="A12"/>
    </sheetView>
  </sheetViews>
  <sheetFormatPr baseColWidth="10" defaultRowHeight="15" x14ac:dyDescent="0.25"/>
  <cols>
    <col min="1" max="1" width="40.5703125" style="56" customWidth="1"/>
    <col min="2" max="16384" width="11.42578125" style="56"/>
  </cols>
  <sheetData>
    <row r="1" spans="1:4" ht="18" x14ac:dyDescent="0.25">
      <c r="A1" s="96" t="s">
        <v>94</v>
      </c>
      <c r="B1" s="96"/>
      <c r="C1" s="96"/>
      <c r="D1" s="96"/>
    </row>
    <row r="2" spans="1:4" ht="15.75" customHeight="1" x14ac:dyDescent="0.25">
      <c r="A2" s="28"/>
      <c r="B2" s="28"/>
      <c r="C2" s="28"/>
      <c r="D2" s="28"/>
    </row>
    <row r="3" spans="1:4" x14ac:dyDescent="0.25">
      <c r="A3" s="5"/>
      <c r="B3" s="5"/>
      <c r="C3" s="5"/>
      <c r="D3" s="5"/>
    </row>
    <row r="4" spans="1:4" x14ac:dyDescent="0.25">
      <c r="A4" s="5"/>
      <c r="B4" s="5"/>
      <c r="C4" s="5"/>
      <c r="D4" s="5"/>
    </row>
    <row r="5" spans="1:4" x14ac:dyDescent="0.25">
      <c r="A5" s="5"/>
      <c r="B5" s="5"/>
      <c r="C5" s="5"/>
      <c r="D5" s="5"/>
    </row>
    <row r="6" spans="1:4" x14ac:dyDescent="0.25">
      <c r="A6" s="5"/>
      <c r="B6" s="5"/>
      <c r="C6" s="5"/>
      <c r="D6" s="5"/>
    </row>
    <row r="7" spans="1:4" x14ac:dyDescent="0.25">
      <c r="A7" s="5"/>
      <c r="B7" s="5"/>
      <c r="C7" s="5"/>
      <c r="D7" s="5"/>
    </row>
    <row r="8" spans="1:4" x14ac:dyDescent="0.25">
      <c r="A8" s="5"/>
      <c r="B8" s="5"/>
      <c r="C8" s="5"/>
      <c r="D8" s="5"/>
    </row>
    <row r="9" spans="1:4" x14ac:dyDescent="0.25">
      <c r="A9" s="5"/>
      <c r="B9" s="5"/>
      <c r="C9" s="5"/>
      <c r="D9" s="5"/>
    </row>
    <row r="10" spans="1:4" x14ac:dyDescent="0.25">
      <c r="A10" s="5"/>
      <c r="B10" s="5"/>
      <c r="C10" s="5"/>
      <c r="D10" s="5"/>
    </row>
    <row r="11" spans="1:4" x14ac:dyDescent="0.25">
      <c r="A11" s="12" t="s">
        <v>4</v>
      </c>
      <c r="B11" s="5"/>
      <c r="C11" s="5"/>
      <c r="D11" s="5"/>
    </row>
    <row r="12" spans="1:4" x14ac:dyDescent="0.25">
      <c r="A12" s="13" t="s">
        <v>109</v>
      </c>
      <c r="B12" s="5"/>
      <c r="C12" s="5"/>
      <c r="D12" s="5"/>
    </row>
    <row r="13" spans="1:4" ht="25.5" customHeight="1" x14ac:dyDescent="0.25">
      <c r="A13" s="92" t="s">
        <v>78</v>
      </c>
      <c r="B13" s="92"/>
      <c r="C13" s="92"/>
      <c r="D13" s="92"/>
    </row>
    <row r="19" spans="1:2" x14ac:dyDescent="0.25">
      <c r="A19" s="2"/>
      <c r="B19" s="2"/>
    </row>
    <row r="20" spans="1:2" x14ac:dyDescent="0.25">
      <c r="A20" s="2"/>
      <c r="B20" s="2"/>
    </row>
    <row r="21" spans="1:2" x14ac:dyDescent="0.25">
      <c r="A21" s="2"/>
      <c r="B21" s="2"/>
    </row>
    <row r="22" spans="1:2" x14ac:dyDescent="0.25">
      <c r="A22" s="1" t="s">
        <v>52</v>
      </c>
      <c r="B22" s="1" t="s">
        <v>53</v>
      </c>
    </row>
    <row r="23" spans="1:2" ht="45" x14ac:dyDescent="0.25">
      <c r="A23" s="57" t="s">
        <v>69</v>
      </c>
      <c r="B23" s="49">
        <v>0.72</v>
      </c>
    </row>
    <row r="24" spans="1:2" ht="45" x14ac:dyDescent="0.25">
      <c r="A24" s="57" t="s">
        <v>70</v>
      </c>
      <c r="B24" s="49">
        <v>0.26</v>
      </c>
    </row>
    <row r="25" spans="1:2" ht="30" x14ac:dyDescent="0.25">
      <c r="A25" s="48" t="s">
        <v>71</v>
      </c>
      <c r="B25" s="49">
        <v>0.02</v>
      </c>
    </row>
  </sheetData>
  <mergeCells count="2">
    <mergeCell ref="A1:D1"/>
    <mergeCell ref="A13:D13"/>
  </mergeCells>
  <pageMargins left="0.70866141732283472" right="0.70866141732283472" top="0.74803149606299213" bottom="0.74803149606299213"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5" workbookViewId="0">
      <selection activeCell="D27" sqref="D27"/>
    </sheetView>
  </sheetViews>
  <sheetFormatPr baseColWidth="10" defaultRowHeight="15" x14ac:dyDescent="0.25"/>
  <cols>
    <col min="4" max="4" width="17.5703125" customWidth="1"/>
    <col min="6" max="6" width="13.5703125" customWidth="1"/>
  </cols>
  <sheetData>
    <row r="1" spans="1:7" ht="24.75" customHeight="1" x14ac:dyDescent="0.35">
      <c r="A1" s="32" t="s">
        <v>72</v>
      </c>
      <c r="B1" s="5"/>
      <c r="C1" s="5"/>
      <c r="D1" s="5"/>
      <c r="E1" s="5"/>
      <c r="F1" s="5"/>
      <c r="G1" s="5"/>
    </row>
    <row r="2" spans="1:7" x14ac:dyDescent="0.25">
      <c r="A2" s="5"/>
      <c r="B2" s="5"/>
      <c r="C2" s="5"/>
      <c r="D2" s="5"/>
      <c r="E2" s="5"/>
      <c r="F2" s="5"/>
      <c r="G2" s="5"/>
    </row>
    <row r="3" spans="1:7" x14ac:dyDescent="0.25">
      <c r="A3" s="5"/>
      <c r="B3" s="5"/>
      <c r="C3" s="5"/>
      <c r="D3" s="5"/>
      <c r="E3" s="5"/>
      <c r="F3" s="5"/>
      <c r="G3" s="5"/>
    </row>
    <row r="4" spans="1:7" x14ac:dyDescent="0.25">
      <c r="A4" s="5"/>
      <c r="B4" s="5"/>
      <c r="C4" s="5"/>
      <c r="D4" s="5"/>
      <c r="E4" s="5"/>
      <c r="F4" s="5"/>
      <c r="G4" s="5"/>
    </row>
    <row r="5" spans="1:7" x14ac:dyDescent="0.25">
      <c r="A5" s="5"/>
      <c r="B5" s="5"/>
      <c r="C5" s="5"/>
      <c r="D5" s="5"/>
      <c r="E5" s="5"/>
      <c r="F5" s="5"/>
      <c r="G5" s="5"/>
    </row>
    <row r="6" spans="1:7" x14ac:dyDescent="0.25">
      <c r="A6" s="5"/>
      <c r="B6" s="5"/>
      <c r="C6" s="5"/>
      <c r="D6" s="5"/>
      <c r="E6" s="5"/>
      <c r="F6" s="5"/>
      <c r="G6" s="5"/>
    </row>
    <row r="7" spans="1:7" x14ac:dyDescent="0.25">
      <c r="A7" s="5"/>
      <c r="B7" s="5"/>
      <c r="C7" s="5"/>
      <c r="D7" s="5"/>
      <c r="E7" s="5"/>
      <c r="F7" s="5"/>
      <c r="G7" s="5"/>
    </row>
    <row r="8" spans="1:7" x14ac:dyDescent="0.25">
      <c r="A8" s="5"/>
      <c r="B8" s="5"/>
      <c r="C8" s="5"/>
      <c r="D8" s="5"/>
      <c r="E8" s="5"/>
      <c r="F8" s="5"/>
      <c r="G8" s="5"/>
    </row>
    <row r="9" spans="1:7" x14ac:dyDescent="0.25">
      <c r="A9" s="5"/>
      <c r="B9" s="5"/>
      <c r="C9" s="5"/>
      <c r="D9" s="5"/>
      <c r="E9" s="5"/>
      <c r="F9" s="5"/>
      <c r="G9" s="5"/>
    </row>
    <row r="10" spans="1:7" x14ac:dyDescent="0.25">
      <c r="A10" s="5"/>
      <c r="B10" s="5"/>
      <c r="C10" s="5"/>
      <c r="D10" s="5"/>
      <c r="E10" s="5"/>
      <c r="F10" s="5"/>
      <c r="G10" s="5"/>
    </row>
    <row r="11" spans="1:7" x14ac:dyDescent="0.25">
      <c r="A11" s="5"/>
      <c r="B11" s="5"/>
      <c r="C11" s="5"/>
      <c r="D11" s="5"/>
      <c r="E11" s="5"/>
      <c r="F11" s="5"/>
      <c r="G11" s="5"/>
    </row>
    <row r="12" spans="1:7" x14ac:dyDescent="0.25">
      <c r="A12" s="5"/>
      <c r="B12" s="5"/>
      <c r="C12" s="5"/>
      <c r="D12" s="5"/>
      <c r="E12" s="5"/>
      <c r="F12" s="5"/>
      <c r="G12" s="5"/>
    </row>
    <row r="13" spans="1:7" x14ac:dyDescent="0.25">
      <c r="A13" s="5"/>
      <c r="B13" s="5"/>
      <c r="C13" s="5"/>
      <c r="D13" s="5"/>
      <c r="E13" s="5"/>
      <c r="F13" s="5"/>
      <c r="G13" s="5"/>
    </row>
    <row r="14" spans="1:7" x14ac:dyDescent="0.25">
      <c r="A14" s="5"/>
      <c r="B14" s="5"/>
      <c r="C14" s="5"/>
      <c r="D14" s="5"/>
      <c r="E14" s="5"/>
      <c r="F14" s="5"/>
      <c r="G14" s="5"/>
    </row>
    <row r="15" spans="1:7" ht="27" customHeight="1" x14ac:dyDescent="0.25">
      <c r="A15" s="97" t="s">
        <v>4</v>
      </c>
      <c r="B15" s="97"/>
      <c r="C15" s="97"/>
      <c r="D15" s="97"/>
      <c r="E15" s="5"/>
      <c r="F15" s="5"/>
      <c r="G15" s="5"/>
    </row>
    <row r="16" spans="1:7" ht="15" customHeight="1" x14ac:dyDescent="0.25">
      <c r="A16" s="16" t="s">
        <v>109</v>
      </c>
      <c r="B16" s="54"/>
      <c r="C16" s="54"/>
      <c r="D16" s="54"/>
      <c r="E16" s="54"/>
      <c r="F16" s="54"/>
    </row>
    <row r="17" spans="1:9" ht="15" customHeight="1" x14ac:dyDescent="0.25">
      <c r="A17" s="97" t="s">
        <v>79</v>
      </c>
      <c r="B17" s="97"/>
      <c r="C17" s="97"/>
      <c r="D17" s="97"/>
      <c r="E17" s="97"/>
      <c r="F17" s="97"/>
      <c r="G17" s="97"/>
    </row>
    <row r="18" spans="1:9" ht="26.25" customHeight="1" x14ac:dyDescent="0.25">
      <c r="A18" s="97"/>
      <c r="B18" s="97"/>
      <c r="C18" s="97"/>
      <c r="D18" s="97"/>
      <c r="E18" s="97"/>
      <c r="F18" s="97"/>
      <c r="G18" s="97"/>
    </row>
    <row r="19" spans="1:9" ht="14.25" customHeight="1" x14ac:dyDescent="0.25">
      <c r="A19" s="53"/>
      <c r="B19" s="43"/>
      <c r="C19" s="43"/>
      <c r="D19" s="43"/>
      <c r="E19" s="43"/>
      <c r="F19" s="43"/>
      <c r="G19" s="2"/>
    </row>
    <row r="20" spans="1:9" x14ac:dyDescent="0.25">
      <c r="A20" s="2"/>
      <c r="B20" s="7"/>
      <c r="C20" s="2"/>
      <c r="D20" s="2"/>
      <c r="E20" s="2"/>
      <c r="F20" s="2"/>
      <c r="G20" s="2"/>
    </row>
    <row r="22" spans="1:9" x14ac:dyDescent="0.25">
      <c r="A22" s="1" t="s">
        <v>58</v>
      </c>
      <c r="B22" s="1" t="s">
        <v>56</v>
      </c>
    </row>
    <row r="23" spans="1:9" ht="15" customHeight="1" x14ac:dyDescent="0.25">
      <c r="A23" s="48" t="s">
        <v>73</v>
      </c>
      <c r="B23" s="49">
        <v>0.27788469588145698</v>
      </c>
      <c r="F23" s="84"/>
      <c r="G23" s="84"/>
    </row>
    <row r="24" spans="1:9" ht="15" customHeight="1" x14ac:dyDescent="0.25">
      <c r="A24" s="48" t="s">
        <v>74</v>
      </c>
      <c r="B24" s="49">
        <v>0.25523421189020201</v>
      </c>
      <c r="F24" s="84"/>
      <c r="G24" s="84"/>
    </row>
    <row r="25" spans="1:9" ht="15" customHeight="1" x14ac:dyDescent="0.25">
      <c r="A25" s="48" t="s">
        <v>75</v>
      </c>
      <c r="B25" s="49">
        <v>0.45959518175154501</v>
      </c>
      <c r="F25" s="84"/>
      <c r="G25" s="84"/>
    </row>
    <row r="26" spans="1:9" ht="15" customHeight="1" x14ac:dyDescent="0.25">
      <c r="A26" s="48" t="s">
        <v>5</v>
      </c>
      <c r="B26" s="49">
        <v>7.2858849144395998E-3</v>
      </c>
      <c r="F26" s="84"/>
      <c r="G26" s="84"/>
    </row>
    <row r="27" spans="1:9" ht="15" customHeight="1" x14ac:dyDescent="0.25">
      <c r="A27" s="1" t="s">
        <v>8</v>
      </c>
      <c r="B27" s="87">
        <f>1-B23-B24-B25-B26</f>
        <v>2.5562356453789903E-8</v>
      </c>
      <c r="F27" s="84"/>
      <c r="G27" s="84"/>
    </row>
    <row r="28" spans="1:9" ht="15" customHeight="1" x14ac:dyDescent="0.25">
      <c r="A28" s="1"/>
      <c r="B28" s="87"/>
      <c r="F28" s="84"/>
      <c r="G28" s="84"/>
    </row>
    <row r="29" spans="1:9" ht="30" x14ac:dyDescent="0.25">
      <c r="A29" s="48" t="s">
        <v>57</v>
      </c>
      <c r="B29" s="1" t="s">
        <v>56</v>
      </c>
      <c r="F29" s="84"/>
      <c r="G29" s="84"/>
    </row>
    <row r="30" spans="1:9" x14ac:dyDescent="0.25">
      <c r="A30" s="1" t="s">
        <v>7</v>
      </c>
      <c r="B30" s="87">
        <v>0.3498</v>
      </c>
      <c r="F30" s="84"/>
      <c r="G30" s="84"/>
    </row>
    <row r="31" spans="1:9" x14ac:dyDescent="0.25">
      <c r="A31" s="1" t="s">
        <v>76</v>
      </c>
      <c r="B31" s="88">
        <f>1-B32-B30</f>
        <v>0.20220000000000005</v>
      </c>
      <c r="F31" s="55"/>
      <c r="G31" s="55"/>
    </row>
    <row r="32" spans="1:9" x14ac:dyDescent="0.25">
      <c r="A32" s="1" t="s">
        <v>8</v>
      </c>
      <c r="B32" s="87">
        <v>0.44800000000000001</v>
      </c>
      <c r="F32" s="55"/>
      <c r="G32" s="55"/>
      <c r="H32" s="55"/>
      <c r="I32" s="55"/>
    </row>
    <row r="33" spans="1:2" x14ac:dyDescent="0.25">
      <c r="A33" s="2"/>
      <c r="B33" s="26"/>
    </row>
  </sheetData>
  <mergeCells count="2">
    <mergeCell ref="A15:D15"/>
    <mergeCell ref="A17:G18"/>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9"/>
  <sheetViews>
    <sheetView workbookViewId="0">
      <selection activeCell="A13" sqref="A13"/>
    </sheetView>
  </sheetViews>
  <sheetFormatPr baseColWidth="10" defaultRowHeight="15" x14ac:dyDescent="0.25"/>
  <sheetData>
    <row r="1" spans="1:9" ht="31.5" customHeight="1" x14ac:dyDescent="0.25">
      <c r="A1" s="96" t="s">
        <v>9</v>
      </c>
      <c r="B1" s="98"/>
      <c r="C1" s="98"/>
      <c r="D1" s="98"/>
      <c r="E1" s="98"/>
      <c r="F1" s="98"/>
      <c r="G1" s="98"/>
      <c r="H1" s="24"/>
      <c r="I1" s="11"/>
    </row>
    <row r="2" spans="1:9" ht="21" x14ac:dyDescent="0.25">
      <c r="A2" s="24"/>
      <c r="B2" s="24"/>
      <c r="C2" s="24"/>
      <c r="D2" s="24"/>
      <c r="E2" s="24"/>
      <c r="F2" s="24"/>
      <c r="G2" s="24"/>
      <c r="H2" s="24"/>
      <c r="I2" s="11"/>
    </row>
    <row r="3" spans="1:9" x14ac:dyDescent="0.25">
      <c r="A3" s="5"/>
      <c r="B3" s="5"/>
      <c r="C3" s="5"/>
      <c r="D3" s="5"/>
      <c r="E3" s="5"/>
      <c r="F3" s="5"/>
      <c r="G3" s="5"/>
      <c r="H3" s="5"/>
    </row>
    <row r="4" spans="1:9" x14ac:dyDescent="0.25">
      <c r="A4" s="5"/>
      <c r="B4" s="5"/>
      <c r="C4" s="5"/>
      <c r="D4" s="5"/>
      <c r="E4" s="5"/>
      <c r="F4" s="5"/>
      <c r="G4" s="5"/>
      <c r="H4" s="5"/>
    </row>
    <row r="5" spans="1:9" x14ac:dyDescent="0.25">
      <c r="A5" s="5"/>
      <c r="B5" s="5"/>
      <c r="C5" s="5"/>
      <c r="D5" s="5"/>
      <c r="E5" s="5"/>
      <c r="F5" s="5"/>
      <c r="G5" s="5"/>
      <c r="H5" s="5"/>
    </row>
    <row r="6" spans="1:9" x14ac:dyDescent="0.25">
      <c r="A6" s="5"/>
      <c r="B6" s="5"/>
      <c r="C6" s="5"/>
      <c r="D6" s="5"/>
      <c r="E6" s="5"/>
      <c r="F6" s="5"/>
      <c r="G6" s="5"/>
      <c r="H6" s="5"/>
    </row>
    <row r="7" spans="1:9" x14ac:dyDescent="0.25">
      <c r="A7" s="5"/>
      <c r="B7" s="5"/>
      <c r="C7" s="5"/>
      <c r="D7" s="5"/>
      <c r="E7" s="5"/>
      <c r="F7" s="5"/>
      <c r="G7" s="5"/>
      <c r="H7" s="5"/>
    </row>
    <row r="8" spans="1:9" x14ac:dyDescent="0.25">
      <c r="A8" s="5"/>
      <c r="B8" s="5"/>
      <c r="C8" s="5"/>
      <c r="D8" s="5"/>
      <c r="E8" s="5"/>
      <c r="F8" s="5"/>
      <c r="G8" s="5"/>
      <c r="H8" s="5"/>
    </row>
    <row r="9" spans="1:9" x14ac:dyDescent="0.25">
      <c r="A9" s="5"/>
      <c r="B9" s="5"/>
      <c r="C9" s="5"/>
      <c r="D9" s="5"/>
      <c r="E9" s="5"/>
      <c r="F9" s="5"/>
      <c r="G9" s="5"/>
      <c r="H9" s="5"/>
    </row>
    <row r="10" spans="1:9" x14ac:dyDescent="0.25">
      <c r="A10" s="5"/>
      <c r="B10" s="5"/>
      <c r="C10" s="5"/>
      <c r="D10" s="5"/>
      <c r="E10" s="5"/>
      <c r="F10" s="5"/>
      <c r="G10" s="5"/>
      <c r="H10" s="5"/>
    </row>
    <row r="11" spans="1:9" x14ac:dyDescent="0.25">
      <c r="A11" s="5"/>
      <c r="B11" s="5"/>
      <c r="C11" s="5"/>
      <c r="D11" s="5"/>
      <c r="E11" s="5"/>
      <c r="F11" s="5"/>
      <c r="G11" s="5"/>
      <c r="H11" s="5"/>
    </row>
    <row r="12" spans="1:9" x14ac:dyDescent="0.25">
      <c r="A12" s="14" t="s">
        <v>4</v>
      </c>
      <c r="B12" s="15"/>
      <c r="C12" s="15"/>
      <c r="D12" s="15"/>
      <c r="E12" s="15"/>
      <c r="F12" s="15"/>
      <c r="G12" s="15"/>
      <c r="H12" s="15"/>
    </row>
    <row r="13" spans="1:9" x14ac:dyDescent="0.25">
      <c r="A13" s="16" t="s">
        <v>109</v>
      </c>
      <c r="B13" s="15"/>
      <c r="C13" s="15"/>
      <c r="D13" s="15"/>
      <c r="E13" s="15"/>
      <c r="F13" s="15"/>
      <c r="G13" s="15"/>
      <c r="H13" s="15"/>
    </row>
    <row r="14" spans="1:9" ht="40.5" customHeight="1" x14ac:dyDescent="0.25">
      <c r="A14" s="97" t="s">
        <v>80</v>
      </c>
      <c r="B14" s="97"/>
      <c r="C14" s="97"/>
      <c r="D14" s="97"/>
      <c r="E14" s="97"/>
      <c r="F14" s="97"/>
      <c r="G14" s="97"/>
      <c r="H14" s="97"/>
    </row>
    <row r="15" spans="1:9" ht="16.5" x14ac:dyDescent="0.25">
      <c r="A15" s="6"/>
      <c r="B15" s="5"/>
      <c r="C15" s="5"/>
      <c r="D15" s="5"/>
      <c r="E15" s="5"/>
      <c r="F15" s="5"/>
      <c r="G15" s="5"/>
      <c r="H15" s="5"/>
    </row>
    <row r="17" spans="1:7" x14ac:dyDescent="0.25">
      <c r="A17" s="1"/>
      <c r="B17" s="1" t="s">
        <v>1</v>
      </c>
    </row>
    <row r="18" spans="1:7" x14ac:dyDescent="0.25">
      <c r="A18" s="1" t="s">
        <v>11</v>
      </c>
      <c r="B18" s="89">
        <v>0.81809508046071</v>
      </c>
      <c r="C18" s="7"/>
      <c r="D18" s="7"/>
      <c r="E18" s="84"/>
      <c r="F18" s="84"/>
      <c r="G18" s="55"/>
    </row>
    <row r="19" spans="1:7" x14ac:dyDescent="0.25">
      <c r="A19" s="1" t="s">
        <v>12</v>
      </c>
      <c r="B19" s="89">
        <v>9.3430298804768205E-2</v>
      </c>
      <c r="C19" s="7"/>
      <c r="D19" s="7"/>
      <c r="E19" s="84"/>
      <c r="F19" s="84"/>
      <c r="G19" s="55"/>
    </row>
    <row r="20" spans="1:7" x14ac:dyDescent="0.25">
      <c r="A20" s="1" t="s">
        <v>13</v>
      </c>
      <c r="B20" s="89">
        <v>8.1008176119519298E-2</v>
      </c>
      <c r="C20" s="7"/>
      <c r="D20" s="7"/>
      <c r="E20" s="84"/>
      <c r="F20" s="84"/>
      <c r="G20" s="55"/>
    </row>
    <row r="21" spans="1:7" x14ac:dyDescent="0.25">
      <c r="A21" s="2"/>
      <c r="B21" s="10"/>
      <c r="C21" s="10"/>
      <c r="D21" s="10"/>
      <c r="E21" s="84"/>
      <c r="F21" s="84"/>
      <c r="G21" s="55"/>
    </row>
    <row r="22" spans="1:7" x14ac:dyDescent="0.25">
      <c r="A22" s="2"/>
      <c r="B22" s="2"/>
      <c r="C22" s="2"/>
      <c r="D22" s="2"/>
      <c r="E22" s="84"/>
      <c r="F22" s="84"/>
    </row>
    <row r="23" spans="1:7" x14ac:dyDescent="0.25">
      <c r="A23" s="2"/>
      <c r="B23" s="2"/>
      <c r="C23" s="2"/>
      <c r="D23" s="2"/>
      <c r="E23" s="7"/>
    </row>
    <row r="24" spans="1:7" x14ac:dyDescent="0.25">
      <c r="A24" s="2"/>
      <c r="B24" s="2"/>
      <c r="C24" s="2"/>
      <c r="D24" s="7"/>
      <c r="E24" s="7"/>
    </row>
    <row r="25" spans="1:7" x14ac:dyDescent="0.25">
      <c r="A25" s="2"/>
      <c r="B25" s="2"/>
      <c r="C25" s="2"/>
      <c r="D25" s="7"/>
      <c r="E25" s="7"/>
    </row>
    <row r="26" spans="1:7" x14ac:dyDescent="0.25">
      <c r="A26" s="2"/>
      <c r="B26" s="2"/>
      <c r="C26" s="2"/>
      <c r="D26" s="7"/>
      <c r="E26" s="2"/>
    </row>
    <row r="27" spans="1:7" x14ac:dyDescent="0.25">
      <c r="A27" s="2"/>
      <c r="B27" s="2"/>
      <c r="C27" s="2"/>
      <c r="D27" s="27"/>
      <c r="E27" s="2"/>
    </row>
    <row r="28" spans="1:7" x14ac:dyDescent="0.25">
      <c r="A28" s="2"/>
      <c r="B28" s="2"/>
      <c r="C28" s="2"/>
      <c r="D28" s="2"/>
      <c r="E28" s="2"/>
    </row>
    <row r="29" spans="1:7" x14ac:dyDescent="0.25">
      <c r="A29" s="2"/>
      <c r="B29" s="2"/>
      <c r="C29" s="2"/>
      <c r="D29" s="2"/>
      <c r="E29" s="2"/>
    </row>
  </sheetData>
  <mergeCells count="2">
    <mergeCell ref="A1:G1"/>
    <mergeCell ref="A14:H14"/>
  </mergeCells>
  <pageMargins left="0.70866141732283472" right="0.70866141732283472" top="0.74803149606299213" bottom="0.74803149606299213" header="0.31496062992125984" footer="0.31496062992125984"/>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8"/>
  <sheetViews>
    <sheetView workbookViewId="0">
      <selection activeCell="H22" sqref="H22"/>
    </sheetView>
  </sheetViews>
  <sheetFormatPr baseColWidth="10" defaultRowHeight="15" x14ac:dyDescent="0.25"/>
  <cols>
    <col min="1" max="16384" width="11.42578125" style="56"/>
  </cols>
  <sheetData>
    <row r="1" spans="1:8" ht="31.5" customHeight="1" x14ac:dyDescent="0.25">
      <c r="A1" s="96" t="s">
        <v>14</v>
      </c>
      <c r="B1" s="98"/>
      <c r="C1" s="98"/>
      <c r="D1" s="98"/>
      <c r="E1" s="98"/>
      <c r="F1" s="98"/>
      <c r="G1" s="98"/>
      <c r="H1" s="11"/>
    </row>
    <row r="2" spans="1:8" ht="21" x14ac:dyDescent="0.25">
      <c r="A2" s="28"/>
      <c r="B2" s="28"/>
      <c r="C2" s="28"/>
      <c r="D2" s="28"/>
      <c r="E2" s="28"/>
      <c r="F2" s="28"/>
      <c r="G2" s="28"/>
      <c r="H2" s="11"/>
    </row>
    <row r="3" spans="1:8" x14ac:dyDescent="0.25">
      <c r="A3" s="5"/>
      <c r="B3" s="5"/>
      <c r="C3" s="5"/>
      <c r="D3" s="5"/>
      <c r="E3" s="5"/>
      <c r="F3" s="5"/>
      <c r="G3" s="5"/>
    </row>
    <row r="4" spans="1:8" x14ac:dyDescent="0.25">
      <c r="A4" s="5"/>
      <c r="B4" s="5"/>
      <c r="C4" s="5"/>
      <c r="D4" s="5"/>
      <c r="E4" s="5"/>
      <c r="F4" s="5"/>
      <c r="G4" s="5"/>
    </row>
    <row r="5" spans="1:8" x14ac:dyDescent="0.25">
      <c r="A5" s="5"/>
      <c r="B5" s="5"/>
      <c r="C5" s="5"/>
      <c r="D5" s="5"/>
      <c r="E5" s="5"/>
      <c r="F5" s="5"/>
      <c r="G5" s="5"/>
    </row>
    <row r="6" spans="1:8" x14ac:dyDescent="0.25">
      <c r="A6" s="5"/>
      <c r="B6" s="5"/>
      <c r="C6" s="5"/>
      <c r="D6" s="5"/>
      <c r="E6" s="5"/>
      <c r="F6" s="5"/>
      <c r="G6" s="5"/>
    </row>
    <row r="7" spans="1:8" x14ac:dyDescent="0.25">
      <c r="A7" s="5"/>
      <c r="B7" s="5"/>
      <c r="C7" s="5"/>
      <c r="D7" s="5"/>
      <c r="E7" s="5"/>
      <c r="F7" s="5"/>
      <c r="G7" s="5"/>
    </row>
    <row r="8" spans="1:8" x14ac:dyDescent="0.25">
      <c r="A8" s="5"/>
      <c r="B8" s="5"/>
      <c r="C8" s="5"/>
      <c r="D8" s="5"/>
      <c r="E8" s="5"/>
      <c r="F8" s="5"/>
      <c r="G8" s="5"/>
    </row>
    <row r="9" spans="1:8" x14ac:dyDescent="0.25">
      <c r="A9" s="5"/>
      <c r="B9" s="5"/>
      <c r="C9" s="5"/>
      <c r="D9" s="5"/>
      <c r="E9" s="5"/>
      <c r="F9" s="5"/>
      <c r="G9" s="5"/>
    </row>
    <row r="10" spans="1:8" x14ac:dyDescent="0.25">
      <c r="A10" s="5"/>
      <c r="B10" s="5"/>
      <c r="C10" s="5"/>
      <c r="D10" s="5"/>
      <c r="E10" s="5"/>
      <c r="F10" s="5"/>
      <c r="G10" s="5"/>
    </row>
    <row r="11" spans="1:8" x14ac:dyDescent="0.25">
      <c r="A11" s="5"/>
      <c r="B11" s="5"/>
      <c r="C11" s="5"/>
      <c r="D11" s="5"/>
      <c r="E11" s="5"/>
      <c r="F11" s="5"/>
      <c r="G11" s="5"/>
    </row>
    <row r="12" spans="1:8" x14ac:dyDescent="0.25">
      <c r="A12" s="14" t="s">
        <v>4</v>
      </c>
      <c r="B12" s="15"/>
      <c r="C12" s="15"/>
      <c r="D12" s="15"/>
      <c r="E12" s="15"/>
      <c r="F12" s="15"/>
      <c r="G12" s="15"/>
    </row>
    <row r="13" spans="1:8" x14ac:dyDescent="0.25">
      <c r="A13" s="16" t="s">
        <v>109</v>
      </c>
      <c r="B13" s="15"/>
      <c r="C13" s="15"/>
      <c r="D13" s="15"/>
      <c r="E13" s="15"/>
      <c r="F13" s="15"/>
      <c r="G13" s="15"/>
    </row>
    <row r="14" spans="1:8" ht="30.75" customHeight="1" x14ac:dyDescent="0.25">
      <c r="A14" s="97" t="s">
        <v>81</v>
      </c>
      <c r="B14" s="97"/>
      <c r="C14" s="97"/>
      <c r="D14" s="97"/>
      <c r="E14" s="97"/>
      <c r="F14" s="97"/>
      <c r="G14" s="97"/>
    </row>
    <row r="15" spans="1:8" ht="16.5" x14ac:dyDescent="0.25">
      <c r="A15" s="6"/>
      <c r="B15" s="5"/>
      <c r="C15" s="5"/>
      <c r="D15" s="5"/>
      <c r="E15" s="5"/>
      <c r="F15" s="5"/>
      <c r="G15" s="5"/>
    </row>
    <row r="17" spans="1:7" x14ac:dyDescent="0.25">
      <c r="A17" s="1"/>
      <c r="B17" s="1" t="s">
        <v>1</v>
      </c>
    </row>
    <row r="18" spans="1:7" x14ac:dyDescent="0.25">
      <c r="A18" s="1" t="s">
        <v>10</v>
      </c>
      <c r="B18" s="89">
        <v>0.08</v>
      </c>
      <c r="C18" s="7"/>
      <c r="D18" s="7"/>
      <c r="E18" s="55"/>
      <c r="F18" s="55"/>
      <c r="G18" s="55"/>
    </row>
    <row r="19" spans="1:7" x14ac:dyDescent="0.25">
      <c r="A19" s="1" t="s">
        <v>77</v>
      </c>
      <c r="B19" s="89">
        <v>0.9</v>
      </c>
      <c r="C19" s="7"/>
      <c r="D19" s="7"/>
      <c r="E19" s="55"/>
      <c r="F19" s="55"/>
      <c r="G19" s="55"/>
    </row>
    <row r="20" spans="1:7" x14ac:dyDescent="0.25">
      <c r="A20" s="1" t="s">
        <v>5</v>
      </c>
      <c r="B20" s="89">
        <v>0</v>
      </c>
      <c r="C20" s="10"/>
      <c r="D20" s="10"/>
      <c r="E20" s="55"/>
      <c r="F20" s="55"/>
      <c r="G20" s="55"/>
    </row>
    <row r="21" spans="1:7" x14ac:dyDescent="0.25">
      <c r="A21" s="1" t="s">
        <v>5</v>
      </c>
      <c r="B21" s="89">
        <v>0.02</v>
      </c>
      <c r="C21" s="2"/>
      <c r="D21" s="2"/>
      <c r="E21" s="2"/>
    </row>
    <row r="22" spans="1:7" x14ac:dyDescent="0.25">
      <c r="A22" s="2"/>
      <c r="B22" s="2"/>
      <c r="C22" s="2"/>
      <c r="D22" s="2"/>
      <c r="E22" s="7"/>
    </row>
    <row r="23" spans="1:7" x14ac:dyDescent="0.25">
      <c r="A23" s="2"/>
      <c r="B23" s="2"/>
      <c r="C23" s="2"/>
      <c r="D23" s="7"/>
      <c r="E23" s="7"/>
    </row>
    <row r="24" spans="1:7" x14ac:dyDescent="0.25">
      <c r="A24" s="2"/>
      <c r="B24" s="2"/>
      <c r="C24" s="2"/>
      <c r="D24" s="7"/>
      <c r="E24" s="7"/>
    </row>
    <row r="25" spans="1:7" x14ac:dyDescent="0.25">
      <c r="A25" s="2"/>
      <c r="B25" s="2"/>
      <c r="C25" s="2"/>
      <c r="D25" s="7"/>
      <c r="E25" s="2"/>
    </row>
    <row r="26" spans="1:7" x14ac:dyDescent="0.25">
      <c r="A26" s="2"/>
      <c r="B26" s="2"/>
      <c r="C26" s="2"/>
      <c r="D26" s="27"/>
      <c r="E26" s="2"/>
    </row>
    <row r="27" spans="1:7" x14ac:dyDescent="0.25">
      <c r="A27" s="2"/>
      <c r="B27" s="2"/>
      <c r="C27" s="2"/>
      <c r="D27" s="2"/>
      <c r="E27" s="2"/>
    </row>
    <row r="28" spans="1:7" x14ac:dyDescent="0.25">
      <c r="A28" s="2"/>
      <c r="B28" s="2"/>
      <c r="C28" s="2"/>
      <c r="D28" s="2"/>
      <c r="E28" s="2"/>
    </row>
  </sheetData>
  <mergeCells count="2">
    <mergeCell ref="A1:G1"/>
    <mergeCell ref="A14:G14"/>
  </mergeCells>
  <pageMargins left="0.70866141732283472" right="0.70866141732283472" top="0.74803149606299213" bottom="0.74803149606299213" header="0.31496062992125984" footer="0.31496062992125984"/>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0"/>
  <sheetViews>
    <sheetView workbookViewId="0">
      <selection activeCell="E28" sqref="E28:F50"/>
    </sheetView>
  </sheetViews>
  <sheetFormatPr baseColWidth="10" defaultRowHeight="15" x14ac:dyDescent="0.25"/>
  <cols>
    <col min="1" max="1" width="6.140625" style="56" customWidth="1"/>
    <col min="2" max="2" width="28.7109375" style="33" customWidth="1"/>
  </cols>
  <sheetData>
    <row r="1" spans="1:8" s="34" customFormat="1" ht="38.25" customHeight="1" x14ac:dyDescent="0.35">
      <c r="A1" s="99" t="s">
        <v>108</v>
      </c>
      <c r="B1" s="99"/>
      <c r="C1" s="99"/>
      <c r="D1" s="99"/>
      <c r="E1" s="99"/>
      <c r="F1" s="99"/>
      <c r="G1" s="99"/>
      <c r="H1" s="58"/>
    </row>
    <row r="2" spans="1:8" x14ac:dyDescent="0.25">
      <c r="A2" s="5"/>
      <c r="B2" s="35"/>
      <c r="C2" s="5"/>
      <c r="D2" s="5"/>
      <c r="E2" s="5"/>
      <c r="F2" s="5"/>
      <c r="G2" s="5"/>
      <c r="H2" s="2"/>
    </row>
    <row r="3" spans="1:8" x14ac:dyDescent="0.25">
      <c r="A3" s="5"/>
      <c r="B3" s="36"/>
      <c r="C3" s="5"/>
      <c r="D3" s="5"/>
      <c r="E3" s="5"/>
      <c r="F3" s="5"/>
      <c r="G3" s="5"/>
      <c r="H3" s="2"/>
    </row>
    <row r="4" spans="1:8" x14ac:dyDescent="0.25">
      <c r="A4" s="5"/>
      <c r="B4" s="36"/>
      <c r="C4" s="5"/>
      <c r="D4" s="5"/>
      <c r="E4" s="5"/>
      <c r="F4" s="5"/>
      <c r="G4" s="5"/>
      <c r="H4" s="2"/>
    </row>
    <row r="5" spans="1:8" x14ac:dyDescent="0.25">
      <c r="A5" s="5"/>
      <c r="B5" s="36"/>
      <c r="C5" s="5"/>
      <c r="D5" s="5"/>
      <c r="E5" s="5"/>
      <c r="F5" s="5"/>
      <c r="G5" s="5"/>
      <c r="H5" s="2"/>
    </row>
    <row r="6" spans="1:8" x14ac:dyDescent="0.25">
      <c r="A6" s="5"/>
      <c r="B6" s="36"/>
      <c r="C6" s="5"/>
      <c r="D6" s="5"/>
      <c r="E6" s="5"/>
      <c r="F6" s="5"/>
      <c r="G6" s="5"/>
      <c r="H6" s="2"/>
    </row>
    <row r="7" spans="1:8" x14ac:dyDescent="0.25">
      <c r="A7" s="5"/>
      <c r="B7" s="36"/>
      <c r="C7" s="5"/>
      <c r="D7" s="5"/>
      <c r="E7" s="5"/>
      <c r="F7" s="5"/>
      <c r="G7" s="5"/>
      <c r="H7" s="2"/>
    </row>
    <row r="8" spans="1:8" x14ac:dyDescent="0.25">
      <c r="A8" s="5"/>
      <c r="B8" s="36"/>
      <c r="C8" s="5"/>
      <c r="D8" s="5"/>
      <c r="E8" s="5"/>
      <c r="F8" s="5"/>
      <c r="G8" s="5"/>
      <c r="H8" s="2"/>
    </row>
    <row r="9" spans="1:8" x14ac:dyDescent="0.25">
      <c r="A9" s="5"/>
      <c r="B9" s="36"/>
      <c r="C9" s="5"/>
      <c r="D9" s="5"/>
      <c r="E9" s="5"/>
      <c r="F9" s="5"/>
      <c r="G9" s="5"/>
      <c r="H9" s="2"/>
    </row>
    <row r="10" spans="1:8" x14ac:dyDescent="0.25">
      <c r="A10" s="5"/>
      <c r="B10" s="36"/>
      <c r="C10" s="5"/>
      <c r="D10" s="5"/>
      <c r="E10" s="5"/>
      <c r="F10" s="5"/>
      <c r="G10" s="5"/>
      <c r="H10" s="2"/>
    </row>
    <row r="11" spans="1:8" x14ac:dyDescent="0.25">
      <c r="A11" s="5"/>
      <c r="B11" s="36"/>
      <c r="C11" s="5"/>
      <c r="D11" s="5"/>
      <c r="E11" s="5"/>
      <c r="F11" s="5"/>
      <c r="G11" s="5"/>
      <c r="H11" s="2"/>
    </row>
    <row r="12" spans="1:8" x14ac:dyDescent="0.25">
      <c r="A12" s="5"/>
      <c r="B12" s="36"/>
      <c r="C12" s="5"/>
      <c r="D12" s="5"/>
      <c r="E12" s="5"/>
      <c r="F12" s="5"/>
      <c r="G12" s="5"/>
      <c r="H12" s="2"/>
    </row>
    <row r="13" spans="1:8" x14ac:dyDescent="0.25">
      <c r="A13" s="5"/>
      <c r="B13" s="36"/>
      <c r="C13" s="5"/>
      <c r="D13" s="5"/>
      <c r="E13" s="5"/>
      <c r="F13" s="5"/>
      <c r="G13" s="5"/>
      <c r="H13" s="2"/>
    </row>
    <row r="14" spans="1:8" s="56" customFormat="1" x14ac:dyDescent="0.25">
      <c r="A14" s="5"/>
      <c r="B14" s="36"/>
      <c r="C14" s="5"/>
      <c r="D14" s="5"/>
      <c r="E14" s="5"/>
      <c r="F14" s="5"/>
      <c r="G14" s="5"/>
      <c r="H14" s="2"/>
    </row>
    <row r="15" spans="1:8" s="56" customFormat="1" x14ac:dyDescent="0.25">
      <c r="A15" s="5"/>
      <c r="B15" s="36"/>
      <c r="C15" s="5"/>
      <c r="D15" s="5"/>
      <c r="E15" s="5"/>
      <c r="F15" s="5"/>
      <c r="G15" s="5"/>
      <c r="H15" s="2"/>
    </row>
    <row r="16" spans="1:8" s="56" customFormat="1" x14ac:dyDescent="0.25">
      <c r="A16" s="5"/>
      <c r="B16" s="36"/>
      <c r="C16" s="5"/>
      <c r="D16" s="5"/>
      <c r="E16" s="5"/>
      <c r="F16" s="5"/>
      <c r="G16" s="5"/>
      <c r="H16" s="2"/>
    </row>
    <row r="17" spans="1:8" x14ac:dyDescent="0.25">
      <c r="A17" s="5"/>
      <c r="B17" s="36"/>
      <c r="C17" s="5"/>
      <c r="D17" s="5" t="s">
        <v>25</v>
      </c>
      <c r="E17" s="5"/>
      <c r="F17" s="5"/>
      <c r="G17" s="5"/>
      <c r="H17" s="2"/>
    </row>
    <row r="18" spans="1:8" s="56" customFormat="1" x14ac:dyDescent="0.25">
      <c r="A18" s="5"/>
      <c r="B18" s="36"/>
      <c r="C18" s="5"/>
      <c r="D18" s="5"/>
      <c r="E18" s="5"/>
      <c r="F18" s="5"/>
      <c r="G18" s="5"/>
      <c r="H18" s="2"/>
    </row>
    <row r="19" spans="1:8" x14ac:dyDescent="0.25">
      <c r="A19" s="12" t="s">
        <v>0</v>
      </c>
      <c r="B19" s="5"/>
      <c r="C19" s="5"/>
      <c r="D19" s="5"/>
      <c r="E19" s="5"/>
      <c r="F19" s="5"/>
      <c r="G19" s="5"/>
      <c r="H19" s="2"/>
    </row>
    <row r="20" spans="1:8" x14ac:dyDescent="0.25">
      <c r="A20" s="13" t="s">
        <v>109</v>
      </c>
      <c r="B20" s="5"/>
      <c r="C20" s="5"/>
      <c r="D20" s="5"/>
      <c r="E20" s="5"/>
      <c r="F20" s="5"/>
      <c r="G20" s="5"/>
      <c r="H20" s="2"/>
    </row>
    <row r="21" spans="1:8" ht="26.25" customHeight="1" x14ac:dyDescent="0.25">
      <c r="A21" s="97" t="s">
        <v>97</v>
      </c>
      <c r="B21" s="97"/>
      <c r="C21" s="97"/>
      <c r="D21" s="97"/>
      <c r="E21" s="97"/>
      <c r="F21" s="97"/>
      <c r="G21" s="97"/>
    </row>
    <row r="28" spans="1:8" x14ac:dyDescent="0.25">
      <c r="A28" s="64" t="s">
        <v>6</v>
      </c>
      <c r="B28" s="37"/>
      <c r="C28" s="1"/>
      <c r="D28" s="1"/>
      <c r="E28" s="2"/>
      <c r="F28" s="2"/>
    </row>
    <row r="29" spans="1:8" x14ac:dyDescent="0.25">
      <c r="A29" s="64" t="s">
        <v>61</v>
      </c>
      <c r="B29" s="65" t="s">
        <v>26</v>
      </c>
      <c r="C29" s="66" t="s">
        <v>27</v>
      </c>
      <c r="D29" s="1"/>
      <c r="E29" s="2"/>
      <c r="F29" s="2"/>
    </row>
    <row r="30" spans="1:8" x14ac:dyDescent="0.25">
      <c r="A30" s="70">
        <v>5</v>
      </c>
      <c r="B30" s="67" t="s">
        <v>22</v>
      </c>
      <c r="C30" s="38">
        <v>1.47E-2</v>
      </c>
      <c r="D30" s="1"/>
      <c r="E30" s="91"/>
      <c r="F30" s="2"/>
    </row>
    <row r="31" spans="1:8" x14ac:dyDescent="0.25">
      <c r="A31" s="70">
        <v>2</v>
      </c>
      <c r="B31" s="67" t="s">
        <v>19</v>
      </c>
      <c r="C31" s="38">
        <v>1.6500000000000001E-2</v>
      </c>
      <c r="D31" s="1"/>
      <c r="E31" s="91"/>
      <c r="F31" s="2"/>
    </row>
    <row r="32" spans="1:8" x14ac:dyDescent="0.25">
      <c r="A32" s="70">
        <v>6</v>
      </c>
      <c r="B32" s="67" t="s">
        <v>23</v>
      </c>
      <c r="C32" s="38">
        <v>1.67E-2</v>
      </c>
      <c r="D32" s="1"/>
      <c r="E32" s="91"/>
      <c r="F32" s="2"/>
    </row>
    <row r="33" spans="1:7" x14ac:dyDescent="0.25">
      <c r="A33" s="70">
        <v>4</v>
      </c>
      <c r="B33" s="67" t="s">
        <v>21</v>
      </c>
      <c r="C33" s="38">
        <v>2.2799999999999997E-2</v>
      </c>
      <c r="D33" s="1"/>
      <c r="E33" s="91"/>
      <c r="F33" s="2"/>
    </row>
    <row r="34" spans="1:7" x14ac:dyDescent="0.25">
      <c r="A34" s="70">
        <v>1</v>
      </c>
      <c r="B34" s="67" t="s">
        <v>18</v>
      </c>
      <c r="C34" s="38">
        <v>2.3099999999999999E-2</v>
      </c>
      <c r="D34" s="1"/>
      <c r="E34" s="91"/>
      <c r="F34" s="2"/>
    </row>
    <row r="35" spans="1:7" x14ac:dyDescent="0.25">
      <c r="A35" s="70">
        <v>8</v>
      </c>
      <c r="B35" s="67" t="s">
        <v>24</v>
      </c>
      <c r="C35" s="38">
        <v>2.46E-2</v>
      </c>
      <c r="D35" s="1"/>
      <c r="E35" s="91"/>
      <c r="F35" s="2"/>
    </row>
    <row r="36" spans="1:7" x14ac:dyDescent="0.25">
      <c r="A36" s="70">
        <v>7</v>
      </c>
      <c r="B36" s="67" t="s">
        <v>60</v>
      </c>
      <c r="C36" s="38">
        <v>3.3599999999999998E-2</v>
      </c>
      <c r="D36" s="1"/>
      <c r="E36" s="91"/>
      <c r="F36" s="2"/>
    </row>
    <row r="37" spans="1:7" x14ac:dyDescent="0.25">
      <c r="A37" s="70">
        <v>3</v>
      </c>
      <c r="B37" s="67" t="s">
        <v>20</v>
      </c>
      <c r="C37" s="38">
        <v>3.3700000000000001E-2</v>
      </c>
      <c r="D37" s="1"/>
      <c r="E37" s="91"/>
      <c r="F37" s="2"/>
    </row>
    <row r="38" spans="1:7" x14ac:dyDescent="0.25">
      <c r="A38" s="62"/>
      <c r="B38" s="63"/>
      <c r="C38" s="39"/>
      <c r="D38" s="1"/>
      <c r="E38" s="2"/>
      <c r="F38" s="2"/>
    </row>
    <row r="39" spans="1:7" x14ac:dyDescent="0.25">
      <c r="A39" s="68" t="s">
        <v>62</v>
      </c>
      <c r="B39" s="64" t="s">
        <v>41</v>
      </c>
      <c r="C39" s="69" t="s">
        <v>27</v>
      </c>
      <c r="D39" s="1"/>
      <c r="E39" s="2"/>
      <c r="F39" s="2"/>
    </row>
    <row r="40" spans="1:7" x14ac:dyDescent="0.25">
      <c r="A40" s="70">
        <v>0</v>
      </c>
      <c r="B40" s="67" t="s">
        <v>40</v>
      </c>
      <c r="C40" s="39">
        <v>9.0000000000000011E-3</v>
      </c>
      <c r="D40" s="1"/>
      <c r="E40" s="91"/>
      <c r="F40" s="2"/>
    </row>
    <row r="41" spans="1:7" x14ac:dyDescent="0.25">
      <c r="A41" s="62">
        <v>1</v>
      </c>
      <c r="B41" s="67" t="s">
        <v>98</v>
      </c>
      <c r="C41" s="39">
        <v>1.6200000000000003E-2</v>
      </c>
      <c r="D41" s="1"/>
      <c r="E41" s="91"/>
      <c r="F41" s="2"/>
    </row>
    <row r="42" spans="1:7" x14ac:dyDescent="0.25">
      <c r="A42" s="62">
        <v>4</v>
      </c>
      <c r="B42" s="67" t="s">
        <v>28</v>
      </c>
      <c r="C42" s="39">
        <v>2.3E-2</v>
      </c>
      <c r="D42" s="1"/>
      <c r="E42" s="91"/>
      <c r="F42" s="2"/>
    </row>
    <row r="43" spans="1:7" ht="28.5" x14ac:dyDescent="0.25">
      <c r="A43" s="62">
        <v>2</v>
      </c>
      <c r="B43" s="67" t="s">
        <v>99</v>
      </c>
      <c r="C43" s="39">
        <v>2.3399999999999997E-2</v>
      </c>
      <c r="D43" s="1"/>
      <c r="E43" s="91"/>
      <c r="F43" s="2"/>
    </row>
    <row r="44" spans="1:7" x14ac:dyDescent="0.25">
      <c r="A44" s="62">
        <v>3</v>
      </c>
      <c r="B44" s="67" t="s">
        <v>100</v>
      </c>
      <c r="C44" s="39">
        <v>3.3599999999999998E-2</v>
      </c>
      <c r="D44" s="1"/>
      <c r="E44" s="91"/>
      <c r="F44" s="2"/>
    </row>
    <row r="45" spans="1:7" x14ac:dyDescent="0.25">
      <c r="A45" s="59"/>
      <c r="B45" s="85"/>
      <c r="C45" s="86"/>
      <c r="D45" s="1"/>
      <c r="E45" s="2"/>
      <c r="F45" s="2"/>
    </row>
    <row r="46" spans="1:7" x14ac:dyDescent="0.25">
      <c r="A46" s="1"/>
      <c r="B46" s="64" t="s">
        <v>82</v>
      </c>
      <c r="C46" s="1"/>
      <c r="D46" s="1"/>
      <c r="E46" s="2"/>
      <c r="F46" s="90"/>
    </row>
    <row r="47" spans="1:7" x14ac:dyDescent="0.25">
      <c r="A47" s="1"/>
      <c r="B47" s="37" t="s">
        <v>83</v>
      </c>
      <c r="C47" s="39">
        <v>2.0799999999999999E-2</v>
      </c>
      <c r="D47" s="1"/>
      <c r="E47" s="2"/>
      <c r="F47" s="90"/>
      <c r="G47" s="56"/>
    </row>
    <row r="48" spans="1:7" x14ac:dyDescent="0.25">
      <c r="A48" s="1"/>
      <c r="B48" s="37" t="s">
        <v>84</v>
      </c>
      <c r="C48" s="39">
        <v>4.3700000000000003E-2</v>
      </c>
      <c r="D48" s="1"/>
      <c r="E48" s="2"/>
      <c r="F48" s="2"/>
    </row>
    <row r="49" spans="5:6" x14ac:dyDescent="0.25">
      <c r="E49" s="2"/>
      <c r="F49" s="2"/>
    </row>
    <row r="50" spans="5:6" x14ac:dyDescent="0.25">
      <c r="E50" s="2"/>
      <c r="F50" s="2"/>
    </row>
  </sheetData>
  <sortState ref="A36:C40">
    <sortCondition ref="C36:C40"/>
  </sortState>
  <mergeCells count="2">
    <mergeCell ref="A21:G21"/>
    <mergeCell ref="A1:G1"/>
  </mergeCells>
  <pageMargins left="0.70866141732283472" right="0.70866141732283472" top="0.74803149606299213" bottom="0.74803149606299213" header="0.31496062992125984" footer="0.31496062992125984"/>
  <pageSetup paperSize="9" scale="8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0"/>
  <sheetViews>
    <sheetView workbookViewId="0">
      <selection activeCell="D22" sqref="D22:E40"/>
    </sheetView>
  </sheetViews>
  <sheetFormatPr baseColWidth="10" defaultRowHeight="15" x14ac:dyDescent="0.25"/>
  <cols>
    <col min="1" max="1" width="5" style="56" customWidth="1"/>
    <col min="2" max="2" width="28.7109375" style="33" customWidth="1"/>
    <col min="8" max="8" width="8.5703125" customWidth="1"/>
  </cols>
  <sheetData>
    <row r="1" spans="1:10" s="34" customFormat="1" ht="33" customHeight="1" x14ac:dyDescent="0.35">
      <c r="A1" s="99" t="s">
        <v>107</v>
      </c>
      <c r="B1" s="99"/>
      <c r="C1" s="99"/>
      <c r="D1" s="99"/>
      <c r="E1" s="99"/>
      <c r="F1" s="99"/>
      <c r="G1" s="99"/>
      <c r="H1" s="99"/>
    </row>
    <row r="2" spans="1:10" x14ac:dyDescent="0.25">
      <c r="A2" s="5"/>
      <c r="B2" s="35"/>
      <c r="C2" s="5"/>
      <c r="D2" s="5"/>
      <c r="E2" s="5"/>
      <c r="F2" s="5"/>
      <c r="G2" s="5"/>
      <c r="H2" s="5"/>
    </row>
    <row r="3" spans="1:10" x14ac:dyDescent="0.25">
      <c r="A3" s="5"/>
      <c r="B3" s="36"/>
      <c r="C3" s="5"/>
      <c r="D3" s="5"/>
      <c r="E3" s="5"/>
      <c r="F3" s="5"/>
      <c r="G3" s="5"/>
      <c r="H3" s="5"/>
    </row>
    <row r="4" spans="1:10" x14ac:dyDescent="0.25">
      <c r="A4" s="5"/>
      <c r="B4" s="36"/>
      <c r="C4" s="5"/>
      <c r="D4" s="5"/>
      <c r="E4" s="5"/>
      <c r="F4" s="5"/>
      <c r="G4" s="5"/>
      <c r="H4" s="5"/>
    </row>
    <row r="5" spans="1:10" x14ac:dyDescent="0.25">
      <c r="A5" s="5"/>
      <c r="B5" s="36"/>
      <c r="C5" s="5"/>
      <c r="D5" s="5"/>
      <c r="E5" s="5"/>
      <c r="F5" s="5"/>
      <c r="G5" s="5"/>
      <c r="H5" s="5"/>
    </row>
    <row r="6" spans="1:10" x14ac:dyDescent="0.25">
      <c r="A6" s="5"/>
      <c r="B6" s="36"/>
      <c r="C6" s="5"/>
      <c r="D6" s="5"/>
      <c r="E6" s="5"/>
      <c r="F6" s="5"/>
      <c r="G6" s="5"/>
      <c r="H6" s="5"/>
    </row>
    <row r="7" spans="1:10" x14ac:dyDescent="0.25">
      <c r="A7" s="5"/>
      <c r="B7" s="36"/>
      <c r="C7" s="5"/>
      <c r="D7" s="5"/>
      <c r="E7" s="5"/>
      <c r="F7" s="5"/>
      <c r="G7" s="5"/>
      <c r="H7" s="5"/>
    </row>
    <row r="8" spans="1:10" x14ac:dyDescent="0.25">
      <c r="A8" s="5"/>
      <c r="B8" s="36"/>
      <c r="C8" s="5"/>
      <c r="D8" s="5"/>
      <c r="E8" s="5"/>
      <c r="F8" s="5"/>
      <c r="G8" s="5"/>
      <c r="H8" s="5"/>
    </row>
    <row r="9" spans="1:10" x14ac:dyDescent="0.25">
      <c r="A9" s="5"/>
      <c r="B9" s="36"/>
      <c r="C9" s="5"/>
      <c r="D9" s="5"/>
      <c r="E9" s="5"/>
      <c r="F9" s="5"/>
      <c r="G9" s="5"/>
      <c r="H9" s="5"/>
      <c r="J9" s="71"/>
    </row>
    <row r="10" spans="1:10" x14ac:dyDescent="0.25">
      <c r="A10" s="5"/>
      <c r="B10" s="36"/>
      <c r="C10" s="5"/>
      <c r="D10" s="5"/>
      <c r="E10" s="5"/>
      <c r="F10" s="5"/>
      <c r="G10" s="5"/>
      <c r="H10" s="5"/>
    </row>
    <row r="11" spans="1:10" x14ac:dyDescent="0.25">
      <c r="A11" s="5"/>
      <c r="B11" s="36"/>
      <c r="C11" s="5"/>
      <c r="D11" s="5"/>
      <c r="E11" s="5"/>
      <c r="F11" s="5"/>
      <c r="G11" s="5"/>
      <c r="H11" s="5"/>
    </row>
    <row r="12" spans="1:10" x14ac:dyDescent="0.25">
      <c r="A12" s="5"/>
      <c r="B12" s="36"/>
      <c r="C12" s="5"/>
      <c r="D12" s="5"/>
      <c r="E12" s="5"/>
      <c r="F12" s="5"/>
      <c r="G12" s="5"/>
      <c r="H12" s="5"/>
    </row>
    <row r="13" spans="1:10" x14ac:dyDescent="0.25">
      <c r="A13" s="5"/>
      <c r="B13" s="36"/>
      <c r="C13" s="5"/>
      <c r="D13" s="5"/>
      <c r="E13" s="5"/>
      <c r="F13" s="5"/>
      <c r="G13" s="5"/>
      <c r="H13" s="5"/>
    </row>
    <row r="14" spans="1:10" x14ac:dyDescent="0.25">
      <c r="A14" s="5"/>
      <c r="B14" s="36"/>
      <c r="C14" s="5"/>
      <c r="D14" s="5" t="s">
        <v>25</v>
      </c>
      <c r="E14" s="5"/>
      <c r="F14" s="5"/>
      <c r="G14" s="5"/>
      <c r="H14" s="5"/>
    </row>
    <row r="15" spans="1:10" x14ac:dyDescent="0.25">
      <c r="A15" s="12" t="s">
        <v>0</v>
      </c>
      <c r="C15" s="5"/>
      <c r="D15" s="5"/>
      <c r="E15" s="5"/>
      <c r="F15" s="5"/>
      <c r="G15" s="5"/>
      <c r="H15" s="5"/>
    </row>
    <row r="16" spans="1:10" x14ac:dyDescent="0.25">
      <c r="A16" s="13" t="s">
        <v>109</v>
      </c>
      <c r="B16" s="36"/>
      <c r="C16" s="5"/>
      <c r="D16" s="5"/>
      <c r="E16" s="5"/>
      <c r="F16" s="5"/>
      <c r="G16" s="5"/>
      <c r="H16" s="5"/>
    </row>
    <row r="17" spans="1:8" ht="26.25" customHeight="1" x14ac:dyDescent="0.25">
      <c r="A17" s="97" t="s">
        <v>86</v>
      </c>
      <c r="B17" s="97"/>
      <c r="C17" s="97"/>
      <c r="D17" s="97"/>
      <c r="E17" s="97"/>
      <c r="F17" s="97"/>
      <c r="G17" s="97"/>
      <c r="H17" s="97"/>
    </row>
    <row r="18" spans="1:8" ht="27" customHeight="1" x14ac:dyDescent="0.3">
      <c r="A18" s="100" t="s">
        <v>95</v>
      </c>
      <c r="B18" s="100"/>
      <c r="C18" s="100"/>
      <c r="D18" s="100"/>
      <c r="E18" s="100"/>
      <c r="F18" s="100"/>
      <c r="G18" s="100"/>
      <c r="H18" s="100"/>
    </row>
    <row r="22" spans="1:8" x14ac:dyDescent="0.25">
      <c r="A22" s="37" t="s">
        <v>6</v>
      </c>
      <c r="B22" s="37"/>
      <c r="D22" s="2"/>
      <c r="E22" s="2"/>
    </row>
    <row r="23" spans="1:8" x14ac:dyDescent="0.25">
      <c r="A23" s="1" t="s">
        <v>63</v>
      </c>
      <c r="B23" s="37" t="s">
        <v>38</v>
      </c>
      <c r="C23" s="1" t="s">
        <v>27</v>
      </c>
      <c r="D23" s="2"/>
      <c r="E23" s="2"/>
    </row>
    <row r="24" spans="1:8" ht="28.5" x14ac:dyDescent="0.25">
      <c r="A24" s="75">
        <v>1</v>
      </c>
      <c r="B24" s="74" t="s">
        <v>29</v>
      </c>
      <c r="C24" s="38">
        <v>1.6200000000000003E-2</v>
      </c>
      <c r="D24" s="91"/>
      <c r="E24" s="2"/>
    </row>
    <row r="25" spans="1:8" x14ac:dyDescent="0.25">
      <c r="A25" s="75">
        <v>2</v>
      </c>
      <c r="B25" s="74" t="s">
        <v>30</v>
      </c>
      <c r="C25" s="38">
        <v>2.23E-2</v>
      </c>
      <c r="D25" s="91"/>
      <c r="E25" s="2"/>
    </row>
    <row r="26" spans="1:8" ht="32.25" customHeight="1" x14ac:dyDescent="0.25">
      <c r="A26" s="75">
        <v>3</v>
      </c>
      <c r="B26" s="74" t="s">
        <v>31</v>
      </c>
      <c r="C26" s="38">
        <v>2.6499999999999999E-2</v>
      </c>
      <c r="D26" s="91"/>
      <c r="E26" s="2"/>
    </row>
    <row r="27" spans="1:8" ht="42.75" x14ac:dyDescent="0.25">
      <c r="A27" s="75">
        <v>4</v>
      </c>
      <c r="B27" s="74" t="s">
        <v>42</v>
      </c>
      <c r="C27" s="38">
        <v>2.76E-2</v>
      </c>
      <c r="D27" s="91"/>
      <c r="E27" s="2"/>
    </row>
    <row r="28" spans="1:8" x14ac:dyDescent="0.25">
      <c r="A28" s="75">
        <v>5</v>
      </c>
      <c r="B28" s="74" t="s">
        <v>32</v>
      </c>
      <c r="C28" s="38"/>
      <c r="D28" s="91"/>
      <c r="E28" s="2"/>
    </row>
    <row r="29" spans="1:8" x14ac:dyDescent="0.25">
      <c r="A29" s="70"/>
      <c r="B29" s="74"/>
      <c r="C29" s="40"/>
      <c r="D29" s="2"/>
      <c r="E29" s="2"/>
    </row>
    <row r="30" spans="1:8" x14ac:dyDescent="0.25">
      <c r="A30" s="59"/>
      <c r="B30" s="72"/>
      <c r="C30" s="40"/>
      <c r="D30" s="2"/>
      <c r="E30" s="2"/>
    </row>
    <row r="31" spans="1:8" x14ac:dyDescent="0.25">
      <c r="A31" s="59"/>
      <c r="B31" s="72"/>
      <c r="C31" s="40"/>
      <c r="D31" s="2"/>
      <c r="E31" s="2"/>
    </row>
    <row r="32" spans="1:8" x14ac:dyDescent="0.25">
      <c r="A32" s="1"/>
      <c r="B32" s="37"/>
      <c r="C32" s="41"/>
      <c r="D32" s="2"/>
      <c r="E32" s="2"/>
    </row>
    <row r="33" spans="1:5" x14ac:dyDescent="0.25">
      <c r="A33" s="1" t="s">
        <v>63</v>
      </c>
      <c r="B33" s="37" t="s">
        <v>39</v>
      </c>
      <c r="C33" s="41" t="s">
        <v>27</v>
      </c>
      <c r="D33" s="2"/>
      <c r="E33" s="2"/>
    </row>
    <row r="34" spans="1:5" ht="28.5" x14ac:dyDescent="0.25">
      <c r="A34" s="75">
        <v>1</v>
      </c>
      <c r="B34" s="74" t="s">
        <v>33</v>
      </c>
      <c r="C34" s="76">
        <v>1.2199999999999999E-2</v>
      </c>
      <c r="D34" s="91"/>
      <c r="E34" s="2"/>
    </row>
    <row r="35" spans="1:5" ht="28.5" x14ac:dyDescent="0.25">
      <c r="A35" s="75">
        <v>2</v>
      </c>
      <c r="B35" s="74" t="s">
        <v>34</v>
      </c>
      <c r="C35" s="76">
        <v>1.9400000000000001E-2</v>
      </c>
      <c r="D35" s="91"/>
      <c r="E35" s="2"/>
    </row>
    <row r="36" spans="1:5" ht="28.5" x14ac:dyDescent="0.25">
      <c r="A36" s="75">
        <v>5</v>
      </c>
      <c r="B36" s="74" t="s">
        <v>37</v>
      </c>
      <c r="C36" s="76">
        <v>2.0799999999999999E-2</v>
      </c>
      <c r="D36" s="91"/>
      <c r="E36" s="2"/>
    </row>
    <row r="37" spans="1:5" x14ac:dyDescent="0.25">
      <c r="A37" s="75">
        <v>3</v>
      </c>
      <c r="B37" s="74" t="s">
        <v>35</v>
      </c>
      <c r="C37" s="76">
        <v>2.8900000000000002E-2</v>
      </c>
      <c r="D37" s="91"/>
      <c r="E37" s="2"/>
    </row>
    <row r="38" spans="1:5" ht="28.5" x14ac:dyDescent="0.25">
      <c r="A38" s="75">
        <v>4</v>
      </c>
      <c r="B38" s="74" t="s">
        <v>36</v>
      </c>
      <c r="C38" s="76">
        <v>3.2199999999999999E-2</v>
      </c>
      <c r="D38" s="91"/>
      <c r="E38" s="2"/>
    </row>
    <row r="39" spans="1:5" x14ac:dyDescent="0.25">
      <c r="A39" s="61"/>
      <c r="B39" s="60"/>
      <c r="C39" s="73"/>
      <c r="D39" s="2"/>
      <c r="E39" s="2"/>
    </row>
    <row r="40" spans="1:5" x14ac:dyDescent="0.25">
      <c r="D40" s="2"/>
      <c r="E40" s="2"/>
    </row>
  </sheetData>
  <sortState ref="A35:C39">
    <sortCondition ref="C35:C39"/>
  </sortState>
  <mergeCells count="3">
    <mergeCell ref="A1:H1"/>
    <mergeCell ref="A17:H17"/>
    <mergeCell ref="A18:H18"/>
  </mergeCells>
  <pageMargins left="0.70866141732283472" right="0.70866141732283472" top="0.74803149606299213" bottom="0.74803149606299213" header="0.31496062992125984" footer="0.31496062992125984"/>
  <pageSetup paperSize="9" scale="8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6"/>
  <sheetViews>
    <sheetView tabSelected="1" workbookViewId="0">
      <selection activeCell="E46" sqref="E46"/>
    </sheetView>
  </sheetViews>
  <sheetFormatPr baseColWidth="10" defaultRowHeight="15" x14ac:dyDescent="0.25"/>
  <cols>
    <col min="1" max="1" width="6.28515625" style="56" customWidth="1"/>
    <col min="2" max="2" width="28.7109375" style="33" customWidth="1"/>
    <col min="7" max="7" width="13.85546875" customWidth="1"/>
  </cols>
  <sheetData>
    <row r="1" spans="1:7" s="34" customFormat="1" ht="38.25" customHeight="1" x14ac:dyDescent="0.35">
      <c r="A1" s="99" t="s">
        <v>93</v>
      </c>
      <c r="B1" s="99"/>
      <c r="C1" s="99"/>
      <c r="D1" s="99"/>
      <c r="E1" s="99"/>
      <c r="F1" s="99"/>
      <c r="G1" s="99"/>
    </row>
    <row r="2" spans="1:7" x14ac:dyDescent="0.25">
      <c r="A2" s="5"/>
      <c r="B2" s="35"/>
      <c r="C2" s="5"/>
      <c r="D2" s="5"/>
      <c r="E2" s="5"/>
      <c r="F2" s="5"/>
      <c r="G2" s="5"/>
    </row>
    <row r="3" spans="1:7" x14ac:dyDescent="0.25">
      <c r="A3" s="5"/>
      <c r="B3" s="36"/>
      <c r="C3" s="5"/>
      <c r="D3" s="5"/>
      <c r="E3" s="5"/>
      <c r="F3" s="5"/>
      <c r="G3" s="5"/>
    </row>
    <row r="4" spans="1:7" x14ac:dyDescent="0.25">
      <c r="A4" s="5"/>
      <c r="B4" s="36"/>
      <c r="C4" s="5"/>
      <c r="D4" s="5"/>
      <c r="E4" s="5"/>
      <c r="F4" s="5"/>
      <c r="G4" s="5"/>
    </row>
    <row r="5" spans="1:7" x14ac:dyDescent="0.25">
      <c r="A5" s="5"/>
      <c r="B5" s="36"/>
      <c r="C5" s="5"/>
      <c r="D5" s="5"/>
      <c r="E5" s="5"/>
      <c r="F5" s="5"/>
      <c r="G5" s="5"/>
    </row>
    <row r="6" spans="1:7" x14ac:dyDescent="0.25">
      <c r="A6" s="5"/>
      <c r="B6" s="36"/>
      <c r="C6" s="5"/>
      <c r="D6" s="5"/>
      <c r="E6" s="5"/>
      <c r="F6" s="5"/>
      <c r="G6" s="5"/>
    </row>
    <row r="7" spans="1:7" x14ac:dyDescent="0.25">
      <c r="A7" s="5"/>
      <c r="B7" s="36"/>
      <c r="C7" s="5"/>
      <c r="D7" s="5"/>
      <c r="E7" s="5"/>
      <c r="F7" s="5"/>
      <c r="G7" s="5"/>
    </row>
    <row r="8" spans="1:7" x14ac:dyDescent="0.25">
      <c r="A8" s="5"/>
      <c r="B8" s="36"/>
      <c r="C8" s="5"/>
      <c r="D8" s="5"/>
      <c r="E8" s="5"/>
      <c r="F8" s="5"/>
      <c r="G8" s="5"/>
    </row>
    <row r="9" spans="1:7" x14ac:dyDescent="0.25">
      <c r="A9" s="5"/>
      <c r="B9" s="36"/>
      <c r="C9" s="5"/>
      <c r="D9" s="5"/>
      <c r="E9" s="5"/>
      <c r="F9" s="5"/>
      <c r="G9" s="5"/>
    </row>
    <row r="10" spans="1:7" x14ac:dyDescent="0.25">
      <c r="A10" s="5"/>
      <c r="B10" s="36"/>
      <c r="C10" s="5"/>
      <c r="D10" s="5"/>
      <c r="E10" s="5"/>
      <c r="F10" s="5"/>
      <c r="G10" s="5"/>
    </row>
    <row r="11" spans="1:7" x14ac:dyDescent="0.25">
      <c r="A11" s="5"/>
      <c r="B11" s="36"/>
      <c r="C11" s="5"/>
      <c r="D11" s="5"/>
      <c r="E11" s="5"/>
      <c r="F11" s="5"/>
      <c r="G11" s="5"/>
    </row>
    <row r="12" spans="1:7" x14ac:dyDescent="0.25">
      <c r="A12" s="5"/>
      <c r="B12" s="36"/>
      <c r="C12" s="5"/>
      <c r="D12" s="5"/>
      <c r="E12" s="5"/>
      <c r="F12" s="5"/>
      <c r="G12" s="5"/>
    </row>
    <row r="13" spans="1:7" x14ac:dyDescent="0.25">
      <c r="A13" s="5"/>
      <c r="B13" s="36"/>
      <c r="C13" s="5"/>
      <c r="D13" s="5" t="s">
        <v>25</v>
      </c>
      <c r="E13" s="5"/>
      <c r="F13" s="5"/>
      <c r="G13" s="5"/>
    </row>
    <row r="14" spans="1:7" x14ac:dyDescent="0.25">
      <c r="A14" s="5"/>
      <c r="B14" s="36"/>
      <c r="C14" s="5"/>
      <c r="D14" s="5"/>
      <c r="E14" s="5"/>
      <c r="F14" s="5"/>
      <c r="G14" s="5"/>
    </row>
    <row r="15" spans="1:7" x14ac:dyDescent="0.25">
      <c r="A15" s="5"/>
      <c r="B15" s="36"/>
      <c r="C15" s="5"/>
      <c r="D15" s="5"/>
      <c r="E15" s="5"/>
      <c r="F15" s="5"/>
      <c r="G15" s="5"/>
    </row>
    <row r="16" spans="1:7" x14ac:dyDescent="0.25">
      <c r="A16" s="5"/>
      <c r="B16" s="36"/>
      <c r="C16" s="5"/>
      <c r="D16" s="5"/>
      <c r="E16" s="5"/>
      <c r="F16" s="5"/>
      <c r="G16" s="5"/>
    </row>
    <row r="17" spans="1:7" x14ac:dyDescent="0.25">
      <c r="A17" s="5"/>
      <c r="B17" s="36"/>
      <c r="C17" s="5"/>
      <c r="D17" s="5"/>
      <c r="E17" s="5"/>
      <c r="F17" s="5"/>
      <c r="G17" s="5"/>
    </row>
    <row r="18" spans="1:7" x14ac:dyDescent="0.25">
      <c r="A18" s="5"/>
      <c r="B18" s="36"/>
      <c r="C18" s="5"/>
      <c r="D18" s="5"/>
      <c r="E18" s="5"/>
      <c r="F18" s="5"/>
      <c r="G18" s="5"/>
    </row>
    <row r="19" spans="1:7" x14ac:dyDescent="0.25">
      <c r="A19" s="5"/>
      <c r="B19" s="36"/>
      <c r="C19" s="5"/>
      <c r="D19" s="5"/>
      <c r="E19" s="5"/>
      <c r="F19" s="5"/>
      <c r="G19" s="5"/>
    </row>
    <row r="20" spans="1:7" x14ac:dyDescent="0.25">
      <c r="A20" s="5"/>
      <c r="B20" s="36"/>
      <c r="C20" s="5"/>
      <c r="D20" s="5"/>
      <c r="E20" s="5"/>
      <c r="F20" s="5"/>
      <c r="G20" s="5"/>
    </row>
    <row r="21" spans="1:7" x14ac:dyDescent="0.25">
      <c r="A21" s="5"/>
      <c r="B21" s="36"/>
      <c r="C21" s="5"/>
      <c r="D21" s="5"/>
      <c r="E21" s="5"/>
      <c r="F21" s="5"/>
      <c r="G21" s="5"/>
    </row>
    <row r="22" spans="1:7" x14ac:dyDescent="0.25">
      <c r="A22" s="5"/>
      <c r="B22" s="36"/>
      <c r="C22" s="5"/>
      <c r="D22" s="5" t="s">
        <v>25</v>
      </c>
      <c r="E22" s="5"/>
      <c r="F22" s="5"/>
      <c r="G22" s="5"/>
    </row>
    <row r="23" spans="1:7" ht="15" customHeight="1" x14ac:dyDescent="0.3">
      <c r="A23" s="42" t="s">
        <v>51</v>
      </c>
      <c r="C23" s="5"/>
      <c r="D23" s="5"/>
      <c r="E23" s="5"/>
      <c r="F23" s="5"/>
      <c r="G23" s="5"/>
    </row>
    <row r="24" spans="1:7" s="56" customFormat="1" ht="67.5" customHeight="1" x14ac:dyDescent="0.3">
      <c r="A24" s="100" t="s">
        <v>106</v>
      </c>
      <c r="B24" s="100"/>
      <c r="C24" s="100"/>
      <c r="D24" s="100"/>
      <c r="E24" s="100"/>
      <c r="F24" s="100"/>
      <c r="G24" s="100"/>
    </row>
    <row r="25" spans="1:7" x14ac:dyDescent="0.25">
      <c r="A25" s="12" t="s">
        <v>0</v>
      </c>
      <c r="B25" s="12"/>
      <c r="C25" s="5"/>
      <c r="D25" s="5"/>
      <c r="E25" s="5"/>
      <c r="F25" s="5"/>
      <c r="G25" s="5"/>
    </row>
    <row r="26" spans="1:7" x14ac:dyDescent="0.25">
      <c r="A26" s="13" t="s">
        <v>109</v>
      </c>
      <c r="B26" s="13"/>
      <c r="C26" s="5"/>
      <c r="D26" s="5"/>
      <c r="E26" s="5"/>
      <c r="F26" s="5"/>
      <c r="G26" s="5"/>
    </row>
    <row r="27" spans="1:7" ht="26.25" customHeight="1" x14ac:dyDescent="0.25">
      <c r="A27" s="97" t="s">
        <v>101</v>
      </c>
      <c r="B27" s="97"/>
      <c r="C27" s="97"/>
      <c r="D27" s="97"/>
      <c r="E27" s="97"/>
      <c r="F27" s="97"/>
      <c r="G27" s="97"/>
    </row>
    <row r="31" spans="1:7" x14ac:dyDescent="0.25">
      <c r="D31" s="2"/>
      <c r="E31" s="2"/>
    </row>
    <row r="32" spans="1:7" x14ac:dyDescent="0.25">
      <c r="D32" s="2"/>
      <c r="E32" s="2"/>
    </row>
    <row r="33" spans="1:5" x14ac:dyDescent="0.25">
      <c r="A33" s="64" t="s">
        <v>6</v>
      </c>
      <c r="B33" s="37"/>
      <c r="D33" s="2"/>
      <c r="E33" s="2"/>
    </row>
    <row r="34" spans="1:5" x14ac:dyDescent="0.25">
      <c r="A34" s="75"/>
      <c r="B34" s="80" t="s">
        <v>43</v>
      </c>
      <c r="C34" s="79" t="s">
        <v>27</v>
      </c>
      <c r="D34" s="2"/>
      <c r="E34" s="2"/>
    </row>
    <row r="35" spans="1:5" x14ac:dyDescent="0.25">
      <c r="A35" s="75">
        <v>5</v>
      </c>
      <c r="B35" s="74" t="s">
        <v>45</v>
      </c>
      <c r="C35" s="77">
        <v>1.67E-2</v>
      </c>
      <c r="D35" s="91"/>
      <c r="E35" s="2"/>
    </row>
    <row r="36" spans="1:5" x14ac:dyDescent="0.25">
      <c r="A36" s="75">
        <v>1</v>
      </c>
      <c r="B36" s="74" t="s">
        <v>85</v>
      </c>
      <c r="C36" s="77">
        <v>2.3099999999999999E-2</v>
      </c>
      <c r="D36" s="91"/>
      <c r="E36" s="2"/>
    </row>
    <row r="37" spans="1:5" x14ac:dyDescent="0.25">
      <c r="A37" s="75">
        <v>3</v>
      </c>
      <c r="B37" s="74" t="s">
        <v>16</v>
      </c>
      <c r="C37" s="77">
        <v>2.3399999999999997E-2</v>
      </c>
      <c r="D37" s="91"/>
      <c r="E37" s="2"/>
    </row>
    <row r="38" spans="1:5" x14ac:dyDescent="0.25">
      <c r="A38" s="75">
        <v>2</v>
      </c>
      <c r="B38" s="74" t="s">
        <v>15</v>
      </c>
      <c r="C38" s="77">
        <v>2.69E-2</v>
      </c>
      <c r="D38" s="91"/>
      <c r="E38" s="2"/>
    </row>
    <row r="39" spans="1:5" x14ac:dyDescent="0.25">
      <c r="A39" s="75">
        <v>4</v>
      </c>
      <c r="B39" s="74" t="s">
        <v>17</v>
      </c>
      <c r="C39" s="77">
        <v>2.7999999999999997E-2</v>
      </c>
      <c r="D39" s="91"/>
      <c r="E39" s="2"/>
    </row>
    <row r="40" spans="1:5" x14ac:dyDescent="0.25">
      <c r="A40" s="75"/>
      <c r="B40" s="74"/>
      <c r="C40" s="77"/>
      <c r="D40" s="2"/>
      <c r="E40" s="2"/>
    </row>
    <row r="41" spans="1:5" x14ac:dyDescent="0.25">
      <c r="A41" s="75"/>
      <c r="B41" s="75"/>
      <c r="C41" s="78"/>
      <c r="D41" s="2"/>
      <c r="E41" s="2"/>
    </row>
    <row r="42" spans="1:5" x14ac:dyDescent="0.25">
      <c r="A42" s="75"/>
      <c r="B42" s="80" t="s">
        <v>44</v>
      </c>
      <c r="C42" s="81" t="s">
        <v>27</v>
      </c>
      <c r="D42" s="2"/>
      <c r="E42" s="2"/>
    </row>
    <row r="43" spans="1:5" x14ac:dyDescent="0.25">
      <c r="A43" s="75">
        <v>6</v>
      </c>
      <c r="B43" s="74" t="s">
        <v>50</v>
      </c>
      <c r="C43" s="77">
        <v>1.66E-2</v>
      </c>
      <c r="D43" s="91"/>
      <c r="E43" s="2"/>
    </row>
    <row r="44" spans="1:5" x14ac:dyDescent="0.25">
      <c r="A44" s="75">
        <v>4</v>
      </c>
      <c r="B44" s="74" t="s">
        <v>48</v>
      </c>
      <c r="C44" s="77">
        <v>1.95E-2</v>
      </c>
      <c r="D44" s="91"/>
      <c r="E44" s="2"/>
    </row>
    <row r="45" spans="1:5" x14ac:dyDescent="0.25">
      <c r="A45" s="75">
        <v>5</v>
      </c>
      <c r="B45" s="74" t="s">
        <v>49</v>
      </c>
      <c r="C45" s="77">
        <v>2.0899999999999998E-2</v>
      </c>
      <c r="D45" s="91"/>
      <c r="E45" s="2"/>
    </row>
    <row r="46" spans="1:5" x14ac:dyDescent="0.25">
      <c r="A46" s="75">
        <v>3</v>
      </c>
      <c r="B46" s="74" t="s">
        <v>47</v>
      </c>
      <c r="C46" s="77">
        <v>2.1099999999999997E-2</v>
      </c>
      <c r="D46" s="91"/>
      <c r="E46" s="2"/>
    </row>
    <row r="47" spans="1:5" ht="29.25" x14ac:dyDescent="0.25">
      <c r="A47" s="75">
        <v>1</v>
      </c>
      <c r="B47" s="74" t="s">
        <v>92</v>
      </c>
      <c r="C47" s="77">
        <v>2.4500000000000001E-2</v>
      </c>
      <c r="D47" s="91"/>
      <c r="E47" s="2"/>
    </row>
    <row r="48" spans="1:5" x14ac:dyDescent="0.25">
      <c r="A48" s="75">
        <v>7</v>
      </c>
      <c r="B48" s="74" t="s">
        <v>96</v>
      </c>
      <c r="C48" s="77">
        <v>2.8500000000000001E-2</v>
      </c>
      <c r="D48" s="91"/>
      <c r="E48" s="2"/>
    </row>
    <row r="49" spans="1:5" ht="28.5" x14ac:dyDescent="0.25">
      <c r="A49" s="75">
        <v>2</v>
      </c>
      <c r="B49" s="74" t="s">
        <v>46</v>
      </c>
      <c r="C49" s="77">
        <v>3.8300000000000001E-2</v>
      </c>
      <c r="D49" s="91"/>
      <c r="E49" s="2"/>
    </row>
    <row r="50" spans="1:5" x14ac:dyDescent="0.25">
      <c r="A50" s="75"/>
      <c r="B50" s="75"/>
      <c r="C50" s="78"/>
      <c r="D50" s="2"/>
      <c r="E50" s="2"/>
    </row>
    <row r="51" spans="1:5" ht="30" x14ac:dyDescent="0.25">
      <c r="A51" s="75"/>
      <c r="B51" s="72" t="s">
        <v>87</v>
      </c>
      <c r="C51" s="82" t="s">
        <v>27</v>
      </c>
      <c r="D51" s="2"/>
      <c r="E51" s="2"/>
    </row>
    <row r="52" spans="1:5" x14ac:dyDescent="0.25">
      <c r="A52" s="75">
        <v>4</v>
      </c>
      <c r="B52" s="74" t="s">
        <v>91</v>
      </c>
      <c r="C52" s="77">
        <v>2.4199999999999999E-2</v>
      </c>
      <c r="D52" s="90"/>
      <c r="E52" s="2"/>
    </row>
    <row r="53" spans="1:5" x14ac:dyDescent="0.25">
      <c r="A53" s="75">
        <v>3</v>
      </c>
      <c r="B53" s="74" t="s">
        <v>90</v>
      </c>
      <c r="C53" s="77">
        <v>2.1000000000000001E-2</v>
      </c>
      <c r="D53" s="90"/>
      <c r="E53" s="2"/>
    </row>
    <row r="54" spans="1:5" x14ac:dyDescent="0.25">
      <c r="A54" s="75">
        <v>2</v>
      </c>
      <c r="B54" s="74" t="s">
        <v>89</v>
      </c>
      <c r="C54" s="77">
        <v>2.2099999999999998E-2</v>
      </c>
      <c r="D54" s="90"/>
      <c r="E54" s="2"/>
    </row>
    <row r="55" spans="1:5" x14ac:dyDescent="0.25">
      <c r="A55" s="75">
        <v>1</v>
      </c>
      <c r="B55" s="74" t="s">
        <v>88</v>
      </c>
      <c r="C55" s="77">
        <v>2.1299999999999999E-2</v>
      </c>
      <c r="D55" s="90"/>
      <c r="E55" s="2"/>
    </row>
    <row r="56" spans="1:5" x14ac:dyDescent="0.25">
      <c r="D56" s="2"/>
      <c r="E56" s="2"/>
    </row>
    <row r="57" spans="1:5" x14ac:dyDescent="0.25">
      <c r="D57" s="2"/>
      <c r="E57" s="2"/>
    </row>
    <row r="58" spans="1:5" x14ac:dyDescent="0.25">
      <c r="D58" s="2"/>
      <c r="E58" s="2"/>
    </row>
    <row r="59" spans="1:5" x14ac:dyDescent="0.25">
      <c r="D59" s="2"/>
      <c r="E59" s="2"/>
    </row>
    <row r="60" spans="1:5" x14ac:dyDescent="0.25">
      <c r="D60" s="2"/>
      <c r="E60" s="2"/>
    </row>
    <row r="61" spans="1:5" x14ac:dyDescent="0.25">
      <c r="D61" s="2"/>
      <c r="E61" s="2"/>
    </row>
    <row r="62" spans="1:5" x14ac:dyDescent="0.25">
      <c r="D62" s="2"/>
      <c r="E62" s="2"/>
    </row>
    <row r="63" spans="1:5" x14ac:dyDescent="0.25">
      <c r="D63" s="2"/>
      <c r="E63" s="2"/>
    </row>
    <row r="64" spans="1:5" x14ac:dyDescent="0.25">
      <c r="D64" s="2"/>
      <c r="E64" s="2"/>
    </row>
    <row r="65" spans="4:5" x14ac:dyDescent="0.25">
      <c r="D65" s="2"/>
      <c r="E65" s="2"/>
    </row>
    <row r="66" spans="4:5" x14ac:dyDescent="0.25">
      <c r="D66" s="2"/>
      <c r="E66" s="2"/>
    </row>
  </sheetData>
  <autoFilter ref="B42:C48">
    <sortState ref="B49:C55">
      <sortCondition ref="C49:C55"/>
    </sortState>
  </autoFilter>
  <sortState ref="A58:C61">
    <sortCondition descending="1" ref="A57"/>
  </sortState>
  <mergeCells count="3">
    <mergeCell ref="A1:G1"/>
    <mergeCell ref="A27:G27"/>
    <mergeCell ref="A24:G24"/>
  </mergeCells>
  <pageMargins left="0.70866141732283472" right="0.70866141732283472" top="0.74803149606299213" bottom="0.74803149606299213" header="0.31496062992125984" footer="0.31496062992125984"/>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9</vt:i4>
      </vt:variant>
    </vt:vector>
  </HeadingPairs>
  <TitlesOfParts>
    <vt:vector size="18" baseType="lpstr">
      <vt:lpstr>1.TableauREPERES</vt:lpstr>
      <vt:lpstr>2.CourbeRepères</vt:lpstr>
      <vt:lpstr>3.TypeActe</vt:lpstr>
      <vt:lpstr>4.CoutActe</vt:lpstr>
      <vt:lpstr>5.RecoursPolice</vt:lpstr>
      <vt:lpstr>6.RecoursAssurance</vt:lpstr>
      <vt:lpstr>7.Profil1</vt:lpstr>
      <vt:lpstr>8.Profil2</vt:lpstr>
      <vt:lpstr>9.Profil3</vt:lpstr>
      <vt:lpstr>'9.Profil3'!_FilterDatabase</vt:lpstr>
      <vt:lpstr>'1.TableauREPERES'!Zone_d_impression</vt:lpstr>
      <vt:lpstr>'2.CourbeRepères'!Zone_d_impression</vt:lpstr>
      <vt:lpstr>'3.TypeActe'!Zone_d_impression</vt:lpstr>
      <vt:lpstr>'5.RecoursPolice'!Zone_d_impression</vt:lpstr>
      <vt:lpstr>'6.RecoursAssurance'!Zone_d_impression</vt:lpstr>
      <vt:lpstr>'7.Profil1'!Zone_d_impression</vt:lpstr>
      <vt:lpstr>'8.Profil2'!Zone_d_impression</vt:lpstr>
      <vt:lpstr>'9.Profil3'!Zone_d_impression</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GRENON MUR Marc</dc:creator>
  <cp:lastModifiedBy>GUEDJ Helene</cp:lastModifiedBy>
  <cp:lastPrinted>2016-10-15T21:41:28Z</cp:lastPrinted>
  <dcterms:created xsi:type="dcterms:W3CDTF">2016-01-06T15:49:01Z</dcterms:created>
  <dcterms:modified xsi:type="dcterms:W3CDTF">2016-12-15T10:02:56Z</dcterms:modified>
</cp:coreProperties>
</file>
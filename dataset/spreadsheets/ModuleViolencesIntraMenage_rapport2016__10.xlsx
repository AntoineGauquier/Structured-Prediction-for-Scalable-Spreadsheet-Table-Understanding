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5.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6.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Perso\HG\_RapportCVS-MODULES VALIDES\"/>
    </mc:Choice>
  </mc:AlternateContent>
  <bookViews>
    <workbookView xWindow="0" yWindow="0" windowWidth="21570" windowHeight="8160" firstSheet="1" activeTab="4"/>
  </bookViews>
  <sheets>
    <sheet name="1.TableauREPERES" sheetId="1" r:id="rId1"/>
    <sheet name="2.TypeViolences" sheetId="46" r:id="rId2"/>
    <sheet name="3.Frequence" sheetId="74" r:id="rId3"/>
    <sheet name="4.Auteur" sheetId="63" r:id="rId4"/>
    <sheet name="5.Dommages" sheetId="89" r:id="rId5"/>
    <sheet name="6.Aide" sheetId="44" r:id="rId6"/>
    <sheet name="7.RecoursPolice" sheetId="65" r:id="rId7"/>
    <sheet name="8.Profil1" sheetId="25" r:id="rId8"/>
    <sheet name="9.Profil2" sheetId="28" r:id="rId9"/>
  </sheets>
  <definedNames>
    <definedName name="_xlnm._FilterDatabase" localSheetId="8">'9.Profil2'!$B$47:$C$52</definedName>
    <definedName name="CambriolagesColine" localSheetId="2">#REF!</definedName>
    <definedName name="CambriolagesColine" localSheetId="3">#REF!</definedName>
    <definedName name="CambriolagesColine" localSheetId="4">#REF!</definedName>
    <definedName name="CambriolagesColine" localSheetId="6">#REF!</definedName>
    <definedName name="CambriolagesColine" localSheetId="8">#REF!</definedName>
    <definedName name="CambriolagesColine">#REF!</definedName>
    <definedName name="d" localSheetId="2">#REF!</definedName>
    <definedName name="d" localSheetId="3">#REF!</definedName>
    <definedName name="d" localSheetId="4">#REF!</definedName>
    <definedName name="d" localSheetId="6">#REF!</definedName>
    <definedName name="d" localSheetId="8">#REF!</definedName>
    <definedName name="d">#REF!</definedName>
    <definedName name="djdkd" localSheetId="2">#REF!</definedName>
    <definedName name="djdkd" localSheetId="3">#REF!</definedName>
    <definedName name="djdkd" localSheetId="4">#REF!</definedName>
    <definedName name="djdkd" localSheetId="6">#REF!</definedName>
    <definedName name="djdkd" localSheetId="8">#REF!</definedName>
    <definedName name="djdkd">#REF!</definedName>
    <definedName name="DonneesActeDL" localSheetId="2">#REF!</definedName>
    <definedName name="DonneesActeDL" localSheetId="3">#REF!</definedName>
    <definedName name="DonneesActeDL" localSheetId="4">#REF!</definedName>
    <definedName name="DonneesActeDL">#REF!</definedName>
    <definedName name="DonneesAssurance" localSheetId="2">#REF!</definedName>
    <definedName name="DonneesAssurance" localSheetId="3">#REF!</definedName>
    <definedName name="DonneesAssurance" localSheetId="4">#REF!</definedName>
    <definedName name="DonneesAssurance" localSheetId="6">#REF!</definedName>
    <definedName name="DonneesAssurance">#REF!</definedName>
    <definedName name="DonneesAssuranceDL" localSheetId="2">#REF!</definedName>
    <definedName name="DonneesAssuranceDL" localSheetId="3">#REF!</definedName>
    <definedName name="DonneesAssuranceDL" localSheetId="4">#REF!</definedName>
    <definedName name="DonneesAssuranceDL">#REF!</definedName>
    <definedName name="DonneesAssuranceVSE" localSheetId="2">#REF!</definedName>
    <definedName name="DonneesAssuranceVSE" localSheetId="3">#REF!</definedName>
    <definedName name="DonneesAssuranceVSE" localSheetId="4">#REF!</definedName>
    <definedName name="DonneesAssuranceVSE">#REF!</definedName>
    <definedName name="DonneesAuteurs" localSheetId="2">#REF!</definedName>
    <definedName name="DonneesAuteurs" localSheetId="3">#REF!</definedName>
    <definedName name="DonneesAuteurs" localSheetId="4">#REF!</definedName>
    <definedName name="DonneesAuteurs" localSheetId="6">#REF!</definedName>
    <definedName name="DonneesAuteurs">#REF!</definedName>
    <definedName name="DonneesAuteursDL" localSheetId="2">#REF!</definedName>
    <definedName name="DonneesAuteursDL" localSheetId="3">#REF!</definedName>
    <definedName name="DonneesAuteursDL" localSheetId="4">#REF!</definedName>
    <definedName name="DonneesAuteursDL">#REF!</definedName>
    <definedName name="DonneesAuteursVSE" localSheetId="2">#REF!</definedName>
    <definedName name="DonneesAuteursVSE" localSheetId="3">#REF!</definedName>
    <definedName name="DonneesAuteursVSE" localSheetId="4">#REF!</definedName>
    <definedName name="DonneesAuteursVSE">#REF!</definedName>
    <definedName name="DonnéesCambri" localSheetId="2">#REF!</definedName>
    <definedName name="DonnéesCambri" localSheetId="3">#REF!</definedName>
    <definedName name="DonnéesCambri" localSheetId="4">#REF!</definedName>
    <definedName name="DonnéesCambri" localSheetId="6">#REF!</definedName>
    <definedName name="DonnéesCambri" localSheetId="8">#REF!</definedName>
    <definedName name="DonnéesCambri">#REF!</definedName>
    <definedName name="DonneesDescFaitsAS" localSheetId="4">#REF!</definedName>
    <definedName name="DonneesDescFaitsAS">#REF!</definedName>
    <definedName name="DonneesDescFaitsVAV" localSheetId="2">#REF!</definedName>
    <definedName name="DonneesDescFaitsVAV" localSheetId="3">#REF!</definedName>
    <definedName name="DonneesDescFaitsVAV" localSheetId="4">#REF!</definedName>
    <definedName name="DonneesDescFaitsVAV">#REF!</definedName>
    <definedName name="DonneesDescFaitsVP" localSheetId="2">#REF!</definedName>
    <definedName name="DonneesDescFaitsVP" localSheetId="3">#REF!</definedName>
    <definedName name="DonneesDescFaitsVP" localSheetId="4">#REF!</definedName>
    <definedName name="DonneesDescFaitsVP">#REF!</definedName>
    <definedName name="DonneesEffraction" localSheetId="2">#REF!</definedName>
    <definedName name="DonneesEffraction" localSheetId="3">#REF!</definedName>
    <definedName name="DonneesEffraction" localSheetId="4">#REF!</definedName>
    <definedName name="DonneesEffraction" localSheetId="6">#REF!</definedName>
    <definedName name="DonneesEffraction">#REF!</definedName>
    <definedName name="DonneesEntreeVE" localSheetId="2">#REF!</definedName>
    <definedName name="DonneesEntreeVE" localSheetId="3">#REF!</definedName>
    <definedName name="DonneesEntreeVE" localSheetId="4">#REF!</definedName>
    <definedName name="DonneesEntreeVE">#REF!</definedName>
    <definedName name="DonneesPlainte" localSheetId="2">#REF!</definedName>
    <definedName name="DonneesPlainte" localSheetId="3">#REF!</definedName>
    <definedName name="DonneesPlainte" localSheetId="4">#REF!</definedName>
    <definedName name="DonneesPlainte" localSheetId="6">#REF!</definedName>
    <definedName name="DonneesPlainte">#REF!</definedName>
    <definedName name="DonneesPlainteDL" localSheetId="2">#REF!</definedName>
    <definedName name="DonneesPlainteDL" localSheetId="3">#REF!</definedName>
    <definedName name="DonneesPlainteDL" localSheetId="4">#REF!</definedName>
    <definedName name="DonneesPlainteDL">#REF!</definedName>
    <definedName name="DonneesPlainteVAV" localSheetId="2">#REF!</definedName>
    <definedName name="DonneesPlainteVAV" localSheetId="3">#REF!</definedName>
    <definedName name="DonneesPlainteVAV" localSheetId="4">#REF!</definedName>
    <definedName name="DonneesPlainteVAV">#REF!</definedName>
    <definedName name="DonneesPlainteVP" localSheetId="2">#REF!</definedName>
    <definedName name="DonneesPlainteVP" localSheetId="3">#REF!</definedName>
    <definedName name="DonneesPlainteVP" localSheetId="4">#REF!</definedName>
    <definedName name="DonneesPlainteVP">#REF!</definedName>
    <definedName name="DonneesPlainteVSE" localSheetId="2">#REF!</definedName>
    <definedName name="DonneesPlainteVSE" localSheetId="3">#REF!</definedName>
    <definedName name="DonneesPlainteVSE" localSheetId="4">#REF!</definedName>
    <definedName name="DonneesPlainteVSE">#REF!</definedName>
    <definedName name="DonneesPlainteVV" localSheetId="2">#REF!</definedName>
    <definedName name="DonneesPlainteVV" localSheetId="3">#REF!</definedName>
    <definedName name="DonneesPlainteVV" localSheetId="4">#REF!</definedName>
    <definedName name="DonneesPlainteVV">#REF!</definedName>
    <definedName name="DonneesReperes" localSheetId="2">#REF!</definedName>
    <definedName name="DonneesReperes" localSheetId="3">#REF!</definedName>
    <definedName name="DonneesReperes" localSheetId="4">#REF!</definedName>
    <definedName name="DonneesReperes" localSheetId="6">#REF!</definedName>
    <definedName name="DonneesReperes">#REF!</definedName>
    <definedName name="DonneesReperes2" localSheetId="2">#REF!</definedName>
    <definedName name="DonneesReperes2" localSheetId="3">#REF!</definedName>
    <definedName name="DonneesReperes2" localSheetId="4">#REF!</definedName>
    <definedName name="DonneesReperes2" localSheetId="6">#REF!</definedName>
    <definedName name="DonneesReperes2">#REF!</definedName>
    <definedName name="DonneesReperes241016" localSheetId="2">#REF!</definedName>
    <definedName name="DonneesReperes241016" localSheetId="3">#REF!</definedName>
    <definedName name="DonneesReperes241016" localSheetId="4">#REF!</definedName>
    <definedName name="DonneesReperes241016" localSheetId="6">#REF!</definedName>
    <definedName name="DonneesReperes241016">#REF!</definedName>
    <definedName name="DonneesReperes3" localSheetId="2">#REF!</definedName>
    <definedName name="DonneesReperes3" localSheetId="3">#REF!</definedName>
    <definedName name="DonneesReperes3" localSheetId="4">#REF!</definedName>
    <definedName name="DonneesReperes3" localSheetId="6">#REF!</definedName>
    <definedName name="DonneesReperes3">#REF!</definedName>
    <definedName name="DonneesReperesDL" localSheetId="2">#REF!</definedName>
    <definedName name="DonneesReperesDL" localSheetId="3">#REF!</definedName>
    <definedName name="DonneesReperesDL" localSheetId="4">#REF!</definedName>
    <definedName name="DonneesReperesDL">#REF!</definedName>
    <definedName name="DonneesReperesTVAV" localSheetId="2">#REF!</definedName>
    <definedName name="DonneesReperesTVAV" localSheetId="3">#REF!</definedName>
    <definedName name="DonneesReperesTVAV" localSheetId="4">#REF!</definedName>
    <definedName name="DonneesReperesTVAV">#REF!</definedName>
    <definedName name="DonneesReperesTVAV2" localSheetId="2">#REF!</definedName>
    <definedName name="DonneesReperesTVAV2" localSheetId="3">#REF!</definedName>
    <definedName name="DonneesReperesTVAV2" localSheetId="4">#REF!</definedName>
    <definedName name="DonneesReperesTVAV2" localSheetId="6">#REF!</definedName>
    <definedName name="DonneesReperesTVAV2">#REF!</definedName>
    <definedName name="DonneesReperesVAV" localSheetId="2">#REF!</definedName>
    <definedName name="DonneesReperesVAV" localSheetId="3">#REF!</definedName>
    <definedName name="DonneesReperesVAV" localSheetId="4">#REF!</definedName>
    <definedName name="DonneesReperesVAV" localSheetId="6">#REF!</definedName>
    <definedName name="DonneesReperesVAV">#REF!</definedName>
    <definedName name="DonneesReperesVE" localSheetId="2">#REF!</definedName>
    <definedName name="DonneesReperesVE" localSheetId="3">#REF!</definedName>
    <definedName name="DonneesReperesVE" localSheetId="4">#REF!</definedName>
    <definedName name="DonneesReperesVE">#REF!</definedName>
    <definedName name="DonneesReperesVP" localSheetId="2">#REF!</definedName>
    <definedName name="DonneesReperesVP" localSheetId="3">#REF!</definedName>
    <definedName name="DonneesReperesVP" localSheetId="4">#REF!</definedName>
    <definedName name="DonneesReperesVP">#REF!</definedName>
    <definedName name="DonneesReperesVS" localSheetId="4">#REF!</definedName>
    <definedName name="DonneesReperesVS">#REF!</definedName>
    <definedName name="DonneesReperesVSHM" localSheetId="2">#REF!</definedName>
    <definedName name="DonneesReperesVSHM" localSheetId="3">#REF!</definedName>
    <definedName name="DonneesReperesVSHM" localSheetId="4">#REF!</definedName>
    <definedName name="DonneesReperesVSHM">#REF!</definedName>
    <definedName name="DonneesReperesVSHM2" localSheetId="4">#REF!</definedName>
    <definedName name="DonneesReperesVSHM2">#REF!</definedName>
    <definedName name="DonneesVIM">#REF!</definedName>
    <definedName name="DonneesVIM2" localSheetId="4">#REF!</definedName>
    <definedName name="DonneesVIM2">#REF!</definedName>
    <definedName name="DonneesVIMA1">#REF!</definedName>
    <definedName name="DonneesViolenceRecours" localSheetId="4">#REF!</definedName>
    <definedName name="DonneesViolenceRecours">#REF!</definedName>
    <definedName name="DonneesViolencesVAV" localSheetId="2">#REF!</definedName>
    <definedName name="DonneesViolencesVAV" localSheetId="3">#REF!</definedName>
    <definedName name="DonneesViolencesVAV" localSheetId="4">#REF!</definedName>
    <definedName name="DonneesViolencesVAV">#REF!</definedName>
    <definedName name="DonneesViolencesVP" localSheetId="2">#REF!</definedName>
    <definedName name="DonneesViolencesVP" localSheetId="3">#REF!</definedName>
    <definedName name="DonneesViolencesVP" localSheetId="4">#REF!</definedName>
    <definedName name="DonneesViolencesVP">#REF!</definedName>
    <definedName name="DonneesVioPhy">#REF!</definedName>
    <definedName name="DonneesVioPhyA1">#REF!</definedName>
    <definedName name="DonneesVioPhySex" localSheetId="4">#REF!</definedName>
    <definedName name="DonneesVioPhySex">#REF!</definedName>
    <definedName name="DonneesVioPhySex2">#REF!</definedName>
    <definedName name="DonneesVioPhySexA1">#REF!</definedName>
    <definedName name="DonneesVioSex">#REF!</definedName>
    <definedName name="DonneesVioSex2" localSheetId="4">#REF!</definedName>
    <definedName name="DonneesVioSex2">#REF!</definedName>
    <definedName name="DonneesVioSexA1">#REF!</definedName>
    <definedName name="DonneesVol" localSheetId="2">#REF!</definedName>
    <definedName name="DonneesVol" localSheetId="3">#REF!</definedName>
    <definedName name="DonneesVol" localSheetId="4">#REF!</definedName>
    <definedName name="DonneesVol" localSheetId="6">#REF!</definedName>
    <definedName name="DonneesVol">#REF!</definedName>
    <definedName name="DonneesVolVAV" localSheetId="2">#REF!</definedName>
    <definedName name="DonneesVolVAV" localSheetId="3">#REF!</definedName>
    <definedName name="DonneesVolVAV" localSheetId="4">#REF!</definedName>
    <definedName name="DonneesVolVAV">#REF!</definedName>
    <definedName name="DonneesVolVAV2" localSheetId="2">#REF!</definedName>
    <definedName name="DonneesVolVAV2" localSheetId="3">#REF!</definedName>
    <definedName name="DonneesVolVAV2" localSheetId="4">#REF!</definedName>
    <definedName name="DonneesVolVAV2" localSheetId="6">#REF!</definedName>
    <definedName name="DonneesVolVAV2">#REF!</definedName>
    <definedName name="DonneesVolVSE" localSheetId="2">#REF!</definedName>
    <definedName name="DonneesVolVSE" localSheetId="3">#REF!</definedName>
    <definedName name="DonneesVolVSE" localSheetId="4">#REF!</definedName>
    <definedName name="DonneesVolVSE">#REF!</definedName>
    <definedName name="Effraction" localSheetId="2">#REF!</definedName>
    <definedName name="Effraction" localSheetId="3">#REF!</definedName>
    <definedName name="Effraction" localSheetId="4">#REF!</definedName>
    <definedName name="Effraction" localSheetId="6">#REF!</definedName>
    <definedName name="Effraction" localSheetId="8">#REF!</definedName>
    <definedName name="Effraction">#REF!</definedName>
    <definedName name="ONGLETASSURANCEDL" localSheetId="2">#REF!</definedName>
    <definedName name="ONGLETASSURANCEDL" localSheetId="3">#REF!</definedName>
    <definedName name="ONGLETASSURANCEDL" localSheetId="4">#REF!</definedName>
    <definedName name="ONGLETASSURANCEDL">#REF!</definedName>
    <definedName name="ONGLETVOL" localSheetId="2">#REF!</definedName>
    <definedName name="ONGLETVOL" localSheetId="3">#REF!</definedName>
    <definedName name="ONGLETVOL" localSheetId="4">#REF!</definedName>
    <definedName name="ONGLETVOL" localSheetId="6">#REF!</definedName>
    <definedName name="ONGLETVOL" localSheetId="8">#REF!</definedName>
    <definedName name="ONGLETVOL">#REF!</definedName>
    <definedName name="ReperesCambri" localSheetId="2">#REF!</definedName>
    <definedName name="ReperesCambri" localSheetId="3">#REF!</definedName>
    <definedName name="ReperesCambri" localSheetId="4">#REF!</definedName>
    <definedName name="ReperesCambri" localSheetId="6">#REF!</definedName>
    <definedName name="ReperesCambri" localSheetId="8">#REF!</definedName>
    <definedName name="ReperesCambri">#REF!</definedName>
    <definedName name="_xlnm.Print_Area" localSheetId="0">'1.TableauREPERES'!$A$1:$C$13</definedName>
    <definedName name="_xlnm.Print_Area" localSheetId="6">'7.RecoursPolice'!$A$1:$H$16</definedName>
    <definedName name="_xlnm.Print_Area" localSheetId="7">'8.Profil1'!$B$1:$H$18</definedName>
    <definedName name="_xlnm.Print_Area" localSheetId="8">'9.Profil2'!$B$1:$H$27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89" l="1"/>
  <c r="D29" i="89"/>
  <c r="D27" i="89"/>
  <c r="F22" i="89"/>
  <c r="F24" i="89"/>
  <c r="F23" i="89"/>
  <c r="C22" i="65" l="1"/>
  <c r="D22" i="65"/>
  <c r="B22" i="65"/>
  <c r="C10" i="1" l="1"/>
  <c r="B10" i="1"/>
  <c r="C9" i="1"/>
  <c r="B9" i="1"/>
  <c r="B20" i="63" l="1"/>
  <c r="B24" i="63"/>
</calcChain>
</file>

<file path=xl/sharedStrings.xml><?xml version="1.0" encoding="utf-8"?>
<sst xmlns="http://schemas.openxmlformats.org/spreadsheetml/2006/main" count="161" uniqueCount="127">
  <si>
    <t>Ensemble</t>
  </si>
  <si>
    <t>NSP</t>
  </si>
  <si>
    <t>Données</t>
  </si>
  <si>
    <t>Oui</t>
  </si>
  <si>
    <t>Non</t>
  </si>
  <si>
    <t>30-39 ans</t>
  </si>
  <si>
    <t>40-49 ans</t>
  </si>
  <si>
    <t>50-59 ans</t>
  </si>
  <si>
    <t>Région parisienne</t>
  </si>
  <si>
    <t>Bassin parisien</t>
  </si>
  <si>
    <t>Nord</t>
  </si>
  <si>
    <t>Est</t>
  </si>
  <si>
    <t>Ouest</t>
  </si>
  <si>
    <t>Sud-Ouest</t>
  </si>
  <si>
    <t>Centre-Est</t>
  </si>
  <si>
    <t>Méditerranée</t>
  </si>
  <si>
    <t xml:space="preserve"> </t>
  </si>
  <si>
    <t>Zone</t>
  </si>
  <si>
    <t>TV</t>
  </si>
  <si>
    <t>Agglomération parisienne</t>
  </si>
  <si>
    <t>Communes rurales</t>
  </si>
  <si>
    <t>Taille de l'UU</t>
  </si>
  <si>
    <t>Hommes</t>
  </si>
  <si>
    <t>Femmes</t>
  </si>
  <si>
    <t>Cadres et professions intellectuelles supérieures</t>
  </si>
  <si>
    <t>Professions intermédiaires</t>
  </si>
  <si>
    <t>Employés</t>
  </si>
  <si>
    <t>Ouvriers</t>
  </si>
  <si>
    <t>Retraités</t>
  </si>
  <si>
    <t>1. Y compris agriculteurs exploitants.</t>
  </si>
  <si>
    <t>Hors ZUS</t>
  </si>
  <si>
    <t>20 000 - moins de 100 000 habitants</t>
  </si>
  <si>
    <t>100 000 habitants ou plus</t>
  </si>
  <si>
    <t>moins de 20 000 habitants</t>
  </si>
  <si>
    <t>En Zus</t>
  </si>
  <si>
    <t>Etudiants et autres inactifs</t>
  </si>
  <si>
    <t>...les plus modestes</t>
  </si>
  <si>
    <t>...intermédiaires -</t>
  </si>
  <si>
    <t>...intermédiaires +</t>
  </si>
  <si>
    <t>...les plus aisés</t>
  </si>
  <si>
    <t>2. Il s'agit du revenu disponible du ménage (c’est-à-dire tous ses revenus, y compris les prestations sociales, nets des impôts directs) divisé par le nombre d'unités de consommation (uc). Le revenu par unité de consommation (aussi appelé "niveau de vie") est donc le même pour tous les individus d'un même ménage. Les unités de consommation sont calculées selon l'échelle d'équivalence dite de l'OCDE modifiée qui attribue 1 uc au premier adulte du ménage, 0,5 uc aux autres personnes de 14 ans ou plus et 0,3 uc aux enfants de moins de 14 ans.</t>
  </si>
  <si>
    <t>Part de femmes parmi les victimes (%)</t>
  </si>
  <si>
    <t>Source : enquêtes Cadre de vie et sécurité 2012 à 2016, Insee-ONDRP-SSMSI.</t>
  </si>
  <si>
    <t>code</t>
  </si>
  <si>
    <t>Appartenance à une Zus</t>
  </si>
  <si>
    <t>Code</t>
  </si>
  <si>
    <r>
      <t>Artisans, commerçants et chefs d'entreprise</t>
    </r>
    <r>
      <rPr>
        <sz val="11"/>
        <color rgb="FF000000"/>
        <rFont val="Calibri"/>
        <family val="2"/>
      </rPr>
      <t>¹</t>
    </r>
  </si>
  <si>
    <t>Quartile de revenus par uc…</t>
  </si>
  <si>
    <t>Part de victimes âgées de moins de 30 ans (%)</t>
  </si>
  <si>
    <t>Source : enquêtes Cadre de vie et sécurité 2014 à 2016, Insee-ONDRP-SSMSI.</t>
  </si>
  <si>
    <t>Source : enquêtes Cadre de vie et sécurité 2007 à 2016, Insee-ONDRP-SSMSI.</t>
  </si>
  <si>
    <t>Victimes qui n'ont fait aucune déclaration à la police ou à la gendarmerie</t>
  </si>
  <si>
    <t>Victimes qui se sont déplacées au commissariat de police ou à la gendarmerie et qui ont déposé plainte.</t>
  </si>
  <si>
    <t>Champ : individus de 18 à 75 ans de France métropolitaine, incident le plus récent dans l'année.</t>
  </si>
  <si>
    <t>La victime a subi des violences physiques pendant l'agression sexuelle</t>
  </si>
  <si>
    <t>La victime a été menacée d'une arme pendant l'agression sexuelle</t>
  </si>
  <si>
    <t>Déclaration à la police ou à la gendarmerie</t>
  </si>
  <si>
    <t>Champ : individus de 18 à 75 ans ou plus de France métropolitaine, incident le plus récent dans l'année.</t>
  </si>
  <si>
    <t>Victimes de violences physiques uniquement</t>
  </si>
  <si>
    <t>Ensemble des victimes de violences au sein du ménage</t>
  </si>
  <si>
    <t>En % de la population des 18-75 ans (%)</t>
  </si>
  <si>
    <t>Note : les violences sexuelles en dehors du ménage recouvrent les viols, les tentatives de viol et attouchements sexuels commis par toute personne ne vivant pas avec la victime au moment de l'enquête.</t>
  </si>
  <si>
    <t xml:space="preserve">Violences physiques et/ou sexuelles au sein du ménage </t>
  </si>
  <si>
    <t>Champ : individus âgés de 18 à 75 ans de France métropolitaine, incident le plus récent dans l'année.</t>
  </si>
  <si>
    <r>
      <t>Lecture : en moyenne, chaque année entre 2011 et 2015, 0,9% des personnes âgées de 18 à 75 ans (soit environ 386 000 personnes) ont déclaré avoir été subi des violences sexuelles (viols, tentatives de viol ou attouchements sexuels) et/ou physiques (coups, gifles, bousculades,...) de la part d'une (ou plusieurs) personne(s) vivant avec elles au moment de l'enquête (</t>
    </r>
    <r>
      <rPr>
        <sz val="8"/>
        <rFont val="Calibri"/>
        <family val="2"/>
      </rPr>
      <t>« au sein du ménage»</t>
    </r>
    <r>
      <rPr>
        <sz val="8"/>
        <rFont val="Palatino Linotype"/>
        <family val="1"/>
      </rPr>
      <t>). Parmi ces victimes, 67% sont des femmes et 32% ont moins de 30 ans. Enfin, plus de huit fois sur dix, la victime déclare avoir subi exclusivement des violences physiques.</t>
    </r>
  </si>
  <si>
    <t>Violences physiques uniquement</t>
  </si>
  <si>
    <t>Violences sexuelles uniquement</t>
  </si>
  <si>
    <t>Violences physiques et sexuelles</t>
  </si>
  <si>
    <t>Lecture : en moyenne entre 2011 et 2015, 85% des victimes de violences au sein de leur ménage ont subi exclusivement des violences physiques.</t>
  </si>
  <si>
    <t>Nature des violences subies au sein du ménage</t>
  </si>
  <si>
    <t>Incident unique</t>
  </si>
  <si>
    <t>Deux incidents</t>
  </si>
  <si>
    <t>Moins d'une fois par mois</t>
  </si>
  <si>
    <t>Plusieurs fois par semaine</t>
  </si>
  <si>
    <t>violences sexuelles</t>
  </si>
  <si>
    <t>violences physiques</t>
  </si>
  <si>
    <t>Conjoint</t>
  </si>
  <si>
    <t>Auteur des violences physiques</t>
  </si>
  <si>
    <t>Auteur des violences sexuelles</t>
  </si>
  <si>
    <t>Parents ou conjoints d'un parent</t>
  </si>
  <si>
    <t>Autre membre de la famille</t>
  </si>
  <si>
    <t>Autre personne vivant dans le logement</t>
  </si>
  <si>
    <t xml:space="preserve">NSP </t>
  </si>
  <si>
    <t>Auteur des violences au sein du ménage</t>
  </si>
  <si>
    <t>Démarches entreprises par les victimes de violences au sein du ménage</t>
  </si>
  <si>
    <t>Victimes de deux ou plusieurs incidents (physique et/ou sexuel)</t>
  </si>
  <si>
    <t>Victimes d'un acte unique (physique ou sexuel)</t>
  </si>
  <si>
    <t>Lecture : en moyenne entre 2011 et 2015, le conjoint est l'auteur des violences physiques dans 59% des cas.</t>
  </si>
  <si>
    <t>Victimes de violences au sein du ménage</t>
  </si>
  <si>
    <t>au moins une démarche</t>
  </si>
  <si>
    <t>Victimes qui se sont déplacées au commissariat de police ou à la gendarmerie et qui ont déposé une main courante ou ont abandonné leur démarche sur place ou NSP</t>
  </si>
  <si>
    <t>Lecture : en moyenne entre 2011 et 2015, 9% des victimes de violences au sein du ménage ont déposé plainte.</t>
  </si>
  <si>
    <t>Proportion de victimes de violences au sein du ménage selon les caractéristiques du lieu de résidence</t>
  </si>
  <si>
    <t>Proportion de victimes de violences au sein du ménage selon les caractéristiques personnelles</t>
  </si>
  <si>
    <t>Lecture : en moyenne, chaque année entre 2011 et 2015, 1,2% des personnes âgées de 18 à 75 ans résidant en région parisienne déclarent avoir été victimes de violences au sein du ménage.</t>
  </si>
  <si>
    <t>Lecture : en moyenne, chaque année entre 2011 et 2015, 1,2% des personnes âgées de 18 à 75 ans dont le ménage se classe parmi les plus modestes ont déclaré avoir été victimes de violences au sein de leur ménage.</t>
  </si>
  <si>
    <t>18-30 ans</t>
  </si>
  <si>
    <t>60-75 ans</t>
  </si>
  <si>
    <t>Moyennes par an</t>
  </si>
  <si>
    <t>Période 2006-2010</t>
  </si>
  <si>
    <t>Période 2011-2015</t>
  </si>
  <si>
    <t>Lecture : en moyenne entre 2011 et 2015, 31% des victimes ayant subi des violences physiques au sein du ménage déclarent qu'il s'agissait d'un incident isolé "unique" au cours des 2 dernières années contre 3% seulement des victimes ayant subi des violences sexuelles au sein du ménage.</t>
  </si>
  <si>
    <t>Fréquence des violences subies au sein du ménage au cours des 24 derniers mois</t>
  </si>
  <si>
    <t>Enfants, conjoints d'un enfant</t>
  </si>
  <si>
    <t>Répercussions psychologiques des violences dans le ménage</t>
  </si>
  <si>
    <t>Très importants</t>
  </si>
  <si>
    <t>Plutôt importants</t>
  </si>
  <si>
    <t>Peu importants</t>
  </si>
  <si>
    <t>Pas importants</t>
  </si>
  <si>
    <t xml:space="preserve">Ensemble </t>
  </si>
  <si>
    <t>Un incident unique</t>
  </si>
  <si>
    <t>Plusieurs incidents</t>
  </si>
  <si>
    <t>Victimes d'un incident unique</t>
  </si>
  <si>
    <t>Victimes de deux incidents ou plus</t>
  </si>
  <si>
    <t>Plusieurs fois par mois</t>
  </si>
  <si>
    <t>Victimes de violences sexuelles avec ou sans violences physiques</t>
  </si>
  <si>
    <t xml:space="preserve">sexe </t>
  </si>
  <si>
    <t xml:space="preserve">Age </t>
  </si>
  <si>
    <t xml:space="preserve">CS </t>
  </si>
  <si>
    <t>S'est rendu à la police ou à la gendarmerie</t>
  </si>
  <si>
    <t>A appelé un numéro vert, un service téléphonique gratuit d'aide aux victimes</t>
  </si>
  <si>
    <t>A rencontré des membres d'une association d'aide aux victimes</t>
  </si>
  <si>
    <t>A parlé de sa situation avec les services sociaux</t>
  </si>
  <si>
    <t>A consulté un psychiatre, un psychologue</t>
  </si>
  <si>
    <t>A été vue par un médecin</t>
  </si>
  <si>
    <t>Lecture : en moyenne entre 2011 et 2015, seulement 6% des victimes de violences au sein de leur ménage ont appelé un numéro vert ou un service téléphonique gratuit d'aide aux victimes. Parmi les victimes ayant subi un unique incident au sein de leur ménage, seulement 17% déclarent avoir effectué au moins une des six démarches listées dans l'enquête (se déplacer à la police ou à la gendarmerie, être vue par un médecin, consulter un psychologue, rencontrer les services sociaux ou les membres d'une association d'aide au victime ou appeler un numéro vert d'aide aux victimes) pour chercher de l'aide ou du soutien, contre 48% des victimes ayant subi au moins deux incidents.</t>
  </si>
  <si>
    <t>Lecture : en moyenne entre 2011 et 2015, 21% des victimes de violences au sein du ménage déclarent que les dommage psychologiques causés par les incidents sont très importants.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</si>
</sst>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43" x14ac:knownFonts="1">
    <font>
      <sz val="11"/>
      <color theme="1"/>
      <name val="Calibri"/>
      <family val="2"/>
      <scheme val="minor"/>
    </font>
    <font>
      <b/>
      <sz val="14"/>
      <color theme="5"/>
      <name val="Palatino Linotype"/>
      <family val="1"/>
    </font>
    <font>
      <sz val="11"/>
      <name val="Palatino Linotype"/>
      <family val="1"/>
    </font>
    <font>
      <sz val="11"/>
      <color rgb="FF000000"/>
      <name val="Arial"/>
      <family val="2"/>
    </font>
    <font>
      <b/>
      <sz val="10"/>
      <color theme="1"/>
      <name val="Palatino Linotype"/>
      <family val="1"/>
    </font>
    <font>
      <b/>
      <sz val="10"/>
      <color rgb="FF000000"/>
      <name val="Palatino Linotype"/>
      <family val="1"/>
    </font>
    <font>
      <sz val="10"/>
      <color rgb="FF000000"/>
      <name val="Palatino Linotype"/>
      <family val="1"/>
    </font>
    <font>
      <sz val="10"/>
      <color theme="1"/>
      <name val="Palatino Linotype"/>
      <family val="1"/>
    </font>
    <font>
      <sz val="10"/>
      <name val="Palatino Linotype"/>
      <family val="1"/>
    </font>
    <font>
      <sz val="8"/>
      <color theme="1"/>
      <name val="Palatino Linotype"/>
      <family val="1"/>
    </font>
    <font>
      <sz val="8"/>
      <color rgb="FF000000"/>
      <name val="Palatino Linotype"/>
      <family val="1"/>
    </font>
    <font>
      <sz val="8"/>
      <name val="Palatino Linotype"/>
      <family val="1"/>
    </font>
    <font>
      <sz val="8"/>
      <color theme="1"/>
      <name val="Calibri"/>
      <family val="2"/>
      <scheme val="minor"/>
    </font>
    <font>
      <b/>
      <sz val="11"/>
      <color rgb="FF000000"/>
      <name val="Arial"/>
      <family val="2"/>
    </font>
    <font>
      <b/>
      <sz val="12"/>
      <color theme="5"/>
      <name val="Palatino Linotype"/>
      <family val="1"/>
    </font>
    <font>
      <sz val="12"/>
      <color theme="1"/>
      <name val="Calibri"/>
      <family val="2"/>
      <scheme val="minor"/>
    </font>
    <font>
      <sz val="11"/>
      <color rgb="FF000000"/>
      <name val="Calibri"/>
      <family val="2"/>
      <scheme val="minor"/>
    </font>
    <font>
      <sz val="11"/>
      <color theme="5"/>
      <name val="Calibri"/>
      <family val="2"/>
      <scheme val="minor"/>
    </font>
    <font>
      <b/>
      <sz val="11"/>
      <color rgb="FF000000"/>
      <name val="Palatino Linotype"/>
      <family val="1"/>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rgb="FF0000FF"/>
      <name val="Calibri"/>
      <family val="2"/>
      <scheme val="minor"/>
    </font>
    <font>
      <u/>
      <sz val="11"/>
      <color rgb="FF800080"/>
      <name val="Calibri"/>
      <family val="2"/>
      <scheme val="minor"/>
    </font>
    <font>
      <b/>
      <sz val="11"/>
      <color rgb="FF000000"/>
      <name val="Calibri"/>
      <family val="2"/>
      <scheme val="minor"/>
    </font>
    <font>
      <sz val="11"/>
      <color rgb="FF000000"/>
      <name val="Calibri"/>
      <family val="2"/>
    </font>
    <font>
      <sz val="8"/>
      <name val="Calibri"/>
      <family val="2"/>
    </font>
    <font>
      <sz val="11"/>
      <name val="Calibri"/>
      <family val="2"/>
      <scheme val="minor"/>
    </font>
    <font>
      <b/>
      <sz val="11"/>
      <color theme="1"/>
      <name val="Palatino Linotype"/>
      <family val="1"/>
    </font>
  </fonts>
  <fills count="3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medium">
        <color theme="0"/>
      </left>
      <right/>
      <top style="medium">
        <color theme="0"/>
      </top>
      <bottom/>
      <diagonal/>
    </border>
    <border>
      <left/>
      <right/>
      <top style="medium">
        <color theme="0"/>
      </top>
      <bottom/>
      <diagonal/>
    </border>
    <border>
      <left style="medium">
        <color rgb="FFC1C1C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s>
  <cellStyleXfs count="44">
    <xf numFmtId="0" fontId="0" fillId="0" borderId="0"/>
    <xf numFmtId="0" fontId="21" fillId="0" borderId="0" applyNumberFormat="0" applyFill="0" applyBorder="0" applyAlignment="0" applyProtection="0"/>
    <xf numFmtId="0" fontId="22" fillId="0" borderId="4"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6" borderId="0" applyNumberFormat="0" applyBorder="0" applyAlignment="0" applyProtection="0"/>
    <xf numFmtId="0" fontId="27" fillId="7" borderId="0" applyNumberFormat="0" applyBorder="0" applyAlignment="0" applyProtection="0"/>
    <xf numFmtId="0" fontId="28" fillId="8" borderId="7" applyNumberFormat="0" applyAlignment="0" applyProtection="0"/>
    <xf numFmtId="0" fontId="29" fillId="9" borderId="8" applyNumberFormat="0" applyAlignment="0" applyProtection="0"/>
    <xf numFmtId="0" fontId="30" fillId="9" borderId="7" applyNumberFormat="0" applyAlignment="0" applyProtection="0"/>
    <xf numFmtId="0" fontId="31" fillId="0" borderId="9" applyNumberFormat="0" applyFill="0" applyAlignment="0" applyProtection="0"/>
    <xf numFmtId="0" fontId="32" fillId="10" borderId="10" applyNumberFormat="0" applyAlignment="0" applyProtection="0"/>
    <xf numFmtId="0" fontId="33" fillId="0" borderId="0" applyNumberFormat="0" applyFill="0" applyBorder="0" applyAlignment="0" applyProtection="0"/>
    <xf numFmtId="0" fontId="20" fillId="11" borderId="11" applyNumberFormat="0" applyFont="0" applyAlignment="0" applyProtection="0"/>
    <xf numFmtId="0" fontId="34" fillId="0" borderId="0" applyNumberFormat="0" applyFill="0" applyBorder="0" applyAlignment="0" applyProtection="0"/>
    <xf numFmtId="0" fontId="19" fillId="0" borderId="12" applyNumberFormat="0" applyFill="0" applyAlignment="0" applyProtection="0"/>
    <xf numFmtId="0" fontId="35"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35" fillId="19" borderId="0" applyNumberFormat="0" applyBorder="0" applyAlignment="0" applyProtection="0"/>
    <xf numFmtId="0" fontId="35"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35" fillId="23" borderId="0" applyNumberFormat="0" applyBorder="0" applyAlignment="0" applyProtection="0"/>
    <xf numFmtId="0" fontId="35"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35" fillId="27" borderId="0" applyNumberFormat="0" applyBorder="0" applyAlignment="0" applyProtection="0"/>
    <xf numFmtId="0" fontId="35"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35" fillId="35" borderId="0" applyNumberFormat="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cellStyleXfs>
  <cellXfs count="80">
    <xf numFmtId="0" fontId="0" fillId="0" borderId="0" xfId="0"/>
    <xf numFmtId="0" fontId="0" fillId="2" borderId="0" xfId="0" applyFill="1"/>
    <xf numFmtId="0" fontId="0" fillId="0" borderId="0" xfId="0" applyFill="1"/>
    <xf numFmtId="0" fontId="0" fillId="3" borderId="0" xfId="0" applyFill="1"/>
    <xf numFmtId="0" fontId="2" fillId="3" borderId="0" xfId="0" applyFont="1" applyFill="1" applyBorder="1" applyAlignment="1">
      <alignment vertical="center"/>
    </xf>
    <xf numFmtId="0" fontId="4" fillId="4" borderId="1" xfId="0" applyFont="1" applyFill="1" applyBorder="1" applyAlignment="1">
      <alignment vertical="center"/>
    </xf>
    <xf numFmtId="0" fontId="9" fillId="3" borderId="0" xfId="0" applyFont="1" applyFill="1" applyAlignment="1">
      <alignment vertical="center"/>
    </xf>
    <xf numFmtId="0" fontId="10" fillId="3" borderId="0" xfId="0" applyFont="1" applyFill="1" applyBorder="1" applyAlignment="1">
      <alignment vertical="center"/>
    </xf>
    <xf numFmtId="0" fontId="12" fillId="3" borderId="0" xfId="0" applyFont="1" applyFill="1"/>
    <xf numFmtId="0" fontId="11" fillId="3" borderId="0" xfId="0" applyFont="1" applyFill="1" applyBorder="1" applyAlignment="1">
      <alignment vertical="center"/>
    </xf>
    <xf numFmtId="0" fontId="5" fillId="3" borderId="0" xfId="0" applyFont="1" applyFill="1" applyBorder="1" applyAlignment="1">
      <alignment horizontal="center" vertical="center"/>
    </xf>
    <xf numFmtId="0" fontId="1" fillId="3" borderId="0" xfId="0" applyFont="1" applyFill="1" applyAlignment="1">
      <alignment horizontal="left" vertical="center" wrapText="1"/>
    </xf>
    <xf numFmtId="0" fontId="14" fillId="3" borderId="0" xfId="0" applyFont="1" applyFill="1"/>
    <xf numFmtId="0" fontId="0" fillId="0" borderId="0" xfId="0" applyAlignment="1">
      <alignment horizontal="left"/>
    </xf>
    <xf numFmtId="0" fontId="0" fillId="0" borderId="0" xfId="0" applyAlignment="1">
      <alignment wrapText="1"/>
    </xf>
    <xf numFmtId="0" fontId="17" fillId="3" borderId="0" xfId="0" applyFont="1" applyFill="1" applyAlignment="1">
      <alignment horizontal="left"/>
    </xf>
    <xf numFmtId="0" fontId="0" fillId="3" borderId="0" xfId="0" applyFill="1" applyAlignment="1">
      <alignment horizontal="left"/>
    </xf>
    <xf numFmtId="0" fontId="0" fillId="2" borderId="0" xfId="0" applyFill="1" applyAlignment="1">
      <alignment horizontal="left"/>
    </xf>
    <xf numFmtId="0" fontId="13" fillId="2" borderId="3" xfId="0" applyFont="1" applyFill="1" applyBorder="1" applyAlignment="1">
      <alignment horizontal="left" vertical="top" wrapText="1"/>
    </xf>
    <xf numFmtId="165" fontId="16" fillId="2" borderId="0" xfId="0" applyNumberFormat="1" applyFont="1" applyFill="1" applyAlignment="1">
      <alignment vertical="top" wrapText="1"/>
    </xf>
    <xf numFmtId="165" fontId="0" fillId="2" borderId="0" xfId="0" applyNumberFormat="1" applyFill="1"/>
    <xf numFmtId="165" fontId="16" fillId="2" borderId="0" xfId="0" applyNumberFormat="1" applyFont="1" applyFill="1" applyAlignment="1">
      <alignment horizontal="left" vertical="top" wrapText="1"/>
    </xf>
    <xf numFmtId="165" fontId="0" fillId="2" borderId="0" xfId="0" applyNumberFormat="1" applyFill="1" applyAlignment="1">
      <alignment horizontal="left"/>
    </xf>
    <xf numFmtId="0" fontId="9" fillId="3" borderId="0" xfId="0" applyFont="1" applyFill="1" applyAlignment="1">
      <alignment horizontal="left"/>
    </xf>
    <xf numFmtId="0" fontId="6" fillId="4" borderId="0" xfId="0" applyFont="1" applyFill="1" applyBorder="1" applyAlignment="1">
      <alignment horizontal="left" vertical="center"/>
    </xf>
    <xf numFmtId="0" fontId="5" fillId="4" borderId="0" xfId="0" applyFont="1" applyFill="1" applyBorder="1" applyAlignment="1">
      <alignment horizontal="left" vertical="center"/>
    </xf>
    <xf numFmtId="0" fontId="14" fillId="0" borderId="0" xfId="0" applyFont="1" applyFill="1" applyAlignment="1">
      <alignment horizontal="left" wrapText="1"/>
    </xf>
    <xf numFmtId="0" fontId="0" fillId="0" borderId="0" xfId="0" applyFill="1" applyAlignment="1">
      <alignment wrapText="1"/>
    </xf>
    <xf numFmtId="1" fontId="8" fillId="4" borderId="0" xfId="0" applyNumberFormat="1" applyFont="1" applyFill="1" applyBorder="1" applyAlignment="1">
      <alignment horizontal="center" vertical="center"/>
    </xf>
    <xf numFmtId="1" fontId="7" fillId="4" borderId="0" xfId="0" applyNumberFormat="1" applyFont="1" applyFill="1" applyBorder="1" applyAlignment="1">
      <alignment horizontal="center" vertical="center"/>
    </xf>
    <xf numFmtId="3" fontId="4" fillId="4" borderId="0" xfId="0" applyNumberFormat="1" applyFont="1" applyFill="1" applyBorder="1" applyAlignment="1">
      <alignment horizontal="center" vertical="center"/>
    </xf>
    <xf numFmtId="0" fontId="0" fillId="2" borderId="0" xfId="0" applyFill="1" applyAlignment="1">
      <alignment wrapText="1"/>
    </xf>
    <xf numFmtId="0" fontId="19" fillId="2" borderId="0" xfId="0" applyFont="1" applyFill="1"/>
    <xf numFmtId="0" fontId="0" fillId="0" borderId="0" xfId="0" applyFill="1" applyBorder="1"/>
    <xf numFmtId="0" fontId="3" fillId="2" borderId="3" xfId="0" applyFont="1" applyFill="1" applyBorder="1" applyAlignment="1">
      <alignment horizontal="left" vertical="top" wrapText="1"/>
    </xf>
    <xf numFmtId="0" fontId="16" fillId="0" borderId="0" xfId="0" applyFont="1" applyFill="1" applyBorder="1" applyAlignment="1">
      <alignment vertical="top" wrapText="1"/>
    </xf>
    <xf numFmtId="165" fontId="19" fillId="2" borderId="0" xfId="0" applyNumberFormat="1" applyFont="1" applyFill="1"/>
    <xf numFmtId="0" fontId="16" fillId="2" borderId="0" xfId="0" applyFont="1" applyFill="1" applyAlignment="1">
      <alignment vertical="top" wrapText="1"/>
    </xf>
    <xf numFmtId="0" fontId="0" fillId="2" borderId="0" xfId="0" applyFont="1" applyFill="1" applyBorder="1"/>
    <xf numFmtId="0" fontId="19" fillId="2" borderId="0" xfId="0" applyFont="1" applyFill="1" applyAlignment="1">
      <alignment horizontal="left"/>
    </xf>
    <xf numFmtId="0" fontId="9" fillId="0" borderId="0" xfId="0" applyFont="1" applyFill="1" applyAlignment="1">
      <alignment vertical="center" wrapText="1"/>
    </xf>
    <xf numFmtId="0" fontId="13" fillId="0" borderId="0" xfId="0" applyFont="1" applyFill="1" applyBorder="1" applyAlignment="1">
      <alignment horizontal="center" vertical="top" wrapText="1"/>
    </xf>
    <xf numFmtId="0" fontId="0" fillId="2" borderId="0" xfId="0" applyFont="1" applyFill="1"/>
    <xf numFmtId="0" fontId="0" fillId="0" borderId="0" xfId="0"/>
    <xf numFmtId="165" fontId="38" fillId="2" borderId="0" xfId="0" applyNumberFormat="1" applyFont="1" applyFill="1" applyAlignment="1">
      <alignment horizontal="left" vertical="top" wrapText="1"/>
    </xf>
    <xf numFmtId="165" fontId="19" fillId="2" borderId="0" xfId="0" applyNumberFormat="1" applyFont="1" applyFill="1" applyAlignment="1">
      <alignment horizontal="left"/>
    </xf>
    <xf numFmtId="0" fontId="14" fillId="3" borderId="0" xfId="0" applyFont="1" applyFill="1" applyAlignment="1">
      <alignment vertical="center"/>
    </xf>
    <xf numFmtId="0" fontId="0" fillId="2" borderId="0" xfId="0" applyFill="1" applyAlignment="1">
      <alignment vertical="center" wrapText="1"/>
    </xf>
    <xf numFmtId="0" fontId="0" fillId="0" borderId="0" xfId="0" applyFill="1" applyAlignment="1">
      <alignment vertical="center" wrapText="1"/>
    </xf>
    <xf numFmtId="0" fontId="14" fillId="3" borderId="0" xfId="0" applyFont="1" applyFill="1" applyAlignment="1">
      <alignment horizontal="left" vertical="center" wrapText="1"/>
    </xf>
    <xf numFmtId="164" fontId="7" fillId="4" borderId="0" xfId="0" applyNumberFormat="1" applyFont="1" applyFill="1" applyBorder="1" applyAlignment="1">
      <alignment horizontal="center" vertical="center"/>
    </xf>
    <xf numFmtId="0" fontId="18" fillId="4" borderId="2" xfId="0" applyFont="1" applyFill="1" applyBorder="1" applyAlignment="1">
      <alignment horizontal="center" vertical="center" wrapText="1"/>
    </xf>
    <xf numFmtId="0" fontId="14" fillId="3" borderId="0" xfId="0" applyFont="1" applyFill="1" applyAlignment="1">
      <alignment horizontal="left" vertical="center" wrapText="1"/>
    </xf>
    <xf numFmtId="0" fontId="0" fillId="0" borderId="0" xfId="0" applyAlignment="1">
      <alignment wrapText="1"/>
    </xf>
    <xf numFmtId="0" fontId="0" fillId="0" borderId="0" xfId="0" applyAlignment="1">
      <alignment wrapText="1"/>
    </xf>
    <xf numFmtId="0" fontId="14" fillId="3" borderId="0" xfId="0" applyFont="1" applyFill="1" applyAlignment="1">
      <alignment horizontal="left" vertical="center" wrapText="1"/>
    </xf>
    <xf numFmtId="9" fontId="0" fillId="2" borderId="0" xfId="0" applyNumberFormat="1" applyFill="1"/>
    <xf numFmtId="0" fontId="4" fillId="3" borderId="0" xfId="0" applyFont="1" applyFill="1" applyBorder="1" applyAlignment="1">
      <alignment vertical="center"/>
    </xf>
    <xf numFmtId="0" fontId="41" fillId="3" borderId="0" xfId="0" applyFont="1" applyFill="1"/>
    <xf numFmtId="0" fontId="41" fillId="2" borderId="0" xfId="0" applyFont="1" applyFill="1" applyAlignment="1">
      <alignment wrapText="1"/>
    </xf>
    <xf numFmtId="0" fontId="41" fillId="2" borderId="0" xfId="0" applyFont="1" applyFill="1"/>
    <xf numFmtId="9" fontId="41" fillId="2" borderId="0" xfId="0" applyNumberFormat="1" applyFont="1" applyFill="1" applyAlignment="1">
      <alignment wrapText="1"/>
    </xf>
    <xf numFmtId="9" fontId="41" fillId="2" borderId="0" xfId="0" applyNumberFormat="1" applyFont="1" applyFill="1"/>
    <xf numFmtId="0" fontId="14" fillId="4" borderId="0" xfId="0" applyFont="1" applyFill="1" applyAlignment="1">
      <alignment vertical="center"/>
    </xf>
    <xf numFmtId="9" fontId="0" fillId="0" borderId="0" xfId="0" applyNumberFormat="1"/>
    <xf numFmtId="0" fontId="41" fillId="0" borderId="0" xfId="0" applyFont="1" applyFill="1"/>
    <xf numFmtId="9" fontId="41" fillId="0" borderId="0" xfId="0" applyNumberFormat="1" applyFont="1" applyFill="1"/>
    <xf numFmtId="0" fontId="8" fillId="4" borderId="0" xfId="0" applyFont="1" applyFill="1" applyBorder="1" applyAlignment="1">
      <alignment horizontal="left" vertical="center"/>
    </xf>
    <xf numFmtId="3" fontId="8" fillId="4" borderId="0" xfId="0" applyNumberFormat="1" applyFont="1" applyFill="1" applyBorder="1" applyAlignment="1">
      <alignment horizontal="center" vertical="center"/>
    </xf>
    <xf numFmtId="3" fontId="0" fillId="0" borderId="0" xfId="0" applyNumberFormat="1"/>
    <xf numFmtId="0" fontId="16" fillId="0" borderId="0" xfId="0" applyFont="1" applyFill="1" applyAlignment="1">
      <alignment horizontal="left" vertical="top" wrapText="1"/>
    </xf>
    <xf numFmtId="0" fontId="11" fillId="3" borderId="0" xfId="0" applyFont="1" applyFill="1" applyAlignment="1">
      <alignment horizontal="left" vertical="center" wrapText="1"/>
    </xf>
    <xf numFmtId="0" fontId="11" fillId="3" borderId="0" xfId="0" applyFont="1" applyFill="1" applyAlignment="1">
      <alignment wrapText="1"/>
    </xf>
    <xf numFmtId="0" fontId="41" fillId="3" borderId="0" xfId="0" applyFont="1" applyFill="1" applyAlignment="1">
      <alignment wrapText="1"/>
    </xf>
    <xf numFmtId="0" fontId="42" fillId="4" borderId="13" xfId="0" applyFont="1" applyFill="1" applyBorder="1" applyAlignment="1">
      <alignment horizontal="center"/>
    </xf>
    <xf numFmtId="0" fontId="14" fillId="3" borderId="0" xfId="0" applyFont="1" applyFill="1" applyAlignment="1">
      <alignment horizontal="left" vertical="center" wrapText="1"/>
    </xf>
    <xf numFmtId="0" fontId="9" fillId="3" borderId="0" xfId="0" applyFont="1" applyFill="1" applyAlignment="1">
      <alignment horizontal="left" vertical="center" wrapText="1"/>
    </xf>
    <xf numFmtId="0" fontId="15" fillId="3" borderId="0" xfId="0" applyFont="1" applyFill="1" applyAlignment="1">
      <alignment horizontal="left" vertical="center" wrapText="1"/>
    </xf>
    <xf numFmtId="0" fontId="14" fillId="3" borderId="0" xfId="0" applyFont="1" applyFill="1" applyAlignment="1">
      <alignment horizontal="left" wrapText="1"/>
    </xf>
    <xf numFmtId="0" fontId="9" fillId="3" borderId="0" xfId="0" applyFont="1" applyFill="1" applyAlignment="1">
      <alignment horizontal="left" wrapText="1"/>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Lien hypertexte" xfId="42" builtinId="8" customBuiltin="1"/>
    <cellStyle name="Lien hypertexte visité" xfId="43" builtinId="9"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F3300"/>
      <color rgb="FF9DC3E6"/>
      <color rgb="FFF0FEFD"/>
      <color rgb="FFDA90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230111557895997E-2"/>
          <c:y val="0.11092604949805003"/>
          <c:w val="0.23377338698258884"/>
          <c:h val="0.63264083514984359"/>
        </c:manualLayout>
      </c:layout>
      <c:pieChart>
        <c:varyColors val="1"/>
        <c:ser>
          <c:idx val="0"/>
          <c:order val="0"/>
          <c:spPr>
            <a:ln>
              <a:noFill/>
            </a:ln>
          </c:spPr>
          <c:dPt>
            <c:idx val="0"/>
            <c:bubble3D val="0"/>
            <c:explosion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solidFill>
                <a:schemeClr val="accent4">
                  <a:lumMod val="60000"/>
                  <a:lumOff val="40000"/>
                </a:schemeClr>
              </a:solidFill>
              <a:ln w="9525" cap="flat" cmpd="sng" algn="ctr">
                <a:noFill/>
                <a:round/>
              </a:ln>
              <a:effectLst/>
            </c:spPr>
          </c:dPt>
          <c:dLbls>
            <c:dLbl>
              <c:idx val="1"/>
              <c:layout>
                <c:manualLayout>
                  <c:x val="4.382183876554694E-2"/>
                  <c:y val="0.12585318554925856"/>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4.3070930376808723E-2"/>
                  <c:y val="0.13251283080060852"/>
                </c:manualLayout>
              </c:layout>
              <c:showLegendKey val="0"/>
              <c:showVal val="1"/>
              <c:showCatName val="0"/>
              <c:showSerName val="0"/>
              <c:showPercent val="0"/>
              <c:showBubbleSize val="0"/>
              <c:extLst>
                <c:ext xmlns:c15="http://schemas.microsoft.com/office/drawing/2012/chart" uri="{CE6537A1-D6FC-4f65-9D91-7224C49458BB}"/>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'2.TypeViolences'!$A$18:$A$20</c:f>
              <c:strCache>
                <c:ptCount val="3"/>
                <c:pt idx="0">
                  <c:v>Violences physiques uniquement</c:v>
                </c:pt>
                <c:pt idx="1">
                  <c:v>Violences sexuelles uniquement</c:v>
                </c:pt>
                <c:pt idx="2">
                  <c:v>Violences physiques et sexuelles</c:v>
                </c:pt>
              </c:strCache>
            </c:strRef>
          </c:cat>
          <c:val>
            <c:numRef>
              <c:f>'2.TypeViolences'!$B$18:$B$20</c:f>
              <c:numCache>
                <c:formatCode>General</c:formatCode>
                <c:ptCount val="3"/>
                <c:pt idx="0">
                  <c:v>0.85</c:v>
                </c:pt>
                <c:pt idx="1">
                  <c:v>0.05</c:v>
                </c:pt>
                <c:pt idx="2">
                  <c:v>0.1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3639556082949734"/>
          <c:y val="0.15269481145365305"/>
          <c:w val="0.47707011590641391"/>
          <c:h val="0.51364799739015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6745843560155929E-3"/>
          <c:y val="0.1025813878528342"/>
          <c:w val="0.57649536044690752"/>
          <c:h val="0.51389832849841133"/>
        </c:manualLayout>
      </c:layout>
      <c:ofPieChart>
        <c:ofPieType val="bar"/>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no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no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noFill/>
                <a:round/>
              </a:ln>
              <a:effectLst/>
            </c:spPr>
          </c:dPt>
          <c:dPt>
            <c:idx val="8"/>
            <c:bubble3D val="0"/>
            <c:spPr>
              <a:solidFill>
                <a:schemeClr val="tx2">
                  <a:lumMod val="60000"/>
                  <a:lumOff val="40000"/>
                </a:schemeClr>
              </a:solidFill>
              <a:ln w="9525" cap="flat" cmpd="sng" algn="ctr">
                <a:noFill/>
                <a:round/>
              </a:ln>
              <a:effectLst/>
            </c:spPr>
          </c:dPt>
          <c:dLbls>
            <c:dLbl>
              <c:idx val="2"/>
              <c:tx>
                <c:rich>
                  <a:bodyPr/>
                  <a:lstStyle/>
                  <a:p>
                    <a:r>
                      <a:rPr lang="en-US"/>
                      <a:t>(1) </a:t>
                    </a:r>
                    <a:fld id="{6A7939C7-111F-49A4-BD0C-BE055DE6731B}" type="VALUE">
                      <a:rPr lang="en-US"/>
                      <a:pPr/>
                      <a:t>[VALEUR]</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3"/>
              <c:tx>
                <c:rich>
                  <a:bodyPr/>
                  <a:lstStyle/>
                  <a:p>
                    <a:r>
                      <a:rPr lang="en-US"/>
                      <a:t>(2) </a:t>
                    </a:r>
                    <a:fld id="{6713C4AF-F20F-4EC0-B5E2-BE9E7826543D}" type="VALUE">
                      <a:rPr lang="en-US"/>
                      <a:pPr/>
                      <a:t>[VALEUR]</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4"/>
              <c:delete val="1"/>
              <c:extLst>
                <c:ext xmlns:c15="http://schemas.microsoft.com/office/drawing/2012/chart" uri="{CE6537A1-D6FC-4f65-9D91-7224C49458BB}"/>
              </c:extLst>
            </c:dLbl>
            <c:dLbl>
              <c:idx val="8"/>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'3.Frequence'!$A$26:$A$30</c:f>
              <c:strCache>
                <c:ptCount val="5"/>
                <c:pt idx="0">
                  <c:v>Deux incidents</c:v>
                </c:pt>
                <c:pt idx="1">
                  <c:v>Incident unique</c:v>
                </c:pt>
                <c:pt idx="2">
                  <c:v>Moins d'une fois par mois</c:v>
                </c:pt>
                <c:pt idx="3">
                  <c:v>Plusieurs fois par mois</c:v>
                </c:pt>
                <c:pt idx="4">
                  <c:v>Plusieurs fois par semaine</c:v>
                </c:pt>
              </c:strCache>
            </c:strRef>
          </c:cat>
          <c:val>
            <c:numRef>
              <c:f>'3.Frequence'!$B$26:$B$30</c:f>
              <c:numCache>
                <c:formatCode>0%</c:formatCode>
                <c:ptCount val="5"/>
                <c:pt idx="0">
                  <c:v>0.25</c:v>
                </c:pt>
                <c:pt idx="1">
                  <c:v>0.31</c:v>
                </c:pt>
                <c:pt idx="2">
                  <c:v>0.28000000000000003</c:v>
                </c:pt>
                <c:pt idx="3">
                  <c:v>0.15</c:v>
                </c:pt>
              </c:numCache>
            </c:numRef>
          </c:val>
        </c:ser>
        <c:dLbls>
          <c:showLegendKey val="0"/>
          <c:showVal val="0"/>
          <c:showCatName val="0"/>
          <c:showSerName val="0"/>
          <c:showPercent val="0"/>
          <c:showBubbleSize val="0"/>
          <c:showLeaderLines val="1"/>
        </c:dLbls>
        <c:gapWidth val="100"/>
        <c:splitType val="pos"/>
        <c:splitPos val="3"/>
        <c:secondPieSize val="75"/>
        <c:serLines>
          <c:spPr>
            <a:ln w="9525">
              <a:solidFill>
                <a:schemeClr val="tx1">
                  <a:lumMod val="35000"/>
                  <a:lumOff val="65000"/>
                </a:schemeClr>
              </a:solidFill>
              <a:prstDash val="dash"/>
            </a:ln>
            <a:effectLst/>
          </c:spPr>
        </c:serLines>
      </c:ofPieChart>
      <c:spPr>
        <a:noFill/>
        <a:ln>
          <a:noFill/>
        </a:ln>
        <a:effectLst/>
      </c:spPr>
    </c:plotArea>
    <c:legend>
      <c:legendPos val="r"/>
      <c:legendEntry>
        <c:idx val="2"/>
        <c:delete val="1"/>
      </c:legendEntry>
      <c:legendEntry>
        <c:idx val="3"/>
        <c:delete val="1"/>
      </c:legendEntry>
      <c:legendEntry>
        <c:idx val="4"/>
        <c:delete val="1"/>
      </c:legendEntry>
      <c:layout>
        <c:manualLayout>
          <c:xMode val="edge"/>
          <c:yMode val="edge"/>
          <c:x val="0.56109985169199827"/>
          <c:y val="0.58965303030009808"/>
          <c:w val="0.2567205495274375"/>
          <c:h val="0.2038889673737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490012883019957E-2"/>
          <c:y val="0.16690887323295117"/>
          <c:w val="0.57649536044690752"/>
          <c:h val="0.51389832849841133"/>
        </c:manualLayout>
      </c:layout>
      <c:ofPieChart>
        <c:ofPieType val="bar"/>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no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no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noFill/>
                <a:round/>
              </a:ln>
              <a:effectLst/>
            </c:spPr>
          </c:dPt>
          <c:dPt>
            <c:idx val="8"/>
            <c:bubble3D val="0"/>
            <c:spPr>
              <a:solidFill>
                <a:schemeClr val="tx2">
                  <a:lumMod val="60000"/>
                  <a:lumOff val="40000"/>
                </a:schemeClr>
              </a:solidFill>
              <a:ln w="9525" cap="flat" cmpd="sng" algn="ctr">
                <a:noFill/>
                <a:round/>
              </a:ln>
              <a:effectLst/>
            </c:spPr>
          </c:dPt>
          <c:dLbls>
            <c:dLbl>
              <c:idx val="2"/>
              <c:tx>
                <c:rich>
                  <a:bodyPr/>
                  <a:lstStyle/>
                  <a:p>
                    <a:r>
                      <a:rPr lang="en-US"/>
                      <a:t>(1)</a:t>
                    </a:r>
                    <a:r>
                      <a:rPr lang="en-US" baseline="0"/>
                      <a:t> </a:t>
                    </a:r>
                    <a:fld id="{3F496117-5B6C-4A84-8EE2-898F105AB60D}" type="VALUE">
                      <a:rPr lang="en-US"/>
                      <a:pPr/>
                      <a:t>[VALEUR]</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3"/>
              <c:tx>
                <c:rich>
                  <a:bodyPr/>
                  <a:lstStyle/>
                  <a:p>
                    <a:r>
                      <a:rPr lang="en-US"/>
                      <a:t>(2)</a:t>
                    </a:r>
                    <a:r>
                      <a:rPr lang="en-US" baseline="0"/>
                      <a:t> </a:t>
                    </a:r>
                    <a:fld id="{5F5A1A2B-0C3D-4923-883F-827238247BAE}" type="VALUE">
                      <a:rPr lang="en-US"/>
                      <a:pPr/>
                      <a:t>[VALEUR]</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4"/>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'3.Frequence'!$A$26:$A$30</c:f>
              <c:strCache>
                <c:ptCount val="5"/>
                <c:pt idx="0">
                  <c:v>Deux incidents</c:v>
                </c:pt>
                <c:pt idx="1">
                  <c:v>Incident unique</c:v>
                </c:pt>
                <c:pt idx="2">
                  <c:v>Moins d'une fois par mois</c:v>
                </c:pt>
                <c:pt idx="3">
                  <c:v>Plusieurs fois par mois</c:v>
                </c:pt>
                <c:pt idx="4">
                  <c:v>Plusieurs fois par semaine</c:v>
                </c:pt>
              </c:strCache>
            </c:strRef>
          </c:cat>
          <c:val>
            <c:numRef>
              <c:f>'3.Frequence'!$C$26:$C$30</c:f>
              <c:numCache>
                <c:formatCode>0%</c:formatCode>
                <c:ptCount val="5"/>
                <c:pt idx="0">
                  <c:v>0.54</c:v>
                </c:pt>
                <c:pt idx="1">
                  <c:v>0.03</c:v>
                </c:pt>
                <c:pt idx="2">
                  <c:v>0.23</c:v>
                </c:pt>
                <c:pt idx="3">
                  <c:v>0.2</c:v>
                </c:pt>
              </c:numCache>
            </c:numRef>
          </c:val>
        </c:ser>
        <c:dLbls>
          <c:showLegendKey val="0"/>
          <c:showVal val="0"/>
          <c:showCatName val="0"/>
          <c:showSerName val="0"/>
          <c:showPercent val="0"/>
          <c:showBubbleSize val="0"/>
          <c:showLeaderLines val="1"/>
        </c:dLbls>
        <c:gapWidth val="100"/>
        <c:splitType val="pos"/>
        <c:splitPos val="3"/>
        <c:secondPieSize val="75"/>
        <c:serLines>
          <c:spPr>
            <a:ln w="9525">
              <a:solidFill>
                <a:schemeClr val="tx1">
                  <a:lumMod val="35000"/>
                  <a:lumOff val="65000"/>
                </a:schemeClr>
              </a:solidFill>
              <a:prstDash val="dash"/>
            </a:ln>
            <a:effectLst/>
          </c:spPr>
        </c:serLines>
      </c:of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96401963207513E-2"/>
          <c:y val="0.22396192001423551"/>
          <c:w val="0.26468415663288725"/>
          <c:h val="0.66694425908625832"/>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solidFill>
                <a:schemeClr val="accent6">
                  <a:lumMod val="60000"/>
                  <a:lumOff val="40000"/>
                </a:schemeClr>
              </a:solidFill>
              <a:ln w="9525" cap="flat" cmpd="sng" algn="ctr">
                <a:noFill/>
                <a:round/>
              </a:ln>
              <a:effectLst/>
            </c:spPr>
          </c:dPt>
          <c:dPt>
            <c:idx val="5"/>
            <c:bubble3D val="0"/>
            <c:spPr>
              <a:solidFill>
                <a:schemeClr val="bg1">
                  <a:lumMod val="65000"/>
                </a:schemeClr>
              </a:solidFill>
              <a:ln w="9525" cap="flat" cmpd="sng" algn="ctr">
                <a:noFill/>
                <a:round/>
              </a:ln>
              <a:effectLst/>
            </c:spPr>
          </c:dPt>
          <c:dLbls>
            <c:dLbl>
              <c:idx val="4"/>
              <c:layout>
                <c:manualLayout>
                  <c:x val="4.4210067911914598E-2"/>
                  <c:y val="0.10037397867639426"/>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'4.Auteur'!$A$27:$A$32</c:f>
              <c:strCache>
                <c:ptCount val="6"/>
                <c:pt idx="0">
                  <c:v>Conjoint</c:v>
                </c:pt>
                <c:pt idx="1">
                  <c:v>Parents ou conjoints d'un parent</c:v>
                </c:pt>
                <c:pt idx="2">
                  <c:v>Enfants, conjoints d'un enfant</c:v>
                </c:pt>
                <c:pt idx="3">
                  <c:v>Autre membre de la famille</c:v>
                </c:pt>
                <c:pt idx="4">
                  <c:v>Autre personne vivant dans le logement</c:v>
                </c:pt>
                <c:pt idx="5">
                  <c:v>NSP </c:v>
                </c:pt>
              </c:strCache>
            </c:strRef>
          </c:cat>
          <c:val>
            <c:numRef>
              <c:f>'4.Auteur'!$B$27:$B$32</c:f>
              <c:numCache>
                <c:formatCode>0%</c:formatCode>
                <c:ptCount val="6"/>
                <c:pt idx="0">
                  <c:v>0.59</c:v>
                </c:pt>
                <c:pt idx="1">
                  <c:v>0.127</c:v>
                </c:pt>
                <c:pt idx="2">
                  <c:v>0.08</c:v>
                </c:pt>
                <c:pt idx="3">
                  <c:v>7.7899999999999997E-2</c:v>
                </c:pt>
                <c:pt idx="4">
                  <c:v>7.0499999999999993E-2</c:v>
                </c:pt>
                <c:pt idx="5">
                  <c:v>5.5E-2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3363770111695679"/>
          <c:y val="0.19576078413927073"/>
          <c:w val="0.43669832750726789"/>
          <c:h val="0.74191200676186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95333205300557"/>
          <c:y val="0.1643713250927433"/>
          <c:w val="0.60289558927085329"/>
          <c:h val="0.6904670156453907"/>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Pt>
            <c:idx val="4"/>
            <c:bubble3D val="0"/>
            <c:spPr>
              <a:solidFill>
                <a:schemeClr val="accent6">
                  <a:lumMod val="60000"/>
                  <a:lumOff val="40000"/>
                </a:schemeClr>
              </a:solidFill>
              <a:ln w="9525" cap="flat" cmpd="sng" algn="ctr">
                <a:noFill/>
                <a:round/>
              </a:ln>
              <a:effectLst/>
            </c:spPr>
          </c:dPt>
          <c:dPt>
            <c:idx val="5"/>
            <c:bubble3D val="0"/>
            <c:spPr>
              <a:solidFill>
                <a:schemeClr val="bg2">
                  <a:lumMod val="75000"/>
                </a:schemeClr>
              </a:solidFill>
              <a:ln w="9525" cap="flat" cmpd="sng" algn="ctr">
                <a:noFill/>
                <a:round/>
              </a:ln>
              <a:effectLst/>
            </c:spPr>
          </c:dPt>
          <c:dLbls>
            <c:dLbl>
              <c:idx val="1"/>
              <c:layout>
                <c:manualLayout>
                  <c:x val="0.11498162729658792"/>
                  <c:y val="-1.6017830173462953E-2"/>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'4.Auteur'!$A$27:$A$32</c:f>
              <c:strCache>
                <c:ptCount val="6"/>
                <c:pt idx="0">
                  <c:v>Conjoint</c:v>
                </c:pt>
                <c:pt idx="1">
                  <c:v>Parents ou conjoints d'un parent</c:v>
                </c:pt>
                <c:pt idx="2">
                  <c:v>Enfants, conjoints d'un enfant</c:v>
                </c:pt>
                <c:pt idx="3">
                  <c:v>Autre membre de la famille</c:v>
                </c:pt>
                <c:pt idx="4">
                  <c:v>Autre personne vivant dans le logement</c:v>
                </c:pt>
                <c:pt idx="5">
                  <c:v>NSP </c:v>
                </c:pt>
              </c:strCache>
            </c:strRef>
          </c:cat>
          <c:val>
            <c:numRef>
              <c:f>'4.Auteur'!$C$27:$C$32</c:f>
              <c:numCache>
                <c:formatCode>0%</c:formatCode>
                <c:ptCount val="6"/>
                <c:pt idx="0">
                  <c:v>0.68</c:v>
                </c:pt>
                <c:pt idx="1">
                  <c:v>5.4399999999999997E-2</c:v>
                </c:pt>
                <c:pt idx="2">
                  <c:v>2.4E-2</c:v>
                </c:pt>
                <c:pt idx="3">
                  <c:v>8.8499999999999995E-2</c:v>
                </c:pt>
                <c:pt idx="4">
                  <c:v>9.8500000000000004E-2</c:v>
                </c:pt>
                <c:pt idx="5">
                  <c:v>5.2499999999999998E-2</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67816932719473"/>
          <c:y val="0.23462492089674561"/>
          <c:w val="0.49479316370800686"/>
          <c:h val="0.50365198151883905"/>
        </c:manualLayout>
      </c:layout>
      <c:barChart>
        <c:barDir val="bar"/>
        <c:grouping val="percentStacked"/>
        <c:varyColors val="0"/>
        <c:ser>
          <c:idx val="0"/>
          <c:order val="0"/>
          <c:tx>
            <c:strRef>
              <c:f>'5.Dommages'!$B$21</c:f>
              <c:strCache>
                <c:ptCount val="1"/>
                <c:pt idx="0">
                  <c:v>Très importants</c:v>
                </c:pt>
              </c:strCache>
            </c:strRef>
          </c:tx>
          <c:spPr>
            <a:solidFill>
              <a:schemeClr val="accent2">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'5.Dommages'!$A$22:$A$24</c:f>
              <c:strCache>
                <c:ptCount val="3"/>
                <c:pt idx="0">
                  <c:v>Ensemble </c:v>
                </c:pt>
                <c:pt idx="1">
                  <c:v>Un incident unique</c:v>
                </c:pt>
                <c:pt idx="2">
                  <c:v>Plusieurs incidents</c:v>
                </c:pt>
              </c:strCache>
            </c:strRef>
          </c:cat>
          <c:val>
            <c:numRef>
              <c:f>'5.Dommages'!$B$22:$B$24</c:f>
              <c:numCache>
                <c:formatCode>0%</c:formatCode>
                <c:ptCount val="3"/>
                <c:pt idx="0">
                  <c:v>0.214</c:v>
                </c:pt>
                <c:pt idx="1">
                  <c:v>0.06</c:v>
                </c:pt>
                <c:pt idx="2">
                  <c:v>0.28000000000000003</c:v>
                </c:pt>
              </c:numCache>
            </c:numRef>
          </c:val>
        </c:ser>
        <c:ser>
          <c:idx val="1"/>
          <c:order val="1"/>
          <c:tx>
            <c:strRef>
              <c:f>'5.Dommages'!$C$21</c:f>
              <c:strCache>
                <c:ptCount val="1"/>
                <c:pt idx="0">
                  <c:v>Plutôt importants</c:v>
                </c:pt>
              </c:strCache>
            </c:strRef>
          </c:tx>
          <c:spPr>
            <a:solidFill>
              <a:schemeClr val="accent2">
                <a:lumMod val="20000"/>
                <a:lumOff val="8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'5.Dommages'!$A$22:$A$24</c:f>
              <c:strCache>
                <c:ptCount val="3"/>
                <c:pt idx="0">
                  <c:v>Ensemble </c:v>
                </c:pt>
                <c:pt idx="1">
                  <c:v>Un incident unique</c:v>
                </c:pt>
                <c:pt idx="2">
                  <c:v>Plusieurs incidents</c:v>
                </c:pt>
              </c:strCache>
            </c:strRef>
          </c:cat>
          <c:val>
            <c:numRef>
              <c:f>'5.Dommages'!$C$22:$C$24</c:f>
              <c:numCache>
                <c:formatCode>0%</c:formatCode>
                <c:ptCount val="3"/>
                <c:pt idx="0">
                  <c:v>0.28599999999999998</c:v>
                </c:pt>
                <c:pt idx="1">
                  <c:v>0.22</c:v>
                </c:pt>
                <c:pt idx="2">
                  <c:v>0.31</c:v>
                </c:pt>
              </c:numCache>
            </c:numRef>
          </c:val>
        </c:ser>
        <c:ser>
          <c:idx val="2"/>
          <c:order val="2"/>
          <c:tx>
            <c:strRef>
              <c:f>'5.Dommages'!$D$21</c:f>
              <c:strCache>
                <c:ptCount val="1"/>
                <c:pt idx="0">
                  <c:v>Peu importants</c:v>
                </c:pt>
              </c:strCache>
            </c:strRef>
          </c:tx>
          <c:spPr>
            <a:solidFill>
              <a:schemeClr val="accent1">
                <a:lumMod val="40000"/>
                <a:lumOff val="6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'5.Dommages'!$A$22:$A$24</c:f>
              <c:strCache>
                <c:ptCount val="3"/>
                <c:pt idx="0">
                  <c:v>Ensemble </c:v>
                </c:pt>
                <c:pt idx="1">
                  <c:v>Un incident unique</c:v>
                </c:pt>
                <c:pt idx="2">
                  <c:v>Plusieurs incidents</c:v>
                </c:pt>
              </c:strCache>
            </c:strRef>
          </c:cat>
          <c:val>
            <c:numRef>
              <c:f>'5.Dommages'!$D$22:$D$24</c:f>
              <c:numCache>
                <c:formatCode>0%</c:formatCode>
                <c:ptCount val="3"/>
                <c:pt idx="0">
                  <c:v>0.23599999999999999</c:v>
                </c:pt>
                <c:pt idx="1">
                  <c:v>0.26</c:v>
                </c:pt>
                <c:pt idx="2">
                  <c:v>0.23</c:v>
                </c:pt>
              </c:numCache>
            </c:numRef>
          </c:val>
        </c:ser>
        <c:ser>
          <c:idx val="3"/>
          <c:order val="3"/>
          <c:tx>
            <c:strRef>
              <c:f>'5.Dommages'!$E$21</c:f>
              <c:strCache>
                <c:ptCount val="1"/>
                <c:pt idx="0">
                  <c:v>Pas importants</c:v>
                </c:pt>
              </c:strCache>
            </c:strRef>
          </c:tx>
          <c:spPr>
            <a:solidFill>
              <a:schemeClr val="accent1"/>
            </a:solidFill>
            <a:ln w="9525" cap="flat" cmpd="sng" algn="ctr">
              <a:noFill/>
              <a:round/>
            </a:ln>
            <a:effectLst/>
          </c:spPr>
          <c:invertIfNegative val="0"/>
          <c:dPt>
            <c:idx val="0"/>
            <c:invertIfNegative val="0"/>
            <c:bubble3D val="0"/>
            <c:spPr>
              <a:solidFill>
                <a:schemeClr val="accent1"/>
              </a:solidFill>
              <a:ln w="9525" cap="flat" cmpd="sng" algn="ctr">
                <a:no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'5.Dommages'!$A$22:$A$24</c:f>
              <c:strCache>
                <c:ptCount val="3"/>
                <c:pt idx="0">
                  <c:v>Ensemble </c:v>
                </c:pt>
                <c:pt idx="1">
                  <c:v>Un incident unique</c:v>
                </c:pt>
                <c:pt idx="2">
                  <c:v>Plusieurs incidents</c:v>
                </c:pt>
              </c:strCache>
            </c:strRef>
          </c:cat>
          <c:val>
            <c:numRef>
              <c:f>'5.Dommages'!$E$22:$E$24</c:f>
              <c:numCache>
                <c:formatCode>0%</c:formatCode>
                <c:ptCount val="3"/>
                <c:pt idx="0">
                  <c:v>0.25069999999999998</c:v>
                </c:pt>
                <c:pt idx="1">
                  <c:v>0.46</c:v>
                </c:pt>
                <c:pt idx="2">
                  <c:v>0.16</c:v>
                </c:pt>
              </c:numCache>
            </c:numRef>
          </c:val>
        </c:ser>
        <c:ser>
          <c:idx val="4"/>
          <c:order val="4"/>
          <c:tx>
            <c:strRef>
              <c:f>'5.Dommages'!$F$21</c:f>
              <c:strCache>
                <c:ptCount val="1"/>
                <c:pt idx="0">
                  <c:v>NSP</c:v>
                </c:pt>
              </c:strCache>
            </c:strRef>
          </c:tx>
          <c:spPr>
            <a:solidFill>
              <a:schemeClr val="bg1">
                <a:lumMod val="65000"/>
              </a:schemeClr>
            </a:solidFill>
            <a:ln w="9525" cap="flat" cmpd="sng" algn="ctr">
              <a:noFill/>
              <a:round/>
            </a:ln>
            <a:effectLst/>
          </c:spPr>
          <c:invertIfNegative val="0"/>
          <c:cat>
            <c:strRef>
              <c:f>'5.Dommages'!$A$22:$A$24</c:f>
              <c:strCache>
                <c:ptCount val="3"/>
                <c:pt idx="0">
                  <c:v>Ensemble </c:v>
                </c:pt>
                <c:pt idx="1">
                  <c:v>Un incident unique</c:v>
                </c:pt>
                <c:pt idx="2">
                  <c:v>Plusieurs incidents</c:v>
                </c:pt>
              </c:strCache>
            </c:strRef>
          </c:cat>
          <c:val>
            <c:numRef>
              <c:f>'5.Dommages'!$F$22:$F$24</c:f>
              <c:numCache>
                <c:formatCode>0%</c:formatCode>
                <c:ptCount val="3"/>
                <c:pt idx="0">
                  <c:v>1.3300000000000034E-2</c:v>
                </c:pt>
                <c:pt idx="1">
                  <c:v>0</c:v>
                </c:pt>
                <c:pt idx="2">
                  <c:v>1.9999999999999962E-2</c:v>
                </c:pt>
              </c:numCache>
            </c:numRef>
          </c:val>
        </c:ser>
        <c:dLbls>
          <c:showLegendKey val="0"/>
          <c:showVal val="0"/>
          <c:showCatName val="0"/>
          <c:showSerName val="0"/>
          <c:showPercent val="0"/>
          <c:showBubbleSize val="0"/>
        </c:dLbls>
        <c:gapWidth val="100"/>
        <c:overlap val="100"/>
        <c:axId val="249908064"/>
        <c:axId val="250326992"/>
      </c:barChart>
      <c:catAx>
        <c:axId val="24990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326992"/>
        <c:crosses val="autoZero"/>
        <c:auto val="1"/>
        <c:lblAlgn val="ctr"/>
        <c:lblOffset val="100"/>
        <c:noMultiLvlLbl val="0"/>
      </c:catAx>
      <c:valAx>
        <c:axId val="250326992"/>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49908064"/>
        <c:crosses val="autoZero"/>
        <c:crossBetween val="between"/>
        <c:majorUnit val="0.2"/>
      </c:valAx>
      <c:spPr>
        <a:solidFill>
          <a:schemeClr val="bg1">
            <a:lumMod val="95000"/>
          </a:schemeClr>
        </a:solidFill>
        <a:ln>
          <a:solidFill>
            <a:schemeClr val="bg2">
              <a:lumMod val="90000"/>
            </a:schemeClr>
          </a:solidFill>
        </a:ln>
        <a:effectLst/>
      </c:spPr>
    </c:plotArea>
    <c:legend>
      <c:legendPos val="r"/>
      <c:layout>
        <c:manualLayout>
          <c:xMode val="edge"/>
          <c:yMode val="edge"/>
          <c:x val="0.72372959806759374"/>
          <c:y val="0.25889182824478957"/>
          <c:w val="0.27627040193240626"/>
          <c:h val="0.44466714387974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67816932719473"/>
          <c:y val="0.23462492089674561"/>
          <c:w val="0.44337928195993498"/>
          <c:h val="0.50365198151883905"/>
        </c:manualLayout>
      </c:layout>
      <c:barChart>
        <c:barDir val="bar"/>
        <c:grouping val="percentStacked"/>
        <c:varyColors val="0"/>
        <c:ser>
          <c:idx val="0"/>
          <c:order val="0"/>
          <c:tx>
            <c:strRef>
              <c:f>'5.Dommages'!$B$26</c:f>
              <c:strCache>
                <c:ptCount val="1"/>
                <c:pt idx="0">
                  <c:v>Oui</c:v>
                </c:pt>
              </c:strCache>
            </c:strRef>
          </c:tx>
          <c:spPr>
            <a:solidFill>
              <a:schemeClr val="accent2">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'5.Dommages'!$A$27:$A$29</c:f>
              <c:strCache>
                <c:ptCount val="3"/>
                <c:pt idx="0">
                  <c:v>Ensemble </c:v>
                </c:pt>
                <c:pt idx="1">
                  <c:v>Un incident unique</c:v>
                </c:pt>
                <c:pt idx="2">
                  <c:v>Plusieurs incidents</c:v>
                </c:pt>
              </c:strCache>
            </c:strRef>
          </c:cat>
          <c:val>
            <c:numRef>
              <c:f>'5.Dommages'!$B$27:$B$29</c:f>
              <c:numCache>
                <c:formatCode>0%</c:formatCode>
                <c:ptCount val="3"/>
                <c:pt idx="0">
                  <c:v>0.42</c:v>
                </c:pt>
                <c:pt idx="1">
                  <c:v>0.22770000000000001</c:v>
                </c:pt>
                <c:pt idx="2">
                  <c:v>0.50519999999999998</c:v>
                </c:pt>
              </c:numCache>
            </c:numRef>
          </c:val>
        </c:ser>
        <c:ser>
          <c:idx val="1"/>
          <c:order val="1"/>
          <c:tx>
            <c:strRef>
              <c:f>'5.Dommages'!$C$26</c:f>
              <c:strCache>
                <c:ptCount val="1"/>
                <c:pt idx="0">
                  <c:v>Non</c:v>
                </c:pt>
              </c:strCache>
            </c:strRef>
          </c:tx>
          <c:spPr>
            <a:solidFill>
              <a:schemeClr val="accent1"/>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'5.Dommages'!$A$27:$A$29</c:f>
              <c:strCache>
                <c:ptCount val="3"/>
                <c:pt idx="0">
                  <c:v>Ensemble </c:v>
                </c:pt>
                <c:pt idx="1">
                  <c:v>Un incident unique</c:v>
                </c:pt>
                <c:pt idx="2">
                  <c:v>Plusieurs incidents</c:v>
                </c:pt>
              </c:strCache>
            </c:strRef>
          </c:cat>
          <c:val>
            <c:numRef>
              <c:f>'5.Dommages'!$C$27:$C$29</c:f>
              <c:numCache>
                <c:formatCode>0%</c:formatCode>
                <c:ptCount val="3"/>
                <c:pt idx="0">
                  <c:v>0.56000000000000005</c:v>
                </c:pt>
                <c:pt idx="1">
                  <c:v>0.77229999999999999</c:v>
                </c:pt>
                <c:pt idx="2">
                  <c:v>0.47070000000000001</c:v>
                </c:pt>
              </c:numCache>
            </c:numRef>
          </c:val>
        </c:ser>
        <c:ser>
          <c:idx val="2"/>
          <c:order val="2"/>
          <c:tx>
            <c:strRef>
              <c:f>'5.Dommages'!$D$26</c:f>
              <c:strCache>
                <c:ptCount val="1"/>
                <c:pt idx="0">
                  <c:v>NSP</c:v>
                </c:pt>
              </c:strCache>
            </c:strRef>
          </c:tx>
          <c:spPr>
            <a:solidFill>
              <a:schemeClr val="bg1">
                <a:lumMod val="65000"/>
              </a:schemeClr>
            </a:solidFill>
            <a:ln w="9525" cap="flat" cmpd="sng" algn="ctr">
              <a:noFill/>
              <a:round/>
            </a:ln>
            <a:effectLst/>
          </c:spPr>
          <c:invertIfNegative val="0"/>
          <c:cat>
            <c:strRef>
              <c:f>'5.Dommages'!$A$27:$A$29</c:f>
              <c:strCache>
                <c:ptCount val="3"/>
                <c:pt idx="0">
                  <c:v>Ensemble </c:v>
                </c:pt>
                <c:pt idx="1">
                  <c:v>Un incident unique</c:v>
                </c:pt>
                <c:pt idx="2">
                  <c:v>Plusieurs incidents</c:v>
                </c:pt>
              </c:strCache>
            </c:strRef>
          </c:cat>
          <c:val>
            <c:numRef>
              <c:f>'5.Dommages'!$D$27:$D$29</c:f>
              <c:numCache>
                <c:formatCode>0%</c:formatCode>
                <c:ptCount val="3"/>
                <c:pt idx="0">
                  <c:v>1.9999999999999962E-2</c:v>
                </c:pt>
                <c:pt idx="1">
                  <c:v>0</c:v>
                </c:pt>
                <c:pt idx="2">
                  <c:v>2.410000000000001E-2</c:v>
                </c:pt>
              </c:numCache>
            </c:numRef>
          </c:val>
        </c:ser>
        <c:dLbls>
          <c:showLegendKey val="0"/>
          <c:showVal val="0"/>
          <c:showCatName val="0"/>
          <c:showSerName val="0"/>
          <c:showPercent val="0"/>
          <c:showBubbleSize val="0"/>
        </c:dLbls>
        <c:gapWidth val="100"/>
        <c:overlap val="100"/>
        <c:axId val="250472928"/>
        <c:axId val="250473488"/>
      </c:barChart>
      <c:catAx>
        <c:axId val="25047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473488"/>
        <c:crosses val="autoZero"/>
        <c:auto val="1"/>
        <c:lblAlgn val="ctr"/>
        <c:lblOffset val="100"/>
        <c:noMultiLvlLbl val="0"/>
      </c:catAx>
      <c:valAx>
        <c:axId val="250473488"/>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472928"/>
        <c:crosses val="autoZero"/>
        <c:crossBetween val="between"/>
        <c:majorUnit val="0.2"/>
      </c:valAx>
      <c:spPr>
        <a:solidFill>
          <a:schemeClr val="bg1">
            <a:lumMod val="95000"/>
          </a:schemeClr>
        </a:solidFill>
        <a:ln>
          <a:solidFill>
            <a:schemeClr val="bg2">
              <a:lumMod val="90000"/>
            </a:schemeClr>
          </a:solidFill>
        </a:ln>
        <a:effectLst/>
      </c:spPr>
    </c:plotArea>
    <c:legend>
      <c:legendPos val="r"/>
      <c:layout>
        <c:manualLayout>
          <c:xMode val="edge"/>
          <c:yMode val="edge"/>
          <c:x val="0.65860534785336922"/>
          <c:y val="0.35902358055045486"/>
          <c:w val="0.1837254147858767"/>
          <c:h val="0.27141223947797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930463553024711"/>
          <c:y val="0.17198539837692703"/>
          <c:w val="0.21070246996779962"/>
          <c:h val="0.66349146655175562"/>
        </c:manualLayout>
      </c:layout>
      <c:barChart>
        <c:barDir val="bar"/>
        <c:grouping val="clustered"/>
        <c:varyColors val="0"/>
        <c:ser>
          <c:idx val="0"/>
          <c:order val="0"/>
          <c:tx>
            <c:strRef>
              <c:f>'6.Aide'!$B$20</c:f>
              <c:strCache>
                <c:ptCount val="1"/>
                <c:pt idx="0">
                  <c:v>Victimes de violences au sein du ménage</c:v>
                </c:pt>
              </c:strCache>
            </c:strRef>
          </c:tx>
          <c:spPr>
            <a:solidFill>
              <a:srgbClr val="9DC3E6"/>
            </a:solidFill>
            <a:ln w="9525" cap="flat" cmpd="sng" algn="ctr">
              <a:noFill/>
              <a:round/>
            </a:ln>
            <a:effectLst/>
          </c:spPr>
          <c:invertIfNegative val="0"/>
          <c:dPt>
            <c:idx val="3"/>
            <c:invertIfNegative val="0"/>
            <c:bubble3D val="0"/>
            <c:spPr>
              <a:solidFill>
                <a:srgbClr val="9DC3E6"/>
              </a:solidFill>
              <a:ln w="9525" cap="flat" cmpd="sng" algn="ctr">
                <a:noFill/>
                <a:round/>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'6.Aide'!$A$21:$A$26</c:f>
              <c:strCache>
                <c:ptCount val="6"/>
                <c:pt idx="0">
                  <c:v>A appelé un numéro vert, un service téléphonique gratuit d'aide aux victimes</c:v>
                </c:pt>
                <c:pt idx="1">
                  <c:v>A rencontré des membres d'une association d'aide aux victimes</c:v>
                </c:pt>
                <c:pt idx="2">
                  <c:v>S'est rendu à la police ou à la gendarmerie</c:v>
                </c:pt>
                <c:pt idx="3">
                  <c:v>A parlé de sa situation avec les services sociaux</c:v>
                </c:pt>
                <c:pt idx="4">
                  <c:v>A consulté un psychiatre, un psychologue</c:v>
                </c:pt>
                <c:pt idx="5">
                  <c:v>A été vue par un médecin</c:v>
                </c:pt>
              </c:strCache>
            </c:strRef>
          </c:cat>
          <c:val>
            <c:numRef>
              <c:f>'6.Aide'!$B$21:$B$26</c:f>
              <c:numCache>
                <c:formatCode>General</c:formatCode>
                <c:ptCount val="6"/>
                <c:pt idx="0">
                  <c:v>5.9700000000000003E-2</c:v>
                </c:pt>
                <c:pt idx="1">
                  <c:v>6.7900000000000002E-2</c:v>
                </c:pt>
                <c:pt idx="2">
                  <c:v>0.15</c:v>
                </c:pt>
                <c:pt idx="3">
                  <c:v>0.1613</c:v>
                </c:pt>
                <c:pt idx="4">
                  <c:v>0.18640000000000001</c:v>
                </c:pt>
                <c:pt idx="5">
                  <c:v>0.1888</c:v>
                </c:pt>
              </c:numCache>
            </c:numRef>
          </c:val>
        </c:ser>
        <c:dLbls>
          <c:showLegendKey val="0"/>
          <c:showVal val="0"/>
          <c:showCatName val="0"/>
          <c:showSerName val="0"/>
          <c:showPercent val="0"/>
          <c:showBubbleSize val="0"/>
        </c:dLbls>
        <c:gapWidth val="150"/>
        <c:axId val="250546656"/>
        <c:axId val="250476288"/>
      </c:barChart>
      <c:valAx>
        <c:axId val="250476288"/>
        <c:scaling>
          <c:orientation val="minMax"/>
          <c:max val="0.4"/>
        </c:scaling>
        <c:delete val="0"/>
        <c:axPos val="b"/>
        <c:majorGridlines>
          <c:spPr>
            <a:ln w="9525" cap="flat" cmpd="sng" algn="ctr">
              <a:solidFill>
                <a:schemeClr val="bg2">
                  <a:lumMod val="90000"/>
                </a:schemeClr>
              </a:solidFill>
              <a:round/>
            </a:ln>
            <a:effectLst/>
          </c:spPr>
        </c:majorGridlines>
        <c:minorGridlines>
          <c:spPr>
            <a:ln>
              <a:noFill/>
            </a:ln>
            <a:effectLst/>
          </c:spPr>
        </c:min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546656"/>
        <c:crosses val="autoZero"/>
        <c:crossBetween val="between"/>
        <c:majorUnit val="0.1"/>
        <c:minorUnit val="5.000000000000001E-2"/>
      </c:valAx>
      <c:catAx>
        <c:axId val="25054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476288"/>
        <c:crosses val="autoZero"/>
        <c:auto val="1"/>
        <c:lblAlgn val="ctr"/>
        <c:lblOffset val="100"/>
        <c:noMultiLvlLbl val="0"/>
      </c:cat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556526364437"/>
          <c:y val="0.17976790091321229"/>
          <c:w val="0.84509796740523713"/>
          <c:h val="0.50365198151883905"/>
        </c:manualLayout>
      </c:layout>
      <c:barChart>
        <c:barDir val="col"/>
        <c:grouping val="clustered"/>
        <c:varyColors val="0"/>
        <c:ser>
          <c:idx val="0"/>
          <c:order val="0"/>
          <c:tx>
            <c:strRef>
              <c:f>'6.Aide'!$A$29</c:f>
              <c:strCache>
                <c:ptCount val="1"/>
                <c:pt idx="0">
                  <c:v>au moins une démarche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'6.Aide'!$B$28:$D$28</c:f>
              <c:strCache>
                <c:ptCount val="3"/>
                <c:pt idx="0">
                  <c:v>Victimes d'un incident unique</c:v>
                </c:pt>
                <c:pt idx="1">
                  <c:v>Victimes de deux incidents ou plus</c:v>
                </c:pt>
                <c:pt idx="2">
                  <c:v>Ensemble</c:v>
                </c:pt>
              </c:strCache>
            </c:strRef>
          </c:cat>
          <c:val>
            <c:numRef>
              <c:f>'6.Aide'!$B$29:$D$29</c:f>
              <c:numCache>
                <c:formatCode>0%</c:formatCode>
                <c:ptCount val="3"/>
                <c:pt idx="0">
                  <c:v>0.17</c:v>
                </c:pt>
                <c:pt idx="1">
                  <c:v>0.48</c:v>
                </c:pt>
                <c:pt idx="2">
                  <c:v>0.39</c:v>
                </c:pt>
              </c:numCache>
            </c:numRef>
          </c:val>
        </c:ser>
        <c:dLbls>
          <c:showLegendKey val="0"/>
          <c:showVal val="0"/>
          <c:showCatName val="0"/>
          <c:showSerName val="0"/>
          <c:showPercent val="0"/>
          <c:showBubbleSize val="0"/>
        </c:dLbls>
        <c:gapWidth val="100"/>
        <c:overlap val="-24"/>
        <c:axId val="250548896"/>
        <c:axId val="250549456"/>
      </c:barChart>
      <c:catAx>
        <c:axId val="2505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549456"/>
        <c:crosses val="autoZero"/>
        <c:auto val="1"/>
        <c:lblAlgn val="ctr"/>
        <c:lblOffset val="100"/>
        <c:noMultiLvlLbl val="0"/>
      </c:catAx>
      <c:valAx>
        <c:axId val="250549456"/>
        <c:scaling>
          <c:orientation val="minMax"/>
          <c:max val="0.60000000000000009"/>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548896"/>
        <c:crosses val="autoZero"/>
        <c:crossBetween val="between"/>
        <c:majorUnit val="0.1"/>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4554654933899"/>
          <c:y val="4.3969352315809E-2"/>
          <c:w val="0.4306870715684934"/>
          <c:h val="0.80534067070612447"/>
        </c:manualLayout>
      </c:layout>
      <c:barChart>
        <c:barDir val="bar"/>
        <c:grouping val="stacked"/>
        <c:varyColors val="0"/>
        <c:ser>
          <c:idx val="0"/>
          <c:order val="0"/>
          <c:tx>
            <c:strRef>
              <c:f>'7.RecoursPolice'!$A$20</c:f>
              <c:strCache>
                <c:ptCount val="1"/>
                <c:pt idx="0">
                  <c:v>Victimes qui n'ont fait aucune déclaration à la police ou à la gendarmerie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'7.RecoursPolice'!$B$19:$D$19</c:f>
              <c:strCache>
                <c:ptCount val="3"/>
                <c:pt idx="0">
                  <c:v>Ensemble</c:v>
                </c:pt>
                <c:pt idx="1">
                  <c:v>Victimes de deux ou plusieurs incidents (physique et/ou sexuel)</c:v>
                </c:pt>
                <c:pt idx="2">
                  <c:v>Victimes d'un acte unique (physique ou sexuel)</c:v>
                </c:pt>
              </c:strCache>
            </c:strRef>
          </c:cat>
          <c:val>
            <c:numRef>
              <c:f>'7.RecoursPolice'!$B$20:$D$20</c:f>
              <c:numCache>
                <c:formatCode>0%</c:formatCode>
                <c:ptCount val="3"/>
                <c:pt idx="0">
                  <c:v>0.85</c:v>
                </c:pt>
                <c:pt idx="1">
                  <c:v>0.81</c:v>
                </c:pt>
                <c:pt idx="2">
                  <c:v>0.94</c:v>
                </c:pt>
              </c:numCache>
            </c:numRef>
          </c:val>
        </c:ser>
        <c:ser>
          <c:idx val="1"/>
          <c:order val="1"/>
          <c:tx>
            <c:strRef>
              <c:f>'7.RecoursPolice'!$A$21</c:f>
              <c:strCache>
                <c:ptCount val="1"/>
                <c:pt idx="0">
                  <c:v>Victimes qui se sont déplacées au commissariat de police ou à la gendarmerie et qui ont déposé plainte.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'7.RecoursPolice'!$B$19:$D$19</c:f>
              <c:strCache>
                <c:ptCount val="3"/>
                <c:pt idx="0">
                  <c:v>Ensemble</c:v>
                </c:pt>
                <c:pt idx="1">
                  <c:v>Victimes de deux ou plusieurs incidents (physique et/ou sexuel)</c:v>
                </c:pt>
                <c:pt idx="2">
                  <c:v>Victimes d'un acte unique (physique ou sexuel)</c:v>
                </c:pt>
              </c:strCache>
            </c:strRef>
          </c:cat>
          <c:val>
            <c:numRef>
              <c:f>'7.RecoursPolice'!$B$21:$D$21</c:f>
              <c:numCache>
                <c:formatCode>0%</c:formatCode>
                <c:ptCount val="3"/>
                <c:pt idx="0">
                  <c:v>0.09</c:v>
                </c:pt>
                <c:pt idx="1">
                  <c:v>0.12</c:v>
                </c:pt>
                <c:pt idx="2">
                  <c:v>0.03</c:v>
                </c:pt>
              </c:numCache>
            </c:numRef>
          </c:val>
        </c:ser>
        <c:ser>
          <c:idx val="2"/>
          <c:order val="2"/>
          <c:tx>
            <c:strRef>
              <c:f>'7.RecoursPolice'!$A$22</c:f>
              <c:strCache>
                <c:ptCount val="1"/>
                <c:pt idx="0">
                  <c:v>Victimes qui se sont déplacées au commissariat de police ou à la gendarmerie et qui ont déposé une main courante ou ont abandonné leur démarche sur place ou NSP</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invertIfNegative val="0"/>
          <c:dLbls>
            <c:dLbl>
              <c:idx val="1"/>
              <c:layout>
                <c:manualLayout>
                  <c:x val="6.4568183747832266E-3"/>
                  <c:y val="-5.3763440860215058E-3"/>
                </c:manualLayout>
              </c:layout>
              <c:showLegendKey val="0"/>
              <c:showVal val="1"/>
              <c:showCatName val="0"/>
              <c:showSerName val="0"/>
              <c:showPercent val="0"/>
              <c:showBubbleSize val="0"/>
              <c:extLst>
                <c:ext xmlns:c15="http://schemas.microsoft.com/office/drawing/2012/chart" uri="{CE6537A1-D6FC-4f65-9D91-7224C49458BB}"/>
              </c:extLst>
            </c:dLbl>
            <c:dLbl>
              <c:idx val="2"/>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'7.RecoursPolice'!$B$19:$D$19</c:f>
              <c:strCache>
                <c:ptCount val="3"/>
                <c:pt idx="0">
                  <c:v>Ensemble</c:v>
                </c:pt>
                <c:pt idx="1">
                  <c:v>Victimes de deux ou plusieurs incidents (physique et/ou sexuel)</c:v>
                </c:pt>
                <c:pt idx="2">
                  <c:v>Victimes d'un acte unique (physique ou sexuel)</c:v>
                </c:pt>
              </c:strCache>
            </c:strRef>
          </c:cat>
          <c:val>
            <c:numRef>
              <c:f>'7.RecoursPolice'!$B$22:$D$22</c:f>
              <c:numCache>
                <c:formatCode>0%</c:formatCode>
                <c:ptCount val="3"/>
                <c:pt idx="0">
                  <c:v>6.0000000000000053E-2</c:v>
                </c:pt>
                <c:pt idx="1">
                  <c:v>6.9999999999999951E-2</c:v>
                </c:pt>
                <c:pt idx="2">
                  <c:v>3.0000000000000027E-2</c:v>
                </c:pt>
              </c:numCache>
            </c:numRef>
          </c:val>
        </c:ser>
        <c:ser>
          <c:idx val="3"/>
          <c:order val="3"/>
          <c:tx>
            <c:strRef>
              <c:f>'7.RecoursPolice'!$A$23</c:f>
              <c:strCache>
                <c:ptCount val="1"/>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invertIfNegative val="0"/>
          <c:cat>
            <c:strRef>
              <c:f>'7.RecoursPolice'!$B$19:$D$19</c:f>
              <c:strCache>
                <c:ptCount val="3"/>
                <c:pt idx="0">
                  <c:v>Ensemble</c:v>
                </c:pt>
                <c:pt idx="1">
                  <c:v>Victimes de deux ou plusieurs incidents (physique et/ou sexuel)</c:v>
                </c:pt>
                <c:pt idx="2">
                  <c:v>Victimes d'un acte unique (physique ou sexuel)</c:v>
                </c:pt>
              </c:strCache>
            </c:strRef>
          </c:cat>
          <c:val>
            <c:numRef>
              <c:f>'7.RecoursPolice'!$B$23:$D$23</c:f>
              <c:numCache>
                <c:formatCode>0%</c:formatCode>
                <c:ptCount val="3"/>
              </c:numCache>
            </c:numRef>
          </c:val>
        </c:ser>
        <c:dLbls>
          <c:showLegendKey val="0"/>
          <c:showVal val="0"/>
          <c:showCatName val="0"/>
          <c:showSerName val="0"/>
          <c:showPercent val="0"/>
          <c:showBubbleSize val="0"/>
        </c:dLbls>
        <c:gapWidth val="150"/>
        <c:overlap val="100"/>
        <c:axId val="251188096"/>
        <c:axId val="251188656"/>
      </c:barChart>
      <c:catAx>
        <c:axId val="25118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188656"/>
        <c:crosses val="autoZero"/>
        <c:auto val="1"/>
        <c:lblAlgn val="ctr"/>
        <c:lblOffset val="100"/>
        <c:noMultiLvlLbl val="0"/>
      </c:catAx>
      <c:valAx>
        <c:axId val="251188656"/>
        <c:scaling>
          <c:orientation val="minMax"/>
          <c:max val="1"/>
          <c:min val="0"/>
        </c:scaling>
        <c:delete val="0"/>
        <c:axPos val="b"/>
        <c:majorGridlines>
          <c:spPr>
            <a:ln w="9525" cap="flat" cmpd="sng" algn="ctr">
              <a:solidFill>
                <a:schemeClr val="bg1">
                  <a:lumMod val="85000"/>
                </a:schemeClr>
              </a:solidFill>
              <a:round/>
            </a:ln>
            <a:effectLst/>
          </c:spPr>
        </c:majorGridlines>
        <c:numFmt formatCode="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188096"/>
        <c:crosses val="autoZero"/>
        <c:crossBetween val="between"/>
      </c:valAx>
      <c:spPr>
        <a:solidFill>
          <a:schemeClr val="bg1">
            <a:lumMod val="95000"/>
          </a:schemeClr>
        </a:solidFill>
        <a:ln>
          <a:solidFill>
            <a:schemeClr val="bg2">
              <a:lumMod val="90000"/>
            </a:schemeClr>
          </a:solidFill>
        </a:ln>
        <a:effectLst/>
      </c:spPr>
    </c:plotArea>
    <c:legend>
      <c:legendPos val="b"/>
      <c:legendEntry>
        <c:idx val="3"/>
        <c:delete val="1"/>
      </c:legendEntry>
      <c:layout>
        <c:manualLayout>
          <c:xMode val="edge"/>
          <c:yMode val="edge"/>
          <c:x val="0.62392862995634957"/>
          <c:y val="8.4399288798577596E-2"/>
          <c:w val="0.3741260204865865"/>
          <c:h val="0.84207433748200833"/>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13110556302415"/>
          <c:y val="0.14841415125350962"/>
          <c:w val="0.62229978874591885"/>
          <c:h val="0.7405229063690291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'8.Profil1'!$B$26:$B$33</c:f>
              <c:strCache>
                <c:ptCount val="8"/>
                <c:pt idx="0">
                  <c:v>Est</c:v>
                </c:pt>
                <c:pt idx="1">
                  <c:v>Bassin parisien</c:v>
                </c:pt>
                <c:pt idx="2">
                  <c:v>Ouest</c:v>
                </c:pt>
                <c:pt idx="3">
                  <c:v>Centre-Est</c:v>
                </c:pt>
                <c:pt idx="4">
                  <c:v>Sud-Ouest</c:v>
                </c:pt>
                <c:pt idx="5">
                  <c:v>Nord</c:v>
                </c:pt>
                <c:pt idx="6">
                  <c:v>Méditerranée</c:v>
                </c:pt>
                <c:pt idx="7">
                  <c:v>Région parisienne</c:v>
                </c:pt>
              </c:strCache>
            </c:strRef>
          </c:cat>
          <c:val>
            <c:numRef>
              <c:f>'8.Profil1'!$C$26:$C$33</c:f>
              <c:numCache>
                <c:formatCode>0.0%</c:formatCode>
                <c:ptCount val="8"/>
                <c:pt idx="0">
                  <c:v>6.6E-3</c:v>
                </c:pt>
                <c:pt idx="1">
                  <c:v>6.7999999999999996E-3</c:v>
                </c:pt>
                <c:pt idx="2">
                  <c:v>7.4999999999999997E-3</c:v>
                </c:pt>
                <c:pt idx="3">
                  <c:v>7.9000000000000008E-3</c:v>
                </c:pt>
                <c:pt idx="4">
                  <c:v>8.0000000000000002E-3</c:v>
                </c:pt>
                <c:pt idx="5">
                  <c:v>9.5999999999999992E-3</c:v>
                </c:pt>
                <c:pt idx="6">
                  <c:v>1.0999999999999999E-2</c:v>
                </c:pt>
                <c:pt idx="7">
                  <c:v>1.21E-2</c:v>
                </c:pt>
              </c:numCache>
            </c:numRef>
          </c:val>
        </c:ser>
        <c:dLbls>
          <c:showLegendKey val="0"/>
          <c:showVal val="0"/>
          <c:showCatName val="0"/>
          <c:showSerName val="0"/>
          <c:showPercent val="0"/>
          <c:showBubbleSize val="0"/>
        </c:dLbls>
        <c:gapWidth val="80"/>
        <c:axId val="250932320"/>
        <c:axId val="250932880"/>
      </c:barChart>
      <c:catAx>
        <c:axId val="25093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932880"/>
        <c:crosses val="autoZero"/>
        <c:auto val="1"/>
        <c:lblAlgn val="ctr"/>
        <c:lblOffset val="100"/>
        <c:noMultiLvlLbl val="0"/>
      </c:catAx>
      <c:valAx>
        <c:axId val="250932880"/>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932320"/>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55994492561923"/>
          <c:y val="0.20564049807046131"/>
          <c:w val="0.4046518695882973"/>
          <c:h val="0.5908084926884139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2"/>
              <c:layout>
                <c:manualLayout>
                  <c:x val="-1.0669903720078852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'8.Profil1'!$B$36:$B$40</c:f>
              <c:strCache>
                <c:ptCount val="5"/>
                <c:pt idx="0">
                  <c:v>Communes rurales</c:v>
                </c:pt>
                <c:pt idx="1">
                  <c:v>moins de 20 000 habitants</c:v>
                </c:pt>
                <c:pt idx="2">
                  <c:v>20 000 - moins de 100 000 habitants</c:v>
                </c:pt>
                <c:pt idx="3">
                  <c:v>100 000 habitants ou plus</c:v>
                </c:pt>
                <c:pt idx="4">
                  <c:v>Agglomération parisienne</c:v>
                </c:pt>
              </c:strCache>
            </c:strRef>
          </c:cat>
          <c:val>
            <c:numRef>
              <c:f>'8.Profil1'!$C$36:$C$40</c:f>
              <c:numCache>
                <c:formatCode>0.0%</c:formatCode>
                <c:ptCount val="5"/>
                <c:pt idx="0">
                  <c:v>6.7999999999999996E-3</c:v>
                </c:pt>
                <c:pt idx="1">
                  <c:v>8.0999999999999996E-3</c:v>
                </c:pt>
                <c:pt idx="2">
                  <c:v>8.6E-3</c:v>
                </c:pt>
                <c:pt idx="3">
                  <c:v>8.9999999999999993E-3</c:v>
                </c:pt>
                <c:pt idx="4">
                  <c:v>1.23E-2</c:v>
                </c:pt>
              </c:numCache>
            </c:numRef>
          </c:val>
        </c:ser>
        <c:dLbls>
          <c:showLegendKey val="0"/>
          <c:showVal val="0"/>
          <c:showCatName val="0"/>
          <c:showSerName val="0"/>
          <c:showPercent val="0"/>
          <c:showBubbleSize val="0"/>
        </c:dLbls>
        <c:gapWidth val="103"/>
        <c:axId val="250935120"/>
        <c:axId val="251111680"/>
      </c:barChart>
      <c:catAx>
        <c:axId val="25093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111680"/>
        <c:crosses val="autoZero"/>
        <c:auto val="1"/>
        <c:lblAlgn val="ctr"/>
        <c:lblOffset val="100"/>
        <c:noMultiLvlLbl val="0"/>
      </c:catAx>
      <c:valAx>
        <c:axId val="251111680"/>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0935120"/>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88214144464819"/>
          <c:y val="0.27854005428808576"/>
          <c:w val="0.63143105741919248"/>
          <c:h val="0.4426605648652892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'8.Profil1'!$B$43:$B$44</c:f>
              <c:strCache>
                <c:ptCount val="2"/>
                <c:pt idx="0">
                  <c:v>Hors ZUS</c:v>
                </c:pt>
                <c:pt idx="1">
                  <c:v>En Zus</c:v>
                </c:pt>
              </c:strCache>
            </c:strRef>
          </c:cat>
          <c:val>
            <c:numRef>
              <c:f>'8.Profil1'!$C$43:$C$44</c:f>
              <c:numCache>
                <c:formatCode>0.0%</c:formatCode>
                <c:ptCount val="2"/>
                <c:pt idx="0">
                  <c:v>8.8000000000000005E-3</c:v>
                </c:pt>
                <c:pt idx="1">
                  <c:v>9.4999999999999998E-3</c:v>
                </c:pt>
              </c:numCache>
            </c:numRef>
          </c:val>
        </c:ser>
        <c:dLbls>
          <c:showLegendKey val="0"/>
          <c:showVal val="0"/>
          <c:showCatName val="0"/>
          <c:showSerName val="0"/>
          <c:showPercent val="0"/>
          <c:showBubbleSize val="0"/>
        </c:dLbls>
        <c:gapWidth val="150"/>
        <c:axId val="251113920"/>
        <c:axId val="251114480"/>
      </c:barChart>
      <c:catAx>
        <c:axId val="2511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114480"/>
        <c:crosses val="autoZero"/>
        <c:auto val="1"/>
        <c:lblAlgn val="ctr"/>
        <c:lblOffset val="100"/>
        <c:noMultiLvlLbl val="0"/>
      </c:catAx>
      <c:valAx>
        <c:axId val="251114480"/>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113920"/>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831252800717"/>
          <c:y val="0.18602724659417572"/>
          <c:w val="0.49359964150822611"/>
          <c:h val="0.6660912615089824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'9.Profil2'!$B$40:$B$44</c:f>
              <c:strCache>
                <c:ptCount val="5"/>
                <c:pt idx="0">
                  <c:v>18-30 ans</c:v>
                </c:pt>
                <c:pt idx="1">
                  <c:v>30-39 ans</c:v>
                </c:pt>
                <c:pt idx="2">
                  <c:v>40-49 ans</c:v>
                </c:pt>
                <c:pt idx="3">
                  <c:v>50-59 ans</c:v>
                </c:pt>
                <c:pt idx="4">
                  <c:v>60-75 ans</c:v>
                </c:pt>
              </c:strCache>
            </c:strRef>
          </c:cat>
          <c:val>
            <c:numRef>
              <c:f>'9.Profil2'!$C$40:$C$44</c:f>
              <c:numCache>
                <c:formatCode>0.0%</c:formatCode>
                <c:ptCount val="5"/>
                <c:pt idx="0">
                  <c:v>1.32E-2</c:v>
                </c:pt>
                <c:pt idx="1">
                  <c:v>1.34E-2</c:v>
                </c:pt>
                <c:pt idx="2">
                  <c:v>9.9000000000000008E-3</c:v>
                </c:pt>
                <c:pt idx="3">
                  <c:v>5.4999999999999997E-3</c:v>
                </c:pt>
                <c:pt idx="4">
                  <c:v>2.8E-3</c:v>
                </c:pt>
              </c:numCache>
            </c:numRef>
          </c:val>
        </c:ser>
        <c:dLbls>
          <c:showLegendKey val="0"/>
          <c:showVal val="0"/>
          <c:showCatName val="0"/>
          <c:showSerName val="0"/>
          <c:showPercent val="0"/>
          <c:showBubbleSize val="0"/>
        </c:dLbls>
        <c:gapWidth val="130"/>
        <c:axId val="251047728"/>
        <c:axId val="251048288"/>
      </c:barChart>
      <c:catAx>
        <c:axId val="2510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251048288"/>
        <c:crosses val="autoZero"/>
        <c:auto val="1"/>
        <c:lblAlgn val="ctr"/>
        <c:lblOffset val="100"/>
        <c:noMultiLvlLbl val="0"/>
      </c:catAx>
      <c:valAx>
        <c:axId val="251048288"/>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047728"/>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265955844896471"/>
          <c:y val="0.1729321334833146"/>
          <c:w val="0.48891661702793071"/>
          <c:h val="0.75231411785306257"/>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2"/>
              <c:layout>
                <c:manualLayout>
                  <c:x val="-1.1363636363636364E-2"/>
                  <c:y val="0"/>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5151515151515152E-2"/>
                  <c:y val="7.20720720720717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dLbl>
              <c:idx val="6"/>
              <c:layout>
                <c:manualLayout>
                  <c:x val="-1.2519558729915526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'9.Profil2'!$B$48:$B$54</c:f>
              <c:strCache>
                <c:ptCount val="7"/>
                <c:pt idx="0">
                  <c:v>Retraités</c:v>
                </c:pt>
                <c:pt idx="1">
                  <c:v>Ouvriers</c:v>
                </c:pt>
                <c:pt idx="2">
                  <c:v>Cadres et professions intellectuelles supérieures</c:v>
                </c:pt>
                <c:pt idx="3">
                  <c:v>Professions intermédiaires</c:v>
                </c:pt>
                <c:pt idx="4">
                  <c:v>Artisans, commerçants et chefs d'entreprise¹</c:v>
                </c:pt>
                <c:pt idx="5">
                  <c:v>Employés</c:v>
                </c:pt>
                <c:pt idx="6">
                  <c:v>Etudiants et autres inactifs</c:v>
                </c:pt>
              </c:strCache>
            </c:strRef>
          </c:cat>
          <c:val>
            <c:numRef>
              <c:f>'9.Profil2'!$C$48:$C$54</c:f>
              <c:numCache>
                <c:formatCode>0.0%</c:formatCode>
                <c:ptCount val="7"/>
                <c:pt idx="0">
                  <c:v>3.2000000000000002E-3</c:v>
                </c:pt>
                <c:pt idx="1">
                  <c:v>5.4000000000000003E-3</c:v>
                </c:pt>
                <c:pt idx="2">
                  <c:v>8.0000000000000002E-3</c:v>
                </c:pt>
                <c:pt idx="3">
                  <c:v>9.1999999999999998E-3</c:v>
                </c:pt>
                <c:pt idx="4">
                  <c:v>1.3100000000000001E-2</c:v>
                </c:pt>
                <c:pt idx="5">
                  <c:v>1.41E-2</c:v>
                </c:pt>
                <c:pt idx="6">
                  <c:v>1.49E-2</c:v>
                </c:pt>
              </c:numCache>
            </c:numRef>
          </c:val>
        </c:ser>
        <c:dLbls>
          <c:showLegendKey val="0"/>
          <c:showVal val="0"/>
          <c:showCatName val="0"/>
          <c:showSerName val="0"/>
          <c:showPercent val="0"/>
          <c:showBubbleSize val="0"/>
        </c:dLbls>
        <c:gapWidth val="155"/>
        <c:axId val="251539008"/>
        <c:axId val="251539568"/>
      </c:barChart>
      <c:catAx>
        <c:axId val="25153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251539568"/>
        <c:crosses val="autoZero"/>
        <c:auto val="1"/>
        <c:lblAlgn val="ctr"/>
        <c:lblOffset val="100"/>
        <c:noMultiLvlLbl val="0"/>
      </c:catAx>
      <c:valAx>
        <c:axId val="251539568"/>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539008"/>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333340407920701"/>
          <c:y val="0.42243059067157884"/>
          <c:w val="0.43969126500696842"/>
          <c:h val="0.4458002841387945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'9.Profil2'!$B$58:$B$61</c:f>
              <c:strCache>
                <c:ptCount val="4"/>
                <c:pt idx="0">
                  <c:v>...les plus aisés</c:v>
                </c:pt>
                <c:pt idx="1">
                  <c:v>...intermédiaires +</c:v>
                </c:pt>
                <c:pt idx="2">
                  <c:v>...intermédiaires -</c:v>
                </c:pt>
                <c:pt idx="3">
                  <c:v>...les plus modestes</c:v>
                </c:pt>
              </c:strCache>
            </c:strRef>
          </c:cat>
          <c:val>
            <c:numRef>
              <c:f>'9.Profil2'!$C$58:$C$61</c:f>
              <c:numCache>
                <c:formatCode>0.0%</c:formatCode>
                <c:ptCount val="4"/>
                <c:pt idx="0">
                  <c:v>7.4000000000000003E-3</c:v>
                </c:pt>
                <c:pt idx="1">
                  <c:v>7.4000000000000003E-3</c:v>
                </c:pt>
                <c:pt idx="2">
                  <c:v>8.3999999999999995E-3</c:v>
                </c:pt>
                <c:pt idx="3">
                  <c:v>1.2200000000000001E-2</c:v>
                </c:pt>
              </c:numCache>
            </c:numRef>
          </c:val>
        </c:ser>
        <c:dLbls>
          <c:showLegendKey val="0"/>
          <c:showVal val="0"/>
          <c:showCatName val="0"/>
          <c:showSerName val="0"/>
          <c:showPercent val="0"/>
          <c:showBubbleSize val="0"/>
        </c:dLbls>
        <c:gapWidth val="130"/>
        <c:axId val="251541808"/>
        <c:axId val="251542368"/>
      </c:barChart>
      <c:catAx>
        <c:axId val="25154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251542368"/>
        <c:crosses val="autoZero"/>
        <c:auto val="1"/>
        <c:lblAlgn val="ctr"/>
        <c:lblOffset val="100"/>
        <c:noMultiLvlLbl val="0"/>
      </c:catAx>
      <c:valAx>
        <c:axId val="251542368"/>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541808"/>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88214144464819"/>
          <c:y val="0.27854005428808576"/>
          <c:w val="0.63143105741919248"/>
          <c:h val="0.4426605648652892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'9.Profil2'!$B$34:$B$35</c:f>
              <c:strCache>
                <c:ptCount val="2"/>
                <c:pt idx="0">
                  <c:v>Femmes</c:v>
                </c:pt>
                <c:pt idx="1">
                  <c:v>Hommes</c:v>
                </c:pt>
              </c:strCache>
            </c:strRef>
          </c:cat>
          <c:val>
            <c:numRef>
              <c:f>'9.Profil2'!$C$34:$C$35</c:f>
              <c:numCache>
                <c:formatCode>0.0%</c:formatCode>
                <c:ptCount val="2"/>
                <c:pt idx="0">
                  <c:v>1.15E-2</c:v>
                </c:pt>
                <c:pt idx="1">
                  <c:v>6.0000000000000001E-3</c:v>
                </c:pt>
              </c:numCache>
            </c:numRef>
          </c:val>
        </c:ser>
        <c:dLbls>
          <c:showLegendKey val="0"/>
          <c:showVal val="0"/>
          <c:showCatName val="0"/>
          <c:showSerName val="0"/>
          <c:showPercent val="0"/>
          <c:showBubbleSize val="0"/>
        </c:dLbls>
        <c:gapWidth val="150"/>
        <c:axId val="251627200"/>
        <c:axId val="251627760"/>
      </c:barChart>
      <c:catAx>
        <c:axId val="25162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627760"/>
        <c:crosses val="autoZero"/>
        <c:auto val="1"/>
        <c:lblAlgn val="ctr"/>
        <c:lblOffset val="100"/>
        <c:noMultiLvlLbl val="0"/>
      </c:catAx>
      <c:valAx>
        <c:axId val="251627760"/>
        <c:scaling>
          <c:orientation val="minMax"/>
          <c:max val="1.6000000000000004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51627200"/>
        <c:crosses val="autoZero"/>
        <c:crossBetween val="between"/>
        <c:majorUnit val="4.000000000000001E-3"/>
        <c:minorUnit val="2.0000000000000005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133350</xdr:rowOff>
    </xdr:from>
    <xdr:to>
      <xdr:col>1</xdr:col>
      <xdr:colOff>590550</xdr:colOff>
      <xdr:row>10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104775</xdr:rowOff>
    </xdr:from>
    <xdr:to>
      <xdr:col>1</xdr:col>
      <xdr:colOff>514349</xdr:colOff>
      <xdr:row>9</xdr:row>
      <xdr:rowOff>152400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504825</xdr:colOff>
      <xdr:row>5</xdr:row>
      <xdr:rowOff>9526</xdr:rowOff>
    </xdr:from>
    <xdr:ext cx="1854034" cy="400050"/>
    <xdr:sp macro="" textlink="">
      <xdr:nvSpPr>
        <xdr:cNvPr id="2" name="ZoneTexte 1"/>
        <xdr:cNvSpPr txBox="1"/>
      </xdr:nvSpPr>
      <xdr:spPr>
        <a:xfrm>
          <a:off x="3448050" y="1152526"/>
          <a:ext cx="1854034"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900">
              <a:solidFill>
                <a:schemeClr val="bg1">
                  <a:lumMod val="50000"/>
                </a:schemeClr>
              </a:solidFill>
            </a:rPr>
            <a:t>(1) Moins</a:t>
          </a:r>
          <a:r>
            <a:rPr lang="fr-FR" sz="900" baseline="0">
              <a:solidFill>
                <a:schemeClr val="bg1">
                  <a:lumMod val="50000"/>
                </a:schemeClr>
              </a:solidFill>
            </a:rPr>
            <a:t> d'une fois par mois</a:t>
          </a:r>
          <a:endParaRPr lang="fr-FR" sz="900">
            <a:solidFill>
              <a:schemeClr val="bg1">
                <a:lumMod val="50000"/>
              </a:schemeClr>
            </a:solidFill>
          </a:endParaRPr>
        </a:p>
        <a:p>
          <a:r>
            <a:rPr lang="fr-FR" sz="900">
              <a:solidFill>
                <a:schemeClr val="bg1">
                  <a:lumMod val="50000"/>
                </a:schemeClr>
              </a:solidFill>
            </a:rPr>
            <a:t>(2) Plusieurs fois</a:t>
          </a:r>
          <a:r>
            <a:rPr lang="fr-FR" sz="900" baseline="0">
              <a:solidFill>
                <a:schemeClr val="bg1">
                  <a:lumMod val="50000"/>
                </a:schemeClr>
              </a:solidFill>
            </a:rPr>
            <a:t> par mois</a:t>
          </a:r>
          <a:endParaRPr lang="fr-FR" sz="900">
            <a:solidFill>
              <a:schemeClr val="bg1">
                <a:lumMod val="50000"/>
              </a:schemeClr>
            </a:solidFill>
          </a:endParaRPr>
        </a:p>
        <a:p>
          <a:endParaRPr lang="fr-FR" sz="900">
            <a:solidFill>
              <a:schemeClr val="bg1">
                <a:lumMod val="50000"/>
              </a:schemeClr>
            </a:solidFill>
          </a:endParaRPr>
        </a:p>
      </xdr:txBody>
    </xdr:sp>
    <xdr:clientData/>
  </xdr:oneCellAnchor>
  <xdr:twoCellAnchor>
    <xdr:from>
      <xdr:col>0</xdr:col>
      <xdr:colOff>85725</xdr:colOff>
      <xdr:row>1</xdr:row>
      <xdr:rowOff>152401</xdr:rowOff>
    </xdr:from>
    <xdr:to>
      <xdr:col>4</xdr:col>
      <xdr:colOff>209549</xdr:colOff>
      <xdr:row>11</xdr:row>
      <xdr:rowOff>161925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438151</xdr:colOff>
      <xdr:row>4</xdr:row>
      <xdr:rowOff>28575</xdr:rowOff>
    </xdr:from>
    <xdr:to>
      <xdr:col>1</xdr:col>
      <xdr:colOff>510151</xdr:colOff>
      <xdr:row>4</xdr:row>
      <xdr:rowOff>100575</xdr:rowOff>
    </xdr:to>
    <xdr:sp macro="" textlink="">
      <xdr:nvSpPr>
        <xdr:cNvPr id="9" name="Rectangle 8"/>
        <xdr:cNvSpPr/>
      </xdr:nvSpPr>
      <xdr:spPr>
        <a:xfrm>
          <a:off x="3381376" y="981075"/>
          <a:ext cx="72000" cy="720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oneCellAnchor>
    <xdr:from>
      <xdr:col>1</xdr:col>
      <xdr:colOff>466725</xdr:colOff>
      <xdr:row>3</xdr:row>
      <xdr:rowOff>209550</xdr:rowOff>
    </xdr:from>
    <xdr:ext cx="1226746" cy="233205"/>
    <xdr:sp macro="" textlink="">
      <xdr:nvSpPr>
        <xdr:cNvPr id="10" name="ZoneTexte 9"/>
        <xdr:cNvSpPr txBox="1"/>
      </xdr:nvSpPr>
      <xdr:spPr>
        <a:xfrm>
          <a:off x="3409950" y="895350"/>
          <a:ext cx="122674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a:solidFill>
                <a:schemeClr val="bg1">
                  <a:lumMod val="50000"/>
                </a:schemeClr>
              </a:solidFill>
            </a:rPr>
            <a:t>Plus de deux incidents</a:t>
          </a:r>
        </a:p>
      </xdr:txBody>
    </xdr:sp>
    <xdr:clientData/>
  </xdr:oneCellAnchor>
  <xdr:twoCellAnchor>
    <xdr:from>
      <xdr:col>0</xdr:col>
      <xdr:colOff>0</xdr:colOff>
      <xdr:row>9</xdr:row>
      <xdr:rowOff>0</xdr:rowOff>
    </xdr:from>
    <xdr:to>
      <xdr:col>4</xdr:col>
      <xdr:colOff>533399</xdr:colOff>
      <xdr:row>20</xdr:row>
      <xdr:rowOff>76200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600075</xdr:colOff>
      <xdr:row>1</xdr:row>
      <xdr:rowOff>28575</xdr:rowOff>
    </xdr:from>
    <xdr:ext cx="1827167" cy="233205"/>
    <xdr:sp macro="" textlink="">
      <xdr:nvSpPr>
        <xdr:cNvPr id="3" name="ZoneTexte 2"/>
        <xdr:cNvSpPr txBox="1"/>
      </xdr:nvSpPr>
      <xdr:spPr>
        <a:xfrm>
          <a:off x="600075" y="257175"/>
          <a:ext cx="18271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a:solidFill>
                <a:schemeClr val="bg1">
                  <a:lumMod val="50000"/>
                </a:schemeClr>
              </a:solidFill>
            </a:rPr>
            <a:t>Fréquence</a:t>
          </a:r>
          <a:r>
            <a:rPr lang="fr-FR" sz="900" baseline="0">
              <a:solidFill>
                <a:schemeClr val="bg1">
                  <a:lumMod val="50000"/>
                </a:schemeClr>
              </a:solidFill>
            </a:rPr>
            <a:t> des violences physiques</a:t>
          </a:r>
          <a:endParaRPr lang="fr-FR" sz="900">
            <a:solidFill>
              <a:schemeClr val="bg1">
                <a:lumMod val="50000"/>
              </a:schemeClr>
            </a:solidFill>
          </a:endParaRPr>
        </a:p>
      </xdr:txBody>
    </xdr:sp>
    <xdr:clientData/>
  </xdr:oneCellAnchor>
  <xdr:oneCellAnchor>
    <xdr:from>
      <xdr:col>0</xdr:col>
      <xdr:colOff>619125</xdr:colOff>
      <xdr:row>9</xdr:row>
      <xdr:rowOff>9525</xdr:rowOff>
    </xdr:from>
    <xdr:ext cx="1784335" cy="233205"/>
    <xdr:sp macro="" textlink="">
      <xdr:nvSpPr>
        <xdr:cNvPr id="8" name="ZoneTexte 7"/>
        <xdr:cNvSpPr txBox="1"/>
      </xdr:nvSpPr>
      <xdr:spPr>
        <a:xfrm>
          <a:off x="619125" y="1914525"/>
          <a:ext cx="178433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a:solidFill>
                <a:schemeClr val="bg1">
                  <a:lumMod val="50000"/>
                </a:schemeClr>
              </a:solidFill>
            </a:rPr>
            <a:t>Fréquence</a:t>
          </a:r>
          <a:r>
            <a:rPr lang="fr-FR" sz="900" baseline="0">
              <a:solidFill>
                <a:schemeClr val="bg1">
                  <a:lumMod val="50000"/>
                </a:schemeClr>
              </a:solidFill>
            </a:rPr>
            <a:t> des violences sexuelles</a:t>
          </a:r>
          <a:endParaRPr lang="fr-FR" sz="900">
            <a:solidFill>
              <a:schemeClr val="bg1">
                <a:lumMod val="50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133350</xdr:rowOff>
    </xdr:from>
    <xdr:to>
      <xdr:col>1</xdr:col>
      <xdr:colOff>590550</xdr:colOff>
      <xdr:row>10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xdr:row>
      <xdr:rowOff>76200</xdr:rowOff>
    </xdr:from>
    <xdr:to>
      <xdr:col>1</xdr:col>
      <xdr:colOff>266700</xdr:colOff>
      <xdr:row>9</xdr:row>
      <xdr:rowOff>123825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1</xdr:row>
      <xdr:rowOff>114300</xdr:rowOff>
    </xdr:from>
    <xdr:ext cx="1771650" cy="233205"/>
    <xdr:sp macro="" textlink="">
      <xdr:nvSpPr>
        <xdr:cNvPr id="5" name="ZoneTexte 4"/>
        <xdr:cNvSpPr txBox="1"/>
      </xdr:nvSpPr>
      <xdr:spPr>
        <a:xfrm>
          <a:off x="0" y="342900"/>
          <a:ext cx="17716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900" b="1">
              <a:solidFill>
                <a:schemeClr val="bg1">
                  <a:lumMod val="50000"/>
                </a:schemeClr>
              </a:solidFill>
            </a:rPr>
            <a:t>Auteur</a:t>
          </a:r>
          <a:r>
            <a:rPr lang="fr-FR" sz="900" b="1" baseline="0">
              <a:solidFill>
                <a:schemeClr val="bg1">
                  <a:lumMod val="50000"/>
                </a:schemeClr>
              </a:solidFill>
            </a:rPr>
            <a:t> des violences physiques</a:t>
          </a:r>
          <a:endParaRPr lang="fr-FR" sz="900" b="1">
            <a:solidFill>
              <a:schemeClr val="bg1">
                <a:lumMod val="50000"/>
              </a:schemeClr>
            </a:solidFill>
          </a:endParaRPr>
        </a:p>
      </xdr:txBody>
    </xdr:sp>
    <xdr:clientData/>
  </xdr:oneCellAnchor>
  <xdr:twoCellAnchor>
    <xdr:from>
      <xdr:col>0</xdr:col>
      <xdr:colOff>3543300</xdr:colOff>
      <xdr:row>1</xdr:row>
      <xdr:rowOff>123825</xdr:rowOff>
    </xdr:from>
    <xdr:to>
      <xdr:col>2</xdr:col>
      <xdr:colOff>504825</xdr:colOff>
      <xdr:row>2</xdr:row>
      <xdr:rowOff>128430</xdr:rowOff>
    </xdr:to>
    <xdr:sp macro="" textlink="">
      <xdr:nvSpPr>
        <xdr:cNvPr id="6" name="ZoneTexte 4"/>
        <xdr:cNvSpPr txBox="1"/>
      </xdr:nvSpPr>
      <xdr:spPr>
        <a:xfrm>
          <a:off x="3543300" y="352425"/>
          <a:ext cx="1771650" cy="23320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fr-FR" sz="900" b="1">
              <a:solidFill>
                <a:schemeClr val="bg1">
                  <a:lumMod val="50000"/>
                </a:schemeClr>
              </a:solidFill>
            </a:rPr>
            <a:t>Auteur des violences sexuelles</a:t>
          </a:r>
        </a:p>
      </xdr:txBody>
    </xdr:sp>
    <xdr:clientData/>
  </xdr:twoCellAnchor>
  <xdr:twoCellAnchor>
    <xdr:from>
      <xdr:col>0</xdr:col>
      <xdr:colOff>3552825</xdr:colOff>
      <xdr:row>1</xdr:row>
      <xdr:rowOff>114300</xdr:rowOff>
    </xdr:from>
    <xdr:to>
      <xdr:col>2</xdr:col>
      <xdr:colOff>695325</xdr:colOff>
      <xdr:row>9</xdr:row>
      <xdr:rowOff>180975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28574</xdr:colOff>
      <xdr:row>1</xdr:row>
      <xdr:rowOff>47625</xdr:rowOff>
    </xdr:from>
    <xdr:to>
      <xdr:col>4</xdr:col>
      <xdr:colOff>647699</xdr:colOff>
      <xdr:row>13</xdr:row>
      <xdr:rowOff>171450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409575</xdr:colOff>
      <xdr:row>1</xdr:row>
      <xdr:rowOff>76200</xdr:rowOff>
    </xdr:from>
    <xdr:to>
      <xdr:col>3</xdr:col>
      <xdr:colOff>432476</xdr:colOff>
      <xdr:row>3</xdr:row>
      <xdr:rowOff>116357</xdr:rowOff>
    </xdr:to>
    <xdr:sp macro="" textlink="">
      <xdr:nvSpPr>
        <xdr:cNvPr id="5" name="ZoneTexte 1"/>
        <xdr:cNvSpPr txBox="1"/>
      </xdr:nvSpPr>
      <xdr:spPr>
        <a:xfrm>
          <a:off x="409575" y="304800"/>
          <a:ext cx="2347001" cy="42115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fr-FR" sz="900" b="1">
              <a:solidFill>
                <a:schemeClr val="bg1">
                  <a:lumMod val="50000"/>
                </a:schemeClr>
              </a:solidFill>
            </a:rPr>
            <a:t> «</a:t>
          </a:r>
          <a:r>
            <a:rPr lang="fr-FR" sz="900" b="1" baseline="0">
              <a:solidFill>
                <a:schemeClr val="bg1">
                  <a:lumMod val="50000"/>
                </a:schemeClr>
              </a:solidFill>
            </a:rPr>
            <a:t> </a:t>
          </a:r>
          <a:r>
            <a:rPr lang="fr-FR" sz="900" b="1">
              <a:solidFill>
                <a:schemeClr val="bg1">
                  <a:lumMod val="50000"/>
                </a:schemeClr>
              </a:solidFill>
            </a:rPr>
            <a:t>Comment qualifieriez-vous les dommages psychologiques causés par ces incidents ? »</a:t>
          </a:r>
        </a:p>
      </xdr:txBody>
    </xdr:sp>
    <xdr:clientData/>
  </xdr:twoCellAnchor>
  <xdr:twoCellAnchor>
    <xdr:from>
      <xdr:col>5</xdr:col>
      <xdr:colOff>57149</xdr:colOff>
      <xdr:row>1</xdr:row>
      <xdr:rowOff>38100</xdr:rowOff>
    </xdr:from>
    <xdr:to>
      <xdr:col>8</xdr:col>
      <xdr:colOff>419100</xdr:colOff>
      <xdr:row>3</xdr:row>
      <xdr:rowOff>171450</xdr:rowOff>
    </xdr:to>
    <xdr:sp macro="" textlink="">
      <xdr:nvSpPr>
        <xdr:cNvPr id="6" name="ZoneTexte 1"/>
        <xdr:cNvSpPr txBox="1"/>
      </xdr:nvSpPr>
      <xdr:spPr>
        <a:xfrm>
          <a:off x="3905249" y="266700"/>
          <a:ext cx="2647951" cy="5143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fr-FR" sz="900" b="1">
              <a:solidFill>
                <a:schemeClr val="bg1">
                  <a:lumMod val="50000"/>
                </a:schemeClr>
              </a:solidFill>
            </a:rPr>
            <a:t> «</a:t>
          </a:r>
          <a:r>
            <a:rPr lang="fr-FR" sz="900" b="1" baseline="0">
              <a:solidFill>
                <a:schemeClr val="bg1">
                  <a:lumMod val="50000"/>
                </a:schemeClr>
              </a:solidFill>
            </a:rPr>
            <a:t> </a:t>
          </a:r>
          <a:r>
            <a:rPr lang="fr-FR" sz="900" b="1">
              <a:solidFill>
                <a:schemeClr val="bg1">
                  <a:lumMod val="50000"/>
                </a:schemeClr>
              </a:solidFill>
            </a:rPr>
            <a:t>Ces incidents</a:t>
          </a:r>
          <a:r>
            <a:rPr lang="fr-FR" sz="900" b="1" baseline="0">
              <a:solidFill>
                <a:schemeClr val="bg1">
                  <a:lumMod val="50000"/>
                </a:schemeClr>
              </a:solidFill>
            </a:rPr>
            <a:t> ont-ils entraîné des conséquences, des perturbations, dans votre vie quotidienne et notamment dans vos études ou votre travail </a:t>
          </a:r>
          <a:r>
            <a:rPr lang="fr-FR" sz="900" b="1">
              <a:solidFill>
                <a:schemeClr val="bg1">
                  <a:lumMod val="50000"/>
                </a:schemeClr>
              </a:solidFill>
            </a:rPr>
            <a:t>? »</a:t>
          </a:r>
        </a:p>
      </xdr:txBody>
    </xdr:sp>
    <xdr:clientData/>
  </xdr:twoCellAnchor>
  <xdr:twoCellAnchor>
    <xdr:from>
      <xdr:col>4</xdr:col>
      <xdr:colOff>704850</xdr:colOff>
      <xdr:row>1</xdr:row>
      <xdr:rowOff>95250</xdr:rowOff>
    </xdr:from>
    <xdr:to>
      <xdr:col>9</xdr:col>
      <xdr:colOff>600075</xdr:colOff>
      <xdr:row>14</xdr:row>
      <xdr:rowOff>28575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66676</xdr:colOff>
      <xdr:row>0</xdr:row>
      <xdr:rowOff>219075</xdr:rowOff>
    </xdr:from>
    <xdr:to>
      <xdr:col>6</xdr:col>
      <xdr:colOff>752475</xdr:colOff>
      <xdr:row>13</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695326</xdr:colOff>
      <xdr:row>1</xdr:row>
      <xdr:rowOff>57151</xdr:rowOff>
    </xdr:from>
    <xdr:to>
      <xdr:col>8</xdr:col>
      <xdr:colOff>638176</xdr:colOff>
      <xdr:row>13</xdr:row>
      <xdr:rowOff>76201</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0.0018</cdr:x>
      <cdr:y>0.06209</cdr:y>
    </cdr:from>
    <cdr:to>
      <cdr:x>0.66007</cdr:x>
      <cdr:y>0.16667</cdr:y>
    </cdr:to>
    <cdr:sp macro="" textlink="">
      <cdr:nvSpPr>
        <cdr:cNvPr id="2" name="ZoneTexte 1"/>
        <cdr:cNvSpPr txBox="1"/>
      </cdr:nvSpPr>
      <cdr:spPr>
        <a:xfrm xmlns:a="http://schemas.openxmlformats.org/drawingml/2006/main">
          <a:off x="9524" y="180975"/>
          <a:ext cx="3486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900" b="1">
              <a:solidFill>
                <a:schemeClr val="bg1">
                  <a:lumMod val="50000"/>
                </a:schemeClr>
              </a:solidFill>
            </a:rPr>
            <a:t>A la suite de l'incident ou des incidents, la victime au moins une fois...</a:t>
          </a:r>
        </a:p>
      </cdr:txBody>
    </cdr:sp>
  </cdr:relSizeAnchor>
</c:userShapes>
</file>

<file path=xl/drawings/drawing7.xml><?xml version="1.0" encoding="utf-8"?>
<c:userShapes xmlns:c="http://schemas.openxmlformats.org/drawingml/2006/chart">
  <cdr:relSizeAnchor xmlns:cdr="http://schemas.openxmlformats.org/drawingml/2006/chartDrawing">
    <cdr:from>
      <cdr:x>0.18272</cdr:x>
      <cdr:y>0.01381</cdr:y>
    </cdr:from>
    <cdr:to>
      <cdr:x>0.91694</cdr:x>
      <cdr:y>0.1921</cdr:y>
    </cdr:to>
    <cdr:sp macro="" textlink="">
      <cdr:nvSpPr>
        <cdr:cNvPr id="2" name="ZoneTexte 1"/>
        <cdr:cNvSpPr txBox="1"/>
      </cdr:nvSpPr>
      <cdr:spPr>
        <a:xfrm xmlns:a="http://schemas.openxmlformats.org/drawingml/2006/main">
          <a:off x="523877" y="31823"/>
          <a:ext cx="2105024" cy="410979"/>
        </a:xfrm>
        <a:prstGeom xmlns:a="http://schemas.openxmlformats.org/drawingml/2006/main" prst="rect">
          <a:avLst/>
        </a:prstGeom>
      </cdr:spPr>
      <cdr:txBody>
        <a:bodyPr xmlns:a="http://schemas.openxmlformats.org/drawingml/2006/main" vertOverflow="clip" horzOverflow="clip"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solidFill>
                <a:schemeClr val="bg1">
                  <a:lumMod val="50000"/>
                </a:schemeClr>
              </a:solidFill>
            </a:rPr>
            <a:t> Proportion de victimes ayant</a:t>
          </a:r>
          <a:r>
            <a:rPr lang="fr-FR" sz="900" b="1" baseline="0">
              <a:solidFill>
                <a:schemeClr val="bg1">
                  <a:lumMod val="50000"/>
                </a:schemeClr>
              </a:solidFill>
            </a:rPr>
            <a:t> effectué au moins une démarche</a:t>
          </a:r>
          <a:endParaRPr lang="fr-FR" sz="900" b="1">
            <a:solidFill>
              <a:schemeClr val="bg1">
                <a:lumMod val="50000"/>
              </a:schemeClr>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4</xdr:col>
      <xdr:colOff>590550</xdr:colOff>
      <xdr:row>13</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628650</xdr:colOff>
      <xdr:row>3</xdr:row>
      <xdr:rowOff>61912</xdr:rowOff>
    </xdr:from>
    <xdr:to>
      <xdr:col>7</xdr:col>
      <xdr:colOff>152400</xdr:colOff>
      <xdr:row>12</xdr:row>
      <xdr:rowOff>161925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52386</xdr:colOff>
      <xdr:row>0</xdr:row>
      <xdr:rowOff>400050</xdr:rowOff>
    </xdr:from>
    <xdr:to>
      <xdr:col>7</xdr:col>
      <xdr:colOff>619125</xdr:colOff>
      <xdr:row>13</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85725</xdr:colOff>
      <xdr:row>1</xdr:row>
      <xdr:rowOff>133349</xdr:rowOff>
    </xdr:from>
    <xdr:to>
      <xdr:col>3</xdr:col>
      <xdr:colOff>142874</xdr:colOff>
      <xdr:row>14</xdr:row>
      <xdr:rowOff>38100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704851</xdr:colOff>
      <xdr:row>0</xdr:row>
      <xdr:rowOff>581024</xdr:rowOff>
    </xdr:from>
    <xdr:to>
      <xdr:col>8</xdr:col>
      <xdr:colOff>28575</xdr:colOff>
      <xdr:row>10</xdr:row>
      <xdr:rowOff>76200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447675</xdr:colOff>
      <xdr:row>10</xdr:row>
      <xdr:rowOff>9526</xdr:rowOff>
    </xdr:from>
    <xdr:to>
      <xdr:col>8</xdr:col>
      <xdr:colOff>114300</xdr:colOff>
      <xdr:row>15</xdr:row>
      <xdr:rowOff>66676</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0.49473</cdr:x>
      <cdr:y>0.00533</cdr:y>
    </cdr:from>
    <cdr:to>
      <cdr:x>0.70103</cdr:x>
      <cdr:y>0.11823</cdr:y>
    </cdr:to>
    <cdr:sp macro="" textlink="">
      <cdr:nvSpPr>
        <cdr:cNvPr id="3" name="ZoneTexte 1"/>
        <cdr:cNvSpPr txBox="1"/>
      </cdr:nvSpPr>
      <cdr:spPr>
        <a:xfrm xmlns:a="http://schemas.openxmlformats.org/drawingml/2006/main">
          <a:off x="1489075" y="12700"/>
          <a:ext cx="620942" cy="268844"/>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ZEAT</a:t>
          </a:r>
        </a:p>
      </cdr:txBody>
    </cdr:sp>
  </cdr:relSizeAnchor>
</c:userShapes>
</file>

<file path=xl/drawings/drawing11.xml><?xml version="1.0" encoding="utf-8"?>
<c:userShapes xmlns:c="http://schemas.openxmlformats.org/drawingml/2006/chart">
  <cdr:relSizeAnchor xmlns:cdr="http://schemas.openxmlformats.org/drawingml/2006/chartDrawing">
    <cdr:from>
      <cdr:x>0.43172</cdr:x>
      <cdr:y>0.03461</cdr:y>
    </cdr:from>
    <cdr:to>
      <cdr:x>0.82516</cdr:x>
      <cdr:y>0.14883</cdr:y>
    </cdr:to>
    <cdr:sp macro="" textlink="">
      <cdr:nvSpPr>
        <cdr:cNvPr id="3" name="ZoneTexte 1"/>
        <cdr:cNvSpPr txBox="1"/>
      </cdr:nvSpPr>
      <cdr:spPr>
        <a:xfrm xmlns:a="http://schemas.openxmlformats.org/drawingml/2006/main">
          <a:off x="1579059" y="63963"/>
          <a:ext cx="1439045" cy="211061"/>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Taille d'unité</a:t>
          </a:r>
          <a:r>
            <a:rPr lang="fr-FR" sz="1000" b="1" baseline="0">
              <a:solidFill>
                <a:schemeClr val="tx1">
                  <a:lumMod val="50000"/>
                  <a:lumOff val="50000"/>
                </a:schemeClr>
              </a:solidFill>
            </a:rPr>
            <a:t> urbaine </a:t>
          </a:r>
          <a:endParaRPr lang="fr-FR" sz="1000" b="1">
            <a:solidFill>
              <a:schemeClr val="tx1">
                <a:lumMod val="50000"/>
                <a:lumOff val="50000"/>
              </a:schemeClr>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0.27449</cdr:x>
      <cdr:y>0</cdr:y>
    </cdr:from>
    <cdr:to>
      <cdr:x>0.8408</cdr:x>
      <cdr:y>0.20297</cdr:y>
    </cdr:to>
    <cdr:sp macro="" textlink="">
      <cdr:nvSpPr>
        <cdr:cNvPr id="3" name="ZoneTexte 1"/>
        <cdr:cNvSpPr txBox="1"/>
      </cdr:nvSpPr>
      <cdr:spPr>
        <a:xfrm xmlns:a="http://schemas.openxmlformats.org/drawingml/2006/main">
          <a:off x="954306" y="0"/>
          <a:ext cx="1968847" cy="204929"/>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Appartenance à une ZUS</a:t>
          </a:r>
        </a:p>
      </cdr:txBody>
    </cdr:sp>
  </cdr:relSizeAnchor>
</c:userShapes>
</file>

<file path=xl/drawings/drawing13.xml><?xml version="1.0" encoding="utf-8"?>
<xdr:wsDr xmlns:xdr="http://schemas.openxmlformats.org/drawingml/2006/spreadsheetDrawing" xmlns:a="http://schemas.openxmlformats.org/drawingml/2006/main">
  <xdr:twoCellAnchor>
    <xdr:from>
      <xdr:col>3</xdr:col>
      <xdr:colOff>609600</xdr:colOff>
      <xdr:row>1</xdr:row>
      <xdr:rowOff>47625</xdr:rowOff>
    </xdr:from>
    <xdr:to>
      <xdr:col>4</xdr:col>
      <xdr:colOff>3381375</xdr:colOff>
      <xdr:row>10</xdr:row>
      <xdr:rowOff>104775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5</xdr:row>
      <xdr:rowOff>133349</xdr:rowOff>
    </xdr:from>
    <xdr:to>
      <xdr:col>4</xdr:col>
      <xdr:colOff>209550</xdr:colOff>
      <xdr:row>21</xdr:row>
      <xdr:rowOff>180974</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11</xdr:row>
      <xdr:rowOff>47626</xdr:rowOff>
    </xdr:from>
    <xdr:to>
      <xdr:col>4</xdr:col>
      <xdr:colOff>3371850</xdr:colOff>
      <xdr:row>22</xdr:row>
      <xdr:rowOff>28576</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238126</xdr:colOff>
      <xdr:row>13</xdr:row>
      <xdr:rowOff>152399</xdr:rowOff>
    </xdr:from>
    <xdr:to>
      <xdr:col>4</xdr:col>
      <xdr:colOff>2771775</xdr:colOff>
      <xdr:row>15</xdr:row>
      <xdr:rowOff>180975</xdr:rowOff>
    </xdr:to>
    <xdr:sp macro="" textlink="">
      <xdr:nvSpPr>
        <xdr:cNvPr id="7" name="ZoneTexte 1"/>
        <xdr:cNvSpPr txBox="1"/>
      </xdr:nvSpPr>
      <xdr:spPr>
        <a:xfrm>
          <a:off x="4105276" y="2924174"/>
          <a:ext cx="2533649" cy="409576"/>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fr-FR" sz="1000" b="1" baseline="0">
              <a:solidFill>
                <a:schemeClr val="tx1">
                  <a:lumMod val="50000"/>
                  <a:lumOff val="50000"/>
                </a:schemeClr>
              </a:solidFill>
            </a:rPr>
            <a:t>Personnes dont le ménage se situe parmi les 25% de ménages aux revenus...</a:t>
          </a:r>
          <a:endParaRPr lang="fr-FR" sz="1000" b="1">
            <a:solidFill>
              <a:schemeClr val="tx1">
                <a:lumMod val="50000"/>
                <a:lumOff val="50000"/>
              </a:schemeClr>
            </a:solidFill>
          </a:endParaRPr>
        </a:p>
      </xdr:txBody>
    </xdr:sp>
    <xdr:clientData/>
  </xdr:twoCellAnchor>
  <xdr:twoCellAnchor>
    <xdr:from>
      <xdr:col>1</xdr:col>
      <xdr:colOff>200025</xdr:colOff>
      <xdr:row>1</xdr:row>
      <xdr:rowOff>66675</xdr:rowOff>
    </xdr:from>
    <xdr:to>
      <xdr:col>4</xdr:col>
      <xdr:colOff>238125</xdr:colOff>
      <xdr:row>6</xdr:row>
      <xdr:rowOff>123825</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0.27224</cdr:x>
      <cdr:y>0.02484</cdr:y>
    </cdr:from>
    <cdr:to>
      <cdr:x>1</cdr:x>
      <cdr:y>0.14012</cdr:y>
    </cdr:to>
    <cdr:sp macro="" textlink="">
      <cdr:nvSpPr>
        <cdr:cNvPr id="2" name="ZoneTexte 1"/>
        <cdr:cNvSpPr txBox="1"/>
      </cdr:nvSpPr>
      <cdr:spPr>
        <a:xfrm xmlns:a="http://schemas.openxmlformats.org/drawingml/2006/main">
          <a:off x="962025" y="55372"/>
          <a:ext cx="2571750" cy="256941"/>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Âge </a:t>
          </a:r>
          <a:endParaRPr lang="fr-FR" sz="1000" b="1">
            <a:solidFill>
              <a:schemeClr val="tx1">
                <a:lumMod val="50000"/>
                <a:lumOff val="50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0.10094</cdr:x>
      <cdr:y>0.07752</cdr:y>
    </cdr:from>
    <cdr:to>
      <cdr:x>0.96089</cdr:x>
      <cdr:y>0.15077</cdr:y>
    </cdr:to>
    <cdr:sp macro="" textlink="">
      <cdr:nvSpPr>
        <cdr:cNvPr id="2" name="ZoneTexte 1"/>
        <cdr:cNvSpPr txBox="1"/>
      </cdr:nvSpPr>
      <cdr:spPr>
        <a:xfrm xmlns:a="http://schemas.openxmlformats.org/drawingml/2006/main">
          <a:off x="409562" y="239974"/>
          <a:ext cx="3489377" cy="226752"/>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Catégorie socio-professionnelle </a:t>
          </a:r>
          <a:endParaRPr lang="fr-FR" sz="1000" b="1">
            <a:solidFill>
              <a:schemeClr val="tx1">
                <a:lumMod val="50000"/>
                <a:lumOff val="50000"/>
              </a:scheme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0.40431</cdr:x>
      <cdr:y>0.02563</cdr:y>
    </cdr:from>
    <cdr:to>
      <cdr:x>0.86523</cdr:x>
      <cdr:y>0.21132</cdr:y>
    </cdr:to>
    <cdr:sp macro="" textlink="">
      <cdr:nvSpPr>
        <cdr:cNvPr id="2" name="ZoneTexte 1"/>
        <cdr:cNvSpPr txBox="1"/>
      </cdr:nvSpPr>
      <cdr:spPr>
        <a:xfrm xmlns:a="http://schemas.openxmlformats.org/drawingml/2006/main">
          <a:off x="1428739" y="53222"/>
          <a:ext cx="1628788" cy="38557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Quartiles de revenu par unité de consommation</a:t>
          </a:r>
          <a:r>
            <a:rPr lang="fr-FR" sz="1000" b="1" baseline="30000">
              <a:solidFill>
                <a:schemeClr val="tx1">
                  <a:lumMod val="50000"/>
                  <a:lumOff val="50000"/>
                </a:schemeClr>
              </a:solidFill>
            </a:rPr>
            <a:t>2</a:t>
          </a:r>
          <a:r>
            <a:rPr lang="fr-FR" sz="1100" b="0" baseline="0">
              <a:solidFill>
                <a:sysClr val="windowText" lastClr="000000"/>
              </a:solidFill>
            </a:rPr>
            <a:t> </a:t>
          </a:r>
          <a:endParaRPr lang="fr-FR" sz="1000" b="1">
            <a:solidFill>
              <a:schemeClr val="tx1">
                <a:lumMod val="50000"/>
                <a:lumOff val="50000"/>
              </a:schemeClr>
            </a:solidFill>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0.44709</cdr:x>
      <cdr:y>0</cdr:y>
    </cdr:from>
    <cdr:to>
      <cdr:x>0.57534</cdr:x>
      <cdr:y>0.25472</cdr:y>
    </cdr:to>
    <cdr:sp macro="" textlink="">
      <cdr:nvSpPr>
        <cdr:cNvPr id="3" name="ZoneTexte 1"/>
        <cdr:cNvSpPr txBox="1"/>
      </cdr:nvSpPr>
      <cdr:spPr>
        <a:xfrm xmlns:a="http://schemas.openxmlformats.org/drawingml/2006/main">
          <a:off x="1554381" y="0"/>
          <a:ext cx="445869" cy="257175"/>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b="1">
              <a:solidFill>
                <a:schemeClr val="tx1">
                  <a:lumMod val="50000"/>
                  <a:lumOff val="50000"/>
                </a:schemeClr>
              </a:solidFill>
            </a:rPr>
            <a:t>Sexe</a:t>
          </a: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C16"/>
  <sheetViews>
    <sheetView workbookViewId="0">
      <selection activeCell="G13" sqref="G13"/>
    </sheetView>
  </sheetViews>
  <sheetFormatPr baseColWidth="10" defaultRowHeight="15" customHeight="1" x14ac:dyDescent="0.25"/>
  <cols>
    <col min="1" max="1" width="59" customWidth="1"/>
    <col min="2" max="2" width="21.85546875" customWidth="1"/>
    <col min="3" max="3" width="22.85546875" customWidth="1"/>
  </cols>
  <sheetData>
    <row r="1" spans="1:3" ht="18" customHeight="1" x14ac:dyDescent="0.25">
      <c r="A1" s="46" t="s">
        <v>62</v>
      </c>
      <c r="B1" s="3"/>
      <c r="C1" s="3"/>
    </row>
    <row r="2" spans="1:3" s="43" customFormat="1" ht="18" customHeight="1" thickBot="1" x14ac:dyDescent="0.4">
      <c r="A2" s="63"/>
      <c r="B2" s="74" t="s">
        <v>98</v>
      </c>
      <c r="C2" s="74"/>
    </row>
    <row r="3" spans="1:3" ht="32.25" customHeight="1" x14ac:dyDescent="0.25">
      <c r="A3" s="5"/>
      <c r="B3" s="51" t="s">
        <v>99</v>
      </c>
      <c r="C3" s="51" t="s">
        <v>100</v>
      </c>
    </row>
    <row r="4" spans="1:3" s="43" customFormat="1" ht="5.25" customHeight="1" x14ac:dyDescent="0.25">
      <c r="A4" s="57"/>
      <c r="B4" s="10"/>
      <c r="C4" s="10"/>
    </row>
    <row r="5" spans="1:3" s="43" customFormat="1" ht="15" customHeight="1" x14ac:dyDescent="0.25">
      <c r="A5" s="67" t="s">
        <v>58</v>
      </c>
      <c r="B5" s="68">
        <v>342000</v>
      </c>
      <c r="C5" s="68">
        <v>330000</v>
      </c>
    </row>
    <row r="6" spans="1:3" s="43" customFormat="1" ht="15" customHeight="1" x14ac:dyDescent="0.25">
      <c r="A6" s="67" t="s">
        <v>115</v>
      </c>
      <c r="B6" s="68">
        <v>83000</v>
      </c>
      <c r="C6" s="68">
        <v>56000</v>
      </c>
    </row>
    <row r="7" spans="1:3" ht="15" customHeight="1" x14ac:dyDescent="0.25">
      <c r="A7" s="25" t="s">
        <v>59</v>
      </c>
      <c r="B7" s="30">
        <v>425000</v>
      </c>
      <c r="C7" s="30">
        <v>386000</v>
      </c>
    </row>
    <row r="8" spans="1:3" s="43" customFormat="1" ht="15" customHeight="1" x14ac:dyDescent="0.25">
      <c r="A8" s="24" t="s">
        <v>60</v>
      </c>
      <c r="B8" s="50">
        <v>0.98541909432698993</v>
      </c>
      <c r="C8" s="50">
        <v>0.88475172467189389</v>
      </c>
    </row>
    <row r="9" spans="1:3" ht="15" customHeight="1" x14ac:dyDescent="0.25">
      <c r="A9" s="24" t="s">
        <v>41</v>
      </c>
      <c r="B9" s="28">
        <f>100*0.7</f>
        <v>70</v>
      </c>
      <c r="C9" s="29">
        <f>100*0.667895777230216</f>
        <v>66.789577723021594</v>
      </c>
    </row>
    <row r="10" spans="1:3" s="43" customFormat="1" ht="15" customHeight="1" x14ac:dyDescent="0.25">
      <c r="A10" s="24" t="s">
        <v>48</v>
      </c>
      <c r="B10" s="28">
        <f>100*0.315093491099901</f>
        <v>31.509349109990097</v>
      </c>
      <c r="C10" s="29">
        <f>100*0.315708426981087</f>
        <v>31.570842698108699</v>
      </c>
    </row>
    <row r="11" spans="1:3" ht="15" customHeight="1" x14ac:dyDescent="0.25">
      <c r="A11" s="6" t="s">
        <v>63</v>
      </c>
      <c r="B11" s="3"/>
      <c r="C11" s="3"/>
    </row>
    <row r="12" spans="1:3" ht="15" customHeight="1" x14ac:dyDescent="0.25">
      <c r="A12" s="9" t="s">
        <v>50</v>
      </c>
      <c r="B12" s="58"/>
      <c r="C12" s="58"/>
    </row>
    <row r="13" spans="1:3" ht="54" customHeight="1" x14ac:dyDescent="0.25">
      <c r="A13" s="71" t="s">
        <v>64</v>
      </c>
      <c r="B13" s="71"/>
      <c r="C13" s="71"/>
    </row>
    <row r="14" spans="1:3" ht="28.5" customHeight="1" x14ac:dyDescent="0.3">
      <c r="A14" s="72" t="s">
        <v>61</v>
      </c>
      <c r="B14" s="73"/>
      <c r="C14" s="73"/>
    </row>
    <row r="16" spans="1:3" ht="15" customHeight="1" x14ac:dyDescent="0.25">
      <c r="B16" s="69"/>
      <c r="C16" s="69"/>
    </row>
  </sheetData>
  <mergeCells count="3">
    <mergeCell ref="A13:C13"/>
    <mergeCell ref="A14:C14"/>
    <mergeCell ref="B2:C2"/>
  </mergeCells>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A31" sqref="A31"/>
    </sheetView>
  </sheetViews>
  <sheetFormatPr baseColWidth="10" defaultRowHeight="15" x14ac:dyDescent="0.25"/>
  <cols>
    <col min="1" max="1" width="60.7109375" customWidth="1"/>
  </cols>
  <sheetData>
    <row r="1" spans="1:9" ht="18" x14ac:dyDescent="0.25">
      <c r="A1" s="75" t="s">
        <v>69</v>
      </c>
      <c r="B1" s="75"/>
    </row>
    <row r="2" spans="1:9" s="43" customFormat="1" ht="18" x14ac:dyDescent="0.25">
      <c r="A2" s="49"/>
      <c r="B2" s="49"/>
    </row>
    <row r="3" spans="1:9" ht="21" x14ac:dyDescent="0.25">
      <c r="A3" s="11"/>
      <c r="B3" s="11"/>
      <c r="D3" s="2"/>
      <c r="E3" s="2"/>
      <c r="F3" s="2"/>
      <c r="G3" s="2"/>
      <c r="H3" s="2"/>
      <c r="I3" s="2"/>
    </row>
    <row r="4" spans="1:9" x14ac:dyDescent="0.25">
      <c r="A4" s="3"/>
      <c r="B4" s="3"/>
    </row>
    <row r="5" spans="1:9" x14ac:dyDescent="0.25">
      <c r="A5" s="3"/>
      <c r="B5" s="3"/>
    </row>
    <row r="6" spans="1:9" x14ac:dyDescent="0.25">
      <c r="A6" s="3"/>
      <c r="B6" s="3"/>
    </row>
    <row r="7" spans="1:9" x14ac:dyDescent="0.25">
      <c r="A7" s="3"/>
      <c r="B7" s="3"/>
    </row>
    <row r="8" spans="1:9" x14ac:dyDescent="0.25">
      <c r="A8" s="3"/>
      <c r="B8" s="3"/>
    </row>
    <row r="9" spans="1:9" s="43" customFormat="1" x14ac:dyDescent="0.25">
      <c r="A9" s="3"/>
      <c r="B9" s="3"/>
    </row>
    <row r="10" spans="1:9" x14ac:dyDescent="0.25">
      <c r="A10" s="3"/>
      <c r="B10" s="3"/>
    </row>
    <row r="11" spans="1:9" x14ac:dyDescent="0.25">
      <c r="A11" s="6" t="s">
        <v>53</v>
      </c>
      <c r="B11" s="8"/>
    </row>
    <row r="12" spans="1:9" x14ac:dyDescent="0.25">
      <c r="A12" s="9" t="s">
        <v>42</v>
      </c>
      <c r="B12" s="8"/>
    </row>
    <row r="13" spans="1:9" ht="30.75" customHeight="1" x14ac:dyDescent="0.25">
      <c r="A13" s="71" t="s">
        <v>68</v>
      </c>
      <c r="B13" s="71"/>
    </row>
    <row r="18" spans="1:2" x14ac:dyDescent="0.25">
      <c r="A18" s="1" t="s">
        <v>65</v>
      </c>
      <c r="B18" s="31">
        <v>0.85</v>
      </c>
    </row>
    <row r="19" spans="1:2" x14ac:dyDescent="0.25">
      <c r="A19" s="1" t="s">
        <v>66</v>
      </c>
      <c r="B19" s="31">
        <v>0.05</v>
      </c>
    </row>
    <row r="20" spans="1:2" x14ac:dyDescent="0.25">
      <c r="A20" s="1" t="s">
        <v>67</v>
      </c>
      <c r="B20" s="31">
        <v>0.1</v>
      </c>
    </row>
  </sheetData>
  <mergeCells count="2">
    <mergeCell ref="A1:B1"/>
    <mergeCell ref="A13:B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G27" sqref="G27"/>
    </sheetView>
  </sheetViews>
  <sheetFormatPr baseColWidth="10" defaultRowHeight="15" x14ac:dyDescent="0.25"/>
  <cols>
    <col min="1" max="1" width="44.140625" style="43" customWidth="1"/>
    <col min="2" max="16384" width="11.42578125" style="43"/>
  </cols>
  <sheetData>
    <row r="1" spans="1:5" ht="18" customHeight="1" x14ac:dyDescent="0.25">
      <c r="A1" s="75" t="s">
        <v>102</v>
      </c>
      <c r="B1" s="75"/>
      <c r="C1" s="75"/>
      <c r="D1" s="75"/>
      <c r="E1" s="75"/>
    </row>
    <row r="2" spans="1:5" ht="18" x14ac:dyDescent="0.25">
      <c r="A2" s="3"/>
      <c r="B2" s="55"/>
      <c r="C2" s="55"/>
      <c r="D2" s="55"/>
      <c r="E2" s="3"/>
    </row>
    <row r="3" spans="1:5" ht="18" x14ac:dyDescent="0.25">
      <c r="A3" s="55"/>
      <c r="B3" s="55"/>
      <c r="C3" s="55"/>
      <c r="D3" s="55"/>
      <c r="E3" s="3"/>
    </row>
    <row r="4" spans="1:5" ht="21" x14ac:dyDescent="0.25">
      <c r="A4" s="11"/>
      <c r="B4" s="11"/>
      <c r="C4" s="11"/>
      <c r="D4" s="11"/>
      <c r="E4" s="3"/>
    </row>
    <row r="5" spans="1:5" x14ac:dyDescent="0.25">
      <c r="A5" s="3"/>
      <c r="B5" s="3"/>
      <c r="C5" s="3"/>
      <c r="D5" s="3"/>
      <c r="E5" s="3"/>
    </row>
    <row r="6" spans="1:5" x14ac:dyDescent="0.25">
      <c r="A6" s="3"/>
      <c r="B6" s="3"/>
      <c r="C6" s="3"/>
      <c r="D6" s="3"/>
      <c r="E6" s="3"/>
    </row>
    <row r="7" spans="1:5" x14ac:dyDescent="0.25">
      <c r="A7" s="3"/>
      <c r="B7" s="3"/>
      <c r="C7" s="3"/>
      <c r="D7" s="3"/>
      <c r="E7" s="3"/>
    </row>
    <row r="8" spans="1:5" x14ac:dyDescent="0.25">
      <c r="A8" s="3"/>
      <c r="B8" s="3"/>
      <c r="C8" s="3"/>
      <c r="D8" s="3"/>
      <c r="E8" s="3"/>
    </row>
    <row r="9" spans="1:5" x14ac:dyDescent="0.25">
      <c r="A9" s="3"/>
      <c r="B9" s="3"/>
      <c r="C9" s="3"/>
      <c r="D9" s="3"/>
      <c r="E9" s="3"/>
    </row>
    <row r="10" spans="1:5" x14ac:dyDescent="0.25">
      <c r="A10" s="3"/>
      <c r="B10" s="3"/>
      <c r="C10" s="3"/>
      <c r="D10" s="3"/>
      <c r="E10" s="3"/>
    </row>
    <row r="11" spans="1:5" x14ac:dyDescent="0.25">
      <c r="A11" s="3"/>
      <c r="B11" s="3"/>
      <c r="C11" s="3"/>
      <c r="D11" s="3"/>
      <c r="E11" s="3"/>
    </row>
    <row r="12" spans="1:5" x14ac:dyDescent="0.25">
      <c r="A12" s="3"/>
      <c r="B12" s="3"/>
      <c r="C12" s="3"/>
      <c r="D12" s="3"/>
      <c r="E12" s="3"/>
    </row>
    <row r="13" spans="1:5" x14ac:dyDescent="0.25">
      <c r="A13" s="3"/>
      <c r="B13" s="3"/>
      <c r="C13" s="3"/>
      <c r="D13" s="3"/>
      <c r="E13" s="3"/>
    </row>
    <row r="14" spans="1:5" x14ac:dyDescent="0.25">
      <c r="A14" s="3"/>
      <c r="B14" s="3"/>
      <c r="C14" s="3"/>
      <c r="D14" s="3"/>
      <c r="E14" s="3"/>
    </row>
    <row r="15" spans="1:5" x14ac:dyDescent="0.25">
      <c r="A15" s="3"/>
      <c r="B15" s="3"/>
      <c r="C15" s="3"/>
      <c r="D15" s="3"/>
      <c r="E15" s="3"/>
    </row>
    <row r="16" spans="1:5" x14ac:dyDescent="0.25">
      <c r="A16" s="3"/>
      <c r="B16" s="3"/>
      <c r="C16" s="3"/>
      <c r="D16" s="3"/>
      <c r="E16" s="3"/>
    </row>
    <row r="17" spans="1:6" x14ac:dyDescent="0.25">
      <c r="A17" s="3"/>
      <c r="B17" s="3"/>
      <c r="C17" s="3"/>
      <c r="D17" s="3"/>
      <c r="E17" s="3"/>
    </row>
    <row r="18" spans="1:6" x14ac:dyDescent="0.25">
      <c r="A18" s="3"/>
      <c r="B18" s="3"/>
      <c r="C18" s="3"/>
      <c r="D18" s="3"/>
      <c r="E18" s="3"/>
    </row>
    <row r="19" spans="1:6" x14ac:dyDescent="0.25">
      <c r="A19" s="6" t="s">
        <v>53</v>
      </c>
      <c r="B19" s="8"/>
      <c r="C19" s="8"/>
      <c r="D19" s="3"/>
      <c r="E19" s="3"/>
    </row>
    <row r="20" spans="1:6" x14ac:dyDescent="0.25">
      <c r="A20" s="9" t="s">
        <v>42</v>
      </c>
      <c r="B20" s="8"/>
      <c r="C20" s="8"/>
      <c r="D20" s="3"/>
      <c r="E20" s="3"/>
    </row>
    <row r="21" spans="1:6" ht="45.75" customHeight="1" x14ac:dyDescent="0.25">
      <c r="A21" s="71" t="s">
        <v>101</v>
      </c>
      <c r="B21" s="71"/>
      <c r="C21" s="71"/>
      <c r="D21" s="71"/>
      <c r="E21" s="71"/>
    </row>
    <row r="23" spans="1:6" x14ac:dyDescent="0.25">
      <c r="A23" s="1"/>
      <c r="B23" s="1"/>
      <c r="C23" s="1"/>
      <c r="D23" s="1"/>
      <c r="E23" s="1"/>
      <c r="F23" s="1"/>
    </row>
    <row r="24" spans="1:6" x14ac:dyDescent="0.25">
      <c r="A24" s="1"/>
      <c r="B24" s="1"/>
      <c r="C24" s="1"/>
      <c r="D24" s="1"/>
      <c r="E24" s="1"/>
      <c r="F24" s="1"/>
    </row>
    <row r="25" spans="1:6" x14ac:dyDescent="0.25">
      <c r="A25" s="32"/>
      <c r="B25" s="1" t="s">
        <v>75</v>
      </c>
      <c r="C25" s="1" t="s">
        <v>74</v>
      </c>
      <c r="D25" s="1"/>
      <c r="E25" s="1"/>
      <c r="F25" s="1"/>
    </row>
    <row r="26" spans="1:6" x14ac:dyDescent="0.25">
      <c r="A26" s="1" t="s">
        <v>71</v>
      </c>
      <c r="B26" s="56">
        <v>0.25</v>
      </c>
      <c r="C26" s="56">
        <v>0.54</v>
      </c>
      <c r="D26" s="56"/>
      <c r="E26" s="1"/>
      <c r="F26" s="1"/>
    </row>
    <row r="27" spans="1:6" x14ac:dyDescent="0.25">
      <c r="A27" s="1" t="s">
        <v>70</v>
      </c>
      <c r="B27" s="56">
        <v>0.31</v>
      </c>
      <c r="C27" s="56">
        <v>0.03</v>
      </c>
      <c r="D27" s="56"/>
      <c r="E27" s="1"/>
      <c r="F27" s="1"/>
    </row>
    <row r="28" spans="1:6" x14ac:dyDescent="0.25">
      <c r="A28" s="1" t="s">
        <v>72</v>
      </c>
      <c r="B28" s="56">
        <v>0.28000000000000003</v>
      </c>
      <c r="C28" s="56">
        <v>0.23</v>
      </c>
      <c r="D28" s="56"/>
      <c r="E28" s="1"/>
      <c r="F28" s="1"/>
    </row>
    <row r="29" spans="1:6" x14ac:dyDescent="0.25">
      <c r="A29" s="1" t="s">
        <v>114</v>
      </c>
      <c r="B29" s="56">
        <v>0.15</v>
      </c>
      <c r="C29" s="56">
        <v>0.2</v>
      </c>
      <c r="D29" s="56"/>
      <c r="E29" s="1"/>
      <c r="F29" s="1"/>
    </row>
    <row r="30" spans="1:6" x14ac:dyDescent="0.25">
      <c r="A30" s="42" t="s">
        <v>73</v>
      </c>
      <c r="B30" s="56"/>
      <c r="C30" s="56"/>
      <c r="D30" s="56"/>
      <c r="E30" s="1"/>
      <c r="F30" s="1"/>
    </row>
    <row r="31" spans="1:6" x14ac:dyDescent="0.25">
      <c r="B31" s="64"/>
      <c r="C31" s="64"/>
    </row>
  </sheetData>
  <mergeCells count="2">
    <mergeCell ref="A21:E21"/>
    <mergeCell ref="A1:E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sqref="A1:C13"/>
    </sheetView>
  </sheetViews>
  <sheetFormatPr baseColWidth="10" defaultRowHeight="15" x14ac:dyDescent="0.25"/>
  <cols>
    <col min="1" max="1" width="60.7109375" style="43" customWidth="1"/>
    <col min="2" max="16384" width="11.42578125" style="43"/>
  </cols>
  <sheetData>
    <row r="1" spans="1:3" ht="18" x14ac:dyDescent="0.25">
      <c r="A1" s="75" t="s">
        <v>83</v>
      </c>
      <c r="B1" s="75"/>
      <c r="C1" s="3"/>
    </row>
    <row r="2" spans="1:3" ht="18" x14ac:dyDescent="0.25">
      <c r="A2" s="52"/>
      <c r="B2" s="52"/>
      <c r="C2" s="3"/>
    </row>
    <row r="3" spans="1:3" ht="21" x14ac:dyDescent="0.25">
      <c r="A3" s="11"/>
      <c r="B3" s="11"/>
      <c r="C3" s="3"/>
    </row>
    <row r="4" spans="1:3" x14ac:dyDescent="0.25">
      <c r="A4" s="3"/>
      <c r="B4" s="3"/>
      <c r="C4" s="3"/>
    </row>
    <row r="5" spans="1:3" x14ac:dyDescent="0.25">
      <c r="A5" s="3"/>
      <c r="B5" s="3"/>
      <c r="C5" s="3"/>
    </row>
    <row r="6" spans="1:3" x14ac:dyDescent="0.25">
      <c r="A6" s="3"/>
      <c r="B6" s="3"/>
      <c r="C6" s="3"/>
    </row>
    <row r="7" spans="1:3" x14ac:dyDescent="0.25">
      <c r="A7" s="3"/>
      <c r="B7" s="3"/>
      <c r="C7" s="3"/>
    </row>
    <row r="8" spans="1:3" x14ac:dyDescent="0.25">
      <c r="A8" s="3"/>
      <c r="B8" s="3"/>
      <c r="C8" s="3"/>
    </row>
    <row r="9" spans="1:3" x14ac:dyDescent="0.25">
      <c r="A9" s="3"/>
      <c r="B9" s="3"/>
      <c r="C9" s="3"/>
    </row>
    <row r="10" spans="1:3" x14ac:dyDescent="0.25">
      <c r="A10" s="3"/>
      <c r="B10" s="3"/>
      <c r="C10" s="3"/>
    </row>
    <row r="11" spans="1:3" x14ac:dyDescent="0.25">
      <c r="A11" s="6" t="s">
        <v>53</v>
      </c>
      <c r="B11" s="8"/>
      <c r="C11" s="3"/>
    </row>
    <row r="12" spans="1:3" x14ac:dyDescent="0.25">
      <c r="A12" s="9" t="s">
        <v>42</v>
      </c>
      <c r="B12" s="8"/>
      <c r="C12" s="3"/>
    </row>
    <row r="13" spans="1:3" x14ac:dyDescent="0.25">
      <c r="A13" s="71" t="s">
        <v>87</v>
      </c>
      <c r="B13" s="71"/>
      <c r="C13" s="71"/>
    </row>
    <row r="14" spans="1:3" x14ac:dyDescent="0.25">
      <c r="C14" s="3"/>
    </row>
    <row r="17" spans="1:3" x14ac:dyDescent="0.25">
      <c r="A17" s="1" t="s">
        <v>54</v>
      </c>
      <c r="B17" s="1"/>
    </row>
    <row r="18" spans="1:3" x14ac:dyDescent="0.25">
      <c r="A18" s="1" t="s">
        <v>3</v>
      </c>
      <c r="B18" s="31">
        <v>0.39</v>
      </c>
    </row>
    <row r="19" spans="1:3" x14ac:dyDescent="0.25">
      <c r="A19" s="1" t="s">
        <v>4</v>
      </c>
      <c r="B19" s="31">
        <v>0.59</v>
      </c>
    </row>
    <row r="20" spans="1:3" x14ac:dyDescent="0.25">
      <c r="A20" s="1" t="s">
        <v>1</v>
      </c>
      <c r="B20" s="31">
        <f>1-B18-B19</f>
        <v>2.0000000000000018E-2</v>
      </c>
    </row>
    <row r="21" spans="1:3" x14ac:dyDescent="0.25">
      <c r="A21" s="1" t="s">
        <v>55</v>
      </c>
      <c r="B21" s="47"/>
    </row>
    <row r="22" spans="1:3" x14ac:dyDescent="0.25">
      <c r="A22" s="1" t="s">
        <v>3</v>
      </c>
      <c r="B22" s="31">
        <v>7.0000000000000007E-2</v>
      </c>
    </row>
    <row r="23" spans="1:3" x14ac:dyDescent="0.25">
      <c r="A23" s="1" t="s">
        <v>4</v>
      </c>
      <c r="B23" s="31">
        <v>0.92</v>
      </c>
    </row>
    <row r="24" spans="1:3" x14ac:dyDescent="0.25">
      <c r="A24" s="1" t="s">
        <v>1</v>
      </c>
      <c r="B24" s="31">
        <f>1-B22-B23</f>
        <v>9.9999999999998979E-3</v>
      </c>
    </row>
    <row r="26" spans="1:3" x14ac:dyDescent="0.25">
      <c r="A26" s="1"/>
      <c r="B26" s="1" t="s">
        <v>77</v>
      </c>
      <c r="C26" s="1" t="s">
        <v>78</v>
      </c>
    </row>
    <row r="27" spans="1:3" x14ac:dyDescent="0.25">
      <c r="A27" s="1" t="s">
        <v>76</v>
      </c>
      <c r="B27" s="56">
        <v>0.59</v>
      </c>
      <c r="C27" s="56">
        <v>0.68</v>
      </c>
    </row>
    <row r="28" spans="1:3" x14ac:dyDescent="0.25">
      <c r="A28" s="1" t="s">
        <v>79</v>
      </c>
      <c r="B28" s="56">
        <v>0.127</v>
      </c>
      <c r="C28" s="56">
        <v>5.4399999999999997E-2</v>
      </c>
    </row>
    <row r="29" spans="1:3" x14ac:dyDescent="0.25">
      <c r="A29" s="1" t="s">
        <v>103</v>
      </c>
      <c r="B29" s="56">
        <v>0.08</v>
      </c>
      <c r="C29" s="56">
        <v>2.4E-2</v>
      </c>
    </row>
    <row r="30" spans="1:3" x14ac:dyDescent="0.25">
      <c r="A30" s="1" t="s">
        <v>80</v>
      </c>
      <c r="B30" s="56">
        <v>7.7899999999999997E-2</v>
      </c>
      <c r="C30" s="56">
        <v>8.8499999999999995E-2</v>
      </c>
    </row>
    <row r="31" spans="1:3" x14ac:dyDescent="0.25">
      <c r="A31" s="1" t="s">
        <v>81</v>
      </c>
      <c r="B31" s="56">
        <v>7.0499999999999993E-2</v>
      </c>
      <c r="C31" s="56">
        <v>9.8500000000000004E-2</v>
      </c>
    </row>
    <row r="32" spans="1:3" x14ac:dyDescent="0.25">
      <c r="A32" s="1" t="s">
        <v>82</v>
      </c>
      <c r="B32" s="56">
        <v>5.5E-2</v>
      </c>
      <c r="C32" s="56">
        <v>5.2499999999999998E-2</v>
      </c>
    </row>
  </sheetData>
  <mergeCells count="2">
    <mergeCell ref="A1:B1"/>
    <mergeCell ref="A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abSelected="1" zoomScaleNormal="100" workbookViewId="0">
      <selection activeCell="J26" sqref="J26"/>
    </sheetView>
  </sheetViews>
  <sheetFormatPr baseColWidth="10" defaultRowHeight="15" x14ac:dyDescent="0.25"/>
  <cols>
    <col min="1" max="1" width="11.42578125" style="43"/>
    <col min="2" max="2" width="12" style="43" bestFit="1" customWidth="1"/>
    <col min="3" max="16384" width="11.42578125" style="43"/>
  </cols>
  <sheetData>
    <row r="1" spans="1:12" ht="18" x14ac:dyDescent="0.35">
      <c r="A1" s="12" t="s">
        <v>104</v>
      </c>
      <c r="B1" s="3"/>
      <c r="C1" s="3"/>
      <c r="D1" s="3"/>
      <c r="E1" s="3"/>
      <c r="F1" s="3"/>
      <c r="G1" s="3"/>
      <c r="H1" s="3"/>
      <c r="I1" s="3"/>
      <c r="J1" s="2"/>
      <c r="K1" s="2"/>
      <c r="L1" s="2"/>
    </row>
    <row r="2" spans="1:12" x14ac:dyDescent="0.25">
      <c r="A2" s="3"/>
      <c r="B2" s="3"/>
      <c r="C2" s="3"/>
      <c r="D2" s="3"/>
      <c r="E2" s="3"/>
      <c r="F2" s="3"/>
      <c r="G2" s="3"/>
      <c r="H2" s="3"/>
      <c r="I2" s="3"/>
      <c r="J2" s="2"/>
      <c r="K2" s="2"/>
      <c r="L2" s="2"/>
    </row>
    <row r="3" spans="1:12" x14ac:dyDescent="0.25">
      <c r="A3" s="3"/>
      <c r="B3" s="3"/>
      <c r="C3" s="3"/>
      <c r="D3" s="3"/>
      <c r="E3" s="3"/>
      <c r="F3" s="3"/>
      <c r="G3" s="3"/>
      <c r="H3" s="3"/>
      <c r="I3" s="3"/>
      <c r="J3" s="2"/>
      <c r="K3" s="2"/>
      <c r="L3" s="2"/>
    </row>
    <row r="4" spans="1:12" x14ac:dyDescent="0.25">
      <c r="A4" s="3"/>
      <c r="B4" s="3"/>
      <c r="C4" s="3"/>
      <c r="D4" s="3"/>
      <c r="E4" s="3"/>
      <c r="F4" s="3"/>
      <c r="G4" s="3"/>
      <c r="H4" s="3"/>
      <c r="I4" s="3"/>
      <c r="J4" s="2"/>
      <c r="K4" s="2"/>
      <c r="L4" s="2"/>
    </row>
    <row r="5" spans="1:12" x14ac:dyDescent="0.25">
      <c r="A5" s="3"/>
      <c r="B5" s="3"/>
      <c r="C5" s="3"/>
      <c r="D5" s="3"/>
      <c r="E5" s="3"/>
      <c r="F5" s="3"/>
      <c r="G5" s="3"/>
      <c r="H5" s="3"/>
      <c r="I5" s="3"/>
      <c r="J5" s="2"/>
      <c r="K5" s="2"/>
      <c r="L5" s="2"/>
    </row>
    <row r="6" spans="1:12" x14ac:dyDescent="0.25">
      <c r="A6" s="3"/>
      <c r="B6" s="3"/>
      <c r="C6" s="3"/>
      <c r="D6" s="3"/>
      <c r="E6" s="3"/>
      <c r="F6" s="3"/>
      <c r="G6" s="3"/>
      <c r="H6" s="3"/>
      <c r="I6" s="3"/>
      <c r="J6" s="2"/>
      <c r="K6" s="2"/>
      <c r="L6" s="2"/>
    </row>
    <row r="7" spans="1:12" x14ac:dyDescent="0.25">
      <c r="A7" s="3"/>
      <c r="B7" s="3"/>
      <c r="C7" s="3"/>
      <c r="D7" s="3"/>
      <c r="E7" s="3"/>
      <c r="F7" s="3"/>
      <c r="G7" s="3"/>
      <c r="H7" s="3"/>
      <c r="I7" s="3"/>
      <c r="J7" s="2"/>
      <c r="K7" s="2"/>
      <c r="L7" s="2"/>
    </row>
    <row r="8" spans="1:12" x14ac:dyDescent="0.25">
      <c r="A8" s="3"/>
      <c r="B8" s="3"/>
      <c r="C8" s="3"/>
      <c r="D8" s="3"/>
      <c r="E8" s="3"/>
      <c r="F8" s="3"/>
      <c r="G8" s="3"/>
      <c r="H8" s="3"/>
      <c r="I8" s="3"/>
      <c r="J8" s="2"/>
      <c r="K8" s="2"/>
      <c r="L8" s="2"/>
    </row>
    <row r="9" spans="1:12" x14ac:dyDescent="0.25">
      <c r="A9" s="3"/>
      <c r="B9" s="3"/>
      <c r="C9" s="3"/>
      <c r="D9" s="3"/>
      <c r="E9" s="3"/>
      <c r="F9" s="3"/>
      <c r="G9" s="3"/>
      <c r="H9" s="3"/>
      <c r="I9" s="3"/>
      <c r="J9" s="2"/>
      <c r="K9" s="2"/>
      <c r="L9" s="2"/>
    </row>
    <row r="10" spans="1:12" x14ac:dyDescent="0.25">
      <c r="A10" s="3"/>
      <c r="B10" s="3"/>
      <c r="C10" s="3"/>
      <c r="D10" s="3"/>
      <c r="E10" s="3"/>
      <c r="F10" s="3"/>
      <c r="G10" s="3"/>
      <c r="H10" s="3"/>
      <c r="I10" s="3"/>
      <c r="J10" s="2"/>
      <c r="K10" s="2"/>
      <c r="L10" s="2"/>
    </row>
    <row r="11" spans="1:12" x14ac:dyDescent="0.25">
      <c r="A11" s="3"/>
      <c r="B11" s="3"/>
      <c r="C11" s="3"/>
      <c r="D11" s="3"/>
      <c r="E11" s="3"/>
      <c r="F11" s="3"/>
      <c r="G11" s="3"/>
      <c r="H11" s="3"/>
      <c r="I11" s="3"/>
      <c r="J11" s="2"/>
      <c r="K11" s="2"/>
      <c r="L11" s="2"/>
    </row>
    <row r="12" spans="1:12" x14ac:dyDescent="0.25">
      <c r="A12" s="3"/>
      <c r="B12" s="3"/>
      <c r="C12" s="3"/>
      <c r="D12" s="3"/>
      <c r="E12" s="3"/>
      <c r="F12" s="3"/>
      <c r="G12" s="3"/>
      <c r="H12" s="3"/>
      <c r="I12" s="3"/>
      <c r="J12" s="2"/>
      <c r="K12" s="2"/>
      <c r="L12" s="2"/>
    </row>
    <row r="13" spans="1:12" x14ac:dyDescent="0.25">
      <c r="A13" s="3"/>
      <c r="B13" s="3"/>
      <c r="C13" s="3"/>
      <c r="D13" s="3"/>
      <c r="E13" s="3"/>
      <c r="F13" s="3"/>
      <c r="G13" s="3"/>
      <c r="H13" s="3"/>
      <c r="I13" s="3"/>
      <c r="J13" s="2"/>
      <c r="K13" s="2"/>
      <c r="L13" s="2"/>
    </row>
    <row r="14" spans="1:12" x14ac:dyDescent="0.25">
      <c r="A14" s="6" t="s">
        <v>57</v>
      </c>
      <c r="B14" s="3"/>
      <c r="C14" s="3"/>
      <c r="D14" s="3"/>
      <c r="E14" s="3"/>
      <c r="F14" s="3"/>
      <c r="G14" s="3"/>
      <c r="H14" s="3"/>
      <c r="I14" s="3"/>
      <c r="J14" s="2"/>
      <c r="K14" s="2"/>
      <c r="L14" s="2"/>
    </row>
    <row r="15" spans="1:12" x14ac:dyDescent="0.25">
      <c r="A15" s="7" t="s">
        <v>49</v>
      </c>
      <c r="B15" s="3"/>
      <c r="C15" s="3"/>
      <c r="D15" s="3"/>
      <c r="E15" s="3"/>
      <c r="F15" s="3"/>
      <c r="G15" s="3"/>
      <c r="H15" s="3"/>
      <c r="I15" s="3"/>
      <c r="J15" s="2"/>
      <c r="K15" s="2"/>
      <c r="L15" s="2"/>
    </row>
    <row r="16" spans="1:12" ht="28.5" customHeight="1" x14ac:dyDescent="0.25">
      <c r="A16" s="76" t="s">
        <v>126</v>
      </c>
      <c r="B16" s="76"/>
      <c r="C16" s="76"/>
      <c r="D16" s="76"/>
      <c r="E16" s="76"/>
      <c r="F16" s="76"/>
      <c r="G16" s="76"/>
      <c r="H16" s="76"/>
      <c r="I16" s="76"/>
    </row>
    <row r="17" spans="1:7" x14ac:dyDescent="0.25">
      <c r="A17" s="27"/>
      <c r="B17" s="48"/>
      <c r="E17" s="54"/>
      <c r="F17" s="54"/>
      <c r="G17" s="54"/>
    </row>
    <row r="18" spans="1:7" x14ac:dyDescent="0.25">
      <c r="A18" s="27"/>
      <c r="B18" s="48"/>
      <c r="E18" s="54"/>
      <c r="F18" s="54"/>
      <c r="G18" s="54"/>
    </row>
    <row r="19" spans="1:7" ht="30" customHeight="1" x14ac:dyDescent="0.25">
      <c r="A19" s="2"/>
      <c r="B19" s="2"/>
      <c r="E19" s="54"/>
      <c r="F19" s="54"/>
      <c r="G19" s="54"/>
    </row>
    <row r="21" spans="1:7" x14ac:dyDescent="0.25">
      <c r="A21" s="60"/>
      <c r="B21" s="60" t="s">
        <v>105</v>
      </c>
      <c r="C21" s="60" t="s">
        <v>106</v>
      </c>
      <c r="D21" s="60" t="s">
        <v>107</v>
      </c>
      <c r="E21" s="60" t="s">
        <v>108</v>
      </c>
      <c r="F21" s="60" t="s">
        <v>1</v>
      </c>
    </row>
    <row r="22" spans="1:7" x14ac:dyDescent="0.25">
      <c r="A22" s="59" t="s">
        <v>109</v>
      </c>
      <c r="B22" s="61">
        <v>0.214</v>
      </c>
      <c r="C22" s="62">
        <v>0.28599999999999998</v>
      </c>
      <c r="D22" s="62">
        <v>0.23599999999999999</v>
      </c>
      <c r="E22" s="62">
        <v>0.25069999999999998</v>
      </c>
      <c r="F22" s="56">
        <f>1-B22-C22-D22-E22</f>
        <v>1.3300000000000034E-2</v>
      </c>
    </row>
    <row r="23" spans="1:7" x14ac:dyDescent="0.25">
      <c r="A23" s="1" t="s">
        <v>110</v>
      </c>
      <c r="B23" s="56">
        <v>0.06</v>
      </c>
      <c r="C23" s="56">
        <v>0.22</v>
      </c>
      <c r="D23" s="56">
        <v>0.26</v>
      </c>
      <c r="E23" s="56">
        <v>0.46</v>
      </c>
      <c r="F23" s="56">
        <f>1-B23-C23-D23-E23</f>
        <v>0</v>
      </c>
    </row>
    <row r="24" spans="1:7" x14ac:dyDescent="0.25">
      <c r="A24" s="1" t="s">
        <v>111</v>
      </c>
      <c r="B24" s="56">
        <v>0.28000000000000003</v>
      </c>
      <c r="C24" s="56">
        <v>0.31</v>
      </c>
      <c r="D24" s="56">
        <v>0.23</v>
      </c>
      <c r="E24" s="56">
        <v>0.16</v>
      </c>
      <c r="F24" s="56">
        <f>1-B24-C24-D24-E24</f>
        <v>1.9999999999999962E-2</v>
      </c>
    </row>
    <row r="26" spans="1:7" x14ac:dyDescent="0.25">
      <c r="A26" s="60"/>
      <c r="B26" s="60" t="s">
        <v>3</v>
      </c>
      <c r="C26" s="60" t="s">
        <v>4</v>
      </c>
      <c r="D26" s="60" t="s">
        <v>1</v>
      </c>
      <c r="E26" s="60"/>
    </row>
    <row r="27" spans="1:7" x14ac:dyDescent="0.25">
      <c r="A27" s="59" t="s">
        <v>109</v>
      </c>
      <c r="B27" s="61">
        <v>0.42</v>
      </c>
      <c r="C27" s="62">
        <v>0.56000000000000005</v>
      </c>
      <c r="D27" s="62">
        <f>1-C27-B27</f>
        <v>1.9999999999999962E-2</v>
      </c>
      <c r="E27" s="62"/>
    </row>
    <row r="28" spans="1:7" x14ac:dyDescent="0.25">
      <c r="A28" s="1" t="s">
        <v>110</v>
      </c>
      <c r="B28" s="56">
        <v>0.22770000000000001</v>
      </c>
      <c r="C28" s="56">
        <v>0.77229999999999999</v>
      </c>
      <c r="D28" s="62">
        <f t="shared" ref="D28:D29" si="0">1-C28-B28</f>
        <v>0</v>
      </c>
      <c r="E28" s="56"/>
    </row>
    <row r="29" spans="1:7" x14ac:dyDescent="0.25">
      <c r="A29" s="1" t="s">
        <v>111</v>
      </c>
      <c r="B29" s="56">
        <v>0.50519999999999998</v>
      </c>
      <c r="C29" s="56">
        <v>0.47070000000000001</v>
      </c>
      <c r="D29" s="62">
        <f t="shared" si="0"/>
        <v>2.410000000000001E-2</v>
      </c>
      <c r="E29" s="56"/>
    </row>
  </sheetData>
  <mergeCells count="1">
    <mergeCell ref="A16:I1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zoomScaleNormal="100" workbookViewId="0">
      <selection activeCell="K6" sqref="K6"/>
    </sheetView>
  </sheetViews>
  <sheetFormatPr baseColWidth="10" defaultRowHeight="15" x14ac:dyDescent="0.25"/>
  <cols>
    <col min="2" max="2" width="12" bestFit="1" customWidth="1"/>
  </cols>
  <sheetData>
    <row r="1" spans="1:12" ht="18" x14ac:dyDescent="0.35">
      <c r="A1" s="12" t="s">
        <v>84</v>
      </c>
      <c r="B1" s="3"/>
      <c r="C1" s="3"/>
      <c r="D1" s="3"/>
      <c r="E1" s="3"/>
      <c r="F1" s="3"/>
      <c r="G1" s="3"/>
      <c r="H1" s="3"/>
      <c r="I1" s="3"/>
      <c r="J1" s="2"/>
      <c r="K1" s="2"/>
      <c r="L1" s="2"/>
    </row>
    <row r="2" spans="1:12" x14ac:dyDescent="0.25">
      <c r="A2" s="3"/>
      <c r="B2" s="3"/>
      <c r="C2" s="3"/>
      <c r="D2" s="3"/>
      <c r="E2" s="3"/>
      <c r="F2" s="3"/>
      <c r="G2" s="3"/>
      <c r="H2" s="3"/>
      <c r="I2" s="3"/>
      <c r="J2" s="2"/>
      <c r="K2" s="2"/>
      <c r="L2" s="2"/>
    </row>
    <row r="3" spans="1:12" x14ac:dyDescent="0.25">
      <c r="A3" s="3"/>
      <c r="B3" s="3"/>
      <c r="C3" s="3"/>
      <c r="D3" s="3"/>
      <c r="E3" s="3"/>
      <c r="F3" s="3"/>
      <c r="G3" s="3"/>
      <c r="H3" s="3"/>
      <c r="I3" s="3"/>
      <c r="J3" s="2"/>
      <c r="K3" s="2"/>
      <c r="L3" s="2"/>
    </row>
    <row r="4" spans="1:12" x14ac:dyDescent="0.25">
      <c r="A4" s="3"/>
      <c r="B4" s="3"/>
      <c r="C4" s="3"/>
      <c r="D4" s="3"/>
      <c r="E4" s="3"/>
      <c r="F4" s="3"/>
      <c r="G4" s="3"/>
      <c r="H4" s="3"/>
      <c r="I4" s="3"/>
      <c r="J4" s="2"/>
      <c r="K4" s="2"/>
      <c r="L4" s="2"/>
    </row>
    <row r="5" spans="1:12" x14ac:dyDescent="0.25">
      <c r="A5" s="3"/>
      <c r="B5" s="3"/>
      <c r="C5" s="3"/>
      <c r="D5" s="3"/>
      <c r="E5" s="3"/>
      <c r="F5" s="3"/>
      <c r="G5" s="3"/>
      <c r="H5" s="3"/>
      <c r="I5" s="3"/>
      <c r="J5" s="2"/>
      <c r="K5" s="2"/>
      <c r="L5" s="2"/>
    </row>
    <row r="6" spans="1:12" x14ac:dyDescent="0.25">
      <c r="A6" s="3"/>
      <c r="B6" s="3"/>
      <c r="C6" s="3"/>
      <c r="D6" s="3"/>
      <c r="E6" s="3"/>
      <c r="F6" s="3"/>
      <c r="G6" s="3"/>
      <c r="H6" s="3"/>
      <c r="I6" s="3"/>
      <c r="J6" s="2"/>
      <c r="K6" s="2"/>
      <c r="L6" s="2"/>
    </row>
    <row r="7" spans="1:12" x14ac:dyDescent="0.25">
      <c r="A7" s="3"/>
      <c r="B7" s="3"/>
      <c r="C7" s="3"/>
      <c r="D7" s="3"/>
      <c r="E7" s="3"/>
      <c r="F7" s="3"/>
      <c r="G7" s="3"/>
      <c r="H7" s="3"/>
      <c r="I7" s="3"/>
      <c r="J7" s="2"/>
      <c r="K7" s="2"/>
      <c r="L7" s="2"/>
    </row>
    <row r="8" spans="1:12" x14ac:dyDescent="0.25">
      <c r="A8" s="3"/>
      <c r="B8" s="3"/>
      <c r="C8" s="3"/>
      <c r="D8" s="3"/>
      <c r="E8" s="3"/>
      <c r="F8" s="3"/>
      <c r="G8" s="3"/>
      <c r="H8" s="3"/>
      <c r="I8" s="3"/>
      <c r="J8" s="2"/>
      <c r="K8" s="2"/>
      <c r="L8" s="2"/>
    </row>
    <row r="9" spans="1:12" x14ac:dyDescent="0.25">
      <c r="A9" s="3"/>
      <c r="B9" s="3"/>
      <c r="C9" s="3"/>
      <c r="D9" s="3"/>
      <c r="E9" s="3"/>
      <c r="F9" s="3"/>
      <c r="G9" s="3"/>
      <c r="H9" s="3"/>
      <c r="I9" s="3"/>
      <c r="J9" s="2"/>
      <c r="K9" s="2"/>
      <c r="L9" s="2"/>
    </row>
    <row r="10" spans="1:12" x14ac:dyDescent="0.25">
      <c r="A10" s="3"/>
      <c r="B10" s="3"/>
      <c r="C10" s="3"/>
      <c r="D10" s="3"/>
      <c r="E10" s="3"/>
      <c r="F10" s="3"/>
      <c r="G10" s="3"/>
      <c r="H10" s="3"/>
      <c r="I10" s="3"/>
      <c r="J10" s="2"/>
      <c r="K10" s="2"/>
      <c r="L10" s="2"/>
    </row>
    <row r="11" spans="1:12" s="43" customFormat="1" x14ac:dyDescent="0.25">
      <c r="A11" s="3"/>
      <c r="B11" s="3"/>
      <c r="C11" s="3"/>
      <c r="D11" s="3"/>
      <c r="E11" s="3"/>
      <c r="F11" s="3"/>
      <c r="G11" s="3"/>
      <c r="H11" s="3"/>
      <c r="I11" s="3"/>
      <c r="J11" s="2"/>
      <c r="K11" s="2"/>
      <c r="L11" s="2"/>
    </row>
    <row r="12" spans="1:12" s="43" customFormat="1" x14ac:dyDescent="0.25">
      <c r="A12" s="3"/>
      <c r="B12" s="3"/>
      <c r="C12" s="3"/>
      <c r="D12" s="3"/>
      <c r="E12" s="3"/>
      <c r="F12" s="3"/>
      <c r="G12" s="3"/>
      <c r="H12" s="3"/>
      <c r="I12" s="3"/>
      <c r="J12" s="2"/>
      <c r="K12" s="2"/>
      <c r="L12" s="2"/>
    </row>
    <row r="13" spans="1:12" x14ac:dyDescent="0.25">
      <c r="A13" s="3"/>
      <c r="B13" s="3"/>
      <c r="C13" s="3"/>
      <c r="D13" s="3"/>
      <c r="E13" s="3"/>
      <c r="F13" s="3"/>
      <c r="G13" s="3"/>
      <c r="H13" s="3"/>
      <c r="I13" s="3"/>
      <c r="J13" s="2"/>
      <c r="K13" s="2"/>
      <c r="L13" s="2"/>
    </row>
    <row r="14" spans="1:12" x14ac:dyDescent="0.25">
      <c r="A14" s="6" t="s">
        <v>57</v>
      </c>
      <c r="B14" s="3"/>
      <c r="C14" s="3"/>
      <c r="D14" s="3"/>
      <c r="E14" s="3"/>
      <c r="F14" s="3"/>
      <c r="G14" s="3"/>
      <c r="H14" s="3"/>
      <c r="I14" s="3"/>
      <c r="J14" s="2"/>
      <c r="K14" s="2"/>
      <c r="L14" s="2"/>
    </row>
    <row r="15" spans="1:12" x14ac:dyDescent="0.25">
      <c r="A15" s="7" t="s">
        <v>49</v>
      </c>
      <c r="B15" s="3"/>
      <c r="C15" s="3"/>
      <c r="D15" s="3"/>
      <c r="E15" s="3"/>
      <c r="F15" s="3"/>
      <c r="G15" s="3"/>
      <c r="H15" s="3"/>
      <c r="I15" s="3"/>
      <c r="J15" s="2"/>
      <c r="K15" s="2"/>
      <c r="L15" s="2"/>
    </row>
    <row r="16" spans="1:12" ht="74.25" customHeight="1" x14ac:dyDescent="0.25">
      <c r="A16" s="76" t="s">
        <v>125</v>
      </c>
      <c r="B16" s="76"/>
      <c r="C16" s="76"/>
      <c r="D16" s="76"/>
      <c r="E16" s="76"/>
      <c r="F16" s="76"/>
      <c r="G16" s="76"/>
      <c r="H16" s="76"/>
      <c r="I16" s="76"/>
    </row>
    <row r="17" spans="1:9" x14ac:dyDescent="0.25">
      <c r="A17" s="27"/>
      <c r="B17" s="48"/>
      <c r="C17" s="43"/>
      <c r="E17" s="53"/>
      <c r="F17" s="53"/>
      <c r="G17" s="53"/>
      <c r="H17" s="43"/>
      <c r="I17" s="43"/>
    </row>
    <row r="18" spans="1:9" x14ac:dyDescent="0.25">
      <c r="A18" s="27"/>
      <c r="B18" s="48"/>
      <c r="E18" s="53"/>
      <c r="F18" s="53"/>
      <c r="G18" s="53"/>
    </row>
    <row r="19" spans="1:9" x14ac:dyDescent="0.25">
      <c r="A19" s="2"/>
      <c r="B19" s="2"/>
      <c r="E19" s="53"/>
      <c r="F19" s="53"/>
      <c r="G19" s="53"/>
    </row>
    <row r="20" spans="1:9" x14ac:dyDescent="0.25">
      <c r="A20" s="1"/>
      <c r="B20" s="1" t="s">
        <v>88</v>
      </c>
      <c r="C20" s="53"/>
      <c r="D20" s="53"/>
    </row>
    <row r="21" spans="1:9" ht="120" x14ac:dyDescent="0.25">
      <c r="A21" s="31" t="s">
        <v>120</v>
      </c>
      <c r="B21" s="59">
        <v>5.9700000000000003E-2</v>
      </c>
      <c r="C21" s="53"/>
      <c r="D21" s="53"/>
    </row>
    <row r="22" spans="1:9" s="43" customFormat="1" ht="105" x14ac:dyDescent="0.25">
      <c r="A22" s="31" t="s">
        <v>121</v>
      </c>
      <c r="B22" s="59">
        <v>6.7900000000000002E-2</v>
      </c>
      <c r="C22" s="53"/>
      <c r="D22" s="53"/>
    </row>
    <row r="23" spans="1:9" s="43" customFormat="1" ht="75" x14ac:dyDescent="0.25">
      <c r="A23" s="31" t="s">
        <v>119</v>
      </c>
      <c r="B23" s="59">
        <v>0.15</v>
      </c>
      <c r="C23" s="54"/>
      <c r="D23" s="54"/>
    </row>
    <row r="24" spans="1:9" s="43" customFormat="1" ht="75" x14ac:dyDescent="0.25">
      <c r="A24" s="31" t="s">
        <v>122</v>
      </c>
      <c r="B24" s="59">
        <v>0.1613</v>
      </c>
    </row>
    <row r="25" spans="1:9" ht="90" x14ac:dyDescent="0.25">
      <c r="A25" s="31" t="s">
        <v>123</v>
      </c>
      <c r="B25" s="59">
        <v>0.18640000000000001</v>
      </c>
      <c r="C25" s="48"/>
      <c r="D25" s="2"/>
    </row>
    <row r="26" spans="1:9" s="43" customFormat="1" ht="45" x14ac:dyDescent="0.25">
      <c r="A26" s="31" t="s">
        <v>124</v>
      </c>
      <c r="B26" s="59">
        <v>0.1888</v>
      </c>
      <c r="C26" s="48"/>
      <c r="D26" s="2"/>
    </row>
    <row r="28" spans="1:9" x14ac:dyDescent="0.25">
      <c r="A28" s="60"/>
      <c r="B28" s="60" t="s">
        <v>112</v>
      </c>
      <c r="C28" s="60" t="s">
        <v>113</v>
      </c>
      <c r="D28" s="60" t="s">
        <v>0</v>
      </c>
      <c r="E28" s="65"/>
    </row>
    <row r="29" spans="1:9" ht="45" x14ac:dyDescent="0.25">
      <c r="A29" s="59" t="s">
        <v>89</v>
      </c>
      <c r="B29" s="61">
        <v>0.17</v>
      </c>
      <c r="C29" s="62">
        <v>0.48</v>
      </c>
      <c r="D29" s="62">
        <v>0.39</v>
      </c>
      <c r="E29" s="66"/>
      <c r="G29" s="43"/>
      <c r="H29" s="43"/>
      <c r="I29" s="43"/>
    </row>
  </sheetData>
  <sortState ref="A25:D31">
    <sortCondition ref="B27:B31"/>
  </sortState>
  <mergeCells count="1">
    <mergeCell ref="A16:I1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
  <sheetViews>
    <sheetView workbookViewId="0">
      <selection activeCell="K28" sqref="K28"/>
    </sheetView>
  </sheetViews>
  <sheetFormatPr baseColWidth="10" defaultRowHeight="15" x14ac:dyDescent="0.25"/>
  <cols>
    <col min="1" max="16384" width="11.42578125" style="43"/>
  </cols>
  <sheetData>
    <row r="1" spans="1:8" ht="31.5" customHeight="1" x14ac:dyDescent="0.25">
      <c r="A1" s="75" t="s">
        <v>56</v>
      </c>
      <c r="B1" s="77"/>
      <c r="C1" s="77"/>
      <c r="D1" s="77"/>
      <c r="E1" s="77"/>
      <c r="F1" s="77"/>
      <c r="G1" s="77"/>
      <c r="H1" s="11"/>
    </row>
    <row r="2" spans="1:8" ht="21" x14ac:dyDescent="0.25">
      <c r="A2" s="11"/>
      <c r="B2" s="11"/>
      <c r="C2" s="11"/>
      <c r="D2" s="11"/>
      <c r="E2" s="11"/>
      <c r="F2" s="11"/>
      <c r="G2" s="11"/>
      <c r="H2" s="11"/>
    </row>
    <row r="3" spans="1:8" x14ac:dyDescent="0.25">
      <c r="A3" s="3"/>
      <c r="B3" s="3"/>
      <c r="C3" s="3"/>
      <c r="D3" s="3"/>
      <c r="E3" s="3"/>
      <c r="F3" s="3"/>
      <c r="G3" s="3"/>
      <c r="H3" s="3"/>
    </row>
    <row r="4" spans="1:8" x14ac:dyDescent="0.25">
      <c r="A4" s="3"/>
      <c r="B4" s="3"/>
      <c r="C4" s="3"/>
      <c r="D4" s="3"/>
      <c r="E4" s="3"/>
      <c r="F4" s="3"/>
      <c r="G4" s="3"/>
      <c r="H4" s="3"/>
    </row>
    <row r="5" spans="1:8" x14ac:dyDescent="0.25">
      <c r="A5" s="3"/>
      <c r="B5" s="3"/>
      <c r="C5" s="3"/>
      <c r="D5" s="3"/>
      <c r="E5" s="3"/>
      <c r="F5" s="3"/>
      <c r="G5" s="3"/>
      <c r="H5" s="3"/>
    </row>
    <row r="6" spans="1:8" x14ac:dyDescent="0.25">
      <c r="A6" s="3"/>
      <c r="B6" s="3"/>
      <c r="C6" s="3"/>
      <c r="D6" s="3"/>
      <c r="E6" s="3"/>
      <c r="F6" s="3"/>
      <c r="G6" s="3"/>
      <c r="H6" s="3"/>
    </row>
    <row r="7" spans="1:8" x14ac:dyDescent="0.25">
      <c r="A7" s="3"/>
      <c r="B7" s="3"/>
      <c r="C7" s="3"/>
      <c r="D7" s="3"/>
      <c r="E7" s="3"/>
      <c r="F7" s="3"/>
      <c r="G7" s="3"/>
      <c r="H7" s="3"/>
    </row>
    <row r="8" spans="1:8" x14ac:dyDescent="0.25">
      <c r="A8" s="3"/>
      <c r="B8" s="3"/>
      <c r="C8" s="3"/>
      <c r="D8" s="3"/>
      <c r="E8" s="3"/>
      <c r="F8" s="3"/>
      <c r="G8" s="3"/>
      <c r="H8" s="3"/>
    </row>
    <row r="9" spans="1:8" x14ac:dyDescent="0.25">
      <c r="A9" s="3"/>
      <c r="B9" s="3"/>
      <c r="C9" s="3"/>
      <c r="D9" s="3"/>
      <c r="E9" s="3"/>
      <c r="F9" s="3"/>
      <c r="G9" s="3"/>
      <c r="H9" s="3"/>
    </row>
    <row r="10" spans="1:8" x14ac:dyDescent="0.25">
      <c r="A10" s="3"/>
      <c r="B10" s="3"/>
      <c r="C10" s="3"/>
      <c r="D10" s="3"/>
      <c r="E10" s="3"/>
      <c r="F10" s="3"/>
      <c r="G10" s="3"/>
      <c r="H10" s="3"/>
    </row>
    <row r="11" spans="1:8" x14ac:dyDescent="0.25">
      <c r="A11" s="3"/>
      <c r="B11" s="3"/>
      <c r="C11" s="3"/>
      <c r="D11" s="3"/>
      <c r="E11" s="3"/>
      <c r="F11" s="3"/>
      <c r="G11" s="3"/>
      <c r="H11" s="3"/>
    </row>
    <row r="12" spans="1:8" x14ac:dyDescent="0.25">
      <c r="A12" s="3"/>
      <c r="B12" s="3"/>
      <c r="C12" s="3"/>
      <c r="D12" s="3"/>
      <c r="E12" s="3"/>
      <c r="F12" s="3"/>
      <c r="G12" s="3"/>
      <c r="H12" s="3"/>
    </row>
    <row r="13" spans="1:8" x14ac:dyDescent="0.25">
      <c r="A13" s="3"/>
      <c r="B13" s="3"/>
      <c r="C13" s="3"/>
      <c r="D13" s="3"/>
      <c r="E13" s="3"/>
      <c r="F13" s="3"/>
      <c r="G13" s="3"/>
      <c r="H13" s="3"/>
    </row>
    <row r="14" spans="1:8" x14ac:dyDescent="0.25">
      <c r="A14" s="6" t="s">
        <v>53</v>
      </c>
      <c r="B14" s="8"/>
      <c r="C14" s="8"/>
      <c r="D14" s="8"/>
      <c r="E14" s="8"/>
      <c r="F14" s="8"/>
      <c r="G14" s="8"/>
      <c r="H14" s="8"/>
    </row>
    <row r="15" spans="1:8" x14ac:dyDescent="0.25">
      <c r="A15" s="9" t="s">
        <v>42</v>
      </c>
      <c r="B15" s="8"/>
      <c r="C15" s="8"/>
      <c r="D15" s="8"/>
      <c r="E15" s="8"/>
      <c r="F15" s="8"/>
      <c r="G15" s="8"/>
      <c r="H15" s="8"/>
    </row>
    <row r="16" spans="1:8" ht="15" customHeight="1" x14ac:dyDescent="0.25">
      <c r="A16" s="71" t="s">
        <v>91</v>
      </c>
      <c r="B16" s="71"/>
      <c r="C16" s="71"/>
      <c r="D16" s="71"/>
      <c r="E16" s="71"/>
      <c r="F16" s="71"/>
      <c r="G16" s="71"/>
      <c r="H16" s="71"/>
    </row>
    <row r="17" spans="1:10" ht="16.5" x14ac:dyDescent="0.25">
      <c r="A17" s="4"/>
      <c r="B17" s="3"/>
      <c r="C17" s="3"/>
      <c r="D17" s="3"/>
      <c r="E17" s="3"/>
      <c r="F17" s="3"/>
      <c r="G17" s="3"/>
      <c r="H17" s="3"/>
    </row>
    <row r="19" spans="1:10" x14ac:dyDescent="0.25">
      <c r="A19" s="1"/>
      <c r="B19" s="1" t="s">
        <v>0</v>
      </c>
      <c r="C19" s="1" t="s">
        <v>85</v>
      </c>
      <c r="D19" s="1" t="s">
        <v>86</v>
      </c>
      <c r="E19" s="1"/>
      <c r="F19" s="1"/>
    </row>
    <row r="20" spans="1:10" x14ac:dyDescent="0.25">
      <c r="A20" s="1" t="s">
        <v>51</v>
      </c>
      <c r="B20" s="56">
        <v>0.85</v>
      </c>
      <c r="C20" s="56">
        <v>0.81</v>
      </c>
      <c r="D20" s="56">
        <v>0.94</v>
      </c>
      <c r="E20" s="56"/>
      <c r="F20" s="1"/>
    </row>
    <row r="21" spans="1:10" x14ac:dyDescent="0.25">
      <c r="A21" s="1" t="s">
        <v>52</v>
      </c>
      <c r="B21" s="56">
        <v>0.09</v>
      </c>
      <c r="C21" s="56">
        <v>0.12</v>
      </c>
      <c r="D21" s="56">
        <v>0.03</v>
      </c>
      <c r="E21" s="1"/>
      <c r="F21" s="1"/>
    </row>
    <row r="22" spans="1:10" x14ac:dyDescent="0.25">
      <c r="A22" s="1" t="s">
        <v>90</v>
      </c>
      <c r="B22" s="56">
        <f>1-B21-B20</f>
        <v>6.0000000000000053E-2</v>
      </c>
      <c r="C22" s="56">
        <f t="shared" ref="C22:D22" si="0">1-C21-C20</f>
        <v>6.9999999999999951E-2</v>
      </c>
      <c r="D22" s="56">
        <f t="shared" si="0"/>
        <v>3.0000000000000027E-2</v>
      </c>
      <c r="E22" s="56"/>
      <c r="F22" s="1"/>
    </row>
    <row r="23" spans="1:10" x14ac:dyDescent="0.25">
      <c r="A23" s="1"/>
      <c r="B23" s="56"/>
      <c r="C23" s="56"/>
      <c r="D23" s="56"/>
      <c r="E23" s="56"/>
      <c r="F23" s="1"/>
    </row>
    <row r="24" spans="1:10" x14ac:dyDescent="0.25">
      <c r="A24" s="1"/>
      <c r="B24" s="1"/>
      <c r="C24" s="1"/>
      <c r="D24" s="1"/>
      <c r="E24" s="1"/>
      <c r="F24" s="1"/>
    </row>
    <row r="25" spans="1:10" x14ac:dyDescent="0.25">
      <c r="A25" s="2"/>
      <c r="B25" s="2"/>
      <c r="C25" s="2"/>
      <c r="D25" s="2"/>
      <c r="E25" s="2"/>
      <c r="G25" s="27"/>
      <c r="H25" s="27"/>
      <c r="I25" s="27"/>
      <c r="J25" s="27"/>
    </row>
    <row r="26" spans="1:10" x14ac:dyDescent="0.25">
      <c r="A26" s="2"/>
      <c r="B26" s="2"/>
      <c r="C26" s="2"/>
      <c r="D26" s="2"/>
      <c r="E26" s="2"/>
    </row>
  </sheetData>
  <mergeCells count="2">
    <mergeCell ref="A1:G1"/>
    <mergeCell ref="A16:H16"/>
  </mergeCells>
  <pageMargins left="0.70866141732283472" right="0.70866141732283472" top="0.74803149606299213" bottom="0.74803149606299213" header="0.31496062992125984" footer="0.31496062992125984"/>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topLeftCell="A19" workbookViewId="0">
      <selection activeCell="H29" sqref="H29"/>
    </sheetView>
  </sheetViews>
  <sheetFormatPr baseColWidth="10" defaultRowHeight="15" x14ac:dyDescent="0.25"/>
  <cols>
    <col min="1" max="1" width="4.140625" style="43" customWidth="1"/>
    <col min="2" max="2" width="28.7109375" style="13" customWidth="1"/>
  </cols>
  <sheetData>
    <row r="1" spans="1:8" s="14" customFormat="1" ht="43.5" customHeight="1" x14ac:dyDescent="0.35">
      <c r="A1" s="78" t="s">
        <v>92</v>
      </c>
      <c r="B1" s="78"/>
      <c r="C1" s="78"/>
      <c r="D1" s="78"/>
      <c r="E1" s="78"/>
      <c r="F1" s="78"/>
      <c r="G1" s="78"/>
      <c r="H1" s="78"/>
    </row>
    <row r="2" spans="1:8" x14ac:dyDescent="0.25">
      <c r="A2" s="3"/>
      <c r="B2" s="15"/>
      <c r="C2" s="3"/>
      <c r="D2" s="3"/>
      <c r="E2" s="3"/>
      <c r="F2" s="3"/>
      <c r="G2" s="3"/>
      <c r="H2" s="3"/>
    </row>
    <row r="3" spans="1:8" x14ac:dyDescent="0.25">
      <c r="A3" s="3"/>
      <c r="B3" s="16"/>
      <c r="C3" s="3"/>
      <c r="D3" s="3"/>
      <c r="E3" s="3"/>
      <c r="F3" s="3"/>
      <c r="G3" s="3"/>
      <c r="H3" s="3"/>
    </row>
    <row r="4" spans="1:8" x14ac:dyDescent="0.25">
      <c r="A4" s="3"/>
      <c r="B4" s="16"/>
      <c r="C4" s="3"/>
      <c r="D4" s="3"/>
      <c r="E4" s="3"/>
      <c r="F4" s="3"/>
      <c r="G4" s="3"/>
      <c r="H4" s="3"/>
    </row>
    <row r="5" spans="1:8" x14ac:dyDescent="0.25">
      <c r="A5" s="3"/>
      <c r="B5" s="16"/>
      <c r="C5" s="3"/>
      <c r="D5" s="3"/>
      <c r="E5" s="3"/>
      <c r="F5" s="3"/>
      <c r="G5" s="3"/>
      <c r="H5" s="3"/>
    </row>
    <row r="6" spans="1:8" x14ac:dyDescent="0.25">
      <c r="A6" s="3"/>
      <c r="B6" s="16"/>
      <c r="C6" s="3"/>
      <c r="D6" s="3"/>
      <c r="E6" s="3"/>
      <c r="F6" s="3"/>
      <c r="G6" s="3"/>
      <c r="H6" s="3"/>
    </row>
    <row r="7" spans="1:8" x14ac:dyDescent="0.25">
      <c r="A7" s="3"/>
      <c r="B7" s="16"/>
      <c r="C7" s="3"/>
      <c r="D7" s="3"/>
      <c r="E7" s="3"/>
      <c r="F7" s="3"/>
      <c r="G7" s="3"/>
      <c r="H7" s="3"/>
    </row>
    <row r="8" spans="1:8" x14ac:dyDescent="0.25">
      <c r="A8" s="3"/>
      <c r="B8" s="16"/>
      <c r="C8" s="3"/>
      <c r="D8" s="3"/>
      <c r="E8" s="3"/>
      <c r="F8" s="3"/>
      <c r="G8" s="3"/>
      <c r="H8" s="3"/>
    </row>
    <row r="9" spans="1:8" x14ac:dyDescent="0.25">
      <c r="A9" s="3"/>
      <c r="B9" s="16"/>
      <c r="C9" s="3"/>
      <c r="D9" s="3"/>
      <c r="E9" s="3"/>
      <c r="F9" s="3"/>
      <c r="G9" s="3"/>
      <c r="H9" s="3"/>
    </row>
    <row r="10" spans="1:8" x14ac:dyDescent="0.25">
      <c r="A10" s="3"/>
      <c r="B10" s="16"/>
      <c r="C10" s="3"/>
      <c r="D10" s="3"/>
      <c r="E10" s="3"/>
      <c r="F10" s="3"/>
      <c r="G10" s="3"/>
      <c r="H10" s="3"/>
    </row>
    <row r="11" spans="1:8" x14ac:dyDescent="0.25">
      <c r="A11" s="3"/>
      <c r="B11" s="16"/>
      <c r="C11" s="3"/>
      <c r="D11" s="3"/>
      <c r="E11" s="3"/>
      <c r="F11" s="3"/>
      <c r="G11" s="3"/>
      <c r="H11" s="3"/>
    </row>
    <row r="12" spans="1:8" x14ac:dyDescent="0.25">
      <c r="A12" s="3"/>
      <c r="B12" s="16"/>
      <c r="C12" s="3"/>
      <c r="D12" s="3"/>
      <c r="E12" s="3"/>
      <c r="F12" s="3"/>
      <c r="G12" s="3"/>
      <c r="H12" s="3"/>
    </row>
    <row r="13" spans="1:8" x14ac:dyDescent="0.25">
      <c r="A13" s="3"/>
      <c r="B13" s="16"/>
      <c r="C13" s="3"/>
      <c r="D13" s="3"/>
      <c r="E13" s="3"/>
      <c r="F13" s="3"/>
      <c r="G13" s="3"/>
      <c r="H13" s="3"/>
    </row>
    <row r="14" spans="1:8" x14ac:dyDescent="0.25">
      <c r="A14" s="3"/>
      <c r="B14" s="16"/>
      <c r="C14" s="3"/>
      <c r="D14" s="3" t="s">
        <v>16</v>
      </c>
      <c r="E14" s="3"/>
      <c r="F14" s="3"/>
      <c r="G14" s="3"/>
      <c r="H14" s="3"/>
    </row>
    <row r="15" spans="1:8" x14ac:dyDescent="0.25">
      <c r="A15" s="3"/>
      <c r="B15" s="16"/>
      <c r="C15" s="3"/>
      <c r="D15" s="3"/>
      <c r="E15" s="3"/>
      <c r="F15" s="3"/>
      <c r="G15" s="3"/>
      <c r="H15" s="3"/>
    </row>
    <row r="16" spans="1:8" x14ac:dyDescent="0.25">
      <c r="A16" s="6" t="s">
        <v>53</v>
      </c>
      <c r="C16" s="3"/>
      <c r="D16" s="3"/>
      <c r="E16" s="3"/>
      <c r="F16" s="3"/>
      <c r="G16" s="3"/>
      <c r="H16" s="3"/>
    </row>
    <row r="17" spans="1:8" x14ac:dyDescent="0.25">
      <c r="A17" s="9" t="s">
        <v>42</v>
      </c>
      <c r="B17" s="3"/>
      <c r="C17" s="3"/>
      <c r="D17" s="3"/>
      <c r="E17" s="3"/>
      <c r="F17" s="3"/>
      <c r="G17" s="3"/>
      <c r="H17" s="3"/>
    </row>
    <row r="18" spans="1:8" ht="30.75" customHeight="1" x14ac:dyDescent="0.25">
      <c r="A18" s="76" t="s">
        <v>94</v>
      </c>
      <c r="B18" s="76"/>
      <c r="C18" s="76"/>
      <c r="D18" s="76"/>
      <c r="E18" s="76"/>
      <c r="F18" s="76"/>
      <c r="G18" s="76"/>
      <c r="H18" s="76"/>
    </row>
    <row r="22" spans="1:8" x14ac:dyDescent="0.25">
      <c r="D22" s="2"/>
      <c r="E22" s="2"/>
    </row>
    <row r="23" spans="1:8" x14ac:dyDescent="0.25">
      <c r="D23" s="2"/>
      <c r="E23" s="2"/>
    </row>
    <row r="24" spans="1:8" x14ac:dyDescent="0.25">
      <c r="A24" s="39" t="s">
        <v>2</v>
      </c>
      <c r="B24" s="17"/>
      <c r="D24" s="2"/>
      <c r="E24" s="2"/>
    </row>
    <row r="25" spans="1:8" x14ac:dyDescent="0.25">
      <c r="A25" s="32" t="s">
        <v>43</v>
      </c>
      <c r="B25" s="39" t="s">
        <v>17</v>
      </c>
      <c r="C25" s="32" t="s">
        <v>18</v>
      </c>
      <c r="D25" s="2"/>
      <c r="E25" s="2"/>
    </row>
    <row r="26" spans="1:8" x14ac:dyDescent="0.25">
      <c r="A26" s="42">
        <v>4</v>
      </c>
      <c r="B26" s="34" t="s">
        <v>11</v>
      </c>
      <c r="C26" s="19">
        <v>6.6E-3</v>
      </c>
      <c r="D26" s="70"/>
      <c r="E26" s="2"/>
    </row>
    <row r="27" spans="1:8" x14ac:dyDescent="0.25">
      <c r="A27" s="42">
        <v>2</v>
      </c>
      <c r="B27" s="34" t="s">
        <v>9</v>
      </c>
      <c r="C27" s="19">
        <v>6.7999999999999996E-3</v>
      </c>
      <c r="D27" s="70"/>
      <c r="E27" s="2"/>
    </row>
    <row r="28" spans="1:8" x14ac:dyDescent="0.25">
      <c r="A28" s="42">
        <v>5</v>
      </c>
      <c r="B28" s="34" t="s">
        <v>12</v>
      </c>
      <c r="C28" s="19">
        <v>7.4999999999999997E-3</v>
      </c>
      <c r="D28" s="70"/>
      <c r="E28" s="2"/>
    </row>
    <row r="29" spans="1:8" x14ac:dyDescent="0.25">
      <c r="A29" s="38">
        <v>8</v>
      </c>
      <c r="B29" s="34" t="s">
        <v>14</v>
      </c>
      <c r="C29" s="19">
        <v>7.9000000000000008E-3</v>
      </c>
      <c r="D29" s="70"/>
      <c r="E29" s="2"/>
    </row>
    <row r="30" spans="1:8" x14ac:dyDescent="0.25">
      <c r="A30" s="42">
        <v>7</v>
      </c>
      <c r="B30" s="34" t="s">
        <v>13</v>
      </c>
      <c r="C30" s="19">
        <v>8.0000000000000002E-3</v>
      </c>
      <c r="D30" s="70"/>
      <c r="E30" s="2"/>
    </row>
    <row r="31" spans="1:8" x14ac:dyDescent="0.25">
      <c r="A31" s="42">
        <v>3</v>
      </c>
      <c r="B31" s="34" t="s">
        <v>10</v>
      </c>
      <c r="C31" s="19">
        <v>9.5999999999999992E-3</v>
      </c>
      <c r="D31" s="70"/>
      <c r="E31" s="2"/>
    </row>
    <row r="32" spans="1:8" x14ac:dyDescent="0.25">
      <c r="A32" s="42">
        <v>9</v>
      </c>
      <c r="B32" s="34" t="s">
        <v>15</v>
      </c>
      <c r="C32" s="19">
        <v>1.0999999999999999E-2</v>
      </c>
      <c r="D32" s="70"/>
      <c r="E32" s="2"/>
    </row>
    <row r="33" spans="1:8" x14ac:dyDescent="0.25">
      <c r="A33" s="42">
        <v>1</v>
      </c>
      <c r="B33" s="34" t="s">
        <v>8</v>
      </c>
      <c r="C33" s="19">
        <v>1.21E-2</v>
      </c>
      <c r="D33" s="70"/>
      <c r="E33" s="2"/>
    </row>
    <row r="34" spans="1:8" x14ac:dyDescent="0.25">
      <c r="A34" s="1"/>
      <c r="B34" s="17"/>
      <c r="C34" s="20"/>
      <c r="D34" s="2"/>
      <c r="E34" s="2"/>
    </row>
    <row r="35" spans="1:8" x14ac:dyDescent="0.25">
      <c r="A35" s="32" t="s">
        <v>43</v>
      </c>
      <c r="B35" s="39" t="s">
        <v>21</v>
      </c>
      <c r="C35" s="36" t="s">
        <v>18</v>
      </c>
      <c r="D35" s="2"/>
      <c r="E35" s="33"/>
      <c r="F35" s="33"/>
      <c r="G35" s="33"/>
      <c r="H35" s="33"/>
    </row>
    <row r="36" spans="1:8" x14ac:dyDescent="0.25">
      <c r="A36" s="42">
        <v>1</v>
      </c>
      <c r="B36" s="34" t="s">
        <v>20</v>
      </c>
      <c r="C36" s="19">
        <v>6.7999999999999996E-3</v>
      </c>
      <c r="D36" s="70"/>
      <c r="E36" s="33"/>
      <c r="F36" s="41"/>
      <c r="G36" s="35"/>
      <c r="H36" s="35"/>
    </row>
    <row r="37" spans="1:8" x14ac:dyDescent="0.25">
      <c r="A37" s="42">
        <v>2</v>
      </c>
      <c r="B37" s="34" t="s">
        <v>33</v>
      </c>
      <c r="C37" s="19">
        <v>8.0999999999999996E-3</v>
      </c>
      <c r="D37" s="70"/>
      <c r="E37" s="35"/>
    </row>
    <row r="38" spans="1:8" ht="28.5" x14ac:dyDescent="0.25">
      <c r="A38" s="42">
        <v>3</v>
      </c>
      <c r="B38" s="34" t="s">
        <v>31</v>
      </c>
      <c r="C38" s="19">
        <v>8.6E-3</v>
      </c>
      <c r="D38" s="70"/>
      <c r="E38" s="35"/>
    </row>
    <row r="39" spans="1:8" x14ac:dyDescent="0.25">
      <c r="A39" s="42">
        <v>4</v>
      </c>
      <c r="B39" s="34" t="s">
        <v>32</v>
      </c>
      <c r="C39" s="19">
        <v>8.9999999999999993E-3</v>
      </c>
      <c r="D39" s="70"/>
      <c r="E39" s="35"/>
    </row>
    <row r="40" spans="1:8" x14ac:dyDescent="0.25">
      <c r="A40" s="42">
        <v>5</v>
      </c>
      <c r="B40" s="34" t="s">
        <v>19</v>
      </c>
      <c r="C40" s="19">
        <v>1.23E-2</v>
      </c>
      <c r="D40" s="70"/>
      <c r="E40" s="33"/>
      <c r="F40" s="41"/>
      <c r="G40" s="35"/>
      <c r="H40" s="35"/>
    </row>
    <row r="41" spans="1:8" s="43" customFormat="1" x14ac:dyDescent="0.25">
      <c r="A41" s="32"/>
      <c r="B41" s="18"/>
      <c r="C41" s="19"/>
      <c r="D41" s="70"/>
      <c r="E41" s="33"/>
      <c r="F41" s="41"/>
      <c r="G41" s="35"/>
      <c r="H41" s="35"/>
    </row>
    <row r="42" spans="1:8" x14ac:dyDescent="0.25">
      <c r="A42" s="1"/>
      <c r="B42" s="18" t="s">
        <v>44</v>
      </c>
      <c r="C42" s="37"/>
      <c r="D42" s="2"/>
      <c r="E42" s="33"/>
      <c r="F42" s="33"/>
      <c r="G42" s="33"/>
      <c r="H42" s="33"/>
    </row>
    <row r="43" spans="1:8" x14ac:dyDescent="0.25">
      <c r="A43" s="1"/>
      <c r="B43" s="17" t="s">
        <v>30</v>
      </c>
      <c r="C43" s="19">
        <v>8.8000000000000005E-3</v>
      </c>
      <c r="D43" s="70"/>
      <c r="E43" s="2"/>
    </row>
    <row r="44" spans="1:8" x14ac:dyDescent="0.25">
      <c r="A44" s="1"/>
      <c r="B44" s="17" t="s">
        <v>34</v>
      </c>
      <c r="C44" s="19">
        <v>9.4999999999999998E-3</v>
      </c>
      <c r="D44" s="70"/>
      <c r="E44" s="2"/>
    </row>
    <row r="45" spans="1:8" x14ac:dyDescent="0.25">
      <c r="D45" s="2"/>
      <c r="E45" s="2"/>
    </row>
  </sheetData>
  <sortState ref="A26:C33">
    <sortCondition ref="C26:C33"/>
  </sortState>
  <mergeCells count="2">
    <mergeCell ref="A1:H1"/>
    <mergeCell ref="A18:H18"/>
  </mergeCells>
  <pageMargins left="0.70866141732283472" right="0.70866141732283472" top="0.74803149606299213" bottom="0.74803149606299213" header="0.31496062992125984" footer="0.31496062992125984"/>
  <pageSetup paperSize="9" scale="8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3"/>
  <sheetViews>
    <sheetView topLeftCell="A25" workbookViewId="0">
      <selection activeCell="E49" sqref="E49"/>
    </sheetView>
  </sheetViews>
  <sheetFormatPr baseColWidth="10" defaultRowHeight="15" x14ac:dyDescent="0.25"/>
  <cols>
    <col min="1" max="1" width="6.42578125" customWidth="1"/>
    <col min="2" max="2" width="28.7109375" style="13" customWidth="1"/>
    <col min="5" max="5" width="52.5703125" customWidth="1"/>
    <col min="6" max="6" width="11.42578125" style="2"/>
    <col min="7" max="7" width="9.85546875" style="2" customWidth="1"/>
    <col min="8" max="8" width="11.42578125" style="2"/>
  </cols>
  <sheetData>
    <row r="1" spans="1:8" s="14" customFormat="1" ht="18" x14ac:dyDescent="0.35">
      <c r="A1" s="78" t="s">
        <v>93</v>
      </c>
      <c r="B1" s="78"/>
      <c r="C1" s="78"/>
      <c r="D1" s="78"/>
      <c r="E1" s="78"/>
      <c r="F1" s="26"/>
      <c r="G1" s="26"/>
      <c r="H1" s="27"/>
    </row>
    <row r="2" spans="1:8" x14ac:dyDescent="0.25">
      <c r="A2" s="3"/>
      <c r="B2" s="15"/>
      <c r="C2" s="3"/>
      <c r="D2" s="3"/>
      <c r="E2" s="3"/>
    </row>
    <row r="3" spans="1:8" x14ac:dyDescent="0.25">
      <c r="A3" s="3"/>
      <c r="B3" s="16"/>
      <c r="C3" s="3"/>
      <c r="D3" s="3"/>
      <c r="E3" s="3"/>
    </row>
    <row r="4" spans="1:8" x14ac:dyDescent="0.25">
      <c r="A4" s="3"/>
      <c r="B4" s="16"/>
      <c r="C4" s="3"/>
      <c r="D4" s="3"/>
      <c r="E4" s="3"/>
    </row>
    <row r="5" spans="1:8" x14ac:dyDescent="0.25">
      <c r="A5" s="3"/>
      <c r="B5" s="16"/>
      <c r="C5" s="3"/>
      <c r="D5" s="3"/>
      <c r="E5" s="3"/>
    </row>
    <row r="6" spans="1:8" x14ac:dyDescent="0.25">
      <c r="A6" s="3"/>
      <c r="B6" s="16"/>
      <c r="C6" s="3"/>
      <c r="D6" s="3"/>
      <c r="E6" s="3"/>
    </row>
    <row r="7" spans="1:8" x14ac:dyDescent="0.25">
      <c r="A7" s="3"/>
      <c r="B7" s="16"/>
      <c r="C7" s="3"/>
      <c r="D7" s="3"/>
      <c r="E7" s="3"/>
    </row>
    <row r="8" spans="1:8" x14ac:dyDescent="0.25">
      <c r="A8" s="3"/>
      <c r="B8" s="16"/>
      <c r="C8" s="3"/>
      <c r="D8" s="3"/>
      <c r="E8" s="3"/>
    </row>
    <row r="9" spans="1:8" x14ac:dyDescent="0.25">
      <c r="A9" s="3"/>
      <c r="B9" s="16"/>
      <c r="C9" s="3"/>
      <c r="D9" s="3"/>
      <c r="E9" s="3"/>
    </row>
    <row r="10" spans="1:8" x14ac:dyDescent="0.25">
      <c r="A10" s="3"/>
      <c r="B10" s="16"/>
      <c r="C10" s="3"/>
      <c r="D10" s="3"/>
      <c r="E10" s="3"/>
    </row>
    <row r="11" spans="1:8" x14ac:dyDescent="0.25">
      <c r="A11" s="3"/>
      <c r="B11" s="16"/>
      <c r="C11" s="3"/>
      <c r="D11" s="3"/>
      <c r="E11" s="3"/>
    </row>
    <row r="12" spans="1:8" x14ac:dyDescent="0.25">
      <c r="A12" s="3"/>
      <c r="B12" s="16"/>
      <c r="C12" s="3"/>
      <c r="D12" s="3"/>
      <c r="E12" s="3"/>
    </row>
    <row r="13" spans="1:8" x14ac:dyDescent="0.25">
      <c r="A13" s="3"/>
      <c r="B13" s="16"/>
      <c r="C13" s="3"/>
      <c r="D13" s="3" t="s">
        <v>16</v>
      </c>
      <c r="E13" s="3"/>
    </row>
    <row r="14" spans="1:8" x14ac:dyDescent="0.25">
      <c r="A14" s="3"/>
      <c r="B14" s="16"/>
      <c r="C14" s="3"/>
      <c r="D14" s="3"/>
      <c r="E14" s="3"/>
    </row>
    <row r="15" spans="1:8" x14ac:dyDescent="0.25">
      <c r="A15" s="3"/>
      <c r="B15" s="16"/>
      <c r="C15" s="3"/>
      <c r="D15" s="3"/>
      <c r="E15" s="3"/>
    </row>
    <row r="16" spans="1:8" x14ac:dyDescent="0.25">
      <c r="A16" s="3"/>
      <c r="B16" s="16"/>
      <c r="C16" s="3"/>
      <c r="D16" s="3"/>
      <c r="E16" s="3"/>
    </row>
    <row r="17" spans="1:9" x14ac:dyDescent="0.25">
      <c r="A17" s="3"/>
      <c r="B17" s="16"/>
      <c r="C17" s="3"/>
      <c r="D17" s="3"/>
      <c r="E17" s="3"/>
    </row>
    <row r="18" spans="1:9" x14ac:dyDescent="0.25">
      <c r="A18" s="3"/>
      <c r="B18" s="16"/>
      <c r="C18" s="3"/>
      <c r="D18" s="3"/>
      <c r="E18" s="3"/>
    </row>
    <row r="19" spans="1:9" x14ac:dyDescent="0.25">
      <c r="A19" s="3"/>
      <c r="B19" s="16"/>
      <c r="C19" s="3"/>
      <c r="D19" s="3"/>
      <c r="E19" s="3"/>
    </row>
    <row r="20" spans="1:9" x14ac:dyDescent="0.25">
      <c r="A20" s="3"/>
      <c r="B20" s="16"/>
      <c r="C20" s="3"/>
      <c r="D20" s="3"/>
      <c r="E20" s="3"/>
    </row>
    <row r="21" spans="1:9" x14ac:dyDescent="0.25">
      <c r="A21" s="3"/>
      <c r="B21" s="16"/>
      <c r="C21" s="3"/>
      <c r="D21" s="3"/>
      <c r="E21" s="3"/>
    </row>
    <row r="22" spans="1:9" x14ac:dyDescent="0.25">
      <c r="A22" s="3"/>
      <c r="B22" s="16"/>
      <c r="C22" s="3"/>
      <c r="D22" s="3" t="s">
        <v>16</v>
      </c>
      <c r="E22" s="3"/>
    </row>
    <row r="23" spans="1:9" ht="15" customHeight="1" x14ac:dyDescent="0.3">
      <c r="A23" s="23" t="s">
        <v>29</v>
      </c>
      <c r="B23" s="16"/>
      <c r="C23" s="3"/>
      <c r="D23" s="3"/>
      <c r="E23" s="3"/>
    </row>
    <row r="24" spans="1:9" ht="54.75" customHeight="1" x14ac:dyDescent="0.3">
      <c r="A24" s="79" t="s">
        <v>40</v>
      </c>
      <c r="B24" s="79"/>
      <c r="C24" s="79"/>
      <c r="D24" s="79"/>
      <c r="E24" s="79"/>
    </row>
    <row r="25" spans="1:9" x14ac:dyDescent="0.25">
      <c r="A25" s="6" t="s">
        <v>53</v>
      </c>
      <c r="B25" s="16"/>
      <c r="C25" s="3"/>
      <c r="D25" s="3"/>
      <c r="E25" s="3"/>
      <c r="I25" s="2"/>
    </row>
    <row r="26" spans="1:9" x14ac:dyDescent="0.25">
      <c r="A26" s="9" t="s">
        <v>42</v>
      </c>
      <c r="B26" s="16"/>
      <c r="C26" s="3"/>
      <c r="D26" s="3"/>
      <c r="E26" s="3"/>
      <c r="I26" s="2"/>
    </row>
    <row r="27" spans="1:9" ht="26.25" customHeight="1" x14ac:dyDescent="0.25">
      <c r="A27" s="76" t="s">
        <v>95</v>
      </c>
      <c r="B27" s="76"/>
      <c r="C27" s="76"/>
      <c r="D27" s="76"/>
      <c r="E27" s="76"/>
      <c r="F27" s="40"/>
      <c r="G27" s="40"/>
      <c r="H27" s="40"/>
      <c r="I27" s="2"/>
    </row>
    <row r="28" spans="1:9" x14ac:dyDescent="0.25">
      <c r="I28" s="2"/>
    </row>
    <row r="32" spans="1:9" x14ac:dyDescent="0.25">
      <c r="A32" s="39" t="s">
        <v>2</v>
      </c>
      <c r="B32" s="39"/>
      <c r="C32" s="17"/>
    </row>
    <row r="33" spans="1:8" x14ac:dyDescent="0.25">
      <c r="A33" s="39" t="s">
        <v>45</v>
      </c>
      <c r="B33" s="18" t="s">
        <v>116</v>
      </c>
      <c r="C33" s="44"/>
      <c r="D33" s="2"/>
      <c r="E33" s="2"/>
    </row>
    <row r="34" spans="1:8" x14ac:dyDescent="0.25">
      <c r="A34" s="17">
        <v>2</v>
      </c>
      <c r="B34" s="34" t="s">
        <v>23</v>
      </c>
      <c r="C34" s="21">
        <v>1.15E-2</v>
      </c>
      <c r="D34" s="70"/>
      <c r="E34" s="2"/>
    </row>
    <row r="35" spans="1:8" x14ac:dyDescent="0.25">
      <c r="A35" s="17">
        <v>1</v>
      </c>
      <c r="B35" s="34" t="s">
        <v>22</v>
      </c>
      <c r="C35" s="21">
        <v>6.0000000000000001E-3</v>
      </c>
      <c r="D35" s="70"/>
      <c r="E35" s="2"/>
    </row>
    <row r="36" spans="1:8" x14ac:dyDescent="0.25">
      <c r="A36" s="17"/>
      <c r="B36" s="18"/>
      <c r="C36" s="21"/>
      <c r="D36" s="2"/>
      <c r="E36" s="2"/>
    </row>
    <row r="37" spans="1:8" x14ac:dyDescent="0.25">
      <c r="A37" s="17"/>
      <c r="B37" s="18"/>
      <c r="C37" s="21"/>
      <c r="D37" s="2"/>
      <c r="E37" s="2"/>
    </row>
    <row r="38" spans="1:8" x14ac:dyDescent="0.25">
      <c r="A38" s="17"/>
      <c r="B38" s="17"/>
      <c r="C38" s="22"/>
      <c r="D38" s="2"/>
      <c r="E38" s="2"/>
    </row>
    <row r="39" spans="1:8" x14ac:dyDescent="0.25">
      <c r="A39" s="39" t="s">
        <v>45</v>
      </c>
      <c r="B39" s="39" t="s">
        <v>117</v>
      </c>
      <c r="C39" s="45" t="s">
        <v>18</v>
      </c>
      <c r="D39" s="2"/>
      <c r="E39" s="2"/>
    </row>
    <row r="40" spans="1:8" x14ac:dyDescent="0.25">
      <c r="A40" s="17">
        <v>1</v>
      </c>
      <c r="B40" s="34" t="s">
        <v>96</v>
      </c>
      <c r="C40" s="21">
        <v>1.32E-2</v>
      </c>
      <c r="D40" s="70"/>
      <c r="E40" s="2"/>
    </row>
    <row r="41" spans="1:8" x14ac:dyDescent="0.25">
      <c r="A41" s="17">
        <v>2</v>
      </c>
      <c r="B41" s="34" t="s">
        <v>5</v>
      </c>
      <c r="C41" s="21">
        <v>1.34E-2</v>
      </c>
      <c r="D41" s="70"/>
      <c r="E41" s="2"/>
    </row>
    <row r="42" spans="1:8" x14ac:dyDescent="0.25">
      <c r="A42" s="17">
        <v>3</v>
      </c>
      <c r="B42" s="34" t="s">
        <v>6</v>
      </c>
      <c r="C42" s="21">
        <v>9.9000000000000008E-3</v>
      </c>
      <c r="D42" s="70"/>
      <c r="E42" s="2"/>
    </row>
    <row r="43" spans="1:8" x14ac:dyDescent="0.25">
      <c r="A43" s="17">
        <v>4</v>
      </c>
      <c r="B43" s="34" t="s">
        <v>7</v>
      </c>
      <c r="C43" s="21">
        <v>5.4999999999999997E-3</v>
      </c>
      <c r="D43" s="70"/>
      <c r="E43" s="2"/>
    </row>
    <row r="44" spans="1:8" x14ac:dyDescent="0.25">
      <c r="A44" s="17">
        <v>5</v>
      </c>
      <c r="B44" s="34" t="s">
        <v>97</v>
      </c>
      <c r="C44" s="21">
        <v>2.8E-3</v>
      </c>
      <c r="D44" s="70"/>
      <c r="E44" s="2"/>
    </row>
    <row r="45" spans="1:8" x14ac:dyDescent="0.25">
      <c r="A45" s="17"/>
      <c r="B45" s="18"/>
      <c r="C45" s="21"/>
      <c r="D45" s="2"/>
      <c r="E45" s="2"/>
    </row>
    <row r="46" spans="1:8" x14ac:dyDescent="0.25">
      <c r="A46" s="17"/>
      <c r="B46" s="17"/>
      <c r="C46" s="22"/>
      <c r="D46" s="2"/>
      <c r="E46" s="2"/>
    </row>
    <row r="47" spans="1:8" x14ac:dyDescent="0.25">
      <c r="A47" s="39" t="s">
        <v>43</v>
      </c>
      <c r="B47" s="39" t="s">
        <v>118</v>
      </c>
      <c r="C47" s="44" t="s">
        <v>18</v>
      </c>
      <c r="D47" s="2"/>
      <c r="E47" s="2"/>
    </row>
    <row r="48" spans="1:8" x14ac:dyDescent="0.25">
      <c r="A48" s="17">
        <v>6</v>
      </c>
      <c r="B48" s="34" t="s">
        <v>28</v>
      </c>
      <c r="C48" s="21">
        <v>3.2000000000000002E-3</v>
      </c>
      <c r="D48" s="70"/>
      <c r="E48" s="41"/>
      <c r="F48" s="35"/>
      <c r="G48" s="33"/>
      <c r="H48" s="33"/>
    </row>
    <row r="49" spans="1:8" x14ac:dyDescent="0.25">
      <c r="A49" s="17">
        <v>5</v>
      </c>
      <c r="B49" s="34" t="s">
        <v>27</v>
      </c>
      <c r="C49" s="21">
        <v>5.4000000000000003E-3</v>
      </c>
      <c r="D49" s="70"/>
      <c r="E49" s="41"/>
      <c r="F49" s="35"/>
      <c r="G49" s="33"/>
      <c r="H49" s="33"/>
    </row>
    <row r="50" spans="1:8" ht="28.5" x14ac:dyDescent="0.25">
      <c r="A50" s="17">
        <v>2</v>
      </c>
      <c r="B50" s="34" t="s">
        <v>24</v>
      </c>
      <c r="C50" s="21">
        <v>8.0000000000000002E-3</v>
      </c>
      <c r="D50" s="70"/>
      <c r="E50" s="41"/>
      <c r="F50" s="35"/>
      <c r="G50" s="33"/>
      <c r="H50" s="33"/>
    </row>
    <row r="51" spans="1:8" x14ac:dyDescent="0.25">
      <c r="A51" s="17">
        <v>3</v>
      </c>
      <c r="B51" s="34" t="s">
        <v>25</v>
      </c>
      <c r="C51" s="21">
        <v>9.1999999999999998E-3</v>
      </c>
      <c r="D51" s="70"/>
      <c r="E51" s="41"/>
      <c r="F51" s="35"/>
      <c r="G51" s="33"/>
      <c r="H51" s="33"/>
    </row>
    <row r="52" spans="1:8" ht="29.25" x14ac:dyDescent="0.25">
      <c r="A52" s="17">
        <v>1</v>
      </c>
      <c r="B52" s="34" t="s">
        <v>46</v>
      </c>
      <c r="C52" s="21">
        <v>1.3100000000000001E-2</v>
      </c>
      <c r="D52" s="70"/>
      <c r="E52" s="41"/>
      <c r="F52" s="35"/>
      <c r="G52" s="33"/>
      <c r="H52" s="33"/>
    </row>
    <row r="53" spans="1:8" x14ac:dyDescent="0.25">
      <c r="A53" s="17">
        <v>4</v>
      </c>
      <c r="B53" s="34" t="s">
        <v>26</v>
      </c>
      <c r="C53" s="21">
        <v>1.41E-2</v>
      </c>
      <c r="D53" s="70"/>
      <c r="E53" s="41"/>
      <c r="F53" s="35"/>
      <c r="G53" s="33"/>
      <c r="H53" s="33"/>
    </row>
    <row r="54" spans="1:8" x14ac:dyDescent="0.25">
      <c r="A54" s="17">
        <v>8</v>
      </c>
      <c r="B54" s="34" t="s">
        <v>35</v>
      </c>
      <c r="C54" s="21">
        <v>1.49E-2</v>
      </c>
      <c r="D54" s="70"/>
      <c r="E54" s="41"/>
      <c r="F54" s="35"/>
      <c r="G54" s="33"/>
      <c r="H54" s="33"/>
    </row>
    <row r="55" spans="1:8" x14ac:dyDescent="0.25">
      <c r="A55" s="17"/>
      <c r="B55" s="18"/>
      <c r="C55" s="22"/>
      <c r="D55" s="2"/>
      <c r="E55" s="41"/>
      <c r="F55" s="35"/>
      <c r="G55" s="33"/>
      <c r="H55" s="33"/>
    </row>
    <row r="56" spans="1:8" x14ac:dyDescent="0.25">
      <c r="A56" s="17"/>
      <c r="B56" s="17"/>
      <c r="C56" s="17"/>
      <c r="D56" s="2"/>
      <c r="E56" s="2"/>
    </row>
    <row r="57" spans="1:8" x14ac:dyDescent="0.25">
      <c r="A57" s="39" t="s">
        <v>45</v>
      </c>
      <c r="B57" s="39" t="s">
        <v>47</v>
      </c>
      <c r="C57" s="39" t="s">
        <v>18</v>
      </c>
      <c r="D57" s="2"/>
      <c r="E57" s="2"/>
    </row>
    <row r="58" spans="1:8" x14ac:dyDescent="0.25">
      <c r="A58" s="17">
        <v>4</v>
      </c>
      <c r="B58" s="17" t="s">
        <v>39</v>
      </c>
      <c r="C58" s="21">
        <v>7.4000000000000003E-3</v>
      </c>
      <c r="D58" s="70"/>
      <c r="E58" s="2"/>
    </row>
    <row r="59" spans="1:8" x14ac:dyDescent="0.25">
      <c r="A59" s="17">
        <v>3</v>
      </c>
      <c r="B59" s="17" t="s">
        <v>38</v>
      </c>
      <c r="C59" s="21">
        <v>7.4000000000000003E-3</v>
      </c>
      <c r="D59" s="70"/>
      <c r="E59" s="2"/>
    </row>
    <row r="60" spans="1:8" x14ac:dyDescent="0.25">
      <c r="A60" s="17">
        <v>2</v>
      </c>
      <c r="B60" s="17" t="s">
        <v>37</v>
      </c>
      <c r="C60" s="21">
        <v>8.3999999999999995E-3</v>
      </c>
      <c r="D60" s="70"/>
      <c r="E60" s="2"/>
    </row>
    <row r="61" spans="1:8" x14ac:dyDescent="0.25">
      <c r="A61" s="17">
        <v>1</v>
      </c>
      <c r="B61" s="17" t="s">
        <v>36</v>
      </c>
      <c r="C61" s="21">
        <v>1.2200000000000001E-2</v>
      </c>
      <c r="D61" s="70"/>
      <c r="E61" s="2"/>
    </row>
    <row r="62" spans="1:8" x14ac:dyDescent="0.25">
      <c r="D62" s="2"/>
      <c r="E62" s="2"/>
    </row>
    <row r="63" spans="1:8" x14ac:dyDescent="0.25">
      <c r="D63" s="2"/>
      <c r="E63" s="2"/>
    </row>
  </sheetData>
  <autoFilter ref="B47:C52">
    <sortState ref="B49:C55">
      <sortCondition ref="C49:C55"/>
    </sortState>
  </autoFilter>
  <sortState ref="A48:C55">
    <sortCondition ref="C48:C55"/>
  </sortState>
  <mergeCells count="3">
    <mergeCell ref="A1:E1"/>
    <mergeCell ref="A27:E27"/>
    <mergeCell ref="A24:E24"/>
  </mergeCells>
  <pageMargins left="0.70866141732283472" right="0.70866141732283472" top="0.74803149606299213" bottom="0.74803149606299213" header="0.31496062992125984" footer="0.31496062992125984"/>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5</vt:i4>
      </vt:variant>
    </vt:vector>
  </HeadingPairs>
  <TitlesOfParts>
    <vt:vector size="14" baseType="lpstr">
      <vt:lpstr>1.TableauREPERES</vt:lpstr>
      <vt:lpstr>2.TypeViolences</vt:lpstr>
      <vt:lpstr>3.Frequence</vt:lpstr>
      <vt:lpstr>4.Auteur</vt:lpstr>
      <vt:lpstr>5.Dommages</vt:lpstr>
      <vt:lpstr>6.Aide</vt:lpstr>
      <vt:lpstr>7.RecoursPolice</vt:lpstr>
      <vt:lpstr>8.Profil1</vt:lpstr>
      <vt:lpstr>9.Profil2</vt:lpstr>
      <vt:lpstr>'9.Profil2'!_FilterDatabase</vt:lpstr>
      <vt:lpstr>'1.TableauREPERES'!Zone_d_impression</vt:lpstr>
      <vt:lpstr>'7.RecoursPolice'!Zone_d_impression</vt:lpstr>
      <vt:lpstr>'8.Profil1'!Zone_d_impression</vt:lpstr>
      <vt:lpstr>'9.Profil2'!Zone_d_impression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GRENON MUR Marc</dc:creator>
  <cp:lastModifiedBy>GUEDJ Helene</cp:lastModifiedBy>
  <cp:lastPrinted>2016-11-21T13:17:52Z</cp:lastPrinted>
  <dcterms:created xsi:type="dcterms:W3CDTF">2016-01-06T15:49:01Z</dcterms:created>
  <dcterms:modified xsi:type="dcterms:W3CDTF">2016-12-15T14:41:03Z</dcterms:modified>
</cp:coreProperties>
</file>
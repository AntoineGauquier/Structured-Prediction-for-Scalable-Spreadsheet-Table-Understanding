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autoCompressPictures="0" defaultThemeVersion="124226"/>
  <mc:AlternateContent xmlns:mc="http://schemas.openxmlformats.org/markup-compatibility/2006">
    <mc:Choice Requires="x15">
      <x15ac:absPath xmlns:x15ac="http://schemas.microsoft.com/office/spreadsheetml/2010/11/ac" url="C:\Users\castillol\LIBRARIES\_BUREAU\_2024\"/>
    </mc:Choice>
  </mc:AlternateContent>
  <xr:revisionPtr revIDLastSave="0" documentId="8_{E51F2AF4-93B9-4160-B92D-0D6316BD8D59}" xr6:coauthVersionLast="47" xr6:coauthVersionMax="47" xr10:uidLastSave="{00000000-0000-0000-0000-000000000000}"/>
  <bookViews>
    <workbookView xWindow="28680" yWindow="-120" windowWidth="29040" windowHeight="15840" firstSheet="6" activeTab="6" xr2:uid="{00000000-000D-0000-FFFF-FFFF00000000}"/>
  </bookViews>
  <sheets>
    <sheet name="Sample Size" sheetId="24" state="hidden" r:id="rId1"/>
    <sheet name="Sample Allocation" sheetId="16" state="hidden" r:id="rId2"/>
    <sheet name="PSU Selection" sheetId="18" state="hidden" r:id="rId3"/>
    <sheet name="PSU Listing" sheetId="25" state="hidden" r:id="rId4"/>
    <sheet name="HH Selection" sheetId="32" state="hidden" r:id="rId5"/>
    <sheet name="Sampling Weights" sheetId="27" state="hidden" r:id="rId6"/>
    <sheet name="Sampling Errors" sheetId="28" r:id="rId7"/>
  </sheets>
  <definedNames>
    <definedName name="_xlnm._FilterDatabase" localSheetId="2" hidden="1">'PSU Selection'!$L$10:$L$144</definedName>
    <definedName name="_xlnm._FilterDatabase" localSheetId="6" hidden="1">'Sampling Errors'!$B$7:$B$216</definedName>
    <definedName name="_xlnm._FilterDatabase" localSheetId="5" hidden="1">'Sampling Weights'!$B$7:$B$216</definedName>
    <definedName name="_xlnm.Extract" localSheetId="6">'Sampling Errors'!#REF!</definedName>
    <definedName name="_xlnm.Extract" localSheetId="5">'Sampling Weights'!#REF!</definedName>
    <definedName name="_xlnm.Print_Area" localSheetId="1">'Sample Allocation'!$A$1:$R$32</definedName>
    <definedName name="_xlnm.Print_Area" localSheetId="0">'Sample Size'!$A$3:$E$17</definedName>
    <definedName name="_xlnm.Print_Area" localSheetId="5">'Sampling Weights'!$A$4:$G$20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AG8" i="32" l="1"/>
  <c r="AG9" i="32"/>
  <c r="AG10" i="32"/>
  <c r="AG11" i="32"/>
  <c r="AG12" i="32"/>
  <c r="AG13" i="32"/>
  <c r="AG14" i="32"/>
  <c r="AG15" i="32"/>
  <c r="AG16" i="32"/>
  <c r="AG17" i="32"/>
  <c r="AG18" i="32"/>
  <c r="AG19" i="32"/>
  <c r="AG20" i="32"/>
  <c r="AG21" i="32"/>
  <c r="AG22" i="32"/>
  <c r="AG23" i="32"/>
  <c r="AG24" i="32"/>
  <c r="AG25" i="32"/>
  <c r="AG26" i="32"/>
  <c r="AG27" i="32"/>
  <c r="AG28" i="32"/>
  <c r="AG29" i="32"/>
  <c r="AG30" i="32"/>
  <c r="AG31" i="32"/>
  <c r="AG32" i="32"/>
  <c r="AG33" i="32"/>
  <c r="AG34" i="32"/>
  <c r="AG35" i="32"/>
  <c r="AG36" i="32"/>
  <c r="AG37" i="32"/>
  <c r="AG38" i="32"/>
  <c r="AG39" i="32"/>
  <c r="AG40" i="32"/>
  <c r="AG41" i="32"/>
  <c r="AG42" i="32"/>
  <c r="AG43" i="32"/>
  <c r="AG44" i="32"/>
  <c r="AG45" i="32"/>
  <c r="AG46" i="32"/>
  <c r="AG47" i="32"/>
  <c r="AG48" i="32"/>
  <c r="AG49" i="32"/>
  <c r="AG50" i="32"/>
  <c r="AG51" i="32"/>
  <c r="AG52" i="32"/>
  <c r="AG53" i="32"/>
  <c r="AG54" i="32"/>
  <c r="AG55" i="32"/>
  <c r="AG56" i="32"/>
  <c r="AG57" i="32"/>
  <c r="AG58" i="32"/>
  <c r="AG59" i="32"/>
  <c r="AG60" i="32"/>
  <c r="AG61" i="32"/>
  <c r="AG62" i="32"/>
  <c r="AG63" i="32"/>
  <c r="AG64" i="32"/>
  <c r="AG65" i="32"/>
  <c r="AG66" i="32"/>
  <c r="AG67" i="32"/>
  <c r="AG68" i="32"/>
  <c r="AG69" i="32"/>
  <c r="AG70" i="32"/>
  <c r="AG71" i="32"/>
  <c r="AG72" i="32"/>
  <c r="AG73" i="32"/>
  <c r="AG74" i="32"/>
  <c r="AG75" i="32"/>
  <c r="AG76" i="32"/>
  <c r="AG77" i="32"/>
  <c r="AG78" i="32"/>
  <c r="AG79" i="32"/>
  <c r="AG80" i="32"/>
  <c r="AG81" i="32"/>
  <c r="AG82" i="32"/>
  <c r="AG83" i="32"/>
  <c r="AG84" i="32"/>
  <c r="AG85" i="32"/>
  <c r="AG86" i="32"/>
  <c r="AG87" i="32"/>
  <c r="AG88" i="32"/>
  <c r="AG89" i="32"/>
  <c r="AG90" i="32"/>
  <c r="AG91" i="32"/>
  <c r="AG92" i="32"/>
  <c r="AG93" i="32"/>
  <c r="AG94" i="32"/>
  <c r="AG95" i="32"/>
  <c r="AG96" i="32"/>
  <c r="AG97" i="32"/>
  <c r="AG98" i="32"/>
  <c r="AG99" i="32"/>
  <c r="AG100" i="32"/>
  <c r="AG101" i="32"/>
  <c r="AG102" i="32"/>
  <c r="AG103" i="32"/>
  <c r="AG104" i="32"/>
  <c r="AG105" i="32"/>
  <c r="AG106" i="32"/>
  <c r="AG7" i="32"/>
  <c r="H5" i="32"/>
  <c r="I5" i="32"/>
  <c r="AE9" i="25"/>
  <c r="AE10" i="25"/>
  <c r="AE11" i="25"/>
  <c r="AE12" i="25"/>
  <c r="AE13" i="25"/>
  <c r="AE14" i="25"/>
  <c r="AE15" i="25"/>
  <c r="AE16" i="25"/>
  <c r="AE17" i="25"/>
  <c r="AE18" i="25"/>
  <c r="AE19" i="25"/>
  <c r="R19" i="25" s="1"/>
  <c r="AE20" i="25"/>
  <c r="R20" i="25" s="1"/>
  <c r="AE21" i="25"/>
  <c r="AE22" i="25"/>
  <c r="AE23" i="25"/>
  <c r="AE24" i="25"/>
  <c r="AE25" i="25"/>
  <c r="AE26" i="25"/>
  <c r="AE27" i="25"/>
  <c r="AE28" i="25"/>
  <c r="AE29" i="25"/>
  <c r="AE30" i="25"/>
  <c r="AE31" i="25"/>
  <c r="AE32" i="25"/>
  <c r="AE33" i="25"/>
  <c r="AE34" i="25"/>
  <c r="AE35" i="25"/>
  <c r="AE36" i="25"/>
  <c r="AE37" i="25"/>
  <c r="AE38" i="25"/>
  <c r="AE39" i="25"/>
  <c r="AE40" i="25"/>
  <c r="AE41" i="25"/>
  <c r="AE42" i="25"/>
  <c r="AE43" i="25"/>
  <c r="AE44" i="25"/>
  <c r="AE45" i="25"/>
  <c r="AE46" i="25"/>
  <c r="AE47" i="25"/>
  <c r="AE48" i="25"/>
  <c r="AF48" i="25" s="1"/>
  <c r="AE49" i="25"/>
  <c r="AE50" i="25"/>
  <c r="AE51" i="25"/>
  <c r="AE52" i="25"/>
  <c r="AE53" i="25"/>
  <c r="AE54" i="25"/>
  <c r="AE55" i="25"/>
  <c r="AE56" i="25"/>
  <c r="AE57" i="25"/>
  <c r="AE58" i="25"/>
  <c r="AE59" i="25"/>
  <c r="AE60" i="25"/>
  <c r="AE61" i="25"/>
  <c r="AL61" i="25" s="1"/>
  <c r="AE62" i="25"/>
  <c r="AE63" i="25"/>
  <c r="AE64" i="25"/>
  <c r="AE65" i="25"/>
  <c r="AE66" i="25"/>
  <c r="AE67" i="25"/>
  <c r="AE68" i="25"/>
  <c r="R68" i="25" s="1"/>
  <c r="AE69" i="25"/>
  <c r="AE70" i="25"/>
  <c r="AE71" i="25"/>
  <c r="AE72" i="25"/>
  <c r="AE73" i="25"/>
  <c r="AE74" i="25"/>
  <c r="AE75" i="25"/>
  <c r="AE76" i="25"/>
  <c r="AE77" i="25"/>
  <c r="R77" i="25" s="1"/>
  <c r="AE78" i="25"/>
  <c r="AE79" i="25"/>
  <c r="AE80" i="25"/>
  <c r="AE81" i="25"/>
  <c r="AA9" i="25"/>
  <c r="AI8" i="25"/>
  <c r="AF19" i="25"/>
  <c r="AF23" i="25"/>
  <c r="AF38" i="25"/>
  <c r="AF49" i="25"/>
  <c r="AE82" i="25"/>
  <c r="AE83" i="25"/>
  <c r="AE84" i="25"/>
  <c r="AE85" i="25"/>
  <c r="AE86" i="25"/>
  <c r="AE87" i="25"/>
  <c r="AE88" i="25"/>
  <c r="AE89" i="25"/>
  <c r="AL89" i="25" s="1"/>
  <c r="AE90" i="25"/>
  <c r="AL90" i="25" s="1"/>
  <c r="AE91" i="25"/>
  <c r="AE92" i="25"/>
  <c r="AE93" i="25"/>
  <c r="AL93" i="25" s="1"/>
  <c r="AA82" i="25"/>
  <c r="AB82" i="25" s="1"/>
  <c r="AE94" i="25"/>
  <c r="AE95" i="25"/>
  <c r="AE96" i="25"/>
  <c r="AE97" i="25"/>
  <c r="AE98" i="25"/>
  <c r="AF176" i="25" s="1"/>
  <c r="AE99" i="25"/>
  <c r="AE100" i="25"/>
  <c r="AE101" i="25"/>
  <c r="AE102" i="25"/>
  <c r="R102" i="25" s="1"/>
  <c r="AE103" i="25"/>
  <c r="AE104" i="25"/>
  <c r="AE105" i="25"/>
  <c r="AE106" i="25"/>
  <c r="AE107" i="25"/>
  <c r="R107" i="25" s="1"/>
  <c r="AE108" i="25"/>
  <c r="AE109" i="25"/>
  <c r="AE110" i="25"/>
  <c r="AE111" i="25"/>
  <c r="R111" i="25" s="1"/>
  <c r="AE112" i="25"/>
  <c r="AE113" i="25"/>
  <c r="AE114" i="25"/>
  <c r="AE115" i="25"/>
  <c r="AE116" i="25"/>
  <c r="AF130" i="25" s="1"/>
  <c r="AE117" i="25"/>
  <c r="R117" i="25" s="1"/>
  <c r="AE118" i="25"/>
  <c r="AE119" i="25"/>
  <c r="AE120" i="25"/>
  <c r="AE121" i="25"/>
  <c r="AE122" i="25"/>
  <c r="AE123" i="25"/>
  <c r="AE124" i="25"/>
  <c r="AE125" i="25"/>
  <c r="AE126" i="25"/>
  <c r="AE127" i="25"/>
  <c r="R127" i="25" s="1"/>
  <c r="AE128" i="25"/>
  <c r="AE129" i="25"/>
  <c r="AE130" i="25"/>
  <c r="AE131" i="25"/>
  <c r="AE132" i="25"/>
  <c r="AE133" i="25"/>
  <c r="AE134" i="25"/>
  <c r="AE135" i="25"/>
  <c r="AE136" i="25"/>
  <c r="AE137" i="25"/>
  <c r="R137" i="25" s="1"/>
  <c r="AE138" i="25"/>
  <c r="AE139" i="25"/>
  <c r="AE140" i="25"/>
  <c r="R140" i="25" s="1"/>
  <c r="AE141" i="25"/>
  <c r="AE142" i="25"/>
  <c r="AE143" i="25"/>
  <c r="AE144" i="25"/>
  <c r="AE145" i="25"/>
  <c r="AE146" i="25"/>
  <c r="AE147" i="25"/>
  <c r="AE148" i="25"/>
  <c r="AE149" i="25"/>
  <c r="AE150" i="25"/>
  <c r="AE151" i="25"/>
  <c r="AE152" i="25"/>
  <c r="AE153" i="25"/>
  <c r="AE154" i="25"/>
  <c r="AE155" i="25"/>
  <c r="AE156" i="25"/>
  <c r="AF156" i="25" s="1"/>
  <c r="AE157" i="25"/>
  <c r="AE158" i="25"/>
  <c r="AE159" i="25"/>
  <c r="AE160" i="25"/>
  <c r="AE161" i="25"/>
  <c r="AE162" i="25"/>
  <c r="R162" i="25" s="1"/>
  <c r="AE163" i="25"/>
  <c r="AE164" i="25"/>
  <c r="AE165" i="25"/>
  <c r="AE166" i="25"/>
  <c r="AE167" i="25"/>
  <c r="AE168" i="25"/>
  <c r="AE169" i="25"/>
  <c r="AE170" i="25"/>
  <c r="AE171" i="25"/>
  <c r="AE172" i="25"/>
  <c r="AE173" i="25"/>
  <c r="AE174" i="25"/>
  <c r="AE175" i="25"/>
  <c r="AE176" i="25"/>
  <c r="AE177" i="25"/>
  <c r="AE178" i="25"/>
  <c r="AE179" i="25"/>
  <c r="AE180" i="25"/>
  <c r="AE181" i="25"/>
  <c r="AE182" i="25"/>
  <c r="AE183" i="25"/>
  <c r="AE184" i="25"/>
  <c r="AE185" i="25"/>
  <c r="AE186" i="25"/>
  <c r="AE187" i="25"/>
  <c r="AE188" i="25"/>
  <c r="AE189" i="25"/>
  <c r="AL189" i="25" s="1"/>
  <c r="AE190" i="25"/>
  <c r="AE191" i="25"/>
  <c r="AE192" i="25"/>
  <c r="AE193" i="25"/>
  <c r="AE194" i="25"/>
  <c r="AL194" i="25" s="1"/>
  <c r="AE195" i="25"/>
  <c r="AE196" i="25"/>
  <c r="AE197" i="25"/>
  <c r="AE198" i="25"/>
  <c r="AE199" i="25"/>
  <c r="AE200" i="25"/>
  <c r="AE201" i="25"/>
  <c r="AE202" i="25"/>
  <c r="AE203" i="25"/>
  <c r="AE204" i="25"/>
  <c r="AE205" i="25"/>
  <c r="R205" i="25" s="1"/>
  <c r="AE206" i="25"/>
  <c r="AE207" i="25"/>
  <c r="AE208" i="25"/>
  <c r="AE209" i="25"/>
  <c r="AE210" i="25"/>
  <c r="R210" i="25" s="1"/>
  <c r="AE211" i="25"/>
  <c r="AE212" i="25"/>
  <c r="AE213" i="25"/>
  <c r="AE214" i="25"/>
  <c r="AE215" i="25"/>
  <c r="AE216" i="25"/>
  <c r="AL216" i="25" s="1"/>
  <c r="AA94" i="25"/>
  <c r="AC8" i="25"/>
  <c r="Z9" i="25"/>
  <c r="O9" i="25" s="1"/>
  <c r="V9" i="25"/>
  <c r="X8" i="25"/>
  <c r="V82" i="25"/>
  <c r="V94" i="25"/>
  <c r="V95" i="25" s="1"/>
  <c r="H8" i="25"/>
  <c r="E8" i="25"/>
  <c r="E10" i="25"/>
  <c r="E11" i="25" s="1"/>
  <c r="E12" i="25" s="1"/>
  <c r="E13" i="25"/>
  <c r="E14" i="25" s="1"/>
  <c r="E15" i="25" s="1"/>
  <c r="E16" i="25" s="1"/>
  <c r="E17" i="25" s="1"/>
  <c r="E18" i="25" s="1"/>
  <c r="E19" i="25" s="1"/>
  <c r="E20" i="25" s="1"/>
  <c r="E21" i="25" s="1"/>
  <c r="E22" i="25" s="1"/>
  <c r="E23" i="25" s="1"/>
  <c r="E24" i="25" s="1"/>
  <c r="E25" i="25" s="1"/>
  <c r="E26" i="25" s="1"/>
  <c r="E27" i="25" s="1"/>
  <c r="E28" i="25" s="1"/>
  <c r="E29" i="25" s="1"/>
  <c r="E30" i="25" s="1"/>
  <c r="E31" i="25" s="1"/>
  <c r="E32" i="25" s="1"/>
  <c r="E33" i="25" s="1"/>
  <c r="E34" i="25" s="1"/>
  <c r="E35" i="25" s="1"/>
  <c r="E36" i="25" s="1"/>
  <c r="E37" i="25" s="1"/>
  <c r="E38" i="25" s="1"/>
  <c r="E39" i="25" s="1"/>
  <c r="E40" i="25" s="1"/>
  <c r="E41" i="25" s="1"/>
  <c r="E42" i="25" s="1"/>
  <c r="E43" i="25" s="1"/>
  <c r="E44" i="25" s="1"/>
  <c r="E45" i="25" s="1"/>
  <c r="E46" i="25" s="1"/>
  <c r="E47" i="25" s="1"/>
  <c r="E48" i="25" s="1"/>
  <c r="E49" i="25" s="1"/>
  <c r="E50" i="25" s="1"/>
  <c r="E51" i="25" s="1"/>
  <c r="E52" i="25" s="1"/>
  <c r="E53" i="25" s="1"/>
  <c r="E54" i="25" s="1"/>
  <c r="E55" i="25" s="1"/>
  <c r="E56" i="25" s="1"/>
  <c r="E57" i="25" s="1"/>
  <c r="E58" i="25" s="1"/>
  <c r="E59" i="25" s="1"/>
  <c r="E60" i="25" s="1"/>
  <c r="E61" i="25" s="1"/>
  <c r="E62" i="25" s="1"/>
  <c r="E63" i="25" s="1"/>
  <c r="E64" i="25" s="1"/>
  <c r="E65" i="25" s="1"/>
  <c r="E66" i="25" s="1"/>
  <c r="E67" i="25" s="1"/>
  <c r="E68" i="25" s="1"/>
  <c r="E69" i="25" s="1"/>
  <c r="E70" i="25" s="1"/>
  <c r="E71" i="25" s="1"/>
  <c r="E72" i="25" s="1"/>
  <c r="E73" i="25" s="1"/>
  <c r="E74" i="25" s="1"/>
  <c r="E75" i="25" s="1"/>
  <c r="E76" i="25" s="1"/>
  <c r="E77" i="25" s="1"/>
  <c r="E78" i="25" s="1"/>
  <c r="E79" i="25" s="1"/>
  <c r="E80" i="25" s="1"/>
  <c r="E81" i="25" s="1"/>
  <c r="E83" i="25"/>
  <c r="E84" i="25" s="1"/>
  <c r="E85" i="25" s="1"/>
  <c r="E86" i="25" s="1"/>
  <c r="E87" i="25" s="1"/>
  <c r="E88" i="25" s="1"/>
  <c r="E89" i="25" s="1"/>
  <c r="E90" i="25" s="1"/>
  <c r="E91" i="25" s="1"/>
  <c r="E92" i="25" s="1"/>
  <c r="E93" i="25" s="1"/>
  <c r="E95" i="25"/>
  <c r="E96" i="25"/>
  <c r="E97" i="25" s="1"/>
  <c r="E98" i="25" s="1"/>
  <c r="E99" i="25" s="1"/>
  <c r="E100" i="25" s="1"/>
  <c r="E101" i="25" s="1"/>
  <c r="E102" i="25" s="1"/>
  <c r="E103" i="25" s="1"/>
  <c r="E104" i="25" s="1"/>
  <c r="E105" i="25" s="1"/>
  <c r="E106" i="25" s="1"/>
  <c r="E107" i="25" s="1"/>
  <c r="E108" i="25" s="1"/>
  <c r="E109" i="25" s="1"/>
  <c r="E110" i="25" s="1"/>
  <c r="E111" i="25" s="1"/>
  <c r="E112" i="25" s="1"/>
  <c r="E113" i="25" s="1"/>
  <c r="E114" i="25" s="1"/>
  <c r="E115" i="25" s="1"/>
  <c r="E116" i="25" s="1"/>
  <c r="E117" i="25" s="1"/>
  <c r="E118" i="25" s="1"/>
  <c r="E119" i="25" s="1"/>
  <c r="E120" i="25" s="1"/>
  <c r="E121" i="25" s="1"/>
  <c r="E122" i="25" s="1"/>
  <c r="E123" i="25" s="1"/>
  <c r="E124" i="25" s="1"/>
  <c r="E125" i="25" s="1"/>
  <c r="E126" i="25" s="1"/>
  <c r="E127" i="25" s="1"/>
  <c r="E128" i="25" s="1"/>
  <c r="E129" i="25" s="1"/>
  <c r="E130" i="25" s="1"/>
  <c r="E131" i="25" s="1"/>
  <c r="E132" i="25" s="1"/>
  <c r="E133" i="25" s="1"/>
  <c r="E134" i="25" s="1"/>
  <c r="E135" i="25" s="1"/>
  <c r="E136" i="25" s="1"/>
  <c r="E137" i="25" s="1"/>
  <c r="E138" i="25" s="1"/>
  <c r="E139" i="25" s="1"/>
  <c r="E140" i="25" s="1"/>
  <c r="E141" i="25" s="1"/>
  <c r="E142" i="25" s="1"/>
  <c r="E143" i="25" s="1"/>
  <c r="E144" i="25" s="1"/>
  <c r="E145" i="25" s="1"/>
  <c r="E146" i="25" s="1"/>
  <c r="E147" i="25" s="1"/>
  <c r="E148" i="25" s="1"/>
  <c r="E149" i="25" s="1"/>
  <c r="E150" i="25" s="1"/>
  <c r="E151" i="25" s="1"/>
  <c r="E152" i="25" s="1"/>
  <c r="E153" i="25" s="1"/>
  <c r="E154" i="25" s="1"/>
  <c r="E155" i="25" s="1"/>
  <c r="E156" i="25" s="1"/>
  <c r="E157" i="25" s="1"/>
  <c r="E158" i="25" s="1"/>
  <c r="E159" i="25" s="1"/>
  <c r="E160" i="25" s="1"/>
  <c r="E161" i="25" s="1"/>
  <c r="E162" i="25" s="1"/>
  <c r="E163" i="25" s="1"/>
  <c r="E164" i="25" s="1"/>
  <c r="E165" i="25" s="1"/>
  <c r="E166" i="25" s="1"/>
  <c r="E167" i="25" s="1"/>
  <c r="E168" i="25" s="1"/>
  <c r="E169" i="25" s="1"/>
  <c r="E170" i="25" s="1"/>
  <c r="E171" i="25" s="1"/>
  <c r="E172" i="25" s="1"/>
  <c r="E173" i="25" s="1"/>
  <c r="E174" i="25" s="1"/>
  <c r="E175" i="25" s="1"/>
  <c r="E176" i="25" s="1"/>
  <c r="E177" i="25" s="1"/>
  <c r="E178" i="25" s="1"/>
  <c r="E179" i="25" s="1"/>
  <c r="E180" i="25" s="1"/>
  <c r="E181" i="25" s="1"/>
  <c r="E182" i="25" s="1"/>
  <c r="E183" i="25" s="1"/>
  <c r="E184" i="25" s="1"/>
  <c r="E185" i="25" s="1"/>
  <c r="E186" i="25" s="1"/>
  <c r="E187" i="25" s="1"/>
  <c r="E188" i="25" s="1"/>
  <c r="E189" i="25" s="1"/>
  <c r="E190" i="25" s="1"/>
  <c r="E191" i="25" s="1"/>
  <c r="E192" i="25" s="1"/>
  <c r="E193" i="25" s="1"/>
  <c r="E194" i="25" s="1"/>
  <c r="E195" i="25" s="1"/>
  <c r="E196" i="25" s="1"/>
  <c r="E197" i="25" s="1"/>
  <c r="E198" i="25" s="1"/>
  <c r="E199" i="25" s="1"/>
  <c r="E200" i="25" s="1"/>
  <c r="E201" i="25" s="1"/>
  <c r="E202" i="25" s="1"/>
  <c r="E203" i="25" s="1"/>
  <c r="E204" i="25" s="1"/>
  <c r="E205" i="25" s="1"/>
  <c r="E206" i="25" s="1"/>
  <c r="E207" i="25" s="1"/>
  <c r="E208" i="25" s="1"/>
  <c r="E209" i="25" s="1"/>
  <c r="E210" i="25" s="1"/>
  <c r="E211" i="25" s="1"/>
  <c r="E212" i="25" s="1"/>
  <c r="E213" i="25" s="1"/>
  <c r="E214" i="25" s="1"/>
  <c r="E215" i="25" s="1"/>
  <c r="E216" i="25" s="1"/>
  <c r="C156" i="25"/>
  <c r="C157" i="25"/>
  <c r="C158" i="25" s="1"/>
  <c r="C159" i="25" s="1"/>
  <c r="C160" i="25" s="1"/>
  <c r="C161" i="25" s="1"/>
  <c r="C162" i="25" s="1"/>
  <c r="C163" i="25" s="1"/>
  <c r="C164" i="25" s="1"/>
  <c r="C165" i="25" s="1"/>
  <c r="C166" i="25" s="1"/>
  <c r="C167" i="25" s="1"/>
  <c r="C168" i="25" s="1"/>
  <c r="C169" i="25" s="1"/>
  <c r="C170" i="25" s="1"/>
  <c r="C171" i="25" s="1"/>
  <c r="C125" i="25"/>
  <c r="C126" i="25"/>
  <c r="C127" i="25" s="1"/>
  <c r="C128" i="25" s="1"/>
  <c r="C129" i="25" s="1"/>
  <c r="C130" i="25" s="1"/>
  <c r="C131" i="25"/>
  <c r="C132" i="25" s="1"/>
  <c r="C133" i="25" s="1"/>
  <c r="C134" i="25" s="1"/>
  <c r="C135" i="25" s="1"/>
  <c r="C136" i="25" s="1"/>
  <c r="C137" i="25" s="1"/>
  <c r="C111" i="25"/>
  <c r="C112" i="25"/>
  <c r="C115" i="25"/>
  <c r="C116" i="25" s="1"/>
  <c r="C117" i="25" s="1"/>
  <c r="C118" i="25" s="1"/>
  <c r="C119" i="25" s="1"/>
  <c r="C120" i="25" s="1"/>
  <c r="C104" i="25"/>
  <c r="C105" i="25" s="1"/>
  <c r="C101" i="25"/>
  <c r="C102" i="25" s="1"/>
  <c r="C98" i="25"/>
  <c r="C95" i="25"/>
  <c r="C96" i="25" s="1"/>
  <c r="C83" i="25"/>
  <c r="C84" i="25"/>
  <c r="C85" i="25"/>
  <c r="C86" i="25"/>
  <c r="C87" i="25" s="1"/>
  <c r="C88" i="25" s="1"/>
  <c r="C89" i="25" s="1"/>
  <c r="C90" i="25" s="1"/>
  <c r="C91" i="25" s="1"/>
  <c r="C176" i="25"/>
  <c r="C180" i="25"/>
  <c r="C184" i="25"/>
  <c r="C189" i="25"/>
  <c r="C194" i="25"/>
  <c r="C199" i="25"/>
  <c r="C200" i="25" s="1"/>
  <c r="C201" i="25" s="1"/>
  <c r="C206" i="25"/>
  <c r="C209" i="25"/>
  <c r="C210" i="25"/>
  <c r="C10" i="25"/>
  <c r="C11" i="25" s="1"/>
  <c r="C13" i="25"/>
  <c r="C16" i="25"/>
  <c r="C17" i="25" s="1"/>
  <c r="C19" i="25"/>
  <c r="C20" i="25"/>
  <c r="C26" i="25"/>
  <c r="C27" i="25" s="1"/>
  <c r="C28" i="25" s="1"/>
  <c r="C29" i="25" s="1"/>
  <c r="C30" i="25" s="1"/>
  <c r="C31" i="25" s="1"/>
  <c r="C32" i="25" s="1"/>
  <c r="C33" i="25" s="1"/>
  <c r="C34" i="25" s="1"/>
  <c r="C35" i="25" s="1"/>
  <c r="C40" i="25"/>
  <c r="C41" i="25"/>
  <c r="C42" i="25" s="1"/>
  <c r="C43" i="25" s="1"/>
  <c r="C44" i="25" s="1"/>
  <c r="C45" i="25" s="1"/>
  <c r="C46" i="25" s="1"/>
  <c r="C47" i="25" s="1"/>
  <c r="C48" i="25" s="1"/>
  <c r="C49" i="25" s="1"/>
  <c r="C50" i="25" s="1"/>
  <c r="C51" i="25" s="1"/>
  <c r="C52" i="25" s="1"/>
  <c r="C71" i="25"/>
  <c r="C72" i="25" s="1"/>
  <c r="C73" i="25"/>
  <c r="C74" i="25" s="1"/>
  <c r="C75" i="25" s="1"/>
  <c r="C76" i="25" s="1"/>
  <c r="C77" i="25" s="1"/>
  <c r="C78" i="25" s="1"/>
  <c r="C79" i="25" s="1"/>
  <c r="C80" i="25" s="1"/>
  <c r="C81" i="25" s="1"/>
  <c r="D10" i="25"/>
  <c r="D11" i="25"/>
  <c r="D13" i="25"/>
  <c r="D14" i="25" s="1"/>
  <c r="D15" i="25" s="1"/>
  <c r="D16" i="25" s="1"/>
  <c r="D17" i="25" s="1"/>
  <c r="D19" i="25"/>
  <c r="D20" i="25" s="1"/>
  <c r="D21" i="25" s="1"/>
  <c r="D22" i="25" s="1"/>
  <c r="D23" i="25" s="1"/>
  <c r="D24" i="25" s="1"/>
  <c r="D25" i="25" s="1"/>
  <c r="D26" i="25" s="1"/>
  <c r="D27" i="25" s="1"/>
  <c r="D28" i="25" s="1"/>
  <c r="D29" i="25" s="1"/>
  <c r="D30" i="25" s="1"/>
  <c r="D31" i="25" s="1"/>
  <c r="D32" i="25" s="1"/>
  <c r="D33" i="25" s="1"/>
  <c r="D34" i="25" s="1"/>
  <c r="D35" i="25" s="1"/>
  <c r="D38" i="25"/>
  <c r="D39" i="25"/>
  <c r="D40" i="25" s="1"/>
  <c r="D41" i="25" s="1"/>
  <c r="D42" i="25" s="1"/>
  <c r="D43" i="25" s="1"/>
  <c r="D44" i="25" s="1"/>
  <c r="D45" i="25" s="1"/>
  <c r="D46" i="25" s="1"/>
  <c r="D47" i="25" s="1"/>
  <c r="D48" i="25" s="1"/>
  <c r="D49" i="25" s="1"/>
  <c r="D50" i="25" s="1"/>
  <c r="D51" i="25" s="1"/>
  <c r="D52" i="25" s="1"/>
  <c r="D53" i="25" s="1"/>
  <c r="D54" i="25" s="1"/>
  <c r="D55" i="25" s="1"/>
  <c r="D56" i="25" s="1"/>
  <c r="D57" i="25" s="1"/>
  <c r="D58" i="25" s="1"/>
  <c r="D59" i="25" s="1"/>
  <c r="D60" i="25" s="1"/>
  <c r="D61" i="25" s="1"/>
  <c r="D62" i="25" s="1"/>
  <c r="D63" i="25" s="1"/>
  <c r="D64" i="25" s="1"/>
  <c r="D65" i="25" s="1"/>
  <c r="D66" i="25" s="1"/>
  <c r="D67" i="25" s="1"/>
  <c r="D68" i="25" s="1"/>
  <c r="D69" i="25" s="1"/>
  <c r="D71" i="25"/>
  <c r="D72" i="25" s="1"/>
  <c r="D73" i="25"/>
  <c r="D74" i="25" s="1"/>
  <c r="D75" i="25" s="1"/>
  <c r="D76" i="25" s="1"/>
  <c r="D77" i="25" s="1"/>
  <c r="D78" i="25" s="1"/>
  <c r="D79" i="25" s="1"/>
  <c r="D80" i="25" s="1"/>
  <c r="D81" i="25" s="1"/>
  <c r="D83" i="25"/>
  <c r="D84" i="25"/>
  <c r="D85" i="25"/>
  <c r="D86" i="25" s="1"/>
  <c r="D87" i="25" s="1"/>
  <c r="D88" i="25" s="1"/>
  <c r="D89" i="25" s="1"/>
  <c r="D90" i="25" s="1"/>
  <c r="D91" i="25" s="1"/>
  <c r="D95" i="25"/>
  <c r="D96" i="25" s="1"/>
  <c r="D97" i="25" s="1"/>
  <c r="D98" i="25" s="1"/>
  <c r="D100" i="25"/>
  <c r="D101" i="25" s="1"/>
  <c r="D102" i="25" s="1"/>
  <c r="D103" i="25" s="1"/>
  <c r="D104" i="25" s="1"/>
  <c r="D105" i="25"/>
  <c r="D106" i="25" s="1"/>
  <c r="D107" i="25" s="1"/>
  <c r="D108" i="25" s="1"/>
  <c r="D109" i="25" s="1"/>
  <c r="D110" i="25" s="1"/>
  <c r="D111" i="25" s="1"/>
  <c r="D112" i="25" s="1"/>
  <c r="D114" i="25"/>
  <c r="D115" i="25" s="1"/>
  <c r="D116" i="25" s="1"/>
  <c r="D117" i="25" s="1"/>
  <c r="D118" i="25" s="1"/>
  <c r="D119" i="25" s="1"/>
  <c r="D120" i="25" s="1"/>
  <c r="D121" i="25" s="1"/>
  <c r="D122" i="25" s="1"/>
  <c r="D123" i="25" s="1"/>
  <c r="D124" i="25" s="1"/>
  <c r="D125" i="25" s="1"/>
  <c r="D126" i="25" s="1"/>
  <c r="D127" i="25" s="1"/>
  <c r="D128" i="25" s="1"/>
  <c r="D129" i="25" s="1"/>
  <c r="D130" i="25" s="1"/>
  <c r="D131" i="25" s="1"/>
  <c r="D132" i="25" s="1"/>
  <c r="D133" i="25" s="1"/>
  <c r="D134" i="25" s="1"/>
  <c r="D135" i="25" s="1"/>
  <c r="D136" i="25" s="1"/>
  <c r="D137" i="25" s="1"/>
  <c r="D138" i="25" s="1"/>
  <c r="D139" i="25" s="1"/>
  <c r="D140" i="25" s="1"/>
  <c r="D141" i="25" s="1"/>
  <c r="D142" i="25" s="1"/>
  <c r="D143" i="25" s="1"/>
  <c r="D144" i="25" s="1"/>
  <c r="D147" i="25"/>
  <c r="D148" i="25" s="1"/>
  <c r="D149" i="25" s="1"/>
  <c r="D150" i="25" s="1"/>
  <c r="D151" i="25" s="1"/>
  <c r="D152" i="25" s="1"/>
  <c r="D153" i="25" s="1"/>
  <c r="D154" i="25" s="1"/>
  <c r="D155" i="25" s="1"/>
  <c r="D156" i="25" s="1"/>
  <c r="D157" i="25" s="1"/>
  <c r="D158" i="25" s="1"/>
  <c r="D159" i="25" s="1"/>
  <c r="D160" i="25" s="1"/>
  <c r="D161" i="25" s="1"/>
  <c r="D162" i="25" s="1"/>
  <c r="D163" i="25" s="1"/>
  <c r="D164" i="25" s="1"/>
  <c r="D165" i="25" s="1"/>
  <c r="D166" i="25" s="1"/>
  <c r="D167" i="25" s="1"/>
  <c r="D168" i="25" s="1"/>
  <c r="D169" i="25" s="1"/>
  <c r="D170" i="25" s="1"/>
  <c r="D171" i="25" s="1"/>
  <c r="D173" i="25"/>
  <c r="D174" i="25" s="1"/>
  <c r="D175" i="25" s="1"/>
  <c r="D176" i="25" s="1"/>
  <c r="D177" i="25" s="1"/>
  <c r="D178" i="25" s="1"/>
  <c r="D179" i="25" s="1"/>
  <c r="D180" i="25" s="1"/>
  <c r="D181" i="25" s="1"/>
  <c r="D182" i="25" s="1"/>
  <c r="D183" i="25" s="1"/>
  <c r="D184" i="25" s="1"/>
  <c r="D185" i="25" s="1"/>
  <c r="D186" i="25" s="1"/>
  <c r="D187" i="25" s="1"/>
  <c r="D188" i="25" s="1"/>
  <c r="D189" i="25" s="1"/>
  <c r="D190" i="25" s="1"/>
  <c r="D191" i="25" s="1"/>
  <c r="D194" i="25"/>
  <c r="D195" i="25" s="1"/>
  <c r="D196" i="25" s="1"/>
  <c r="D197" i="25" s="1"/>
  <c r="D198" i="25" s="1"/>
  <c r="D199" i="25" s="1"/>
  <c r="D200" i="25" s="1"/>
  <c r="D201" i="25" s="1"/>
  <c r="D202" i="25" s="1"/>
  <c r="D203" i="25" s="1"/>
  <c r="D204" i="25" s="1"/>
  <c r="D205" i="25" s="1"/>
  <c r="D206" i="25" s="1"/>
  <c r="D207" i="25" s="1"/>
  <c r="D208" i="25" s="1"/>
  <c r="D209" i="25" s="1"/>
  <c r="D210" i="25" s="1"/>
  <c r="D211" i="25" s="1"/>
  <c r="D212" i="25" s="1"/>
  <c r="D213" i="25" s="1"/>
  <c r="D214" i="25" s="1"/>
  <c r="D215" i="25" s="1"/>
  <c r="D216" i="25" s="1"/>
  <c r="AO9" i="25"/>
  <c r="AO4" i="25"/>
  <c r="AO10" i="25"/>
  <c r="AO11" i="25"/>
  <c r="AP9" i="25"/>
  <c r="AO5" i="25"/>
  <c r="AO6" i="25" s="1"/>
  <c r="AP10" i="25"/>
  <c r="AP8" i="25" s="1"/>
  <c r="AP11" i="25"/>
  <c r="AL11" i="25"/>
  <c r="AL14" i="25"/>
  <c r="AL60" i="25"/>
  <c r="AL62" i="25"/>
  <c r="AL63" i="25"/>
  <c r="AL64" i="25"/>
  <c r="AL65" i="25"/>
  <c r="AL66" i="25"/>
  <c r="AL67" i="25"/>
  <c r="AL68" i="25"/>
  <c r="AL69" i="25"/>
  <c r="AL70" i="25"/>
  <c r="AL71" i="25"/>
  <c r="AL72" i="25"/>
  <c r="AL73" i="25"/>
  <c r="AL74" i="25"/>
  <c r="AL75" i="25"/>
  <c r="AL76" i="25"/>
  <c r="AL78" i="25"/>
  <c r="AL79" i="25"/>
  <c r="AL80" i="25"/>
  <c r="AL81" i="25"/>
  <c r="AL92" i="25"/>
  <c r="AL96" i="25"/>
  <c r="AL97" i="25"/>
  <c r="AL98" i="25"/>
  <c r="AL102" i="25"/>
  <c r="AL104" i="25"/>
  <c r="AL185" i="25"/>
  <c r="AL186" i="25"/>
  <c r="AL190" i="25"/>
  <c r="AL191" i="25"/>
  <c r="AL192" i="25"/>
  <c r="AL193" i="25"/>
  <c r="AL201" i="25"/>
  <c r="AL202" i="25"/>
  <c r="AL205" i="25"/>
  <c r="AL206" i="25"/>
  <c r="AL208" i="25"/>
  <c r="AL209" i="25"/>
  <c r="AL210" i="25"/>
  <c r="AL213" i="25"/>
  <c r="AL214" i="25"/>
  <c r="AL9" i="25"/>
  <c r="Z10" i="25"/>
  <c r="O10" i="25" s="1"/>
  <c r="Z11" i="25"/>
  <c r="O11" i="25" s="1"/>
  <c r="Z12" i="25"/>
  <c r="O12" i="25"/>
  <c r="Z13" i="25"/>
  <c r="O13" i="25" s="1"/>
  <c r="Z14" i="25"/>
  <c r="O14" i="25" s="1"/>
  <c r="Z15" i="25"/>
  <c r="O15" i="25" s="1"/>
  <c r="Z16" i="25"/>
  <c r="O16" i="25" s="1"/>
  <c r="Z17" i="25"/>
  <c r="O17" i="25" s="1"/>
  <c r="Z18" i="25"/>
  <c r="O18" i="25" s="1"/>
  <c r="Z19" i="25"/>
  <c r="O19" i="25" s="1"/>
  <c r="Z20" i="25"/>
  <c r="O20" i="25" s="1"/>
  <c r="Z21" i="25"/>
  <c r="O21" i="25" s="1"/>
  <c r="Z22" i="25"/>
  <c r="O22" i="25" s="1"/>
  <c r="Z23" i="25"/>
  <c r="O23" i="25" s="1"/>
  <c r="Z24" i="25"/>
  <c r="O24" i="25" s="1"/>
  <c r="Z25" i="25"/>
  <c r="O25" i="25" s="1"/>
  <c r="Z26" i="25"/>
  <c r="O26" i="25" s="1"/>
  <c r="Z27" i="25"/>
  <c r="O27" i="25" s="1"/>
  <c r="Z28" i="25"/>
  <c r="O28" i="25" s="1"/>
  <c r="Z29" i="25"/>
  <c r="O29" i="25" s="1"/>
  <c r="Z30" i="25"/>
  <c r="O30" i="25" s="1"/>
  <c r="Z31" i="25"/>
  <c r="O31" i="25" s="1"/>
  <c r="Z32" i="25"/>
  <c r="O32" i="25" s="1"/>
  <c r="Z33" i="25"/>
  <c r="O33" i="25" s="1"/>
  <c r="Z34" i="25"/>
  <c r="O34" i="25" s="1"/>
  <c r="Z35" i="25"/>
  <c r="O35" i="25"/>
  <c r="Z36" i="25"/>
  <c r="O36" i="25" s="1"/>
  <c r="Z37" i="25"/>
  <c r="O37" i="25" s="1"/>
  <c r="Z38" i="25"/>
  <c r="O38" i="25" s="1"/>
  <c r="Z39" i="25"/>
  <c r="O39" i="25" s="1"/>
  <c r="Z40" i="25"/>
  <c r="O40" i="25" s="1"/>
  <c r="Z41" i="25"/>
  <c r="O41" i="25" s="1"/>
  <c r="Z42" i="25"/>
  <c r="O42" i="25" s="1"/>
  <c r="Z43" i="25"/>
  <c r="O43" i="25" s="1"/>
  <c r="Z44" i="25"/>
  <c r="O44" i="25" s="1"/>
  <c r="Z45" i="25"/>
  <c r="O45" i="25" s="1"/>
  <c r="Z46" i="25"/>
  <c r="O46" i="25" s="1"/>
  <c r="Z47" i="25"/>
  <c r="O47" i="25" s="1"/>
  <c r="Z48" i="25"/>
  <c r="O48" i="25" s="1"/>
  <c r="Z49" i="25"/>
  <c r="O49" i="25" s="1"/>
  <c r="Z50" i="25"/>
  <c r="O50" i="25" s="1"/>
  <c r="Z51" i="25"/>
  <c r="O51" i="25" s="1"/>
  <c r="Z52" i="25"/>
  <c r="O52" i="25" s="1"/>
  <c r="Z53" i="25"/>
  <c r="O53" i="25" s="1"/>
  <c r="Z54" i="25"/>
  <c r="O54" i="25" s="1"/>
  <c r="Z55" i="25"/>
  <c r="O55" i="25" s="1"/>
  <c r="Z56" i="25"/>
  <c r="O56" i="25" s="1"/>
  <c r="Z57" i="25"/>
  <c r="O57" i="25" s="1"/>
  <c r="Z58" i="25"/>
  <c r="O58" i="25" s="1"/>
  <c r="Z59" i="25"/>
  <c r="O59" i="25" s="1"/>
  <c r="Z60" i="25"/>
  <c r="O60" i="25" s="1"/>
  <c r="Z61" i="25"/>
  <c r="O61" i="25" s="1"/>
  <c r="Z62" i="25"/>
  <c r="O62" i="25" s="1"/>
  <c r="Z63" i="25"/>
  <c r="O63" i="25" s="1"/>
  <c r="Z64" i="25"/>
  <c r="O64" i="25" s="1"/>
  <c r="Z65" i="25"/>
  <c r="O65" i="25" s="1"/>
  <c r="Z66" i="25"/>
  <c r="O66" i="25" s="1"/>
  <c r="Z67" i="25"/>
  <c r="O67" i="25"/>
  <c r="Z68" i="25"/>
  <c r="O68" i="25" s="1"/>
  <c r="Z69" i="25"/>
  <c r="O69" i="25" s="1"/>
  <c r="Z70" i="25"/>
  <c r="O70" i="25" s="1"/>
  <c r="Z71" i="25"/>
  <c r="O71" i="25" s="1"/>
  <c r="Z72" i="25"/>
  <c r="O72" i="25"/>
  <c r="Z73" i="25"/>
  <c r="O73" i="25" s="1"/>
  <c r="Z74" i="25"/>
  <c r="O74" i="25" s="1"/>
  <c r="Z75" i="25"/>
  <c r="O75" i="25" s="1"/>
  <c r="Z76" i="25"/>
  <c r="O76" i="25" s="1"/>
  <c r="Z77" i="25"/>
  <c r="O77" i="25" s="1"/>
  <c r="Z78" i="25"/>
  <c r="O78" i="25" s="1"/>
  <c r="Z79" i="25"/>
  <c r="O79" i="25" s="1"/>
  <c r="Z80" i="25"/>
  <c r="O80" i="25" s="1"/>
  <c r="Z81" i="25"/>
  <c r="O81" i="25" s="1"/>
  <c r="Z82" i="25"/>
  <c r="O82" i="25" s="1"/>
  <c r="Z83" i="25"/>
  <c r="O83" i="25" s="1"/>
  <c r="Z84" i="25"/>
  <c r="O84" i="25" s="1"/>
  <c r="Z85" i="25"/>
  <c r="O85" i="25" s="1"/>
  <c r="Z86" i="25"/>
  <c r="O86" i="25" s="1"/>
  <c r="Z87" i="25"/>
  <c r="O87" i="25" s="1"/>
  <c r="Z88" i="25"/>
  <c r="O88" i="25"/>
  <c r="Z89" i="25"/>
  <c r="O89" i="25" s="1"/>
  <c r="Z90" i="25"/>
  <c r="O90" i="25" s="1"/>
  <c r="Z91" i="25"/>
  <c r="O91" i="25" s="1"/>
  <c r="Z92" i="25"/>
  <c r="O92" i="25" s="1"/>
  <c r="Z93" i="25"/>
  <c r="O93" i="25" s="1"/>
  <c r="Z94" i="25"/>
  <c r="O94" i="25" s="1"/>
  <c r="Z95" i="25"/>
  <c r="O95" i="25" s="1"/>
  <c r="Z96" i="25"/>
  <c r="O96" i="25" s="1"/>
  <c r="Z97" i="25"/>
  <c r="O97" i="25" s="1"/>
  <c r="Z98" i="25"/>
  <c r="O98" i="25" s="1"/>
  <c r="Z99" i="25"/>
  <c r="O99" i="25"/>
  <c r="Z100" i="25"/>
  <c r="O100" i="25" s="1"/>
  <c r="Z101" i="25"/>
  <c r="O101" i="25" s="1"/>
  <c r="Z102" i="25"/>
  <c r="O102" i="25" s="1"/>
  <c r="Z103" i="25"/>
  <c r="O103" i="25"/>
  <c r="Z104" i="25"/>
  <c r="O104" i="25" s="1"/>
  <c r="Z105" i="25"/>
  <c r="O105" i="25" s="1"/>
  <c r="Z106" i="25"/>
  <c r="O106" i="25" s="1"/>
  <c r="Z107" i="25"/>
  <c r="O107" i="25" s="1"/>
  <c r="Z108" i="25"/>
  <c r="O108" i="25" s="1"/>
  <c r="Z109" i="25"/>
  <c r="O109" i="25" s="1"/>
  <c r="Z110" i="25"/>
  <c r="O110" i="25" s="1"/>
  <c r="Z111" i="25"/>
  <c r="O111" i="25" s="1"/>
  <c r="Z112" i="25"/>
  <c r="O112" i="25"/>
  <c r="Z113" i="25"/>
  <c r="O113" i="25" s="1"/>
  <c r="Z114" i="25"/>
  <c r="O114" i="25" s="1"/>
  <c r="Z115" i="25"/>
  <c r="O115" i="25"/>
  <c r="Z116" i="25"/>
  <c r="O116" i="25" s="1"/>
  <c r="Z117" i="25"/>
  <c r="O117" i="25" s="1"/>
  <c r="Z118" i="25"/>
  <c r="O118" i="25" s="1"/>
  <c r="Z119" i="25"/>
  <c r="O119" i="25" s="1"/>
  <c r="Z120" i="25"/>
  <c r="O120" i="25" s="1"/>
  <c r="Z121" i="25"/>
  <c r="O121" i="25" s="1"/>
  <c r="Z122" i="25"/>
  <c r="O122" i="25" s="1"/>
  <c r="Z123" i="25"/>
  <c r="O123" i="25" s="1"/>
  <c r="Z124" i="25"/>
  <c r="O124" i="25" s="1"/>
  <c r="Z125" i="25"/>
  <c r="O125" i="25" s="1"/>
  <c r="Z126" i="25"/>
  <c r="O126" i="25" s="1"/>
  <c r="Z127" i="25"/>
  <c r="O127" i="25" s="1"/>
  <c r="Z128" i="25"/>
  <c r="O128" i="25" s="1"/>
  <c r="Z129" i="25"/>
  <c r="O129" i="25" s="1"/>
  <c r="Z130" i="25"/>
  <c r="O130" i="25" s="1"/>
  <c r="Z131" i="25"/>
  <c r="O131" i="25" s="1"/>
  <c r="Z132" i="25"/>
  <c r="O132" i="25" s="1"/>
  <c r="Z133" i="25"/>
  <c r="O133" i="25" s="1"/>
  <c r="Z134" i="25"/>
  <c r="O134" i="25" s="1"/>
  <c r="Z135" i="25"/>
  <c r="O135" i="25" s="1"/>
  <c r="Z136" i="25"/>
  <c r="O136" i="25" s="1"/>
  <c r="Z137" i="25"/>
  <c r="O137" i="25" s="1"/>
  <c r="Z138" i="25"/>
  <c r="O138" i="25" s="1"/>
  <c r="Z139" i="25"/>
  <c r="O139" i="25" s="1"/>
  <c r="Z140" i="25"/>
  <c r="O140" i="25" s="1"/>
  <c r="Z141" i="25"/>
  <c r="O141" i="25" s="1"/>
  <c r="Z142" i="25"/>
  <c r="O142" i="25" s="1"/>
  <c r="Z143" i="25"/>
  <c r="O143" i="25" s="1"/>
  <c r="Z144" i="25"/>
  <c r="O144" i="25" s="1"/>
  <c r="Z145" i="25"/>
  <c r="O145" i="25" s="1"/>
  <c r="Z146" i="25"/>
  <c r="O146" i="25" s="1"/>
  <c r="Z147" i="25"/>
  <c r="O147" i="25" s="1"/>
  <c r="Z148" i="25"/>
  <c r="O148" i="25" s="1"/>
  <c r="Z149" i="25"/>
  <c r="O149" i="25" s="1"/>
  <c r="Z150" i="25"/>
  <c r="O150" i="25" s="1"/>
  <c r="Z151" i="25"/>
  <c r="O151" i="25" s="1"/>
  <c r="Z152" i="25"/>
  <c r="O152" i="25" s="1"/>
  <c r="Z153" i="25"/>
  <c r="O153" i="25" s="1"/>
  <c r="Z154" i="25"/>
  <c r="O154" i="25" s="1"/>
  <c r="Z155" i="25"/>
  <c r="O155" i="25" s="1"/>
  <c r="Z156" i="25"/>
  <c r="O156" i="25" s="1"/>
  <c r="Z157" i="25"/>
  <c r="O157" i="25" s="1"/>
  <c r="Z158" i="25"/>
  <c r="O158" i="25" s="1"/>
  <c r="Z159" i="25"/>
  <c r="O159" i="25" s="1"/>
  <c r="Z160" i="25"/>
  <c r="O160" i="25" s="1"/>
  <c r="Z161" i="25"/>
  <c r="O161" i="25" s="1"/>
  <c r="Z162" i="25"/>
  <c r="O162" i="25" s="1"/>
  <c r="Z163" i="25"/>
  <c r="O163" i="25"/>
  <c r="Z164" i="25"/>
  <c r="O164" i="25" s="1"/>
  <c r="Z165" i="25"/>
  <c r="O165" i="25" s="1"/>
  <c r="Z166" i="25"/>
  <c r="O166" i="25" s="1"/>
  <c r="Z167" i="25"/>
  <c r="O167" i="25" s="1"/>
  <c r="Z168" i="25"/>
  <c r="O168" i="25" s="1"/>
  <c r="Z169" i="25"/>
  <c r="O169" i="25" s="1"/>
  <c r="Z170" i="25"/>
  <c r="O170" i="25" s="1"/>
  <c r="Z171" i="25"/>
  <c r="O171" i="25" s="1"/>
  <c r="Z172" i="25"/>
  <c r="O172" i="25" s="1"/>
  <c r="Z173" i="25"/>
  <c r="O173" i="25" s="1"/>
  <c r="Z174" i="25"/>
  <c r="O174" i="25" s="1"/>
  <c r="Z175" i="25"/>
  <c r="O175" i="25" s="1"/>
  <c r="Z176" i="25"/>
  <c r="O176" i="25"/>
  <c r="Z177" i="25"/>
  <c r="O177" i="25" s="1"/>
  <c r="Z178" i="25"/>
  <c r="O178" i="25" s="1"/>
  <c r="Z179" i="25"/>
  <c r="O179" i="25" s="1"/>
  <c r="Z180" i="25"/>
  <c r="O180" i="25" s="1"/>
  <c r="Z181" i="25"/>
  <c r="O181" i="25" s="1"/>
  <c r="Z182" i="25"/>
  <c r="O182" i="25" s="1"/>
  <c r="Z183" i="25"/>
  <c r="O183" i="25"/>
  <c r="Z184" i="25"/>
  <c r="O184" i="25" s="1"/>
  <c r="Z185" i="25"/>
  <c r="O185" i="25" s="1"/>
  <c r="Z186" i="25"/>
  <c r="O186" i="25" s="1"/>
  <c r="Z187" i="25"/>
  <c r="O187" i="25" s="1"/>
  <c r="Z188" i="25"/>
  <c r="O188" i="25" s="1"/>
  <c r="Z189" i="25"/>
  <c r="O189" i="25" s="1"/>
  <c r="Z190" i="25"/>
  <c r="O190" i="25" s="1"/>
  <c r="Z191" i="25"/>
  <c r="O191" i="25" s="1"/>
  <c r="Z192" i="25"/>
  <c r="O192" i="25"/>
  <c r="Z193" i="25"/>
  <c r="O193" i="25" s="1"/>
  <c r="Z194" i="25"/>
  <c r="O194" i="25" s="1"/>
  <c r="Z195" i="25"/>
  <c r="O195" i="25"/>
  <c r="Z196" i="25"/>
  <c r="O196" i="25" s="1"/>
  <c r="Z197" i="25"/>
  <c r="O197" i="25" s="1"/>
  <c r="Z198" i="25"/>
  <c r="O198" i="25" s="1"/>
  <c r="Z199" i="25"/>
  <c r="O199" i="25" s="1"/>
  <c r="Z200" i="25"/>
  <c r="O200" i="25" s="1"/>
  <c r="Z201" i="25"/>
  <c r="O201" i="25" s="1"/>
  <c r="Z202" i="25"/>
  <c r="O202" i="25" s="1"/>
  <c r="Z203" i="25"/>
  <c r="O203" i="25" s="1"/>
  <c r="Z204" i="25"/>
  <c r="O204" i="25" s="1"/>
  <c r="Z205" i="25"/>
  <c r="O205" i="25" s="1"/>
  <c r="Z206" i="25"/>
  <c r="O206" i="25" s="1"/>
  <c r="Z207" i="25"/>
  <c r="O207" i="25" s="1"/>
  <c r="Z208" i="25"/>
  <c r="O208" i="25" s="1"/>
  <c r="Z209" i="25"/>
  <c r="O209" i="25" s="1"/>
  <c r="Z210" i="25"/>
  <c r="O210" i="25" s="1"/>
  <c r="Z211" i="25"/>
  <c r="O211" i="25" s="1"/>
  <c r="Z212" i="25"/>
  <c r="O212" i="25" s="1"/>
  <c r="Z213" i="25"/>
  <c r="O213" i="25" s="1"/>
  <c r="Z214" i="25"/>
  <c r="O214" i="25" s="1"/>
  <c r="Z215" i="25"/>
  <c r="O215" i="25" s="1"/>
  <c r="Z216" i="25"/>
  <c r="O216" i="25"/>
  <c r="R10" i="25"/>
  <c r="R11" i="25"/>
  <c r="R14" i="25"/>
  <c r="R15" i="25"/>
  <c r="R16" i="25"/>
  <c r="R17" i="25"/>
  <c r="R18" i="25"/>
  <c r="R22" i="25"/>
  <c r="R23" i="25"/>
  <c r="R24" i="25"/>
  <c r="R25" i="25"/>
  <c r="R26" i="25"/>
  <c r="R30" i="25"/>
  <c r="R31" i="25"/>
  <c r="R32" i="25"/>
  <c r="R33" i="25"/>
  <c r="R34" i="25"/>
  <c r="R38" i="25"/>
  <c r="R39" i="25"/>
  <c r="R40" i="25"/>
  <c r="R41" i="25"/>
  <c r="R42" i="25"/>
  <c r="R46" i="25"/>
  <c r="R47" i="25"/>
  <c r="R48" i="25"/>
  <c r="R49" i="25"/>
  <c r="R50" i="25"/>
  <c r="R54" i="25"/>
  <c r="R55" i="25"/>
  <c r="R56" i="25"/>
  <c r="R57" i="25"/>
  <c r="R58" i="25"/>
  <c r="R62" i="25"/>
  <c r="R63" i="25"/>
  <c r="R64" i="25"/>
  <c r="R65" i="25"/>
  <c r="R66" i="25"/>
  <c r="R70" i="25"/>
  <c r="R71" i="25"/>
  <c r="R72" i="25"/>
  <c r="R73" i="25"/>
  <c r="R74" i="25"/>
  <c r="R78" i="25"/>
  <c r="R79" i="25"/>
  <c r="R80" i="25"/>
  <c r="R81" i="25"/>
  <c r="R82" i="25"/>
  <c r="R84" i="25"/>
  <c r="R85" i="25"/>
  <c r="R86" i="25"/>
  <c r="R87" i="25"/>
  <c r="R88" i="25"/>
  <c r="R89" i="25"/>
  <c r="R90" i="25"/>
  <c r="R92" i="25"/>
  <c r="R96" i="25"/>
  <c r="R97" i="25"/>
  <c r="R98" i="25"/>
  <c r="R105" i="25"/>
  <c r="R106" i="25"/>
  <c r="R110" i="25"/>
  <c r="R112" i="25"/>
  <c r="R113" i="25"/>
  <c r="R114" i="25"/>
  <c r="R120" i="25"/>
  <c r="R121" i="25"/>
  <c r="R122" i="25"/>
  <c r="R126" i="25"/>
  <c r="R128" i="25"/>
  <c r="R129" i="25"/>
  <c r="R130" i="25"/>
  <c r="R136" i="25"/>
  <c r="R138" i="25"/>
  <c r="R142" i="25"/>
  <c r="R144" i="25"/>
  <c r="R145" i="25"/>
  <c r="R146" i="25"/>
  <c r="R150" i="25"/>
  <c r="R152" i="25"/>
  <c r="R153" i="25"/>
  <c r="R154" i="25"/>
  <c r="R160" i="25"/>
  <c r="R161" i="25"/>
  <c r="R166" i="25"/>
  <c r="R168" i="25"/>
  <c r="R169" i="25"/>
  <c r="R170" i="25"/>
  <c r="R174" i="25"/>
  <c r="R176" i="25"/>
  <c r="R177" i="25"/>
  <c r="R178" i="25"/>
  <c r="R182" i="25"/>
  <c r="R184" i="25"/>
  <c r="R185" i="25"/>
  <c r="R186" i="25"/>
  <c r="R192" i="25"/>
  <c r="R193" i="25"/>
  <c r="R194" i="25"/>
  <c r="R201" i="25"/>
  <c r="R202" i="25"/>
  <c r="R206" i="25"/>
  <c r="R207" i="25"/>
  <c r="R208" i="25"/>
  <c r="R209" i="25"/>
  <c r="R214" i="25"/>
  <c r="R216" i="25"/>
  <c r="R9" i="25"/>
  <c r="J8" i="25"/>
  <c r="I8" i="25"/>
  <c r="P82" i="25"/>
  <c r="AF125" i="25"/>
  <c r="AF175" i="25"/>
  <c r="AF143" i="25"/>
  <c r="AF135" i="25"/>
  <c r="AF107" i="25"/>
  <c r="AF208" i="25"/>
  <c r="AG208" i="25" s="1"/>
  <c r="AH208" i="25" s="1"/>
  <c r="M5" i="18"/>
  <c r="D9" i="18"/>
  <c r="D6" i="18"/>
  <c r="Q4" i="32" s="1"/>
  <c r="AH4" i="32" s="1"/>
  <c r="AH24" i="32" s="1"/>
  <c r="G24" i="32" s="1"/>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5" i="18"/>
  <c r="C5" i="16"/>
  <c r="E11" i="16" s="1"/>
  <c r="K10" i="16"/>
  <c r="K11" i="16"/>
  <c r="K12" i="16"/>
  <c r="K13" i="16"/>
  <c r="K14" i="16"/>
  <c r="K15" i="16"/>
  <c r="K16" i="16"/>
  <c r="K17" i="16"/>
  <c r="K18" i="16"/>
  <c r="K19" i="16"/>
  <c r="K20" i="16"/>
  <c r="K21" i="16"/>
  <c r="K22" i="16"/>
  <c r="K23" i="16"/>
  <c r="K24" i="16"/>
  <c r="K25" i="16"/>
  <c r="K26" i="16"/>
  <c r="K27" i="16"/>
  <c r="K28" i="16"/>
  <c r="K29" i="16"/>
  <c r="J10" i="16"/>
  <c r="J11" i="16"/>
  <c r="J12" i="16"/>
  <c r="J13" i="16"/>
  <c r="J14" i="16"/>
  <c r="J15" i="16"/>
  <c r="J16" i="16"/>
  <c r="J17" i="16"/>
  <c r="J18" i="16"/>
  <c r="J19" i="16"/>
  <c r="J20" i="16"/>
  <c r="J21" i="16"/>
  <c r="J22" i="16"/>
  <c r="J23" i="16"/>
  <c r="J24" i="16"/>
  <c r="J25" i="16"/>
  <c r="J26" i="16"/>
  <c r="J27" i="16"/>
  <c r="J28" i="16"/>
  <c r="J29" i="16"/>
  <c r="B9" i="16"/>
  <c r="F28" i="16" s="1"/>
  <c r="E26" i="16"/>
  <c r="C9" i="16"/>
  <c r="F16" i="16"/>
  <c r="F24" i="16"/>
  <c r="F11" i="16"/>
  <c r="F23" i="16"/>
  <c r="F27" i="16"/>
  <c r="F13" i="16"/>
  <c r="F21" i="16"/>
  <c r="E13" i="16"/>
  <c r="E21" i="16"/>
  <c r="B9" i="24"/>
  <c r="E9" i="24" s="1"/>
  <c r="B13" i="24"/>
  <c r="E13" i="24"/>
  <c r="E7" i="24"/>
  <c r="E11" i="24"/>
  <c r="E16" i="24"/>
  <c r="E12" i="24"/>
  <c r="E15" i="24" s="1"/>
  <c r="A40" i="24"/>
  <c r="E10" i="24"/>
  <c r="B29" i="24"/>
  <c r="B28" i="24"/>
  <c r="B27" i="24"/>
  <c r="D8" i="28"/>
  <c r="D9" i="28"/>
  <c r="D10" i="28"/>
  <c r="D11" i="28"/>
  <c r="D12" i="28"/>
  <c r="D13" i="28"/>
  <c r="D14" i="28"/>
  <c r="D24" i="28"/>
  <c r="D25" i="28"/>
  <c r="D26" i="28"/>
  <c r="D27" i="28"/>
  <c r="D32" i="28"/>
  <c r="D33" i="28"/>
  <c r="D34" i="28"/>
  <c r="D35" i="28"/>
  <c r="D36" i="28"/>
  <c r="D37" i="28"/>
  <c r="D38" i="28"/>
  <c r="D39" i="28"/>
  <c r="D40" i="28"/>
  <c r="D41" i="28"/>
  <c r="D42" i="28"/>
  <c r="D43" i="28"/>
  <c r="D44" i="28"/>
  <c r="D45" i="28"/>
  <c r="D46" i="28"/>
  <c r="D48" i="28"/>
  <c r="D49" i="28"/>
  <c r="D50" i="28"/>
  <c r="D51" i="28"/>
  <c r="D56" i="28"/>
  <c r="D57" i="28"/>
  <c r="D58" i="28"/>
  <c r="D59" i="28"/>
  <c r="D60" i="28"/>
  <c r="D61" i="28"/>
  <c r="D62" i="28"/>
  <c r="D63" i="28"/>
  <c r="D64" i="28"/>
  <c r="D75" i="28"/>
  <c r="D76" i="28"/>
  <c r="D77" i="28"/>
  <c r="D82" i="28"/>
  <c r="D83" i="28"/>
  <c r="D84" i="28"/>
  <c r="D85" i="28"/>
  <c r="D94" i="28"/>
  <c r="D95" i="28"/>
  <c r="D96" i="28"/>
  <c r="D97" i="28"/>
  <c r="D98" i="28"/>
  <c r="D99" i="28"/>
  <c r="D100" i="28"/>
  <c r="D101" i="28"/>
  <c r="D102" i="28"/>
  <c r="D103" i="28"/>
  <c r="D113" i="28"/>
  <c r="D114" i="28"/>
  <c r="D115" i="28"/>
  <c r="D116" i="28"/>
  <c r="D117" i="28"/>
  <c r="D118" i="28"/>
  <c r="D119" i="28"/>
  <c r="D120" i="28"/>
  <c r="D126" i="28"/>
  <c r="D127" i="28"/>
  <c r="D128" i="28"/>
  <c r="D129" i="28"/>
  <c r="D130" i="28"/>
  <c r="D138" i="28"/>
  <c r="D139" i="28"/>
  <c r="D140" i="28"/>
  <c r="D145" i="28"/>
  <c r="D146" i="28"/>
  <c r="D147" i="28"/>
  <c r="D148" i="28"/>
  <c r="D154" i="28"/>
  <c r="D155" i="28"/>
  <c r="D162" i="28"/>
  <c r="D163" i="28"/>
  <c r="D164" i="28"/>
  <c r="D165" i="28"/>
  <c r="D166" i="28"/>
  <c r="D167" i="28"/>
  <c r="D168" i="28"/>
  <c r="D169" i="28"/>
  <c r="D170" i="28"/>
  <c r="D171" i="28"/>
  <c r="D172" i="28"/>
  <c r="D173" i="28"/>
  <c r="D180" i="28"/>
  <c r="D181" i="28"/>
  <c r="D185" i="28"/>
  <c r="D186" i="28"/>
  <c r="D192" i="28"/>
  <c r="D193" i="28"/>
  <c r="D196" i="28"/>
  <c r="D197" i="28"/>
  <c r="D198" i="28"/>
  <c r="D199" i="28"/>
  <c r="D205" i="28"/>
  <c r="D206" i="28"/>
  <c r="D207" i="28"/>
  <c r="D212" i="28"/>
  <c r="D15" i="28"/>
  <c r="D16" i="28"/>
  <c r="D17" i="28"/>
  <c r="D18" i="28"/>
  <c r="D19" i="28"/>
  <c r="D20" i="28"/>
  <c r="D21" i="28"/>
  <c r="D22" i="28"/>
  <c r="D23" i="28"/>
  <c r="D28" i="28"/>
  <c r="D29" i="28"/>
  <c r="D30" i="28"/>
  <c r="D31" i="28"/>
  <c r="D47" i="28"/>
  <c r="D52" i="28"/>
  <c r="D53" i="28"/>
  <c r="D54" i="28"/>
  <c r="D55" i="28"/>
  <c r="D65" i="28"/>
  <c r="D66" i="28"/>
  <c r="D67" i="28"/>
  <c r="D68" i="28"/>
  <c r="D69" i="28"/>
  <c r="D70" i="28"/>
  <c r="D71" i="28"/>
  <c r="D72" i="28"/>
  <c r="D73" i="28"/>
  <c r="D74" i="28"/>
  <c r="D78" i="28"/>
  <c r="D79" i="28"/>
  <c r="D80" i="28"/>
  <c r="D81" i="28"/>
  <c r="D86" i="28"/>
  <c r="D87" i="28"/>
  <c r="D88" i="28"/>
  <c r="D89" i="28"/>
  <c r="D90" i="28"/>
  <c r="D91" i="28"/>
  <c r="D92" i="28"/>
  <c r="D93" i="28"/>
  <c r="D104" i="28"/>
  <c r="D105" i="28"/>
  <c r="D106" i="28"/>
  <c r="D107" i="28"/>
  <c r="D108" i="28"/>
  <c r="D109" i="28"/>
  <c r="D110" i="28"/>
  <c r="D111" i="28"/>
  <c r="D112" i="28"/>
  <c r="D121" i="28"/>
  <c r="D122" i="28"/>
  <c r="D123" i="28"/>
  <c r="D124" i="28"/>
  <c r="D125" i="28"/>
  <c r="D131" i="28"/>
  <c r="D132" i="28"/>
  <c r="D133" i="28"/>
  <c r="D134" i="28"/>
  <c r="D135" i="28"/>
  <c r="D136" i="28"/>
  <c r="D137" i="28"/>
  <c r="D141" i="28"/>
  <c r="D142" i="28"/>
  <c r="D143" i="28"/>
  <c r="D144" i="28"/>
  <c r="D149" i="28"/>
  <c r="D150" i="28"/>
  <c r="D151" i="28"/>
  <c r="D152" i="28"/>
  <c r="D153" i="28"/>
  <c r="D156" i="28"/>
  <c r="D157" i="28"/>
  <c r="D158" i="28"/>
  <c r="D159" i="28"/>
  <c r="D160" i="28"/>
  <c r="D161" i="28"/>
  <c r="D174" i="28"/>
  <c r="D175" i="28"/>
  <c r="D176" i="28"/>
  <c r="D177" i="28"/>
  <c r="D178" i="28"/>
  <c r="D179" i="28"/>
  <c r="D182" i="28"/>
  <c r="D183" i="28"/>
  <c r="D184" i="28"/>
  <c r="D187" i="28"/>
  <c r="D188" i="28"/>
  <c r="D189" i="28"/>
  <c r="D190" i="28"/>
  <c r="D191" i="28"/>
  <c r="D194" i="28"/>
  <c r="D195" i="28"/>
  <c r="D200" i="28"/>
  <c r="D201" i="28"/>
  <c r="D202" i="28"/>
  <c r="D203" i="28"/>
  <c r="D204" i="28"/>
  <c r="D208" i="28"/>
  <c r="D209" i="28"/>
  <c r="D210" i="28"/>
  <c r="D211" i="28"/>
  <c r="D213" i="28"/>
  <c r="D214" i="28"/>
  <c r="D215" i="28"/>
  <c r="D216" i="28"/>
  <c r="BY8" i="28"/>
  <c r="BY9" i="28"/>
  <c r="BY10" i="28"/>
  <c r="BY11" i="28"/>
  <c r="BY12" i="28"/>
  <c r="BY13" i="28"/>
  <c r="BY14" i="28"/>
  <c r="BY15" i="28"/>
  <c r="BY16" i="28"/>
  <c r="BY17" i="28"/>
  <c r="BY18" i="28"/>
  <c r="BY19" i="28"/>
  <c r="BY20" i="28"/>
  <c r="BY21" i="28"/>
  <c r="BY22" i="28"/>
  <c r="BY23" i="28"/>
  <c r="BY24" i="28"/>
  <c r="BY25" i="28"/>
  <c r="BY26" i="28"/>
  <c r="BY27" i="28"/>
  <c r="BY29" i="28"/>
  <c r="BY30" i="28"/>
  <c r="BY32" i="28"/>
  <c r="BY33" i="28"/>
  <c r="BY34" i="28"/>
  <c r="BY35" i="28"/>
  <c r="BY36" i="28"/>
  <c r="BY37" i="28"/>
  <c r="BY38" i="28"/>
  <c r="BY39" i="28"/>
  <c r="BY40" i="28"/>
  <c r="BY41" i="28"/>
  <c r="BY42" i="28"/>
  <c r="BY43" i="28"/>
  <c r="BY44" i="28"/>
  <c r="BY45" i="28"/>
  <c r="BY46" i="28"/>
  <c r="BY47" i="28"/>
  <c r="BY48" i="28"/>
  <c r="M36" i="28"/>
  <c r="M37" i="28"/>
  <c r="M38" i="28"/>
  <c r="M39" i="28"/>
  <c r="M40" i="28"/>
  <c r="M41" i="28"/>
  <c r="M42" i="28"/>
  <c r="M43" i="28"/>
  <c r="M35" i="28"/>
  <c r="BY28" i="28"/>
  <c r="BY31" i="28"/>
  <c r="T9" i="27"/>
  <c r="U9" i="27"/>
  <c r="V9" i="27"/>
  <c r="P9" i="27" s="1"/>
  <c r="T10" i="27"/>
  <c r="U10" i="27"/>
  <c r="V10" i="27"/>
  <c r="P10" i="27"/>
  <c r="Q10" i="27" s="1"/>
  <c r="T11" i="27"/>
  <c r="U11" i="27"/>
  <c r="T12" i="27"/>
  <c r="U12" i="27"/>
  <c r="T13" i="27"/>
  <c r="U13" i="27"/>
  <c r="T14" i="27"/>
  <c r="U14" i="27"/>
  <c r="V14" i="27"/>
  <c r="P14" i="27" s="1"/>
  <c r="T15" i="27"/>
  <c r="U15" i="27"/>
  <c r="W15" i="27"/>
  <c r="T16" i="27"/>
  <c r="U16" i="27"/>
  <c r="T17" i="27"/>
  <c r="U17" i="27"/>
  <c r="T18" i="27"/>
  <c r="V18" i="27" s="1"/>
  <c r="P18" i="27" s="1"/>
  <c r="U18" i="27"/>
  <c r="T19" i="27"/>
  <c r="U19" i="27"/>
  <c r="T20" i="27"/>
  <c r="U20" i="27"/>
  <c r="T21" i="27"/>
  <c r="U21" i="27"/>
  <c r="T22" i="27"/>
  <c r="U22" i="27"/>
  <c r="W22" i="27"/>
  <c r="T23" i="27"/>
  <c r="U23" i="27"/>
  <c r="V23" i="27" s="1"/>
  <c r="P23" i="27" s="1"/>
  <c r="W23" i="27"/>
  <c r="T24" i="27"/>
  <c r="U24" i="27"/>
  <c r="T25" i="27"/>
  <c r="U25" i="27"/>
  <c r="T26" i="27"/>
  <c r="U26" i="27"/>
  <c r="T27" i="27"/>
  <c r="U27" i="27"/>
  <c r="T28" i="27"/>
  <c r="U28" i="27"/>
  <c r="T29" i="27"/>
  <c r="U29" i="27"/>
  <c r="T30" i="27"/>
  <c r="U30" i="27"/>
  <c r="V30" i="27"/>
  <c r="P30" i="27" s="1"/>
  <c r="T31" i="27"/>
  <c r="U31" i="27"/>
  <c r="T32" i="27"/>
  <c r="V32" i="27" s="1"/>
  <c r="U32" i="27"/>
  <c r="T33" i="27"/>
  <c r="V33" i="27" s="1"/>
  <c r="P33" i="27" s="1"/>
  <c r="U33" i="27"/>
  <c r="T34" i="27"/>
  <c r="U34" i="27"/>
  <c r="T35" i="27"/>
  <c r="U35" i="27"/>
  <c r="W35" i="27"/>
  <c r="T36" i="27"/>
  <c r="V36" i="27" s="1"/>
  <c r="P36" i="27" s="1"/>
  <c r="Q36" i="27" s="1"/>
  <c r="U36" i="27"/>
  <c r="T37" i="27"/>
  <c r="V37" i="27" s="1"/>
  <c r="P37" i="27" s="1"/>
  <c r="U37" i="27"/>
  <c r="T38" i="27"/>
  <c r="U38" i="27"/>
  <c r="W38" i="27"/>
  <c r="T39" i="27"/>
  <c r="V39" i="27" s="1"/>
  <c r="P39" i="27" s="1"/>
  <c r="U39" i="27"/>
  <c r="T40" i="27"/>
  <c r="U40" i="27"/>
  <c r="T41" i="27"/>
  <c r="U41" i="27"/>
  <c r="V41" i="27"/>
  <c r="P41" i="27" s="1"/>
  <c r="T42" i="27"/>
  <c r="U42" i="27"/>
  <c r="T43" i="27"/>
  <c r="U43" i="27"/>
  <c r="T44" i="27"/>
  <c r="U44" i="27"/>
  <c r="V44" i="27" s="1"/>
  <c r="P44" i="27" s="1"/>
  <c r="Q44" i="27" s="1"/>
  <c r="T45" i="27"/>
  <c r="V45" i="27" s="1"/>
  <c r="P45" i="27" s="1"/>
  <c r="Q45" i="27" s="1"/>
  <c r="AA45" i="27" s="1"/>
  <c r="U45" i="27"/>
  <c r="T46" i="27"/>
  <c r="U46" i="27"/>
  <c r="T47" i="27"/>
  <c r="U47" i="27"/>
  <c r="W47" i="27"/>
  <c r="T48" i="27"/>
  <c r="U48" i="27"/>
  <c r="V48" i="27" s="1"/>
  <c r="P48" i="27" s="1"/>
  <c r="T49" i="27"/>
  <c r="V49" i="27" s="1"/>
  <c r="P49" i="27" s="1"/>
  <c r="U49" i="27"/>
  <c r="T50" i="27"/>
  <c r="U50" i="27"/>
  <c r="V50" i="27"/>
  <c r="P50" i="27" s="1"/>
  <c r="T51" i="27"/>
  <c r="U51" i="27"/>
  <c r="V51" i="27"/>
  <c r="P51" i="27" s="1"/>
  <c r="T52" i="27"/>
  <c r="V52" i="27" s="1"/>
  <c r="P52" i="27" s="1"/>
  <c r="U52" i="27"/>
  <c r="T53" i="27"/>
  <c r="U53" i="27"/>
  <c r="T54" i="27"/>
  <c r="U54" i="27"/>
  <c r="W54" i="27"/>
  <c r="T55" i="27"/>
  <c r="V55" i="27" s="1"/>
  <c r="P55" i="27" s="1"/>
  <c r="Q55" i="27" s="1"/>
  <c r="U55" i="27"/>
  <c r="W55" i="27"/>
  <c r="T56" i="27"/>
  <c r="U56" i="27"/>
  <c r="T57" i="27"/>
  <c r="U57" i="27"/>
  <c r="T58" i="27"/>
  <c r="U58" i="27"/>
  <c r="V58" i="27" s="1"/>
  <c r="P58" i="27" s="1"/>
  <c r="T59" i="27"/>
  <c r="U59" i="27"/>
  <c r="T60" i="27"/>
  <c r="U60" i="27"/>
  <c r="T61" i="27"/>
  <c r="U61" i="27"/>
  <c r="T62" i="27"/>
  <c r="V62" i="27" s="1"/>
  <c r="P62" i="27" s="1"/>
  <c r="U62" i="27"/>
  <c r="T63" i="27"/>
  <c r="U63" i="27"/>
  <c r="T64" i="27"/>
  <c r="U64" i="27"/>
  <c r="T65" i="27"/>
  <c r="U65" i="27"/>
  <c r="T66" i="27"/>
  <c r="U66" i="27"/>
  <c r="V66" i="27" s="1"/>
  <c r="P66" i="27" s="1"/>
  <c r="T67" i="27"/>
  <c r="U67" i="27"/>
  <c r="V67" i="27"/>
  <c r="P67" i="27" s="1"/>
  <c r="W67" i="27"/>
  <c r="T68" i="27"/>
  <c r="U68" i="27"/>
  <c r="T69" i="27"/>
  <c r="V69" i="27" s="1"/>
  <c r="P69" i="27" s="1"/>
  <c r="U69" i="27"/>
  <c r="T70" i="27"/>
  <c r="U70" i="27"/>
  <c r="V70" i="27"/>
  <c r="P70" i="27"/>
  <c r="Q70" i="27" s="1"/>
  <c r="W70" i="27"/>
  <c r="T71" i="27"/>
  <c r="U71" i="27"/>
  <c r="T72" i="27"/>
  <c r="U72" i="27"/>
  <c r="T73" i="27"/>
  <c r="U73" i="27"/>
  <c r="T74" i="27"/>
  <c r="U74" i="27"/>
  <c r="V74" i="27" s="1"/>
  <c r="P74" i="27" s="1"/>
  <c r="T75" i="27"/>
  <c r="V75" i="27" s="1"/>
  <c r="P75" i="27" s="1"/>
  <c r="U75" i="27"/>
  <c r="T76" i="27"/>
  <c r="U76" i="27"/>
  <c r="T77" i="27"/>
  <c r="U77" i="27"/>
  <c r="V77" i="27"/>
  <c r="P77" i="27" s="1"/>
  <c r="T78" i="27"/>
  <c r="U78" i="27"/>
  <c r="T79" i="27"/>
  <c r="V79" i="27" s="1"/>
  <c r="P79" i="27" s="1"/>
  <c r="U79" i="27"/>
  <c r="T80" i="27"/>
  <c r="U80" i="27"/>
  <c r="T81" i="27"/>
  <c r="U81" i="27"/>
  <c r="V81" i="27"/>
  <c r="P81" i="27"/>
  <c r="T82" i="27"/>
  <c r="V82" i="27" s="1"/>
  <c r="P82" i="27" s="1"/>
  <c r="U82" i="27"/>
  <c r="T83" i="27"/>
  <c r="U83" i="27"/>
  <c r="V83" i="27"/>
  <c r="T84" i="27"/>
  <c r="U84" i="27"/>
  <c r="T85" i="27"/>
  <c r="V85" i="27" s="1"/>
  <c r="P85" i="27" s="1"/>
  <c r="Q85" i="27" s="1"/>
  <c r="U85" i="27"/>
  <c r="T86" i="27"/>
  <c r="U86" i="27"/>
  <c r="V86" i="27"/>
  <c r="P86" i="27"/>
  <c r="Q86" i="27" s="1"/>
  <c r="T87" i="27"/>
  <c r="U87" i="27"/>
  <c r="V87" i="27"/>
  <c r="P87" i="27" s="1"/>
  <c r="T88" i="27"/>
  <c r="U88" i="27"/>
  <c r="V88" i="27"/>
  <c r="P88" i="27" s="1"/>
  <c r="T89" i="27"/>
  <c r="U89" i="27"/>
  <c r="T90" i="27"/>
  <c r="U90" i="27"/>
  <c r="T91" i="27"/>
  <c r="U91" i="27"/>
  <c r="T92" i="27"/>
  <c r="U92" i="27"/>
  <c r="T93" i="27"/>
  <c r="U93" i="27"/>
  <c r="V93" i="27"/>
  <c r="P93" i="27" s="1"/>
  <c r="Q93" i="27" s="1"/>
  <c r="AB93" i="27" s="1"/>
  <c r="T94" i="27"/>
  <c r="V94" i="27" s="1"/>
  <c r="P94" i="27" s="1"/>
  <c r="U94" i="27"/>
  <c r="T95" i="27"/>
  <c r="U95" i="27"/>
  <c r="T96" i="27"/>
  <c r="U96" i="27"/>
  <c r="V96" i="27" s="1"/>
  <c r="P96" i="27" s="1"/>
  <c r="Q96" i="27" s="1"/>
  <c r="AC96" i="27" s="1"/>
  <c r="T97" i="27"/>
  <c r="U97" i="27"/>
  <c r="V97" i="27"/>
  <c r="P97" i="27" s="1"/>
  <c r="T98" i="27"/>
  <c r="U98" i="27"/>
  <c r="V98" i="27"/>
  <c r="P98" i="27" s="1"/>
  <c r="T99" i="27"/>
  <c r="U99" i="27"/>
  <c r="T100" i="27"/>
  <c r="V100" i="27" s="1"/>
  <c r="U100" i="27"/>
  <c r="T101" i="27"/>
  <c r="V101" i="27" s="1"/>
  <c r="P101" i="27" s="1"/>
  <c r="U101" i="27"/>
  <c r="T102" i="27"/>
  <c r="U102" i="27"/>
  <c r="T103" i="27"/>
  <c r="U103" i="27"/>
  <c r="T104" i="27"/>
  <c r="U104" i="27"/>
  <c r="V104" i="27"/>
  <c r="T105" i="27"/>
  <c r="U105" i="27"/>
  <c r="T106" i="27"/>
  <c r="U106" i="27"/>
  <c r="V106" i="27"/>
  <c r="P106" i="27" s="1"/>
  <c r="Q106" i="27" s="1"/>
  <c r="Y106" i="27" s="1"/>
  <c r="T107" i="27"/>
  <c r="U107" i="27"/>
  <c r="T108" i="27"/>
  <c r="V108" i="27" s="1"/>
  <c r="P108" i="27" s="1"/>
  <c r="Q108" i="27" s="1"/>
  <c r="Y108" i="27" s="1"/>
  <c r="U108" i="27"/>
  <c r="T109" i="27"/>
  <c r="V109" i="27" s="1"/>
  <c r="P109" i="27" s="1"/>
  <c r="U109" i="27"/>
  <c r="T110" i="27"/>
  <c r="U110" i="27"/>
  <c r="T111" i="27"/>
  <c r="V111" i="27" s="1"/>
  <c r="P111" i="27" s="1"/>
  <c r="Q111" i="27" s="1"/>
  <c r="AA111" i="27" s="1"/>
  <c r="U111" i="27"/>
  <c r="T112" i="27"/>
  <c r="U112" i="27"/>
  <c r="T113" i="27"/>
  <c r="U113" i="27"/>
  <c r="T114" i="27"/>
  <c r="U114" i="27"/>
  <c r="V114" i="27"/>
  <c r="P114" i="27"/>
  <c r="Q114" i="27" s="1"/>
  <c r="T115" i="27"/>
  <c r="V115" i="27" s="1"/>
  <c r="P115" i="27" s="1"/>
  <c r="U115" i="27"/>
  <c r="T116" i="27"/>
  <c r="U116" i="27"/>
  <c r="T117" i="27"/>
  <c r="U117" i="27"/>
  <c r="T118" i="27"/>
  <c r="V118" i="27" s="1"/>
  <c r="P118" i="27" s="1"/>
  <c r="Q118" i="27" s="1"/>
  <c r="U118" i="27"/>
  <c r="T119" i="27"/>
  <c r="U119" i="27"/>
  <c r="V119" i="27"/>
  <c r="P119" i="27"/>
  <c r="T120" i="27"/>
  <c r="U120" i="27"/>
  <c r="V120" i="27"/>
  <c r="P120" i="27" s="1"/>
  <c r="Q120" i="27" s="1"/>
  <c r="AB120" i="27" s="1"/>
  <c r="T121" i="27"/>
  <c r="V121" i="27" s="1"/>
  <c r="P121" i="27" s="1"/>
  <c r="U121" i="27"/>
  <c r="T122" i="27"/>
  <c r="U122" i="27"/>
  <c r="V122" i="27"/>
  <c r="P122" i="27" s="1"/>
  <c r="T123" i="27"/>
  <c r="V123" i="27" s="1"/>
  <c r="P123" i="27" s="1"/>
  <c r="Q123" i="27" s="1"/>
  <c r="U123" i="27"/>
  <c r="T124" i="27"/>
  <c r="U124" i="27"/>
  <c r="T125" i="27"/>
  <c r="U125" i="27"/>
  <c r="V125" i="27"/>
  <c r="P125" i="27" s="1"/>
  <c r="T126" i="27"/>
  <c r="U126" i="27"/>
  <c r="T127" i="27"/>
  <c r="U127" i="27"/>
  <c r="T128" i="27"/>
  <c r="U128" i="27"/>
  <c r="T129" i="27"/>
  <c r="U129" i="27"/>
  <c r="V129" i="27"/>
  <c r="P129" i="27"/>
  <c r="T130" i="27"/>
  <c r="V130" i="27" s="1"/>
  <c r="P130" i="27" s="1"/>
  <c r="Q130" i="27" s="1"/>
  <c r="U130" i="27"/>
  <c r="T131" i="27"/>
  <c r="U131" i="27"/>
  <c r="V131" i="27"/>
  <c r="P131" i="27" s="1"/>
  <c r="Q131" i="27" s="1"/>
  <c r="T132" i="27"/>
  <c r="U132" i="27"/>
  <c r="V132" i="27" s="1"/>
  <c r="P132" i="27" s="1"/>
  <c r="T133" i="27"/>
  <c r="V133" i="27" s="1"/>
  <c r="P133" i="27" s="1"/>
  <c r="U133" i="27"/>
  <c r="T134" i="27"/>
  <c r="V134" i="27" s="1"/>
  <c r="P134" i="27" s="1"/>
  <c r="U134" i="27"/>
  <c r="T135" i="27"/>
  <c r="U135" i="27"/>
  <c r="T136" i="27"/>
  <c r="V136" i="27" s="1"/>
  <c r="P136" i="27" s="1"/>
  <c r="U136" i="27"/>
  <c r="T137" i="27"/>
  <c r="V137" i="27" s="1"/>
  <c r="P137" i="27" s="1"/>
  <c r="U137" i="27"/>
  <c r="T138" i="27"/>
  <c r="U138" i="27"/>
  <c r="T139" i="27"/>
  <c r="V139" i="27" s="1"/>
  <c r="P139" i="27" s="1"/>
  <c r="Q139" i="27" s="1"/>
  <c r="U139" i="27"/>
  <c r="T140" i="27"/>
  <c r="U140" i="27"/>
  <c r="V140" i="27" s="1"/>
  <c r="P140" i="27" s="1"/>
  <c r="Q140" i="27" s="1"/>
  <c r="T141" i="27"/>
  <c r="U141" i="27"/>
  <c r="V141" i="27"/>
  <c r="P141" i="27"/>
  <c r="T142" i="27"/>
  <c r="U142" i="27"/>
  <c r="T143" i="27"/>
  <c r="V143" i="27" s="1"/>
  <c r="P143" i="27" s="1"/>
  <c r="Q143" i="27" s="1"/>
  <c r="U143" i="27"/>
  <c r="T144" i="27"/>
  <c r="U144" i="27"/>
  <c r="T145" i="27"/>
  <c r="U145" i="27"/>
  <c r="T146" i="27"/>
  <c r="U146" i="27"/>
  <c r="T147" i="27"/>
  <c r="U147" i="27"/>
  <c r="T148" i="27"/>
  <c r="U148" i="27"/>
  <c r="T149" i="27"/>
  <c r="U149" i="27"/>
  <c r="T150" i="27"/>
  <c r="U150" i="27"/>
  <c r="T151" i="27"/>
  <c r="V151" i="27" s="1"/>
  <c r="P151" i="27" s="1"/>
  <c r="U151" i="27"/>
  <c r="T152" i="27"/>
  <c r="V152" i="27" s="1"/>
  <c r="P152" i="27" s="1"/>
  <c r="U152" i="27"/>
  <c r="T153" i="27"/>
  <c r="U153" i="27"/>
  <c r="T154" i="27"/>
  <c r="U154" i="27"/>
  <c r="V154" i="27" s="1"/>
  <c r="P154" i="27" s="1"/>
  <c r="Q154" i="27" s="1"/>
  <c r="AD154" i="27" s="1"/>
  <c r="T155" i="27"/>
  <c r="U155" i="27"/>
  <c r="V155" i="27"/>
  <c r="P155" i="27" s="1"/>
  <c r="T156" i="27"/>
  <c r="V156" i="27" s="1"/>
  <c r="P156" i="27" s="1"/>
  <c r="U156" i="27"/>
  <c r="T157" i="27"/>
  <c r="U157" i="27"/>
  <c r="T158" i="27"/>
  <c r="U158" i="27"/>
  <c r="V158" i="27"/>
  <c r="P158" i="27" s="1"/>
  <c r="Q158" i="27" s="1"/>
  <c r="AB158" i="27" s="1"/>
  <c r="T159" i="27"/>
  <c r="U159" i="27"/>
  <c r="T160" i="27"/>
  <c r="U160" i="27"/>
  <c r="T161" i="27"/>
  <c r="V161" i="27" s="1"/>
  <c r="P161" i="27" s="1"/>
  <c r="U161" i="27"/>
  <c r="T162" i="27"/>
  <c r="U162" i="27"/>
  <c r="T163" i="27"/>
  <c r="V163" i="27" s="1"/>
  <c r="P163" i="27" s="1"/>
  <c r="Q163" i="27" s="1"/>
  <c r="U163" i="27"/>
  <c r="T164" i="27"/>
  <c r="V164" i="27" s="1"/>
  <c r="P164" i="27" s="1"/>
  <c r="U164" i="27"/>
  <c r="T165" i="27"/>
  <c r="V165" i="27" s="1"/>
  <c r="P165" i="27" s="1"/>
  <c r="U165" i="27"/>
  <c r="T166" i="27"/>
  <c r="U166" i="27"/>
  <c r="T167" i="27"/>
  <c r="U167" i="27"/>
  <c r="V167" i="27"/>
  <c r="P167" i="27" s="1"/>
  <c r="T168" i="27"/>
  <c r="U168" i="27"/>
  <c r="V168" i="27"/>
  <c r="P168" i="27" s="1"/>
  <c r="Q168" i="27" s="1"/>
  <c r="AD168" i="27" s="1"/>
  <c r="T169" i="27"/>
  <c r="U169" i="27"/>
  <c r="T170" i="27"/>
  <c r="U170" i="27"/>
  <c r="V170" i="27"/>
  <c r="P170" i="27" s="1"/>
  <c r="Q170" i="27" s="1"/>
  <c r="T171" i="27"/>
  <c r="U171" i="27"/>
  <c r="T172" i="27"/>
  <c r="U172" i="27"/>
  <c r="T173" i="27"/>
  <c r="U173" i="27"/>
  <c r="T174" i="27"/>
  <c r="U174" i="27"/>
  <c r="T175" i="27"/>
  <c r="U175" i="27"/>
  <c r="T176" i="27"/>
  <c r="U176" i="27"/>
  <c r="T177" i="27"/>
  <c r="V177" i="27" s="1"/>
  <c r="P177" i="27" s="1"/>
  <c r="U177" i="27"/>
  <c r="T178" i="27"/>
  <c r="V178" i="27" s="1"/>
  <c r="P178" i="27" s="1"/>
  <c r="U178" i="27"/>
  <c r="T179" i="27"/>
  <c r="U179" i="27"/>
  <c r="V179" i="27" s="1"/>
  <c r="P179" i="27" s="1"/>
  <c r="Q179" i="27" s="1"/>
  <c r="T180" i="27"/>
  <c r="U180" i="27"/>
  <c r="V180" i="27"/>
  <c r="P180" i="27" s="1"/>
  <c r="Q180" i="27" s="1"/>
  <c r="T181" i="27"/>
  <c r="U181" i="27"/>
  <c r="T182" i="27"/>
  <c r="U182" i="27"/>
  <c r="V182" i="27" s="1"/>
  <c r="P182" i="27"/>
  <c r="T183" i="27"/>
  <c r="V183" i="27" s="1"/>
  <c r="P183" i="27" s="1"/>
  <c r="U183" i="27"/>
  <c r="T184" i="27"/>
  <c r="U184" i="27"/>
  <c r="T185" i="27"/>
  <c r="U185" i="27"/>
  <c r="W185" i="27"/>
  <c r="T186" i="27"/>
  <c r="U186" i="27"/>
  <c r="V186" i="27"/>
  <c r="P186" i="27" s="1"/>
  <c r="Q186" i="27" s="1"/>
  <c r="T187" i="27"/>
  <c r="U187" i="27"/>
  <c r="T188" i="27"/>
  <c r="U188" i="27"/>
  <c r="V188" i="27" s="1"/>
  <c r="P188" i="27" s="1"/>
  <c r="T189" i="27"/>
  <c r="U189" i="27"/>
  <c r="V189" i="27"/>
  <c r="P189" i="27" s="1"/>
  <c r="Q189" i="27" s="1"/>
  <c r="Y189" i="27" s="1"/>
  <c r="T190" i="27"/>
  <c r="U190" i="27"/>
  <c r="T191" i="27"/>
  <c r="U191" i="27"/>
  <c r="T192" i="27"/>
  <c r="U192" i="27"/>
  <c r="V192" i="27" s="1"/>
  <c r="P192" i="27" s="1"/>
  <c r="Q192" i="27" s="1"/>
  <c r="AA192" i="27" s="1"/>
  <c r="T193" i="27"/>
  <c r="U193" i="27"/>
  <c r="V193" i="27"/>
  <c r="P193" i="27" s="1"/>
  <c r="T194" i="27"/>
  <c r="U194" i="27"/>
  <c r="V194" i="27"/>
  <c r="P194" i="27" s="1"/>
  <c r="T195" i="27"/>
  <c r="U195" i="27"/>
  <c r="V195" i="27"/>
  <c r="P195" i="27" s="1"/>
  <c r="T196" i="27"/>
  <c r="U196" i="27"/>
  <c r="T197" i="27"/>
  <c r="U197" i="27"/>
  <c r="T198" i="27"/>
  <c r="U198" i="27"/>
  <c r="V198" i="27" s="1"/>
  <c r="P198" i="27" s="1"/>
  <c r="T199" i="27"/>
  <c r="U199" i="27"/>
  <c r="T200" i="27"/>
  <c r="V200" i="27" s="1"/>
  <c r="P200" i="27" s="1"/>
  <c r="U200" i="27"/>
  <c r="T201" i="27"/>
  <c r="U201" i="27"/>
  <c r="T202" i="27"/>
  <c r="U202" i="27"/>
  <c r="T203" i="27"/>
  <c r="U203" i="27"/>
  <c r="T204" i="27"/>
  <c r="U204" i="27"/>
  <c r="T205" i="27"/>
  <c r="U205" i="27"/>
  <c r="T206" i="27"/>
  <c r="U206" i="27"/>
  <c r="T207" i="27"/>
  <c r="V207" i="27" s="1"/>
  <c r="P207" i="27" s="1"/>
  <c r="Q207" i="27" s="1"/>
  <c r="U207" i="27"/>
  <c r="T208" i="27"/>
  <c r="U208" i="27"/>
  <c r="T209" i="27"/>
  <c r="U209" i="27"/>
  <c r="T210" i="27"/>
  <c r="V210" i="27" s="1"/>
  <c r="P210" i="27" s="1"/>
  <c r="U210" i="27"/>
  <c r="T211" i="27"/>
  <c r="U211" i="27"/>
  <c r="T212" i="27"/>
  <c r="U212" i="27"/>
  <c r="V212" i="27"/>
  <c r="P212" i="27" s="1"/>
  <c r="T213" i="27"/>
  <c r="U213" i="27"/>
  <c r="T214" i="27"/>
  <c r="U214" i="27"/>
  <c r="T215" i="27"/>
  <c r="V215" i="27" s="1"/>
  <c r="P215" i="27" s="1"/>
  <c r="U215" i="27"/>
  <c r="T216" i="27"/>
  <c r="U216" i="27"/>
  <c r="T8" i="27"/>
  <c r="U8" i="27"/>
  <c r="V8" i="27" s="1"/>
  <c r="P8" i="27" s="1"/>
  <c r="W8" i="27"/>
  <c r="W9" i="27"/>
  <c r="W10" i="27"/>
  <c r="W11" i="27"/>
  <c r="W12" i="27"/>
  <c r="W13" i="27"/>
  <c r="W14" i="27"/>
  <c r="W16" i="27"/>
  <c r="W17" i="27"/>
  <c r="W18" i="27"/>
  <c r="W19" i="27"/>
  <c r="W20" i="27"/>
  <c r="W21" i="27"/>
  <c r="W24" i="27"/>
  <c r="W25" i="27"/>
  <c r="W26" i="27"/>
  <c r="W27" i="27"/>
  <c r="W28" i="27"/>
  <c r="W29" i="27"/>
  <c r="W30" i="27"/>
  <c r="Q30" i="27"/>
  <c r="AC30" i="27" s="1"/>
  <c r="W31" i="27"/>
  <c r="W32" i="27"/>
  <c r="W33" i="27"/>
  <c r="W34" i="27"/>
  <c r="W36" i="27"/>
  <c r="W37" i="27"/>
  <c r="W39" i="27"/>
  <c r="W40" i="27"/>
  <c r="W41" i="27"/>
  <c r="W42" i="27"/>
  <c r="W43" i="27"/>
  <c r="W44" i="27"/>
  <c r="W45" i="27"/>
  <c r="W46" i="27"/>
  <c r="W48" i="27"/>
  <c r="W49" i="27"/>
  <c r="W50" i="27"/>
  <c r="W51" i="27"/>
  <c r="Q51" i="27" s="1"/>
  <c r="W52" i="27"/>
  <c r="W53" i="27"/>
  <c r="W56" i="27"/>
  <c r="W57" i="27"/>
  <c r="W58" i="27"/>
  <c r="W59" i="27"/>
  <c r="W60" i="27"/>
  <c r="W61" i="27"/>
  <c r="W62" i="27"/>
  <c r="W63" i="27"/>
  <c r="W64" i="27"/>
  <c r="W65" i="27"/>
  <c r="W66" i="27"/>
  <c r="W68" i="27"/>
  <c r="W69" i="27"/>
  <c r="Q69" i="27" s="1"/>
  <c r="Y69" i="27" s="1"/>
  <c r="W71" i="27"/>
  <c r="W72" i="27"/>
  <c r="W73" i="27"/>
  <c r="W74" i="27"/>
  <c r="W75" i="27"/>
  <c r="W76" i="27"/>
  <c r="W77" i="27"/>
  <c r="Q77" i="27" s="1"/>
  <c r="W78" i="27"/>
  <c r="W79" i="27"/>
  <c r="W80" i="27"/>
  <c r="Q80" i="27" s="1"/>
  <c r="AB80" i="27" s="1"/>
  <c r="W81" i="27"/>
  <c r="Q81" i="27" s="1"/>
  <c r="AD81" i="27" s="1"/>
  <c r="Y81" i="27"/>
  <c r="W82" i="27"/>
  <c r="Q82" i="27" s="1"/>
  <c r="P83" i="27"/>
  <c r="W83" i="27"/>
  <c r="W84" i="27"/>
  <c r="W85" i="27"/>
  <c r="W86" i="27"/>
  <c r="W87" i="27"/>
  <c r="W88" i="27"/>
  <c r="W89" i="27"/>
  <c r="W90" i="27"/>
  <c r="W91" i="27"/>
  <c r="W92" i="27"/>
  <c r="W93" i="27"/>
  <c r="W94" i="27"/>
  <c r="W95" i="27"/>
  <c r="W96" i="27"/>
  <c r="W97" i="27"/>
  <c r="Q97" i="27" s="1"/>
  <c r="AD97" i="27" s="1"/>
  <c r="W98" i="27"/>
  <c r="W99" i="27"/>
  <c r="P100" i="27"/>
  <c r="Q100" i="27" s="1"/>
  <c r="W100" i="27"/>
  <c r="W101" i="27"/>
  <c r="W102" i="27"/>
  <c r="W103" i="27"/>
  <c r="P104" i="27"/>
  <c r="W104" i="27"/>
  <c r="W105" i="27"/>
  <c r="W106" i="27"/>
  <c r="W107" i="27"/>
  <c r="W108" i="27"/>
  <c r="W109" i="27"/>
  <c r="W110" i="27"/>
  <c r="W111" i="27"/>
  <c r="W112" i="27"/>
  <c r="W113" i="27"/>
  <c r="W114" i="27"/>
  <c r="W115" i="27"/>
  <c r="W116" i="27"/>
  <c r="W117" i="27"/>
  <c r="W118" i="27"/>
  <c r="W119" i="27"/>
  <c r="Q119" i="27" s="1"/>
  <c r="Y119" i="27" s="1"/>
  <c r="W120" i="27"/>
  <c r="W121" i="27"/>
  <c r="W122" i="27"/>
  <c r="W123" i="27"/>
  <c r="W124" i="27"/>
  <c r="W125" i="27"/>
  <c r="W126" i="27"/>
  <c r="W127" i="27"/>
  <c r="W128" i="27"/>
  <c r="W129" i="27"/>
  <c r="Q129" i="27" s="1"/>
  <c r="W130" i="27"/>
  <c r="W131" i="27"/>
  <c r="W132" i="27"/>
  <c r="W133" i="27"/>
  <c r="W134" i="27"/>
  <c r="Q134" i="27" s="1"/>
  <c r="W135" i="27"/>
  <c r="W136" i="27"/>
  <c r="W137" i="27"/>
  <c r="W138" i="27"/>
  <c r="W139" i="27"/>
  <c r="W140" i="27"/>
  <c r="W141" i="27"/>
  <c r="Q141" i="27" s="1"/>
  <c r="W142" i="27"/>
  <c r="W143" i="27"/>
  <c r="W144" i="27"/>
  <c r="W145" i="27"/>
  <c r="W146" i="27"/>
  <c r="W147" i="27"/>
  <c r="W148" i="27"/>
  <c r="W149" i="27"/>
  <c r="W150" i="27"/>
  <c r="W151" i="27"/>
  <c r="W152" i="27"/>
  <c r="W153" i="27"/>
  <c r="W154" i="27"/>
  <c r="W155" i="27"/>
  <c r="W156" i="27"/>
  <c r="W157" i="27"/>
  <c r="W158" i="27"/>
  <c r="W159" i="27"/>
  <c r="W160" i="27"/>
  <c r="W161" i="27"/>
  <c r="W162" i="27"/>
  <c r="W163" i="27"/>
  <c r="W164" i="27"/>
  <c r="Q164" i="27" s="1"/>
  <c r="Z164" i="27" s="1"/>
  <c r="W165" i="27"/>
  <c r="W166" i="27"/>
  <c r="W167" i="27"/>
  <c r="W168" i="27"/>
  <c r="W169" i="27"/>
  <c r="W170" i="27"/>
  <c r="W171" i="27"/>
  <c r="W172" i="27"/>
  <c r="W173" i="27"/>
  <c r="W174" i="27"/>
  <c r="W175" i="27"/>
  <c r="W176" i="27"/>
  <c r="W177" i="27"/>
  <c r="Q177" i="27"/>
  <c r="W178" i="27"/>
  <c r="W179" i="27"/>
  <c r="W180" i="27"/>
  <c r="W181" i="27"/>
  <c r="W182" i="27"/>
  <c r="W183" i="27"/>
  <c r="W184" i="27"/>
  <c r="W186" i="27"/>
  <c r="W187" i="27"/>
  <c r="W188" i="27"/>
  <c r="W189" i="27"/>
  <c r="W190" i="27"/>
  <c r="W191" i="27"/>
  <c r="W192" i="27"/>
  <c r="W193" i="27"/>
  <c r="W194" i="27"/>
  <c r="Q194" i="27"/>
  <c r="W195" i="27"/>
  <c r="W196" i="27"/>
  <c r="W197" i="27"/>
  <c r="W198" i="27"/>
  <c r="W199" i="27"/>
  <c r="W200" i="27"/>
  <c r="Q200" i="27" s="1"/>
  <c r="AC200" i="27" s="1"/>
  <c r="W201" i="27"/>
  <c r="W202" i="27"/>
  <c r="W203" i="27"/>
  <c r="W204" i="27"/>
  <c r="W205" i="27"/>
  <c r="W206" i="27"/>
  <c r="W207" i="27"/>
  <c r="W208" i="27"/>
  <c r="W209" i="27"/>
  <c r="W210" i="27"/>
  <c r="Q210" i="27" s="1"/>
  <c r="W211" i="27"/>
  <c r="W212" i="27"/>
  <c r="Q212" i="27" s="1"/>
  <c r="AB212" i="27" s="1"/>
  <c r="W213" i="27"/>
  <c r="W214" i="27"/>
  <c r="W215" i="27"/>
  <c r="W216" i="27"/>
  <c r="V112" i="27"/>
  <c r="P112" i="27" s="1"/>
  <c r="V12" i="27"/>
  <c r="P12" i="27"/>
  <c r="Q12" i="27" s="1"/>
  <c r="AD12" i="27" s="1"/>
  <c r="V16" i="27"/>
  <c r="P16" i="27" s="1"/>
  <c r="Q16" i="27" s="1"/>
  <c r="Y16" i="27" s="1"/>
  <c r="Z10" i="27"/>
  <c r="Z200" i="27"/>
  <c r="AB200" i="27"/>
  <c r="AD177" i="27"/>
  <c r="V197" i="27"/>
  <c r="P197" i="27" s="1"/>
  <c r="Q197" i="27"/>
  <c r="V124" i="27"/>
  <c r="P124" i="27" s="1"/>
  <c r="V92" i="27"/>
  <c r="P92" i="27" s="1"/>
  <c r="V60" i="27"/>
  <c r="P60" i="27"/>
  <c r="Z81" i="27"/>
  <c r="AA81" i="27"/>
  <c r="AB81" i="27"/>
  <c r="P32" i="27"/>
  <c r="Q167" i="27"/>
  <c r="Z167" i="27" s="1"/>
  <c r="Z168" i="27"/>
  <c r="AA158" i="27"/>
  <c r="AC158" i="27"/>
  <c r="Z179" i="27" l="1"/>
  <c r="Y179" i="27"/>
  <c r="AC179" i="27"/>
  <c r="AA207" i="27"/>
  <c r="AB207" i="27"/>
  <c r="AD143" i="27"/>
  <c r="Y143" i="27"/>
  <c r="AA143" i="27"/>
  <c r="AC143" i="27"/>
  <c r="AD170" i="27"/>
  <c r="Z170" i="27"/>
  <c r="AA170" i="27"/>
  <c r="Q49" i="27"/>
  <c r="AA44" i="27"/>
  <c r="AB44" i="27"/>
  <c r="V213" i="27"/>
  <c r="P213" i="27" s="1"/>
  <c r="Q213" i="27" s="1"/>
  <c r="V206" i="27"/>
  <c r="P206" i="27" s="1"/>
  <c r="Q112" i="27"/>
  <c r="AB112" i="27" s="1"/>
  <c r="Q137" i="27"/>
  <c r="AA137" i="27" s="1"/>
  <c r="Q92" i="27"/>
  <c r="G8" i="18"/>
  <c r="AC81" i="27"/>
  <c r="Q182" i="27"/>
  <c r="Q60" i="27"/>
  <c r="V196" i="27"/>
  <c r="P196" i="27" s="1"/>
  <c r="Q196" i="27" s="1"/>
  <c r="V190" i="27"/>
  <c r="P190" i="27" s="1"/>
  <c r="Q190" i="27" s="1"/>
  <c r="V57" i="27"/>
  <c r="P57" i="27" s="1"/>
  <c r="Q57" i="27" s="1"/>
  <c r="V11" i="27"/>
  <c r="P11" i="27" s="1"/>
  <c r="Q11" i="27" s="1"/>
  <c r="K8" i="18"/>
  <c r="AF205" i="25"/>
  <c r="AG205" i="25" s="1"/>
  <c r="AH205" i="25" s="1"/>
  <c r="Q195" i="27"/>
  <c r="AD195" i="27" s="1"/>
  <c r="R200" i="25"/>
  <c r="AL200" i="25"/>
  <c r="AF104" i="25"/>
  <c r="R104" i="25"/>
  <c r="Q23" i="27"/>
  <c r="V202" i="27"/>
  <c r="P202" i="27" s="1"/>
  <c r="Q202" i="27" s="1"/>
  <c r="Y202" i="27" s="1"/>
  <c r="V149" i="27"/>
  <c r="P149" i="27" s="1"/>
  <c r="V142" i="27"/>
  <c r="P142" i="27" s="1"/>
  <c r="Q50" i="27"/>
  <c r="V38" i="27"/>
  <c r="P38" i="27" s="1"/>
  <c r="Q38" i="27" s="1"/>
  <c r="P6" i="18"/>
  <c r="I5" i="18"/>
  <c r="AD106" i="27"/>
  <c r="Q148" i="27"/>
  <c r="AA148" i="27" s="1"/>
  <c r="V176" i="27"/>
  <c r="P176" i="27" s="1"/>
  <c r="Q176" i="27" s="1"/>
  <c r="AD120" i="27"/>
  <c r="AC16" i="27"/>
  <c r="V208" i="27"/>
  <c r="P208" i="27" s="1"/>
  <c r="Q208" i="27" s="1"/>
  <c r="Q109" i="27"/>
  <c r="Y109" i="27" s="1"/>
  <c r="V95" i="27"/>
  <c r="P95" i="27" s="1"/>
  <c r="V43" i="27"/>
  <c r="P43" i="27" s="1"/>
  <c r="F17" i="16"/>
  <c r="F25" i="16"/>
  <c r="V89" i="27"/>
  <c r="P89" i="27" s="1"/>
  <c r="V31" i="27"/>
  <c r="P31" i="27" s="1"/>
  <c r="Q31" i="27" s="1"/>
  <c r="V17" i="27"/>
  <c r="P17" i="27" s="1"/>
  <c r="Q17" i="27" s="1"/>
  <c r="V216" i="27"/>
  <c r="P216" i="27" s="1"/>
  <c r="Q216" i="27" s="1"/>
  <c r="V162" i="27"/>
  <c r="P162" i="27" s="1"/>
  <c r="V148" i="27"/>
  <c r="P148" i="27" s="1"/>
  <c r="Q88" i="27"/>
  <c r="Z88" i="27" s="1"/>
  <c r="AC177" i="27"/>
  <c r="AA177" i="27"/>
  <c r="Q18" i="27"/>
  <c r="V181" i="27"/>
  <c r="P181" i="27" s="1"/>
  <c r="V42" i="27"/>
  <c r="P42" i="27" s="1"/>
  <c r="Q42" i="27" s="1"/>
  <c r="AF92" i="25"/>
  <c r="AG92" i="25" s="1"/>
  <c r="AH92" i="25" s="1"/>
  <c r="S92" i="25" s="1"/>
  <c r="AF187" i="25"/>
  <c r="AG187" i="25" s="1"/>
  <c r="AH187" i="25" s="1"/>
  <c r="AF83" i="25"/>
  <c r="AG83" i="25" s="1"/>
  <c r="AH83" i="25" s="1"/>
  <c r="S83" i="25" s="1"/>
  <c r="V73" i="27"/>
  <c r="P73" i="27" s="1"/>
  <c r="Q152" i="27"/>
  <c r="V138" i="27"/>
  <c r="P138" i="27" s="1"/>
  <c r="Q138" i="27" s="1"/>
  <c r="Y138" i="27" s="1"/>
  <c r="V113" i="27"/>
  <c r="P113" i="27" s="1"/>
  <c r="Q98" i="27"/>
  <c r="V80" i="27"/>
  <c r="P80" i="27" s="1"/>
  <c r="V34" i="27"/>
  <c r="P34" i="27" s="1"/>
  <c r="Q34" i="27" s="1"/>
  <c r="V27" i="27"/>
  <c r="P27" i="27" s="1"/>
  <c r="Q27" i="27" s="1"/>
  <c r="AA27" i="27" s="1"/>
  <c r="V20" i="27"/>
  <c r="P20" i="27" s="1"/>
  <c r="E14" i="24"/>
  <c r="V214" i="27"/>
  <c r="P214" i="27" s="1"/>
  <c r="Q214" i="27" s="1"/>
  <c r="V174" i="27"/>
  <c r="P174" i="27" s="1"/>
  <c r="Q174" i="27" s="1"/>
  <c r="AB174" i="27" s="1"/>
  <c r="V127" i="27"/>
  <c r="P127" i="27" s="1"/>
  <c r="V68" i="27"/>
  <c r="P68" i="27" s="1"/>
  <c r="V61" i="27"/>
  <c r="P61" i="27" s="1"/>
  <c r="Q61" i="27" s="1"/>
  <c r="Y61" i="27" s="1"/>
  <c r="V29" i="27"/>
  <c r="P29" i="27" s="1"/>
  <c r="Q29" i="27" s="1"/>
  <c r="Q14" i="27"/>
  <c r="Q67" i="27"/>
  <c r="Q94" i="27"/>
  <c r="AA94" i="27" s="1"/>
  <c r="Q165" i="27"/>
  <c r="V144" i="27"/>
  <c r="P144" i="27" s="1"/>
  <c r="Q144" i="27" s="1"/>
  <c r="V105" i="27"/>
  <c r="P105" i="27" s="1"/>
  <c r="Q105" i="27" s="1"/>
  <c r="Y105" i="27" s="1"/>
  <c r="AF152" i="25"/>
  <c r="Q161" i="27"/>
  <c r="Y161" i="27" s="1"/>
  <c r="Q32" i="27"/>
  <c r="V146" i="27"/>
  <c r="P146" i="27" s="1"/>
  <c r="Q146" i="27" s="1"/>
  <c r="V199" i="27"/>
  <c r="P199" i="27" s="1"/>
  <c r="Q199" i="27" s="1"/>
  <c r="AD199" i="27" s="1"/>
  <c r="AA119" i="27"/>
  <c r="Q198" i="27"/>
  <c r="AC198" i="27" s="1"/>
  <c r="V99" i="27"/>
  <c r="P99" i="27" s="1"/>
  <c r="Q99" i="27" s="1"/>
  <c r="AB99" i="27" s="1"/>
  <c r="AD119" i="27"/>
  <c r="Q122" i="27"/>
  <c r="V184" i="27"/>
  <c r="P184" i="27" s="1"/>
  <c r="Q184" i="27" s="1"/>
  <c r="Q151" i="27"/>
  <c r="Q79" i="27"/>
  <c r="AC79" i="27" s="1"/>
  <c r="V46" i="27"/>
  <c r="P46" i="27" s="1"/>
  <c r="V19" i="27"/>
  <c r="P19" i="27" s="1"/>
  <c r="Q19" i="27" s="1"/>
  <c r="AA19" i="27" s="1"/>
  <c r="AF77" i="25"/>
  <c r="AG77" i="25" s="1"/>
  <c r="AH77" i="25" s="1"/>
  <c r="Q115" i="27"/>
  <c r="AA115" i="27" s="1"/>
  <c r="Q101" i="27"/>
  <c r="V211" i="27"/>
  <c r="P211" i="27" s="1"/>
  <c r="Q211" i="27" s="1"/>
  <c r="V204" i="27"/>
  <c r="P204" i="27" s="1"/>
  <c r="Q204" i="27" s="1"/>
  <c r="AA204" i="27" s="1"/>
  <c r="V185" i="27"/>
  <c r="P185" i="27" s="1"/>
  <c r="Q185" i="27" s="1"/>
  <c r="AB185" i="27" s="1"/>
  <c r="V172" i="27"/>
  <c r="P172" i="27" s="1"/>
  <c r="Q172" i="27" s="1"/>
  <c r="V166" i="27"/>
  <c r="P166" i="27" s="1"/>
  <c r="Q166" i="27" s="1"/>
  <c r="V90" i="27"/>
  <c r="P90" i="27" s="1"/>
  <c r="Q90" i="27" s="1"/>
  <c r="V71" i="27"/>
  <c r="P71" i="27" s="1"/>
  <c r="Q71" i="27" s="1"/>
  <c r="AA71" i="27" s="1"/>
  <c r="E8" i="24"/>
  <c r="AF93" i="25"/>
  <c r="AG93" i="25" s="1"/>
  <c r="AH93" i="25" s="1"/>
  <c r="AO8" i="25"/>
  <c r="Q87" i="27"/>
  <c r="Q58" i="27"/>
  <c r="AA58" i="27" s="1"/>
  <c r="V203" i="27"/>
  <c r="P203" i="27" s="1"/>
  <c r="Q203" i="27" s="1"/>
  <c r="V191" i="27"/>
  <c r="P191" i="27" s="1"/>
  <c r="Q191" i="27" s="1"/>
  <c r="V159" i="27"/>
  <c r="P159" i="27" s="1"/>
  <c r="V128" i="27"/>
  <c r="P128" i="27" s="1"/>
  <c r="Q128" i="27" s="1"/>
  <c r="Y128" i="27" s="1"/>
  <c r="V84" i="27"/>
  <c r="P84" i="27" s="1"/>
  <c r="Q84" i="27" s="1"/>
  <c r="Z84" i="27" s="1"/>
  <c r="V78" i="27"/>
  <c r="P78" i="27" s="1"/>
  <c r="Q78" i="27" s="1"/>
  <c r="V40" i="27"/>
  <c r="P40" i="27" s="1"/>
  <c r="Q40" i="27" s="1"/>
  <c r="AA40" i="27" s="1"/>
  <c r="V28" i="27"/>
  <c r="P28" i="27" s="1"/>
  <c r="Q28" i="27" s="1"/>
  <c r="AD28" i="27" s="1"/>
  <c r="V21" i="27"/>
  <c r="P21" i="27" s="1"/>
  <c r="AF68" i="25"/>
  <c r="AG68" i="25" s="1"/>
  <c r="AH68" i="25" s="1"/>
  <c r="S68" i="25" s="1"/>
  <c r="AA83" i="25"/>
  <c r="AF62" i="25"/>
  <c r="AG62" i="25" s="1"/>
  <c r="AH62" i="25" s="1"/>
  <c r="S62" i="25" s="1"/>
  <c r="AF39" i="25"/>
  <c r="Q126" i="27"/>
  <c r="Y126" i="27" s="1"/>
  <c r="Q83" i="27"/>
  <c r="Q52" i="27"/>
  <c r="AA52" i="27" s="1"/>
  <c r="Q33" i="27"/>
  <c r="V209" i="27"/>
  <c r="P209" i="27" s="1"/>
  <c r="Q209" i="27" s="1"/>
  <c r="AA209" i="27" s="1"/>
  <c r="V201" i="27"/>
  <c r="P201" i="27" s="1"/>
  <c r="Q201" i="27" s="1"/>
  <c r="AD201" i="27" s="1"/>
  <c r="V126" i="27"/>
  <c r="P126" i="27" s="1"/>
  <c r="V107" i="27"/>
  <c r="P107" i="27" s="1"/>
  <c r="Q107" i="27" s="1"/>
  <c r="V76" i="27"/>
  <c r="P76" i="27" s="1"/>
  <c r="Q76" i="27" s="1"/>
  <c r="R93" i="25"/>
  <c r="AL77" i="25"/>
  <c r="AF40" i="25"/>
  <c r="AF22" i="25"/>
  <c r="AF70" i="25"/>
  <c r="AG70" i="25" s="1"/>
  <c r="AH70" i="25" s="1"/>
  <c r="S70" i="25" s="1"/>
  <c r="AF54" i="25"/>
  <c r="AF20" i="25"/>
  <c r="Q206" i="27"/>
  <c r="Q193" i="27"/>
  <c r="AC193" i="27" s="1"/>
  <c r="Q178" i="27"/>
  <c r="AD178" i="27" s="1"/>
  <c r="Q149" i="27"/>
  <c r="AA149" i="27" s="1"/>
  <c r="Q133" i="27"/>
  <c r="Z133" i="27" s="1"/>
  <c r="Q89" i="27"/>
  <c r="AC89" i="27" s="1"/>
  <c r="V173" i="27"/>
  <c r="P173" i="27" s="1"/>
  <c r="Q173" i="27" s="1"/>
  <c r="V160" i="27"/>
  <c r="P160" i="27" s="1"/>
  <c r="Q160" i="27" s="1"/>
  <c r="V72" i="27"/>
  <c r="P72" i="27" s="1"/>
  <c r="Q72" i="27" s="1"/>
  <c r="V59" i="27"/>
  <c r="P59" i="27" s="1"/>
  <c r="Q59" i="27" s="1"/>
  <c r="V53" i="27"/>
  <c r="P53" i="27" s="1"/>
  <c r="Q53" i="27" s="1"/>
  <c r="AB53" i="27" s="1"/>
  <c r="V35" i="27"/>
  <c r="P35" i="27" s="1"/>
  <c r="Q35" i="27" s="1"/>
  <c r="Y35" i="27" s="1"/>
  <c r="Y139" i="27"/>
  <c r="AB139" i="27"/>
  <c r="AD139" i="27"/>
  <c r="Z139" i="27"/>
  <c r="AA139" i="27"/>
  <c r="AC139" i="27"/>
  <c r="Z137" i="27"/>
  <c r="AB137" i="27"/>
  <c r="Y137" i="27"/>
  <c r="AC137" i="27"/>
  <c r="AD137" i="27"/>
  <c r="AB129" i="27"/>
  <c r="Y129" i="27"/>
  <c r="AA129" i="27"/>
  <c r="AC129" i="27"/>
  <c r="AD129" i="27"/>
  <c r="AC100" i="27"/>
  <c r="AA100" i="27"/>
  <c r="Y100" i="27"/>
  <c r="Z100" i="27"/>
  <c r="AB100" i="27"/>
  <c r="AD100" i="27"/>
  <c r="AB165" i="27"/>
  <c r="Z165" i="27"/>
  <c r="AC165" i="27"/>
  <c r="Y165" i="27"/>
  <c r="AA165" i="27"/>
  <c r="AD165" i="27"/>
  <c r="Y118" i="27"/>
  <c r="AA118" i="27"/>
  <c r="AD118" i="27"/>
  <c r="AC118" i="27"/>
  <c r="AB118" i="27"/>
  <c r="AD86" i="27"/>
  <c r="Y86" i="27"/>
  <c r="Z86" i="27"/>
  <c r="AB86" i="27"/>
  <c r="AA86" i="27"/>
  <c r="AC86" i="27"/>
  <c r="AB40" i="27"/>
  <c r="Y40" i="27"/>
  <c r="AC40" i="27"/>
  <c r="AD40" i="27"/>
  <c r="AC11" i="27"/>
  <c r="Y11" i="27"/>
  <c r="Z11" i="27"/>
  <c r="AA11" i="27"/>
  <c r="AB11" i="27"/>
  <c r="AD11" i="27"/>
  <c r="Z118" i="27"/>
  <c r="Z12" i="27"/>
  <c r="Y12" i="27"/>
  <c r="AB12" i="27"/>
  <c r="AA12" i="27"/>
  <c r="AC12" i="27"/>
  <c r="Q73" i="27"/>
  <c r="AD190" i="27"/>
  <c r="AA190" i="27"/>
  <c r="AB190" i="27"/>
  <c r="AC190" i="27"/>
  <c r="Y190" i="27"/>
  <c r="Z190" i="27"/>
  <c r="Y186" i="27"/>
  <c r="AB186" i="27"/>
  <c r="AC186" i="27"/>
  <c r="AD186" i="27"/>
  <c r="AA186" i="27"/>
  <c r="Z186" i="27"/>
  <c r="AC111" i="27"/>
  <c r="Z111" i="27"/>
  <c r="AD111" i="27"/>
  <c r="Y111" i="27"/>
  <c r="AB111" i="27"/>
  <c r="AC70" i="27"/>
  <c r="Y70" i="27"/>
  <c r="AB70" i="27"/>
  <c r="Z70" i="27"/>
  <c r="AA70" i="27"/>
  <c r="AD70" i="27"/>
  <c r="AD61" i="27"/>
  <c r="AC61" i="27"/>
  <c r="AA61" i="27"/>
  <c r="Z61" i="27"/>
  <c r="AD36" i="27"/>
  <c r="AC36" i="27"/>
  <c r="Y36" i="27"/>
  <c r="AB36" i="27"/>
  <c r="Z36" i="27"/>
  <c r="AA36" i="27"/>
  <c r="Y14" i="27"/>
  <c r="AA14" i="27"/>
  <c r="AC14" i="27"/>
  <c r="AB14" i="27"/>
  <c r="Z14" i="27"/>
  <c r="AD14" i="27"/>
  <c r="AA130" i="27"/>
  <c r="AD130" i="27"/>
  <c r="Z130" i="27"/>
  <c r="AB130" i="27"/>
  <c r="AC130" i="27"/>
  <c r="Y130" i="27"/>
  <c r="Z98" i="27"/>
  <c r="AC98" i="27"/>
  <c r="Y98" i="27"/>
  <c r="AD98" i="27"/>
  <c r="AB98" i="27"/>
  <c r="AA28" i="27"/>
  <c r="Z129" i="27"/>
  <c r="AC164" i="27"/>
  <c r="Y164" i="27"/>
  <c r="AA164" i="27"/>
  <c r="AB164" i="27"/>
  <c r="AD164" i="27"/>
  <c r="Z202" i="27"/>
  <c r="AA202" i="27"/>
  <c r="AB202" i="27"/>
  <c r="AD202" i="27"/>
  <c r="AC202" i="27"/>
  <c r="AC180" i="27"/>
  <c r="AB180" i="27"/>
  <c r="Y180" i="27"/>
  <c r="Z180" i="27"/>
  <c r="AA180" i="27"/>
  <c r="AD180" i="27"/>
  <c r="AA151" i="27"/>
  <c r="AC151" i="27"/>
  <c r="AD151" i="27"/>
  <c r="Y151" i="27"/>
  <c r="Z151" i="27"/>
  <c r="AB151" i="27"/>
  <c r="AC144" i="27"/>
  <c r="Y144" i="27"/>
  <c r="AA144" i="27"/>
  <c r="Z144" i="27"/>
  <c r="AB144" i="27"/>
  <c r="AD144" i="27"/>
  <c r="AB123" i="27"/>
  <c r="AD123" i="27"/>
  <c r="AC123" i="27"/>
  <c r="Y123" i="27"/>
  <c r="Z123" i="27"/>
  <c r="AA123" i="27"/>
  <c r="AD42" i="27"/>
  <c r="AA42" i="27"/>
  <c r="AB42" i="27"/>
  <c r="Y42" i="27"/>
  <c r="AC42" i="27"/>
  <c r="Z42" i="27"/>
  <c r="AB201" i="27"/>
  <c r="Z201" i="27"/>
  <c r="Y201" i="27"/>
  <c r="AA69" i="27"/>
  <c r="AC69" i="27"/>
  <c r="Z69" i="27"/>
  <c r="AB69" i="27"/>
  <c r="AD69" i="27"/>
  <c r="AC85" i="27"/>
  <c r="Z85" i="27"/>
  <c r="AA85" i="27"/>
  <c r="AB85" i="27"/>
  <c r="AD85" i="27"/>
  <c r="Y85" i="27"/>
  <c r="Y178" i="27"/>
  <c r="AB149" i="27"/>
  <c r="Y149" i="27"/>
  <c r="AB89" i="27"/>
  <c r="Z89" i="27"/>
  <c r="AA89" i="27"/>
  <c r="AD89" i="27"/>
  <c r="Y89" i="27"/>
  <c r="AD211" i="27"/>
  <c r="Y211" i="27"/>
  <c r="AB211" i="27"/>
  <c r="Z211" i="27"/>
  <c r="AA211" i="27"/>
  <c r="AC211" i="27"/>
  <c r="Z173" i="27"/>
  <c r="AB173" i="27"/>
  <c r="Y173" i="27"/>
  <c r="AD173" i="27"/>
  <c r="AA173" i="27"/>
  <c r="AC173" i="27"/>
  <c r="Z166" i="27"/>
  <c r="AA166" i="27"/>
  <c r="Y166" i="27"/>
  <c r="AD166" i="27"/>
  <c r="AB166" i="27"/>
  <c r="AC166" i="27"/>
  <c r="AA210" i="27"/>
  <c r="Y210" i="27"/>
  <c r="AC210" i="27"/>
  <c r="AB210" i="27"/>
  <c r="AD210" i="27"/>
  <c r="Z210" i="27"/>
  <c r="Y122" i="27"/>
  <c r="AD122" i="27"/>
  <c r="AB122" i="27"/>
  <c r="AC122" i="27"/>
  <c r="AA122" i="27"/>
  <c r="Z122" i="27"/>
  <c r="AB87" i="27"/>
  <c r="AC87" i="27"/>
  <c r="Y87" i="27"/>
  <c r="AD87" i="27"/>
  <c r="AA87" i="27"/>
  <c r="Y82" i="27"/>
  <c r="Z82" i="27"/>
  <c r="AB82" i="27"/>
  <c r="AC82" i="27"/>
  <c r="AD82" i="27"/>
  <c r="AA82" i="27"/>
  <c r="AC97" i="27"/>
  <c r="Z97" i="27"/>
  <c r="AB97" i="27"/>
  <c r="Y97" i="27"/>
  <c r="AA97" i="27"/>
  <c r="Z209" i="27"/>
  <c r="AC209" i="27"/>
  <c r="AB209" i="27"/>
  <c r="Y209" i="27"/>
  <c r="AC192" i="27"/>
  <c r="Z192" i="27"/>
  <c r="AB192" i="27"/>
  <c r="Y192" i="27"/>
  <c r="AD192" i="27"/>
  <c r="Z131" i="27"/>
  <c r="AB131" i="27"/>
  <c r="Y131" i="27"/>
  <c r="AA131" i="27"/>
  <c r="AC131" i="27"/>
  <c r="AD131" i="27"/>
  <c r="AD45" i="27"/>
  <c r="Z45" i="27"/>
  <c r="AC45" i="27"/>
  <c r="Y45" i="27"/>
  <c r="AB45" i="27"/>
  <c r="Z23" i="27"/>
  <c r="Y23" i="27"/>
  <c r="AD23" i="27"/>
  <c r="AA23" i="27"/>
  <c r="AC23" i="27"/>
  <c r="AB23" i="27"/>
  <c r="AA17" i="27"/>
  <c r="Z17" i="27"/>
  <c r="AD17" i="27"/>
  <c r="AC17" i="27"/>
  <c r="Y17" i="27"/>
  <c r="AB17" i="27"/>
  <c r="AA201" i="27"/>
  <c r="AD134" i="27"/>
  <c r="AA134" i="27"/>
  <c r="AB134" i="27"/>
  <c r="Z134" i="27"/>
  <c r="Y134" i="27"/>
  <c r="AC134" i="27"/>
  <c r="AB60" i="27"/>
  <c r="Z60" i="27"/>
  <c r="AD60" i="27"/>
  <c r="Y60" i="27"/>
  <c r="AA60" i="27"/>
  <c r="AC60" i="27"/>
  <c r="AC140" i="27"/>
  <c r="Y140" i="27"/>
  <c r="AA140" i="27"/>
  <c r="Z140" i="27"/>
  <c r="AB140" i="27"/>
  <c r="AD140" i="27"/>
  <c r="Q156" i="27"/>
  <c r="AB148" i="27"/>
  <c r="AD148" i="27"/>
  <c r="AC148" i="27"/>
  <c r="AD31" i="27"/>
  <c r="AC31" i="27"/>
  <c r="AB31" i="27"/>
  <c r="Y31" i="27"/>
  <c r="Z31" i="27"/>
  <c r="AA31" i="27"/>
  <c r="Z106" i="27"/>
  <c r="AB106" i="27"/>
  <c r="AC106" i="27"/>
  <c r="AA106" i="27"/>
  <c r="Y96" i="27"/>
  <c r="Z96" i="27"/>
  <c r="AB96" i="27"/>
  <c r="AA96" i="27"/>
  <c r="AD96" i="27"/>
  <c r="AA93" i="27"/>
  <c r="Y93" i="27"/>
  <c r="AC93" i="27"/>
  <c r="Z93" i="27"/>
  <c r="AD93" i="27"/>
  <c r="Y79" i="27"/>
  <c r="AD79" i="27"/>
  <c r="AB79" i="27"/>
  <c r="Z79" i="27"/>
  <c r="AA79" i="27"/>
  <c r="Y55" i="27"/>
  <c r="AD55" i="27"/>
  <c r="Z55" i="27"/>
  <c r="AC55" i="27"/>
  <c r="AA55" i="27"/>
  <c r="AB55" i="27"/>
  <c r="AD53" i="27"/>
  <c r="Y53" i="27"/>
  <c r="AA53" i="27"/>
  <c r="AC53" i="27"/>
  <c r="Z53" i="27"/>
  <c r="AD35" i="27"/>
  <c r="Y196" i="27"/>
  <c r="Z196" i="27"/>
  <c r="AB196" i="27"/>
  <c r="AD196" i="27"/>
  <c r="AA196" i="27"/>
  <c r="AC196" i="27"/>
  <c r="AA128" i="27"/>
  <c r="Z128" i="27"/>
  <c r="AD128" i="27"/>
  <c r="Z87" i="27"/>
  <c r="Y52" i="27"/>
  <c r="AB52" i="27"/>
  <c r="AD52" i="27"/>
  <c r="Z27" i="27"/>
  <c r="AB198" i="27"/>
  <c r="Z198" i="27"/>
  <c r="AD209" i="27"/>
  <c r="AA98" i="27"/>
  <c r="Z28" i="27"/>
  <c r="Y115" i="27"/>
  <c r="AC115" i="27"/>
  <c r="AB214" i="27"/>
  <c r="AA214" i="27"/>
  <c r="Z214" i="27"/>
  <c r="Y214" i="27"/>
  <c r="AD214" i="27"/>
  <c r="AC214" i="27"/>
  <c r="AB204" i="27"/>
  <c r="Y204" i="27"/>
  <c r="Z204" i="27"/>
  <c r="Z185" i="27"/>
  <c r="AA185" i="27"/>
  <c r="AD185" i="27"/>
  <c r="AC185" i="27"/>
  <c r="AA168" i="27"/>
  <c r="AB168" i="27"/>
  <c r="AC168" i="27"/>
  <c r="Y168" i="27"/>
  <c r="Z109" i="27"/>
  <c r="AB109" i="27"/>
  <c r="AA109" i="27"/>
  <c r="AC109" i="27"/>
  <c r="AD109" i="27"/>
  <c r="AA38" i="27"/>
  <c r="Y38" i="27"/>
  <c r="AC38" i="27"/>
  <c r="AB38" i="27"/>
  <c r="Z38" i="27"/>
  <c r="AD38" i="27"/>
  <c r="AD94" i="27"/>
  <c r="Y94" i="27"/>
  <c r="AC94" i="27"/>
  <c r="AA154" i="27"/>
  <c r="AC154" i="27"/>
  <c r="Z92" i="27"/>
  <c r="Y92" i="27"/>
  <c r="AB92" i="27"/>
  <c r="Y112" i="27"/>
  <c r="AC112" i="27"/>
  <c r="Z112" i="27"/>
  <c r="Q43" i="27"/>
  <c r="AA30" i="27"/>
  <c r="Y30" i="27"/>
  <c r="Z30" i="27"/>
  <c r="AD30" i="27"/>
  <c r="AA138" i="27"/>
  <c r="AC138" i="27"/>
  <c r="AB138" i="27"/>
  <c r="AA84" i="27"/>
  <c r="AB84" i="27"/>
  <c r="AD84" i="27"/>
  <c r="AA78" i="27"/>
  <c r="AC78" i="27"/>
  <c r="AC67" i="27"/>
  <c r="Z67" i="27"/>
  <c r="AA67" i="27"/>
  <c r="Y67" i="27"/>
  <c r="AC50" i="27"/>
  <c r="AD50" i="27"/>
  <c r="Y50" i="27"/>
  <c r="AA50" i="27"/>
  <c r="AB34" i="27"/>
  <c r="AD34" i="27"/>
  <c r="AA34" i="27"/>
  <c r="Z34" i="27"/>
  <c r="Y34" i="27"/>
  <c r="AC10" i="27"/>
  <c r="AD10" i="27"/>
  <c r="AA10" i="27"/>
  <c r="Z138" i="27"/>
  <c r="AA112" i="27"/>
  <c r="Y163" i="27"/>
  <c r="AB163" i="27"/>
  <c r="AD163" i="27"/>
  <c r="Y158" i="27"/>
  <c r="AD158" i="27"/>
  <c r="AC34" i="27"/>
  <c r="Y195" i="27"/>
  <c r="Z195" i="27"/>
  <c r="AC195" i="27"/>
  <c r="AA197" i="27"/>
  <c r="AD197" i="27"/>
  <c r="Z197" i="27"/>
  <c r="Y10" i="27"/>
  <c r="AB50" i="27"/>
  <c r="Y207" i="27"/>
  <c r="Z207" i="27"/>
  <c r="AC207" i="27"/>
  <c r="Z189" i="27"/>
  <c r="AC189" i="27"/>
  <c r="Q181" i="27"/>
  <c r="Q142" i="27"/>
  <c r="AB101" i="27"/>
  <c r="AD101" i="27"/>
  <c r="AD77" i="27"/>
  <c r="AB77" i="27"/>
  <c r="Z77" i="27"/>
  <c r="AA77" i="27"/>
  <c r="AC77" i="27"/>
  <c r="AC58" i="27"/>
  <c r="V175" i="27"/>
  <c r="P175" i="27" s="1"/>
  <c r="Q175" i="27" s="1"/>
  <c r="V135" i="27"/>
  <c r="P135" i="27" s="1"/>
  <c r="Q135" i="27" s="1"/>
  <c r="AC120" i="27"/>
  <c r="AA120" i="27"/>
  <c r="AC114" i="27"/>
  <c r="AD114" i="27"/>
  <c r="AA114" i="27"/>
  <c r="AB105" i="27"/>
  <c r="Z105" i="27"/>
  <c r="AC105" i="27"/>
  <c r="V64" i="27"/>
  <c r="P64" i="27" s="1"/>
  <c r="Q64" i="27" s="1"/>
  <c r="Z57" i="27"/>
  <c r="AC57" i="27"/>
  <c r="AB19" i="27"/>
  <c r="AA57" i="27"/>
  <c r="AA163" i="27"/>
  <c r="AD105" i="27"/>
  <c r="Z120" i="27"/>
  <c r="Z101" i="27"/>
  <c r="AD138" i="27"/>
  <c r="AC197" i="27"/>
  <c r="AB167" i="27"/>
  <c r="AA167" i="27"/>
  <c r="AC167" i="27"/>
  <c r="AA49" i="27"/>
  <c r="Z49" i="27"/>
  <c r="AD49" i="27"/>
  <c r="AB30" i="27"/>
  <c r="AD16" i="27"/>
  <c r="AB16" i="27"/>
  <c r="AD44" i="27"/>
  <c r="AC44" i="27"/>
  <c r="Y44" i="27"/>
  <c r="AC172" i="27"/>
  <c r="Y19" i="27"/>
  <c r="AB67" i="27"/>
  <c r="AD207" i="27"/>
  <c r="AA200" i="27"/>
  <c r="AD200" i="27"/>
  <c r="Y200" i="27"/>
  <c r="AB194" i="27"/>
  <c r="AD194" i="27"/>
  <c r="Z194" i="27"/>
  <c r="Y194" i="27"/>
  <c r="AA194" i="27"/>
  <c r="Q162" i="27"/>
  <c r="AB141" i="27"/>
  <c r="Y141" i="27"/>
  <c r="Z141" i="27"/>
  <c r="AC141" i="27"/>
  <c r="AD141" i="27"/>
  <c r="Q127" i="27"/>
  <c r="Q113" i="27"/>
  <c r="Y88" i="27"/>
  <c r="AB88" i="27"/>
  <c r="Q48" i="27"/>
  <c r="AA18" i="27"/>
  <c r="Z18" i="27"/>
  <c r="AC18" i="27"/>
  <c r="AC216" i="27"/>
  <c r="AB216" i="27"/>
  <c r="AD216" i="27"/>
  <c r="Z216" i="27"/>
  <c r="Y191" i="27"/>
  <c r="AA191" i="27"/>
  <c r="V153" i="27"/>
  <c r="P153" i="27" s="1"/>
  <c r="Q153" i="27" s="1"/>
  <c r="AA108" i="27"/>
  <c r="AC108" i="27"/>
  <c r="Y57" i="27"/>
  <c r="Z163" i="27"/>
  <c r="AA105" i="27"/>
  <c r="Y120" i="27"/>
  <c r="AB197" i="27"/>
  <c r="Y114" i="27"/>
  <c r="Z108" i="27"/>
  <c r="AD92" i="27"/>
  <c r="AC170" i="27"/>
  <c r="Y170" i="27"/>
  <c r="AB170" i="27"/>
  <c r="AA182" i="27"/>
  <c r="AB182" i="27"/>
  <c r="Z182" i="27"/>
  <c r="AB78" i="27"/>
  <c r="AD189" i="27"/>
  <c r="AD67" i="27"/>
  <c r="Y212" i="27"/>
  <c r="AA212" i="27"/>
  <c r="AC212" i="27"/>
  <c r="AD212" i="27"/>
  <c r="Y206" i="27"/>
  <c r="AC206" i="27"/>
  <c r="AB206" i="27"/>
  <c r="Q188" i="27"/>
  <c r="AA161" i="27"/>
  <c r="AD161" i="27"/>
  <c r="AC161" i="27"/>
  <c r="Q155" i="27"/>
  <c r="AD133" i="27"/>
  <c r="AB133" i="27"/>
  <c r="Y133" i="27"/>
  <c r="AD126" i="27"/>
  <c r="AC126" i="27"/>
  <c r="AB126" i="27"/>
  <c r="Z119" i="27"/>
  <c r="AC119" i="27"/>
  <c r="Q68" i="27"/>
  <c r="Q62" i="27"/>
  <c r="Q41" i="27"/>
  <c r="AB10" i="27"/>
  <c r="AC174" i="27"/>
  <c r="AC71" i="27"/>
  <c r="Y71" i="27"/>
  <c r="AB71" i="27"/>
  <c r="Z71" i="27"/>
  <c r="AD71" i="27"/>
  <c r="V25" i="27"/>
  <c r="P25" i="27" s="1"/>
  <c r="Q25" i="27" s="1"/>
  <c r="Y174" i="27"/>
  <c r="AB94" i="27"/>
  <c r="AC163" i="27"/>
  <c r="AB154" i="27"/>
  <c r="Y197" i="27"/>
  <c r="Z114" i="27"/>
  <c r="AD108" i="27"/>
  <c r="AC92" i="27"/>
  <c r="AC133" i="27"/>
  <c r="AB32" i="27"/>
  <c r="Z212" i="27"/>
  <c r="AB189" i="27"/>
  <c r="Y77" i="27"/>
  <c r="AA141" i="27"/>
  <c r="Q205" i="27"/>
  <c r="AB199" i="27"/>
  <c r="Y199" i="27"/>
  <c r="AD193" i="27"/>
  <c r="Y193" i="27"/>
  <c r="AA193" i="27"/>
  <c r="AA80" i="27"/>
  <c r="AC80" i="27"/>
  <c r="Y80" i="27"/>
  <c r="Z80" i="27"/>
  <c r="AD80" i="27"/>
  <c r="Q75" i="27"/>
  <c r="Y152" i="27"/>
  <c r="AB152" i="27"/>
  <c r="AD152" i="27"/>
  <c r="V145" i="27"/>
  <c r="P145" i="27" s="1"/>
  <c r="Q145" i="27" s="1"/>
  <c r="V91" i="27"/>
  <c r="P91" i="27" s="1"/>
  <c r="Q91" i="27" s="1"/>
  <c r="V22" i="27"/>
  <c r="P22" i="27" s="1"/>
  <c r="Q22" i="27" s="1"/>
  <c r="AA174" i="27"/>
  <c r="Z126" i="27"/>
  <c r="Z94" i="27"/>
  <c r="Z199" i="27"/>
  <c r="Y154" i="27"/>
  <c r="AC84" i="27"/>
  <c r="Z16" i="27"/>
  <c r="AB114" i="27"/>
  <c r="AD167" i="27"/>
  <c r="AB108" i="27"/>
  <c r="AA92" i="27"/>
  <c r="AA133" i="27"/>
  <c r="AC194" i="27"/>
  <c r="AA189" i="27"/>
  <c r="AA206" i="27"/>
  <c r="Z19" i="27"/>
  <c r="AD179" i="27"/>
  <c r="AB179" i="27"/>
  <c r="AA179" i="27"/>
  <c r="Q124" i="27"/>
  <c r="Q104" i="27"/>
  <c r="Q74" i="27"/>
  <c r="Q66" i="27"/>
  <c r="Q9" i="27"/>
  <c r="V187" i="27"/>
  <c r="P187" i="27" s="1"/>
  <c r="Q187" i="27" s="1"/>
  <c r="V110" i="27"/>
  <c r="P110" i="27" s="1"/>
  <c r="Q110" i="27" s="1"/>
  <c r="AD90" i="27"/>
  <c r="AA90" i="27"/>
  <c r="V15" i="27"/>
  <c r="P15" i="27" s="1"/>
  <c r="Q15" i="27" s="1"/>
  <c r="Z158" i="27"/>
  <c r="AA126" i="27"/>
  <c r="Y101" i="27"/>
  <c r="AB49" i="27"/>
  <c r="Z154" i="27"/>
  <c r="Y84" i="27"/>
  <c r="AB195" i="27"/>
  <c r="AD112" i="27"/>
  <c r="AA16" i="27"/>
  <c r="Y167" i="27"/>
  <c r="AB119" i="27"/>
  <c r="Z44" i="27"/>
  <c r="Y146" i="27"/>
  <c r="Z146" i="27"/>
  <c r="Z50" i="27"/>
  <c r="Z193" i="27"/>
  <c r="AB161" i="27"/>
  <c r="Q183" i="27"/>
  <c r="Y177" i="27"/>
  <c r="AB177" i="27"/>
  <c r="Z177" i="27"/>
  <c r="Z78" i="27"/>
  <c r="AA51" i="27"/>
  <c r="AC51" i="27"/>
  <c r="AB51" i="27"/>
  <c r="AD51" i="27"/>
  <c r="Z51" i="27"/>
  <c r="Y51" i="27"/>
  <c r="Q37" i="27"/>
  <c r="Q20" i="27"/>
  <c r="V205" i="27"/>
  <c r="P205" i="27" s="1"/>
  <c r="Z143" i="27"/>
  <c r="AB143" i="27"/>
  <c r="Y99" i="27"/>
  <c r="AA99" i="27"/>
  <c r="V65" i="27"/>
  <c r="P65" i="27" s="1"/>
  <c r="Q65" i="27" s="1"/>
  <c r="Q215" i="27"/>
  <c r="Q159" i="27"/>
  <c r="Q132" i="27"/>
  <c r="Q95" i="27"/>
  <c r="V171" i="27"/>
  <c r="P171" i="27" s="1"/>
  <c r="Q171" i="27" s="1"/>
  <c r="V150" i="27"/>
  <c r="P150" i="27" s="1"/>
  <c r="Q150" i="27" s="1"/>
  <c r="V103" i="27"/>
  <c r="P103" i="27" s="1"/>
  <c r="Q103" i="27" s="1"/>
  <c r="V13" i="27"/>
  <c r="P13" i="27" s="1"/>
  <c r="Q13" i="27" s="1"/>
  <c r="Q125" i="27"/>
  <c r="V54" i="27"/>
  <c r="P54" i="27" s="1"/>
  <c r="Q54" i="27" s="1"/>
  <c r="V26" i="27"/>
  <c r="P26" i="27" s="1"/>
  <c r="J5" i="32"/>
  <c r="Q136" i="27"/>
  <c r="Q39" i="27"/>
  <c r="Q8" i="27"/>
  <c r="V102" i="27"/>
  <c r="P102" i="27" s="1"/>
  <c r="Q102" i="27" s="1"/>
  <c r="F31" i="18"/>
  <c r="F63" i="18"/>
  <c r="F95" i="18"/>
  <c r="F127" i="18"/>
  <c r="F12" i="18"/>
  <c r="F28" i="18"/>
  <c r="F44" i="18"/>
  <c r="F60" i="18"/>
  <c r="F76" i="18"/>
  <c r="F92" i="18"/>
  <c r="F108" i="18"/>
  <c r="F124" i="18"/>
  <c r="F140" i="18"/>
  <c r="F59" i="18"/>
  <c r="F123" i="18"/>
  <c r="F53" i="18"/>
  <c r="F117" i="18"/>
  <c r="F23" i="18"/>
  <c r="F57" i="18"/>
  <c r="F97" i="18"/>
  <c r="F135" i="18"/>
  <c r="F18" i="18"/>
  <c r="F36" i="18"/>
  <c r="F54" i="18"/>
  <c r="F72" i="18"/>
  <c r="F90" i="18"/>
  <c r="F110" i="18"/>
  <c r="F128" i="18"/>
  <c r="F19" i="18"/>
  <c r="F91" i="18"/>
  <c r="F29" i="18"/>
  <c r="F101" i="18"/>
  <c r="F47" i="18"/>
  <c r="F87" i="18"/>
  <c r="F129" i="18"/>
  <c r="F20" i="18"/>
  <c r="F40" i="18"/>
  <c r="F62" i="18"/>
  <c r="F82" i="18"/>
  <c r="F102" i="18"/>
  <c r="F122" i="18"/>
  <c r="F11" i="18"/>
  <c r="F99" i="18"/>
  <c r="F45" i="18"/>
  <c r="F133" i="18"/>
  <c r="F15" i="18"/>
  <c r="F65" i="18"/>
  <c r="F111" i="18"/>
  <c r="F10" i="18"/>
  <c r="F34" i="18"/>
  <c r="F58" i="18"/>
  <c r="F84" i="18"/>
  <c r="F106" i="18"/>
  <c r="F132" i="18"/>
  <c r="F51" i="18"/>
  <c r="F13" i="18"/>
  <c r="F109" i="18"/>
  <c r="F25" i="18"/>
  <c r="F79" i="18"/>
  <c r="F137" i="18"/>
  <c r="F26" i="18"/>
  <c r="F52" i="18"/>
  <c r="F80" i="18"/>
  <c r="F112" i="18"/>
  <c r="F136" i="18"/>
  <c r="F83" i="18"/>
  <c r="F69" i="18"/>
  <c r="F33" i="18"/>
  <c r="F81" i="18"/>
  <c r="F143" i="18"/>
  <c r="F30" i="18"/>
  <c r="F56" i="18"/>
  <c r="F86" i="18"/>
  <c r="F114" i="18"/>
  <c r="F138" i="18"/>
  <c r="F107" i="18"/>
  <c r="F77" i="18"/>
  <c r="F49" i="18"/>
  <c r="F119" i="18"/>
  <c r="F38" i="18"/>
  <c r="F70" i="18"/>
  <c r="F104" i="18"/>
  <c r="F27" i="18"/>
  <c r="F21" i="18"/>
  <c r="F55" i="18"/>
  <c r="F121" i="18"/>
  <c r="F42" i="18"/>
  <c r="F74" i="18"/>
  <c r="F116" i="18"/>
  <c r="F35" i="18"/>
  <c r="F37" i="18"/>
  <c r="F73" i="18"/>
  <c r="F14" i="18"/>
  <c r="F48" i="18"/>
  <c r="F88" i="18"/>
  <c r="F120" i="18"/>
  <c r="F67" i="18"/>
  <c r="F85" i="18"/>
  <c r="F41" i="18"/>
  <c r="F22" i="18"/>
  <c r="F78" i="18"/>
  <c r="F134" i="18"/>
  <c r="F93" i="18"/>
  <c r="F103" i="18"/>
  <c r="F50" i="18"/>
  <c r="F118" i="18"/>
  <c r="F139" i="18"/>
  <c r="F17" i="18"/>
  <c r="F24" i="18"/>
  <c r="F98" i="18"/>
  <c r="F131" i="18"/>
  <c r="F71" i="18"/>
  <c r="F46" i="18"/>
  <c r="F126" i="18"/>
  <c r="F125" i="18"/>
  <c r="F89" i="18"/>
  <c r="F64" i="18"/>
  <c r="F130" i="18"/>
  <c r="F141" i="18"/>
  <c r="F113" i="18"/>
  <c r="F68" i="18"/>
  <c r="F43" i="18"/>
  <c r="F105" i="18"/>
  <c r="F142" i="18"/>
  <c r="F75" i="18"/>
  <c r="F32" i="18"/>
  <c r="F61" i="18"/>
  <c r="F66" i="18"/>
  <c r="F16" i="18"/>
  <c r="F94" i="18"/>
  <c r="F100" i="18"/>
  <c r="F115" i="18"/>
  <c r="F96" i="18"/>
  <c r="F39" i="18"/>
  <c r="Q121" i="27"/>
  <c r="Q46" i="27"/>
  <c r="Q21" i="27"/>
  <c r="V169" i="27"/>
  <c r="P169" i="27" s="1"/>
  <c r="Q169" i="27" s="1"/>
  <c r="V147" i="27"/>
  <c r="P147" i="27" s="1"/>
  <c r="Q147" i="27" s="1"/>
  <c r="V117" i="27"/>
  <c r="P117" i="27" s="1"/>
  <c r="Q117" i="27" s="1"/>
  <c r="V56" i="27"/>
  <c r="P56" i="27" s="1"/>
  <c r="Q56" i="27" s="1"/>
  <c r="V47" i="27"/>
  <c r="P47" i="27" s="1"/>
  <c r="Q47" i="27" s="1"/>
  <c r="Q26" i="27"/>
  <c r="V157" i="27"/>
  <c r="P157" i="27" s="1"/>
  <c r="Q157" i="27" s="1"/>
  <c r="V116" i="27"/>
  <c r="P116" i="27" s="1"/>
  <c r="Q116" i="27" s="1"/>
  <c r="V63" i="27"/>
  <c r="P63" i="27" s="1"/>
  <c r="Q63" i="27" s="1"/>
  <c r="V24" i="27"/>
  <c r="P24" i="27" s="1"/>
  <c r="Q24" i="27" s="1"/>
  <c r="J9" i="16"/>
  <c r="G13" i="16" s="1"/>
  <c r="E19" i="16"/>
  <c r="E23" i="16"/>
  <c r="E12" i="16"/>
  <c r="E10" i="16"/>
  <c r="E20" i="16"/>
  <c r="E14" i="16"/>
  <c r="E16" i="16"/>
  <c r="E15" i="16"/>
  <c r="E24" i="16"/>
  <c r="E18" i="16"/>
  <c r="E29" i="16"/>
  <c r="E28" i="16"/>
  <c r="E22" i="16"/>
  <c r="E17" i="16"/>
  <c r="E27" i="16"/>
  <c r="E25" i="16"/>
  <c r="C9" i="18"/>
  <c r="L21" i="16"/>
  <c r="S205" i="25"/>
  <c r="K9" i="16"/>
  <c r="M6" i="16" s="1"/>
  <c r="L28" i="16" s="1"/>
  <c r="S93" i="25"/>
  <c r="E6" i="24"/>
  <c r="O14" i="18"/>
  <c r="O86" i="18"/>
  <c r="P21" i="18"/>
  <c r="P79" i="18"/>
  <c r="P135" i="18"/>
  <c r="O17" i="18"/>
  <c r="O49" i="18"/>
  <c r="O81" i="18"/>
  <c r="O113" i="18"/>
  <c r="P10" i="18"/>
  <c r="P42" i="18"/>
  <c r="P74" i="18"/>
  <c r="P106" i="18"/>
  <c r="P138" i="18"/>
  <c r="O42" i="18"/>
  <c r="O84" i="18"/>
  <c r="O127" i="18"/>
  <c r="P35" i="18"/>
  <c r="P77" i="18"/>
  <c r="P120" i="18"/>
  <c r="O32" i="18"/>
  <c r="O88" i="18"/>
  <c r="P11" i="18"/>
  <c r="P68" i="18"/>
  <c r="P124" i="18"/>
  <c r="O48" i="18"/>
  <c r="O104" i="18"/>
  <c r="P27" i="18"/>
  <c r="P84" i="18"/>
  <c r="P140" i="18"/>
  <c r="O66" i="18"/>
  <c r="O123" i="18"/>
  <c r="P52" i="18"/>
  <c r="P108" i="18"/>
  <c r="O28" i="18"/>
  <c r="O114" i="18"/>
  <c r="P49" i="18"/>
  <c r="P113" i="18"/>
  <c r="O13" i="18"/>
  <c r="O53" i="18"/>
  <c r="O89" i="18"/>
  <c r="O125" i="18"/>
  <c r="P26" i="18"/>
  <c r="P62" i="18"/>
  <c r="P98" i="18"/>
  <c r="P134" i="18"/>
  <c r="O47" i="18"/>
  <c r="O95" i="18"/>
  <c r="O143" i="18"/>
  <c r="P56" i="18"/>
  <c r="P104" i="18"/>
  <c r="O18" i="18"/>
  <c r="O82" i="18"/>
  <c r="P17" i="18"/>
  <c r="P81" i="18"/>
  <c r="O12" i="18"/>
  <c r="O76" i="18"/>
  <c r="O140" i="18"/>
  <c r="P69" i="18"/>
  <c r="P133" i="18"/>
  <c r="O72" i="18"/>
  <c r="O136" i="18"/>
  <c r="P73" i="18"/>
  <c r="P137" i="18"/>
  <c r="O43" i="18"/>
  <c r="O135" i="18"/>
  <c r="P71" i="18"/>
  <c r="O33" i="18"/>
  <c r="O73" i="18"/>
  <c r="O117" i="18"/>
  <c r="P22" i="18"/>
  <c r="P66" i="18"/>
  <c r="P110" i="18"/>
  <c r="O15" i="18"/>
  <c r="O68" i="18"/>
  <c r="O122" i="18"/>
  <c r="P45" i="18"/>
  <c r="P99" i="18"/>
  <c r="O24" i="18"/>
  <c r="O103" i="18"/>
  <c r="P39" i="18"/>
  <c r="P111" i="18"/>
  <c r="O55" i="18"/>
  <c r="O126" i="18"/>
  <c r="P63" i="18"/>
  <c r="O16" i="18"/>
  <c r="O87" i="18"/>
  <c r="P31" i="18"/>
  <c r="P101" i="18"/>
  <c r="O22" i="18"/>
  <c r="O142" i="18"/>
  <c r="P92" i="18"/>
  <c r="O29" i="18"/>
  <c r="O77" i="18"/>
  <c r="O129" i="18"/>
  <c r="P38" i="18"/>
  <c r="P86" i="18"/>
  <c r="P130" i="18"/>
  <c r="O58" i="18"/>
  <c r="O116" i="18"/>
  <c r="P51" i="18"/>
  <c r="P115" i="18"/>
  <c r="O54" i="18"/>
  <c r="O131" i="18"/>
  <c r="P89" i="18"/>
  <c r="O34" i="18"/>
  <c r="O119" i="18"/>
  <c r="P76" i="18"/>
  <c r="O30" i="18"/>
  <c r="O108" i="18"/>
  <c r="P65" i="18"/>
  <c r="O128" i="18"/>
  <c r="P100" i="18"/>
  <c r="O64" i="18"/>
  <c r="O65" i="18"/>
  <c r="O121" i="18"/>
  <c r="P46" i="18"/>
  <c r="P94" i="18"/>
  <c r="O20" i="18"/>
  <c r="O90" i="18"/>
  <c r="P24" i="18"/>
  <c r="P93" i="18"/>
  <c r="O46" i="18"/>
  <c r="O139" i="18"/>
  <c r="P103" i="18"/>
  <c r="O70" i="18"/>
  <c r="P33" i="18"/>
  <c r="P119" i="18"/>
  <c r="O94" i="18"/>
  <c r="P59" i="18"/>
  <c r="O35" i="18"/>
  <c r="P15" i="18"/>
  <c r="P107" i="18"/>
  <c r="O21" i="18"/>
  <c r="O69" i="18"/>
  <c r="O133" i="18"/>
  <c r="P50" i="18"/>
  <c r="P102" i="18"/>
  <c r="O26" i="18"/>
  <c r="O100" i="18"/>
  <c r="P29" i="18"/>
  <c r="P109" i="18"/>
  <c r="O60" i="18"/>
  <c r="P25" i="18"/>
  <c r="P117" i="18"/>
  <c r="O83" i="18"/>
  <c r="P41" i="18"/>
  <c r="P127" i="18"/>
  <c r="O102" i="18"/>
  <c r="P80" i="18"/>
  <c r="O99" i="18"/>
  <c r="P121" i="18"/>
  <c r="O92" i="18"/>
  <c r="O93" i="18"/>
  <c r="P18" i="18"/>
  <c r="P90" i="18"/>
  <c r="O36" i="18"/>
  <c r="O138" i="18"/>
  <c r="P88" i="18"/>
  <c r="O75" i="18"/>
  <c r="P60" i="18"/>
  <c r="O62" i="18"/>
  <c r="P55" i="18"/>
  <c r="O51" i="18"/>
  <c r="P44" i="18"/>
  <c r="O107" i="18"/>
  <c r="P128" i="18"/>
  <c r="O25" i="18"/>
  <c r="O97" i="18"/>
  <c r="P30" i="18"/>
  <c r="P114" i="18"/>
  <c r="O52" i="18"/>
  <c r="P13" i="18"/>
  <c r="P125" i="18"/>
  <c r="O96" i="18"/>
  <c r="P75" i="18"/>
  <c r="O91" i="18"/>
  <c r="P91" i="18"/>
  <c r="O59" i="18"/>
  <c r="P87" i="18"/>
  <c r="P36" i="18"/>
  <c r="O41" i="18"/>
  <c r="O105" i="18"/>
  <c r="P54" i="18"/>
  <c r="P122" i="18"/>
  <c r="O74" i="18"/>
  <c r="P40" i="18"/>
  <c r="P136" i="18"/>
  <c r="O118" i="18"/>
  <c r="P132" i="18"/>
  <c r="O112" i="18"/>
  <c r="P105" i="18"/>
  <c r="O115" i="18"/>
  <c r="P116" i="18"/>
  <c r="S208" i="25"/>
  <c r="R211" i="25"/>
  <c r="AL211" i="25"/>
  <c r="AF211" i="25"/>
  <c r="AG211" i="25" s="1"/>
  <c r="AH211" i="25" s="1"/>
  <c r="R203" i="25"/>
  <c r="AL203" i="25"/>
  <c r="AF203" i="25"/>
  <c r="AG203" i="25" s="1"/>
  <c r="AH203" i="25" s="1"/>
  <c r="R195" i="25"/>
  <c r="AL195" i="25"/>
  <c r="AF195" i="25"/>
  <c r="AG195" i="25" s="1"/>
  <c r="AH195" i="25" s="1"/>
  <c r="R187" i="25"/>
  <c r="AL187" i="25"/>
  <c r="R179" i="25"/>
  <c r="AF179" i="25"/>
  <c r="R171" i="25"/>
  <c r="AF171" i="25"/>
  <c r="R163" i="25"/>
  <c r="AF163" i="25"/>
  <c r="R155" i="25"/>
  <c r="AF155" i="25"/>
  <c r="R147" i="25"/>
  <c r="AF147" i="25"/>
  <c r="R139" i="25"/>
  <c r="AF139" i="25"/>
  <c r="R131" i="25"/>
  <c r="AF131" i="25"/>
  <c r="R123" i="25"/>
  <c r="AF123" i="25"/>
  <c r="R115" i="25"/>
  <c r="AF115" i="25"/>
  <c r="AL99" i="25"/>
  <c r="R99" i="25"/>
  <c r="AF99" i="25"/>
  <c r="AF150" i="25"/>
  <c r="AF111" i="25"/>
  <c r="AF196" i="25"/>
  <c r="AG196" i="25" s="1"/>
  <c r="AH196" i="25" s="1"/>
  <c r="AF121" i="25"/>
  <c r="AF102" i="25"/>
  <c r="AF206" i="25"/>
  <c r="AG206" i="25" s="1"/>
  <c r="AH206" i="25" s="1"/>
  <c r="F14" i="16"/>
  <c r="F19" i="16"/>
  <c r="F29" i="16"/>
  <c r="F22" i="16"/>
  <c r="F20" i="16"/>
  <c r="F18" i="16"/>
  <c r="F15" i="16"/>
  <c r="F10" i="16"/>
  <c r="F12" i="16"/>
  <c r="F26" i="16"/>
  <c r="G14" i="16"/>
  <c r="L27" i="16"/>
  <c r="L19" i="16"/>
  <c r="L11" i="16"/>
  <c r="S187" i="25"/>
  <c r="AA95" i="25"/>
  <c r="AB94" i="25"/>
  <c r="R215" i="25"/>
  <c r="AF215" i="25"/>
  <c r="AG215" i="25" s="1"/>
  <c r="AH215" i="25" s="1"/>
  <c r="AL215" i="25"/>
  <c r="AF207" i="25"/>
  <c r="AG207" i="25" s="1"/>
  <c r="AH207" i="25" s="1"/>
  <c r="AL207" i="25"/>
  <c r="AF199" i="25"/>
  <c r="AG199" i="25" s="1"/>
  <c r="AH199" i="25" s="1"/>
  <c r="AL199" i="25"/>
  <c r="R199" i="25"/>
  <c r="R191" i="25"/>
  <c r="AF191" i="25"/>
  <c r="AG191" i="25" s="1"/>
  <c r="AH191" i="25" s="1"/>
  <c r="AF183" i="25"/>
  <c r="R183" i="25"/>
  <c r="R175" i="25"/>
  <c r="AF167" i="25"/>
  <c r="R167" i="25"/>
  <c r="AF159" i="25"/>
  <c r="R159" i="25"/>
  <c r="AF151" i="25"/>
  <c r="R151" i="25"/>
  <c r="R143" i="25"/>
  <c r="R135" i="25"/>
  <c r="AF119" i="25"/>
  <c r="R119" i="25"/>
  <c r="AF103" i="25"/>
  <c r="AL103" i="25"/>
  <c r="R103" i="25"/>
  <c r="AL95" i="25"/>
  <c r="R95" i="25"/>
  <c r="AF185" i="25"/>
  <c r="AG185" i="25" s="1"/>
  <c r="AH185" i="25" s="1"/>
  <c r="AF160" i="25"/>
  <c r="AF106" i="25"/>
  <c r="AF117" i="25"/>
  <c r="AF174" i="25"/>
  <c r="AF170" i="25"/>
  <c r="AF148" i="25"/>
  <c r="AF186" i="25"/>
  <c r="AG186" i="25" s="1"/>
  <c r="AH186" i="25" s="1"/>
  <c r="AF202" i="25"/>
  <c r="AG202" i="25" s="1"/>
  <c r="AH202" i="25" s="1"/>
  <c r="AF149" i="25"/>
  <c r="AF110" i="25"/>
  <c r="AF95" i="25"/>
  <c r="AG95" i="25" s="1"/>
  <c r="AH95" i="25" s="1"/>
  <c r="AF165" i="25"/>
  <c r="AF141" i="25"/>
  <c r="AF120" i="25"/>
  <c r="H24" i="32"/>
  <c r="I24" i="32" s="1"/>
  <c r="W95" i="25"/>
  <c r="V96" i="25"/>
  <c r="S77" i="25"/>
  <c r="G26" i="16"/>
  <c r="AF212" i="25"/>
  <c r="AG212" i="25" s="1"/>
  <c r="AH212" i="25" s="1"/>
  <c r="AF127" i="25"/>
  <c r="AF98" i="25"/>
  <c r="AF193" i="25"/>
  <c r="AG193" i="25" s="1"/>
  <c r="AH193" i="25" s="1"/>
  <c r="AF112" i="25"/>
  <c r="AF140" i="25"/>
  <c r="W82" i="25"/>
  <c r="V83" i="25"/>
  <c r="AB9" i="25"/>
  <c r="AA10" i="25"/>
  <c r="G24" i="16"/>
  <c r="AH37" i="32"/>
  <c r="G37" i="32" s="1"/>
  <c r="H37" i="32" s="1"/>
  <c r="I37" i="32" s="1"/>
  <c r="AH40" i="32"/>
  <c r="G40" i="32" s="1"/>
  <c r="H40" i="32" s="1"/>
  <c r="I40" i="32" s="1"/>
  <c r="AH35" i="32"/>
  <c r="G35" i="32" s="1"/>
  <c r="H35" i="32" s="1"/>
  <c r="I35" i="32" s="1"/>
  <c r="AH36" i="32"/>
  <c r="G36" i="32" s="1"/>
  <c r="H36" i="32" s="1"/>
  <c r="I36" i="32" s="1"/>
  <c r="AH62" i="32"/>
  <c r="G62" i="32" s="1"/>
  <c r="H62" i="32" s="1"/>
  <c r="I62" i="32" s="1"/>
  <c r="AH33" i="32"/>
  <c r="G33" i="32" s="1"/>
  <c r="H33" i="32" s="1"/>
  <c r="I33" i="32" s="1"/>
  <c r="AH26" i="32"/>
  <c r="G26" i="32" s="1"/>
  <c r="H26" i="32" s="1"/>
  <c r="I26" i="32" s="1"/>
  <c r="AH32" i="32"/>
  <c r="G32" i="32" s="1"/>
  <c r="H32" i="32" s="1"/>
  <c r="I32" i="32" s="1"/>
  <c r="AH29" i="32"/>
  <c r="G29" i="32" s="1"/>
  <c r="H29" i="32" s="1"/>
  <c r="I29" i="32" s="1"/>
  <c r="AH22" i="32"/>
  <c r="G22" i="32" s="1"/>
  <c r="H22" i="32" s="1"/>
  <c r="I22" i="32" s="1"/>
  <c r="AH28" i="32"/>
  <c r="G28" i="32" s="1"/>
  <c r="H28" i="32" s="1"/>
  <c r="I28" i="32" s="1"/>
  <c r="AH25" i="32"/>
  <c r="G25" i="32" s="1"/>
  <c r="H25" i="32" s="1"/>
  <c r="I25" i="32" s="1"/>
  <c r="AH18" i="32"/>
  <c r="G18" i="32" s="1"/>
  <c r="H18" i="32" s="1"/>
  <c r="I18" i="32" s="1"/>
  <c r="AH15" i="32"/>
  <c r="G15" i="32" s="1"/>
  <c r="H15" i="32" s="1"/>
  <c r="I15" i="32" s="1"/>
  <c r="AH38" i="32"/>
  <c r="G38" i="32" s="1"/>
  <c r="H38" i="32" s="1"/>
  <c r="I38" i="32" s="1"/>
  <c r="AH66" i="32"/>
  <c r="G66" i="32" s="1"/>
  <c r="H66" i="32" s="1"/>
  <c r="I66" i="32" s="1"/>
  <c r="AH75" i="32"/>
  <c r="G75" i="32" s="1"/>
  <c r="H75" i="32" s="1"/>
  <c r="I75" i="32" s="1"/>
  <c r="AH72" i="32"/>
  <c r="G72" i="32" s="1"/>
  <c r="H72" i="32" s="1"/>
  <c r="I72" i="32" s="1"/>
  <c r="AH65" i="32"/>
  <c r="G65" i="32" s="1"/>
  <c r="H65" i="32" s="1"/>
  <c r="I65" i="32" s="1"/>
  <c r="AH91" i="32"/>
  <c r="G91" i="32" s="1"/>
  <c r="H91" i="32" s="1"/>
  <c r="I91" i="32" s="1"/>
  <c r="AH96" i="32"/>
  <c r="G96" i="32" s="1"/>
  <c r="H96" i="32" s="1"/>
  <c r="I96" i="32" s="1"/>
  <c r="AH105" i="32"/>
  <c r="G105" i="32" s="1"/>
  <c r="H105" i="32" s="1"/>
  <c r="I105" i="32" s="1"/>
  <c r="AH9" i="32"/>
  <c r="G9" i="32" s="1"/>
  <c r="H9" i="32" s="1"/>
  <c r="I9" i="32" s="1"/>
  <c r="AH42" i="32"/>
  <c r="G42" i="32" s="1"/>
  <c r="H42" i="32" s="1"/>
  <c r="I42" i="32" s="1"/>
  <c r="AH74" i="32"/>
  <c r="G74" i="32" s="1"/>
  <c r="H74" i="32" s="1"/>
  <c r="I74" i="32" s="1"/>
  <c r="AH67" i="32"/>
  <c r="G67" i="32" s="1"/>
  <c r="H67" i="32" s="1"/>
  <c r="I67" i="32" s="1"/>
  <c r="AH60" i="32"/>
  <c r="G60" i="32" s="1"/>
  <c r="H60" i="32" s="1"/>
  <c r="I60" i="32" s="1"/>
  <c r="AH49" i="32"/>
  <c r="G49" i="32" s="1"/>
  <c r="H49" i="32" s="1"/>
  <c r="I49" i="32" s="1"/>
  <c r="AH77" i="32"/>
  <c r="G77" i="32" s="1"/>
  <c r="H77" i="32" s="1"/>
  <c r="I77" i="32" s="1"/>
  <c r="AH99" i="32"/>
  <c r="G99" i="32" s="1"/>
  <c r="H99" i="32" s="1"/>
  <c r="I99" i="32" s="1"/>
  <c r="AH100" i="32"/>
  <c r="G100" i="32" s="1"/>
  <c r="H100" i="32" s="1"/>
  <c r="I100" i="32" s="1"/>
  <c r="AH12" i="32"/>
  <c r="G12" i="32" s="1"/>
  <c r="H12" i="32" s="1"/>
  <c r="I12" i="32" s="1"/>
  <c r="AH63" i="32"/>
  <c r="G63" i="32" s="1"/>
  <c r="H63" i="32" s="1"/>
  <c r="I63" i="32" s="1"/>
  <c r="AH56" i="32"/>
  <c r="G56" i="32" s="1"/>
  <c r="H56" i="32" s="1"/>
  <c r="I56" i="32" s="1"/>
  <c r="AH45" i="32"/>
  <c r="G45" i="32" s="1"/>
  <c r="H45" i="32" s="1"/>
  <c r="I45" i="32" s="1"/>
  <c r="AH73" i="32"/>
  <c r="G73" i="32" s="1"/>
  <c r="H73" i="32" s="1"/>
  <c r="I73" i="32" s="1"/>
  <c r="AH95" i="32"/>
  <c r="G95" i="32" s="1"/>
  <c r="H95" i="32" s="1"/>
  <c r="I95" i="32" s="1"/>
  <c r="AH16" i="32"/>
  <c r="G16" i="32" s="1"/>
  <c r="H16" i="32" s="1"/>
  <c r="I16" i="32" s="1"/>
  <c r="AH39" i="32"/>
  <c r="G39" i="32" s="1"/>
  <c r="H39" i="32" s="1"/>
  <c r="I39" i="32" s="1"/>
  <c r="AH11" i="32"/>
  <c r="G11" i="32" s="1"/>
  <c r="H11" i="32" s="1"/>
  <c r="I11" i="32" s="1"/>
  <c r="AH23" i="32"/>
  <c r="G23" i="32" s="1"/>
  <c r="H23" i="32" s="1"/>
  <c r="I23" i="32" s="1"/>
  <c r="AH50" i="32"/>
  <c r="G50" i="32" s="1"/>
  <c r="H50" i="32" s="1"/>
  <c r="I50" i="32" s="1"/>
  <c r="AH43" i="32"/>
  <c r="G43" i="32" s="1"/>
  <c r="H43" i="32" s="1"/>
  <c r="I43" i="32" s="1"/>
  <c r="AH59" i="32"/>
  <c r="G59" i="32" s="1"/>
  <c r="H59" i="32" s="1"/>
  <c r="I59" i="32" s="1"/>
  <c r="AH52" i="32"/>
  <c r="G52" i="32" s="1"/>
  <c r="H52" i="32" s="1"/>
  <c r="I52" i="32" s="1"/>
  <c r="AH41" i="32"/>
  <c r="G41" i="32" s="1"/>
  <c r="H41" i="32" s="1"/>
  <c r="I41" i="32" s="1"/>
  <c r="AH69" i="32"/>
  <c r="G69" i="32" s="1"/>
  <c r="H69" i="32" s="1"/>
  <c r="I69" i="32" s="1"/>
  <c r="AH101" i="32"/>
  <c r="G101" i="32" s="1"/>
  <c r="H101" i="32" s="1"/>
  <c r="I101" i="32" s="1"/>
  <c r="AH102" i="32"/>
  <c r="G102" i="32" s="1"/>
  <c r="H102" i="32" s="1"/>
  <c r="I102" i="32" s="1"/>
  <c r="AH20" i="32"/>
  <c r="G20" i="32" s="1"/>
  <c r="H20" i="32" s="1"/>
  <c r="I20" i="32" s="1"/>
  <c r="AH14" i="32"/>
  <c r="G14" i="32" s="1"/>
  <c r="H14" i="32" s="1"/>
  <c r="I14" i="32" s="1"/>
  <c r="AH19" i="32"/>
  <c r="G19" i="32" s="1"/>
  <c r="H19" i="32" s="1"/>
  <c r="I19" i="32" s="1"/>
  <c r="AH31" i="32"/>
  <c r="G31" i="32" s="1"/>
  <c r="H31" i="32" s="1"/>
  <c r="I31" i="32" s="1"/>
  <c r="AH34" i="32"/>
  <c r="G34" i="32" s="1"/>
  <c r="H34" i="32" s="1"/>
  <c r="I34" i="32" s="1"/>
  <c r="AH13" i="32"/>
  <c r="G13" i="32" s="1"/>
  <c r="H13" i="32" s="1"/>
  <c r="I13" i="32" s="1"/>
  <c r="AH47" i="32"/>
  <c r="G47" i="32" s="1"/>
  <c r="H47" i="32" s="1"/>
  <c r="I47" i="32" s="1"/>
  <c r="AH55" i="32"/>
  <c r="G55" i="32" s="1"/>
  <c r="H55" i="32" s="1"/>
  <c r="I55" i="32" s="1"/>
  <c r="AH44" i="32"/>
  <c r="G44" i="32" s="1"/>
  <c r="H44" i="32" s="1"/>
  <c r="I44" i="32" s="1"/>
  <c r="AH64" i="32"/>
  <c r="G64" i="32" s="1"/>
  <c r="H64" i="32" s="1"/>
  <c r="I64" i="32" s="1"/>
  <c r="AH78" i="32"/>
  <c r="G78" i="32" s="1"/>
  <c r="H78" i="32" s="1"/>
  <c r="I78" i="32" s="1"/>
  <c r="AH83" i="32"/>
  <c r="G83" i="32" s="1"/>
  <c r="H83" i="32" s="1"/>
  <c r="I83" i="32" s="1"/>
  <c r="AH80" i="32"/>
  <c r="G80" i="32" s="1"/>
  <c r="H80" i="32" s="1"/>
  <c r="I80" i="32" s="1"/>
  <c r="AH104" i="32"/>
  <c r="G104" i="32" s="1"/>
  <c r="H104" i="32" s="1"/>
  <c r="I104" i="32" s="1"/>
  <c r="AH17" i="32"/>
  <c r="G17" i="32" s="1"/>
  <c r="H17" i="32" s="1"/>
  <c r="I17" i="32" s="1"/>
  <c r="AH27" i="32"/>
  <c r="G27" i="32" s="1"/>
  <c r="H27" i="32" s="1"/>
  <c r="I27" i="32" s="1"/>
  <c r="AH53" i="32"/>
  <c r="G53" i="32" s="1"/>
  <c r="H53" i="32" s="1"/>
  <c r="I53" i="32" s="1"/>
  <c r="AH57" i="32"/>
  <c r="G57" i="32" s="1"/>
  <c r="H57" i="32" s="1"/>
  <c r="I57" i="32" s="1"/>
  <c r="AH61" i="32"/>
  <c r="G61" i="32" s="1"/>
  <c r="H61" i="32" s="1"/>
  <c r="I61" i="32" s="1"/>
  <c r="AH87" i="32"/>
  <c r="G87" i="32" s="1"/>
  <c r="H87" i="32" s="1"/>
  <c r="I87" i="32" s="1"/>
  <c r="AH84" i="32"/>
  <c r="G84" i="32" s="1"/>
  <c r="H84" i="32" s="1"/>
  <c r="I84" i="32" s="1"/>
  <c r="AH85" i="32"/>
  <c r="G85" i="32" s="1"/>
  <c r="H85" i="32" s="1"/>
  <c r="I85" i="32" s="1"/>
  <c r="AH93" i="32"/>
  <c r="G93" i="32" s="1"/>
  <c r="H93" i="32" s="1"/>
  <c r="I93" i="32" s="1"/>
  <c r="AH98" i="32"/>
  <c r="G98" i="32" s="1"/>
  <c r="H98" i="32" s="1"/>
  <c r="I98" i="32" s="1"/>
  <c r="AH54" i="32"/>
  <c r="G54" i="32" s="1"/>
  <c r="H54" i="32" s="1"/>
  <c r="I54" i="32" s="1"/>
  <c r="AH88" i="32"/>
  <c r="G88" i="32" s="1"/>
  <c r="H88" i="32" s="1"/>
  <c r="I88" i="32" s="1"/>
  <c r="AH86" i="32"/>
  <c r="G86" i="32" s="1"/>
  <c r="H86" i="32" s="1"/>
  <c r="I86" i="32" s="1"/>
  <c r="AH46" i="32"/>
  <c r="G46" i="32" s="1"/>
  <c r="H46" i="32" s="1"/>
  <c r="I46" i="32" s="1"/>
  <c r="AH7" i="32"/>
  <c r="G7" i="32" s="1"/>
  <c r="H7" i="32" s="1"/>
  <c r="I7" i="32" s="1"/>
  <c r="AH58" i="32"/>
  <c r="G58" i="32" s="1"/>
  <c r="H58" i="32" s="1"/>
  <c r="I58" i="32" s="1"/>
  <c r="AH68" i="32"/>
  <c r="G68" i="32" s="1"/>
  <c r="H68" i="32" s="1"/>
  <c r="I68" i="32" s="1"/>
  <c r="AH10" i="32"/>
  <c r="G10" i="32" s="1"/>
  <c r="H10" i="32" s="1"/>
  <c r="I10" i="32" s="1"/>
  <c r="AH70" i="32"/>
  <c r="G70" i="32" s="1"/>
  <c r="H70" i="32" s="1"/>
  <c r="I70" i="32" s="1"/>
  <c r="AH76" i="32"/>
  <c r="G76" i="32" s="1"/>
  <c r="H76" i="32" s="1"/>
  <c r="I76" i="32" s="1"/>
  <c r="AH89" i="32"/>
  <c r="G89" i="32" s="1"/>
  <c r="H89" i="32" s="1"/>
  <c r="I89" i="32" s="1"/>
  <c r="AH30" i="32"/>
  <c r="G30" i="32" s="1"/>
  <c r="H30" i="32" s="1"/>
  <c r="I30" i="32" s="1"/>
  <c r="AH103" i="32"/>
  <c r="G103" i="32" s="1"/>
  <c r="H103" i="32" s="1"/>
  <c r="I103" i="32" s="1"/>
  <c r="AH94" i="32"/>
  <c r="G94" i="32" s="1"/>
  <c r="H94" i="32" s="1"/>
  <c r="I94" i="32" s="1"/>
  <c r="AH106" i="32"/>
  <c r="G106" i="32" s="1"/>
  <c r="H106" i="32" s="1"/>
  <c r="I106" i="32" s="1"/>
  <c r="AH48" i="32"/>
  <c r="G48" i="32" s="1"/>
  <c r="H48" i="32" s="1"/>
  <c r="I48" i="32" s="1"/>
  <c r="AH79" i="32"/>
  <c r="G79" i="32" s="1"/>
  <c r="H79" i="32" s="1"/>
  <c r="I79" i="32" s="1"/>
  <c r="AH82" i="32"/>
  <c r="G82" i="32" s="1"/>
  <c r="H82" i="32" s="1"/>
  <c r="I82" i="32" s="1"/>
  <c r="AH71" i="32"/>
  <c r="G71" i="32" s="1"/>
  <c r="H71" i="32" s="1"/>
  <c r="I71" i="32" s="1"/>
  <c r="AH97" i="32"/>
  <c r="G97" i="32" s="1"/>
  <c r="H97" i="32" s="1"/>
  <c r="I97" i="32" s="1"/>
  <c r="AH8" i="32"/>
  <c r="G8" i="32" s="1"/>
  <c r="H8" i="32" s="1"/>
  <c r="I8" i="32" s="1"/>
  <c r="AH92" i="32"/>
  <c r="G92" i="32" s="1"/>
  <c r="H92" i="32" s="1"/>
  <c r="I92" i="32" s="1"/>
  <c r="AH81" i="32"/>
  <c r="G81" i="32" s="1"/>
  <c r="H81" i="32" s="1"/>
  <c r="I81" i="32" s="1"/>
  <c r="AH21" i="32"/>
  <c r="G21" i="32" s="1"/>
  <c r="H21" i="32" s="1"/>
  <c r="I21" i="32" s="1"/>
  <c r="AH51" i="32"/>
  <c r="G51" i="32" s="1"/>
  <c r="H51" i="32" s="1"/>
  <c r="I51" i="32" s="1"/>
  <c r="AH90" i="32"/>
  <c r="G90" i="32" s="1"/>
  <c r="H90" i="32" s="1"/>
  <c r="I90" i="32" s="1"/>
  <c r="R213" i="25"/>
  <c r="AF213" i="25"/>
  <c r="AG213" i="25" s="1"/>
  <c r="AH213" i="25" s="1"/>
  <c r="R197" i="25"/>
  <c r="AL197" i="25"/>
  <c r="AF197" i="25"/>
  <c r="AG197" i="25" s="1"/>
  <c r="AH197" i="25" s="1"/>
  <c r="R189" i="25"/>
  <c r="AF189" i="25"/>
  <c r="AG189" i="25" s="1"/>
  <c r="AH189" i="25" s="1"/>
  <c r="AF181" i="25"/>
  <c r="R181" i="25"/>
  <c r="R173" i="25"/>
  <c r="AF173" i="25"/>
  <c r="R165" i="25"/>
  <c r="R157" i="25"/>
  <c r="AF157" i="25"/>
  <c r="R149" i="25"/>
  <c r="R141" i="25"/>
  <c r="AF133" i="25"/>
  <c r="R133" i="25"/>
  <c r="R125" i="25"/>
  <c r="R109" i="25"/>
  <c r="AF109" i="25"/>
  <c r="AL101" i="25"/>
  <c r="R101" i="25"/>
  <c r="AF101" i="25"/>
  <c r="AL91" i="25"/>
  <c r="R91" i="25"/>
  <c r="AF91" i="25"/>
  <c r="AG91" i="25" s="1"/>
  <c r="AH91" i="25" s="1"/>
  <c r="AF82" i="25"/>
  <c r="R83" i="25"/>
  <c r="AF88" i="25"/>
  <c r="AL83" i="25"/>
  <c r="AF84" i="25"/>
  <c r="AF90" i="25"/>
  <c r="AG90" i="25" s="1"/>
  <c r="AH90" i="25" s="1"/>
  <c r="AF85" i="25"/>
  <c r="AF89" i="25"/>
  <c r="AG89" i="25" s="1"/>
  <c r="AH89" i="25" s="1"/>
  <c r="AF86" i="25"/>
  <c r="V10" i="25"/>
  <c r="W9" i="25"/>
  <c r="R212" i="25"/>
  <c r="AL212" i="25"/>
  <c r="R204" i="25"/>
  <c r="AF204" i="25"/>
  <c r="AG204" i="25" s="1"/>
  <c r="AH204" i="25" s="1"/>
  <c r="AL204" i="25"/>
  <c r="R196" i="25"/>
  <c r="AL196" i="25"/>
  <c r="R188" i="25"/>
  <c r="AF188" i="25"/>
  <c r="AG188" i="25" s="1"/>
  <c r="AH188" i="25" s="1"/>
  <c r="AL188" i="25"/>
  <c r="R180" i="25"/>
  <c r="AF180" i="25"/>
  <c r="R172" i="25"/>
  <c r="AF172" i="25"/>
  <c r="R164" i="25"/>
  <c r="AF164" i="25"/>
  <c r="R156" i="25"/>
  <c r="R148" i="25"/>
  <c r="AF132" i="25"/>
  <c r="R132" i="25"/>
  <c r="R124" i="25"/>
  <c r="AF124" i="25"/>
  <c r="R116" i="25"/>
  <c r="AF116" i="25"/>
  <c r="AF108" i="25"/>
  <c r="R108" i="25"/>
  <c r="AL100" i="25"/>
  <c r="R100" i="25"/>
  <c r="AF100" i="25"/>
  <c r="AF214" i="25"/>
  <c r="AG214" i="25" s="1"/>
  <c r="AH214" i="25" s="1"/>
  <c r="AF198" i="25"/>
  <c r="AG198" i="25" s="1"/>
  <c r="AH198" i="25" s="1"/>
  <c r="AL198" i="25"/>
  <c r="R198" i="25"/>
  <c r="AF190" i="25"/>
  <c r="AG190" i="25" s="1"/>
  <c r="AH190" i="25" s="1"/>
  <c r="R190" i="25"/>
  <c r="AF182" i="25"/>
  <c r="AF166" i="25"/>
  <c r="R158" i="25"/>
  <c r="AF158" i="25"/>
  <c r="AF142" i="25"/>
  <c r="AF134" i="25"/>
  <c r="R134" i="25"/>
  <c r="AF126" i="25"/>
  <c r="AF118" i="25"/>
  <c r="R118" i="25"/>
  <c r="AF161" i="25"/>
  <c r="AF94" i="25"/>
  <c r="AG94" i="25" s="1"/>
  <c r="AH94" i="25" s="1"/>
  <c r="AF105" i="25"/>
  <c r="AF137" i="25"/>
  <c r="AF138" i="25"/>
  <c r="AF114" i="25"/>
  <c r="AF97" i="25"/>
  <c r="AF96" i="25"/>
  <c r="AF169" i="25"/>
  <c r="AF201" i="25"/>
  <c r="AG201" i="25" s="1"/>
  <c r="AH201" i="25" s="1"/>
  <c r="AF177" i="25"/>
  <c r="AF144" i="25"/>
  <c r="AF184" i="25"/>
  <c r="AF209" i="25"/>
  <c r="AG209" i="25" s="1"/>
  <c r="AH209" i="25" s="1"/>
  <c r="AF129" i="25"/>
  <c r="AF154" i="25"/>
  <c r="AF136" i="25"/>
  <c r="AF168" i="25"/>
  <c r="AF194" i="25"/>
  <c r="AG194" i="25" s="1"/>
  <c r="AH194" i="25" s="1"/>
  <c r="AF210" i="25"/>
  <c r="AG210" i="25" s="1"/>
  <c r="AH210" i="25" s="1"/>
  <c r="R94" i="25"/>
  <c r="AF113" i="25"/>
  <c r="AF128" i="25"/>
  <c r="AF216" i="25"/>
  <c r="AG216" i="25" s="1"/>
  <c r="AH216" i="25" s="1"/>
  <c r="AF162" i="25"/>
  <c r="AF153" i="25"/>
  <c r="AF146" i="25"/>
  <c r="AF122" i="25"/>
  <c r="AF200" i="25"/>
  <c r="AG200" i="25" s="1"/>
  <c r="AH200" i="25" s="1"/>
  <c r="AL94" i="25"/>
  <c r="AF145" i="25"/>
  <c r="AF178" i="25"/>
  <c r="AF192" i="25"/>
  <c r="AG192" i="25" s="1"/>
  <c r="AH192" i="25" s="1"/>
  <c r="AF87" i="25"/>
  <c r="AF69" i="25"/>
  <c r="AG69" i="25" s="1"/>
  <c r="AH69" i="25" s="1"/>
  <c r="R69" i="25"/>
  <c r="AF61" i="25"/>
  <c r="AG61" i="25" s="1"/>
  <c r="AH61" i="25" s="1"/>
  <c r="R61" i="25"/>
  <c r="AF53" i="25"/>
  <c r="R53" i="25"/>
  <c r="AF45" i="25"/>
  <c r="R45" i="25"/>
  <c r="AF37" i="25"/>
  <c r="R37" i="25"/>
  <c r="AF29" i="25"/>
  <c r="R29" i="25"/>
  <c r="AF21" i="25"/>
  <c r="R21" i="25"/>
  <c r="AF13" i="25"/>
  <c r="R13" i="25"/>
  <c r="AL13" i="25"/>
  <c r="AF76" i="25"/>
  <c r="AG76" i="25" s="1"/>
  <c r="AH76" i="25" s="1"/>
  <c r="R76" i="25"/>
  <c r="AF60" i="25"/>
  <c r="AG60" i="25" s="1"/>
  <c r="AH60" i="25" s="1"/>
  <c r="R60" i="25"/>
  <c r="AF52" i="25"/>
  <c r="R52" i="25"/>
  <c r="AF44" i="25"/>
  <c r="R44" i="25"/>
  <c r="R36" i="25"/>
  <c r="AF36" i="25"/>
  <c r="AF28" i="25"/>
  <c r="R28" i="25"/>
  <c r="AF12" i="25"/>
  <c r="R12" i="25"/>
  <c r="AF11" i="25"/>
  <c r="AF50" i="25"/>
  <c r="AF72" i="25"/>
  <c r="AG72" i="25" s="1"/>
  <c r="AH72" i="25" s="1"/>
  <c r="AF32" i="25"/>
  <c r="AF55" i="25"/>
  <c r="AF66" i="25"/>
  <c r="AG66" i="25" s="1"/>
  <c r="AH66" i="25" s="1"/>
  <c r="AF81" i="25"/>
  <c r="AG81" i="25" s="1"/>
  <c r="AH81" i="25" s="1"/>
  <c r="AL12" i="25"/>
  <c r="AF9" i="25"/>
  <c r="AG9" i="25" s="1"/>
  <c r="AH9" i="25" s="1"/>
  <c r="AF56" i="25"/>
  <c r="R75" i="25"/>
  <c r="AF75" i="25"/>
  <c r="AG75" i="25" s="1"/>
  <c r="AH75" i="25" s="1"/>
  <c r="AF67" i="25"/>
  <c r="AG67" i="25" s="1"/>
  <c r="AH67" i="25" s="1"/>
  <c r="R67" i="25"/>
  <c r="R59" i="25"/>
  <c r="AF59" i="25"/>
  <c r="AF51" i="25"/>
  <c r="R51" i="25"/>
  <c r="AF43" i="25"/>
  <c r="R43" i="25"/>
  <c r="AF35" i="25"/>
  <c r="R35" i="25"/>
  <c r="R27" i="25"/>
  <c r="AF27" i="25"/>
  <c r="AA84" i="25"/>
  <c r="AB83" i="25"/>
  <c r="AF74" i="25"/>
  <c r="AG74" i="25" s="1"/>
  <c r="AH74" i="25" s="1"/>
  <c r="AF58" i="25"/>
  <c r="AF42" i="25"/>
  <c r="AF34" i="25"/>
  <c r="AF26" i="25"/>
  <c r="AF18" i="25"/>
  <c r="AF10" i="25"/>
  <c r="AG10" i="25" s="1"/>
  <c r="AH10" i="25" s="1"/>
  <c r="AF41" i="25"/>
  <c r="AF57" i="25"/>
  <c r="AF78" i="25"/>
  <c r="AG78" i="25" s="1"/>
  <c r="AH78" i="25" s="1"/>
  <c r="AF14" i="25"/>
  <c r="AF30" i="25"/>
  <c r="AF46" i="25"/>
  <c r="AL10" i="25"/>
  <c r="AF31" i="25"/>
  <c r="AF47" i="25"/>
  <c r="AF65" i="25"/>
  <c r="AG65" i="25" s="1"/>
  <c r="AH65" i="25" s="1"/>
  <c r="AF80" i="25"/>
  <c r="AG80" i="25" s="1"/>
  <c r="AH80" i="25" s="1"/>
  <c r="W94" i="25"/>
  <c r="AF73" i="25"/>
  <c r="AG73" i="25" s="1"/>
  <c r="AH73" i="25" s="1"/>
  <c r="AF33" i="25"/>
  <c r="AF25" i="25"/>
  <c r="AF17" i="25"/>
  <c r="AF63" i="25"/>
  <c r="AG63" i="25" s="1"/>
  <c r="AH63" i="25" s="1"/>
  <c r="AF71" i="25"/>
  <c r="AG71" i="25" s="1"/>
  <c r="AH71" i="25" s="1"/>
  <c r="AF79" i="25"/>
  <c r="AG79" i="25" s="1"/>
  <c r="AH79" i="25" s="1"/>
  <c r="AF15" i="25"/>
  <c r="AF24" i="25"/>
  <c r="AF16" i="25"/>
  <c r="AF64" i="25"/>
  <c r="AG64" i="25" s="1"/>
  <c r="AH64" i="25" s="1"/>
  <c r="AC59" i="27" l="1"/>
  <c r="Y59" i="27"/>
  <c r="Z59" i="27"/>
  <c r="AA59" i="27"/>
  <c r="AB59" i="27"/>
  <c r="AD59" i="27"/>
  <c r="AD213" i="27"/>
  <c r="Z213" i="27"/>
  <c r="AA213" i="27"/>
  <c r="AC213" i="27"/>
  <c r="AB213" i="27"/>
  <c r="Y213" i="27"/>
  <c r="Z107" i="27"/>
  <c r="AA107" i="27"/>
  <c r="AC107" i="27"/>
  <c r="AD107" i="27"/>
  <c r="AB107" i="27"/>
  <c r="Y107" i="27"/>
  <c r="AA203" i="27"/>
  <c r="AC203" i="27"/>
  <c r="AD203" i="27"/>
  <c r="Y203" i="27"/>
  <c r="AB203" i="27"/>
  <c r="Z203" i="27"/>
  <c r="Y184" i="27"/>
  <c r="AC184" i="27"/>
  <c r="AA184" i="27"/>
  <c r="AD184" i="27"/>
  <c r="Z184" i="27"/>
  <c r="AB184" i="27"/>
  <c r="AC208" i="27"/>
  <c r="AB208" i="27"/>
  <c r="AD208" i="27"/>
  <c r="Z208" i="27"/>
  <c r="Y208" i="27"/>
  <c r="AA208" i="27"/>
  <c r="Z58" i="27"/>
  <c r="AC19" i="27"/>
  <c r="AA33" i="27"/>
  <c r="AD33" i="27"/>
  <c r="Z33" i="27"/>
  <c r="Z191" i="27"/>
  <c r="AD191" i="27"/>
  <c r="AA32" i="27"/>
  <c r="Y32" i="27"/>
  <c r="AC32" i="27"/>
  <c r="AD32" i="27"/>
  <c r="G20" i="16"/>
  <c r="AD88" i="27"/>
  <c r="AC33" i="27"/>
  <c r="Z32" i="27"/>
  <c r="AC191" i="27"/>
  <c r="AD19" i="27"/>
  <c r="Y58" i="27"/>
  <c r="Z115" i="27"/>
  <c r="AB176" i="27"/>
  <c r="AC176" i="27"/>
  <c r="Y176" i="27"/>
  <c r="Z176" i="27"/>
  <c r="AA176" i="27"/>
  <c r="AD176" i="27"/>
  <c r="AA83" i="27"/>
  <c r="AB83" i="27"/>
  <c r="AC83" i="27"/>
  <c r="AD83" i="27"/>
  <c r="AA88" i="27"/>
  <c r="AC88" i="27"/>
  <c r="AD58" i="27"/>
  <c r="Z161" i="27"/>
  <c r="AB115" i="27"/>
  <c r="AC52" i="27"/>
  <c r="Z148" i="27"/>
  <c r="Z206" i="27"/>
  <c r="AD206" i="27"/>
  <c r="AC49" i="27"/>
  <c r="Y49" i="27"/>
  <c r="L22" i="16"/>
  <c r="AB193" i="27"/>
  <c r="Z52" i="27"/>
  <c r="Y148" i="27"/>
  <c r="AA216" i="27"/>
  <c r="Y216" i="27"/>
  <c r="AB57" i="27"/>
  <c r="AD57" i="27"/>
  <c r="O71" i="18"/>
  <c r="P70" i="18"/>
  <c r="P72" i="18"/>
  <c r="O40" i="18"/>
  <c r="P95" i="18"/>
  <c r="O101" i="18"/>
  <c r="O79" i="18"/>
  <c r="P32" i="18"/>
  <c r="O38" i="18"/>
  <c r="O9" i="18" s="1"/>
  <c r="P14" i="18"/>
  <c r="P19" i="18"/>
  <c r="P139" i="18"/>
  <c r="P16" i="18"/>
  <c r="O50" i="18"/>
  <c r="P34" i="18"/>
  <c r="P61" i="18"/>
  <c r="O19" i="18"/>
  <c r="P23" i="18"/>
  <c r="P28" i="18"/>
  <c r="O120" i="18"/>
  <c r="O31" i="18"/>
  <c r="P96" i="18"/>
  <c r="P64" i="18"/>
  <c r="O111" i="18"/>
  <c r="P85" i="18"/>
  <c r="O61" i="18"/>
  <c r="P12" i="18"/>
  <c r="P9" i="18" s="1"/>
  <c r="P143" i="18"/>
  <c r="P67" i="18"/>
  <c r="P20" i="18"/>
  <c r="P43" i="18"/>
  <c r="O37" i="18"/>
  <c r="O63" i="18"/>
  <c r="O27" i="18"/>
  <c r="O57" i="18"/>
  <c r="O134" i="18"/>
  <c r="O132" i="18"/>
  <c r="O85" i="18"/>
  <c r="O109" i="18"/>
  <c r="P83" i="18"/>
  <c r="P48" i="18"/>
  <c r="O137" i="18"/>
  <c r="P131" i="18"/>
  <c r="P97" i="18"/>
  <c r="P57" i="18"/>
  <c r="O45" i="18"/>
  <c r="O106" i="18"/>
  <c r="O98" i="18"/>
  <c r="O141" i="18"/>
  <c r="P141" i="18"/>
  <c r="P112" i="18"/>
  <c r="P58" i="18"/>
  <c r="O11" i="18"/>
  <c r="O23" i="18"/>
  <c r="P118" i="18"/>
  <c r="O110" i="18"/>
  <c r="O130" i="18"/>
  <c r="P126" i="18"/>
  <c r="O124" i="18"/>
  <c r="P37" i="18"/>
  <c r="P78" i="18"/>
  <c r="O39" i="18"/>
  <c r="O44" i="18"/>
  <c r="P82" i="18"/>
  <c r="O67" i="18"/>
  <c r="O80" i="18"/>
  <c r="O56" i="18"/>
  <c r="P142" i="18"/>
  <c r="P47" i="18"/>
  <c r="P123" i="18"/>
  <c r="O78" i="18"/>
  <c r="O10" i="18"/>
  <c r="P53" i="18"/>
  <c r="P129" i="18"/>
  <c r="AB191" i="27"/>
  <c r="AD149" i="27"/>
  <c r="AB61" i="27"/>
  <c r="Z40" i="27"/>
  <c r="AB90" i="27"/>
  <c r="Z90" i="27"/>
  <c r="AC90" i="27"/>
  <c r="Y90" i="27"/>
  <c r="AA152" i="27"/>
  <c r="Z152" i="27"/>
  <c r="AC152" i="27"/>
  <c r="Y83" i="27"/>
  <c r="AB58" i="27"/>
  <c r="Y185" i="27"/>
  <c r="AD198" i="27"/>
  <c r="AB35" i="27"/>
  <c r="Z149" i="27"/>
  <c r="Y182" i="27"/>
  <c r="AC182" i="27"/>
  <c r="AD182" i="27"/>
  <c r="Z83" i="27"/>
  <c r="Z35" i="27"/>
  <c r="AC149" i="27"/>
  <c r="AA172" i="27"/>
  <c r="AB172" i="27"/>
  <c r="AD172" i="27"/>
  <c r="G19" i="16"/>
  <c r="AB33" i="27"/>
  <c r="Z172" i="27"/>
  <c r="AA35" i="27"/>
  <c r="AA178" i="27"/>
  <c r="Y28" i="27"/>
  <c r="Z99" i="27"/>
  <c r="AD99" i="27"/>
  <c r="AC99" i="27"/>
  <c r="Y33" i="27"/>
  <c r="Y172" i="27"/>
  <c r="AD27" i="27"/>
  <c r="AC35" i="27"/>
  <c r="AC178" i="27"/>
  <c r="AC28" i="27"/>
  <c r="Y78" i="27"/>
  <c r="AD78" i="27"/>
  <c r="AA198" i="27"/>
  <c r="Y198" i="27"/>
  <c r="L17" i="16"/>
  <c r="AA195" i="27"/>
  <c r="AD204" i="27"/>
  <c r="Y27" i="27"/>
  <c r="AC128" i="27"/>
  <c r="Z178" i="27"/>
  <c r="AC201" i="27"/>
  <c r="AB28" i="27"/>
  <c r="G21" i="16"/>
  <c r="AC204" i="27"/>
  <c r="AC27" i="27"/>
  <c r="AB178" i="27"/>
  <c r="AA199" i="27"/>
  <c r="AC199" i="27"/>
  <c r="Z174" i="27"/>
  <c r="AD174" i="27"/>
  <c r="L12" i="16"/>
  <c r="AD115" i="27"/>
  <c r="AB27" i="27"/>
  <c r="AB128" i="27"/>
  <c r="AC101" i="27"/>
  <c r="AA101" i="27"/>
  <c r="AA146" i="27"/>
  <c r="AB146" i="27"/>
  <c r="AC146" i="27"/>
  <c r="AD146" i="27"/>
  <c r="Y18" i="27"/>
  <c r="AD18" i="27"/>
  <c r="AB18" i="27"/>
  <c r="Y56" i="27"/>
  <c r="AD56" i="27"/>
  <c r="AA56" i="27"/>
  <c r="AB56" i="27"/>
  <c r="Z56" i="27"/>
  <c r="AC56" i="27"/>
  <c r="AC65" i="27"/>
  <c r="AD65" i="27"/>
  <c r="Z65" i="27"/>
  <c r="Y65" i="27"/>
  <c r="AA65" i="27"/>
  <c r="AB65" i="27"/>
  <c r="AI9" i="25"/>
  <c r="AJ9" i="25" s="1"/>
  <c r="S9" i="25"/>
  <c r="AB24" i="27"/>
  <c r="AD24" i="27"/>
  <c r="Y24" i="27"/>
  <c r="AA24" i="27"/>
  <c r="AC24" i="27"/>
  <c r="Z24" i="27"/>
  <c r="AD171" i="27"/>
  <c r="AA171" i="27"/>
  <c r="Z171" i="27"/>
  <c r="AB171" i="27"/>
  <c r="Y171" i="27"/>
  <c r="AC171" i="27"/>
  <c r="AB84" i="25"/>
  <c r="AA85" i="25"/>
  <c r="S10" i="25"/>
  <c r="AI10" i="25"/>
  <c r="AJ10" i="25" s="1"/>
  <c r="T10" i="25" s="1"/>
  <c r="S64" i="25"/>
  <c r="S194" i="25"/>
  <c r="AB110" i="27"/>
  <c r="Y110" i="27"/>
  <c r="AD110" i="27"/>
  <c r="Z110" i="27"/>
  <c r="AA110" i="27"/>
  <c r="AC110" i="27"/>
  <c r="Y135" i="27"/>
  <c r="AB135" i="27"/>
  <c r="Z135" i="27"/>
  <c r="AD135" i="27"/>
  <c r="AA135" i="27"/>
  <c r="AC135" i="27"/>
  <c r="S80" i="25"/>
  <c r="S71" i="25"/>
  <c r="S65" i="25"/>
  <c r="S74" i="25"/>
  <c r="S72" i="25"/>
  <c r="S76" i="25"/>
  <c r="S200" i="25"/>
  <c r="S188" i="25"/>
  <c r="S195" i="25"/>
  <c r="L26" i="16"/>
  <c r="L25" i="16"/>
  <c r="Z46" i="27"/>
  <c r="AB46" i="27"/>
  <c r="AC46" i="27"/>
  <c r="AA46" i="27"/>
  <c r="AD46" i="27"/>
  <c r="Y46" i="27"/>
  <c r="G10" i="18"/>
  <c r="F9" i="18"/>
  <c r="AA124" i="27"/>
  <c r="Y124" i="27"/>
  <c r="AC124" i="27"/>
  <c r="Z124" i="27"/>
  <c r="AB124" i="27"/>
  <c r="AD124" i="27"/>
  <c r="AC41" i="27"/>
  <c r="AD41" i="27"/>
  <c r="Z41" i="27"/>
  <c r="AA41" i="27"/>
  <c r="AB41" i="27"/>
  <c r="Y41" i="27"/>
  <c r="AC113" i="27"/>
  <c r="Z113" i="27"/>
  <c r="AA113" i="27"/>
  <c r="AD113" i="27"/>
  <c r="Y113" i="27"/>
  <c r="AB113" i="27"/>
  <c r="Y156" i="27"/>
  <c r="AB156" i="27"/>
  <c r="AD156" i="27"/>
  <c r="Z156" i="27"/>
  <c r="AA156" i="27"/>
  <c r="AC156" i="27"/>
  <c r="Y73" i="27"/>
  <c r="AB73" i="27"/>
  <c r="AC73" i="27"/>
  <c r="Z73" i="27"/>
  <c r="AA73" i="27"/>
  <c r="AD73" i="27"/>
  <c r="S63" i="25"/>
  <c r="P83" i="25"/>
  <c r="S69" i="25"/>
  <c r="S210" i="25"/>
  <c r="S190" i="25"/>
  <c r="M9" i="25"/>
  <c r="X9" i="25"/>
  <c r="Y9" i="25" s="1"/>
  <c r="S197" i="25"/>
  <c r="AA11" i="25"/>
  <c r="AB10" i="25"/>
  <c r="P94" i="25"/>
  <c r="F9" i="16"/>
  <c r="Z26" i="27"/>
  <c r="AD26" i="27"/>
  <c r="AC26" i="27"/>
  <c r="Y26" i="27"/>
  <c r="AB26" i="27"/>
  <c r="AA26" i="27"/>
  <c r="AB72" i="27"/>
  <c r="AC72" i="27"/>
  <c r="Z72" i="27"/>
  <c r="Y72" i="27"/>
  <c r="AD72" i="27"/>
  <c r="AA72" i="27"/>
  <c r="Z102" i="27"/>
  <c r="AC102" i="27"/>
  <c r="AA102" i="27"/>
  <c r="AD102" i="27"/>
  <c r="AB102" i="27"/>
  <c r="Y102" i="27"/>
  <c r="AB103" i="27"/>
  <c r="Z103" i="27"/>
  <c r="AA103" i="27"/>
  <c r="Y103" i="27"/>
  <c r="AD103" i="27"/>
  <c r="AC103" i="27"/>
  <c r="Y13" i="27"/>
  <c r="AA13" i="27"/>
  <c r="AB13" i="27"/>
  <c r="AD13" i="27"/>
  <c r="Z13" i="27"/>
  <c r="AC13" i="27"/>
  <c r="AA160" i="27"/>
  <c r="AB160" i="27"/>
  <c r="AD160" i="27"/>
  <c r="Y160" i="27"/>
  <c r="Z160" i="27"/>
  <c r="AC160" i="27"/>
  <c r="Y48" i="27"/>
  <c r="AC48" i="27"/>
  <c r="Z48" i="27"/>
  <c r="AB48" i="27"/>
  <c r="AA48" i="27"/>
  <c r="AD48" i="27"/>
  <c r="AD127" i="27"/>
  <c r="Z127" i="27"/>
  <c r="Y127" i="27"/>
  <c r="AC127" i="27"/>
  <c r="AA127" i="27"/>
  <c r="AB127" i="27"/>
  <c r="V11" i="25"/>
  <c r="W10" i="25"/>
  <c r="AC9" i="25"/>
  <c r="AD9" i="25" s="1"/>
  <c r="P9" i="25"/>
  <c r="S95" i="25"/>
  <c r="AB95" i="25"/>
  <c r="AA96" i="25"/>
  <c r="AG96" i="25" s="1"/>
  <c r="AH96" i="25" s="1"/>
  <c r="E9" i="16"/>
  <c r="Y47" i="27"/>
  <c r="AD47" i="27"/>
  <c r="AB47" i="27"/>
  <c r="Z47" i="27"/>
  <c r="AC47" i="27"/>
  <c r="AA47" i="27"/>
  <c r="AD121" i="27"/>
  <c r="AB121" i="27"/>
  <c r="Y121" i="27"/>
  <c r="Z121" i="27"/>
  <c r="AA121" i="27"/>
  <c r="AC121" i="27"/>
  <c r="AB8" i="27"/>
  <c r="AM20" i="27"/>
  <c r="AC8" i="27"/>
  <c r="Z8" i="27"/>
  <c r="AM18" i="27"/>
  <c r="AM15" i="27"/>
  <c r="AM17" i="27"/>
  <c r="AD8" i="27"/>
  <c r="AM19" i="27"/>
  <c r="AM16" i="27"/>
  <c r="AA8" i="27"/>
  <c r="Y8" i="27"/>
  <c r="Y150" i="27"/>
  <c r="AD150" i="27"/>
  <c r="AB150" i="27"/>
  <c r="AC150" i="27"/>
  <c r="Z150" i="27"/>
  <c r="AA150" i="27"/>
  <c r="AA20" i="27"/>
  <c r="Z20" i="27"/>
  <c r="AC20" i="27"/>
  <c r="AD20" i="27"/>
  <c r="Y20" i="27"/>
  <c r="AB20" i="27"/>
  <c r="Z62" i="27"/>
  <c r="AC62" i="27"/>
  <c r="AD62" i="27"/>
  <c r="AB62" i="27"/>
  <c r="Y62" i="27"/>
  <c r="AA62" i="27"/>
  <c r="Y142" i="27"/>
  <c r="AB142" i="27"/>
  <c r="Z142" i="27"/>
  <c r="AA142" i="27"/>
  <c r="AC142" i="27"/>
  <c r="AD142" i="27"/>
  <c r="Z175" i="27"/>
  <c r="AA175" i="27"/>
  <c r="Y175" i="27"/>
  <c r="AC175" i="27"/>
  <c r="AD175" i="27"/>
  <c r="AB175" i="27"/>
  <c r="S201" i="25"/>
  <c r="AG82" i="25"/>
  <c r="AH82" i="25" s="1"/>
  <c r="AL82" i="25"/>
  <c r="V84" i="25"/>
  <c r="W83" i="25"/>
  <c r="W96" i="25"/>
  <c r="V97" i="25"/>
  <c r="S199" i="25"/>
  <c r="S203" i="25"/>
  <c r="G15" i="16"/>
  <c r="G25" i="16"/>
  <c r="G16" i="16"/>
  <c r="G18" i="16"/>
  <c r="G23" i="16"/>
  <c r="G11" i="16"/>
  <c r="G10" i="16"/>
  <c r="G22" i="16"/>
  <c r="G17" i="16"/>
  <c r="G29" i="16"/>
  <c r="AD39" i="27"/>
  <c r="AA39" i="27"/>
  <c r="Z39" i="27"/>
  <c r="AB39" i="27"/>
  <c r="AC39" i="27"/>
  <c r="Y39" i="27"/>
  <c r="J20" i="32"/>
  <c r="J21" i="32"/>
  <c r="J18" i="32"/>
  <c r="J19" i="32"/>
  <c r="J46" i="32"/>
  <c r="J78" i="32"/>
  <c r="J17" i="32"/>
  <c r="J10" i="32"/>
  <c r="J16" i="32"/>
  <c r="J13" i="32"/>
  <c r="J7" i="32"/>
  <c r="J12" i="32"/>
  <c r="J39" i="32"/>
  <c r="J40" i="32"/>
  <c r="J30" i="32"/>
  <c r="J27" i="32"/>
  <c r="J50" i="32"/>
  <c r="J59" i="32"/>
  <c r="J56" i="32"/>
  <c r="J49" i="32"/>
  <c r="J81" i="32"/>
  <c r="J80" i="32"/>
  <c r="J89" i="32"/>
  <c r="J94" i="32"/>
  <c r="J28" i="32"/>
  <c r="J51" i="32"/>
  <c r="J44" i="32"/>
  <c r="J72" i="32"/>
  <c r="J61" i="32"/>
  <c r="J83" i="32"/>
  <c r="J84" i="32"/>
  <c r="J32" i="32"/>
  <c r="J25" i="32"/>
  <c r="J8" i="32"/>
  <c r="J34" i="32"/>
  <c r="J66" i="32"/>
  <c r="J75" i="32"/>
  <c r="J68" i="32"/>
  <c r="J57" i="32"/>
  <c r="J79" i="32"/>
  <c r="J37" i="32"/>
  <c r="J29" i="32"/>
  <c r="J14" i="32"/>
  <c r="J54" i="32"/>
  <c r="J47" i="32"/>
  <c r="J71" i="32"/>
  <c r="J64" i="32"/>
  <c r="J53" i="32"/>
  <c r="J85" i="32"/>
  <c r="J86" i="32"/>
  <c r="J63" i="32"/>
  <c r="J48" i="32"/>
  <c r="K5" i="32"/>
  <c r="J31" i="32"/>
  <c r="J38" i="32"/>
  <c r="J62" i="32"/>
  <c r="J74" i="32"/>
  <c r="J45" i="32"/>
  <c r="J33" i="32"/>
  <c r="J58" i="32"/>
  <c r="J60" i="32"/>
  <c r="J103" i="32"/>
  <c r="J100" i="32"/>
  <c r="J82" i="32"/>
  <c r="J104" i="32"/>
  <c r="J97" i="32"/>
  <c r="J102" i="32"/>
  <c r="J26" i="32"/>
  <c r="J15" i="32"/>
  <c r="J55" i="32"/>
  <c r="J41" i="32"/>
  <c r="J77" i="32"/>
  <c r="J88" i="32"/>
  <c r="J35" i="32"/>
  <c r="J11" i="32"/>
  <c r="J23" i="32"/>
  <c r="J99" i="32"/>
  <c r="J22" i="32"/>
  <c r="J67" i="32"/>
  <c r="J73" i="32"/>
  <c r="J36" i="32"/>
  <c r="J95" i="32"/>
  <c r="J76" i="32"/>
  <c r="J65" i="32"/>
  <c r="J101" i="32"/>
  <c r="J87" i="32"/>
  <c r="J96" i="32"/>
  <c r="J106" i="32"/>
  <c r="J52" i="32"/>
  <c r="J43" i="32"/>
  <c r="J69" i="32"/>
  <c r="J93" i="32"/>
  <c r="J91" i="32"/>
  <c r="J105" i="32"/>
  <c r="J42" i="32"/>
  <c r="J90" i="32"/>
  <c r="J24" i="32"/>
  <c r="J98" i="32"/>
  <c r="J70" i="32"/>
  <c r="J9" i="32"/>
  <c r="J92" i="32"/>
  <c r="Y37" i="27"/>
  <c r="AB37" i="27"/>
  <c r="Z37" i="27"/>
  <c r="AA37" i="27"/>
  <c r="AC37" i="27"/>
  <c r="AD37" i="27"/>
  <c r="AC183" i="27"/>
  <c r="Y183" i="27"/>
  <c r="AB183" i="27"/>
  <c r="AD183" i="27"/>
  <c r="AA183" i="27"/>
  <c r="Z183" i="27"/>
  <c r="Y68" i="27"/>
  <c r="AB68" i="27"/>
  <c r="Z68" i="27"/>
  <c r="AA68" i="27"/>
  <c r="AC68" i="27"/>
  <c r="AD68" i="27"/>
  <c r="Y188" i="27"/>
  <c r="AD188" i="27"/>
  <c r="AA188" i="27"/>
  <c r="AB188" i="27"/>
  <c r="AC188" i="27"/>
  <c r="Z188" i="27"/>
  <c r="Y181" i="27"/>
  <c r="AD181" i="27"/>
  <c r="AA181" i="27"/>
  <c r="Z181" i="27"/>
  <c r="AB181" i="27"/>
  <c r="AC181" i="27"/>
  <c r="S94" i="25"/>
  <c r="S81" i="25"/>
  <c r="S192" i="25"/>
  <c r="S198" i="25"/>
  <c r="S89" i="25"/>
  <c r="S91" i="25"/>
  <c r="S213" i="25"/>
  <c r="M82" i="25"/>
  <c r="S193" i="25"/>
  <c r="M95" i="25"/>
  <c r="S206" i="25"/>
  <c r="L16" i="16"/>
  <c r="M12" i="16"/>
  <c r="M15" i="16"/>
  <c r="M21" i="16"/>
  <c r="L24" i="16"/>
  <c r="M28" i="16"/>
  <c r="M26" i="16"/>
  <c r="M19" i="16"/>
  <c r="M11" i="16"/>
  <c r="M29" i="16"/>
  <c r="L23" i="16"/>
  <c r="M16" i="16"/>
  <c r="M10" i="16"/>
  <c r="M27" i="16"/>
  <c r="M14" i="16"/>
  <c r="M25" i="16"/>
  <c r="L14" i="16"/>
  <c r="M13" i="16"/>
  <c r="L18" i="16"/>
  <c r="L15" i="16"/>
  <c r="M17" i="16"/>
  <c r="L13" i="16"/>
  <c r="M22" i="16"/>
  <c r="M24" i="16"/>
  <c r="M23" i="16"/>
  <c r="M20" i="16"/>
  <c r="M18" i="16"/>
  <c r="L10" i="16"/>
  <c r="L29" i="16"/>
  <c r="G12" i="16"/>
  <c r="AD117" i="27"/>
  <c r="Z117" i="27"/>
  <c r="AC117" i="27"/>
  <c r="AA117" i="27"/>
  <c r="AB117" i="27"/>
  <c r="Y117" i="27"/>
  <c r="Z95" i="27"/>
  <c r="Y95" i="27"/>
  <c r="AA95" i="27"/>
  <c r="AC95" i="27"/>
  <c r="AD95" i="27"/>
  <c r="AB95" i="27"/>
  <c r="AA9" i="27"/>
  <c r="AD9" i="27"/>
  <c r="Z9" i="27"/>
  <c r="AB9" i="27"/>
  <c r="Y9" i="27"/>
  <c r="AC9" i="27"/>
  <c r="AB76" i="27"/>
  <c r="AC76" i="27"/>
  <c r="Y76" i="27"/>
  <c r="AD76" i="27"/>
  <c r="Z76" i="27"/>
  <c r="AA76" i="27"/>
  <c r="S73" i="25"/>
  <c r="S216" i="25"/>
  <c r="S214" i="25"/>
  <c r="S204" i="25"/>
  <c r="S202" i="25"/>
  <c r="S185" i="25"/>
  <c r="S207" i="25"/>
  <c r="E23" i="24"/>
  <c r="E21" i="24"/>
  <c r="AA147" i="27"/>
  <c r="Z147" i="27"/>
  <c r="AB147" i="27"/>
  <c r="AC147" i="27"/>
  <c r="Y147" i="27"/>
  <c r="AD147" i="27"/>
  <c r="AD136" i="27"/>
  <c r="Y136" i="27"/>
  <c r="AA136" i="27"/>
  <c r="Z136" i="27"/>
  <c r="AC136" i="27"/>
  <c r="AB136" i="27"/>
  <c r="AB54" i="27"/>
  <c r="Z54" i="27"/>
  <c r="AC54" i="27"/>
  <c r="AD54" i="27"/>
  <c r="Y54" i="27"/>
  <c r="AA54" i="27"/>
  <c r="Y132" i="27"/>
  <c r="AB132" i="27"/>
  <c r="AD132" i="27"/>
  <c r="Z132" i="27"/>
  <c r="AA132" i="27"/>
  <c r="AC132" i="27"/>
  <c r="AB66" i="27"/>
  <c r="AA66" i="27"/>
  <c r="AD66" i="27"/>
  <c r="Y66" i="27"/>
  <c r="Z66" i="27"/>
  <c r="AC66" i="27"/>
  <c r="AB22" i="27"/>
  <c r="AC22" i="27"/>
  <c r="Y22" i="27"/>
  <c r="AD22" i="27"/>
  <c r="Z22" i="27"/>
  <c r="AA22" i="27"/>
  <c r="AD187" i="27"/>
  <c r="Z187" i="27"/>
  <c r="Y187" i="27"/>
  <c r="AB187" i="27"/>
  <c r="AC187" i="27"/>
  <c r="AA187" i="27"/>
  <c r="AC153" i="27"/>
  <c r="Z153" i="27"/>
  <c r="AB153" i="27"/>
  <c r="AD153" i="27"/>
  <c r="Y153" i="27"/>
  <c r="AA153" i="27"/>
  <c r="Z64" i="27"/>
  <c r="Y64" i="27"/>
  <c r="AB64" i="27"/>
  <c r="AA64" i="27"/>
  <c r="AC64" i="27"/>
  <c r="AD64" i="27"/>
  <c r="AB169" i="27"/>
  <c r="AD169" i="27"/>
  <c r="Z169" i="27"/>
  <c r="AA169" i="27"/>
  <c r="AC169" i="27"/>
  <c r="Y169" i="27"/>
  <c r="S66" i="25"/>
  <c r="S67" i="25"/>
  <c r="S60" i="25"/>
  <c r="S90" i="25"/>
  <c r="S186" i="25"/>
  <c r="S211" i="25"/>
  <c r="G27" i="16"/>
  <c r="G28" i="16"/>
  <c r="AD63" i="27"/>
  <c r="AC63" i="27"/>
  <c r="Y63" i="27"/>
  <c r="Z63" i="27"/>
  <c r="AB63" i="27"/>
  <c r="AA63" i="27"/>
  <c r="AD157" i="27"/>
  <c r="Z157" i="27"/>
  <c r="AC157" i="27"/>
  <c r="AA157" i="27"/>
  <c r="Y157" i="27"/>
  <c r="AB157" i="27"/>
  <c r="AA29" i="27"/>
  <c r="AC29" i="27"/>
  <c r="Y29" i="27"/>
  <c r="AB29" i="27"/>
  <c r="Z29" i="27"/>
  <c r="AD29" i="27"/>
  <c r="Y159" i="27"/>
  <c r="Z159" i="27"/>
  <c r="AC159" i="27"/>
  <c r="AD159" i="27"/>
  <c r="AB159" i="27"/>
  <c r="AA159" i="27"/>
  <c r="AC15" i="27"/>
  <c r="Z15" i="27"/>
  <c r="AA15" i="27"/>
  <c r="AB15" i="27"/>
  <c r="Y15" i="27"/>
  <c r="AD15" i="27"/>
  <c r="Z74" i="27"/>
  <c r="AD74" i="27"/>
  <c r="AB74" i="27"/>
  <c r="Y74" i="27"/>
  <c r="AC74" i="27"/>
  <c r="AA74" i="27"/>
  <c r="AB91" i="27"/>
  <c r="Y91" i="27"/>
  <c r="AD91" i="27"/>
  <c r="AC91" i="27"/>
  <c r="Z91" i="27"/>
  <c r="AA91" i="27"/>
  <c r="AB155" i="27"/>
  <c r="AD155" i="27"/>
  <c r="Y155" i="27"/>
  <c r="AC155" i="27"/>
  <c r="Z155" i="27"/>
  <c r="AA155" i="27"/>
  <c r="AB43" i="27"/>
  <c r="Y43" i="27"/>
  <c r="AA43" i="27"/>
  <c r="Z43" i="27"/>
  <c r="AC43" i="27"/>
  <c r="AD43" i="27"/>
  <c r="M94" i="25"/>
  <c r="S79" i="25"/>
  <c r="S78" i="25"/>
  <c r="S75" i="25"/>
  <c r="S61" i="25"/>
  <c r="S209" i="25"/>
  <c r="AG84" i="25"/>
  <c r="AH84" i="25" s="1"/>
  <c r="AL84" i="25"/>
  <c r="S189" i="25"/>
  <c r="S212" i="25"/>
  <c r="S191" i="25"/>
  <c r="S215" i="25"/>
  <c r="S196" i="25"/>
  <c r="L20" i="16"/>
  <c r="AD116" i="27"/>
  <c r="Y116" i="27"/>
  <c r="AA116" i="27"/>
  <c r="AB116" i="27"/>
  <c r="Z116" i="27"/>
  <c r="AC116" i="27"/>
  <c r="AC21" i="27"/>
  <c r="Y21" i="27"/>
  <c r="AB21" i="27"/>
  <c r="AA21" i="27"/>
  <c r="AD21" i="27"/>
  <c r="Z21" i="27"/>
  <c r="AA125" i="27"/>
  <c r="AB125" i="27"/>
  <c r="Y125" i="27"/>
  <c r="Z125" i="27"/>
  <c r="AC125" i="27"/>
  <c r="AD125" i="27"/>
  <c r="AD215" i="27"/>
  <c r="AC215" i="27"/>
  <c r="Z215" i="27"/>
  <c r="AB215" i="27"/>
  <c r="Y215" i="27"/>
  <c r="AA215" i="27"/>
  <c r="AB104" i="27"/>
  <c r="AC104" i="27"/>
  <c r="Z104" i="27"/>
  <c r="AA104" i="27"/>
  <c r="AD104" i="27"/>
  <c r="Y104" i="27"/>
  <c r="AC145" i="27"/>
  <c r="Z145" i="27"/>
  <c r="AA145" i="27"/>
  <c r="AD145" i="27"/>
  <c r="Y145" i="27"/>
  <c r="AB145" i="27"/>
  <c r="AB75" i="27"/>
  <c r="Z75" i="27"/>
  <c r="AC75" i="27"/>
  <c r="AA75" i="27"/>
  <c r="AD75" i="27"/>
  <c r="Y75" i="27"/>
  <c r="AB205" i="27"/>
  <c r="Z205" i="27"/>
  <c r="AC205" i="27"/>
  <c r="Y205" i="27"/>
  <c r="AA205" i="27"/>
  <c r="AD205" i="27"/>
  <c r="Y25" i="27"/>
  <c r="AB25" i="27"/>
  <c r="AD25" i="27"/>
  <c r="Z25" i="27"/>
  <c r="AA25" i="27"/>
  <c r="AC25" i="27"/>
  <c r="AB162" i="27"/>
  <c r="AC162" i="27"/>
  <c r="Z162" i="27"/>
  <c r="AD162" i="27"/>
  <c r="Y162" i="27"/>
  <c r="AA162" i="27"/>
  <c r="R6" i="18" l="1"/>
  <c r="S96" i="25"/>
  <c r="E25" i="24"/>
  <c r="E24" i="24"/>
  <c r="M83" i="25"/>
  <c r="T9" i="25"/>
  <c r="H10" i="18"/>
  <c r="AB85" i="25"/>
  <c r="AA86" i="25"/>
  <c r="S84" i="25"/>
  <c r="P95" i="25"/>
  <c r="P84" i="25"/>
  <c r="AF8" i="27" a="1"/>
  <c r="Q9" i="25"/>
  <c r="AL85" i="25"/>
  <c r="AC10" i="25"/>
  <c r="AD10" i="25" s="1"/>
  <c r="Q10" i="25" s="1"/>
  <c r="P10" i="25"/>
  <c r="N9" i="25"/>
  <c r="V85" i="25"/>
  <c r="W84" i="25"/>
  <c r="AB96" i="25"/>
  <c r="AA97" i="25"/>
  <c r="AG85" i="25"/>
  <c r="AH85" i="25" s="1"/>
  <c r="L5" i="32"/>
  <c r="K16" i="32"/>
  <c r="K17" i="32"/>
  <c r="K14" i="32"/>
  <c r="K15" i="32"/>
  <c r="K42" i="32"/>
  <c r="K74" i="32"/>
  <c r="K20" i="32"/>
  <c r="K10" i="32"/>
  <c r="K13" i="32"/>
  <c r="K7" i="32"/>
  <c r="K35" i="32"/>
  <c r="K31" i="32"/>
  <c r="K54" i="32"/>
  <c r="K43" i="32"/>
  <c r="K55" i="32"/>
  <c r="K52" i="32"/>
  <c r="K45" i="32"/>
  <c r="K77" i="32"/>
  <c r="K103" i="32"/>
  <c r="K85" i="32"/>
  <c r="K90" i="32"/>
  <c r="K24" i="32"/>
  <c r="K30" i="32"/>
  <c r="K19" i="32"/>
  <c r="K46" i="32"/>
  <c r="K58" i="32"/>
  <c r="K78" i="32"/>
  <c r="K48" i="32"/>
  <c r="K76" i="32"/>
  <c r="K65" i="32"/>
  <c r="K87" i="32"/>
  <c r="K88" i="32"/>
  <c r="K28" i="32"/>
  <c r="K21" i="32"/>
  <c r="K51" i="32"/>
  <c r="K44" i="32"/>
  <c r="K72" i="32"/>
  <c r="K61" i="32"/>
  <c r="K83" i="32"/>
  <c r="K84" i="32"/>
  <c r="K32" i="32"/>
  <c r="K25" i="32"/>
  <c r="K8" i="32"/>
  <c r="K27" i="32"/>
  <c r="K34" i="32"/>
  <c r="K66" i="32"/>
  <c r="K75" i="32"/>
  <c r="K68" i="32"/>
  <c r="K57" i="32"/>
  <c r="K79" i="32"/>
  <c r="K80" i="32"/>
  <c r="K22" i="32"/>
  <c r="K70" i="32"/>
  <c r="K40" i="32"/>
  <c r="K59" i="32"/>
  <c r="K26" i="32"/>
  <c r="K11" i="32"/>
  <c r="K36" i="32"/>
  <c r="K50" i="32"/>
  <c r="K71" i="32"/>
  <c r="K60" i="32"/>
  <c r="K41" i="32"/>
  <c r="K67" i="32"/>
  <c r="K99" i="32"/>
  <c r="K96" i="32"/>
  <c r="K89" i="32"/>
  <c r="K94" i="32"/>
  <c r="K12" i="32"/>
  <c r="K33" i="32"/>
  <c r="K100" i="32"/>
  <c r="K82" i="32"/>
  <c r="K63" i="32"/>
  <c r="K49" i="32"/>
  <c r="K53" i="32"/>
  <c r="K104" i="32"/>
  <c r="K97" i="32"/>
  <c r="K102" i="32"/>
  <c r="K29" i="32"/>
  <c r="K23" i="32"/>
  <c r="K92" i="32"/>
  <c r="K98" i="32"/>
  <c r="K62" i="32"/>
  <c r="K95" i="32"/>
  <c r="K86" i="32"/>
  <c r="K37" i="32"/>
  <c r="K101" i="32"/>
  <c r="K39" i="32"/>
  <c r="K106" i="32"/>
  <c r="K69" i="32"/>
  <c r="K81" i="32"/>
  <c r="K93" i="32"/>
  <c r="K47" i="32"/>
  <c r="K56" i="32"/>
  <c r="K73" i="32"/>
  <c r="K9" i="32"/>
  <c r="K38" i="32"/>
  <c r="K18" i="32"/>
  <c r="K64" i="32"/>
  <c r="K105" i="32"/>
  <c r="K91" i="32"/>
  <c r="G9" i="16"/>
  <c r="S82" i="25"/>
  <c r="M10" i="25"/>
  <c r="X10" i="25"/>
  <c r="Y10" i="25" s="1"/>
  <c r="N10" i="25" s="1"/>
  <c r="AA12" i="25"/>
  <c r="AB11" i="25"/>
  <c r="L9" i="16"/>
  <c r="W97" i="25"/>
  <c r="V98" i="25"/>
  <c r="W11" i="25"/>
  <c r="V12" i="25"/>
  <c r="G11" i="18"/>
  <c r="M9" i="16"/>
  <c r="O6" i="16" s="1"/>
  <c r="M96" i="25"/>
  <c r="Q10" i="18"/>
  <c r="Q11" i="18"/>
  <c r="Q50" i="18"/>
  <c r="Q82" i="18"/>
  <c r="Q114" i="18"/>
  <c r="R11" i="18"/>
  <c r="R43" i="18"/>
  <c r="R75" i="18"/>
  <c r="R107" i="18"/>
  <c r="R139" i="18"/>
  <c r="Q55" i="18"/>
  <c r="Q97" i="18"/>
  <c r="Q140" i="18"/>
  <c r="R48" i="18"/>
  <c r="R90" i="18"/>
  <c r="R133" i="18"/>
  <c r="Q51" i="18"/>
  <c r="Q93" i="18"/>
  <c r="Q136" i="18"/>
  <c r="R44" i="18"/>
  <c r="R86" i="18"/>
  <c r="R129" i="18"/>
  <c r="Q48" i="18"/>
  <c r="Q91" i="18"/>
  <c r="Q133" i="18"/>
  <c r="R46" i="18"/>
  <c r="R89" i="18"/>
  <c r="R132" i="18"/>
  <c r="Q127" i="18"/>
  <c r="Q20" i="18"/>
  <c r="R61" i="18"/>
  <c r="R72" i="18"/>
  <c r="Q57" i="18"/>
  <c r="Q116" i="18"/>
  <c r="Q34" i="18"/>
  <c r="Q46" i="18"/>
  <c r="Q86" i="18"/>
  <c r="Q122" i="18"/>
  <c r="R23" i="18"/>
  <c r="R59" i="18"/>
  <c r="R95" i="18"/>
  <c r="R131" i="18"/>
  <c r="Q49" i="18"/>
  <c r="Q103" i="18"/>
  <c r="R16" i="18"/>
  <c r="R64" i="18"/>
  <c r="R112" i="18"/>
  <c r="Q33" i="18"/>
  <c r="Q83" i="18"/>
  <c r="Q131" i="18"/>
  <c r="R49" i="18"/>
  <c r="R97" i="18"/>
  <c r="Q15" i="18"/>
  <c r="Q69" i="18"/>
  <c r="Q117" i="18"/>
  <c r="R36" i="18"/>
  <c r="R84" i="18"/>
  <c r="R137" i="18"/>
  <c r="R34" i="18"/>
  <c r="Q89" i="18"/>
  <c r="Q35" i="18"/>
  <c r="R45" i="18"/>
  <c r="Q28" i="18"/>
  <c r="Q26" i="18"/>
  <c r="Q42" i="18"/>
  <c r="Q90" i="18"/>
  <c r="Q130" i="18"/>
  <c r="R35" i="18"/>
  <c r="R79" i="18"/>
  <c r="R119" i="18"/>
  <c r="Q39" i="18"/>
  <c r="Q92" i="18"/>
  <c r="R21" i="18"/>
  <c r="R74" i="18"/>
  <c r="R128" i="18"/>
  <c r="Q61" i="18"/>
  <c r="Q115" i="18"/>
  <c r="R33" i="18"/>
  <c r="R92" i="18"/>
  <c r="Q23" i="18"/>
  <c r="Q80" i="18"/>
  <c r="Q139" i="18"/>
  <c r="R62" i="18"/>
  <c r="R116" i="18"/>
  <c r="Q105" i="18"/>
  <c r="Q68" i="18"/>
  <c r="Q79" i="18"/>
  <c r="R130" i="18"/>
  <c r="R66" i="18"/>
  <c r="Q18" i="18"/>
  <c r="Q37" i="18"/>
  <c r="Q94" i="18"/>
  <c r="Q138" i="18"/>
  <c r="R51" i="18"/>
  <c r="R99" i="18"/>
  <c r="Q17" i="18"/>
  <c r="Q81" i="18"/>
  <c r="R10" i="18"/>
  <c r="R80" i="18"/>
  <c r="Q12" i="18"/>
  <c r="Q77" i="18"/>
  <c r="R12" i="18"/>
  <c r="R70" i="18"/>
  <c r="R134" i="18"/>
  <c r="Q75" i="18"/>
  <c r="R14" i="18"/>
  <c r="R73" i="18"/>
  <c r="R142" i="18"/>
  <c r="R98" i="18"/>
  <c r="R82" i="18"/>
  <c r="Q137" i="18"/>
  <c r="R24" i="18"/>
  <c r="Q30" i="18"/>
  <c r="Q62" i="18"/>
  <c r="Q110" i="18"/>
  <c r="R31" i="18"/>
  <c r="R87" i="18"/>
  <c r="R143" i="18"/>
  <c r="Q87" i="18"/>
  <c r="R32" i="18"/>
  <c r="R101" i="18"/>
  <c r="Q45" i="18"/>
  <c r="Q120" i="18"/>
  <c r="R60" i="18"/>
  <c r="R124" i="18"/>
  <c r="Q85" i="18"/>
  <c r="R25" i="18"/>
  <c r="R100" i="18"/>
  <c r="Q84" i="18"/>
  <c r="Q132" i="18"/>
  <c r="Q52" i="18"/>
  <c r="Q73" i="18"/>
  <c r="Q38" i="18"/>
  <c r="Q66" i="18"/>
  <c r="Q118" i="18"/>
  <c r="R39" i="18"/>
  <c r="R91" i="18"/>
  <c r="Q24" i="18"/>
  <c r="Q108" i="18"/>
  <c r="R37" i="18"/>
  <c r="R106" i="18"/>
  <c r="Q56" i="18"/>
  <c r="Q125" i="18"/>
  <c r="R65" i="18"/>
  <c r="R140" i="18"/>
  <c r="Q96" i="18"/>
  <c r="R30" i="18"/>
  <c r="R105" i="18"/>
  <c r="R13" i="18"/>
  <c r="R18" i="18"/>
  <c r="Q95" i="18"/>
  <c r="R109" i="18"/>
  <c r="Q32" i="18"/>
  <c r="Q106" i="18"/>
  <c r="R55" i="18"/>
  <c r="R123" i="18"/>
  <c r="Q76" i="18"/>
  <c r="R53" i="18"/>
  <c r="Q19" i="18"/>
  <c r="Q54" i="18"/>
  <c r="Q126" i="18"/>
  <c r="R63" i="18"/>
  <c r="R127" i="18"/>
  <c r="Q113" i="18"/>
  <c r="R58" i="18"/>
  <c r="Q25" i="18"/>
  <c r="Q141" i="18"/>
  <c r="R102" i="18"/>
  <c r="Q59" i="18"/>
  <c r="R41" i="18"/>
  <c r="R126" i="18"/>
  <c r="Q47" i="18"/>
  <c r="R88" i="18"/>
  <c r="Q14" i="18"/>
  <c r="Q70" i="18"/>
  <c r="Q142" i="18"/>
  <c r="R71" i="18"/>
  <c r="Q31" i="18"/>
  <c r="Q124" i="18"/>
  <c r="R85" i="18"/>
  <c r="Q21" i="18"/>
  <c r="R15" i="18"/>
  <c r="R115" i="18"/>
  <c r="Q135" i="18"/>
  <c r="Q40" i="18"/>
  <c r="R22" i="18"/>
  <c r="R118" i="18"/>
  <c r="Q112" i="18"/>
  <c r="R94" i="18"/>
  <c r="R120" i="18"/>
  <c r="R114" i="18"/>
  <c r="Q16" i="18"/>
  <c r="R19" i="18"/>
  <c r="Q44" i="18"/>
  <c r="R69" i="18"/>
  <c r="Q99" i="18"/>
  <c r="R81" i="18"/>
  <c r="Q101" i="18"/>
  <c r="R78" i="18"/>
  <c r="R141" i="18"/>
  <c r="Q143" i="18"/>
  <c r="Q27" i="18"/>
  <c r="R47" i="18"/>
  <c r="Q71" i="18"/>
  <c r="R138" i="18"/>
  <c r="R38" i="18"/>
  <c r="Q53" i="18"/>
  <c r="R68" i="18"/>
  <c r="Q111" i="18"/>
  <c r="R93" i="18"/>
  <c r="Q74" i="18"/>
  <c r="R83" i="18"/>
  <c r="Q129" i="18"/>
  <c r="Q72" i="18"/>
  <c r="R76" i="18"/>
  <c r="Q107" i="18"/>
  <c r="R121" i="18"/>
  <c r="R104" i="18"/>
  <c r="Q78" i="18"/>
  <c r="R103" i="18"/>
  <c r="R26" i="18"/>
  <c r="Q88" i="18"/>
  <c r="R108" i="18"/>
  <c r="Q123" i="18"/>
  <c r="Q13" i="18"/>
  <c r="R125" i="18"/>
  <c r="Q102" i="18"/>
  <c r="R135" i="18"/>
  <c r="R96" i="18"/>
  <c r="Q109" i="18"/>
  <c r="Q29" i="18"/>
  <c r="R20" i="18"/>
  <c r="Q63" i="18"/>
  <c r="R29" i="18"/>
  <c r="Q98" i="18"/>
  <c r="R42" i="18"/>
  <c r="R113" i="18"/>
  <c r="Q41" i="18"/>
  <c r="Q134" i="18"/>
  <c r="R117" i="18"/>
  <c r="Q36" i="18"/>
  <c r="R56" i="18"/>
  <c r="R67" i="18"/>
  <c r="Q67" i="18"/>
  <c r="Q64" i="18"/>
  <c r="R40" i="18"/>
  <c r="R111" i="18"/>
  <c r="Q104" i="18"/>
  <c r="Q128" i="18"/>
  <c r="Q121" i="18"/>
  <c r="R27" i="18"/>
  <c r="Q43" i="18"/>
  <c r="Q60" i="18"/>
  <c r="R52" i="18"/>
  <c r="Q119" i="18"/>
  <c r="R110" i="18"/>
  <c r="R122" i="18"/>
  <c r="R77" i="18"/>
  <c r="R54" i="18"/>
  <c r="R57" i="18"/>
  <c r="Q22" i="18"/>
  <c r="R50" i="18"/>
  <c r="Q58" i="18"/>
  <c r="R136" i="18"/>
  <c r="Q65" i="18"/>
  <c r="R17" i="18"/>
  <c r="R28" i="18"/>
  <c r="Q100" i="18"/>
  <c r="AG11" i="25"/>
  <c r="AH11" i="25" s="1"/>
  <c r="AC11" i="25" l="1"/>
  <c r="AD11" i="25" s="1"/>
  <c r="Q11" i="25" s="1"/>
  <c r="P11" i="25"/>
  <c r="R9" i="18"/>
  <c r="X11" i="25"/>
  <c r="Y11" i="25" s="1"/>
  <c r="N11" i="25" s="1"/>
  <c r="M11" i="25"/>
  <c r="S85" i="25"/>
  <c r="W98" i="25"/>
  <c r="V99" i="25"/>
  <c r="Q9" i="18"/>
  <c r="M97" i="25"/>
  <c r="P96" i="25"/>
  <c r="AA98" i="25"/>
  <c r="AB97" i="25"/>
  <c r="AG97" i="25"/>
  <c r="AH97" i="25" s="1"/>
  <c r="M84" i="25"/>
  <c r="AB86" i="25"/>
  <c r="AA87" i="25"/>
  <c r="AL86" i="25"/>
  <c r="AG86" i="25"/>
  <c r="AH86" i="25" s="1"/>
  <c r="E29" i="24"/>
  <c r="E28" i="24"/>
  <c r="E26" i="24"/>
  <c r="E27" i="24"/>
  <c r="AK9" i="27"/>
  <c r="AH10" i="27"/>
  <c r="AJ12" i="27"/>
  <c r="AF12" i="27"/>
  <c r="AG13" i="27"/>
  <c r="AJ13" i="27"/>
  <c r="AH8" i="27"/>
  <c r="AJ8" i="27"/>
  <c r="AF8" i="27"/>
  <c r="AK11" i="27"/>
  <c r="AH12" i="27"/>
  <c r="AI11" i="27"/>
  <c r="AK10" i="27"/>
  <c r="AI9" i="27"/>
  <c r="AK13" i="27"/>
  <c r="AF11" i="27"/>
  <c r="AI13" i="27"/>
  <c r="AG11" i="27"/>
  <c r="AF9" i="27"/>
  <c r="AH13" i="27"/>
  <c r="AI10" i="27"/>
  <c r="AK12" i="27"/>
  <c r="AJ10" i="27"/>
  <c r="AG9" i="27"/>
  <c r="AG10" i="27"/>
  <c r="AH9" i="27"/>
  <c r="AI8" i="27"/>
  <c r="AK8" i="27"/>
  <c r="AG12" i="27"/>
  <c r="AF13" i="27"/>
  <c r="AH11" i="27"/>
  <c r="AI12" i="27"/>
  <c r="AJ11" i="27"/>
  <c r="AJ9" i="27"/>
  <c r="AF10" i="27"/>
  <c r="AG8" i="27"/>
  <c r="P85" i="25"/>
  <c r="O14" i="16"/>
  <c r="O29" i="16"/>
  <c r="N16" i="16"/>
  <c r="O21" i="16"/>
  <c r="O11" i="16"/>
  <c r="N23" i="16"/>
  <c r="O18" i="16"/>
  <c r="O12" i="16"/>
  <c r="O22" i="16"/>
  <c r="O20" i="16"/>
  <c r="O10" i="16"/>
  <c r="O16" i="16"/>
  <c r="O26" i="16"/>
  <c r="O23" i="16"/>
  <c r="N22" i="16"/>
  <c r="O25" i="16"/>
  <c r="O27" i="16"/>
  <c r="O17" i="16"/>
  <c r="N21" i="16"/>
  <c r="N26" i="16"/>
  <c r="N24" i="16"/>
  <c r="N14" i="16"/>
  <c r="O24" i="16"/>
  <c r="N15" i="16"/>
  <c r="O13" i="16"/>
  <c r="N19" i="16"/>
  <c r="N10" i="16"/>
  <c r="O28" i="16"/>
  <c r="O19" i="16"/>
  <c r="O15" i="16"/>
  <c r="N17" i="16"/>
  <c r="N25" i="16"/>
  <c r="N20" i="16"/>
  <c r="N18" i="16"/>
  <c r="N27" i="16"/>
  <c r="N12" i="16"/>
  <c r="N29" i="16"/>
  <c r="N28" i="16"/>
  <c r="N11" i="16"/>
  <c r="N13" i="16"/>
  <c r="AA13" i="25"/>
  <c r="AB12" i="25"/>
  <c r="AG12" i="25"/>
  <c r="AH12" i="25" s="1"/>
  <c r="W85" i="25"/>
  <c r="V86" i="25"/>
  <c r="H11" i="18"/>
  <c r="I11" i="18" s="1"/>
  <c r="G12" i="18"/>
  <c r="I10" i="18"/>
  <c r="S11" i="25"/>
  <c r="AI11" i="25"/>
  <c r="AJ11" i="25" s="1"/>
  <c r="W12" i="25"/>
  <c r="V13" i="25"/>
  <c r="M5" i="32"/>
  <c r="L12" i="32"/>
  <c r="L13" i="32"/>
  <c r="L10" i="32"/>
  <c r="L11" i="32"/>
  <c r="L38" i="32"/>
  <c r="L70" i="32"/>
  <c r="L24" i="32"/>
  <c r="L21" i="32"/>
  <c r="L14" i="32"/>
  <c r="L20" i="32"/>
  <c r="L17" i="32"/>
  <c r="L16" i="32"/>
  <c r="L8" i="32"/>
  <c r="L36" i="32"/>
  <c r="L58" i="32"/>
  <c r="L47" i="32"/>
  <c r="L51" i="32"/>
  <c r="L48" i="32"/>
  <c r="L41" i="32"/>
  <c r="L73" i="32"/>
  <c r="L99" i="32"/>
  <c r="L104" i="32"/>
  <c r="L86" i="32"/>
  <c r="L31" i="32"/>
  <c r="L55" i="32"/>
  <c r="L69" i="32"/>
  <c r="L91" i="32"/>
  <c r="L92" i="32"/>
  <c r="L30" i="32"/>
  <c r="L19" i="32"/>
  <c r="L46" i="32"/>
  <c r="L78" i="32"/>
  <c r="L76" i="32"/>
  <c r="L65" i="32"/>
  <c r="L87" i="32"/>
  <c r="L88" i="32"/>
  <c r="L28" i="32"/>
  <c r="L44" i="32"/>
  <c r="L72" i="32"/>
  <c r="L61" i="32"/>
  <c r="L83" i="32"/>
  <c r="L84" i="32"/>
  <c r="L89" i="32"/>
  <c r="L90" i="32"/>
  <c r="L29" i="32"/>
  <c r="L62" i="32"/>
  <c r="L43" i="32"/>
  <c r="L75" i="32"/>
  <c r="L64" i="32"/>
  <c r="L39" i="32"/>
  <c r="L18" i="32"/>
  <c r="L33" i="32"/>
  <c r="L23" i="32"/>
  <c r="L34" i="32"/>
  <c r="L42" i="32"/>
  <c r="L54" i="32"/>
  <c r="L67" i="32"/>
  <c r="L56" i="32"/>
  <c r="L37" i="32"/>
  <c r="L81" i="32"/>
  <c r="L95" i="32"/>
  <c r="L101" i="32"/>
  <c r="L106" i="32"/>
  <c r="L7" i="32"/>
  <c r="L60" i="32"/>
  <c r="L79" i="32"/>
  <c r="L103" i="32"/>
  <c r="L96" i="32"/>
  <c r="L94" i="32"/>
  <c r="L25" i="32"/>
  <c r="L27" i="32"/>
  <c r="L66" i="32"/>
  <c r="L80" i="32"/>
  <c r="L100" i="32"/>
  <c r="L82" i="32"/>
  <c r="L77" i="32"/>
  <c r="L32" i="32"/>
  <c r="L35" i="32"/>
  <c r="L68" i="32"/>
  <c r="L49" i="32"/>
  <c r="L45" i="32"/>
  <c r="L93" i="32"/>
  <c r="L9" i="32"/>
  <c r="L57" i="32"/>
  <c r="L98" i="32"/>
  <c r="L74" i="32"/>
  <c r="L40" i="32"/>
  <c r="L63" i="32"/>
  <c r="L52" i="32"/>
  <c r="L85" i="32"/>
  <c r="L97" i="32"/>
  <c r="L15" i="32"/>
  <c r="L102" i="32"/>
  <c r="L50" i="32"/>
  <c r="L59" i="32"/>
  <c r="L71" i="32"/>
  <c r="L22" i="32"/>
  <c r="L26" i="32"/>
  <c r="L53" i="32"/>
  <c r="L105" i="32"/>
  <c r="V14" i="25" l="1"/>
  <c r="W13" i="25"/>
  <c r="AI12" i="25"/>
  <c r="AJ12" i="25" s="1"/>
  <c r="T12" i="25" s="1"/>
  <c r="S12" i="25"/>
  <c r="N9" i="16"/>
  <c r="O9" i="16"/>
  <c r="AB87" i="25"/>
  <c r="AA88" i="25"/>
  <c r="AL87" i="25"/>
  <c r="AG87" i="25"/>
  <c r="AH87" i="25" s="1"/>
  <c r="S97" i="25"/>
  <c r="N5" i="32"/>
  <c r="M39" i="32"/>
  <c r="M7" i="32"/>
  <c r="M8" i="32"/>
  <c r="M34" i="32"/>
  <c r="M66" i="32"/>
  <c r="M28" i="32"/>
  <c r="M25" i="32"/>
  <c r="M18" i="32"/>
  <c r="M24" i="32"/>
  <c r="M21" i="32"/>
  <c r="M14" i="32"/>
  <c r="M20" i="32"/>
  <c r="M17" i="32"/>
  <c r="M10" i="32"/>
  <c r="M62" i="32"/>
  <c r="M44" i="32"/>
  <c r="M76" i="32"/>
  <c r="M69" i="32"/>
  <c r="M95" i="32"/>
  <c r="M100" i="32"/>
  <c r="M82" i="32"/>
  <c r="M11" i="32"/>
  <c r="M38" i="32"/>
  <c r="M70" i="32"/>
  <c r="M59" i="32"/>
  <c r="M52" i="32"/>
  <c r="M41" i="32"/>
  <c r="M96" i="32"/>
  <c r="M31" i="32"/>
  <c r="M58" i="32"/>
  <c r="M55" i="32"/>
  <c r="M48" i="32"/>
  <c r="M91" i="32"/>
  <c r="M92" i="32"/>
  <c r="M30" i="32"/>
  <c r="M19" i="32"/>
  <c r="M46" i="32"/>
  <c r="M78" i="32"/>
  <c r="M51" i="32"/>
  <c r="M65" i="32"/>
  <c r="M87" i="32"/>
  <c r="M88" i="32"/>
  <c r="M93" i="32"/>
  <c r="M94" i="32"/>
  <c r="M16" i="32"/>
  <c r="M32" i="32"/>
  <c r="M26" i="32"/>
  <c r="M50" i="32"/>
  <c r="M74" i="32"/>
  <c r="M47" i="32"/>
  <c r="M71" i="32"/>
  <c r="M60" i="32"/>
  <c r="M72" i="32"/>
  <c r="M37" i="32"/>
  <c r="M35" i="32"/>
  <c r="M15" i="32"/>
  <c r="M27" i="32"/>
  <c r="M63" i="32"/>
  <c r="M22" i="32"/>
  <c r="M77" i="32"/>
  <c r="M67" i="32"/>
  <c r="M81" i="32"/>
  <c r="M99" i="32"/>
  <c r="M89" i="32"/>
  <c r="M101" i="32"/>
  <c r="M106" i="32"/>
  <c r="M12" i="32"/>
  <c r="M33" i="32"/>
  <c r="M79" i="32"/>
  <c r="M103" i="32"/>
  <c r="M40" i="32"/>
  <c r="M56" i="32"/>
  <c r="M64" i="32"/>
  <c r="M53" i="32"/>
  <c r="M98" i="32"/>
  <c r="M9" i="32"/>
  <c r="M75" i="32"/>
  <c r="M83" i="32"/>
  <c r="M13" i="32"/>
  <c r="M61" i="32"/>
  <c r="M84" i="32"/>
  <c r="M73" i="32"/>
  <c r="M105" i="32"/>
  <c r="M36" i="32"/>
  <c r="M45" i="32"/>
  <c r="M29" i="32"/>
  <c r="M57" i="32"/>
  <c r="M104" i="32"/>
  <c r="M86" i="32"/>
  <c r="M54" i="32"/>
  <c r="M43" i="32"/>
  <c r="M80" i="32"/>
  <c r="M42" i="32"/>
  <c r="M97" i="32"/>
  <c r="M85" i="32"/>
  <c r="M102" i="32"/>
  <c r="M68" i="32"/>
  <c r="M90" i="32"/>
  <c r="M23" i="32"/>
  <c r="M49" i="32"/>
  <c r="AC12" i="25"/>
  <c r="AD12" i="25" s="1"/>
  <c r="P12" i="25"/>
  <c r="AF15" i="27" a="1"/>
  <c r="P86" i="25"/>
  <c r="P97" i="25"/>
  <c r="W99" i="25"/>
  <c r="V100" i="25"/>
  <c r="AA99" i="25"/>
  <c r="AB98" i="25"/>
  <c r="AG98" i="25"/>
  <c r="AH98" i="25" s="1"/>
  <c r="M98" i="25"/>
  <c r="T6" i="18"/>
  <c r="AB13" i="25"/>
  <c r="AA14" i="25"/>
  <c r="AG13" i="25"/>
  <c r="AH13" i="25" s="1"/>
  <c r="X12" i="25"/>
  <c r="Y12" i="25" s="1"/>
  <c r="M12" i="25"/>
  <c r="H12" i="18"/>
  <c r="I12" i="18" s="1"/>
  <c r="G13" i="18"/>
  <c r="T11" i="25"/>
  <c r="V87" i="25"/>
  <c r="W86" i="25"/>
  <c r="M85" i="25"/>
  <c r="S86" i="25"/>
  <c r="S98" i="25" l="1"/>
  <c r="O5" i="32"/>
  <c r="N37" i="32"/>
  <c r="N40" i="32"/>
  <c r="N35" i="32"/>
  <c r="N36" i="32"/>
  <c r="N62" i="32"/>
  <c r="N32" i="32"/>
  <c r="N29" i="32"/>
  <c r="N22" i="32"/>
  <c r="N28" i="32"/>
  <c r="N25" i="32"/>
  <c r="N18" i="32"/>
  <c r="N24" i="32"/>
  <c r="N21" i="32"/>
  <c r="N14" i="32"/>
  <c r="N11" i="32"/>
  <c r="N34" i="32"/>
  <c r="N75" i="32"/>
  <c r="N72" i="32"/>
  <c r="N65" i="32"/>
  <c r="N91" i="32"/>
  <c r="N96" i="32"/>
  <c r="N105" i="32"/>
  <c r="N9" i="32"/>
  <c r="N17" i="32"/>
  <c r="N7" i="32"/>
  <c r="N26" i="32"/>
  <c r="N23" i="32"/>
  <c r="N50" i="32"/>
  <c r="N43" i="32"/>
  <c r="N63" i="32"/>
  <c r="N56" i="32"/>
  <c r="N45" i="32"/>
  <c r="N73" i="32"/>
  <c r="N95" i="32"/>
  <c r="N10" i="32"/>
  <c r="N38" i="32"/>
  <c r="N70" i="32"/>
  <c r="N59" i="32"/>
  <c r="N52" i="32"/>
  <c r="N41" i="32"/>
  <c r="N69" i="32"/>
  <c r="N31" i="32"/>
  <c r="N58" i="32"/>
  <c r="N55" i="32"/>
  <c r="N48" i="32"/>
  <c r="N76" i="32"/>
  <c r="N92" i="32"/>
  <c r="N97" i="32"/>
  <c r="N98" i="32"/>
  <c r="N33" i="32"/>
  <c r="N42" i="32"/>
  <c r="N54" i="32"/>
  <c r="N66" i="32"/>
  <c r="N78" i="32"/>
  <c r="N67" i="32"/>
  <c r="N12" i="32"/>
  <c r="N68" i="32"/>
  <c r="N30" i="32"/>
  <c r="N19" i="32"/>
  <c r="N13" i="32"/>
  <c r="N64" i="32"/>
  <c r="N86" i="32"/>
  <c r="N8" i="32"/>
  <c r="N46" i="32"/>
  <c r="N51" i="32"/>
  <c r="N77" i="32"/>
  <c r="N20" i="32"/>
  <c r="N44" i="32"/>
  <c r="N60" i="32"/>
  <c r="N81" i="32"/>
  <c r="N99" i="32"/>
  <c r="N89" i="32"/>
  <c r="N101" i="32"/>
  <c r="N94" i="32"/>
  <c r="N106" i="32"/>
  <c r="N47" i="32"/>
  <c r="N87" i="32"/>
  <c r="N104" i="32"/>
  <c r="N102" i="32"/>
  <c r="N53" i="32"/>
  <c r="N88" i="32"/>
  <c r="N16" i="32"/>
  <c r="N83" i="32"/>
  <c r="N100" i="32"/>
  <c r="N74" i="32"/>
  <c r="N103" i="32"/>
  <c r="N93" i="32"/>
  <c r="N79" i="32"/>
  <c r="N49" i="32"/>
  <c r="N39" i="32"/>
  <c r="N80" i="32"/>
  <c r="N15" i="32"/>
  <c r="N82" i="32"/>
  <c r="N27" i="32"/>
  <c r="N84" i="32"/>
  <c r="N90" i="32"/>
  <c r="N71" i="32"/>
  <c r="N61" i="32"/>
  <c r="N85" i="32"/>
  <c r="N57" i="32"/>
  <c r="Q6" i="16"/>
  <c r="M86" i="25"/>
  <c r="AI13" i="25"/>
  <c r="AJ13" i="25" s="1"/>
  <c r="S13" i="25"/>
  <c r="P98" i="25"/>
  <c r="AG20" i="27"/>
  <c r="AJ20" i="27"/>
  <c r="AH15" i="27"/>
  <c r="AJ17" i="27"/>
  <c r="AK19" i="27"/>
  <c r="AG18" i="27"/>
  <c r="AJ18" i="27"/>
  <c r="AK17" i="27"/>
  <c r="AI18" i="27"/>
  <c r="AK16" i="27"/>
  <c r="AH17" i="27"/>
  <c r="AG15" i="27"/>
  <c r="AH18" i="27"/>
  <c r="AI19" i="27"/>
  <c r="AJ16" i="27"/>
  <c r="AF15" i="27"/>
  <c r="AI17" i="27"/>
  <c r="AI20" i="27"/>
  <c r="AF17" i="27"/>
  <c r="AG16" i="27"/>
  <c r="AG19" i="27"/>
  <c r="AJ15" i="27"/>
  <c r="AI15" i="27"/>
  <c r="AI16" i="27"/>
  <c r="AG17" i="27"/>
  <c r="AF20" i="27"/>
  <c r="AH20" i="27"/>
  <c r="AK15" i="27"/>
  <c r="AH19" i="27"/>
  <c r="AF19" i="27"/>
  <c r="AF16" i="27"/>
  <c r="AF18" i="27"/>
  <c r="AH16" i="27"/>
  <c r="AJ19" i="27"/>
  <c r="AK20" i="27"/>
  <c r="AK18" i="27"/>
  <c r="V88" i="25"/>
  <c r="W87" i="25"/>
  <c r="AB14" i="25"/>
  <c r="AA15" i="25"/>
  <c r="AG14" i="25"/>
  <c r="AH14" i="25" s="1"/>
  <c r="AB99" i="25"/>
  <c r="AA100" i="25"/>
  <c r="AG99" i="25"/>
  <c r="AH99" i="25" s="1"/>
  <c r="P13" i="25"/>
  <c r="AC13" i="25"/>
  <c r="AD13" i="25" s="1"/>
  <c r="Q13" i="25" s="1"/>
  <c r="W100" i="25"/>
  <c r="V101" i="25"/>
  <c r="Q12" i="25"/>
  <c r="S87" i="25"/>
  <c r="M99" i="25"/>
  <c r="M13" i="25"/>
  <c r="X13" i="25"/>
  <c r="Y13" i="25" s="1"/>
  <c r="N13" i="25" s="1"/>
  <c r="H13" i="18"/>
  <c r="I13" i="18" s="1"/>
  <c r="G14" i="18"/>
  <c r="S23" i="18"/>
  <c r="S55" i="18"/>
  <c r="S87" i="18"/>
  <c r="S119" i="18"/>
  <c r="S50" i="18"/>
  <c r="S93" i="18"/>
  <c r="S136" i="18"/>
  <c r="T27" i="18"/>
  <c r="J27" i="18" s="1"/>
  <c r="T49" i="18"/>
  <c r="J49" i="18" s="1"/>
  <c r="T70" i="18"/>
  <c r="J70" i="18" s="1"/>
  <c r="T91" i="18"/>
  <c r="J91" i="18" s="1"/>
  <c r="T113" i="18"/>
  <c r="J113" i="18" s="1"/>
  <c r="T134" i="18"/>
  <c r="J134" i="18" s="1"/>
  <c r="S33" i="18"/>
  <c r="S76" i="18"/>
  <c r="S118" i="18"/>
  <c r="T21" i="18"/>
  <c r="J21" i="18" s="1"/>
  <c r="T42" i="18"/>
  <c r="J42" i="18" s="1"/>
  <c r="T63" i="18"/>
  <c r="J63" i="18" s="1"/>
  <c r="T85" i="18"/>
  <c r="J85" i="18" s="1"/>
  <c r="T106" i="18"/>
  <c r="J106" i="18" s="1"/>
  <c r="T127" i="18"/>
  <c r="J127" i="18" s="1"/>
  <c r="S16" i="18"/>
  <c r="S101" i="18"/>
  <c r="T41" i="18"/>
  <c r="J41" i="18" s="1"/>
  <c r="T83" i="18"/>
  <c r="J83" i="18" s="1"/>
  <c r="T126" i="18"/>
  <c r="J126" i="18" s="1"/>
  <c r="S62" i="18"/>
  <c r="T13" i="18"/>
  <c r="J13" i="18" s="1"/>
  <c r="T55" i="18"/>
  <c r="J55" i="18" s="1"/>
  <c r="T98" i="18"/>
  <c r="J98" i="18" s="1"/>
  <c r="T141" i="18"/>
  <c r="J141" i="18" s="1"/>
  <c r="S142" i="18"/>
  <c r="S85" i="18"/>
  <c r="S117" i="18"/>
  <c r="T89" i="18"/>
  <c r="J89" i="18" s="1"/>
  <c r="S27" i="18"/>
  <c r="S63" i="18"/>
  <c r="S99" i="18"/>
  <c r="S135" i="18"/>
  <c r="T24" i="18"/>
  <c r="J24" i="18" s="1"/>
  <c r="T60" i="18"/>
  <c r="J60" i="18" s="1"/>
  <c r="T80" i="18"/>
  <c r="J80" i="18" s="1"/>
  <c r="T116" i="18"/>
  <c r="J116" i="18" s="1"/>
  <c r="S34" i="18"/>
  <c r="S82" i="18"/>
  <c r="S130" i="18"/>
  <c r="T54" i="18"/>
  <c r="J54" i="18" s="1"/>
  <c r="T102" i="18"/>
  <c r="J102" i="18" s="1"/>
  <c r="S22" i="18"/>
  <c r="S70" i="18"/>
  <c r="S124" i="18"/>
  <c r="T26" i="18"/>
  <c r="J26" i="18" s="1"/>
  <c r="T74" i="18"/>
  <c r="J74" i="18" s="1"/>
  <c r="T122" i="18"/>
  <c r="J122" i="18" s="1"/>
  <c r="S112" i="18"/>
  <c r="T51" i="18"/>
  <c r="J51" i="18" s="1"/>
  <c r="S20" i="18"/>
  <c r="S116" i="18"/>
  <c r="T45" i="18"/>
  <c r="J45" i="18" s="1"/>
  <c r="T135" i="18"/>
  <c r="J135" i="18" s="1"/>
  <c r="T121" i="18"/>
  <c r="J121" i="18" s="1"/>
  <c r="S132" i="18"/>
  <c r="T103" i="18"/>
  <c r="J103" i="18" s="1"/>
  <c r="S138" i="18"/>
  <c r="T110" i="18"/>
  <c r="J110" i="18" s="1"/>
  <c r="S47" i="18"/>
  <c r="S91" i="18"/>
  <c r="S131" i="18"/>
  <c r="T48" i="18"/>
  <c r="J48" i="18" s="1"/>
  <c r="T68" i="18"/>
  <c r="J68" i="18" s="1"/>
  <c r="T88" i="18"/>
  <c r="J88" i="18" s="1"/>
  <c r="T108" i="18"/>
  <c r="J108" i="18" s="1"/>
  <c r="S29" i="18"/>
  <c r="S88" i="18"/>
  <c r="T11" i="18"/>
  <c r="J11" i="18" s="1"/>
  <c r="T38" i="18"/>
  <c r="J38" i="18" s="1"/>
  <c r="T65" i="18"/>
  <c r="J65" i="18" s="1"/>
  <c r="S17" i="18"/>
  <c r="S81" i="18"/>
  <c r="S134" i="18"/>
  <c r="T90" i="18"/>
  <c r="J90" i="18" s="1"/>
  <c r="T117" i="18"/>
  <c r="J117" i="18" s="1"/>
  <c r="T143" i="18"/>
  <c r="J143" i="18" s="1"/>
  <c r="S122" i="18"/>
  <c r="T62" i="18"/>
  <c r="J62" i="18" s="1"/>
  <c r="T115" i="18"/>
  <c r="J115" i="18" s="1"/>
  <c r="S73" i="18"/>
  <c r="T50" i="18"/>
  <c r="J50" i="18" s="1"/>
  <c r="S21" i="18"/>
  <c r="T57" i="18"/>
  <c r="J57" i="18" s="1"/>
  <c r="S46" i="18"/>
  <c r="S74" i="18"/>
  <c r="S11" i="18"/>
  <c r="S59" i="18"/>
  <c r="S107" i="18"/>
  <c r="T16" i="18"/>
  <c r="J16" i="18" s="1"/>
  <c r="T64" i="18"/>
  <c r="J64" i="18" s="1"/>
  <c r="T112" i="18"/>
  <c r="J112" i="18" s="1"/>
  <c r="T136" i="18"/>
  <c r="J136" i="18" s="1"/>
  <c r="S56" i="18"/>
  <c r="S114" i="18"/>
  <c r="S15" i="18"/>
  <c r="S71" i="18"/>
  <c r="S123" i="18"/>
  <c r="T28" i="18"/>
  <c r="J28" i="18" s="1"/>
  <c r="S66" i="18"/>
  <c r="S141" i="18"/>
  <c r="T43" i="18"/>
  <c r="J43" i="18" s="1"/>
  <c r="T75" i="18"/>
  <c r="J75" i="18" s="1"/>
  <c r="T107" i="18"/>
  <c r="J107" i="18" s="1"/>
  <c r="T139" i="18"/>
  <c r="J139" i="18" s="1"/>
  <c r="S60" i="18"/>
  <c r="S129" i="18"/>
  <c r="T37" i="18"/>
  <c r="J37" i="18" s="1"/>
  <c r="T69" i="18"/>
  <c r="J69" i="18" s="1"/>
  <c r="T101" i="18"/>
  <c r="J101" i="18" s="1"/>
  <c r="T133" i="18"/>
  <c r="J133" i="18" s="1"/>
  <c r="S69" i="18"/>
  <c r="S84" i="18"/>
  <c r="T109" i="18"/>
  <c r="J109" i="18" s="1"/>
  <c r="S78" i="18"/>
  <c r="T114" i="18"/>
  <c r="J114" i="18" s="1"/>
  <c r="T35" i="18"/>
  <c r="J35" i="18" s="1"/>
  <c r="S25" i="18"/>
  <c r="T82" i="18"/>
  <c r="J82" i="18" s="1"/>
  <c r="T25" i="18"/>
  <c r="J25" i="18" s="1"/>
  <c r="S19" i="18"/>
  <c r="S75" i="18"/>
  <c r="S127" i="18"/>
  <c r="T32" i="18"/>
  <c r="J32" i="18" s="1"/>
  <c r="T56" i="18"/>
  <c r="J56" i="18" s="1"/>
  <c r="T84" i="18"/>
  <c r="J84" i="18" s="1"/>
  <c r="T140" i="18"/>
  <c r="J140" i="18" s="1"/>
  <c r="S72" i="18"/>
  <c r="T81" i="18"/>
  <c r="J81" i="18" s="1"/>
  <c r="S65" i="18"/>
  <c r="S140" i="18"/>
  <c r="S80" i="18"/>
  <c r="S94" i="18"/>
  <c r="S100" i="18"/>
  <c r="S68" i="18"/>
  <c r="S51" i="18"/>
  <c r="S139" i="18"/>
  <c r="T40" i="18"/>
  <c r="J40" i="18" s="1"/>
  <c r="S24" i="18"/>
  <c r="S120" i="18"/>
  <c r="S86" i="18"/>
  <c r="T58" i="18"/>
  <c r="J58" i="18" s="1"/>
  <c r="S26" i="18"/>
  <c r="T30" i="18"/>
  <c r="J30" i="18" s="1"/>
  <c r="S137" i="18"/>
  <c r="T87" i="18"/>
  <c r="J87" i="18" s="1"/>
  <c r="S121" i="18"/>
  <c r="S64" i="18"/>
  <c r="T125" i="18"/>
  <c r="J125" i="18" s="1"/>
  <c r="T67" i="18"/>
  <c r="J67" i="18" s="1"/>
  <c r="S79" i="18"/>
  <c r="T100" i="18"/>
  <c r="J100" i="18" s="1"/>
  <c r="S13" i="18"/>
  <c r="S109" i="18"/>
  <c r="S28" i="18"/>
  <c r="S108" i="18"/>
  <c r="T47" i="18"/>
  <c r="J47" i="18" s="1"/>
  <c r="T34" i="18"/>
  <c r="J34" i="18" s="1"/>
  <c r="T130" i="18"/>
  <c r="J130" i="18" s="1"/>
  <c r="T93" i="18"/>
  <c r="J93" i="18" s="1"/>
  <c r="T99" i="18"/>
  <c r="J99" i="18" s="1"/>
  <c r="T61" i="18"/>
  <c r="J61" i="18" s="1"/>
  <c r="S31" i="18"/>
  <c r="S111" i="18"/>
  <c r="T44" i="18"/>
  <c r="J44" i="18" s="1"/>
  <c r="T92" i="18"/>
  <c r="J92" i="18" s="1"/>
  <c r="T132" i="18"/>
  <c r="J132" i="18" s="1"/>
  <c r="S125" i="18"/>
  <c r="T118" i="18"/>
  <c r="J118" i="18" s="1"/>
  <c r="S54" i="18"/>
  <c r="T138" i="18"/>
  <c r="J138" i="18" s="1"/>
  <c r="S41" i="18"/>
  <c r="T29" i="18"/>
  <c r="J29" i="18" s="1"/>
  <c r="T14" i="18"/>
  <c r="J14" i="18" s="1"/>
  <c r="T39" i="18"/>
  <c r="J39" i="18" s="1"/>
  <c r="S43" i="18"/>
  <c r="T20" i="18"/>
  <c r="J20" i="18" s="1"/>
  <c r="T72" i="18"/>
  <c r="J72" i="18" s="1"/>
  <c r="T124" i="18"/>
  <c r="J124" i="18" s="1"/>
  <c r="S104" i="18"/>
  <c r="T129" i="18"/>
  <c r="J129" i="18" s="1"/>
  <c r="S102" i="18"/>
  <c r="T19" i="18"/>
  <c r="J19" i="18" s="1"/>
  <c r="S30" i="18"/>
  <c r="T77" i="18"/>
  <c r="J77" i="18" s="1"/>
  <c r="T71" i="18"/>
  <c r="J71" i="18" s="1"/>
  <c r="S32" i="18"/>
  <c r="S83" i="18"/>
  <c r="S18" i="18"/>
  <c r="S12" i="18"/>
  <c r="T10" i="18"/>
  <c r="T73" i="18"/>
  <c r="J73" i="18" s="1"/>
  <c r="S105" i="18"/>
  <c r="T119" i="18"/>
  <c r="J119" i="18" s="1"/>
  <c r="S89" i="18"/>
  <c r="S96" i="18"/>
  <c r="S95" i="18"/>
  <c r="T36" i="18"/>
  <c r="J36" i="18" s="1"/>
  <c r="T96" i="18"/>
  <c r="J96" i="18" s="1"/>
  <c r="S40" i="18"/>
  <c r="T22" i="18"/>
  <c r="J22" i="18" s="1"/>
  <c r="T86" i="18"/>
  <c r="J86" i="18" s="1"/>
  <c r="S38" i="18"/>
  <c r="T15" i="18"/>
  <c r="J15" i="18" s="1"/>
  <c r="T79" i="18"/>
  <c r="J79" i="18" s="1"/>
  <c r="S37" i="18"/>
  <c r="S126" i="18"/>
  <c r="S42" i="18"/>
  <c r="S110" i="18"/>
  <c r="S115" i="18"/>
  <c r="T52" i="18"/>
  <c r="J52" i="18" s="1"/>
  <c r="T104" i="18"/>
  <c r="J104" i="18" s="1"/>
  <c r="S61" i="18"/>
  <c r="S49" i="18"/>
  <c r="T31" i="18"/>
  <c r="J31" i="18" s="1"/>
  <c r="T95" i="18"/>
  <c r="J95" i="18" s="1"/>
  <c r="S58" i="18"/>
  <c r="T94" i="18"/>
  <c r="J94" i="18" s="1"/>
  <c r="T23" i="18"/>
  <c r="J23" i="18" s="1"/>
  <c r="S36" i="18"/>
  <c r="S128" i="18"/>
  <c r="T131" i="18"/>
  <c r="J131" i="18" s="1"/>
  <c r="S45" i="18"/>
  <c r="T97" i="18"/>
  <c r="J97" i="18" s="1"/>
  <c r="S48" i="18"/>
  <c r="S106" i="18"/>
  <c r="T46" i="18"/>
  <c r="J46" i="18" s="1"/>
  <c r="S35" i="18"/>
  <c r="S77" i="18"/>
  <c r="S90" i="18"/>
  <c r="T78" i="18"/>
  <c r="J78" i="18" s="1"/>
  <c r="S67" i="18"/>
  <c r="T76" i="18"/>
  <c r="J76" i="18" s="1"/>
  <c r="T17" i="18"/>
  <c r="J17" i="18" s="1"/>
  <c r="T142" i="18"/>
  <c r="J142" i="18" s="1"/>
  <c r="S103" i="18"/>
  <c r="T33" i="18"/>
  <c r="J33" i="18" s="1"/>
  <c r="S44" i="18"/>
  <c r="S14" i="18"/>
  <c r="T18" i="18"/>
  <c r="J18" i="18" s="1"/>
  <c r="S39" i="18"/>
  <c r="S98" i="18"/>
  <c r="T53" i="18"/>
  <c r="J53" i="18" s="1"/>
  <c r="T66" i="18"/>
  <c r="J66" i="18" s="1"/>
  <c r="S143" i="18"/>
  <c r="T111" i="18"/>
  <c r="J111" i="18" s="1"/>
  <c r="S57" i="18"/>
  <c r="T123" i="18"/>
  <c r="J123" i="18" s="1"/>
  <c r="S133" i="18"/>
  <c r="T128" i="18"/>
  <c r="J128" i="18" s="1"/>
  <c r="S52" i="18"/>
  <c r="T59" i="18"/>
  <c r="J59" i="18" s="1"/>
  <c r="S97" i="18"/>
  <c r="S10" i="18"/>
  <c r="S113" i="18"/>
  <c r="S53" i="18"/>
  <c r="S92" i="18"/>
  <c r="T105" i="18"/>
  <c r="J105" i="18" s="1"/>
  <c r="T120" i="18"/>
  <c r="J120" i="18" s="1"/>
  <c r="T137" i="18"/>
  <c r="J137" i="18" s="1"/>
  <c r="T12" i="18"/>
  <c r="J12" i="18" s="1"/>
  <c r="AB88" i="25"/>
  <c r="AA89" i="25"/>
  <c r="AG88" i="25"/>
  <c r="AH88" i="25" s="1"/>
  <c r="AL88" i="25"/>
  <c r="V15" i="25"/>
  <c r="W14" i="25"/>
  <c r="N12" i="25"/>
  <c r="P87" i="25"/>
  <c r="P99" i="25" l="1"/>
  <c r="Q11" i="16"/>
  <c r="H11" i="16" s="1"/>
  <c r="Q27" i="16"/>
  <c r="H27" i="16" s="1"/>
  <c r="Q14" i="16"/>
  <c r="H14" i="16" s="1"/>
  <c r="Q17" i="16"/>
  <c r="H17" i="16" s="1"/>
  <c r="Q20" i="16"/>
  <c r="H20" i="16" s="1"/>
  <c r="Q21" i="16"/>
  <c r="H21" i="16" s="1"/>
  <c r="Q19" i="16"/>
  <c r="H19" i="16" s="1"/>
  <c r="P23" i="16"/>
  <c r="Q26" i="16"/>
  <c r="H26" i="16" s="1"/>
  <c r="Q13" i="16"/>
  <c r="H13" i="16" s="1"/>
  <c r="Q10" i="16"/>
  <c r="Q25" i="16"/>
  <c r="H25" i="16" s="1"/>
  <c r="Q16" i="16"/>
  <c r="H16" i="16" s="1"/>
  <c r="P16" i="16"/>
  <c r="Q23" i="16"/>
  <c r="H23" i="16" s="1"/>
  <c r="Q18" i="16"/>
  <c r="H18" i="16" s="1"/>
  <c r="P19" i="16"/>
  <c r="Q12" i="16"/>
  <c r="H12" i="16" s="1"/>
  <c r="P10" i="16"/>
  <c r="Q22" i="16"/>
  <c r="H22" i="16" s="1"/>
  <c r="P15" i="16"/>
  <c r="Q28" i="16"/>
  <c r="H28" i="16" s="1"/>
  <c r="P11" i="16"/>
  <c r="Q29" i="16"/>
  <c r="H29" i="16" s="1"/>
  <c r="P27" i="16"/>
  <c r="P21" i="16"/>
  <c r="P22" i="16"/>
  <c r="P24" i="16"/>
  <c r="Q15" i="16"/>
  <c r="H15" i="16" s="1"/>
  <c r="Q24" i="16"/>
  <c r="H24" i="16" s="1"/>
  <c r="P25" i="16"/>
  <c r="P13" i="16"/>
  <c r="P26" i="16"/>
  <c r="P18" i="16"/>
  <c r="P20" i="16"/>
  <c r="P12" i="16"/>
  <c r="P14" i="16"/>
  <c r="P29" i="16"/>
  <c r="P28" i="16"/>
  <c r="P17" i="16"/>
  <c r="M14" i="25"/>
  <c r="X14" i="25"/>
  <c r="Y14" i="25" s="1"/>
  <c r="V102" i="25"/>
  <c r="W101" i="25"/>
  <c r="AB15" i="25"/>
  <c r="AA16" i="25"/>
  <c r="AG15" i="25"/>
  <c r="AH15" i="25" s="1"/>
  <c r="AN15" i="27" a="1"/>
  <c r="V16" i="25"/>
  <c r="W15" i="25"/>
  <c r="M100" i="25"/>
  <c r="AC14" i="25"/>
  <c r="AD14" i="25" s="1"/>
  <c r="P14" i="25"/>
  <c r="H14" i="18"/>
  <c r="I14" i="18" s="1"/>
  <c r="G15" i="18"/>
  <c r="M87" i="25"/>
  <c r="S88" i="25"/>
  <c r="V89" i="25"/>
  <c r="W88" i="25"/>
  <c r="T13" i="25"/>
  <c r="P5" i="32"/>
  <c r="O32" i="32"/>
  <c r="O33" i="32"/>
  <c r="O30" i="32"/>
  <c r="O31" i="32"/>
  <c r="O58" i="32"/>
  <c r="O26" i="32"/>
  <c r="O29" i="32"/>
  <c r="O22" i="32"/>
  <c r="O28" i="32"/>
  <c r="O25" i="32"/>
  <c r="O18" i="32"/>
  <c r="O15" i="32"/>
  <c r="O38" i="32"/>
  <c r="O66" i="32"/>
  <c r="O71" i="32"/>
  <c r="O68" i="32"/>
  <c r="O61" i="32"/>
  <c r="O87" i="32"/>
  <c r="O92" i="32"/>
  <c r="O101" i="32"/>
  <c r="O106" i="32"/>
  <c r="O20" i="32"/>
  <c r="O13" i="32"/>
  <c r="O40" i="32"/>
  <c r="O67" i="32"/>
  <c r="O60" i="32"/>
  <c r="O49" i="32"/>
  <c r="O77" i="32"/>
  <c r="O99" i="32"/>
  <c r="O100" i="32"/>
  <c r="O24" i="32"/>
  <c r="O17" i="32"/>
  <c r="O7" i="32"/>
  <c r="O11" i="32"/>
  <c r="O23" i="32"/>
  <c r="O50" i="32"/>
  <c r="O43" i="32"/>
  <c r="O63" i="32"/>
  <c r="O56" i="32"/>
  <c r="O45" i="32"/>
  <c r="O73" i="32"/>
  <c r="O95" i="32"/>
  <c r="O96" i="32"/>
  <c r="O21" i="32"/>
  <c r="O10" i="32"/>
  <c r="O70" i="32"/>
  <c r="O59" i="32"/>
  <c r="O52" i="32"/>
  <c r="O41" i="32"/>
  <c r="O69" i="32"/>
  <c r="O91" i="32"/>
  <c r="O102" i="32"/>
  <c r="O27" i="32"/>
  <c r="O36" i="32"/>
  <c r="O46" i="32"/>
  <c r="O55" i="32"/>
  <c r="O44" i="32"/>
  <c r="O64" i="32"/>
  <c r="O8" i="32"/>
  <c r="O65" i="32"/>
  <c r="O14" i="32"/>
  <c r="O48" i="32"/>
  <c r="O93" i="32"/>
  <c r="O98" i="32"/>
  <c r="O37" i="32"/>
  <c r="O19" i="32"/>
  <c r="O86" i="32"/>
  <c r="O34" i="32"/>
  <c r="O78" i="32"/>
  <c r="O51" i="32"/>
  <c r="O39" i="32"/>
  <c r="O74" i="32"/>
  <c r="O103" i="32"/>
  <c r="O105" i="32"/>
  <c r="O90" i="32"/>
  <c r="O47" i="32"/>
  <c r="O104" i="32"/>
  <c r="O9" i="32"/>
  <c r="O75" i="32"/>
  <c r="O53" i="32"/>
  <c r="O88" i="32"/>
  <c r="O42" i="32"/>
  <c r="O72" i="32"/>
  <c r="O81" i="32"/>
  <c r="O84" i="32"/>
  <c r="O35" i="32"/>
  <c r="O12" i="32"/>
  <c r="O62" i="32"/>
  <c r="O76" i="32"/>
  <c r="O94" i="32"/>
  <c r="O54" i="32"/>
  <c r="O82" i="32"/>
  <c r="O83" i="32"/>
  <c r="O80" i="32"/>
  <c r="O97" i="32"/>
  <c r="O85" i="32"/>
  <c r="O89" i="32"/>
  <c r="O79" i="32"/>
  <c r="O16" i="32"/>
  <c r="O57" i="32"/>
  <c r="AI14" i="25"/>
  <c r="AJ14" i="25" s="1"/>
  <c r="T14" i="25" s="1"/>
  <c r="S14" i="25"/>
  <c r="AB89" i="25"/>
  <c r="AA90" i="25"/>
  <c r="J10" i="18"/>
  <c r="T9" i="18"/>
  <c r="S99" i="25"/>
  <c r="P88" i="25"/>
  <c r="S9" i="18"/>
  <c r="AA101" i="25"/>
  <c r="AB100" i="25"/>
  <c r="AG100" i="25"/>
  <c r="AH100" i="25" s="1"/>
  <c r="V90" i="25" l="1"/>
  <c r="W89" i="25"/>
  <c r="N14" i="25"/>
  <c r="AN16" i="27"/>
  <c r="AN17" i="27"/>
  <c r="AN19" i="27"/>
  <c r="AN18" i="27"/>
  <c r="AN20" i="27"/>
  <c r="AN15" i="27"/>
  <c r="S100" i="25"/>
  <c r="AB90" i="25"/>
  <c r="AA91" i="25"/>
  <c r="H15" i="18"/>
  <c r="G16" i="18"/>
  <c r="S15" i="25"/>
  <c r="AI15" i="25"/>
  <c r="AJ15" i="25" s="1"/>
  <c r="P100" i="25"/>
  <c r="P89" i="25"/>
  <c r="P28" i="32"/>
  <c r="P29" i="32"/>
  <c r="P26" i="32"/>
  <c r="P27" i="32"/>
  <c r="P54" i="32"/>
  <c r="P47" i="32"/>
  <c r="P37" i="32"/>
  <c r="P33" i="32"/>
  <c r="P32" i="32"/>
  <c r="P22" i="32"/>
  <c r="P19" i="32"/>
  <c r="P42" i="32"/>
  <c r="P70" i="32"/>
  <c r="P67" i="32"/>
  <c r="P64" i="32"/>
  <c r="P57" i="32"/>
  <c r="P83" i="32"/>
  <c r="P88" i="32"/>
  <c r="P97" i="32"/>
  <c r="P102" i="32"/>
  <c r="P16" i="32"/>
  <c r="P39" i="32"/>
  <c r="P35" i="32"/>
  <c r="P36" i="32"/>
  <c r="P62" i="32"/>
  <c r="P74" i="32"/>
  <c r="P53" i="32"/>
  <c r="P81" i="32"/>
  <c r="P103" i="32"/>
  <c r="P104" i="32"/>
  <c r="P20" i="32"/>
  <c r="P13" i="32"/>
  <c r="P40" i="32"/>
  <c r="P60" i="32"/>
  <c r="P49" i="32"/>
  <c r="P77" i="32"/>
  <c r="P99" i="32"/>
  <c r="P100" i="32"/>
  <c r="P24" i="32"/>
  <c r="P17" i="32"/>
  <c r="P7" i="32"/>
  <c r="P11" i="32"/>
  <c r="P23" i="32"/>
  <c r="P38" i="32"/>
  <c r="P50" i="32"/>
  <c r="P43" i="32"/>
  <c r="P63" i="32"/>
  <c r="P56" i="32"/>
  <c r="P45" i="32"/>
  <c r="P73" i="32"/>
  <c r="P95" i="32"/>
  <c r="P96" i="32"/>
  <c r="P101" i="32"/>
  <c r="P10" i="32"/>
  <c r="P15" i="32"/>
  <c r="P34" i="32"/>
  <c r="P58" i="32"/>
  <c r="P25" i="32"/>
  <c r="P51" i="32"/>
  <c r="P75" i="32"/>
  <c r="P14" i="32"/>
  <c r="P52" i="32"/>
  <c r="P76" i="32"/>
  <c r="P61" i="32"/>
  <c r="P30" i="32"/>
  <c r="P31" i="32"/>
  <c r="P55" i="32"/>
  <c r="P71" i="32"/>
  <c r="P92" i="32"/>
  <c r="P105" i="32"/>
  <c r="P9" i="32"/>
  <c r="P48" i="32"/>
  <c r="P93" i="32"/>
  <c r="P98" i="32"/>
  <c r="P8" i="32"/>
  <c r="P46" i="32"/>
  <c r="P86" i="32"/>
  <c r="P12" i="32"/>
  <c r="P18" i="32"/>
  <c r="P66" i="32"/>
  <c r="P72" i="32"/>
  <c r="P65" i="32"/>
  <c r="P85" i="32"/>
  <c r="P82" i="32"/>
  <c r="P94" i="32"/>
  <c r="P106" i="32"/>
  <c r="P41" i="32"/>
  <c r="P87" i="32"/>
  <c r="P90" i="32"/>
  <c r="P78" i="32"/>
  <c r="P21" i="32"/>
  <c r="P84" i="32"/>
  <c r="P44" i="32"/>
  <c r="P69" i="32"/>
  <c r="P80" i="32"/>
  <c r="P68" i="32"/>
  <c r="P59" i="32"/>
  <c r="P89" i="32"/>
  <c r="P79" i="32"/>
  <c r="P91" i="32"/>
  <c r="Q5" i="32"/>
  <c r="X15" i="25"/>
  <c r="Y15" i="25" s="1"/>
  <c r="N15" i="25" s="1"/>
  <c r="M15" i="25"/>
  <c r="AB16" i="25"/>
  <c r="AA17" i="25"/>
  <c r="AG16" i="25"/>
  <c r="AH16" i="25" s="1"/>
  <c r="P9" i="16"/>
  <c r="Q9" i="16"/>
  <c r="H10" i="16"/>
  <c r="H9" i="16" s="1"/>
  <c r="W16" i="25"/>
  <c r="V17" i="25"/>
  <c r="P15" i="25"/>
  <c r="AC15" i="25"/>
  <c r="AD15" i="25" s="1"/>
  <c r="Q15" i="25" s="1"/>
  <c r="AA102" i="25"/>
  <c r="AB101" i="25"/>
  <c r="AG101" i="25"/>
  <c r="AH101" i="25" s="1"/>
  <c r="M101" i="25"/>
  <c r="J9" i="18"/>
  <c r="K10" i="18"/>
  <c r="M88" i="25"/>
  <c r="Q14" i="25"/>
  <c r="V103" i="25"/>
  <c r="W102" i="25"/>
  <c r="AA103" i="25" l="1"/>
  <c r="AB102" i="25"/>
  <c r="AG102" i="25"/>
  <c r="AH102" i="25" s="1"/>
  <c r="S16" i="25"/>
  <c r="AI16" i="25"/>
  <c r="AJ16" i="25" s="1"/>
  <c r="T16" i="25" s="1"/>
  <c r="H16" i="18"/>
  <c r="I16" i="18" s="1"/>
  <c r="G17" i="18"/>
  <c r="M102" i="25"/>
  <c r="I15" i="18"/>
  <c r="W103" i="25"/>
  <c r="V104" i="25"/>
  <c r="P16" i="25"/>
  <c r="AC16" i="25"/>
  <c r="AD16" i="25" s="1"/>
  <c r="Q16" i="25" s="1"/>
  <c r="AB91" i="25"/>
  <c r="AA92" i="25"/>
  <c r="V18" i="25"/>
  <c r="W17" i="25"/>
  <c r="P90" i="25"/>
  <c r="X16" i="25"/>
  <c r="Y16" i="25" s="1"/>
  <c r="N16" i="25" s="1"/>
  <c r="M16" i="25"/>
  <c r="R5" i="32"/>
  <c r="Q24" i="32"/>
  <c r="Q25" i="32"/>
  <c r="Q22" i="32"/>
  <c r="Q23" i="32"/>
  <c r="Q50" i="32"/>
  <c r="Q43" i="32"/>
  <c r="Q12" i="32"/>
  <c r="Q39" i="32"/>
  <c r="Q40" i="32"/>
  <c r="Q30" i="32"/>
  <c r="Q37" i="32"/>
  <c r="Q33" i="32"/>
  <c r="Q32" i="32"/>
  <c r="Q29" i="32"/>
  <c r="Q46" i="32"/>
  <c r="Q74" i="32"/>
  <c r="Q63" i="32"/>
  <c r="Q60" i="32"/>
  <c r="Q53" i="32"/>
  <c r="Q79" i="32"/>
  <c r="Q84" i="32"/>
  <c r="Q93" i="32"/>
  <c r="Q98" i="32"/>
  <c r="Q15" i="32"/>
  <c r="Q42" i="32"/>
  <c r="Q71" i="32"/>
  <c r="Q64" i="32"/>
  <c r="Q80" i="32"/>
  <c r="Q16" i="32"/>
  <c r="Q26" i="32"/>
  <c r="Q35" i="32"/>
  <c r="Q36" i="32"/>
  <c r="Q62" i="32"/>
  <c r="Q67" i="32"/>
  <c r="Q81" i="32"/>
  <c r="Q103" i="32"/>
  <c r="Q104" i="32"/>
  <c r="Q20" i="32"/>
  <c r="Q13" i="32"/>
  <c r="Q49" i="32"/>
  <c r="Q77" i="32"/>
  <c r="Q99" i="32"/>
  <c r="Q100" i="32"/>
  <c r="Q105" i="32"/>
  <c r="Q106" i="32"/>
  <c r="Q17" i="32"/>
  <c r="Q8" i="32"/>
  <c r="Q19" i="32"/>
  <c r="Q31" i="32"/>
  <c r="Q38" i="32"/>
  <c r="Q56" i="32"/>
  <c r="Q7" i="32"/>
  <c r="Q78" i="32"/>
  <c r="Q47" i="32"/>
  <c r="Q21" i="32"/>
  <c r="Q59" i="32"/>
  <c r="Q48" i="32"/>
  <c r="Q72" i="32"/>
  <c r="Q57" i="32"/>
  <c r="Q70" i="32"/>
  <c r="Q73" i="32"/>
  <c r="Q91" i="32"/>
  <c r="Q88" i="32"/>
  <c r="Q85" i="32"/>
  <c r="Q90" i="32"/>
  <c r="Q28" i="32"/>
  <c r="Q14" i="32"/>
  <c r="Q58" i="32"/>
  <c r="Q55" i="32"/>
  <c r="Q95" i="32"/>
  <c r="Q92" i="32"/>
  <c r="Q9" i="32"/>
  <c r="Q96" i="32"/>
  <c r="Q54" i="32"/>
  <c r="Q89" i="32"/>
  <c r="Q97" i="32"/>
  <c r="Q86" i="32"/>
  <c r="Q18" i="32"/>
  <c r="Q66" i="32"/>
  <c r="Q65" i="32"/>
  <c r="Q82" i="32"/>
  <c r="Q94" i="32"/>
  <c r="Q102" i="32"/>
  <c r="Q11" i="32"/>
  <c r="Q41" i="32"/>
  <c r="Q87" i="32"/>
  <c r="Q10" i="32"/>
  <c r="Q44" i="32"/>
  <c r="Q45" i="32"/>
  <c r="Q27" i="32"/>
  <c r="Q68" i="32"/>
  <c r="Q101" i="32"/>
  <c r="Q52" i="32"/>
  <c r="Q76" i="32"/>
  <c r="Q61" i="32"/>
  <c r="Q51" i="32"/>
  <c r="Q69" i="32"/>
  <c r="Q83" i="32"/>
  <c r="Q34" i="32"/>
  <c r="Q75" i="32"/>
  <c r="AA18" i="25"/>
  <c r="AB17" i="25"/>
  <c r="AG17" i="25"/>
  <c r="AH17" i="25" s="1"/>
  <c r="S101" i="25"/>
  <c r="T15" i="25"/>
  <c r="AF22" i="27" a="1"/>
  <c r="M89" i="25"/>
  <c r="L10" i="18"/>
  <c r="K11" i="18"/>
  <c r="P101" i="25"/>
  <c r="W90" i="25"/>
  <c r="V91" i="25"/>
  <c r="H17" i="18" l="1"/>
  <c r="I17" i="18" s="1"/>
  <c r="G18" i="18"/>
  <c r="M90" i="25"/>
  <c r="W104" i="25"/>
  <c r="V105" i="25"/>
  <c r="AI17" i="25"/>
  <c r="AJ17" i="25" s="1"/>
  <c r="S17" i="25"/>
  <c r="M17" i="25"/>
  <c r="X17" i="25"/>
  <c r="Y17" i="25" s="1"/>
  <c r="N17" i="25" s="1"/>
  <c r="M103" i="25"/>
  <c r="M10" i="18"/>
  <c r="W91" i="25"/>
  <c r="V92" i="25"/>
  <c r="L11" i="18"/>
  <c r="M11" i="18" s="1"/>
  <c r="K12" i="18"/>
  <c r="W18" i="25"/>
  <c r="V19" i="25"/>
  <c r="S102" i="25"/>
  <c r="AC17" i="25"/>
  <c r="AD17" i="25" s="1"/>
  <c r="Q17" i="25" s="1"/>
  <c r="P17" i="25"/>
  <c r="AI22" i="27"/>
  <c r="AF22" i="27"/>
  <c r="AG22" i="27"/>
  <c r="AJ22" i="27"/>
  <c r="AK22" i="27"/>
  <c r="AH22" i="27"/>
  <c r="AA19" i="25"/>
  <c r="AB18" i="25"/>
  <c r="AG18" i="25"/>
  <c r="AH18" i="25" s="1"/>
  <c r="S5" i="32"/>
  <c r="R20" i="32"/>
  <c r="R21" i="32"/>
  <c r="R18" i="32"/>
  <c r="R19" i="32"/>
  <c r="R46" i="32"/>
  <c r="R78" i="32"/>
  <c r="R16" i="32"/>
  <c r="R13" i="32"/>
  <c r="R7" i="32"/>
  <c r="R12" i="32"/>
  <c r="R39" i="32"/>
  <c r="R40" i="32"/>
  <c r="R37" i="32"/>
  <c r="R33" i="32"/>
  <c r="R26" i="32"/>
  <c r="R23" i="32"/>
  <c r="R59" i="32"/>
  <c r="R56" i="32"/>
  <c r="R49" i="32"/>
  <c r="R81" i="32"/>
  <c r="R80" i="32"/>
  <c r="R89" i="32"/>
  <c r="R94" i="32"/>
  <c r="R27" i="32"/>
  <c r="R54" i="32"/>
  <c r="R47" i="32"/>
  <c r="R75" i="32"/>
  <c r="R68" i="32"/>
  <c r="R57" i="32"/>
  <c r="R79" i="32"/>
  <c r="R15" i="32"/>
  <c r="R42" i="32"/>
  <c r="R74" i="32"/>
  <c r="R71" i="32"/>
  <c r="R64" i="32"/>
  <c r="R53" i="32"/>
  <c r="R35" i="32"/>
  <c r="R36" i="32"/>
  <c r="R62" i="32"/>
  <c r="R67" i="32"/>
  <c r="R60" i="32"/>
  <c r="R103" i="32"/>
  <c r="R104" i="32"/>
  <c r="R82" i="32"/>
  <c r="R9" i="32"/>
  <c r="R14" i="32"/>
  <c r="R30" i="32"/>
  <c r="R11" i="32"/>
  <c r="R52" i="32"/>
  <c r="R28" i="32"/>
  <c r="R22" i="32"/>
  <c r="R66" i="32"/>
  <c r="R55" i="32"/>
  <c r="R44" i="32"/>
  <c r="R38" i="32"/>
  <c r="R43" i="32"/>
  <c r="R69" i="32"/>
  <c r="R87" i="32"/>
  <c r="R84" i="32"/>
  <c r="R31" i="32"/>
  <c r="R70" i="32"/>
  <c r="R73" i="32"/>
  <c r="R91" i="32"/>
  <c r="R88" i="32"/>
  <c r="R85" i="32"/>
  <c r="R105" i="32"/>
  <c r="R90" i="32"/>
  <c r="R58" i="32"/>
  <c r="R48" i="32"/>
  <c r="R77" i="32"/>
  <c r="R95" i="32"/>
  <c r="R92" i="32"/>
  <c r="R93" i="32"/>
  <c r="R98" i="32"/>
  <c r="R25" i="32"/>
  <c r="R34" i="32"/>
  <c r="R45" i="32"/>
  <c r="R101" i="32"/>
  <c r="R72" i="32"/>
  <c r="R97" i="32"/>
  <c r="R86" i="32"/>
  <c r="R106" i="32"/>
  <c r="R65" i="32"/>
  <c r="R99" i="32"/>
  <c r="R102" i="32"/>
  <c r="R32" i="32"/>
  <c r="R51" i="32"/>
  <c r="R83" i="32"/>
  <c r="R10" i="32"/>
  <c r="R24" i="32"/>
  <c r="R50" i="32"/>
  <c r="R61" i="32"/>
  <c r="R8" i="32"/>
  <c r="R63" i="32"/>
  <c r="R17" i="32"/>
  <c r="R41" i="32"/>
  <c r="R100" i="32"/>
  <c r="R29" i="32"/>
  <c r="R76" i="32"/>
  <c r="R96" i="32"/>
  <c r="AB92" i="25"/>
  <c r="AA93" i="25"/>
  <c r="AB93" i="25" s="1"/>
  <c r="P102" i="25"/>
  <c r="P91" i="25"/>
  <c r="AA104" i="25"/>
  <c r="AB103" i="25"/>
  <c r="AG103" i="25"/>
  <c r="AH103" i="25" s="1"/>
  <c r="AI18" i="25" l="1"/>
  <c r="AJ18" i="25" s="1"/>
  <c r="T18" i="25" s="1"/>
  <c r="S18" i="25"/>
  <c r="L12" i="18"/>
  <c r="K13" i="18"/>
  <c r="S103" i="25"/>
  <c r="P93" i="25"/>
  <c r="P18" i="25"/>
  <c r="AC18" i="25"/>
  <c r="AD18" i="25" s="1"/>
  <c r="Q18" i="25" s="1"/>
  <c r="H18" i="18"/>
  <c r="I18" i="18" s="1"/>
  <c r="G19" i="18"/>
  <c r="AB19" i="25"/>
  <c r="AA20" i="25"/>
  <c r="AG19" i="25"/>
  <c r="AH19" i="25" s="1"/>
  <c r="V93" i="25"/>
  <c r="W93" i="25" s="1"/>
  <c r="W92" i="25"/>
  <c r="AA105" i="25"/>
  <c r="AB104" i="25"/>
  <c r="AG104" i="25"/>
  <c r="AH104" i="25" s="1"/>
  <c r="M91" i="25"/>
  <c r="T17" i="25"/>
  <c r="V106" i="25"/>
  <c r="W105" i="25"/>
  <c r="P103" i="25"/>
  <c r="M104" i="25"/>
  <c r="P92" i="25"/>
  <c r="W19" i="25"/>
  <c r="V20" i="25"/>
  <c r="T5" i="32"/>
  <c r="S16" i="32"/>
  <c r="S17" i="32"/>
  <c r="S14" i="32"/>
  <c r="S15" i="32"/>
  <c r="S42" i="32"/>
  <c r="S74" i="32"/>
  <c r="S10" i="32"/>
  <c r="S13" i="32"/>
  <c r="S7" i="32"/>
  <c r="S12" i="32"/>
  <c r="S39" i="32"/>
  <c r="S40" i="32"/>
  <c r="S30" i="32"/>
  <c r="S27" i="32"/>
  <c r="S50" i="32"/>
  <c r="S78" i="32"/>
  <c r="S55" i="32"/>
  <c r="S52" i="32"/>
  <c r="S45" i="32"/>
  <c r="S77" i="32"/>
  <c r="S103" i="32"/>
  <c r="S85" i="32"/>
  <c r="S90" i="32"/>
  <c r="S33" i="32"/>
  <c r="S22" i="32"/>
  <c r="S8" i="32"/>
  <c r="S34" i="32"/>
  <c r="S66" i="32"/>
  <c r="S51" i="32"/>
  <c r="S44" i="32"/>
  <c r="S72" i="32"/>
  <c r="S61" i="32"/>
  <c r="S83" i="32"/>
  <c r="S84" i="32"/>
  <c r="S54" i="32"/>
  <c r="S47" i="32"/>
  <c r="S75" i="32"/>
  <c r="S68" i="32"/>
  <c r="S57" i="32"/>
  <c r="S79" i="32"/>
  <c r="S80" i="32"/>
  <c r="S26" i="32"/>
  <c r="S71" i="32"/>
  <c r="S64" i="32"/>
  <c r="S53" i="32"/>
  <c r="S81" i="32"/>
  <c r="S86" i="32"/>
  <c r="S20" i="32"/>
  <c r="S37" i="32"/>
  <c r="S35" i="32"/>
  <c r="S23" i="32"/>
  <c r="S63" i="32"/>
  <c r="S48" i="32"/>
  <c r="S29" i="32"/>
  <c r="S58" i="32"/>
  <c r="S70" i="32"/>
  <c r="S43" i="32"/>
  <c r="S24" i="32"/>
  <c r="S18" i="32"/>
  <c r="S21" i="32"/>
  <c r="S11" i="32"/>
  <c r="S65" i="32"/>
  <c r="S97" i="32"/>
  <c r="S102" i="32"/>
  <c r="S38" i="32"/>
  <c r="S69" i="32"/>
  <c r="S87" i="32"/>
  <c r="S28" i="32"/>
  <c r="S19" i="32"/>
  <c r="S31" i="32"/>
  <c r="S67" i="32"/>
  <c r="S73" i="32"/>
  <c r="S91" i="32"/>
  <c r="S88" i="32"/>
  <c r="S105" i="32"/>
  <c r="S9" i="32"/>
  <c r="S92" i="32"/>
  <c r="S93" i="32"/>
  <c r="S25" i="32"/>
  <c r="S46" i="32"/>
  <c r="S56" i="32"/>
  <c r="S89" i="32"/>
  <c r="S101" i="32"/>
  <c r="S98" i="32"/>
  <c r="S104" i="32"/>
  <c r="S82" i="32"/>
  <c r="S94" i="32"/>
  <c r="S106" i="32"/>
  <c r="S60" i="32"/>
  <c r="S32" i="32"/>
  <c r="S36" i="32"/>
  <c r="S95" i="32"/>
  <c r="S59" i="32"/>
  <c r="S100" i="32"/>
  <c r="S49" i="32"/>
  <c r="S76" i="32"/>
  <c r="S41" i="32"/>
  <c r="S99" i="32"/>
  <c r="S96" i="32"/>
  <c r="S62" i="32"/>
  <c r="R81" i="27"/>
  <c r="C81" i="28" s="1"/>
  <c r="R212" i="27"/>
  <c r="C212" i="28" s="1"/>
  <c r="R146" i="27"/>
  <c r="C146" i="28" s="1"/>
  <c r="R176" i="27"/>
  <c r="C176" i="28" s="1"/>
  <c r="R18" i="27"/>
  <c r="C18" i="28" s="1"/>
  <c r="R80" i="27"/>
  <c r="C80" i="28" s="1"/>
  <c r="R161" i="27"/>
  <c r="C161" i="28" s="1"/>
  <c r="R216" i="27"/>
  <c r="C216" i="28" s="1"/>
  <c r="R174" i="27"/>
  <c r="C174" i="28" s="1"/>
  <c r="R170" i="27"/>
  <c r="C170" i="28" s="1"/>
  <c r="R193" i="27"/>
  <c r="C193" i="28" s="1"/>
  <c r="R101" i="27"/>
  <c r="C101" i="28" s="1"/>
  <c r="R206" i="27"/>
  <c r="C206" i="28" s="1"/>
  <c r="R201" i="27"/>
  <c r="C201" i="28" s="1"/>
  <c r="R123" i="27"/>
  <c r="C123" i="28" s="1"/>
  <c r="R140" i="27"/>
  <c r="C140" i="28" s="1"/>
  <c r="R10" i="27"/>
  <c r="C10" i="28" s="1"/>
  <c r="R166" i="27"/>
  <c r="C166" i="28" s="1"/>
  <c r="R89" i="27"/>
  <c r="C89" i="28" s="1"/>
  <c r="R71" i="27"/>
  <c r="C71" i="28" s="1"/>
  <c r="R151" i="27"/>
  <c r="C151" i="28" s="1"/>
  <c r="R204" i="27"/>
  <c r="C204" i="28" s="1"/>
  <c r="R51" i="27"/>
  <c r="C51" i="28" s="1"/>
  <c r="R133" i="27"/>
  <c r="C133" i="28" s="1"/>
  <c r="R138" i="27"/>
  <c r="C138" i="28" s="1"/>
  <c r="R120" i="27"/>
  <c r="C120" i="28" s="1"/>
  <c r="R77" i="27"/>
  <c r="C77" i="28" s="1"/>
  <c r="R86" i="27"/>
  <c r="C86" i="28" s="1"/>
  <c r="R202" i="27"/>
  <c r="C202" i="28" s="1"/>
  <c r="R85" i="27"/>
  <c r="C85" i="28" s="1"/>
  <c r="R192" i="27"/>
  <c r="C192" i="28" s="1"/>
  <c r="R17" i="27"/>
  <c r="C17" i="28" s="1"/>
  <c r="R134" i="27"/>
  <c r="C134" i="28" s="1"/>
  <c r="R96" i="27"/>
  <c r="C96" i="28" s="1"/>
  <c r="R53" i="27"/>
  <c r="C53" i="28" s="1"/>
  <c r="R196" i="27"/>
  <c r="C196" i="28" s="1"/>
  <c r="R52" i="27"/>
  <c r="C52" i="28" s="1"/>
  <c r="R185" i="27"/>
  <c r="C185" i="28" s="1"/>
  <c r="R109" i="27"/>
  <c r="C109" i="28" s="1"/>
  <c r="R78" i="27"/>
  <c r="C78" i="28" s="1"/>
  <c r="R191" i="27"/>
  <c r="C191" i="28" s="1"/>
  <c r="R194" i="27"/>
  <c r="C194" i="28" s="1"/>
  <c r="R143" i="27"/>
  <c r="C143" i="28" s="1"/>
  <c r="R137" i="27"/>
  <c r="C137" i="28" s="1"/>
  <c r="R118" i="27"/>
  <c r="C118" i="28" s="1"/>
  <c r="R70" i="27"/>
  <c r="C70" i="28" s="1"/>
  <c r="R164" i="27"/>
  <c r="C164" i="28" s="1"/>
  <c r="R42" i="27"/>
  <c r="C42" i="28" s="1"/>
  <c r="R82" i="27"/>
  <c r="C82" i="28" s="1"/>
  <c r="R209" i="27"/>
  <c r="C209" i="28" s="1"/>
  <c r="R106" i="27"/>
  <c r="C106" i="28" s="1"/>
  <c r="R79" i="27"/>
  <c r="C79" i="28" s="1"/>
  <c r="R55" i="27"/>
  <c r="C55" i="28" s="1"/>
  <c r="R27" i="27"/>
  <c r="C27" i="28" s="1"/>
  <c r="R195" i="27"/>
  <c r="C195" i="28" s="1"/>
  <c r="R19" i="27"/>
  <c r="C19" i="28" s="1"/>
  <c r="R141" i="27"/>
  <c r="C141" i="28" s="1"/>
  <c r="R197" i="27"/>
  <c r="C197" i="28" s="1"/>
  <c r="R203" i="27"/>
  <c r="C203" i="28" s="1"/>
  <c r="R40" i="27"/>
  <c r="C40" i="28" s="1"/>
  <c r="R186" i="27"/>
  <c r="C186" i="28" s="1"/>
  <c r="R28" i="27"/>
  <c r="C28" i="28" s="1"/>
  <c r="R144" i="27"/>
  <c r="C144" i="28" s="1"/>
  <c r="R69" i="27"/>
  <c r="C69" i="28" s="1"/>
  <c r="R213" i="27"/>
  <c r="C213" i="28" s="1"/>
  <c r="R163" i="27"/>
  <c r="C163" i="28" s="1"/>
  <c r="R119" i="27"/>
  <c r="C119" i="28" s="1"/>
  <c r="R88" i="27"/>
  <c r="C88" i="28" s="1"/>
  <c r="R32" i="27"/>
  <c r="C32" i="28" s="1"/>
  <c r="R126" i="27"/>
  <c r="C126" i="28" s="1"/>
  <c r="R111" i="27"/>
  <c r="C111" i="28" s="1"/>
  <c r="R130" i="27"/>
  <c r="C130" i="28" s="1"/>
  <c r="R98" i="27"/>
  <c r="C98" i="28" s="1"/>
  <c r="R173" i="27"/>
  <c r="C173" i="28" s="1"/>
  <c r="R11" i="27"/>
  <c r="C11" i="28" s="1"/>
  <c r="R184" i="27"/>
  <c r="C184" i="28" s="1"/>
  <c r="R148" i="27"/>
  <c r="C148" i="28" s="1"/>
  <c r="R128" i="27"/>
  <c r="C128" i="28" s="1"/>
  <c r="R214" i="27"/>
  <c r="C214" i="28" s="1"/>
  <c r="R154" i="27"/>
  <c r="C154" i="28" s="1"/>
  <c r="R94" i="27"/>
  <c r="C94" i="28" s="1"/>
  <c r="R16" i="27"/>
  <c r="C16" i="28" s="1"/>
  <c r="R199" i="27"/>
  <c r="C199" i="28" s="1"/>
  <c r="R33" i="27"/>
  <c r="C33" i="28" s="1"/>
  <c r="R152" i="27"/>
  <c r="C152" i="28" s="1"/>
  <c r="R179" i="27"/>
  <c r="C179" i="28" s="1"/>
  <c r="R182" i="27"/>
  <c r="C182" i="28" s="1"/>
  <c r="R83" i="27"/>
  <c r="C83" i="28" s="1"/>
  <c r="R100" i="27"/>
  <c r="C100" i="28" s="1"/>
  <c r="R180" i="27"/>
  <c r="C180" i="28" s="1"/>
  <c r="R122" i="27"/>
  <c r="C122" i="28" s="1"/>
  <c r="R97" i="27"/>
  <c r="C97" i="28" s="1"/>
  <c r="R131" i="27"/>
  <c r="C131" i="28" s="1"/>
  <c r="R45" i="27"/>
  <c r="C45" i="28" s="1"/>
  <c r="R31" i="27"/>
  <c r="C31" i="28" s="1"/>
  <c r="R38" i="27"/>
  <c r="C38" i="28" s="1"/>
  <c r="R30" i="27"/>
  <c r="C30" i="28" s="1"/>
  <c r="R67" i="27"/>
  <c r="C67" i="28" s="1"/>
  <c r="R112" i="27"/>
  <c r="C112" i="28" s="1"/>
  <c r="R158" i="27"/>
  <c r="C158" i="28" s="1"/>
  <c r="R189" i="27"/>
  <c r="C189" i="28" s="1"/>
  <c r="R108" i="27"/>
  <c r="C108" i="28" s="1"/>
  <c r="R172" i="27"/>
  <c r="C172" i="28" s="1"/>
  <c r="R49" i="27"/>
  <c r="C49" i="28" s="1"/>
  <c r="R57" i="27"/>
  <c r="C57" i="28" s="1"/>
  <c r="R139" i="27"/>
  <c r="C139" i="28" s="1"/>
  <c r="R165" i="27"/>
  <c r="C165" i="28" s="1"/>
  <c r="R149" i="27"/>
  <c r="C149" i="28" s="1"/>
  <c r="R210" i="27"/>
  <c r="C210" i="28" s="1"/>
  <c r="R60" i="27"/>
  <c r="C60" i="28" s="1"/>
  <c r="R198" i="27"/>
  <c r="C198" i="28" s="1"/>
  <c r="R115" i="27"/>
  <c r="C115" i="28" s="1"/>
  <c r="R59" i="27"/>
  <c r="C59" i="28" s="1"/>
  <c r="R168" i="27"/>
  <c r="C168" i="28" s="1"/>
  <c r="R84" i="27"/>
  <c r="C84" i="28" s="1"/>
  <c r="R58" i="27"/>
  <c r="C58" i="28" s="1"/>
  <c r="R114" i="27"/>
  <c r="C114" i="28" s="1"/>
  <c r="R34" i="27"/>
  <c r="C34" i="28" s="1"/>
  <c r="R107" i="27"/>
  <c r="C107" i="28" s="1"/>
  <c r="R129" i="27"/>
  <c r="C129" i="28" s="1"/>
  <c r="R12" i="27"/>
  <c r="C12" i="28" s="1"/>
  <c r="R208" i="27"/>
  <c r="C208" i="28" s="1"/>
  <c r="R190" i="27"/>
  <c r="C190" i="28" s="1"/>
  <c r="R61" i="27"/>
  <c r="C61" i="28" s="1"/>
  <c r="R36" i="27"/>
  <c r="C36" i="28" s="1"/>
  <c r="R211" i="27"/>
  <c r="C211" i="28" s="1"/>
  <c r="R87" i="27"/>
  <c r="C87" i="28" s="1"/>
  <c r="R93" i="27"/>
  <c r="C93" i="28" s="1"/>
  <c r="R35" i="27"/>
  <c r="C35" i="28" s="1"/>
  <c r="R105" i="27"/>
  <c r="C105" i="28" s="1"/>
  <c r="R207" i="27"/>
  <c r="C207" i="28" s="1"/>
  <c r="R200" i="27"/>
  <c r="C200" i="28" s="1"/>
  <c r="R92" i="27"/>
  <c r="C92" i="28" s="1"/>
  <c r="R99" i="27"/>
  <c r="C99" i="28" s="1"/>
  <c r="R23" i="27"/>
  <c r="C23" i="28" s="1"/>
  <c r="R14" i="27"/>
  <c r="C14" i="28" s="1"/>
  <c r="R178" i="27"/>
  <c r="C178" i="28" s="1"/>
  <c r="R50" i="27"/>
  <c r="C50" i="28" s="1"/>
  <c r="R44" i="27"/>
  <c r="C44" i="28" s="1"/>
  <c r="R167" i="27"/>
  <c r="C167" i="28" s="1"/>
  <c r="R90" i="27"/>
  <c r="C90" i="28" s="1"/>
  <c r="R177" i="27"/>
  <c r="C177" i="28" s="1"/>
  <c r="R127" i="27"/>
  <c r="C127" i="28" s="1"/>
  <c r="R22" i="27"/>
  <c r="C22" i="28" s="1"/>
  <c r="R153" i="27"/>
  <c r="C153" i="28" s="1"/>
  <c r="R64" i="27"/>
  <c r="C64" i="28" s="1"/>
  <c r="R63" i="27"/>
  <c r="C63" i="28" s="1"/>
  <c r="R43" i="27"/>
  <c r="C43" i="28" s="1"/>
  <c r="R187" i="27"/>
  <c r="C187" i="28" s="1"/>
  <c r="R155" i="27"/>
  <c r="C155" i="28" s="1"/>
  <c r="R62" i="27"/>
  <c r="C62" i="28" s="1"/>
  <c r="R24" i="27"/>
  <c r="C24" i="28" s="1"/>
  <c r="R124" i="27"/>
  <c r="C124" i="28" s="1"/>
  <c r="R113" i="27"/>
  <c r="C113" i="28" s="1"/>
  <c r="R156" i="27"/>
  <c r="C156" i="28" s="1"/>
  <c r="R102" i="27"/>
  <c r="C102" i="28" s="1"/>
  <c r="R103" i="27"/>
  <c r="C103" i="28" s="1"/>
  <c r="R39" i="27"/>
  <c r="C39" i="28" s="1"/>
  <c r="R37" i="27"/>
  <c r="C37" i="28" s="1"/>
  <c r="R66" i="27"/>
  <c r="C66" i="28" s="1"/>
  <c r="R145" i="27"/>
  <c r="C145" i="28" s="1"/>
  <c r="R54" i="27"/>
  <c r="C54" i="28" s="1"/>
  <c r="R150" i="27"/>
  <c r="C150" i="28" s="1"/>
  <c r="R20" i="27"/>
  <c r="C20" i="28" s="1"/>
  <c r="R181" i="27"/>
  <c r="C181" i="28" s="1"/>
  <c r="R95" i="27"/>
  <c r="C95" i="28" s="1"/>
  <c r="R125" i="27"/>
  <c r="C125" i="28" s="1"/>
  <c r="R215" i="27"/>
  <c r="C215" i="28" s="1"/>
  <c r="R162" i="27"/>
  <c r="C162" i="28" s="1"/>
  <c r="R132" i="27"/>
  <c r="C132" i="28" s="1"/>
  <c r="R117" i="27"/>
  <c r="C117" i="28" s="1"/>
  <c r="R15" i="27"/>
  <c r="C15" i="28" s="1"/>
  <c r="R171" i="27"/>
  <c r="C171" i="28" s="1"/>
  <c r="R110" i="27"/>
  <c r="C110" i="28" s="1"/>
  <c r="R41" i="27"/>
  <c r="C41" i="28" s="1"/>
  <c r="R13" i="27"/>
  <c r="C13" i="28" s="1"/>
  <c r="R142" i="27"/>
  <c r="C142" i="28" s="1"/>
  <c r="R68" i="27"/>
  <c r="C68" i="28" s="1"/>
  <c r="R169" i="27"/>
  <c r="C169" i="28" s="1"/>
  <c r="R91" i="27"/>
  <c r="C91" i="28" s="1"/>
  <c r="R74" i="27"/>
  <c r="C74" i="28" s="1"/>
  <c r="R21" i="27"/>
  <c r="C21" i="28" s="1"/>
  <c r="R8" i="27"/>
  <c r="R73" i="27"/>
  <c r="C73" i="28" s="1"/>
  <c r="R48" i="27"/>
  <c r="C48" i="28" s="1"/>
  <c r="R47" i="27"/>
  <c r="C47" i="28" s="1"/>
  <c r="R46" i="27"/>
  <c r="C46" i="28" s="1"/>
  <c r="R26" i="27"/>
  <c r="C26" i="28" s="1"/>
  <c r="R160" i="27"/>
  <c r="C160" i="28" s="1"/>
  <c r="R183" i="27"/>
  <c r="C183" i="28" s="1"/>
  <c r="R188" i="27"/>
  <c r="C188" i="28" s="1"/>
  <c r="R147" i="27"/>
  <c r="C147" i="28" s="1"/>
  <c r="R136" i="27"/>
  <c r="C136" i="28" s="1"/>
  <c r="R29" i="27"/>
  <c r="C29" i="28" s="1"/>
  <c r="R159" i="27"/>
  <c r="C159" i="28" s="1"/>
  <c r="R75" i="27"/>
  <c r="C75" i="28" s="1"/>
  <c r="R205" i="27"/>
  <c r="C205" i="28" s="1"/>
  <c r="R56" i="27"/>
  <c r="C56" i="28" s="1"/>
  <c r="R65" i="27"/>
  <c r="C65" i="28" s="1"/>
  <c r="R72" i="27"/>
  <c r="C72" i="28" s="1"/>
  <c r="R175" i="27"/>
  <c r="C175" i="28" s="1"/>
  <c r="R135" i="27"/>
  <c r="C135" i="28" s="1"/>
  <c r="R121" i="27"/>
  <c r="C121" i="28" s="1"/>
  <c r="R9" i="27"/>
  <c r="C9" i="28" s="1"/>
  <c r="R76" i="27"/>
  <c r="C76" i="28" s="1"/>
  <c r="R157" i="27"/>
  <c r="C157" i="28" s="1"/>
  <c r="R104" i="27"/>
  <c r="C104" i="28" s="1"/>
  <c r="R25" i="27"/>
  <c r="C25" i="28" s="1"/>
  <c r="R116" i="27"/>
  <c r="C116" i="28" s="1"/>
  <c r="M18" i="25"/>
  <c r="X18" i="25"/>
  <c r="Y18" i="25" s="1"/>
  <c r="N18" i="25" s="1"/>
  <c r="S121" i="28" l="1"/>
  <c r="W121" i="28"/>
  <c r="Y121" i="28"/>
  <c r="T121" i="28"/>
  <c r="V121" i="28"/>
  <c r="U121" i="28"/>
  <c r="X121" i="28"/>
  <c r="AJ37" i="28"/>
  <c r="V159" i="28"/>
  <c r="X159" i="28"/>
  <c r="U159" i="28"/>
  <c r="S159" i="28"/>
  <c r="AA159" i="28" s="1"/>
  <c r="Y159" i="28"/>
  <c r="W159" i="28"/>
  <c r="T159" i="28"/>
  <c r="Y46" i="28"/>
  <c r="V46" i="28"/>
  <c r="T46" i="28"/>
  <c r="U46" i="28"/>
  <c r="X46" i="28"/>
  <c r="W46" i="28"/>
  <c r="S46" i="28"/>
  <c r="AA46" i="28" s="1"/>
  <c r="V169" i="28"/>
  <c r="X169" i="28"/>
  <c r="W169" i="28"/>
  <c r="U169" i="28"/>
  <c r="S169" i="28"/>
  <c r="AA169" i="28" s="1"/>
  <c r="Y169" i="28"/>
  <c r="T169" i="28"/>
  <c r="U117" i="28"/>
  <c r="X117" i="28"/>
  <c r="T117" i="28"/>
  <c r="Y117" i="28"/>
  <c r="W117" i="28"/>
  <c r="V117" i="28"/>
  <c r="S117" i="28"/>
  <c r="AA117" i="28" s="1"/>
  <c r="V150" i="28"/>
  <c r="X150" i="28"/>
  <c r="S150" i="28"/>
  <c r="AA150" i="28" s="1"/>
  <c r="W150" i="28"/>
  <c r="Y150" i="28"/>
  <c r="U150" i="28"/>
  <c r="T150" i="28"/>
  <c r="V156" i="28"/>
  <c r="AJ41" i="28"/>
  <c r="X156" i="28"/>
  <c r="U156" i="28"/>
  <c r="W156" i="28"/>
  <c r="S156" i="28"/>
  <c r="T156" i="28"/>
  <c r="Y156" i="28"/>
  <c r="V63" i="28"/>
  <c r="W63" i="28"/>
  <c r="U63" i="28"/>
  <c r="Y63" i="28"/>
  <c r="X63" i="28"/>
  <c r="T63" i="28"/>
  <c r="S63" i="28"/>
  <c r="AA63" i="28" s="1"/>
  <c r="U44" i="28"/>
  <c r="W44" i="28"/>
  <c r="X44" i="28"/>
  <c r="S44" i="28"/>
  <c r="AA44" i="28" s="1"/>
  <c r="V44" i="28"/>
  <c r="Y44" i="28"/>
  <c r="T44" i="28"/>
  <c r="X207" i="28"/>
  <c r="U207" i="28"/>
  <c r="T207" i="28"/>
  <c r="S207" i="28"/>
  <c r="AA207" i="28" s="1"/>
  <c r="Y207" i="28"/>
  <c r="W207" i="28"/>
  <c r="V207" i="28"/>
  <c r="U190" i="28"/>
  <c r="Y190" i="28"/>
  <c r="S190" i="28"/>
  <c r="AA190" i="28" s="1"/>
  <c r="T190" i="28"/>
  <c r="W190" i="28"/>
  <c r="X190" i="28"/>
  <c r="V190" i="28"/>
  <c r="V84" i="28"/>
  <c r="X84" i="28"/>
  <c r="U84" i="28"/>
  <c r="Y84" i="28"/>
  <c r="T84" i="28"/>
  <c r="S84" i="28"/>
  <c r="AA84" i="28" s="1"/>
  <c r="W84" i="28"/>
  <c r="S165" i="28"/>
  <c r="AA165" i="28" s="1"/>
  <c r="W165" i="28"/>
  <c r="Y165" i="28"/>
  <c r="T165" i="28"/>
  <c r="V165" i="28"/>
  <c r="U165" i="28"/>
  <c r="X165" i="28"/>
  <c r="U112" i="28"/>
  <c r="W112" i="28"/>
  <c r="S112" i="28"/>
  <c r="AA112" i="28" s="1"/>
  <c r="V112" i="28"/>
  <c r="X112" i="28"/>
  <c r="Y112" i="28"/>
  <c r="T112" i="28"/>
  <c r="V122" i="28"/>
  <c r="U122" i="28"/>
  <c r="Y122" i="28"/>
  <c r="W122" i="28"/>
  <c r="S122" i="28"/>
  <c r="AA122" i="28" s="1"/>
  <c r="X122" i="28"/>
  <c r="T122" i="28"/>
  <c r="U199" i="28"/>
  <c r="S199" i="28"/>
  <c r="AA199" i="28" s="1"/>
  <c r="T199" i="28"/>
  <c r="X199" i="28"/>
  <c r="W199" i="28"/>
  <c r="V199" i="28"/>
  <c r="Y199" i="28"/>
  <c r="U11" i="28"/>
  <c r="W11" i="28"/>
  <c r="S11" i="28"/>
  <c r="AA11" i="28" s="1"/>
  <c r="V11" i="28"/>
  <c r="X11" i="28"/>
  <c r="Y11" i="28"/>
  <c r="T11" i="28"/>
  <c r="S119" i="28"/>
  <c r="AA119" i="28" s="1"/>
  <c r="W119" i="28"/>
  <c r="Y119" i="28"/>
  <c r="T119" i="28"/>
  <c r="X119" i="28"/>
  <c r="U119" i="28"/>
  <c r="V119" i="28"/>
  <c r="Y203" i="28"/>
  <c r="X203" i="28"/>
  <c r="V203" i="28"/>
  <c r="W203" i="28"/>
  <c r="U203" i="28"/>
  <c r="S203" i="28"/>
  <c r="AA203" i="28" s="1"/>
  <c r="T203" i="28"/>
  <c r="U106" i="28"/>
  <c r="S106" i="28"/>
  <c r="AA106" i="28" s="1"/>
  <c r="W106" i="28"/>
  <c r="Y106" i="28"/>
  <c r="T106" i="28"/>
  <c r="V106" i="28"/>
  <c r="X106" i="28"/>
  <c r="S143" i="28"/>
  <c r="AA143" i="28" s="1"/>
  <c r="W143" i="28"/>
  <c r="Y143" i="28"/>
  <c r="T143" i="28"/>
  <c r="V143" i="28"/>
  <c r="X143" i="28"/>
  <c r="U143" i="28"/>
  <c r="X53" i="28"/>
  <c r="V53" i="28"/>
  <c r="S53" i="28"/>
  <c r="AA53" i="28" s="1"/>
  <c r="U53" i="28"/>
  <c r="Y53" i="28"/>
  <c r="W53" i="28"/>
  <c r="T53" i="28"/>
  <c r="S77" i="28"/>
  <c r="AA77" i="28" s="1"/>
  <c r="W77" i="28"/>
  <c r="Y77" i="28"/>
  <c r="T77" i="28"/>
  <c r="V77" i="28"/>
  <c r="U77" i="28"/>
  <c r="X77" i="28"/>
  <c r="S89" i="28"/>
  <c r="AA89" i="28" s="1"/>
  <c r="W89" i="28"/>
  <c r="Y89" i="28"/>
  <c r="T89" i="28"/>
  <c r="U89" i="28"/>
  <c r="V89" i="28"/>
  <c r="X89" i="28"/>
  <c r="X193" i="28"/>
  <c r="Y193" i="28"/>
  <c r="V193" i="28"/>
  <c r="W193" i="28"/>
  <c r="U193" i="28"/>
  <c r="T193" i="28"/>
  <c r="S193" i="28"/>
  <c r="AA193" i="28" s="1"/>
  <c r="V146" i="28"/>
  <c r="S146" i="28"/>
  <c r="AA146" i="28" s="1"/>
  <c r="T146" i="28"/>
  <c r="X146" i="28"/>
  <c r="Y146" i="28"/>
  <c r="U146" i="28"/>
  <c r="W146" i="28"/>
  <c r="AA21" i="25"/>
  <c r="AB20" i="25"/>
  <c r="AG20" i="25"/>
  <c r="AH20" i="25" s="1"/>
  <c r="U29" i="28"/>
  <c r="V29" i="28"/>
  <c r="T29" i="28"/>
  <c r="W29" i="28"/>
  <c r="S29" i="28"/>
  <c r="AA29" i="28" s="1"/>
  <c r="X29" i="28"/>
  <c r="Y29" i="28"/>
  <c r="U113" i="28"/>
  <c r="V113" i="28"/>
  <c r="S113" i="28"/>
  <c r="Y113" i="28"/>
  <c r="X113" i="28"/>
  <c r="W113" i="28"/>
  <c r="AJ16" i="28"/>
  <c r="T113" i="28"/>
  <c r="W168" i="28"/>
  <c r="U168" i="28"/>
  <c r="S168" i="28"/>
  <c r="AA168" i="28" s="1"/>
  <c r="V168" i="28"/>
  <c r="Y168" i="28"/>
  <c r="X168" i="28"/>
  <c r="T168" i="28"/>
  <c r="S16" i="28"/>
  <c r="AA16" i="28" s="1"/>
  <c r="W16" i="28"/>
  <c r="Y16" i="28"/>
  <c r="T16" i="28"/>
  <c r="U16" i="28"/>
  <c r="V16" i="28"/>
  <c r="X16" i="28"/>
  <c r="X194" i="28"/>
  <c r="V194" i="28"/>
  <c r="AJ45" i="28"/>
  <c r="U194" i="28"/>
  <c r="S194" i="28"/>
  <c r="W194" i="28"/>
  <c r="T194" i="28"/>
  <c r="Y194" i="28"/>
  <c r="W170" i="28"/>
  <c r="T170" i="28"/>
  <c r="U170" i="28"/>
  <c r="X170" i="28"/>
  <c r="S170" i="28"/>
  <c r="AA170" i="28" s="1"/>
  <c r="V170" i="28"/>
  <c r="Y170" i="28"/>
  <c r="W116" i="28"/>
  <c r="Y116" i="28"/>
  <c r="U116" i="28"/>
  <c r="S116" i="28"/>
  <c r="AA116" i="28" s="1"/>
  <c r="V116" i="28"/>
  <c r="X116" i="28"/>
  <c r="T116" i="28"/>
  <c r="U175" i="28"/>
  <c r="S175" i="28"/>
  <c r="AA175" i="28" s="1"/>
  <c r="T175" i="28"/>
  <c r="V175" i="28"/>
  <c r="Y175" i="28"/>
  <c r="X175" i="28"/>
  <c r="W175" i="28"/>
  <c r="S136" i="28"/>
  <c r="AA136" i="28" s="1"/>
  <c r="W136" i="28"/>
  <c r="Y136" i="28"/>
  <c r="U136" i="28"/>
  <c r="X136" i="28"/>
  <c r="V136" i="28"/>
  <c r="T136" i="28"/>
  <c r="AJ11" i="28"/>
  <c r="U48" i="28"/>
  <c r="X48" i="28"/>
  <c r="W48" i="28"/>
  <c r="S48" i="28"/>
  <c r="Y48" i="28"/>
  <c r="T48" i="28"/>
  <c r="V48" i="28"/>
  <c r="V142" i="28"/>
  <c r="U142" i="28"/>
  <c r="S142" i="28"/>
  <c r="AA142" i="28" s="1"/>
  <c r="X142" i="28"/>
  <c r="Y142" i="28"/>
  <c r="W142" i="28"/>
  <c r="T142" i="28"/>
  <c r="X162" i="28"/>
  <c r="Y162" i="28"/>
  <c r="U162" i="28"/>
  <c r="W162" i="28"/>
  <c r="S162" i="28"/>
  <c r="V162" i="28"/>
  <c r="T162" i="28"/>
  <c r="AJ21" i="28"/>
  <c r="S145" i="28"/>
  <c r="V145" i="28"/>
  <c r="AJ19" i="28"/>
  <c r="Y145" i="28"/>
  <c r="U145" i="28"/>
  <c r="X145" i="28"/>
  <c r="W145" i="28"/>
  <c r="T145" i="28"/>
  <c r="U124" i="28"/>
  <c r="X124" i="28"/>
  <c r="W124" i="28"/>
  <c r="Y124" i="28"/>
  <c r="V124" i="28"/>
  <c r="T124" i="28"/>
  <c r="S124" i="28"/>
  <c r="AA124" i="28" s="1"/>
  <c r="U153" i="28"/>
  <c r="X153" i="28"/>
  <c r="W153" i="28"/>
  <c r="V153" i="28"/>
  <c r="Y153" i="28"/>
  <c r="S153" i="28"/>
  <c r="AA153" i="28" s="1"/>
  <c r="T153" i="28"/>
  <c r="V178" i="28"/>
  <c r="X178" i="28"/>
  <c r="T178" i="28"/>
  <c r="W178" i="28"/>
  <c r="U178" i="28"/>
  <c r="S178" i="28"/>
  <c r="AA178" i="28" s="1"/>
  <c r="Y178" i="28"/>
  <c r="U35" i="28"/>
  <c r="W35" i="28"/>
  <c r="T35" i="28"/>
  <c r="V35" i="28"/>
  <c r="Y35" i="28"/>
  <c r="S35" i="28"/>
  <c r="AA35" i="28" s="1"/>
  <c r="X35" i="28"/>
  <c r="S12" i="28"/>
  <c r="AA12" i="28" s="1"/>
  <c r="W12" i="28"/>
  <c r="Y12" i="28"/>
  <c r="T12" i="28"/>
  <c r="V12" i="28"/>
  <c r="X12" i="28"/>
  <c r="U12" i="28"/>
  <c r="S59" i="28"/>
  <c r="AA59" i="28" s="1"/>
  <c r="V59" i="28"/>
  <c r="Y59" i="28"/>
  <c r="T59" i="28"/>
  <c r="U59" i="28"/>
  <c r="W59" i="28"/>
  <c r="X59" i="28"/>
  <c r="W57" i="28"/>
  <c r="U57" i="28"/>
  <c r="T57" i="28"/>
  <c r="X57" i="28"/>
  <c r="S57" i="28"/>
  <c r="AA57" i="28" s="1"/>
  <c r="V57" i="28"/>
  <c r="Y57" i="28"/>
  <c r="V30" i="28"/>
  <c r="S30" i="28"/>
  <c r="AA30" i="28" s="1"/>
  <c r="Y30" i="28"/>
  <c r="U30" i="28"/>
  <c r="X30" i="28"/>
  <c r="W30" i="28"/>
  <c r="T30" i="28"/>
  <c r="X100" i="28"/>
  <c r="W100" i="28"/>
  <c r="S100" i="28"/>
  <c r="AA100" i="28" s="1"/>
  <c r="U100" i="28"/>
  <c r="T100" i="28"/>
  <c r="Y100" i="28"/>
  <c r="V100" i="28"/>
  <c r="AJ15" i="28"/>
  <c r="S94" i="28"/>
  <c r="V94" i="28"/>
  <c r="T94" i="28"/>
  <c r="Y94" i="28"/>
  <c r="U94" i="28"/>
  <c r="X94" i="28"/>
  <c r="W94" i="28"/>
  <c r="U98" i="28"/>
  <c r="W98" i="28"/>
  <c r="V98" i="28"/>
  <c r="S98" i="28"/>
  <c r="AA98" i="28" s="1"/>
  <c r="Y98" i="28"/>
  <c r="X98" i="28"/>
  <c r="T98" i="28"/>
  <c r="W213" i="28"/>
  <c r="T213" i="28"/>
  <c r="S213" i="28"/>
  <c r="X213" i="28"/>
  <c r="U213" i="28"/>
  <c r="Y213" i="28"/>
  <c r="V213" i="28"/>
  <c r="AJ48" i="28"/>
  <c r="X141" i="28"/>
  <c r="S141" i="28"/>
  <c r="U141" i="28"/>
  <c r="AJ39" i="28"/>
  <c r="V141" i="28"/>
  <c r="W141" i="28"/>
  <c r="T141" i="28"/>
  <c r="Y141" i="28"/>
  <c r="X82" i="28"/>
  <c r="S82" i="28"/>
  <c r="T82" i="28"/>
  <c r="U82" i="28"/>
  <c r="Y82" i="28"/>
  <c r="W82" i="28"/>
  <c r="V82" i="28"/>
  <c r="AJ14" i="28"/>
  <c r="S191" i="28"/>
  <c r="AA191" i="28" s="1"/>
  <c r="V191" i="28"/>
  <c r="Y191" i="28"/>
  <c r="U191" i="28"/>
  <c r="W191" i="28"/>
  <c r="X191" i="28"/>
  <c r="T191" i="28"/>
  <c r="U134" i="28"/>
  <c r="S134" i="28"/>
  <c r="AA134" i="28" s="1"/>
  <c r="T134" i="28"/>
  <c r="W134" i="28"/>
  <c r="X134" i="28"/>
  <c r="Y134" i="28"/>
  <c r="V134" i="28"/>
  <c r="U138" i="28"/>
  <c r="Y138" i="28"/>
  <c r="T138" i="28"/>
  <c r="S138" i="28"/>
  <c r="W138" i="28"/>
  <c r="V138" i="28"/>
  <c r="X138" i="28"/>
  <c r="AJ18" i="28"/>
  <c r="V10" i="28"/>
  <c r="U10" i="28"/>
  <c r="W10" i="28"/>
  <c r="Y10" i="28"/>
  <c r="X10" i="28"/>
  <c r="T10" i="28"/>
  <c r="S10" i="28"/>
  <c r="AA10" i="28" s="1"/>
  <c r="S174" i="28"/>
  <c r="W174" i="28"/>
  <c r="Y174" i="28"/>
  <c r="T174" i="28"/>
  <c r="X174" i="28"/>
  <c r="V174" i="28"/>
  <c r="U174" i="28"/>
  <c r="AJ42" i="28"/>
  <c r="U81" i="28"/>
  <c r="W81" i="28"/>
  <c r="V81" i="28"/>
  <c r="Y81" i="28"/>
  <c r="X81" i="28"/>
  <c r="T81" i="28"/>
  <c r="S81" i="28"/>
  <c r="AA81" i="28" s="1"/>
  <c r="X19" i="25"/>
  <c r="Y19" i="25" s="1"/>
  <c r="N19" i="25" s="1"/>
  <c r="M19" i="25"/>
  <c r="V107" i="25"/>
  <c r="W106" i="25"/>
  <c r="S104" i="25"/>
  <c r="H19" i="18"/>
  <c r="I19" i="18" s="1"/>
  <c r="G20" i="18"/>
  <c r="V135" i="28"/>
  <c r="W135" i="28"/>
  <c r="Y135" i="28"/>
  <c r="T135" i="28"/>
  <c r="S135" i="28"/>
  <c r="AA135" i="28" s="1"/>
  <c r="U135" i="28"/>
  <c r="X135" i="28"/>
  <c r="U54" i="28"/>
  <c r="W54" i="28"/>
  <c r="X54" i="28"/>
  <c r="S54" i="28"/>
  <c r="AA54" i="28" s="1"/>
  <c r="Y54" i="28"/>
  <c r="T54" i="28"/>
  <c r="V54" i="28"/>
  <c r="Y105" i="28"/>
  <c r="X105" i="28"/>
  <c r="T105" i="28"/>
  <c r="S105" i="28"/>
  <c r="AA105" i="28" s="1"/>
  <c r="U105" i="28"/>
  <c r="W105" i="28"/>
  <c r="V105" i="28"/>
  <c r="AJ23" i="28"/>
  <c r="U180" i="28"/>
  <c r="V180" i="28"/>
  <c r="X180" i="28"/>
  <c r="W180" i="28"/>
  <c r="S180" i="28"/>
  <c r="Y180" i="28"/>
  <c r="T180" i="28"/>
  <c r="U209" i="28"/>
  <c r="V209" i="28"/>
  <c r="X209" i="28"/>
  <c r="S209" i="28"/>
  <c r="AA209" i="28" s="1"/>
  <c r="Y209" i="28"/>
  <c r="W209" i="28"/>
  <c r="T209" i="28"/>
  <c r="V25" i="28"/>
  <c r="Y25" i="28"/>
  <c r="U25" i="28"/>
  <c r="X25" i="28"/>
  <c r="W25" i="28"/>
  <c r="T25" i="28"/>
  <c r="S25" i="28"/>
  <c r="AA25" i="28" s="1"/>
  <c r="V72" i="28"/>
  <c r="X72" i="28"/>
  <c r="T72" i="28"/>
  <c r="S72" i="28"/>
  <c r="AA72" i="28" s="1"/>
  <c r="U72" i="28"/>
  <c r="Y72" i="28"/>
  <c r="W72" i="28"/>
  <c r="U147" i="28"/>
  <c r="S147" i="28"/>
  <c r="AA147" i="28" s="1"/>
  <c r="V147" i="28"/>
  <c r="X147" i="28"/>
  <c r="Y147" i="28"/>
  <c r="W147" i="28"/>
  <c r="T147" i="28"/>
  <c r="Y73" i="28"/>
  <c r="U73" i="28"/>
  <c r="X73" i="28"/>
  <c r="W73" i="28"/>
  <c r="S73" i="28"/>
  <c r="AA73" i="28" s="1"/>
  <c r="V73" i="28"/>
  <c r="T73" i="28"/>
  <c r="W13" i="28"/>
  <c r="T13" i="28"/>
  <c r="Y13" i="28"/>
  <c r="V13" i="28"/>
  <c r="X13" i="28"/>
  <c r="S13" i="28"/>
  <c r="AA13" i="28" s="1"/>
  <c r="U13" i="28"/>
  <c r="V215" i="28"/>
  <c r="Y215" i="28"/>
  <c r="T215" i="28"/>
  <c r="S215" i="28"/>
  <c r="AA215" i="28" s="1"/>
  <c r="W215" i="28"/>
  <c r="U215" i="28"/>
  <c r="X215" i="28"/>
  <c r="S66" i="28"/>
  <c r="AA66" i="28" s="1"/>
  <c r="V66" i="28"/>
  <c r="W66" i="28"/>
  <c r="Y66" i="28"/>
  <c r="T66" i="28"/>
  <c r="U66" i="28"/>
  <c r="X66" i="28"/>
  <c r="AJ9" i="28"/>
  <c r="X24" i="28"/>
  <c r="T24" i="28"/>
  <c r="U24" i="28"/>
  <c r="Y24" i="28"/>
  <c r="V24" i="28"/>
  <c r="S24" i="28"/>
  <c r="W24" i="28"/>
  <c r="X22" i="28"/>
  <c r="U22" i="28"/>
  <c r="T22" i="28"/>
  <c r="W22" i="28"/>
  <c r="Y22" i="28"/>
  <c r="V22" i="28"/>
  <c r="S22" i="28"/>
  <c r="AA22" i="28" s="1"/>
  <c r="V14" i="28"/>
  <c r="U14" i="28"/>
  <c r="Y14" i="28"/>
  <c r="W14" i="28"/>
  <c r="S14" i="28"/>
  <c r="AA14" i="28" s="1"/>
  <c r="X14" i="28"/>
  <c r="T14" i="28"/>
  <c r="V93" i="28"/>
  <c r="X93" i="28"/>
  <c r="W93" i="28"/>
  <c r="S93" i="28"/>
  <c r="AA93" i="28" s="1"/>
  <c r="U93" i="28"/>
  <c r="Y93" i="28"/>
  <c r="T93" i="28"/>
  <c r="W129" i="28"/>
  <c r="S129" i="28"/>
  <c r="AA129" i="28" s="1"/>
  <c r="X129" i="28"/>
  <c r="U129" i="28"/>
  <c r="V129" i="28"/>
  <c r="T129" i="28"/>
  <c r="Y129" i="28"/>
  <c r="V115" i="28"/>
  <c r="X115" i="28"/>
  <c r="W115" i="28"/>
  <c r="S115" i="28"/>
  <c r="AA115" i="28" s="1"/>
  <c r="U115" i="28"/>
  <c r="Y115" i="28"/>
  <c r="T115" i="28"/>
  <c r="S49" i="28"/>
  <c r="AA49" i="28" s="1"/>
  <c r="W49" i="28"/>
  <c r="Y49" i="28"/>
  <c r="T49" i="28"/>
  <c r="X49" i="28"/>
  <c r="U49" i="28"/>
  <c r="V49" i="28"/>
  <c r="S38" i="28"/>
  <c r="AA38" i="28" s="1"/>
  <c r="V38" i="28"/>
  <c r="X38" i="28"/>
  <c r="Y38" i="28"/>
  <c r="W38" i="28"/>
  <c r="U38" i="28"/>
  <c r="T38" i="28"/>
  <c r="X83" i="28"/>
  <c r="U83" i="28"/>
  <c r="T83" i="28"/>
  <c r="W83" i="28"/>
  <c r="Y83" i="28"/>
  <c r="V83" i="28"/>
  <c r="S83" i="28"/>
  <c r="AA83" i="28" s="1"/>
  <c r="W154" i="28"/>
  <c r="V154" i="28"/>
  <c r="Y154" i="28"/>
  <c r="U154" i="28"/>
  <c r="S154" i="28"/>
  <c r="X154" i="28"/>
  <c r="AJ20" i="28"/>
  <c r="T154" i="28"/>
  <c r="X130" i="28"/>
  <c r="W130" i="28"/>
  <c r="U130" i="28"/>
  <c r="V130" i="28"/>
  <c r="S130" i="28"/>
  <c r="AA130" i="28" s="1"/>
  <c r="T130" i="28"/>
  <c r="Y130" i="28"/>
  <c r="U69" i="28"/>
  <c r="W69" i="28"/>
  <c r="S69" i="28"/>
  <c r="AA69" i="28" s="1"/>
  <c r="V69" i="28"/>
  <c r="Y69" i="28"/>
  <c r="X69" i="28"/>
  <c r="T69" i="28"/>
  <c r="S19" i="28"/>
  <c r="AA19" i="28" s="1"/>
  <c r="W19" i="28"/>
  <c r="Y19" i="28"/>
  <c r="U19" i="28"/>
  <c r="V19" i="28"/>
  <c r="X19" i="28"/>
  <c r="T19" i="28"/>
  <c r="U42" i="28"/>
  <c r="S42" i="28"/>
  <c r="AA42" i="28" s="1"/>
  <c r="W42" i="28"/>
  <c r="V42" i="28"/>
  <c r="Y42" i="28"/>
  <c r="X42" i="28"/>
  <c r="T42" i="28"/>
  <c r="S78" i="28"/>
  <c r="W78" i="28"/>
  <c r="Y78" i="28"/>
  <c r="T78" i="28"/>
  <c r="V78" i="28"/>
  <c r="AJ34" i="28"/>
  <c r="U78" i="28"/>
  <c r="X78" i="28"/>
  <c r="U17" i="28"/>
  <c r="S17" i="28"/>
  <c r="AA17" i="28" s="1"/>
  <c r="T17" i="28"/>
  <c r="Y17" i="28"/>
  <c r="V17" i="28"/>
  <c r="X17" i="28"/>
  <c r="W17" i="28"/>
  <c r="S133" i="28"/>
  <c r="AA133" i="28" s="1"/>
  <c r="W133" i="28"/>
  <c r="Y133" i="28"/>
  <c r="T133" i="28"/>
  <c r="U133" i="28"/>
  <c r="X133" i="28"/>
  <c r="V133" i="28"/>
  <c r="U140" i="28"/>
  <c r="X140" i="28"/>
  <c r="T140" i="28"/>
  <c r="V140" i="28"/>
  <c r="W140" i="28"/>
  <c r="Y140" i="28"/>
  <c r="S140" i="28"/>
  <c r="AA140" i="28" s="1"/>
  <c r="U216" i="28"/>
  <c r="S216" i="28"/>
  <c r="AA216" i="28" s="1"/>
  <c r="Y216" i="28"/>
  <c r="W216" i="28"/>
  <c r="X216" i="28"/>
  <c r="T216" i="28"/>
  <c r="V216" i="28"/>
  <c r="P104" i="25"/>
  <c r="L13" i="18"/>
  <c r="M13" i="18" s="1"/>
  <c r="K14" i="18"/>
  <c r="W132" i="28"/>
  <c r="S132" i="28"/>
  <c r="AA132" i="28" s="1"/>
  <c r="U132" i="28"/>
  <c r="V132" i="28"/>
  <c r="X132" i="28"/>
  <c r="Y132" i="28"/>
  <c r="T132" i="28"/>
  <c r="U208" i="28"/>
  <c r="V208" i="28"/>
  <c r="X208" i="28"/>
  <c r="T208" i="28"/>
  <c r="W208" i="28"/>
  <c r="AJ47" i="28"/>
  <c r="S208" i="28"/>
  <c r="Y208" i="28"/>
  <c r="S163" i="28"/>
  <c r="AA163" i="28" s="1"/>
  <c r="V163" i="28"/>
  <c r="U163" i="28"/>
  <c r="X163" i="28"/>
  <c r="Y163" i="28"/>
  <c r="W163" i="28"/>
  <c r="T163" i="28"/>
  <c r="W120" i="28"/>
  <c r="X120" i="28"/>
  <c r="U120" i="28"/>
  <c r="V120" i="28"/>
  <c r="Y120" i="28"/>
  <c r="S120" i="28"/>
  <c r="AA120" i="28" s="1"/>
  <c r="T120" i="28"/>
  <c r="AC19" i="25"/>
  <c r="AD19" i="25" s="1"/>
  <c r="Q19" i="25" s="1"/>
  <c r="P19" i="25"/>
  <c r="U104" i="28"/>
  <c r="W104" i="28"/>
  <c r="AJ36" i="28"/>
  <c r="T104" i="28"/>
  <c r="S104" i="28"/>
  <c r="X104" i="28"/>
  <c r="V104" i="28"/>
  <c r="Y104" i="28"/>
  <c r="S65" i="28"/>
  <c r="V65" i="28"/>
  <c r="Y65" i="28"/>
  <c r="X65" i="28"/>
  <c r="AJ33" i="28"/>
  <c r="U65" i="28"/>
  <c r="W65" i="28"/>
  <c r="T65" i="28"/>
  <c r="U188" i="28"/>
  <c r="V188" i="28"/>
  <c r="X188" i="28"/>
  <c r="W188" i="28"/>
  <c r="S188" i="28"/>
  <c r="AA188" i="28" s="1"/>
  <c r="Y188" i="28"/>
  <c r="T188" i="28"/>
  <c r="C8" i="28"/>
  <c r="AN23" i="27"/>
  <c r="AN30" i="27"/>
  <c r="N2" i="27"/>
  <c r="M2" i="27"/>
  <c r="J2" i="27"/>
  <c r="AN22" i="27"/>
  <c r="I2" i="27"/>
  <c r="AN24" i="27"/>
  <c r="AN29" i="27" s="1"/>
  <c r="AN25" i="27"/>
  <c r="AN28" i="27" s="1"/>
  <c r="K2" i="27"/>
  <c r="AN26" i="27"/>
  <c r="L2" i="27"/>
  <c r="S41" i="28"/>
  <c r="AA41" i="28" s="1"/>
  <c r="W41" i="28"/>
  <c r="Y41" i="28"/>
  <c r="T41" i="28"/>
  <c r="X41" i="28"/>
  <c r="V41" i="28"/>
  <c r="U41" i="28"/>
  <c r="V125" i="28"/>
  <c r="X125" i="28"/>
  <c r="U125" i="28"/>
  <c r="S125" i="28"/>
  <c r="AA125" i="28" s="1"/>
  <c r="W125" i="28"/>
  <c r="Y125" i="28"/>
  <c r="T125" i="28"/>
  <c r="V37" i="28"/>
  <c r="X37" i="28"/>
  <c r="U37" i="28"/>
  <c r="Y37" i="28"/>
  <c r="S37" i="28"/>
  <c r="AA37" i="28" s="1"/>
  <c r="W37" i="28"/>
  <c r="T37" i="28"/>
  <c r="U62" i="28"/>
  <c r="X62" i="28"/>
  <c r="V62" i="28"/>
  <c r="W62" i="28"/>
  <c r="S62" i="28"/>
  <c r="AA62" i="28" s="1"/>
  <c r="Y62" i="28"/>
  <c r="T62" i="28"/>
  <c r="V127" i="28"/>
  <c r="X127" i="28"/>
  <c r="S127" i="28"/>
  <c r="AA127" i="28" s="1"/>
  <c r="U127" i="28"/>
  <c r="Y127" i="28"/>
  <c r="W127" i="28"/>
  <c r="T127" i="28"/>
  <c r="X23" i="28"/>
  <c r="S23" i="28"/>
  <c r="AA23" i="28" s="1"/>
  <c r="U23" i="28"/>
  <c r="V23" i="28"/>
  <c r="W23" i="28"/>
  <c r="Y23" i="28"/>
  <c r="T23" i="28"/>
  <c r="X87" i="28"/>
  <c r="Y87" i="28"/>
  <c r="U87" i="28"/>
  <c r="W87" i="28"/>
  <c r="S87" i="28"/>
  <c r="AA87" i="28" s="1"/>
  <c r="T87" i="28"/>
  <c r="V87" i="28"/>
  <c r="S107" i="28"/>
  <c r="AA107" i="28" s="1"/>
  <c r="X107" i="28"/>
  <c r="Y107" i="28"/>
  <c r="U107" i="28"/>
  <c r="W107" i="28"/>
  <c r="V107" i="28"/>
  <c r="T107" i="28"/>
  <c r="W198" i="28"/>
  <c r="S198" i="28"/>
  <c r="AA198" i="28" s="1"/>
  <c r="V198" i="28"/>
  <c r="Y198" i="28"/>
  <c r="U198" i="28"/>
  <c r="X198" i="28"/>
  <c r="T198" i="28"/>
  <c r="S172" i="28"/>
  <c r="AA172" i="28" s="1"/>
  <c r="W172" i="28"/>
  <c r="Y172" i="28"/>
  <c r="T172" i="28"/>
  <c r="U172" i="28"/>
  <c r="X172" i="28"/>
  <c r="V172" i="28"/>
  <c r="V31" i="28"/>
  <c r="X31" i="28"/>
  <c r="S31" i="28"/>
  <c r="AA31" i="28" s="1"/>
  <c r="U31" i="28"/>
  <c r="Y31" i="28"/>
  <c r="W31" i="28"/>
  <c r="T31" i="28"/>
  <c r="S182" i="28"/>
  <c r="V182" i="28"/>
  <c r="U182" i="28"/>
  <c r="W182" i="28"/>
  <c r="X182" i="28"/>
  <c r="Y182" i="28"/>
  <c r="T182" i="28"/>
  <c r="AJ43" i="28"/>
  <c r="S214" i="28"/>
  <c r="AA214" i="28" s="1"/>
  <c r="W214" i="28"/>
  <c r="Y214" i="28"/>
  <c r="T214" i="28"/>
  <c r="U214" i="28"/>
  <c r="V214" i="28"/>
  <c r="X214" i="28"/>
  <c r="S111" i="28"/>
  <c r="AA111" i="28" s="1"/>
  <c r="V111" i="28"/>
  <c r="U111" i="28"/>
  <c r="T111" i="28"/>
  <c r="Y111" i="28"/>
  <c r="W111" i="28"/>
  <c r="X111" i="28"/>
  <c r="W144" i="28"/>
  <c r="U144" i="28"/>
  <c r="V144" i="28"/>
  <c r="S144" i="28"/>
  <c r="AA144" i="28" s="1"/>
  <c r="Y144" i="28"/>
  <c r="X144" i="28"/>
  <c r="T144" i="28"/>
  <c r="S195" i="28"/>
  <c r="AA195" i="28" s="1"/>
  <c r="X195" i="28"/>
  <c r="U195" i="28"/>
  <c r="W195" i="28"/>
  <c r="V195" i="28"/>
  <c r="Y195" i="28"/>
  <c r="T195" i="28"/>
  <c r="W164" i="28"/>
  <c r="U164" i="28"/>
  <c r="T164" i="28"/>
  <c r="V164" i="28"/>
  <c r="S164" i="28"/>
  <c r="AA164" i="28" s="1"/>
  <c r="Y164" i="28"/>
  <c r="X164" i="28"/>
  <c r="X109" i="28"/>
  <c r="U109" i="28"/>
  <c r="V109" i="28"/>
  <c r="W109" i="28"/>
  <c r="Y109" i="28"/>
  <c r="S109" i="28"/>
  <c r="AA109" i="28" s="1"/>
  <c r="T109" i="28"/>
  <c r="S192" i="28"/>
  <c r="X192" i="28"/>
  <c r="Y192" i="28"/>
  <c r="U192" i="28"/>
  <c r="V192" i="28"/>
  <c r="T192" i="28"/>
  <c r="AJ25" i="28"/>
  <c r="W192" i="28"/>
  <c r="V51" i="28"/>
  <c r="S51" i="28"/>
  <c r="AA51" i="28" s="1"/>
  <c r="U51" i="28"/>
  <c r="Y51" i="28"/>
  <c r="W51" i="28"/>
  <c r="T51" i="28"/>
  <c r="X51" i="28"/>
  <c r="S123" i="28"/>
  <c r="AA123" i="28" s="1"/>
  <c r="X123" i="28"/>
  <c r="Y123" i="28"/>
  <c r="T123" i="28"/>
  <c r="V123" i="28"/>
  <c r="U123" i="28"/>
  <c r="W123" i="28"/>
  <c r="W161" i="28"/>
  <c r="S161" i="28"/>
  <c r="AA161" i="28" s="1"/>
  <c r="X161" i="28"/>
  <c r="U161" i="28"/>
  <c r="Y161" i="28"/>
  <c r="V161" i="28"/>
  <c r="T161" i="28"/>
  <c r="AB105" i="25"/>
  <c r="AA106" i="25"/>
  <c r="AG105" i="25"/>
  <c r="AH105" i="25" s="1"/>
  <c r="AL105" i="25"/>
  <c r="M12" i="18"/>
  <c r="S68" i="28"/>
  <c r="AA68" i="28" s="1"/>
  <c r="W68" i="28"/>
  <c r="Y68" i="28"/>
  <c r="T68" i="28"/>
  <c r="X68" i="28"/>
  <c r="U68" i="28"/>
  <c r="V68" i="28"/>
  <c r="X50" i="28"/>
  <c r="V50" i="28"/>
  <c r="Y50" i="28"/>
  <c r="U50" i="28"/>
  <c r="W50" i="28"/>
  <c r="S50" i="28"/>
  <c r="AA50" i="28" s="1"/>
  <c r="T50" i="28"/>
  <c r="W67" i="28"/>
  <c r="S67" i="28"/>
  <c r="AA67" i="28" s="1"/>
  <c r="U67" i="28"/>
  <c r="V67" i="28"/>
  <c r="Y67" i="28"/>
  <c r="T67" i="28"/>
  <c r="X67" i="28"/>
  <c r="V197" i="28"/>
  <c r="U197" i="28"/>
  <c r="S197" i="28"/>
  <c r="AA197" i="28" s="1"/>
  <c r="Y197" i="28"/>
  <c r="X197" i="28"/>
  <c r="W197" i="28"/>
  <c r="T197" i="28"/>
  <c r="U166" i="28"/>
  <c r="X166" i="28"/>
  <c r="V166" i="28"/>
  <c r="W166" i="28"/>
  <c r="S166" i="28"/>
  <c r="AA166" i="28" s="1"/>
  <c r="Y166" i="28"/>
  <c r="T166" i="28"/>
  <c r="V21" i="25"/>
  <c r="W20" i="25"/>
  <c r="W157" i="28"/>
  <c r="V157" i="28"/>
  <c r="S157" i="28"/>
  <c r="AA157" i="28" s="1"/>
  <c r="Y157" i="28"/>
  <c r="X157" i="28"/>
  <c r="U157" i="28"/>
  <c r="T157" i="28"/>
  <c r="U56" i="28"/>
  <c r="V56" i="28"/>
  <c r="X56" i="28"/>
  <c r="W56" i="28"/>
  <c r="S56" i="28"/>
  <c r="AJ12" i="28"/>
  <c r="Y56" i="28"/>
  <c r="T56" i="28"/>
  <c r="S183" i="28"/>
  <c r="AA183" i="28" s="1"/>
  <c r="W183" i="28"/>
  <c r="Y183" i="28"/>
  <c r="T183" i="28"/>
  <c r="X183" i="28"/>
  <c r="U183" i="28"/>
  <c r="V183" i="28"/>
  <c r="U21" i="28"/>
  <c r="S21" i="28"/>
  <c r="AA21" i="28" s="1"/>
  <c r="X21" i="28"/>
  <c r="T21" i="28"/>
  <c r="Y21" i="28"/>
  <c r="W21" i="28"/>
  <c r="V21" i="28"/>
  <c r="U110" i="28"/>
  <c r="V110" i="28"/>
  <c r="X110" i="28"/>
  <c r="Y110" i="28"/>
  <c r="S110" i="28"/>
  <c r="AA110" i="28" s="1"/>
  <c r="W110" i="28"/>
  <c r="T110" i="28"/>
  <c r="S95" i="28"/>
  <c r="AA95" i="28" s="1"/>
  <c r="W95" i="28"/>
  <c r="Y95" i="28"/>
  <c r="T95" i="28"/>
  <c r="U95" i="28"/>
  <c r="V95" i="28"/>
  <c r="X95" i="28"/>
  <c r="Y39" i="28"/>
  <c r="U39" i="28"/>
  <c r="W39" i="28"/>
  <c r="S39" i="28"/>
  <c r="AA39" i="28" s="1"/>
  <c r="V39" i="28"/>
  <c r="X39" i="28"/>
  <c r="T39" i="28"/>
  <c r="W155" i="28"/>
  <c r="S155" i="28"/>
  <c r="AA155" i="28" s="1"/>
  <c r="X155" i="28"/>
  <c r="T155" i="28"/>
  <c r="V155" i="28"/>
  <c r="Y155" i="28"/>
  <c r="U155" i="28"/>
  <c r="U177" i="28"/>
  <c r="W177" i="28"/>
  <c r="X177" i="28"/>
  <c r="V177" i="28"/>
  <c r="S177" i="28"/>
  <c r="AA177" i="28" s="1"/>
  <c r="Y177" i="28"/>
  <c r="T177" i="28"/>
  <c r="V99" i="28"/>
  <c r="X99" i="28"/>
  <c r="T99" i="28"/>
  <c r="S99" i="28"/>
  <c r="AA99" i="28" s="1"/>
  <c r="W99" i="28"/>
  <c r="Y99" i="28"/>
  <c r="U99" i="28"/>
  <c r="W211" i="28"/>
  <c r="S211" i="28"/>
  <c r="AA211" i="28" s="1"/>
  <c r="V211" i="28"/>
  <c r="T211" i="28"/>
  <c r="U211" i="28"/>
  <c r="Y211" i="28"/>
  <c r="X211" i="28"/>
  <c r="W34" i="28"/>
  <c r="U34" i="28"/>
  <c r="S34" i="28"/>
  <c r="AA34" i="28" s="1"/>
  <c r="X34" i="28"/>
  <c r="Y34" i="28"/>
  <c r="V34" i="28"/>
  <c r="T34" i="28"/>
  <c r="U60" i="28"/>
  <c r="S60" i="28"/>
  <c r="AA60" i="28" s="1"/>
  <c r="W60" i="28"/>
  <c r="Y60" i="28"/>
  <c r="T60" i="28"/>
  <c r="X60" i="28"/>
  <c r="V60" i="28"/>
  <c r="S108" i="28"/>
  <c r="AA108" i="28" s="1"/>
  <c r="X108" i="28"/>
  <c r="W108" i="28"/>
  <c r="U108" i="28"/>
  <c r="V108" i="28"/>
  <c r="Y108" i="28"/>
  <c r="T108" i="28"/>
  <c r="V45" i="28"/>
  <c r="X45" i="28"/>
  <c r="W45" i="28"/>
  <c r="T45" i="28"/>
  <c r="U45" i="28"/>
  <c r="S45" i="28"/>
  <c r="AA45" i="28" s="1"/>
  <c r="Y45" i="28"/>
  <c r="V179" i="28"/>
  <c r="Y179" i="28"/>
  <c r="W179" i="28"/>
  <c r="T179" i="28"/>
  <c r="S179" i="28"/>
  <c r="AA179" i="28" s="1"/>
  <c r="X179" i="28"/>
  <c r="U179" i="28"/>
  <c r="S128" i="28"/>
  <c r="AA128" i="28" s="1"/>
  <c r="V128" i="28"/>
  <c r="Y128" i="28"/>
  <c r="U128" i="28"/>
  <c r="W128" i="28"/>
  <c r="T128" i="28"/>
  <c r="X128" i="28"/>
  <c r="V126" i="28"/>
  <c r="Y126" i="28"/>
  <c r="S126" i="28"/>
  <c r="U126" i="28"/>
  <c r="AJ17" i="28"/>
  <c r="T126" i="28"/>
  <c r="W126" i="28"/>
  <c r="X126" i="28"/>
  <c r="U28" i="28"/>
  <c r="W28" i="28"/>
  <c r="V28" i="28"/>
  <c r="AJ30" i="28"/>
  <c r="Y28" i="28"/>
  <c r="S28" i="28"/>
  <c r="X28" i="28"/>
  <c r="T28" i="28"/>
  <c r="U27" i="28"/>
  <c r="V27" i="28"/>
  <c r="W27" i="28"/>
  <c r="X27" i="28"/>
  <c r="Y27" i="28"/>
  <c r="S27" i="28"/>
  <c r="AA27" i="28" s="1"/>
  <c r="T27" i="28"/>
  <c r="V70" i="28"/>
  <c r="Y70" i="28"/>
  <c r="T70" i="28"/>
  <c r="U70" i="28"/>
  <c r="X70" i="28"/>
  <c r="W70" i="28"/>
  <c r="S70" i="28"/>
  <c r="AA70" i="28" s="1"/>
  <c r="U185" i="28"/>
  <c r="W185" i="28"/>
  <c r="T185" i="28"/>
  <c r="V185" i="28"/>
  <c r="AJ24" i="28"/>
  <c r="S185" i="28"/>
  <c r="X185" i="28"/>
  <c r="Y185" i="28"/>
  <c r="U85" i="28"/>
  <c r="X85" i="28"/>
  <c r="W85" i="28"/>
  <c r="V85" i="28"/>
  <c r="Y85" i="28"/>
  <c r="S85" i="28"/>
  <c r="AA85" i="28" s="1"/>
  <c r="T85" i="28"/>
  <c r="S204" i="28"/>
  <c r="AA204" i="28" s="1"/>
  <c r="W204" i="28"/>
  <c r="Y204" i="28"/>
  <c r="T204" i="28"/>
  <c r="V204" i="28"/>
  <c r="U204" i="28"/>
  <c r="X204" i="28"/>
  <c r="U201" i="28"/>
  <c r="W201" i="28"/>
  <c r="T201" i="28"/>
  <c r="V201" i="28"/>
  <c r="S201" i="28"/>
  <c r="AA201" i="28" s="1"/>
  <c r="X201" i="28"/>
  <c r="Y201" i="28"/>
  <c r="U80" i="28"/>
  <c r="W80" i="28"/>
  <c r="S80" i="28"/>
  <c r="AA80" i="28" s="1"/>
  <c r="X80" i="28"/>
  <c r="V80" i="28"/>
  <c r="Y80" i="28"/>
  <c r="T80" i="28"/>
  <c r="M92" i="25"/>
  <c r="W47" i="28"/>
  <c r="V47" i="28"/>
  <c r="Y47" i="28"/>
  <c r="X47" i="28"/>
  <c r="U47" i="28"/>
  <c r="S47" i="28"/>
  <c r="AJ31" i="28"/>
  <c r="T47" i="28"/>
  <c r="U64" i="28"/>
  <c r="V64" i="28"/>
  <c r="X64" i="28"/>
  <c r="Y64" i="28"/>
  <c r="W64" i="28"/>
  <c r="S64" i="28"/>
  <c r="AA64" i="28" s="1"/>
  <c r="T64" i="28"/>
  <c r="W139" i="28"/>
  <c r="X139" i="28"/>
  <c r="U139" i="28"/>
  <c r="S139" i="28"/>
  <c r="AA139" i="28" s="1"/>
  <c r="Y139" i="28"/>
  <c r="V139" i="28"/>
  <c r="T139" i="28"/>
  <c r="U173" i="28"/>
  <c r="S173" i="28"/>
  <c r="AA173" i="28" s="1"/>
  <c r="V173" i="28"/>
  <c r="Y173" i="28"/>
  <c r="W173" i="28"/>
  <c r="T173" i="28"/>
  <c r="X173" i="28"/>
  <c r="U96" i="28"/>
  <c r="V96" i="28"/>
  <c r="Y96" i="28"/>
  <c r="S96" i="28"/>
  <c r="AA96" i="28" s="1"/>
  <c r="W96" i="28"/>
  <c r="X96" i="28"/>
  <c r="T96" i="28"/>
  <c r="X212" i="28"/>
  <c r="W212" i="28"/>
  <c r="U212" i="28"/>
  <c r="AJ28" i="28"/>
  <c r="V212" i="28"/>
  <c r="T212" i="28"/>
  <c r="Y212" i="28"/>
  <c r="S212" i="28"/>
  <c r="M105" i="25"/>
  <c r="U76" i="28"/>
  <c r="W76" i="28"/>
  <c r="Y76" i="28"/>
  <c r="X76" i="28"/>
  <c r="S76" i="28"/>
  <c r="AA76" i="28" s="1"/>
  <c r="V76" i="28"/>
  <c r="T76" i="28"/>
  <c r="V205" i="28"/>
  <c r="W205" i="28"/>
  <c r="Y205" i="28"/>
  <c r="S205" i="28"/>
  <c r="AJ27" i="28"/>
  <c r="X205" i="28"/>
  <c r="U205" i="28"/>
  <c r="T205" i="28"/>
  <c r="S160" i="28"/>
  <c r="AA160" i="28" s="1"/>
  <c r="V160" i="28"/>
  <c r="U160" i="28"/>
  <c r="Y160" i="28"/>
  <c r="X160" i="28"/>
  <c r="W160" i="28"/>
  <c r="T160" i="28"/>
  <c r="S74" i="28"/>
  <c r="AA74" i="28" s="1"/>
  <c r="V74" i="28"/>
  <c r="Y74" i="28"/>
  <c r="T74" i="28"/>
  <c r="U74" i="28"/>
  <c r="X74" i="28"/>
  <c r="W74" i="28"/>
  <c r="S171" i="28"/>
  <c r="V171" i="28"/>
  <c r="X171" i="28"/>
  <c r="Y171" i="28"/>
  <c r="U171" i="28"/>
  <c r="W171" i="28"/>
  <c r="AJ22" i="28"/>
  <c r="T171" i="28"/>
  <c r="V181" i="28"/>
  <c r="X181" i="28"/>
  <c r="S181" i="28"/>
  <c r="AA181" i="28" s="1"/>
  <c r="W181" i="28"/>
  <c r="U181" i="28"/>
  <c r="Y181" i="28"/>
  <c r="T181" i="28"/>
  <c r="S103" i="28"/>
  <c r="AA103" i="28" s="1"/>
  <c r="W103" i="28"/>
  <c r="Y103" i="28"/>
  <c r="T103" i="28"/>
  <c r="U103" i="28"/>
  <c r="V103" i="28"/>
  <c r="X103" i="28"/>
  <c r="U187" i="28"/>
  <c r="X187" i="28"/>
  <c r="Y187" i="28"/>
  <c r="AJ44" i="28"/>
  <c r="T187" i="28"/>
  <c r="W187" i="28"/>
  <c r="V187" i="28"/>
  <c r="S187" i="28"/>
  <c r="V90" i="28"/>
  <c r="U90" i="28"/>
  <c r="W90" i="28"/>
  <c r="X90" i="28"/>
  <c r="T90" i="28"/>
  <c r="S90" i="28"/>
  <c r="AA90" i="28" s="1"/>
  <c r="Y90" i="28"/>
  <c r="S92" i="28"/>
  <c r="AA92" i="28" s="1"/>
  <c r="U92" i="28"/>
  <c r="V92" i="28"/>
  <c r="W92" i="28"/>
  <c r="Y92" i="28"/>
  <c r="X92" i="28"/>
  <c r="T92" i="28"/>
  <c r="U36" i="28"/>
  <c r="X36" i="28"/>
  <c r="T36" i="28"/>
  <c r="Y36" i="28"/>
  <c r="S36" i="28"/>
  <c r="AA36" i="28" s="1"/>
  <c r="V36" i="28"/>
  <c r="W36" i="28"/>
  <c r="U114" i="28"/>
  <c r="S114" i="28"/>
  <c r="AA114" i="28" s="1"/>
  <c r="Y114" i="28"/>
  <c r="W114" i="28"/>
  <c r="X114" i="28"/>
  <c r="V114" i="28"/>
  <c r="T114" i="28"/>
  <c r="V210" i="28"/>
  <c r="X210" i="28"/>
  <c r="S210" i="28"/>
  <c r="AA210" i="28" s="1"/>
  <c r="Y210" i="28"/>
  <c r="U210" i="28"/>
  <c r="W210" i="28"/>
  <c r="T210" i="28"/>
  <c r="T189" i="28"/>
  <c r="S189" i="28"/>
  <c r="AA189" i="28" s="1"/>
  <c r="Y189" i="28"/>
  <c r="X189" i="28"/>
  <c r="U189" i="28"/>
  <c r="V189" i="28"/>
  <c r="W189" i="28"/>
  <c r="V131" i="28"/>
  <c r="Y131" i="28"/>
  <c r="AJ38" i="28"/>
  <c r="X131" i="28"/>
  <c r="U131" i="28"/>
  <c r="S131" i="28"/>
  <c r="T131" i="28"/>
  <c r="W131" i="28"/>
  <c r="U152" i="28"/>
  <c r="X152" i="28"/>
  <c r="T152" i="28"/>
  <c r="W152" i="28"/>
  <c r="Y152" i="28"/>
  <c r="S152" i="28"/>
  <c r="AA152" i="28" s="1"/>
  <c r="V152" i="28"/>
  <c r="S148" i="28"/>
  <c r="AA148" i="28" s="1"/>
  <c r="W148" i="28"/>
  <c r="Y148" i="28"/>
  <c r="T148" i="28"/>
  <c r="X148" i="28"/>
  <c r="U148" i="28"/>
  <c r="V148" i="28"/>
  <c r="U32" i="28"/>
  <c r="X32" i="28"/>
  <c r="W32" i="28"/>
  <c r="AJ10" i="28"/>
  <c r="S32" i="28"/>
  <c r="V32" i="28"/>
  <c r="T32" i="28"/>
  <c r="Y32" i="28"/>
  <c r="Y186" i="28"/>
  <c r="U186" i="28"/>
  <c r="W186" i="28"/>
  <c r="X186" i="28"/>
  <c r="S186" i="28"/>
  <c r="AA186" i="28" s="1"/>
  <c r="V186" i="28"/>
  <c r="T186" i="28"/>
  <c r="V55" i="28"/>
  <c r="T55" i="28"/>
  <c r="U55" i="28"/>
  <c r="Y55" i="28"/>
  <c r="S55" i="28"/>
  <c r="AA55" i="28" s="1"/>
  <c r="X55" i="28"/>
  <c r="W55" i="28"/>
  <c r="V118" i="28"/>
  <c r="S118" i="28"/>
  <c r="AA118" i="28" s="1"/>
  <c r="U118" i="28"/>
  <c r="X118" i="28"/>
  <c r="Y118" i="28"/>
  <c r="T118" i="28"/>
  <c r="W118" i="28"/>
  <c r="S52" i="28"/>
  <c r="W52" i="28"/>
  <c r="Y52" i="28"/>
  <c r="T52" i="28"/>
  <c r="AJ32" i="28"/>
  <c r="U52" i="28"/>
  <c r="X52" i="28"/>
  <c r="V52" i="28"/>
  <c r="T202" i="28"/>
  <c r="V202" i="28"/>
  <c r="Y202" i="28"/>
  <c r="W202" i="28"/>
  <c r="U202" i="28"/>
  <c r="S202" i="28"/>
  <c r="AA202" i="28" s="1"/>
  <c r="X202" i="28"/>
  <c r="W151" i="28"/>
  <c r="X151" i="28"/>
  <c r="T151" i="28"/>
  <c r="U151" i="28"/>
  <c r="V151" i="28"/>
  <c r="S151" i="28"/>
  <c r="AA151" i="28" s="1"/>
  <c r="Y151" i="28"/>
  <c r="S206" i="28"/>
  <c r="AA206" i="28" s="1"/>
  <c r="U206" i="28"/>
  <c r="W206" i="28"/>
  <c r="Y206" i="28"/>
  <c r="V206" i="28"/>
  <c r="T206" i="28"/>
  <c r="X206" i="28"/>
  <c r="V18" i="28"/>
  <c r="Y18" i="28"/>
  <c r="S18" i="28"/>
  <c r="AA18" i="28" s="1"/>
  <c r="U18" i="28"/>
  <c r="W18" i="28"/>
  <c r="X18" i="28"/>
  <c r="T18" i="28"/>
  <c r="M93" i="25"/>
  <c r="V9" i="28"/>
  <c r="X9" i="28"/>
  <c r="Y9" i="28"/>
  <c r="W9" i="28"/>
  <c r="T9" i="28"/>
  <c r="S9" i="28"/>
  <c r="AA9" i="28" s="1"/>
  <c r="U9" i="28"/>
  <c r="S75" i="28"/>
  <c r="T75" i="28"/>
  <c r="U75" i="28"/>
  <c r="X75" i="28"/>
  <c r="V75" i="28"/>
  <c r="AJ13" i="28"/>
  <c r="Y75" i="28"/>
  <c r="W75" i="28"/>
  <c r="V26" i="28"/>
  <c r="X26" i="28"/>
  <c r="S26" i="28"/>
  <c r="AA26" i="28" s="1"/>
  <c r="Y26" i="28"/>
  <c r="W26" i="28"/>
  <c r="U26" i="28"/>
  <c r="T26" i="28"/>
  <c r="X91" i="28"/>
  <c r="V91" i="28"/>
  <c r="T91" i="28"/>
  <c r="U91" i="28"/>
  <c r="W91" i="28"/>
  <c r="Y91" i="28"/>
  <c r="S91" i="28"/>
  <c r="AA91" i="28" s="1"/>
  <c r="W15" i="28"/>
  <c r="V15" i="28"/>
  <c r="AJ29" i="28"/>
  <c r="U15" i="28"/>
  <c r="X15" i="28"/>
  <c r="S15" i="28"/>
  <c r="Y15" i="28"/>
  <c r="T15" i="28"/>
  <c r="V20" i="28"/>
  <c r="X20" i="28"/>
  <c r="W20" i="28"/>
  <c r="Y20" i="28"/>
  <c r="S20" i="28"/>
  <c r="AA20" i="28" s="1"/>
  <c r="U20" i="28"/>
  <c r="T20" i="28"/>
  <c r="W102" i="28"/>
  <c r="X102" i="28"/>
  <c r="U102" i="28"/>
  <c r="V102" i="28"/>
  <c r="S102" i="28"/>
  <c r="AA102" i="28" s="1"/>
  <c r="Y102" i="28"/>
  <c r="T102" i="28"/>
  <c r="W43" i="28"/>
  <c r="S43" i="28"/>
  <c r="AA43" i="28" s="1"/>
  <c r="V43" i="28"/>
  <c r="T43" i="28"/>
  <c r="U43" i="28"/>
  <c r="Y43" i="28"/>
  <c r="X43" i="28"/>
  <c r="S167" i="28"/>
  <c r="AA167" i="28" s="1"/>
  <c r="T167" i="28"/>
  <c r="W167" i="28"/>
  <c r="V167" i="28"/>
  <c r="X167" i="28"/>
  <c r="U167" i="28"/>
  <c r="Y167" i="28"/>
  <c r="V200" i="28"/>
  <c r="X200" i="28"/>
  <c r="U200" i="28"/>
  <c r="W200" i="28"/>
  <c r="AJ46" i="28"/>
  <c r="Y200" i="28"/>
  <c r="S200" i="28"/>
  <c r="T200" i="28"/>
  <c r="X61" i="28"/>
  <c r="W61" i="28"/>
  <c r="S61" i="28"/>
  <c r="AA61" i="28" s="1"/>
  <c r="V61" i="28"/>
  <c r="U61" i="28"/>
  <c r="Y61" i="28"/>
  <c r="T61" i="28"/>
  <c r="Y58" i="28"/>
  <c r="W58" i="28"/>
  <c r="T58" i="28"/>
  <c r="U58" i="28"/>
  <c r="S58" i="28"/>
  <c r="AA58" i="28" s="1"/>
  <c r="V58" i="28"/>
  <c r="X58" i="28"/>
  <c r="V149" i="28"/>
  <c r="Y149" i="28"/>
  <c r="U149" i="28"/>
  <c r="S149" i="28"/>
  <c r="W149" i="28"/>
  <c r="X149" i="28"/>
  <c r="AJ40" i="28"/>
  <c r="T149" i="28"/>
  <c r="V158" i="28"/>
  <c r="T158" i="28"/>
  <c r="U158" i="28"/>
  <c r="S158" i="28"/>
  <c r="AA158" i="28" s="1"/>
  <c r="W158" i="28"/>
  <c r="Y158" i="28"/>
  <c r="X158" i="28"/>
  <c r="S97" i="28"/>
  <c r="AA97" i="28" s="1"/>
  <c r="W97" i="28"/>
  <c r="Y97" i="28"/>
  <c r="V97" i="28"/>
  <c r="U97" i="28"/>
  <c r="X97" i="28"/>
  <c r="T97" i="28"/>
  <c r="S33" i="28"/>
  <c r="AA33" i="28" s="1"/>
  <c r="W33" i="28"/>
  <c r="Y33" i="28"/>
  <c r="T33" i="28"/>
  <c r="V33" i="28"/>
  <c r="X33" i="28"/>
  <c r="U33" i="28"/>
  <c r="W184" i="28"/>
  <c r="U184" i="28"/>
  <c r="S184" i="28"/>
  <c r="AA184" i="28" s="1"/>
  <c r="X184" i="28"/>
  <c r="V184" i="28"/>
  <c r="Y184" i="28"/>
  <c r="T184" i="28"/>
  <c r="S88" i="28"/>
  <c r="AA88" i="28" s="1"/>
  <c r="V88" i="28"/>
  <c r="X88" i="28"/>
  <c r="Y88" i="28"/>
  <c r="U88" i="28"/>
  <c r="W88" i="28"/>
  <c r="T88" i="28"/>
  <c r="U40" i="28"/>
  <c r="V40" i="28"/>
  <c r="X40" i="28"/>
  <c r="S40" i="28"/>
  <c r="AA40" i="28" s="1"/>
  <c r="W40" i="28"/>
  <c r="Y40" i="28"/>
  <c r="T40" i="28"/>
  <c r="X79" i="28"/>
  <c r="S79" i="28"/>
  <c r="AA79" i="28" s="1"/>
  <c r="Y79" i="28"/>
  <c r="U79" i="28"/>
  <c r="V79" i="28"/>
  <c r="W79" i="28"/>
  <c r="T79" i="28"/>
  <c r="V137" i="28"/>
  <c r="X137" i="28"/>
  <c r="U137" i="28"/>
  <c r="T137" i="28"/>
  <c r="Y137" i="28"/>
  <c r="S137" i="28"/>
  <c r="AA137" i="28" s="1"/>
  <c r="W137" i="28"/>
  <c r="V196" i="28"/>
  <c r="X196" i="28"/>
  <c r="U196" i="28"/>
  <c r="W196" i="28"/>
  <c r="Y196" i="28"/>
  <c r="S196" i="28"/>
  <c r="AJ26" i="28"/>
  <c r="T196" i="28"/>
  <c r="T86" i="28"/>
  <c r="Y86" i="28"/>
  <c r="AJ35" i="28"/>
  <c r="V86" i="28"/>
  <c r="S86" i="28"/>
  <c r="X86" i="28"/>
  <c r="U86" i="28"/>
  <c r="W86" i="28"/>
  <c r="W71" i="28"/>
  <c r="X71" i="28"/>
  <c r="U71" i="28"/>
  <c r="V71" i="28"/>
  <c r="Y71" i="28"/>
  <c r="S71" i="28"/>
  <c r="AA71" i="28" s="1"/>
  <c r="T71" i="28"/>
  <c r="U101" i="28"/>
  <c r="X101" i="28"/>
  <c r="S101" i="28"/>
  <c r="AA101" i="28" s="1"/>
  <c r="Y101" i="28"/>
  <c r="T101" i="28"/>
  <c r="W101" i="28"/>
  <c r="V101" i="28"/>
  <c r="U176" i="28"/>
  <c r="T176" i="28"/>
  <c r="V176" i="28"/>
  <c r="S176" i="28"/>
  <c r="AA176" i="28" s="1"/>
  <c r="W176" i="28"/>
  <c r="X176" i="28"/>
  <c r="Y176" i="28"/>
  <c r="U5" i="32"/>
  <c r="T9" i="32"/>
  <c r="T12" i="32"/>
  <c r="T13" i="32"/>
  <c r="T10" i="32"/>
  <c r="T11" i="32"/>
  <c r="T38" i="32"/>
  <c r="T70" i="32"/>
  <c r="T20" i="32"/>
  <c r="T17" i="32"/>
  <c r="T16" i="32"/>
  <c r="T7" i="32"/>
  <c r="T35" i="32"/>
  <c r="T31" i="32"/>
  <c r="T54" i="32"/>
  <c r="T43" i="32"/>
  <c r="T51" i="32"/>
  <c r="T48" i="32"/>
  <c r="T41" i="32"/>
  <c r="T73" i="32"/>
  <c r="T99" i="32"/>
  <c r="T104" i="32"/>
  <c r="T86" i="32"/>
  <c r="T37" i="32"/>
  <c r="T29" i="32"/>
  <c r="T18" i="32"/>
  <c r="T76" i="32"/>
  <c r="T65" i="32"/>
  <c r="T87" i="32"/>
  <c r="T88" i="32"/>
  <c r="T39" i="32"/>
  <c r="T33" i="32"/>
  <c r="T22" i="32"/>
  <c r="T8" i="32"/>
  <c r="T27" i="32"/>
  <c r="T34" i="32"/>
  <c r="T66" i="32"/>
  <c r="T44" i="32"/>
  <c r="T72" i="32"/>
  <c r="T61" i="32"/>
  <c r="T83" i="32"/>
  <c r="T84" i="32"/>
  <c r="T40" i="32"/>
  <c r="T15" i="32"/>
  <c r="T42" i="32"/>
  <c r="T74" i="32"/>
  <c r="T47" i="32"/>
  <c r="T75" i="32"/>
  <c r="T68" i="32"/>
  <c r="T57" i="32"/>
  <c r="T79" i="32"/>
  <c r="T80" i="32"/>
  <c r="T85" i="32"/>
  <c r="T21" i="32"/>
  <c r="T59" i="32"/>
  <c r="T32" i="32"/>
  <c r="T46" i="32"/>
  <c r="T62" i="32"/>
  <c r="T71" i="32"/>
  <c r="T60" i="32"/>
  <c r="T25" i="32"/>
  <c r="T50" i="32"/>
  <c r="T52" i="32"/>
  <c r="T82" i="32"/>
  <c r="T30" i="32"/>
  <c r="T64" i="32"/>
  <c r="T97" i="32"/>
  <c r="T102" i="32"/>
  <c r="T14" i="32"/>
  <c r="T55" i="32"/>
  <c r="T69" i="32"/>
  <c r="T90" i="32"/>
  <c r="T24" i="32"/>
  <c r="T19" i="32"/>
  <c r="T63" i="32"/>
  <c r="T81" i="32"/>
  <c r="T91" i="32"/>
  <c r="T28" i="32"/>
  <c r="T45" i="32"/>
  <c r="T103" i="32"/>
  <c r="T92" i="32"/>
  <c r="T93" i="32"/>
  <c r="T105" i="32"/>
  <c r="T56" i="32"/>
  <c r="T77" i="32"/>
  <c r="T89" i="32"/>
  <c r="T101" i="32"/>
  <c r="T98" i="32"/>
  <c r="T67" i="32"/>
  <c r="T53" i="32"/>
  <c r="T100" i="32"/>
  <c r="T78" i="32"/>
  <c r="T94" i="32"/>
  <c r="T36" i="32"/>
  <c r="T49" i="32"/>
  <c r="T106" i="32"/>
  <c r="T96" i="32"/>
  <c r="T23" i="32"/>
  <c r="T26" i="32"/>
  <c r="T95" i="32"/>
  <c r="T58" i="32"/>
  <c r="AI19" i="25"/>
  <c r="AJ19" i="25" s="1"/>
  <c r="T19" i="25" s="1"/>
  <c r="S19" i="25"/>
  <c r="BZ24" i="28" l="1"/>
  <c r="AC70" i="28"/>
  <c r="AE27" i="28"/>
  <c r="AN30" i="28"/>
  <c r="AD28" i="28"/>
  <c r="AK17" i="28"/>
  <c r="AA126" i="28"/>
  <c r="AS17" i="28" s="1"/>
  <c r="AD128" i="28"/>
  <c r="AD179" i="28"/>
  <c r="AB108" i="28"/>
  <c r="AF60" i="28"/>
  <c r="AG34" i="28"/>
  <c r="AB211" i="28"/>
  <c r="AB99" i="28"/>
  <c r="AE177" i="28"/>
  <c r="AE155" i="28"/>
  <c r="AF95" i="28"/>
  <c r="AE110" i="28"/>
  <c r="AG21" i="28"/>
  <c r="AB183" i="28"/>
  <c r="AO12" i="28"/>
  <c r="AE56" i="28"/>
  <c r="AE166" i="28"/>
  <c r="AF50" i="28"/>
  <c r="AG161" i="28"/>
  <c r="AB123" i="28"/>
  <c r="AC51" i="28"/>
  <c r="AG192" i="28"/>
  <c r="AQ25" i="28"/>
  <c r="AC109" i="28"/>
  <c r="AE164" i="28"/>
  <c r="AB144" i="28"/>
  <c r="AE111" i="28"/>
  <c r="AC214" i="28"/>
  <c r="AP43" i="28"/>
  <c r="AF182" i="28"/>
  <c r="AC31" i="28"/>
  <c r="AG172" i="28"/>
  <c r="AB23" i="28"/>
  <c r="AE127" i="28"/>
  <c r="AG37" i="28"/>
  <c r="AC125" i="28"/>
  <c r="AE41" i="28"/>
  <c r="AG188" i="28"/>
  <c r="AM33" i="28"/>
  <c r="AC65" i="28"/>
  <c r="AF104" i="28"/>
  <c r="AP36" i="28"/>
  <c r="AB120" i="28"/>
  <c r="AE163" i="28"/>
  <c r="AC176" i="28"/>
  <c r="AB71" i="28"/>
  <c r="AM35" i="28"/>
  <c r="AC86" i="28"/>
  <c r="BZ46" i="28"/>
  <c r="AD167" i="28"/>
  <c r="AD43" i="28"/>
  <c r="AF102" i="28"/>
  <c r="AD20" i="28"/>
  <c r="AO29" i="28"/>
  <c r="AE15" i="28"/>
  <c r="AB26" i="28"/>
  <c r="AQ13" i="28"/>
  <c r="AG75" i="28"/>
  <c r="AB18" i="28"/>
  <c r="AB206" i="28"/>
  <c r="AD151" i="28"/>
  <c r="AE202" i="28"/>
  <c r="AB52" i="28"/>
  <c r="AL32" i="28"/>
  <c r="AC118" i="28"/>
  <c r="AB55" i="28"/>
  <c r="AG186" i="28"/>
  <c r="AM10" i="28"/>
  <c r="AC32" i="28"/>
  <c r="AD152" i="28"/>
  <c r="AB131" i="28"/>
  <c r="AL38" i="28"/>
  <c r="AD189" i="28"/>
  <c r="AC210" i="28"/>
  <c r="AE114" i="28"/>
  <c r="AB36" i="28"/>
  <c r="AC92" i="28"/>
  <c r="AD90" i="28"/>
  <c r="AM44" i="28"/>
  <c r="AC187" i="28"/>
  <c r="AB181" i="28"/>
  <c r="BZ27" i="28"/>
  <c r="AF76" i="28"/>
  <c r="AB212" i="28"/>
  <c r="AT28" i="28" s="1"/>
  <c r="AL28" i="28"/>
  <c r="AE96" i="28"/>
  <c r="AG173" i="28"/>
  <c r="AC139" i="28"/>
  <c r="AD64" i="28"/>
  <c r="AN31" i="28"/>
  <c r="AD47" i="28"/>
  <c r="AV31" i="28" s="1"/>
  <c r="AG80" i="28"/>
  <c r="AB204" i="28"/>
  <c r="AE85" i="28"/>
  <c r="AL24" i="28"/>
  <c r="AB185" i="28"/>
  <c r="AG70" i="28"/>
  <c r="AC27" i="28"/>
  <c r="AM30" i="28"/>
  <c r="AC28" i="28"/>
  <c r="AD126" i="28"/>
  <c r="AN17" i="28"/>
  <c r="AC179" i="28"/>
  <c r="AD108" i="28"/>
  <c r="AG60" i="28"/>
  <c r="AD99" i="28"/>
  <c r="AC155" i="28"/>
  <c r="AF39" i="28"/>
  <c r="AC95" i="28"/>
  <c r="AG110" i="28"/>
  <c r="AF21" i="28"/>
  <c r="AE183" i="28"/>
  <c r="AN12" i="28"/>
  <c r="AD56" i="28"/>
  <c r="AE157" i="28"/>
  <c r="AF166" i="28"/>
  <c r="AD197" i="28"/>
  <c r="AB50" i="28"/>
  <c r="AC68" i="28"/>
  <c r="AF161" i="28"/>
  <c r="AF123" i="28"/>
  <c r="AD51" i="28"/>
  <c r="AK25" i="28"/>
  <c r="AA192" i="28"/>
  <c r="AS25" i="28" s="1"/>
  <c r="AF164" i="28"/>
  <c r="AG195" i="28"/>
  <c r="AG144" i="28"/>
  <c r="AB111" i="28"/>
  <c r="AG214" i="28"/>
  <c r="AC182" i="28"/>
  <c r="AM43" i="28"/>
  <c r="AF31" i="28"/>
  <c r="AB107" i="28"/>
  <c r="AB87" i="28"/>
  <c r="AE23" i="28"/>
  <c r="AC127" i="28"/>
  <c r="AD62" i="28"/>
  <c r="AF37" i="28"/>
  <c r="AD125" i="28"/>
  <c r="AE188" i="28"/>
  <c r="AP33" i="28"/>
  <c r="AF65" i="28"/>
  <c r="AL36" i="28"/>
  <c r="AB104" i="28"/>
  <c r="AG120" i="28"/>
  <c r="AF163" i="28"/>
  <c r="AB208" i="28"/>
  <c r="AL47" i="28"/>
  <c r="AC132" i="28"/>
  <c r="AB216" i="28"/>
  <c r="AE140" i="28"/>
  <c r="AB133" i="28"/>
  <c r="AB17" i="28"/>
  <c r="AG78" i="28"/>
  <c r="AQ34" i="28"/>
  <c r="AG130" i="28"/>
  <c r="U9" i="32"/>
  <c r="V5" i="32"/>
  <c r="U39" i="32"/>
  <c r="U7" i="32"/>
  <c r="U8" i="32"/>
  <c r="U34" i="32"/>
  <c r="U66" i="32"/>
  <c r="U24" i="32"/>
  <c r="U21" i="32"/>
  <c r="U14" i="32"/>
  <c r="U20" i="32"/>
  <c r="U17" i="32"/>
  <c r="U10" i="32"/>
  <c r="U16" i="32"/>
  <c r="U13" i="32"/>
  <c r="U36" i="32"/>
  <c r="U58" i="32"/>
  <c r="U47" i="32"/>
  <c r="U44" i="32"/>
  <c r="U76" i="32"/>
  <c r="U69" i="32"/>
  <c r="U95" i="32"/>
  <c r="U100" i="32"/>
  <c r="U82" i="32"/>
  <c r="U12" i="32"/>
  <c r="U32" i="32"/>
  <c r="U25" i="32"/>
  <c r="U19" i="32"/>
  <c r="U46" i="32"/>
  <c r="U78" i="32"/>
  <c r="U55" i="32"/>
  <c r="U48" i="32"/>
  <c r="U91" i="32"/>
  <c r="U92" i="32"/>
  <c r="U37" i="32"/>
  <c r="U29" i="32"/>
  <c r="U18" i="32"/>
  <c r="U51" i="32"/>
  <c r="U65" i="32"/>
  <c r="U87" i="32"/>
  <c r="U88" i="32"/>
  <c r="U33" i="32"/>
  <c r="U22" i="32"/>
  <c r="U27" i="32"/>
  <c r="U54" i="32"/>
  <c r="U72" i="32"/>
  <c r="U61" i="32"/>
  <c r="U83" i="32"/>
  <c r="U84" i="32"/>
  <c r="U89" i="32"/>
  <c r="U90" i="32"/>
  <c r="U31" i="32"/>
  <c r="U38" i="32"/>
  <c r="U50" i="32"/>
  <c r="U74" i="32"/>
  <c r="U67" i="32"/>
  <c r="U56" i="32"/>
  <c r="U28" i="32"/>
  <c r="U40" i="32"/>
  <c r="U68" i="32"/>
  <c r="U53" i="32"/>
  <c r="U23" i="32"/>
  <c r="U62" i="32"/>
  <c r="U59" i="32"/>
  <c r="U41" i="32"/>
  <c r="U45" i="32"/>
  <c r="U49" i="32"/>
  <c r="U94" i="32"/>
  <c r="U11" i="32"/>
  <c r="U43" i="32"/>
  <c r="U71" i="32"/>
  <c r="U52" i="32"/>
  <c r="U30" i="32"/>
  <c r="U70" i="32"/>
  <c r="U64" i="32"/>
  <c r="U85" i="32"/>
  <c r="U97" i="32"/>
  <c r="U102" i="32"/>
  <c r="U57" i="32"/>
  <c r="U80" i="32"/>
  <c r="U96" i="32"/>
  <c r="U63" i="32"/>
  <c r="U81" i="32"/>
  <c r="U103" i="32"/>
  <c r="U93" i="32"/>
  <c r="U105" i="32"/>
  <c r="U86" i="32"/>
  <c r="U15" i="32"/>
  <c r="U42" i="32"/>
  <c r="U60" i="32"/>
  <c r="U73" i="32"/>
  <c r="U35" i="32"/>
  <c r="U98" i="32"/>
  <c r="U99" i="32"/>
  <c r="U104" i="32"/>
  <c r="U101" i="32"/>
  <c r="U26" i="32"/>
  <c r="U75" i="32"/>
  <c r="U79" i="32"/>
  <c r="U77" i="32"/>
  <c r="U106" i="32"/>
  <c r="AD101" i="28"/>
  <c r="AP35" i="28"/>
  <c r="AF86" i="28"/>
  <c r="AK26" i="28"/>
  <c r="AA196" i="28"/>
  <c r="AS26" i="28" s="1"/>
  <c r="AG137" i="28"/>
  <c r="AC79" i="28"/>
  <c r="AF40" i="28"/>
  <c r="AD88" i="28"/>
  <c r="AE184" i="28"/>
  <c r="AB97" i="28"/>
  <c r="AG158" i="28"/>
  <c r="AP40" i="28"/>
  <c r="AF149" i="28"/>
  <c r="AD61" i="28"/>
  <c r="AO46" i="28"/>
  <c r="AE200" i="28"/>
  <c r="AE167" i="28"/>
  <c r="AE102" i="28"/>
  <c r="AL29" i="28"/>
  <c r="AB15" i="28"/>
  <c r="AC26" i="28"/>
  <c r="BA13" i="28"/>
  <c r="BZ13" i="28"/>
  <c r="AB9" i="28"/>
  <c r="AF18" i="28"/>
  <c r="AD206" i="28"/>
  <c r="AC151" i="28"/>
  <c r="AG202" i="28"/>
  <c r="AQ32" i="28"/>
  <c r="AG52" i="28"/>
  <c r="AD55" i="28"/>
  <c r="AQ10" i="28"/>
  <c r="AG32" i="28"/>
  <c r="AD148" i="28"/>
  <c r="AK38" i="28"/>
  <c r="AA131" i="28"/>
  <c r="AS38" i="28" s="1"/>
  <c r="AC189" i="28"/>
  <c r="AG210" i="28"/>
  <c r="AG114" i="28"/>
  <c r="AF36" i="28"/>
  <c r="AK44" i="28"/>
  <c r="AA187" i="28"/>
  <c r="AS44" i="28" s="1"/>
  <c r="AF103" i="28"/>
  <c r="AG181" i="28"/>
  <c r="AO22" i="28"/>
  <c r="AE171" i="28"/>
  <c r="AC74" i="28"/>
  <c r="AG160" i="28"/>
  <c r="AA205" i="28"/>
  <c r="AS27" i="28" s="1"/>
  <c r="BA27" i="28" s="1"/>
  <c r="AK27" i="28"/>
  <c r="AG76" i="28"/>
  <c r="AN28" i="28"/>
  <c r="AD212" i="28"/>
  <c r="AV28" i="28" s="1"/>
  <c r="AD173" i="28"/>
  <c r="AF139" i="28"/>
  <c r="AC64" i="28"/>
  <c r="AE47" i="28"/>
  <c r="AW31" i="28" s="1"/>
  <c r="AO31" i="28"/>
  <c r="AD80" i="28"/>
  <c r="AD201" i="28"/>
  <c r="AG204" i="28"/>
  <c r="AF85" i="28"/>
  <c r="AO24" i="28"/>
  <c r="AE185" i="28"/>
  <c r="AD70" i="28"/>
  <c r="AB28" i="28"/>
  <c r="AL30" i="28"/>
  <c r="AF126" i="28"/>
  <c r="AP17" i="28"/>
  <c r="AF128" i="28"/>
  <c r="AF179" i="28"/>
  <c r="AC45" i="28"/>
  <c r="AC108" i="28"/>
  <c r="AE60" i="28"/>
  <c r="AC34" i="28"/>
  <c r="AE211" i="28"/>
  <c r="AB177" i="28"/>
  <c r="AG155" i="28"/>
  <c r="AD39" i="28"/>
  <c r="AB95" i="28"/>
  <c r="AF110" i="28"/>
  <c r="AM12" i="28"/>
  <c r="AC56" i="28"/>
  <c r="M20" i="25"/>
  <c r="X20" i="25"/>
  <c r="Y20" i="25" s="1"/>
  <c r="N20" i="25" s="1"/>
  <c r="AC166" i="28"/>
  <c r="AF67" i="28"/>
  <c r="AF68" i="28"/>
  <c r="S105" i="25"/>
  <c r="AO25" i="28"/>
  <c r="AE192" i="28"/>
  <c r="AB109" i="28"/>
  <c r="AG164" i="28"/>
  <c r="AD195" i="28"/>
  <c r="AC111" i="28"/>
  <c r="AE214" i="28"/>
  <c r="AD182" i="28"/>
  <c r="AN43" i="28"/>
  <c r="AD31" i="28"/>
  <c r="AB198" i="28"/>
  <c r="AD107" i="28"/>
  <c r="AD23" i="28"/>
  <c r="AF62" i="28"/>
  <c r="AD37" i="28"/>
  <c r="AC41" i="28"/>
  <c r="AF188" i="28"/>
  <c r="AG65" i="28"/>
  <c r="AQ33" i="28"/>
  <c r="BZ36" i="28"/>
  <c r="AD120" i="28"/>
  <c r="AC163" i="28"/>
  <c r="AP47" i="28"/>
  <c r="AF208" i="28"/>
  <c r="AF216" i="28"/>
  <c r="AD140" i="28"/>
  <c r="AG133" i="28"/>
  <c r="AO34" i="28"/>
  <c r="AE78" i="28"/>
  <c r="AC42" i="28"/>
  <c r="AB69" i="28"/>
  <c r="AB130" i="28"/>
  <c r="AP20" i="28"/>
  <c r="AF154" i="28"/>
  <c r="AG83" i="28"/>
  <c r="AG38" i="28"/>
  <c r="AG49" i="28"/>
  <c r="AF115" i="28"/>
  <c r="AE129" i="28"/>
  <c r="AB14" i="28"/>
  <c r="AD22" i="28"/>
  <c r="AN9" i="28"/>
  <c r="AD24" i="28"/>
  <c r="AB66" i="28"/>
  <c r="AG13" i="28"/>
  <c r="AC73" i="28"/>
  <c r="AC147" i="28"/>
  <c r="AE209" i="28"/>
  <c r="AK23" i="28"/>
  <c r="AA180" i="28"/>
  <c r="AS23" i="28" s="1"/>
  <c r="AC105" i="28"/>
  <c r="AG135" i="28"/>
  <c r="W107" i="25"/>
  <c r="V108" i="25"/>
  <c r="AE81" i="28"/>
  <c r="AO42" i="28"/>
  <c r="AE174" i="28"/>
  <c r="AD10" i="28"/>
  <c r="AM18" i="28"/>
  <c r="AC138" i="28"/>
  <c r="AB191" i="28"/>
  <c r="AN14" i="28"/>
  <c r="AD82" i="28"/>
  <c r="AL39" i="28"/>
  <c r="AB141" i="28"/>
  <c r="AN48" i="28"/>
  <c r="AD213" i="28"/>
  <c r="AF98" i="28"/>
  <c r="AM15" i="28"/>
  <c r="AC94" i="28"/>
  <c r="AB100" i="28"/>
  <c r="AC30" i="28"/>
  <c r="AB57" i="28"/>
  <c r="AD59" i="28"/>
  <c r="AG178" i="28"/>
  <c r="AD124" i="28"/>
  <c r="AM19" i="28"/>
  <c r="AC145" i="28"/>
  <c r="AA162" i="28"/>
  <c r="AS21" i="28" s="1"/>
  <c r="AK21" i="28"/>
  <c r="AF142" i="28"/>
  <c r="AO11" i="28"/>
  <c r="AE48" i="28"/>
  <c r="AG136" i="28"/>
  <c r="AE116" i="28"/>
  <c r="AG194" i="28"/>
  <c r="AY45" i="28" s="1"/>
  <c r="AQ45" i="28"/>
  <c r="AF16" i="28"/>
  <c r="AF168" i="28"/>
  <c r="AO16" i="28"/>
  <c r="AE113" i="28"/>
  <c r="AE146" i="28"/>
  <c r="AB193" i="28"/>
  <c r="AC89" i="28"/>
  <c r="AB77" i="28"/>
  <c r="AE143" i="28"/>
  <c r="AC106" i="28"/>
  <c r="AD119" i="28"/>
  <c r="AG11" i="28"/>
  <c r="AE199" i="28"/>
  <c r="AE122" i="28"/>
  <c r="AE165" i="28"/>
  <c r="AD84" i="28"/>
  <c r="AD207" i="28"/>
  <c r="AG44" i="28"/>
  <c r="AF63" i="28"/>
  <c r="AO41" i="28"/>
  <c r="AE156" i="28"/>
  <c r="AE150" i="28"/>
  <c r="AB117" i="28"/>
  <c r="AF169" i="28"/>
  <c r="AG46" i="28"/>
  <c r="BZ37" i="28"/>
  <c r="BZ40" i="28"/>
  <c r="AD58" i="28"/>
  <c r="AC61" i="28"/>
  <c r="AG176" i="28"/>
  <c r="AE101" i="28"/>
  <c r="AG71" i="28"/>
  <c r="AK35" i="28"/>
  <c r="AA86" i="28"/>
  <c r="AS35" i="28" s="1"/>
  <c r="AQ26" i="28"/>
  <c r="AG196" i="28"/>
  <c r="AB137" i="28"/>
  <c r="AG79" i="28"/>
  <c r="AD40" i="28"/>
  <c r="AC33" i="28"/>
  <c r="AF97" i="28"/>
  <c r="AE158" i="28"/>
  <c r="AO40" i="28"/>
  <c r="AE149" i="28"/>
  <c r="AC58" i="28"/>
  <c r="AM46" i="28"/>
  <c r="AC200" i="28"/>
  <c r="AB167" i="28"/>
  <c r="AE43" i="28"/>
  <c r="AB20" i="28"/>
  <c r="AQ29" i="28"/>
  <c r="AG15" i="28"/>
  <c r="AG91" i="28"/>
  <c r="AE26" i="28"/>
  <c r="AD75" i="28"/>
  <c r="AN13" i="28"/>
  <c r="AE9" i="28"/>
  <c r="AE18" i="28"/>
  <c r="AG206" i="28"/>
  <c r="AB151" i="28"/>
  <c r="AD202" i="28"/>
  <c r="AO32" i="28"/>
  <c r="AE52" i="28"/>
  <c r="AD118" i="28"/>
  <c r="AB186" i="28"/>
  <c r="AB32" i="28"/>
  <c r="AL10" i="28"/>
  <c r="AC148" i="28"/>
  <c r="AG152" i="28"/>
  <c r="AM38" i="28"/>
  <c r="AC131" i="28"/>
  <c r="AF189" i="28"/>
  <c r="AC36" i="28"/>
  <c r="AG90" i="28"/>
  <c r="AN44" i="28"/>
  <c r="AD187" i="28"/>
  <c r="AD103" i="28"/>
  <c r="AC181" i="28"/>
  <c r="AC171" i="28"/>
  <c r="AM22" i="28"/>
  <c r="AB74" i="28"/>
  <c r="AC160" i="28"/>
  <c r="AG205" i="28"/>
  <c r="AQ27" i="28"/>
  <c r="AE76" i="28"/>
  <c r="BZ25" i="28"/>
  <c r="AE195" i="28"/>
  <c r="AD144" i="28"/>
  <c r="AD111" i="28"/>
  <c r="AK43" i="28"/>
  <c r="AA182" i="28"/>
  <c r="AS43" i="28" s="1"/>
  <c r="AD172" i="28"/>
  <c r="AF198" i="28"/>
  <c r="AE107" i="28"/>
  <c r="AE87" i="28"/>
  <c r="AC23" i="28"/>
  <c r="AF127" i="28"/>
  <c r="AC62" i="28"/>
  <c r="AB125" i="28"/>
  <c r="AD41" i="28"/>
  <c r="AD188" i="28"/>
  <c r="AN33" i="28"/>
  <c r="AD65" i="28"/>
  <c r="AO36" i="28"/>
  <c r="AE104" i="28"/>
  <c r="AC120" i="28"/>
  <c r="AD163" i="28"/>
  <c r="AN47" i="28"/>
  <c r="AD208" i="28"/>
  <c r="AE132" i="28"/>
  <c r="AE216" i="28"/>
  <c r="AB140" i="28"/>
  <c r="AE133" i="28"/>
  <c r="AC17" i="28"/>
  <c r="AK34" i="28"/>
  <c r="AA78" i="28"/>
  <c r="AS34" i="28" s="1"/>
  <c r="AB19" i="28"/>
  <c r="AF69" i="28"/>
  <c r="AA154" i="28"/>
  <c r="AS20" i="28" s="1"/>
  <c r="BA20" i="28" s="1"/>
  <c r="AK20" i="28"/>
  <c r="AE83" i="28"/>
  <c r="AF38" i="28"/>
  <c r="AE49" i="28"/>
  <c r="AD115" i="28"/>
  <c r="AB93" i="28"/>
  <c r="AF14" i="28"/>
  <c r="AG22" i="28"/>
  <c r="AG24" i="28"/>
  <c r="AQ9" i="28"/>
  <c r="AG66" i="28"/>
  <c r="AB215" i="28"/>
  <c r="AB13" i="28"/>
  <c r="AG73" i="28"/>
  <c r="AE72" i="28"/>
  <c r="AB25" i="28"/>
  <c r="AG209" i="28"/>
  <c r="AO23" i="28"/>
  <c r="AE180" i="28"/>
  <c r="AF54" i="28"/>
  <c r="AE135" i="28"/>
  <c r="AC81" i="28"/>
  <c r="AK42" i="28"/>
  <c r="AA174" i="28"/>
  <c r="AS42" i="28" s="1"/>
  <c r="BA42" i="28" s="1"/>
  <c r="BZ18" i="28"/>
  <c r="AD134" i="28"/>
  <c r="AF191" i="28"/>
  <c r="AO14" i="28"/>
  <c r="AE82" i="28"/>
  <c r="AE141" i="28"/>
  <c r="AO39" i="28"/>
  <c r="AQ48" i="28"/>
  <c r="AG213" i="28"/>
  <c r="AG98" i="28"/>
  <c r="AQ15" i="28"/>
  <c r="AG94" i="28"/>
  <c r="AC100" i="28"/>
  <c r="AG30" i="28"/>
  <c r="AC57" i="28"/>
  <c r="AF35" i="28"/>
  <c r="AG153" i="28"/>
  <c r="AG124" i="28"/>
  <c r="AG145" i="28"/>
  <c r="AQ19" i="28"/>
  <c r="AO21" i="28"/>
  <c r="AE162" i="28"/>
  <c r="AP11" i="28"/>
  <c r="AF48" i="28"/>
  <c r="AE136" i="28"/>
  <c r="AC175" i="28"/>
  <c r="AG170" i="28"/>
  <c r="AB194" i="28"/>
  <c r="AL45" i="28"/>
  <c r="AD16" i="28"/>
  <c r="AG168" i="28"/>
  <c r="AP16" i="28"/>
  <c r="AF113" i="28"/>
  <c r="AE29" i="28"/>
  <c r="AC146" i="28"/>
  <c r="AC193" i="28"/>
  <c r="AB89" i="28"/>
  <c r="AG77" i="28"/>
  <c r="AD53" i="28"/>
  <c r="AB203" i="28"/>
  <c r="AC119" i="28"/>
  <c r="AF11" i="28"/>
  <c r="AF199" i="28"/>
  <c r="AG122" i="28"/>
  <c r="AE112" i="28"/>
  <c r="AD190" i="28"/>
  <c r="AE207" i="28"/>
  <c r="AD44" i="28"/>
  <c r="AG63" i="28"/>
  <c r="AM41" i="28"/>
  <c r="AC156" i="28"/>
  <c r="AF117" i="28"/>
  <c r="AD169" i="28"/>
  <c r="AB159" i="28"/>
  <c r="AP37" i="28"/>
  <c r="AF121" i="28"/>
  <c r="BZ29" i="28"/>
  <c r="AD91" i="28"/>
  <c r="AD26" i="28"/>
  <c r="AK13" i="28"/>
  <c r="AA75" i="28"/>
  <c r="AS13" i="28" s="1"/>
  <c r="AD18" i="28"/>
  <c r="AG151" i="28"/>
  <c r="AM32" i="28"/>
  <c r="AC52" i="28"/>
  <c r="AG118" i="28"/>
  <c r="AG55" i="28"/>
  <c r="AE186" i="28"/>
  <c r="AE32" i="28"/>
  <c r="AO10" i="28"/>
  <c r="AE148" i="28"/>
  <c r="AC152" i="28"/>
  <c r="AN38" i="28"/>
  <c r="AD131" i="28"/>
  <c r="AB210" i="28"/>
  <c r="AD114" i="28"/>
  <c r="AE92" i="28"/>
  <c r="AE90" i="28"/>
  <c r="AQ44" i="28"/>
  <c r="AG187" i="28"/>
  <c r="AE103" i="28"/>
  <c r="AD181" i="28"/>
  <c r="AK22" i="28"/>
  <c r="AA171" i="28"/>
  <c r="AS22" i="28" s="1"/>
  <c r="AB160" i="28"/>
  <c r="AM27" i="28"/>
  <c r="AC205" i="28"/>
  <c r="AU27" i="28" s="1"/>
  <c r="BC27" i="28" s="1"/>
  <c r="AD76" i="28"/>
  <c r="AK28" i="28"/>
  <c r="AA212" i="28"/>
  <c r="AS28" i="28" s="1"/>
  <c r="AB96" i="28"/>
  <c r="AB173" i="28"/>
  <c r="AG139" i="28"/>
  <c r="AG64" i="28"/>
  <c r="AP31" i="28"/>
  <c r="AF47" i="28"/>
  <c r="AX31" i="28" s="1"/>
  <c r="AG201" i="28"/>
  <c r="AC204" i="28"/>
  <c r="AG85" i="28"/>
  <c r="BA28" i="28"/>
  <c r="BF28" i="28"/>
  <c r="BB28" i="28"/>
  <c r="BZ28" i="28"/>
  <c r="BC28" i="28"/>
  <c r="BG28" i="28"/>
  <c r="BE28" i="28"/>
  <c r="BD28" i="28"/>
  <c r="AG96" i="28"/>
  <c r="AE139" i="28"/>
  <c r="AB47" i="28"/>
  <c r="AT31" i="28" s="1"/>
  <c r="AL31" i="28"/>
  <c r="AF80" i="28"/>
  <c r="AB201" i="28"/>
  <c r="AE204" i="28"/>
  <c r="AC85" i="28"/>
  <c r="AC185" i="28"/>
  <c r="AM24" i="28"/>
  <c r="AB27" i="28"/>
  <c r="AP30" i="28"/>
  <c r="AF28" i="28"/>
  <c r="AO17" i="28"/>
  <c r="AE126" i="28"/>
  <c r="AB128" i="28"/>
  <c r="AB45" i="28"/>
  <c r="AE108" i="28"/>
  <c r="AE34" i="28"/>
  <c r="AC99" i="28"/>
  <c r="AG177" i="28"/>
  <c r="AD155" i="28"/>
  <c r="AG95" i="28"/>
  <c r="AD110" i="28"/>
  <c r="AC21" i="28"/>
  <c r="AB56" i="28"/>
  <c r="AL12" i="28"/>
  <c r="AB157" i="28"/>
  <c r="W21" i="25"/>
  <c r="V22" i="25"/>
  <c r="AB197" i="28"/>
  <c r="AB67" i="28"/>
  <c r="AE50" i="28"/>
  <c r="AB68" i="28"/>
  <c r="AB106" i="25"/>
  <c r="AA107" i="25"/>
  <c r="AL106" i="25"/>
  <c r="AG106" i="25"/>
  <c r="AH106" i="25" s="1"/>
  <c r="AE161" i="28"/>
  <c r="AF51" i="28"/>
  <c r="AF176" i="28"/>
  <c r="AB101" i="28"/>
  <c r="AD71" i="28"/>
  <c r="AN35" i="28"/>
  <c r="AD86" i="28"/>
  <c r="AO26" i="28"/>
  <c r="AE196" i="28"/>
  <c r="AC137" i="28"/>
  <c r="AC40" i="28"/>
  <c r="AB184" i="28"/>
  <c r="AF33" i="28"/>
  <c r="AC97" i="28"/>
  <c r="AK40" i="28"/>
  <c r="AA149" i="28"/>
  <c r="AS40" i="28" s="1"/>
  <c r="AB58" i="28"/>
  <c r="AE61" i="28"/>
  <c r="AP46" i="28"/>
  <c r="AF200" i="28"/>
  <c r="AB102" i="28"/>
  <c r="AC20" i="28"/>
  <c r="AK29" i="28"/>
  <c r="AA15" i="28"/>
  <c r="AS29" i="28" s="1"/>
  <c r="AE91" i="28"/>
  <c r="AG26" i="28"/>
  <c r="AP13" i="28"/>
  <c r="AF75" i="28"/>
  <c r="AG9" i="28"/>
  <c r="AC18" i="28"/>
  <c r="AE206" i="28"/>
  <c r="AF151" i="28"/>
  <c r="AB202" i="28"/>
  <c r="AA52" i="28"/>
  <c r="AS32" i="28" s="1"/>
  <c r="AK32" i="28"/>
  <c r="AE55" i="28"/>
  <c r="AD186" i="28"/>
  <c r="AN10" i="28"/>
  <c r="AD32" i="28"/>
  <c r="AF148" i="28"/>
  <c r="AE152" i="28"/>
  <c r="AP38" i="28"/>
  <c r="AF131" i="28"/>
  <c r="AG189" i="28"/>
  <c r="AF210" i="28"/>
  <c r="AC114" i="28"/>
  <c r="AB92" i="28"/>
  <c r="AO44" i="28"/>
  <c r="AE187" i="28"/>
  <c r="AC103" i="28"/>
  <c r="AE181" i="28"/>
  <c r="AQ22" i="28"/>
  <c r="AG171" i="28"/>
  <c r="AY22" i="28" s="1"/>
  <c r="AG74" i="28"/>
  <c r="AD160" i="28"/>
  <c r="AO27" i="28"/>
  <c r="AE205" i="28"/>
  <c r="AC76" i="28"/>
  <c r="AM28" i="28"/>
  <c r="AC212" i="28"/>
  <c r="AU28" i="28" s="1"/>
  <c r="AD96" i="28"/>
  <c r="AC173" i="28"/>
  <c r="AB64" i="28"/>
  <c r="BE31" i="28"/>
  <c r="BF31" i="28"/>
  <c r="BD31" i="28"/>
  <c r="BZ31" i="28"/>
  <c r="BB31" i="28"/>
  <c r="BG31" i="28"/>
  <c r="BC31" i="28"/>
  <c r="BA31" i="28"/>
  <c r="AE201" i="28"/>
  <c r="AQ24" i="28"/>
  <c r="AG185" i="28"/>
  <c r="AY24" i="28" s="1"/>
  <c r="AK30" i="28"/>
  <c r="AA28" i="28"/>
  <c r="AS30" i="28" s="1"/>
  <c r="AL17" i="28"/>
  <c r="AB126" i="28"/>
  <c r="AE128" i="28"/>
  <c r="AB179" i="28"/>
  <c r="AE45" i="28"/>
  <c r="AF108" i="28"/>
  <c r="AC60" i="28"/>
  <c r="AF211" i="28"/>
  <c r="AG99" i="28"/>
  <c r="AB155" i="28"/>
  <c r="AE39" i="28"/>
  <c r="AE95" i="28"/>
  <c r="AC110" i="28"/>
  <c r="AD183" i="28"/>
  <c r="AG56" i="28"/>
  <c r="AQ12" i="28"/>
  <c r="AC157" i="28"/>
  <c r="AB166" i="28"/>
  <c r="AE197" i="28"/>
  <c r="AG67" i="28"/>
  <c r="AC50" i="28"/>
  <c r="AG68" i="28"/>
  <c r="P105" i="25"/>
  <c r="AE123" i="28"/>
  <c r="AB51" i="28"/>
  <c r="AB192" i="28"/>
  <c r="AT25" i="28" s="1"/>
  <c r="AL25" i="28"/>
  <c r="AG109" i="28"/>
  <c r="AD164" i="28"/>
  <c r="AC195" i="28"/>
  <c r="AC144" i="28"/>
  <c r="BZ43" i="28"/>
  <c r="BA43" i="28"/>
  <c r="AB31" i="28"/>
  <c r="AF172" i="28"/>
  <c r="AC198" i="28"/>
  <c r="AC107" i="28"/>
  <c r="AC87" i="28"/>
  <c r="AD127" i="28"/>
  <c r="AB37" i="28"/>
  <c r="AG125" i="28"/>
  <c r="AF41" i="28"/>
  <c r="AC188" i="28"/>
  <c r="AK33" i="28"/>
  <c r="AA65" i="28"/>
  <c r="AS33" i="28" s="1"/>
  <c r="AC104" i="28"/>
  <c r="AM36" i="28"/>
  <c r="AF120" i="28"/>
  <c r="AM47" i="28"/>
  <c r="AC208" i="28"/>
  <c r="L14" i="18"/>
  <c r="K15" i="18"/>
  <c r="AG216" i="28"/>
  <c r="AF140" i="28"/>
  <c r="AP34" i="28"/>
  <c r="AF78" i="28"/>
  <c r="AB42" i="28"/>
  <c r="AF19" i="28"/>
  <c r="AG69" i="28"/>
  <c r="AD130" i="28"/>
  <c r="AM20" i="28"/>
  <c r="AC154" i="28"/>
  <c r="AU20" i="28" s="1"/>
  <c r="AB83" i="28"/>
  <c r="AD38" i="28"/>
  <c r="AG129" i="28"/>
  <c r="AG93" i="28"/>
  <c r="AE22" i="28"/>
  <c r="AM9" i="28"/>
  <c r="AC24" i="28"/>
  <c r="AE66" i="28"/>
  <c r="AG215" i="28"/>
  <c r="AE13" i="28"/>
  <c r="AB147" i="28"/>
  <c r="AG72" i="28"/>
  <c r="AE25" i="28"/>
  <c r="AF180" i="28"/>
  <c r="AP23" i="28"/>
  <c r="AB105" i="28"/>
  <c r="AE54" i="28"/>
  <c r="AD135" i="28"/>
  <c r="BZ42" i="28"/>
  <c r="AP18" i="28"/>
  <c r="AF138" i="28"/>
  <c r="AG134" i="28"/>
  <c r="AE191" i="28"/>
  <c r="AQ14" i="28"/>
  <c r="AG82" i="28"/>
  <c r="AN39" i="28"/>
  <c r="AD141" i="28"/>
  <c r="AM48" i="28"/>
  <c r="AC213" i="28"/>
  <c r="AL15" i="28"/>
  <c r="AB94" i="28"/>
  <c r="AE57" i="28"/>
  <c r="AC12" i="28"/>
  <c r="AC178" i="28"/>
  <c r="AD153" i="28"/>
  <c r="AE124" i="28"/>
  <c r="BZ19" i="28"/>
  <c r="AM21" i="28"/>
  <c r="AC162" i="28"/>
  <c r="AC142" i="28"/>
  <c r="AC48" i="28"/>
  <c r="AM11" i="28"/>
  <c r="AB116" i="28"/>
  <c r="AD170" i="28"/>
  <c r="AO45" i="28"/>
  <c r="AE194" i="28"/>
  <c r="AC16" i="28"/>
  <c r="AD168" i="28"/>
  <c r="AQ16" i="28"/>
  <c r="AG113" i="28"/>
  <c r="AB29" i="28"/>
  <c r="AG146" i="28"/>
  <c r="AE193" i="28"/>
  <c r="AG89" i="28"/>
  <c r="AE77" i="28"/>
  <c r="AF53" i="28"/>
  <c r="AF106" i="28"/>
  <c r="AF119" i="28"/>
  <c r="AD11" i="28"/>
  <c r="AB199" i="28"/>
  <c r="AC122" i="28"/>
  <c r="AC112" i="28"/>
  <c r="AE84" i="28"/>
  <c r="AF190" i="28"/>
  <c r="AG207" i="28"/>
  <c r="AC63" i="28"/>
  <c r="AP41" i="28"/>
  <c r="AF156" i="28"/>
  <c r="AF150" i="28"/>
  <c r="AC117" i="28"/>
  <c r="AE159" i="28"/>
  <c r="AM37" i="28"/>
  <c r="AC121" i="28"/>
  <c r="BZ35" i="28"/>
  <c r="BA35" i="28"/>
  <c r="AM26" i="28"/>
  <c r="AC196" i="28"/>
  <c r="AF137" i="28"/>
  <c r="AF79" i="28"/>
  <c r="AB88" i="28"/>
  <c r="AG184" i="28"/>
  <c r="AD33" i="28"/>
  <c r="AD97" i="28"/>
  <c r="AC158" i="28"/>
  <c r="AM40" i="28"/>
  <c r="AC149" i="28"/>
  <c r="AE58" i="28"/>
  <c r="AF61" i="28"/>
  <c r="AN46" i="28"/>
  <c r="AD200" i="28"/>
  <c r="AF43" i="28"/>
  <c r="AG102" i="28"/>
  <c r="AP29" i="28"/>
  <c r="AF15" i="28"/>
  <c r="AC91" i="28"/>
  <c r="AM13" i="28"/>
  <c r="AC75" i="28"/>
  <c r="AF9" i="28"/>
  <c r="AC206" i="28"/>
  <c r="AE151" i="28"/>
  <c r="AN32" i="28"/>
  <c r="AD52" i="28"/>
  <c r="AE118" i="28"/>
  <c r="AF55" i="28"/>
  <c r="AK10" i="28"/>
  <c r="AA32" i="28"/>
  <c r="AS10" i="28" s="1"/>
  <c r="AB148" i="28"/>
  <c r="AB152" i="28"/>
  <c r="BZ17" i="28"/>
  <c r="BA17" i="28"/>
  <c r="AC128" i="28"/>
  <c r="AE179" i="28"/>
  <c r="AF45" i="28"/>
  <c r="AB34" i="28"/>
  <c r="AG211" i="28"/>
  <c r="AE99" i="28"/>
  <c r="AD177" i="28"/>
  <c r="AF155" i="28"/>
  <c r="AC39" i="28"/>
  <c r="AD21" i="28"/>
  <c r="AC183" i="28"/>
  <c r="BZ12" i="28"/>
  <c r="AF157" i="28"/>
  <c r="AG166" i="28"/>
  <c r="AF197" i="28"/>
  <c r="AD67" i="28"/>
  <c r="AG50" i="28"/>
  <c r="AE68" i="28"/>
  <c r="AB161" i="28"/>
  <c r="AC123" i="28"/>
  <c r="AE51" i="28"/>
  <c r="AD192" i="28"/>
  <c r="AN25" i="28"/>
  <c r="AE109" i="28"/>
  <c r="AB164" i="28"/>
  <c r="AF195" i="28"/>
  <c r="AE144" i="28"/>
  <c r="AF214" i="28"/>
  <c r="AB182" i="28"/>
  <c r="AT43" i="28" s="1"/>
  <c r="BB43" i="28" s="1"/>
  <c r="AL43" i="28"/>
  <c r="AE31" i="28"/>
  <c r="AC172" i="28"/>
  <c r="AG198" i="28"/>
  <c r="AG107" i="28"/>
  <c r="AG87" i="28"/>
  <c r="AF23" i="28"/>
  <c r="AB62" i="28"/>
  <c r="AE37" i="28"/>
  <c r="AE125" i="28"/>
  <c r="AB41" i="28"/>
  <c r="S8" i="28"/>
  <c r="V8" i="28"/>
  <c r="U8" i="28"/>
  <c r="X8" i="28"/>
  <c r="W8" i="28"/>
  <c r="Y8" i="28"/>
  <c r="T8" i="28"/>
  <c r="AJ8" i="28"/>
  <c r="AL33" i="28"/>
  <c r="AB65" i="28"/>
  <c r="AQ36" i="28"/>
  <c r="AG104" i="28"/>
  <c r="AE120" i="28"/>
  <c r="AQ47" i="28"/>
  <c r="AG208" i="28"/>
  <c r="AB132" i="28"/>
  <c r="AC140" i="28"/>
  <c r="AE17" i="28"/>
  <c r="AM34" i="28"/>
  <c r="AC78" i="28"/>
  <c r="AF42" i="28"/>
  <c r="AD19" i="28"/>
  <c r="AD69" i="28"/>
  <c r="AC130" i="28"/>
  <c r="AQ20" i="28"/>
  <c r="AG154" i="28"/>
  <c r="AY20" i="28" s="1"/>
  <c r="AC83" i="28"/>
  <c r="AB115" i="28"/>
  <c r="AB129" i="28"/>
  <c r="AC93" i="28"/>
  <c r="AE14" i="28"/>
  <c r="AB22" i="28"/>
  <c r="AL9" i="28"/>
  <c r="AB24" i="28"/>
  <c r="AD66" i="28"/>
  <c r="AD215" i="28"/>
  <c r="AB73" i="28"/>
  <c r="AE147" i="28"/>
  <c r="AC72" i="28"/>
  <c r="AF25" i="28"/>
  <c r="AF209" i="28"/>
  <c r="AD180" i="28"/>
  <c r="AN23" i="28"/>
  <c r="AF105" i="28"/>
  <c r="AC54" i="28"/>
  <c r="H20" i="18"/>
  <c r="I20" i="18" s="1"/>
  <c r="G21" i="18"/>
  <c r="AM42" i="28"/>
  <c r="AC174" i="28"/>
  <c r="AB10" i="28"/>
  <c r="AN18" i="28"/>
  <c r="AD138" i="28"/>
  <c r="AF134" i="28"/>
  <c r="AC191" i="28"/>
  <c r="AM14" i="28"/>
  <c r="AC82" i="28"/>
  <c r="BZ39" i="28"/>
  <c r="AP48" i="28"/>
  <c r="AF213" i="28"/>
  <c r="AD98" i="28"/>
  <c r="AN15" i="28"/>
  <c r="AD94" i="28"/>
  <c r="AE100" i="28"/>
  <c r="AD30" i="28"/>
  <c r="AF59" i="28"/>
  <c r="AF12" i="28"/>
  <c r="AG35" i="28"/>
  <c r="AE178" i="28"/>
  <c r="AE153" i="28"/>
  <c r="AF124" i="28"/>
  <c r="AD145" i="28"/>
  <c r="AN19" i="28"/>
  <c r="AQ21" i="28"/>
  <c r="AG162" i="28"/>
  <c r="AD142" i="28"/>
  <c r="BZ11" i="28"/>
  <c r="AE175" i="28"/>
  <c r="AF116" i="28"/>
  <c r="AA194" i="28"/>
  <c r="AS45" i="28" s="1"/>
  <c r="AK45" i="28"/>
  <c r="BA45" i="28" s="1"/>
  <c r="AB16" i="28"/>
  <c r="AA113" i="28"/>
  <c r="AS16" i="28" s="1"/>
  <c r="AK16" i="28"/>
  <c r="AD29" i="28"/>
  <c r="AF146" i="28"/>
  <c r="AD193" i="28"/>
  <c r="AE89" i="28"/>
  <c r="AC143" i="28"/>
  <c r="AD106" i="28"/>
  <c r="AC203" i="28"/>
  <c r="AB119" i="28"/>
  <c r="AD122" i="28"/>
  <c r="AF165" i="28"/>
  <c r="AE190" i="28"/>
  <c r="AF44" i="28"/>
  <c r="AE63" i="28"/>
  <c r="BZ41" i="28"/>
  <c r="AD150" i="28"/>
  <c r="AB169" i="28"/>
  <c r="AE46" i="28"/>
  <c r="AG159" i="28"/>
  <c r="AN37" i="28"/>
  <c r="AD121" i="28"/>
  <c r="BZ38" i="28"/>
  <c r="BA38" i="28"/>
  <c r="AD210" i="28"/>
  <c r="AE36" i="28"/>
  <c r="AF92" i="28"/>
  <c r="AB90" i="28"/>
  <c r="AL44" i="28"/>
  <c r="AB187" i="28"/>
  <c r="AB103" i="28"/>
  <c r="AP22" i="28"/>
  <c r="AF171" i="28"/>
  <c r="AX22" i="28" s="1"/>
  <c r="AD74" i="28"/>
  <c r="AN27" i="28"/>
  <c r="AD205" i="28"/>
  <c r="AV27" i="28" s="1"/>
  <c r="BD27" i="28" s="1"/>
  <c r="AE212" i="28"/>
  <c r="AW28" i="28" s="1"/>
  <c r="AO28" i="28"/>
  <c r="AC96" i="28"/>
  <c r="AB139" i="28"/>
  <c r="AA47" i="28"/>
  <c r="AS31" i="28" s="1"/>
  <c r="AK31" i="28"/>
  <c r="AE80" i="28"/>
  <c r="AC201" i="28"/>
  <c r="AB85" i="28"/>
  <c r="AP24" i="28"/>
  <c r="AF185" i="28"/>
  <c r="AE70" i="28"/>
  <c r="AG27" i="28"/>
  <c r="AG28" i="28"/>
  <c r="AQ30" i="28"/>
  <c r="AF71" i="28"/>
  <c r="AQ35" i="28"/>
  <c r="AG86" i="28"/>
  <c r="AP26" i="28"/>
  <c r="AF196" i="28"/>
  <c r="AX26" i="28" s="1"/>
  <c r="AD137" i="28"/>
  <c r="AB40" i="28"/>
  <c r="AE88" i="28"/>
  <c r="AD184" i="28"/>
  <c r="AB33" i="28"/>
  <c r="AG97" i="28"/>
  <c r="AB158" i="28"/>
  <c r="AQ40" i="28"/>
  <c r="AG149" i="28"/>
  <c r="AG58" i="28"/>
  <c r="AB200" i="28"/>
  <c r="AL46" i="28"/>
  <c r="AG167" i="28"/>
  <c r="AG43" i="28"/>
  <c r="AG20" i="28"/>
  <c r="AM29" i="28"/>
  <c r="AC15" i="28"/>
  <c r="AB91" i="28"/>
  <c r="AF26" i="28"/>
  <c r="AL13" i="28"/>
  <c r="AB75" i="28"/>
  <c r="AD9" i="28"/>
  <c r="AG18" i="28"/>
  <c r="AF202" i="28"/>
  <c r="AP32" i="28"/>
  <c r="AF52" i="28"/>
  <c r="AX32" i="28" s="1"/>
  <c r="AB118" i="28"/>
  <c r="AF186" i="28"/>
  <c r="BZ10" i="28"/>
  <c r="BA10" i="28"/>
  <c r="AG148" i="28"/>
  <c r="AF152" i="28"/>
  <c r="AG131" i="28"/>
  <c r="AQ38" i="28"/>
  <c r="AB189" i="28"/>
  <c r="AB114" i="28"/>
  <c r="AD36" i="28"/>
  <c r="AG92" i="28"/>
  <c r="AF90" i="28"/>
  <c r="BZ44" i="28"/>
  <c r="BA44" i="28"/>
  <c r="AG103" i="28"/>
  <c r="AF181" i="28"/>
  <c r="AN22" i="28"/>
  <c r="AD171" i="28"/>
  <c r="AL27" i="28"/>
  <c r="AB205" i="28"/>
  <c r="AB76" i="28"/>
  <c r="AP28" i="28"/>
  <c r="AF212" i="28"/>
  <c r="AX28" i="28" s="1"/>
  <c r="AF173" i="28"/>
  <c r="AD139" i="28"/>
  <c r="AE64" i="28"/>
  <c r="AC47" i="28"/>
  <c r="AU31" i="28" s="1"/>
  <c r="AM31" i="28"/>
  <c r="AC80" i="28"/>
  <c r="AF204" i="28"/>
  <c r="AK24" i="28"/>
  <c r="AA185" i="28"/>
  <c r="AS24" i="28" s="1"/>
  <c r="AF70" i="28"/>
  <c r="AF27" i="28"/>
  <c r="BA30" i="28"/>
  <c r="BZ30" i="28"/>
  <c r="AC126" i="28"/>
  <c r="AM17" i="28"/>
  <c r="AG128" i="28"/>
  <c r="AG179" i="28"/>
  <c r="AD45" i="28"/>
  <c r="AD60" i="28"/>
  <c r="AD34" i="28"/>
  <c r="AC211" i="28"/>
  <c r="AF177" i="28"/>
  <c r="AG39" i="28"/>
  <c r="AB110" i="28"/>
  <c r="AE21" i="28"/>
  <c r="AF183" i="28"/>
  <c r="AK12" i="28"/>
  <c r="AA56" i="28"/>
  <c r="AS12" i="28" s="1"/>
  <c r="AG157" i="28"/>
  <c r="AG197" i="28"/>
  <c r="AC67" i="28"/>
  <c r="AD50" i="28"/>
  <c r="AD161" i="28"/>
  <c r="AD123" i="28"/>
  <c r="AG51" i="28"/>
  <c r="AM25" i="28"/>
  <c r="AC192" i="28"/>
  <c r="AU25" i="28" s="1"/>
  <c r="BC25" i="28" s="1"/>
  <c r="AD109" i="28"/>
  <c r="AC164" i="28"/>
  <c r="AF111" i="28"/>
  <c r="AD214" i="28"/>
  <c r="AQ43" i="28"/>
  <c r="AG182" i="28"/>
  <c r="AG31" i="28"/>
  <c r="AB172" i="28"/>
  <c r="AD198" i="28"/>
  <c r="AF107" i="28"/>
  <c r="AF87" i="28"/>
  <c r="AB127" i="28"/>
  <c r="AG62" i="28"/>
  <c r="AG41" i="28"/>
  <c r="H2" i="27"/>
  <c r="AB188" i="28"/>
  <c r="AO33" i="28"/>
  <c r="AE65" i="28"/>
  <c r="AN36" i="28"/>
  <c r="AD104" i="28"/>
  <c r="AB163" i="28"/>
  <c r="AK47" i="28"/>
  <c r="BA47" i="28" s="1"/>
  <c r="AA208" i="28"/>
  <c r="AS47" i="28" s="1"/>
  <c r="AG132" i="28"/>
  <c r="AC216" i="28"/>
  <c r="AD133" i="28"/>
  <c r="AF17" i="28"/>
  <c r="BZ34" i="28"/>
  <c r="BA34" i="28"/>
  <c r="AG42" i="28"/>
  <c r="AC19" i="28"/>
  <c r="AE130" i="28"/>
  <c r="AN20" i="28"/>
  <c r="AD154" i="28"/>
  <c r="AV20" i="28" s="1"/>
  <c r="AF83" i="28"/>
  <c r="AD49" i="28"/>
  <c r="AG115" i="28"/>
  <c r="AD129" i="28"/>
  <c r="AG14" i="28"/>
  <c r="AC22" i="28"/>
  <c r="AF24" i="28"/>
  <c r="AP9" i="28"/>
  <c r="AC13" i="28"/>
  <c r="AD73" i="28"/>
  <c r="AG147" i="28"/>
  <c r="AC25" i="28"/>
  <c r="AD209" i="28"/>
  <c r="AC180" i="28"/>
  <c r="AU23" i="28" s="1"/>
  <c r="AM23" i="28"/>
  <c r="AG105" i="28"/>
  <c r="AF135" i="28"/>
  <c r="AB81" i="28"/>
  <c r="AN42" i="28"/>
  <c r="AD174" i="28"/>
  <c r="AV42" i="28" s="1"/>
  <c r="BD42" i="28" s="1"/>
  <c r="AF10" i="28"/>
  <c r="AE138" i="28"/>
  <c r="AW18" i="28" s="1"/>
  <c r="AO18" i="28"/>
  <c r="AE134" i="28"/>
  <c r="AG191" i="28"/>
  <c r="AB82" i="28"/>
  <c r="AL14" i="28"/>
  <c r="AM39" i="28"/>
  <c r="AC141" i="28"/>
  <c r="AA213" i="28"/>
  <c r="AS48" i="28" s="1"/>
  <c r="AK48" i="28"/>
  <c r="AE98" i="28"/>
  <c r="AK15" i="28"/>
  <c r="AA94" i="28"/>
  <c r="AS15" i="28" s="1"/>
  <c r="AF100" i="28"/>
  <c r="AG57" i="28"/>
  <c r="AE59" i="28"/>
  <c r="AD12" i="28"/>
  <c r="AD35" i="28"/>
  <c r="AB178" i="28"/>
  <c r="AF153" i="28"/>
  <c r="AC124" i="28"/>
  <c r="AA145" i="28"/>
  <c r="AS19" i="28" s="1"/>
  <c r="AK19" i="28"/>
  <c r="AP21" i="28"/>
  <c r="AF162" i="28"/>
  <c r="AN11" i="28"/>
  <c r="AD48" i="28"/>
  <c r="AB136" i="28"/>
  <c r="AF175" i="28"/>
  <c r="AD116" i="28"/>
  <c r="AF170" i="28"/>
  <c r="AM45" i="28"/>
  <c r="AC194" i="28"/>
  <c r="AU45" i="28" s="1"/>
  <c r="AG16" i="28"/>
  <c r="AC168" i="28"/>
  <c r="AN16" i="28"/>
  <c r="AD113" i="28"/>
  <c r="AC29" i="28"/>
  <c r="AB146" i="28"/>
  <c r="AG193" i="28"/>
  <c r="AB53" i="28"/>
  <c r="AF143" i="28"/>
  <c r="AB106" i="28"/>
  <c r="AE203" i="28"/>
  <c r="AG119" i="28"/>
  <c r="AE11" i="28"/>
  <c r="AC199" i="28"/>
  <c r="AB112" i="28"/>
  <c r="AC165" i="28"/>
  <c r="AB84" i="28"/>
  <c r="AB190" i="28"/>
  <c r="AB207" i="28"/>
  <c r="AE44" i="28"/>
  <c r="AD63" i="28"/>
  <c r="AN41" i="28"/>
  <c r="AD156" i="28"/>
  <c r="AG169" i="28"/>
  <c r="AF46" i="28"/>
  <c r="AB121" i="28"/>
  <c r="AL37" i="28"/>
  <c r="BZ15" i="28"/>
  <c r="AB30" i="28"/>
  <c r="AD57" i="28"/>
  <c r="AC59" i="28"/>
  <c r="AB12" i="28"/>
  <c r="AB35" i="28"/>
  <c r="AF178" i="28"/>
  <c r="AC153" i="28"/>
  <c r="AB145" i="28"/>
  <c r="AL19" i="28"/>
  <c r="BZ21" i="28"/>
  <c r="BA21" i="28"/>
  <c r="AB142" i="28"/>
  <c r="AB48" i="28"/>
  <c r="AL11" i="28"/>
  <c r="AD136" i="28"/>
  <c r="AG175" i="28"/>
  <c r="AC170" i="28"/>
  <c r="BZ45" i="28"/>
  <c r="BG45" i="28"/>
  <c r="AE16" i="28"/>
  <c r="AE168" i="28"/>
  <c r="AM16" i="28"/>
  <c r="AC113" i="28"/>
  <c r="S20" i="25"/>
  <c r="AI20" i="25"/>
  <c r="AJ20" i="25" s="1"/>
  <c r="T20" i="25" s="1"/>
  <c r="AF193" i="28"/>
  <c r="AF77" i="28"/>
  <c r="AE53" i="28"/>
  <c r="AD143" i="28"/>
  <c r="AG106" i="28"/>
  <c r="AD203" i="28"/>
  <c r="AE119" i="28"/>
  <c r="AC11" i="28"/>
  <c r="AB122" i="28"/>
  <c r="AG112" i="28"/>
  <c r="AD165" i="28"/>
  <c r="AG84" i="28"/>
  <c r="AC207" i="28"/>
  <c r="AC44" i="28"/>
  <c r="AQ41" i="28"/>
  <c r="AG156" i="28"/>
  <c r="AB150" i="28"/>
  <c r="AD117" i="28"/>
  <c r="AC46" i="28"/>
  <c r="AC159" i="28"/>
  <c r="AQ37" i="28"/>
  <c r="AG121" i="28"/>
  <c r="AE176" i="28"/>
  <c r="AG101" i="28"/>
  <c r="AC71" i="28"/>
  <c r="AD176" i="28"/>
  <c r="AF101" i="28"/>
  <c r="AE71" i="28"/>
  <c r="AB86" i="28"/>
  <c r="AL35" i="28"/>
  <c r="AD196" i="28"/>
  <c r="AN26" i="28"/>
  <c r="AB79" i="28"/>
  <c r="AG40" i="28"/>
  <c r="AC88" i="28"/>
  <c r="AF184" i="28"/>
  <c r="AG33" i="28"/>
  <c r="AE97" i="28"/>
  <c r="AD158" i="28"/>
  <c r="AD149" i="28"/>
  <c r="AV40" i="28" s="1"/>
  <c r="BD40" i="28" s="1"/>
  <c r="AN40" i="28"/>
  <c r="AB61" i="28"/>
  <c r="AK46" i="28"/>
  <c r="AA200" i="28"/>
  <c r="AS46" i="28" s="1"/>
  <c r="BA46" i="28" s="1"/>
  <c r="AC167" i="28"/>
  <c r="AC43" i="28"/>
  <c r="AD102" i="28"/>
  <c r="AE20" i="28"/>
  <c r="BZ47" i="28"/>
  <c r="AF132" i="28"/>
  <c r="AF133" i="28"/>
  <c r="AD17" i="28"/>
  <c r="AN34" i="28"/>
  <c r="AD78" i="28"/>
  <c r="AD42" i="28"/>
  <c r="AG19" i="28"/>
  <c r="AE69" i="28"/>
  <c r="AF130" i="28"/>
  <c r="AE154" i="28"/>
  <c r="AW20" i="28" s="1"/>
  <c r="BE20" i="28" s="1"/>
  <c r="AO20" i="28"/>
  <c r="AB38" i="28"/>
  <c r="AC49" i="28"/>
  <c r="AC115" i="28"/>
  <c r="AC129" i="28"/>
  <c r="AE93" i="28"/>
  <c r="AC14" i="28"/>
  <c r="AF22" i="28"/>
  <c r="BZ9" i="28"/>
  <c r="AF215" i="28"/>
  <c r="AF147" i="28"/>
  <c r="AB72" i="28"/>
  <c r="AG25" i="28"/>
  <c r="AC209" i="28"/>
  <c r="BC23" i="28"/>
  <c r="BZ23" i="28"/>
  <c r="BA23" i="28"/>
  <c r="AD54" i="28"/>
  <c r="AC135" i="28"/>
  <c r="AF81" i="28"/>
  <c r="AF174" i="28"/>
  <c r="AP42" i="28"/>
  <c r="AG10" i="28"/>
  <c r="AK18" i="28"/>
  <c r="AA138" i="28"/>
  <c r="AS18" i="28" s="1"/>
  <c r="BA18" i="28" s="1"/>
  <c r="AB134" i="28"/>
  <c r="AD191" i="28"/>
  <c r="AK14" i="28"/>
  <c r="AA82" i="28"/>
  <c r="AS14" i="28" s="1"/>
  <c r="BA14" i="28" s="1"/>
  <c r="AK39" i="28"/>
  <c r="BA39" i="28" s="1"/>
  <c r="AA141" i="28"/>
  <c r="AS39" i="28" s="1"/>
  <c r="AL48" i="28"/>
  <c r="AB213" i="28"/>
  <c r="AT48" i="28" s="1"/>
  <c r="BB48" i="28" s="1"/>
  <c r="AC98" i="28"/>
  <c r="AB176" i="28"/>
  <c r="AC101" i="28"/>
  <c r="AO35" i="28"/>
  <c r="AE86" i="28"/>
  <c r="AL26" i="28"/>
  <c r="AB196" i="28"/>
  <c r="AE137" i="28"/>
  <c r="AE79" i="28"/>
  <c r="AE40" i="28"/>
  <c r="AG88" i="28"/>
  <c r="AE33" i="28"/>
  <c r="AL40" i="28"/>
  <c r="AB149" i="28"/>
  <c r="AF58" i="28"/>
  <c r="AG61" i="28"/>
  <c r="AQ46" i="28"/>
  <c r="AG200" i="28"/>
  <c r="AF167" i="28"/>
  <c r="AB43" i="28"/>
  <c r="AC102" i="28"/>
  <c r="AF20" i="28"/>
  <c r="AN29" i="28"/>
  <c r="AD15" i="28"/>
  <c r="AF91" i="28"/>
  <c r="AO13" i="28"/>
  <c r="AE75" i="28"/>
  <c r="AW13" i="28" s="1"/>
  <c r="AC9" i="28"/>
  <c r="AF206" i="28"/>
  <c r="AC202" i="28"/>
  <c r="BA32" i="28"/>
  <c r="BZ32" i="28"/>
  <c r="AF118" i="28"/>
  <c r="AC55" i="28"/>
  <c r="AC186" i="28"/>
  <c r="AP10" i="28"/>
  <c r="AF32" i="28"/>
  <c r="AE131" i="28"/>
  <c r="AO38" i="28"/>
  <c r="AE189" i="28"/>
  <c r="AE210" i="28"/>
  <c r="AF114" i="28"/>
  <c r="AG36" i="28"/>
  <c r="AD92" i="28"/>
  <c r="AC90" i="28"/>
  <c r="AP44" i="28"/>
  <c r="AF187" i="28"/>
  <c r="AX44" i="28" s="1"/>
  <c r="AL22" i="28"/>
  <c r="AB171" i="28"/>
  <c r="AE74" i="28"/>
  <c r="AE160" i="28"/>
  <c r="AP27" i="28"/>
  <c r="AF205" i="28"/>
  <c r="AQ28" i="28"/>
  <c r="AG212" i="28"/>
  <c r="AY28" i="28" s="1"/>
  <c r="AF96" i="28"/>
  <c r="AE173" i="28"/>
  <c r="AF64" i="28"/>
  <c r="AQ31" i="28"/>
  <c r="AG47" i="28"/>
  <c r="AY31" i="28" s="1"/>
  <c r="AB80" i="28"/>
  <c r="AF201" i="28"/>
  <c r="AD204" i="28"/>
  <c r="AD85" i="28"/>
  <c r="AN24" i="28"/>
  <c r="AD185" i="28"/>
  <c r="AV24" i="28" s="1"/>
  <c r="AB70" i="28"/>
  <c r="AD27" i="28"/>
  <c r="AO30" i="28"/>
  <c r="AE28" i="28"/>
  <c r="AQ17" i="28"/>
  <c r="AG126" i="28"/>
  <c r="AG45" i="28"/>
  <c r="AG108" i="28"/>
  <c r="AB60" i="28"/>
  <c r="AF34" i="28"/>
  <c r="AD211" i="28"/>
  <c r="AF99" i="28"/>
  <c r="AC177" i="28"/>
  <c r="AB39" i="28"/>
  <c r="AD95" i="28"/>
  <c r="AB21" i="28"/>
  <c r="AG183" i="28"/>
  <c r="AP12" i="28"/>
  <c r="AF56" i="28"/>
  <c r="AD157" i="28"/>
  <c r="AD166" i="28"/>
  <c r="AC197" i="28"/>
  <c r="AE67" i="28"/>
  <c r="AD68" i="28"/>
  <c r="AC161" i="28"/>
  <c r="AG123" i="28"/>
  <c r="AP25" i="28"/>
  <c r="AF192" i="28"/>
  <c r="AX25" i="28" s="1"/>
  <c r="AF109" i="28"/>
  <c r="AB195" i="28"/>
  <c r="AF144" i="28"/>
  <c r="AG111" i="28"/>
  <c r="AB214" i="28"/>
  <c r="AO43" i="28"/>
  <c r="AE182" i="28"/>
  <c r="AW43" i="28" s="1"/>
  <c r="AE172" i="28"/>
  <c r="AE198" i="28"/>
  <c r="AD87" i="28"/>
  <c r="AG23" i="28"/>
  <c r="AG127" i="28"/>
  <c r="AE62" i="28"/>
  <c r="AC37" i="28"/>
  <c r="AF125" i="28"/>
  <c r="BA33" i="28"/>
  <c r="BZ33" i="28"/>
  <c r="AK36" i="28"/>
  <c r="AA104" i="28"/>
  <c r="AS36" i="28" s="1"/>
  <c r="BA36" i="28" s="1"/>
  <c r="AG163" i="28"/>
  <c r="AO47" i="28"/>
  <c r="AE208" i="28"/>
  <c r="AD132" i="28"/>
  <c r="AD216" i="28"/>
  <c r="AG140" i="28"/>
  <c r="AC133" i="28"/>
  <c r="AG17" i="28"/>
  <c r="AL34" i="28"/>
  <c r="AB78" i="28"/>
  <c r="AE42" i="28"/>
  <c r="AE19" i="28"/>
  <c r="AC69" i="28"/>
  <c r="AL20" i="28"/>
  <c r="AB154" i="28"/>
  <c r="AC38" i="28"/>
  <c r="AF49" i="28"/>
  <c r="AF129" i="28"/>
  <c r="AF93" i="28"/>
  <c r="AD14" i="28"/>
  <c r="AE24" i="28"/>
  <c r="AO9" i="28"/>
  <c r="AF66" i="28"/>
  <c r="AC215" i="28"/>
  <c r="AF13" i="28"/>
  <c r="AE73" i="28"/>
  <c r="AD147" i="28"/>
  <c r="AF72" i="28"/>
  <c r="AD25" i="28"/>
  <c r="AL23" i="28"/>
  <c r="AB180" i="28"/>
  <c r="AT23" i="28" s="1"/>
  <c r="BB23" i="28" s="1"/>
  <c r="AD105" i="28"/>
  <c r="AB54" i="28"/>
  <c r="AG81" i="28"/>
  <c r="AL42" i="28"/>
  <c r="AB174" i="28"/>
  <c r="AE10" i="28"/>
  <c r="AB138" i="28"/>
  <c r="AT18" i="28" s="1"/>
  <c r="AL18" i="28"/>
  <c r="AP14" i="28"/>
  <c r="AF82" i="28"/>
  <c r="AP39" i="28"/>
  <c r="AF141" i="28"/>
  <c r="AE213" i="28"/>
  <c r="AW48" i="28" s="1"/>
  <c r="BE48" i="28" s="1"/>
  <c r="AO48" i="28"/>
  <c r="AO15" i="28"/>
  <c r="AE94" i="28"/>
  <c r="AW15" i="28" s="1"/>
  <c r="BE15" i="28" s="1"/>
  <c r="AD100" i="28"/>
  <c r="AE30" i="28"/>
  <c r="AB59" i="28"/>
  <c r="AG12" i="28"/>
  <c r="AE35" i="28"/>
  <c r="AD178" i="28"/>
  <c r="AO19" i="28"/>
  <c r="AE145" i="28"/>
  <c r="AL21" i="28"/>
  <c r="AB162" i="28"/>
  <c r="AE142" i="28"/>
  <c r="AQ11" i="28"/>
  <c r="AG48" i="28"/>
  <c r="AY11" i="28" s="1"/>
  <c r="AF136" i="28"/>
  <c r="AD175" i="28"/>
  <c r="AC116" i="28"/>
  <c r="AB170" i="28"/>
  <c r="AD194" i="28"/>
  <c r="AV45" i="28" s="1"/>
  <c r="BD45" i="28" s="1"/>
  <c r="AN45" i="28"/>
  <c r="AL16" i="28"/>
  <c r="AB113" i="28"/>
  <c r="AG29" i="28"/>
  <c r="P20" i="25"/>
  <c r="AC20" i="25"/>
  <c r="AD20" i="25" s="1"/>
  <c r="Q20" i="25" s="1"/>
  <c r="AD146" i="28"/>
  <c r="AF89" i="28"/>
  <c r="AC77" i="28"/>
  <c r="AG53" i="28"/>
  <c r="AB143" i="28"/>
  <c r="AE106" i="28"/>
  <c r="AF203" i="28"/>
  <c r="AG199" i="28"/>
  <c r="AF122" i="28"/>
  <c r="AF112" i="28"/>
  <c r="AB165" i="28"/>
  <c r="AC84" i="28"/>
  <c r="AG190" i="28"/>
  <c r="AF207" i="28"/>
  <c r="AL41" i="28"/>
  <c r="AB156" i="28"/>
  <c r="AT41" i="28" s="1"/>
  <c r="BB41" i="28" s="1"/>
  <c r="AC150" i="28"/>
  <c r="AE117" i="28"/>
  <c r="AC169" i="28"/>
  <c r="AB46" i="28"/>
  <c r="AF159" i="28"/>
  <c r="AO37" i="28"/>
  <c r="AE121" i="28"/>
  <c r="AW37" i="28" s="1"/>
  <c r="BA26" i="28"/>
  <c r="BZ26" i="28"/>
  <c r="AD79" i="28"/>
  <c r="AF88" i="28"/>
  <c r="AC184" i="28"/>
  <c r="AF158" i="28"/>
  <c r="BZ22" i="28"/>
  <c r="BF22" i="28"/>
  <c r="BA22" i="28"/>
  <c r="BG22" i="28"/>
  <c r="AF74" i="28"/>
  <c r="AF160" i="28"/>
  <c r="BD20" i="28"/>
  <c r="BZ20" i="28"/>
  <c r="BC20" i="28"/>
  <c r="BG20" i="28"/>
  <c r="AD83" i="28"/>
  <c r="AE38" i="28"/>
  <c r="AB49" i="28"/>
  <c r="AE115" i="28"/>
  <c r="AD93" i="28"/>
  <c r="AK9" i="28"/>
  <c r="AA24" i="28"/>
  <c r="AS9" i="28" s="1"/>
  <c r="AC66" i="28"/>
  <c r="AE215" i="28"/>
  <c r="AD13" i="28"/>
  <c r="AF73" i="28"/>
  <c r="AD72" i="28"/>
  <c r="AB209" i="28"/>
  <c r="AQ23" i="28"/>
  <c r="AG180" i="28"/>
  <c r="AY23" i="28" s="1"/>
  <c r="AE105" i="28"/>
  <c r="AG54" i="28"/>
  <c r="AB135" i="28"/>
  <c r="M106" i="25"/>
  <c r="AD81" i="28"/>
  <c r="AQ42" i="28"/>
  <c r="AG174" i="28"/>
  <c r="AY42" i="28" s="1"/>
  <c r="AC10" i="28"/>
  <c r="AQ18" i="28"/>
  <c r="AG138" i="28"/>
  <c r="AY18" i="28" s="1"/>
  <c r="AC134" i="28"/>
  <c r="BZ14" i="28"/>
  <c r="AQ39" i="28"/>
  <c r="AG141" i="28"/>
  <c r="BZ48" i="28"/>
  <c r="BA48" i="28"/>
  <c r="AB98" i="28"/>
  <c r="AP15" i="28"/>
  <c r="AF94" i="28"/>
  <c r="AG100" i="28"/>
  <c r="AF30" i="28"/>
  <c r="AF57" i="28"/>
  <c r="AG59" i="28"/>
  <c r="AE12" i="28"/>
  <c r="AC35" i="28"/>
  <c r="AB153" i="28"/>
  <c r="AB124" i="28"/>
  <c r="AP19" i="28"/>
  <c r="AF145" i="28"/>
  <c r="AN21" i="28"/>
  <c r="AD162" i="28"/>
  <c r="AG142" i="28"/>
  <c r="AA48" i="28"/>
  <c r="AS11" i="28" s="1"/>
  <c r="AK11" i="28"/>
  <c r="AC136" i="28"/>
  <c r="AB175" i="28"/>
  <c r="AG116" i="28"/>
  <c r="AE170" i="28"/>
  <c r="AF194" i="28"/>
  <c r="AX45" i="28" s="1"/>
  <c r="BF45" i="28" s="1"/>
  <c r="AP45" i="28"/>
  <c r="AB168" i="28"/>
  <c r="BZ16" i="28"/>
  <c r="BA16" i="28"/>
  <c r="AF29" i="28"/>
  <c r="AA22" i="25"/>
  <c r="AB21" i="25"/>
  <c r="AG21" i="25"/>
  <c r="AH21" i="25" s="1"/>
  <c r="AD89" i="28"/>
  <c r="AD77" i="28"/>
  <c r="AC53" i="28"/>
  <c r="AG143" i="28"/>
  <c r="AG203" i="28"/>
  <c r="AB11" i="28"/>
  <c r="AD199" i="28"/>
  <c r="AD112" i="28"/>
  <c r="AG165" i="28"/>
  <c r="AF84" i="28"/>
  <c r="AC190" i="28"/>
  <c r="AB44" i="28"/>
  <c r="AB63" i="28"/>
  <c r="AK41" i="28"/>
  <c r="AA156" i="28"/>
  <c r="AS41" i="28" s="1"/>
  <c r="AG150" i="28"/>
  <c r="AG117" i="28"/>
  <c r="AE169" i="28"/>
  <c r="AD46" i="28"/>
  <c r="AD159" i="28"/>
  <c r="AK37" i="28"/>
  <c r="AA121" i="28"/>
  <c r="AS37" i="28" s="1"/>
  <c r="BA9" i="28" l="1"/>
  <c r="BA29" i="28"/>
  <c r="AT26" i="28"/>
  <c r="BB26" i="28" s="1"/>
  <c r="BF32" i="28"/>
  <c r="AW14" i="28"/>
  <c r="BE14" i="28" s="1"/>
  <c r="BA11" i="28"/>
  <c r="AT9" i="28"/>
  <c r="BB9" i="28" s="1"/>
  <c r="AW9" i="28"/>
  <c r="BE9" i="28" s="1"/>
  <c r="AW47" i="28"/>
  <c r="BE47" i="28" s="1"/>
  <c r="AX42" i="28"/>
  <c r="BF42" i="28" s="1"/>
  <c r="BB25" i="28"/>
  <c r="AX24" i="28"/>
  <c r="BF24" i="28" s="1"/>
  <c r="AW38" i="28"/>
  <c r="AT16" i="28"/>
  <c r="BB16" i="28" s="1"/>
  <c r="AY39" i="28"/>
  <c r="BG39" i="28" s="1"/>
  <c r="BG23" i="28"/>
  <c r="AY46" i="28"/>
  <c r="BG46" i="28" s="1"/>
  <c r="AU39" i="28"/>
  <c r="BC39" i="28" s="1"/>
  <c r="AY47" i="28"/>
  <c r="BG47" i="28" s="1"/>
  <c r="BA40" i="28"/>
  <c r="AW19" i="28"/>
  <c r="AX19" i="28"/>
  <c r="BF19" i="28" s="1"/>
  <c r="AT22" i="28"/>
  <c r="BB22" i="28" s="1"/>
  <c r="AY41" i="28"/>
  <c r="BG41" i="28" s="1"/>
  <c r="AT20" i="28"/>
  <c r="BB20" i="28" s="1"/>
  <c r="BA19" i="28"/>
  <c r="BE37" i="28"/>
  <c r="AT19" i="28"/>
  <c r="AV16" i="28"/>
  <c r="BD16" i="28" s="1"/>
  <c r="AX40" i="28"/>
  <c r="BF40" i="28" s="1"/>
  <c r="BF25" i="28"/>
  <c r="AW11" i="28"/>
  <c r="BE11" i="28" s="1"/>
  <c r="BG18" i="28"/>
  <c r="AX39" i="28"/>
  <c r="BF39" i="28" s="1"/>
  <c r="BF26" i="28"/>
  <c r="AW23" i="28"/>
  <c r="BE23" i="28" s="1"/>
  <c r="BA25" i="28"/>
  <c r="AV21" i="28"/>
  <c r="BD21" i="28" s="1"/>
  <c r="AT42" i="28"/>
  <c r="BB42" i="28" s="1"/>
  <c r="BE43" i="28"/>
  <c r="AT40" i="28"/>
  <c r="BB40" i="28" s="1"/>
  <c r="BC45" i="28"/>
  <c r="AY38" i="28"/>
  <c r="BG38" i="28" s="1"/>
  <c r="AX43" i="28"/>
  <c r="BF43" i="28" s="1"/>
  <c r="BA37" i="28"/>
  <c r="AI21" i="25"/>
  <c r="AJ21" i="25" s="1"/>
  <c r="T21" i="25" s="1"/>
  <c r="S21" i="25"/>
  <c r="AW30" i="28"/>
  <c r="BE30" i="28" s="1"/>
  <c r="BE13" i="28"/>
  <c r="AU16" i="28"/>
  <c r="BC16" i="28" s="1"/>
  <c r="AV11" i="28"/>
  <c r="BD11" i="28" s="1"/>
  <c r="AU29" i="28"/>
  <c r="BC29" i="28" s="1"/>
  <c r="AY30" i="28"/>
  <c r="BG30" i="28" s="1"/>
  <c r="AY21" i="28"/>
  <c r="BG21" i="28" s="1"/>
  <c r="AV30" i="28"/>
  <c r="BD30" i="28" s="1"/>
  <c r="AV36" i="28"/>
  <c r="BD36" i="28" s="1"/>
  <c r="AU17" i="28"/>
  <c r="BC17" i="28" s="1"/>
  <c r="AU42" i="28"/>
  <c r="BC42" i="28" s="1"/>
  <c r="AY10" i="28"/>
  <c r="BG10" i="28" s="1"/>
  <c r="BE38" i="28"/>
  <c r="AV26" i="28"/>
  <c r="BD26" i="28" s="1"/>
  <c r="AT11" i="28"/>
  <c r="BB11" i="28" s="1"/>
  <c r="AT37" i="28"/>
  <c r="BB37" i="28" s="1"/>
  <c r="AY40" i="28"/>
  <c r="BG40" i="28" s="1"/>
  <c r="AW17" i="28"/>
  <c r="BE17" i="28" s="1"/>
  <c r="V109" i="25"/>
  <c r="W108" i="25"/>
  <c r="AX27" i="28"/>
  <c r="BF27" i="28" s="1"/>
  <c r="AX9" i="28"/>
  <c r="BF9" i="28" s="1"/>
  <c r="BA24" i="28"/>
  <c r="AT27" i="28"/>
  <c r="BB27" i="28" s="1"/>
  <c r="AT13" i="28"/>
  <c r="BB13" i="28" s="1"/>
  <c r="AW45" i="28"/>
  <c r="BE45" i="28" s="1"/>
  <c r="BG24" i="28"/>
  <c r="BB18" i="28"/>
  <c r="BA41" i="28"/>
  <c r="AX15" i="28"/>
  <c r="BF15" i="28" s="1"/>
  <c r="BG42" i="28"/>
  <c r="AX10" i="28"/>
  <c r="BF10" i="28" s="1"/>
  <c r="AT35" i="28"/>
  <c r="BB35" i="28" s="1"/>
  <c r="AL8" i="28"/>
  <c r="M9" i="28" s="1"/>
  <c r="AB8" i="28"/>
  <c r="AT8" i="28" s="1"/>
  <c r="BB8" i="28" s="1"/>
  <c r="AW36" i="28"/>
  <c r="BE36" i="28" s="1"/>
  <c r="AC21" i="25"/>
  <c r="AD21" i="25" s="1"/>
  <c r="Q21" i="25" s="1"/>
  <c r="P21" i="25"/>
  <c r="AB22" i="25"/>
  <c r="AA23" i="25"/>
  <c r="AG22" i="25"/>
  <c r="AH22" i="25" s="1"/>
  <c r="AT21" i="28"/>
  <c r="BB21" i="28" s="1"/>
  <c r="BG11" i="28"/>
  <c r="BE19" i="28"/>
  <c r="AX14" i="28"/>
  <c r="BF14" i="28" s="1"/>
  <c r="AT34" i="28"/>
  <c r="BB34" i="28" s="1"/>
  <c r="AY17" i="28"/>
  <c r="BG17" i="28" s="1"/>
  <c r="BD24" i="28"/>
  <c r="BF44" i="28"/>
  <c r="AV29" i="28"/>
  <c r="BD29" i="28" s="1"/>
  <c r="AW35" i="28"/>
  <c r="BE35" i="28" s="1"/>
  <c r="BB19" i="28"/>
  <c r="BA15" i="28"/>
  <c r="BE18" i="28"/>
  <c r="BA12" i="28"/>
  <c r="AX38" i="28"/>
  <c r="BF38" i="28" s="1"/>
  <c r="BZ8" i="28"/>
  <c r="AV39" i="28"/>
  <c r="BD39" i="28" s="1"/>
  <c r="AY12" i="28"/>
  <c r="BG12" i="28" s="1"/>
  <c r="CU31" i="28"/>
  <c r="CR31" i="28"/>
  <c r="CS31" i="28"/>
  <c r="CV31" i="28"/>
  <c r="CW31" i="28"/>
  <c r="CT31" i="28"/>
  <c r="AW27" i="28"/>
  <c r="BE27" i="28" s="1"/>
  <c r="AY9" i="28"/>
  <c r="BG9" i="28" s="1"/>
  <c r="AV13" i="28"/>
  <c r="BD13" i="28" s="1"/>
  <c r="AU19" i="28"/>
  <c r="BC19" i="28" s="1"/>
  <c r="AT38" i="28"/>
  <c r="BB38" i="28" s="1"/>
  <c r="AY13" i="28"/>
  <c r="BG13" i="28" s="1"/>
  <c r="AV41" i="28"/>
  <c r="BD41" i="28" s="1"/>
  <c r="AT14" i="28"/>
  <c r="BB14" i="28" s="1"/>
  <c r="AY43" i="28"/>
  <c r="BG43" i="28" s="1"/>
  <c r="AY35" i="28"/>
  <c r="BG35" i="28" s="1"/>
  <c r="AT44" i="28"/>
  <c r="BB44" i="28" s="1"/>
  <c r="AV19" i="28"/>
  <c r="BD19" i="28" s="1"/>
  <c r="AX48" i="28"/>
  <c r="BF48" i="28" s="1"/>
  <c r="AQ8" i="28"/>
  <c r="M13" i="28" s="1"/>
  <c r="AG8" i="28"/>
  <c r="AY8" i="28" s="1"/>
  <c r="BG8" i="28" s="1"/>
  <c r="N13" i="28" s="1"/>
  <c r="AU40" i="28"/>
  <c r="BC40" i="28" s="1"/>
  <c r="AY16" i="28"/>
  <c r="BG16" i="28" s="1"/>
  <c r="AU11" i="28"/>
  <c r="BC11" i="28" s="1"/>
  <c r="AT15" i="28"/>
  <c r="BB15" i="28" s="1"/>
  <c r="AX18" i="28"/>
  <c r="BF18" i="28" s="1"/>
  <c r="AU9" i="28"/>
  <c r="BC9" i="28" s="1"/>
  <c r="AX34" i="28"/>
  <c r="BF34" i="28" s="1"/>
  <c r="L15" i="18"/>
  <c r="M15" i="18" s="1"/>
  <c r="K16" i="18"/>
  <c r="AT17" i="28"/>
  <c r="BB17" i="28" s="1"/>
  <c r="AX13" i="28"/>
  <c r="BF13" i="28" s="1"/>
  <c r="AW26" i="28"/>
  <c r="BE26" i="28" s="1"/>
  <c r="S106" i="25"/>
  <c r="AW21" i="28"/>
  <c r="BE21" i="28" s="1"/>
  <c r="AY48" i="28"/>
  <c r="BG48" i="28" s="1"/>
  <c r="AV47" i="28"/>
  <c r="BD47" i="28" s="1"/>
  <c r="AW41" i="28"/>
  <c r="BE41" i="28" s="1"/>
  <c r="AV14" i="28"/>
  <c r="BD14" i="28" s="1"/>
  <c r="M107" i="25"/>
  <c r="AV43" i="28"/>
  <c r="BD43" i="28" s="1"/>
  <c r="AU12" i="28"/>
  <c r="BC12" i="28" s="1"/>
  <c r="AT30" i="28"/>
  <c r="BB30" i="28" s="1"/>
  <c r="AY34" i="28"/>
  <c r="BG34" i="28" s="1"/>
  <c r="AW12" i="28"/>
  <c r="BE12" i="28" s="1"/>
  <c r="AX12" i="28"/>
  <c r="BF12" i="28" s="1"/>
  <c r="AV34" i="28"/>
  <c r="BD34" i="28" s="1"/>
  <c r="AY37" i="28"/>
  <c r="BG37" i="28" s="1"/>
  <c r="AX21" i="28"/>
  <c r="BF21" i="28" s="1"/>
  <c r="AT46" i="28"/>
  <c r="BB46" i="28" s="1"/>
  <c r="AV18" i="28"/>
  <c r="BD18" i="28" s="1"/>
  <c r="H21" i="18"/>
  <c r="I21" i="18" s="1"/>
  <c r="G22" i="18"/>
  <c r="AV23" i="28"/>
  <c r="BD23" i="28" s="1"/>
  <c r="AY36" i="28"/>
  <c r="BG36" i="28" s="1"/>
  <c r="AO8" i="28"/>
  <c r="M11" i="28" s="1"/>
  <c r="AE8" i="28"/>
  <c r="AW8" i="28" s="1"/>
  <c r="BE8" i="28" s="1"/>
  <c r="N11" i="28" s="1"/>
  <c r="AV25" i="28"/>
  <c r="BD25" i="28" s="1"/>
  <c r="AY14" i="28"/>
  <c r="BG14" i="28" s="1"/>
  <c r="M14" i="18"/>
  <c r="AU36" i="28"/>
  <c r="BC36" i="28" s="1"/>
  <c r="AU24" i="28"/>
  <c r="BC24" i="28" s="1"/>
  <c r="AX37" i="28"/>
  <c r="BF37" i="28" s="1"/>
  <c r="AW32" i="28"/>
  <c r="BE32" i="28" s="1"/>
  <c r="AY26" i="28"/>
  <c r="BG26" i="28" s="1"/>
  <c r="AW16" i="28"/>
  <c r="BE16" i="28" s="1"/>
  <c r="AV9" i="28"/>
  <c r="BD9" i="28" s="1"/>
  <c r="AV12" i="28"/>
  <c r="BD12" i="28" s="1"/>
  <c r="AV17" i="28"/>
  <c r="BD17" i="28" s="1"/>
  <c r="AU10" i="28"/>
  <c r="BC10" i="28" s="1"/>
  <c r="AW33" i="28"/>
  <c r="BE33" i="28" s="1"/>
  <c r="AV15" i="28"/>
  <c r="BD15" i="28" s="1"/>
  <c r="AU34" i="28"/>
  <c r="BC34" i="28" s="1"/>
  <c r="AP8" i="28"/>
  <c r="M12" i="28" s="1"/>
  <c r="AF8" i="28"/>
  <c r="AX8" i="28" s="1"/>
  <c r="AX29" i="28"/>
  <c r="BF29" i="28" s="1"/>
  <c r="AV46" i="28"/>
  <c r="BD46" i="28" s="1"/>
  <c r="AU26" i="28"/>
  <c r="BC26" i="28" s="1"/>
  <c r="AB107" i="25"/>
  <c r="AA108" i="25"/>
  <c r="AL107" i="25"/>
  <c r="AG107" i="25"/>
  <c r="AH107" i="25" s="1"/>
  <c r="AT12" i="28"/>
  <c r="BB12" i="28" s="1"/>
  <c r="AX30" i="28"/>
  <c r="BF30" i="28" s="1"/>
  <c r="AY44" i="28"/>
  <c r="BG44" i="28" s="1"/>
  <c r="AU41" i="28"/>
  <c r="BC41" i="28" s="1"/>
  <c r="AY15" i="28"/>
  <c r="BG15" i="28" s="1"/>
  <c r="AV33" i="28"/>
  <c r="BD33" i="28" s="1"/>
  <c r="AV44" i="28"/>
  <c r="BD44" i="28" s="1"/>
  <c r="AT10" i="28"/>
  <c r="BB10" i="28" s="1"/>
  <c r="AV48" i="28"/>
  <c r="BD48" i="28" s="1"/>
  <c r="AW42" i="28"/>
  <c r="BE42" i="28" s="1"/>
  <c r="AW22" i="28"/>
  <c r="BE22" i="28" s="1"/>
  <c r="AW46" i="28"/>
  <c r="BE46" i="28" s="1"/>
  <c r="AX35" i="28"/>
  <c r="BF35" i="28" s="1"/>
  <c r="W5" i="32"/>
  <c r="V9" i="32"/>
  <c r="V37" i="32"/>
  <c r="V40" i="32"/>
  <c r="V35" i="32"/>
  <c r="V36" i="32"/>
  <c r="V62" i="32"/>
  <c r="V28" i="32"/>
  <c r="V25" i="32"/>
  <c r="V18" i="32"/>
  <c r="V24" i="32"/>
  <c r="V21" i="32"/>
  <c r="V14" i="32"/>
  <c r="V20" i="32"/>
  <c r="V17" i="32"/>
  <c r="V10" i="32"/>
  <c r="V8" i="32"/>
  <c r="V75" i="32"/>
  <c r="V72" i="32"/>
  <c r="V65" i="32"/>
  <c r="V91" i="32"/>
  <c r="V96" i="32"/>
  <c r="V105" i="32"/>
  <c r="V30" i="32"/>
  <c r="V31" i="32"/>
  <c r="V58" i="32"/>
  <c r="V59" i="32"/>
  <c r="V52" i="32"/>
  <c r="V41" i="32"/>
  <c r="V69" i="32"/>
  <c r="V12" i="32"/>
  <c r="V32" i="32"/>
  <c r="V19" i="32"/>
  <c r="V46" i="32"/>
  <c r="V78" i="32"/>
  <c r="V55" i="32"/>
  <c r="V48" i="32"/>
  <c r="V76" i="32"/>
  <c r="V92" i="32"/>
  <c r="V16" i="32"/>
  <c r="V39" i="32"/>
  <c r="V29" i="32"/>
  <c r="V34" i="32"/>
  <c r="V66" i="32"/>
  <c r="V51" i="32"/>
  <c r="V44" i="32"/>
  <c r="V87" i="32"/>
  <c r="V88" i="32"/>
  <c r="V93" i="32"/>
  <c r="V94" i="32"/>
  <c r="V13" i="32"/>
  <c r="V26" i="32"/>
  <c r="V11" i="32"/>
  <c r="V23" i="32"/>
  <c r="V42" i="32"/>
  <c r="V54" i="32"/>
  <c r="V63" i="32"/>
  <c r="V64" i="32"/>
  <c r="V49" i="32"/>
  <c r="V68" i="32"/>
  <c r="V53" i="32"/>
  <c r="V57" i="32"/>
  <c r="V61" i="32"/>
  <c r="V83" i="32"/>
  <c r="V80" i="32"/>
  <c r="V104" i="32"/>
  <c r="V89" i="32"/>
  <c r="V101" i="32"/>
  <c r="V106" i="32"/>
  <c r="V22" i="32"/>
  <c r="V50" i="32"/>
  <c r="V45" i="32"/>
  <c r="V84" i="32"/>
  <c r="V82" i="32"/>
  <c r="V7" i="32"/>
  <c r="V38" i="32"/>
  <c r="V43" i="32"/>
  <c r="V71" i="32"/>
  <c r="V79" i="32"/>
  <c r="V74" i="32"/>
  <c r="V85" i="32"/>
  <c r="V47" i="32"/>
  <c r="V81" i="32"/>
  <c r="V97" i="32"/>
  <c r="V90" i="32"/>
  <c r="V15" i="32"/>
  <c r="V67" i="32"/>
  <c r="V100" i="32"/>
  <c r="V60" i="32"/>
  <c r="V73" i="32"/>
  <c r="V103" i="32"/>
  <c r="V77" i="32"/>
  <c r="V102" i="32"/>
  <c r="V27" i="32"/>
  <c r="V99" i="32"/>
  <c r="V86" i="32"/>
  <c r="V70" i="32"/>
  <c r="V95" i="32"/>
  <c r="V33" i="32"/>
  <c r="V56" i="32"/>
  <c r="V98" i="32"/>
  <c r="AT36" i="28"/>
  <c r="BB36" i="28" s="1"/>
  <c r="AT24" i="28"/>
  <c r="BB24" i="28" s="1"/>
  <c r="AW29" i="28"/>
  <c r="BE29" i="28" s="1"/>
  <c r="AX36" i="28"/>
  <c r="BF36" i="28" s="1"/>
  <c r="AV22" i="28"/>
  <c r="BD22" i="28" s="1"/>
  <c r="AV37" i="28"/>
  <c r="BD37" i="28" s="1"/>
  <c r="AU14" i="28"/>
  <c r="BC14" i="28" s="1"/>
  <c r="AT33" i="28"/>
  <c r="BB33" i="28" s="1"/>
  <c r="AM8" i="28"/>
  <c r="M10" i="28" s="1"/>
  <c r="AC8" i="28"/>
  <c r="AU8" i="28" s="1"/>
  <c r="AU21" i="28"/>
  <c r="BC21" i="28" s="1"/>
  <c r="AU48" i="28"/>
  <c r="BC48" i="28" s="1"/>
  <c r="AX23" i="28"/>
  <c r="BF23" i="28" s="1"/>
  <c r="AU47" i="28"/>
  <c r="BC47" i="28" s="1"/>
  <c r="AW44" i="28"/>
  <c r="BE44" i="28" s="1"/>
  <c r="AV35" i="28"/>
  <c r="BD35" i="28" s="1"/>
  <c r="P106" i="25"/>
  <c r="AU38" i="28"/>
  <c r="BC38" i="28" s="1"/>
  <c r="AW40" i="28"/>
  <c r="BE40" i="28" s="1"/>
  <c r="AX20" i="28"/>
  <c r="BF20" i="28" s="1"/>
  <c r="AW34" i="28"/>
  <c r="BE34" i="28" s="1"/>
  <c r="AW25" i="28"/>
  <c r="BE25" i="28" s="1"/>
  <c r="AW24" i="28"/>
  <c r="BE24" i="28" s="1"/>
  <c r="AT29" i="28"/>
  <c r="BB29" i="28" s="1"/>
  <c r="AT32" i="28"/>
  <c r="BB32" i="28" s="1"/>
  <c r="AU33" i="28"/>
  <c r="BC33" i="28" s="1"/>
  <c r="AD8" i="28"/>
  <c r="AV8" i="28" s="1"/>
  <c r="BD8" i="28" s="1"/>
  <c r="AN8" i="28"/>
  <c r="M14" i="28" s="1"/>
  <c r="AV32" i="28"/>
  <c r="BD32" i="28" s="1"/>
  <c r="W22" i="25"/>
  <c r="V23" i="25"/>
  <c r="AV38" i="28"/>
  <c r="BD38" i="28" s="1"/>
  <c r="AW10" i="28"/>
  <c r="BE10" i="28" s="1"/>
  <c r="AU32" i="28"/>
  <c r="BC32" i="28" s="1"/>
  <c r="AW39" i="28"/>
  <c r="BE39" i="28" s="1"/>
  <c r="AY27" i="28"/>
  <c r="BG27" i="28" s="1"/>
  <c r="AU22" i="28"/>
  <c r="BC22" i="28" s="1"/>
  <c r="AY29" i="28"/>
  <c r="BG29" i="28" s="1"/>
  <c r="AX47" i="28"/>
  <c r="BF47" i="28" s="1"/>
  <c r="AY32" i="28"/>
  <c r="BG32" i="28" s="1"/>
  <c r="AU43" i="28"/>
  <c r="BC43" i="28" s="1"/>
  <c r="AU30" i="28"/>
  <c r="BC30" i="28" s="1"/>
  <c r="AY25" i="28"/>
  <c r="BG25" i="28" s="1"/>
  <c r="AK8" i="28"/>
  <c r="M8" i="28" s="1"/>
  <c r="AA8" i="28"/>
  <c r="AS8" i="28" s="1"/>
  <c r="BA8" i="28" s="1"/>
  <c r="N8" i="28" s="1"/>
  <c r="AU13" i="28"/>
  <c r="BC13" i="28" s="1"/>
  <c r="AU37" i="28"/>
  <c r="BC37" i="28" s="1"/>
  <c r="AX41" i="28"/>
  <c r="BF41" i="28" s="1"/>
  <c r="AV10" i="28"/>
  <c r="BD10" i="28" s="1"/>
  <c r="AX46" i="28"/>
  <c r="BF46" i="28" s="1"/>
  <c r="M21" i="25"/>
  <c r="X21" i="25"/>
  <c r="Y21" i="25" s="1"/>
  <c r="N21" i="25" s="1"/>
  <c r="CV28" i="28"/>
  <c r="CW28" i="28"/>
  <c r="CS28" i="28"/>
  <c r="CT28" i="28"/>
  <c r="CU28" i="28"/>
  <c r="CR28" i="28"/>
  <c r="AX16" i="28"/>
  <c r="BF16" i="28" s="1"/>
  <c r="AT45" i="28"/>
  <c r="BB45" i="28" s="1"/>
  <c r="AX11" i="28"/>
  <c r="BF11" i="28" s="1"/>
  <c r="AY19" i="28"/>
  <c r="BG19" i="28" s="1"/>
  <c r="AU46" i="28"/>
  <c r="BC46" i="28" s="1"/>
  <c r="AU15" i="28"/>
  <c r="BC15" i="28" s="1"/>
  <c r="AT39" i="28"/>
  <c r="BB39" i="28" s="1"/>
  <c r="AU18" i="28"/>
  <c r="BC18" i="28" s="1"/>
  <c r="AY33" i="28"/>
  <c r="BG33" i="28" s="1"/>
  <c r="AX17" i="28"/>
  <c r="BF17" i="28" s="1"/>
  <c r="AT47" i="28"/>
  <c r="BB47" i="28" s="1"/>
  <c r="AX33" i="28"/>
  <c r="BF33" i="28" s="1"/>
  <c r="AU44" i="28"/>
  <c r="BC44" i="28" s="1"/>
  <c r="AU35" i="28"/>
  <c r="BC35" i="28" s="1"/>
  <c r="BC8" i="28" l="1"/>
  <c r="N10" i="28" s="1"/>
  <c r="CY10" i="28" s="1"/>
  <c r="BF8" i="28"/>
  <c r="N12" i="28" s="1"/>
  <c r="CY12" i="28" s="1"/>
  <c r="CY11" i="28"/>
  <c r="O11" i="28"/>
  <c r="CY8" i="28"/>
  <c r="O8" i="28"/>
  <c r="CY13" i="28"/>
  <c r="O13" i="28"/>
  <c r="AA109" i="25"/>
  <c r="AB108" i="25"/>
  <c r="AL108" i="25"/>
  <c r="AG108" i="25"/>
  <c r="AH108" i="25" s="1"/>
  <c r="AA24" i="25"/>
  <c r="AB23" i="25"/>
  <c r="AG23" i="25"/>
  <c r="AH23" i="25" s="1"/>
  <c r="X22" i="25"/>
  <c r="Y22" i="25" s="1"/>
  <c r="N22" i="25" s="1"/>
  <c r="M22" i="25"/>
  <c r="Q8" i="28"/>
  <c r="CZ25" i="28"/>
  <c r="P8" i="28"/>
  <c r="CZ24" i="28"/>
  <c r="CZ8" i="28"/>
  <c r="M17" i="28"/>
  <c r="CZ28" i="28"/>
  <c r="CZ27" i="28"/>
  <c r="CZ26" i="28"/>
  <c r="CZ29" i="28"/>
  <c r="CZ10" i="28"/>
  <c r="L16" i="18"/>
  <c r="M16" i="18" s="1"/>
  <c r="K17" i="18"/>
  <c r="AI22" i="25"/>
  <c r="AJ22" i="25" s="1"/>
  <c r="T22" i="25" s="1"/>
  <c r="S22" i="25"/>
  <c r="CZ9" i="28"/>
  <c r="M16" i="28"/>
  <c r="N9" i="28"/>
  <c r="P22" i="25"/>
  <c r="AC22" i="25"/>
  <c r="AD22" i="25" s="1"/>
  <c r="Q22" i="25" s="1"/>
  <c r="P107" i="25"/>
  <c r="CZ11" i="28"/>
  <c r="M18" i="28"/>
  <c r="Q11" i="28"/>
  <c r="P11" i="28"/>
  <c r="W23" i="25"/>
  <c r="V24" i="25"/>
  <c r="W7" i="32"/>
  <c r="W14" i="32"/>
  <c r="W35" i="32"/>
  <c r="W48" i="32"/>
  <c r="W50" i="32"/>
  <c r="W41" i="32"/>
  <c r="W58" i="32"/>
  <c r="W89" i="32"/>
  <c r="W59" i="32"/>
  <c r="W36" i="32"/>
  <c r="W12" i="32"/>
  <c r="W18" i="32"/>
  <c r="W39" i="32"/>
  <c r="W52" i="32"/>
  <c r="W53" i="32"/>
  <c r="W43" i="32"/>
  <c r="W61" i="32"/>
  <c r="W93" i="32"/>
  <c r="W68" i="32"/>
  <c r="W51" i="32"/>
  <c r="W16" i="32"/>
  <c r="W11" i="32"/>
  <c r="W17" i="32"/>
  <c r="W56" i="32"/>
  <c r="W63" i="32"/>
  <c r="W46" i="32"/>
  <c r="W65" i="32"/>
  <c r="W97" i="32"/>
  <c r="W76" i="32"/>
  <c r="W57" i="32"/>
  <c r="W84" i="32"/>
  <c r="W100" i="32"/>
  <c r="W91" i="32"/>
  <c r="W19" i="32"/>
  <c r="W44" i="32"/>
  <c r="W21" i="32"/>
  <c r="W69" i="32"/>
  <c r="W25" i="32"/>
  <c r="W75" i="32"/>
  <c r="W88" i="32"/>
  <c r="W94" i="32"/>
  <c r="W24" i="32"/>
  <c r="W31" i="32"/>
  <c r="W29" i="32"/>
  <c r="W49" i="32"/>
  <c r="W81" i="32"/>
  <c r="W82" i="32"/>
  <c r="W64" i="32"/>
  <c r="W86" i="32"/>
  <c r="W83" i="32"/>
  <c r="W10" i="32"/>
  <c r="W37" i="32"/>
  <c r="W67" i="32"/>
  <c r="W45" i="32"/>
  <c r="W105" i="32"/>
  <c r="W98" i="32"/>
  <c r="W87" i="32"/>
  <c r="W66" i="32"/>
  <c r="W23" i="32"/>
  <c r="W47" i="32"/>
  <c r="W77" i="32"/>
  <c r="W70" i="32"/>
  <c r="W96" i="32"/>
  <c r="W27" i="32"/>
  <c r="W71" i="32"/>
  <c r="W85" i="32"/>
  <c r="W78" i="32"/>
  <c r="W104" i="32"/>
  <c r="W26" i="32"/>
  <c r="W22" i="32"/>
  <c r="W101" i="32"/>
  <c r="W62" i="32"/>
  <c r="W80" i="32"/>
  <c r="X5" i="32"/>
  <c r="W13" i="32"/>
  <c r="W32" i="32"/>
  <c r="W103" i="32"/>
  <c r="W20" i="32"/>
  <c r="W33" i="32"/>
  <c r="W79" i="32"/>
  <c r="W106" i="32"/>
  <c r="W8" i="32"/>
  <c r="W30" i="32"/>
  <c r="W92" i="32"/>
  <c r="W54" i="32"/>
  <c r="W9" i="32"/>
  <c r="W73" i="32"/>
  <c r="W15" i="32"/>
  <c r="W28" i="32"/>
  <c r="W34" i="32"/>
  <c r="W95" i="32"/>
  <c r="W40" i="32"/>
  <c r="W99" i="32"/>
  <c r="W42" i="32"/>
  <c r="W74" i="32"/>
  <c r="W38" i="32"/>
  <c r="W55" i="32"/>
  <c r="W72" i="32"/>
  <c r="W90" i="32"/>
  <c r="W102" i="32"/>
  <c r="W60" i="32"/>
  <c r="N14" i="28"/>
  <c r="P14" i="28" s="1"/>
  <c r="CZ14" i="28"/>
  <c r="M21" i="28"/>
  <c r="M19" i="28"/>
  <c r="CZ12" i="28"/>
  <c r="M108" i="25"/>
  <c r="S107" i="25"/>
  <c r="H22" i="18"/>
  <c r="I22" i="18" s="1"/>
  <c r="G23" i="18"/>
  <c r="M20" i="28"/>
  <c r="P13" i="28"/>
  <c r="Q13" i="28"/>
  <c r="CZ13" i="28"/>
  <c r="V110" i="25"/>
  <c r="W109" i="25"/>
  <c r="Q10" i="28" l="1"/>
  <c r="P12" i="28"/>
  <c r="P10" i="28"/>
  <c r="Q12" i="28"/>
  <c r="O12" i="28"/>
  <c r="O10" i="28"/>
  <c r="X23" i="25"/>
  <c r="Y23" i="25" s="1"/>
  <c r="N23" i="25" s="1"/>
  <c r="M23" i="25"/>
  <c r="H23" i="18"/>
  <c r="I23" i="18" s="1"/>
  <c r="G24" i="18"/>
  <c r="BJ131" i="28"/>
  <c r="BJ36" i="28"/>
  <c r="BR36" i="28" s="1"/>
  <c r="BJ97" i="28"/>
  <c r="BR97" i="28" s="1"/>
  <c r="BJ117" i="28"/>
  <c r="BR117" i="28" s="1"/>
  <c r="BJ151" i="28"/>
  <c r="BR151" i="28" s="1"/>
  <c r="BJ186" i="28"/>
  <c r="BR186" i="28" s="1"/>
  <c r="BJ93" i="28"/>
  <c r="BR93" i="28" s="1"/>
  <c r="BJ159" i="28"/>
  <c r="BR159" i="28" s="1"/>
  <c r="BJ128" i="28"/>
  <c r="BR128" i="28" s="1"/>
  <c r="BJ68" i="28"/>
  <c r="BR68" i="28" s="1"/>
  <c r="BJ116" i="28"/>
  <c r="BR116" i="28" s="1"/>
  <c r="BJ148" i="28"/>
  <c r="BR148" i="28" s="1"/>
  <c r="BJ62" i="28"/>
  <c r="BR62" i="28" s="1"/>
  <c r="BJ65" i="28"/>
  <c r="BJ183" i="28"/>
  <c r="BR183" i="28" s="1"/>
  <c r="BJ18" i="28"/>
  <c r="BR18" i="28" s="1"/>
  <c r="BJ52" i="28"/>
  <c r="BJ181" i="28"/>
  <c r="BR181" i="28" s="1"/>
  <c r="BJ87" i="28"/>
  <c r="BR87" i="28" s="1"/>
  <c r="BJ133" i="28"/>
  <c r="BR133" i="28" s="1"/>
  <c r="BJ15" i="28"/>
  <c r="BJ100" i="28"/>
  <c r="BR100" i="28" s="1"/>
  <c r="BJ167" i="28"/>
  <c r="BR167" i="28" s="1"/>
  <c r="BJ102" i="28"/>
  <c r="BR102" i="28" s="1"/>
  <c r="BJ179" i="28"/>
  <c r="BR179" i="28" s="1"/>
  <c r="BJ51" i="28"/>
  <c r="BR51" i="28" s="1"/>
  <c r="BJ199" i="28"/>
  <c r="BR199" i="28" s="1"/>
  <c r="BJ88" i="28"/>
  <c r="BR88" i="28" s="1"/>
  <c r="BJ164" i="28"/>
  <c r="BR164" i="28" s="1"/>
  <c r="BJ182" i="28"/>
  <c r="BJ185" i="28"/>
  <c r="BJ104" i="28"/>
  <c r="BJ208" i="28"/>
  <c r="BJ177" i="28"/>
  <c r="BR177" i="28" s="1"/>
  <c r="BJ198" i="28"/>
  <c r="BR198" i="28" s="1"/>
  <c r="BJ191" i="28"/>
  <c r="BR191" i="28" s="1"/>
  <c r="BJ32" i="28"/>
  <c r="BJ140" i="28"/>
  <c r="BR140" i="28" s="1"/>
  <c r="BJ19" i="28"/>
  <c r="BR19" i="28" s="1"/>
  <c r="BJ210" i="28"/>
  <c r="BR210" i="28" s="1"/>
  <c r="BJ45" i="28"/>
  <c r="BR45" i="28" s="1"/>
  <c r="BJ197" i="28"/>
  <c r="BR197" i="28" s="1"/>
  <c r="BJ184" i="28"/>
  <c r="BR184" i="28" s="1"/>
  <c r="BJ83" i="28"/>
  <c r="BR83" i="28" s="1"/>
  <c r="BJ152" i="28"/>
  <c r="BR152" i="28" s="1"/>
  <c r="BJ34" i="28"/>
  <c r="BR34" i="28" s="1"/>
  <c r="BJ16" i="28"/>
  <c r="BR16" i="28" s="1"/>
  <c r="BJ90" i="28"/>
  <c r="BR90" i="28" s="1"/>
  <c r="BJ211" i="28"/>
  <c r="BR211" i="28" s="1"/>
  <c r="BJ77" i="28"/>
  <c r="BR77" i="28" s="1"/>
  <c r="BJ125" i="28"/>
  <c r="BR125" i="28" s="1"/>
  <c r="BJ215" i="28"/>
  <c r="BR215" i="28" s="1"/>
  <c r="BJ25" i="28"/>
  <c r="BR25" i="28" s="1"/>
  <c r="BJ160" i="28"/>
  <c r="BR160" i="28" s="1"/>
  <c r="BJ47" i="28"/>
  <c r="BJ58" i="28"/>
  <c r="BR58" i="28" s="1"/>
  <c r="BJ64" i="28"/>
  <c r="BR64" i="28" s="1"/>
  <c r="BJ166" i="28"/>
  <c r="BR166" i="28" s="1"/>
  <c r="BJ37" i="28"/>
  <c r="BR37" i="28" s="1"/>
  <c r="BJ94" i="28"/>
  <c r="BJ132" i="28"/>
  <c r="BR132" i="28" s="1"/>
  <c r="BJ73" i="28"/>
  <c r="BR73" i="28" s="1"/>
  <c r="BJ169" i="28"/>
  <c r="BR169" i="28" s="1"/>
  <c r="BJ110" i="28"/>
  <c r="BR110" i="28" s="1"/>
  <c r="BJ123" i="28"/>
  <c r="BR123" i="28" s="1"/>
  <c r="BJ26" i="28"/>
  <c r="BR26" i="28" s="1"/>
  <c r="BJ206" i="28"/>
  <c r="BR206" i="28" s="1"/>
  <c r="BJ50" i="28"/>
  <c r="BR50" i="28" s="1"/>
  <c r="BJ17" i="28"/>
  <c r="BR17" i="28" s="1"/>
  <c r="BJ109" i="28"/>
  <c r="BR109" i="28" s="1"/>
  <c r="BJ74" i="28"/>
  <c r="BR74" i="28" s="1"/>
  <c r="BJ96" i="28"/>
  <c r="BR96" i="28" s="1"/>
  <c r="BJ67" i="28"/>
  <c r="BR67" i="28" s="1"/>
  <c r="BJ101" i="28"/>
  <c r="BR101" i="28" s="1"/>
  <c r="BJ126" i="28"/>
  <c r="BJ155" i="28"/>
  <c r="BR155" i="28" s="1"/>
  <c r="BJ147" i="28"/>
  <c r="BR147" i="28" s="1"/>
  <c r="BJ129" i="28"/>
  <c r="BR129" i="28" s="1"/>
  <c r="BJ24" i="28"/>
  <c r="BJ187" i="28"/>
  <c r="BJ40" i="28"/>
  <c r="BR40" i="28" s="1"/>
  <c r="BJ75" i="28"/>
  <c r="BJ189" i="28"/>
  <c r="BR189" i="28" s="1"/>
  <c r="BJ82" i="28"/>
  <c r="BJ106" i="28"/>
  <c r="BR106" i="28" s="1"/>
  <c r="BJ190" i="28"/>
  <c r="BR190" i="28" s="1"/>
  <c r="BJ12" i="28"/>
  <c r="BR12" i="28" s="1"/>
  <c r="BJ145" i="28"/>
  <c r="BJ99" i="28"/>
  <c r="BR99" i="28" s="1"/>
  <c r="BJ23" i="28"/>
  <c r="BR23" i="28" s="1"/>
  <c r="BJ71" i="28"/>
  <c r="BR71" i="28" s="1"/>
  <c r="BJ204" i="28"/>
  <c r="BR204" i="28" s="1"/>
  <c r="BJ111" i="28"/>
  <c r="BR111" i="28" s="1"/>
  <c r="BJ216" i="28"/>
  <c r="BR216" i="28" s="1"/>
  <c r="BJ9" i="28"/>
  <c r="BR9" i="28" s="1"/>
  <c r="BJ69" i="28"/>
  <c r="BR69" i="28" s="1"/>
  <c r="BJ137" i="28"/>
  <c r="BR137" i="28" s="1"/>
  <c r="BJ20" i="28"/>
  <c r="BR20" i="28" s="1"/>
  <c r="BJ13" i="28"/>
  <c r="BR13" i="28" s="1"/>
  <c r="BJ56" i="28"/>
  <c r="BJ192" i="28"/>
  <c r="BJ105" i="28"/>
  <c r="BR105" i="28" s="1"/>
  <c r="BJ119" i="28"/>
  <c r="BR119" i="28" s="1"/>
  <c r="BJ158" i="28"/>
  <c r="BR158" i="28" s="1"/>
  <c r="BJ200" i="28"/>
  <c r="BJ114" i="28"/>
  <c r="BR114" i="28" s="1"/>
  <c r="BJ205" i="28"/>
  <c r="BJ146" i="28"/>
  <c r="BR146" i="28" s="1"/>
  <c r="BJ121" i="28"/>
  <c r="BJ144" i="28"/>
  <c r="BR144" i="28" s="1"/>
  <c r="BJ120" i="28"/>
  <c r="BR120" i="28" s="1"/>
  <c r="BJ212" i="28"/>
  <c r="BJ95" i="28"/>
  <c r="BR95" i="28" s="1"/>
  <c r="BJ130" i="28"/>
  <c r="BR130" i="28" s="1"/>
  <c r="BJ141" i="28"/>
  <c r="BJ193" i="28"/>
  <c r="BR193" i="28" s="1"/>
  <c r="BJ194" i="28"/>
  <c r="BJ89" i="28"/>
  <c r="BR89" i="28" s="1"/>
  <c r="BJ27" i="28"/>
  <c r="BR27" i="28" s="1"/>
  <c r="BJ157" i="28"/>
  <c r="BR157" i="28" s="1"/>
  <c r="BJ202" i="28"/>
  <c r="BR202" i="28" s="1"/>
  <c r="BJ42" i="28"/>
  <c r="BR42" i="28" s="1"/>
  <c r="BJ161" i="28"/>
  <c r="BR161" i="28" s="1"/>
  <c r="BJ57" i="28"/>
  <c r="BR57" i="28" s="1"/>
  <c r="BJ173" i="28"/>
  <c r="BR173" i="28" s="1"/>
  <c r="BJ201" i="28"/>
  <c r="BR201" i="28" s="1"/>
  <c r="BJ139" i="28"/>
  <c r="BR139" i="28" s="1"/>
  <c r="BJ86" i="28"/>
  <c r="BJ80" i="28"/>
  <c r="BR80" i="28" s="1"/>
  <c r="BJ174" i="28"/>
  <c r="BJ170" i="28"/>
  <c r="BR170" i="28" s="1"/>
  <c r="BJ46" i="28"/>
  <c r="BR46" i="28" s="1"/>
  <c r="BJ11" i="28"/>
  <c r="BR11" i="28" s="1"/>
  <c r="BJ21" i="28"/>
  <c r="BR21" i="28" s="1"/>
  <c r="BJ10" i="28"/>
  <c r="BR10" i="28" s="1"/>
  <c r="BJ107" i="28"/>
  <c r="BR107" i="28" s="1"/>
  <c r="BJ28" i="28"/>
  <c r="BJ66" i="28"/>
  <c r="BR66" i="28" s="1"/>
  <c r="BJ41" i="28"/>
  <c r="BR41" i="28" s="1"/>
  <c r="BJ115" i="28"/>
  <c r="BR115" i="28" s="1"/>
  <c r="BJ127" i="28"/>
  <c r="BR127" i="28" s="1"/>
  <c r="BJ142" i="28"/>
  <c r="BR142" i="28" s="1"/>
  <c r="BJ43" i="28"/>
  <c r="BR43" i="28" s="1"/>
  <c r="BJ70" i="28"/>
  <c r="BR70" i="28" s="1"/>
  <c r="BJ39" i="28"/>
  <c r="BR39" i="28" s="1"/>
  <c r="BJ154" i="28"/>
  <c r="BJ162" i="28"/>
  <c r="BJ124" i="28"/>
  <c r="BR124" i="28" s="1"/>
  <c r="BJ135" i="28"/>
  <c r="BR135" i="28" s="1"/>
  <c r="BJ59" i="28"/>
  <c r="BR59" i="28" s="1"/>
  <c r="BJ203" i="28"/>
  <c r="BR203" i="28" s="1"/>
  <c r="BJ178" i="28"/>
  <c r="BR178" i="28" s="1"/>
  <c r="BJ35" i="28"/>
  <c r="BR35" i="28" s="1"/>
  <c r="BJ48" i="28"/>
  <c r="BJ54" i="28"/>
  <c r="BR54" i="28" s="1"/>
  <c r="BJ209" i="28"/>
  <c r="BR209" i="28" s="1"/>
  <c r="BJ143" i="28"/>
  <c r="BR143" i="28" s="1"/>
  <c r="BJ108" i="28"/>
  <c r="BR108" i="28" s="1"/>
  <c r="BJ14" i="28"/>
  <c r="BR14" i="28" s="1"/>
  <c r="BJ172" i="28"/>
  <c r="BR172" i="28" s="1"/>
  <c r="BJ81" i="28"/>
  <c r="BR81" i="28" s="1"/>
  <c r="BJ84" i="28"/>
  <c r="BR84" i="28" s="1"/>
  <c r="BJ30" i="28"/>
  <c r="BR30" i="28" s="1"/>
  <c r="BJ176" i="28"/>
  <c r="BR176" i="28" s="1"/>
  <c r="BJ196" i="28"/>
  <c r="BJ171" i="28"/>
  <c r="BJ214" i="28"/>
  <c r="BR214" i="28" s="1"/>
  <c r="BJ92" i="28"/>
  <c r="BR92" i="28" s="1"/>
  <c r="BJ31" i="28"/>
  <c r="BR31" i="28" s="1"/>
  <c r="BJ103" i="28"/>
  <c r="BR103" i="28" s="1"/>
  <c r="BJ118" i="28"/>
  <c r="BR118" i="28" s="1"/>
  <c r="BJ76" i="28"/>
  <c r="BR76" i="28" s="1"/>
  <c r="BJ53" i="28"/>
  <c r="BR53" i="28" s="1"/>
  <c r="BJ150" i="28"/>
  <c r="BR150" i="28" s="1"/>
  <c r="BJ38" i="28"/>
  <c r="BR38" i="28" s="1"/>
  <c r="BJ72" i="28"/>
  <c r="BR72" i="28" s="1"/>
  <c r="BJ207" i="28"/>
  <c r="BR207" i="28" s="1"/>
  <c r="BJ61" i="28"/>
  <c r="BR61" i="28" s="1"/>
  <c r="BJ60" i="28"/>
  <c r="BR60" i="28" s="1"/>
  <c r="BJ33" i="28"/>
  <c r="BR33" i="28" s="1"/>
  <c r="BJ122" i="28"/>
  <c r="BR122" i="28" s="1"/>
  <c r="BJ79" i="28"/>
  <c r="BR79" i="28" s="1"/>
  <c r="BJ134" i="28"/>
  <c r="BR134" i="28" s="1"/>
  <c r="BJ180" i="28"/>
  <c r="BJ138" i="28"/>
  <c r="BJ113" i="28"/>
  <c r="BJ98" i="28"/>
  <c r="BR98" i="28" s="1"/>
  <c r="BJ44" i="28"/>
  <c r="BR44" i="28" s="1"/>
  <c r="BJ55" i="28"/>
  <c r="BR55" i="28" s="1"/>
  <c r="BJ153" i="28"/>
  <c r="BR153" i="28" s="1"/>
  <c r="BJ29" i="28"/>
  <c r="BR29" i="28" s="1"/>
  <c r="BJ22" i="28"/>
  <c r="BR22" i="28" s="1"/>
  <c r="BJ85" i="28"/>
  <c r="BR85" i="28" s="1"/>
  <c r="BJ91" i="28"/>
  <c r="BR91" i="28" s="1"/>
  <c r="BJ188" i="28"/>
  <c r="BR188" i="28" s="1"/>
  <c r="BJ163" i="28"/>
  <c r="BR163" i="28" s="1"/>
  <c r="BJ136" i="28"/>
  <c r="BR136" i="28" s="1"/>
  <c r="BJ112" i="28"/>
  <c r="BR112" i="28" s="1"/>
  <c r="BJ213" i="28"/>
  <c r="BJ195" i="28"/>
  <c r="BR195" i="28" s="1"/>
  <c r="BJ78" i="28"/>
  <c r="BJ165" i="28"/>
  <c r="BR165" i="28" s="1"/>
  <c r="BJ156" i="28"/>
  <c r="BJ49" i="28"/>
  <c r="BR49" i="28" s="1"/>
  <c r="BJ175" i="28"/>
  <c r="BR175" i="28" s="1"/>
  <c r="BJ168" i="28"/>
  <c r="BR168" i="28" s="1"/>
  <c r="BJ63" i="28"/>
  <c r="BR63" i="28" s="1"/>
  <c r="BJ149" i="28"/>
  <c r="BJ8" i="28"/>
  <c r="P23" i="25"/>
  <c r="AC23" i="25"/>
  <c r="AD23" i="25" s="1"/>
  <c r="Q23" i="25" s="1"/>
  <c r="AA25" i="25"/>
  <c r="AB24" i="25"/>
  <c r="AG24" i="25"/>
  <c r="AH24" i="25" s="1"/>
  <c r="M109" i="25"/>
  <c r="Q14" i="28"/>
  <c r="X9" i="32"/>
  <c r="X26" i="32"/>
  <c r="X43" i="32"/>
  <c r="X36" i="32"/>
  <c r="X16" i="32"/>
  <c r="X46" i="32"/>
  <c r="X80" i="32"/>
  <c r="X53" i="32"/>
  <c r="X39" i="32"/>
  <c r="X63" i="32"/>
  <c r="X105" i="32"/>
  <c r="X97" i="32"/>
  <c r="X23" i="32"/>
  <c r="X18" i="32"/>
  <c r="X41" i="32"/>
  <c r="X40" i="32"/>
  <c r="X33" i="32"/>
  <c r="X62" i="32"/>
  <c r="X96" i="32"/>
  <c r="X89" i="32"/>
  <c r="X45" i="32"/>
  <c r="X95" i="32"/>
  <c r="X101" i="32"/>
  <c r="X13" i="32"/>
  <c r="X34" i="32"/>
  <c r="X55" i="32"/>
  <c r="X57" i="32"/>
  <c r="X12" i="32"/>
  <c r="X72" i="32"/>
  <c r="X35" i="32"/>
  <c r="X42" i="32"/>
  <c r="X75" i="32"/>
  <c r="X77" i="32"/>
  <c r="X94" i="32"/>
  <c r="X15" i="32"/>
  <c r="X10" i="32"/>
  <c r="X28" i="32"/>
  <c r="X24" i="32"/>
  <c r="X70" i="32"/>
  <c r="X49" i="32"/>
  <c r="X88" i="32"/>
  <c r="X83" i="32"/>
  <c r="X79" i="32"/>
  <c r="X74" i="32"/>
  <c r="X85" i="32"/>
  <c r="Y5" i="32"/>
  <c r="X25" i="32"/>
  <c r="X54" i="32"/>
  <c r="X52" i="32"/>
  <c r="X67" i="32"/>
  <c r="X56" i="32"/>
  <c r="X103" i="32"/>
  <c r="X8" i="32"/>
  <c r="X31" i="32"/>
  <c r="X60" i="32"/>
  <c r="X64" i="32"/>
  <c r="X73" i="32"/>
  <c r="X71" i="32"/>
  <c r="X93" i="32"/>
  <c r="X17" i="32"/>
  <c r="X47" i="32"/>
  <c r="X66" i="32"/>
  <c r="X68" i="32"/>
  <c r="X86" i="32"/>
  <c r="X78" i="32"/>
  <c r="X48" i="32"/>
  <c r="X22" i="32"/>
  <c r="X29" i="32"/>
  <c r="X100" i="32"/>
  <c r="X91" i="32"/>
  <c r="X30" i="32"/>
  <c r="X37" i="32"/>
  <c r="X104" i="32"/>
  <c r="X61" i="32"/>
  <c r="X38" i="32"/>
  <c r="X50" i="32"/>
  <c r="X99" i="32"/>
  <c r="X65" i="32"/>
  <c r="X11" i="32"/>
  <c r="X44" i="32"/>
  <c r="X69" i="32"/>
  <c r="X19" i="32"/>
  <c r="X21" i="32"/>
  <c r="X82" i="32"/>
  <c r="X7" i="32"/>
  <c r="X27" i="32"/>
  <c r="X81" i="32"/>
  <c r="X84" i="32"/>
  <c r="X51" i="32"/>
  <c r="X58" i="32"/>
  <c r="X32" i="32"/>
  <c r="X98" i="32"/>
  <c r="X76" i="32"/>
  <c r="X92" i="32"/>
  <c r="X102" i="32"/>
  <c r="X14" i="32"/>
  <c r="X59" i="32"/>
  <c r="X20" i="32"/>
  <c r="X87" i="32"/>
  <c r="X90" i="32"/>
  <c r="X106" i="32"/>
  <c r="S108" i="25"/>
  <c r="BN39" i="28"/>
  <c r="BV39" i="28" s="1"/>
  <c r="BN164" i="28"/>
  <c r="BV164" i="28" s="1"/>
  <c r="BN62" i="28"/>
  <c r="BV62" i="28" s="1"/>
  <c r="BN51" i="28"/>
  <c r="BV51" i="28" s="1"/>
  <c r="BN211" i="28"/>
  <c r="BV211" i="28" s="1"/>
  <c r="BN172" i="28"/>
  <c r="BV172" i="28" s="1"/>
  <c r="BN19" i="28"/>
  <c r="BV19" i="28" s="1"/>
  <c r="BN53" i="28"/>
  <c r="BV53" i="28" s="1"/>
  <c r="BN79" i="28"/>
  <c r="BV79" i="28" s="1"/>
  <c r="BN61" i="28"/>
  <c r="BV61" i="28" s="1"/>
  <c r="BN45" i="28"/>
  <c r="BV45" i="28" s="1"/>
  <c r="BN25" i="28"/>
  <c r="BV25" i="28" s="1"/>
  <c r="BN105" i="28"/>
  <c r="BV105" i="28" s="1"/>
  <c r="BN59" i="28"/>
  <c r="BV59" i="28" s="1"/>
  <c r="BN146" i="28"/>
  <c r="BV146" i="28" s="1"/>
  <c r="BN165" i="28"/>
  <c r="BV165" i="28" s="1"/>
  <c r="BN50" i="28"/>
  <c r="BV50" i="28" s="1"/>
  <c r="BN123" i="28"/>
  <c r="BV123" i="28" s="1"/>
  <c r="BN37" i="28"/>
  <c r="BV37" i="28" s="1"/>
  <c r="BN36" i="28"/>
  <c r="BV36" i="28" s="1"/>
  <c r="BN139" i="28"/>
  <c r="BV139" i="28" s="1"/>
  <c r="BN110" i="28"/>
  <c r="BV110" i="28" s="1"/>
  <c r="BN168" i="28"/>
  <c r="BV168" i="28" s="1"/>
  <c r="BN28" i="28"/>
  <c r="BN148" i="28"/>
  <c r="BV148" i="28" s="1"/>
  <c r="BN140" i="28"/>
  <c r="BV140" i="28" s="1"/>
  <c r="BN190" i="28"/>
  <c r="BV190" i="28" s="1"/>
  <c r="BN150" i="28"/>
  <c r="BV150" i="28" s="1"/>
  <c r="BN9" i="28"/>
  <c r="BV9" i="28" s="1"/>
  <c r="BN86" i="28"/>
  <c r="BN40" i="28"/>
  <c r="BV40" i="28" s="1"/>
  <c r="BN126" i="28"/>
  <c r="BN216" i="28"/>
  <c r="BV216" i="28" s="1"/>
  <c r="BN115" i="28"/>
  <c r="BV115" i="28" s="1"/>
  <c r="BN142" i="28"/>
  <c r="BV142" i="28" s="1"/>
  <c r="BN63" i="28"/>
  <c r="BV63" i="28" s="1"/>
  <c r="BN38" i="28"/>
  <c r="BV38" i="28" s="1"/>
  <c r="BN14" i="28"/>
  <c r="BV14" i="28" s="1"/>
  <c r="BN54" i="28"/>
  <c r="BV54" i="28" s="1"/>
  <c r="BN35" i="28"/>
  <c r="BV35" i="28" s="1"/>
  <c r="BN11" i="28"/>
  <c r="BV11" i="28" s="1"/>
  <c r="BN15" i="28"/>
  <c r="BN157" i="28"/>
  <c r="BV157" i="28" s="1"/>
  <c r="BN209" i="28"/>
  <c r="BV209" i="28" s="1"/>
  <c r="BN12" i="28"/>
  <c r="BV12" i="28" s="1"/>
  <c r="BN76" i="28"/>
  <c r="BV76" i="28" s="1"/>
  <c r="BN128" i="28"/>
  <c r="BV128" i="28" s="1"/>
  <c r="BN67" i="28"/>
  <c r="BV67" i="28" s="1"/>
  <c r="BN154" i="28"/>
  <c r="BN169" i="28"/>
  <c r="BV169" i="28" s="1"/>
  <c r="BN199" i="28"/>
  <c r="BV199" i="28" s="1"/>
  <c r="BN121" i="28"/>
  <c r="BN176" i="28"/>
  <c r="BV176" i="28" s="1"/>
  <c r="BN210" i="28"/>
  <c r="BV210" i="28" s="1"/>
  <c r="BN180" i="28"/>
  <c r="BN106" i="28"/>
  <c r="BV106" i="28" s="1"/>
  <c r="BN155" i="28"/>
  <c r="BV155" i="28" s="1"/>
  <c r="BN195" i="28"/>
  <c r="BV195" i="28" s="1"/>
  <c r="BN124" i="28"/>
  <c r="BV124" i="28" s="1"/>
  <c r="BN26" i="28"/>
  <c r="BV26" i="28" s="1"/>
  <c r="BN202" i="28"/>
  <c r="BV202" i="28" s="1"/>
  <c r="BN186" i="28"/>
  <c r="BV186" i="28" s="1"/>
  <c r="BN90" i="28"/>
  <c r="BV90" i="28" s="1"/>
  <c r="BN212" i="28"/>
  <c r="BN70" i="28"/>
  <c r="BV70" i="28" s="1"/>
  <c r="BN95" i="28"/>
  <c r="BV95" i="28" s="1"/>
  <c r="BN149" i="28"/>
  <c r="BN98" i="28"/>
  <c r="BV98" i="28" s="1"/>
  <c r="BN189" i="28"/>
  <c r="BV189" i="28" s="1"/>
  <c r="BN191" i="28"/>
  <c r="BV191" i="28" s="1"/>
  <c r="BN117" i="28"/>
  <c r="BV117" i="28" s="1"/>
  <c r="BN80" i="28"/>
  <c r="BV80" i="28" s="1"/>
  <c r="BN75" i="28"/>
  <c r="BN151" i="28"/>
  <c r="BV151" i="28" s="1"/>
  <c r="BN108" i="28"/>
  <c r="BV108" i="28" s="1"/>
  <c r="BN78" i="28"/>
  <c r="BN138" i="28"/>
  <c r="BN119" i="28"/>
  <c r="BV119" i="28" s="1"/>
  <c r="BN107" i="28"/>
  <c r="BV107" i="28" s="1"/>
  <c r="BN17" i="28"/>
  <c r="BV17" i="28" s="1"/>
  <c r="BN24" i="28"/>
  <c r="BN135" i="28"/>
  <c r="BV135" i="28" s="1"/>
  <c r="BN10" i="28"/>
  <c r="BV10" i="28" s="1"/>
  <c r="BN153" i="28"/>
  <c r="BV153" i="28" s="1"/>
  <c r="BN193" i="28"/>
  <c r="BV193" i="28" s="1"/>
  <c r="BN22" i="28"/>
  <c r="BV22" i="28" s="1"/>
  <c r="BN81" i="28"/>
  <c r="BV81" i="28" s="1"/>
  <c r="BN32" i="28"/>
  <c r="BN144" i="28"/>
  <c r="BV144" i="28" s="1"/>
  <c r="BN104" i="28"/>
  <c r="BN102" i="28"/>
  <c r="BV102" i="28" s="1"/>
  <c r="BN31" i="28"/>
  <c r="BV31" i="28" s="1"/>
  <c r="BN103" i="28"/>
  <c r="BV103" i="28" s="1"/>
  <c r="BN179" i="28"/>
  <c r="BV179" i="28" s="1"/>
  <c r="BN68" i="28"/>
  <c r="BV68" i="28" s="1"/>
  <c r="BN97" i="28"/>
  <c r="BV97" i="28" s="1"/>
  <c r="BN69" i="28"/>
  <c r="BV69" i="28" s="1"/>
  <c r="BN33" i="28"/>
  <c r="BV33" i="28" s="1"/>
  <c r="BN137" i="28"/>
  <c r="BV137" i="28" s="1"/>
  <c r="BN43" i="28"/>
  <c r="BV43" i="28" s="1"/>
  <c r="BN55" i="28"/>
  <c r="BV55" i="28" s="1"/>
  <c r="BN42" i="28"/>
  <c r="BV42" i="28" s="1"/>
  <c r="BN134" i="28"/>
  <c r="BV134" i="28" s="1"/>
  <c r="BN44" i="28"/>
  <c r="BV44" i="28" s="1"/>
  <c r="BN173" i="28"/>
  <c r="BV173" i="28" s="1"/>
  <c r="BN27" i="28"/>
  <c r="BV27" i="28" s="1"/>
  <c r="BN77" i="28"/>
  <c r="BV77" i="28" s="1"/>
  <c r="BN101" i="28"/>
  <c r="BV101" i="28" s="1"/>
  <c r="BN60" i="28"/>
  <c r="BV60" i="28" s="1"/>
  <c r="BN182" i="28"/>
  <c r="BN166" i="28"/>
  <c r="BV166" i="28" s="1"/>
  <c r="BN161" i="28"/>
  <c r="BV161" i="28" s="1"/>
  <c r="BN65" i="28"/>
  <c r="BN163" i="28"/>
  <c r="BV163" i="28" s="1"/>
  <c r="BN18" i="28"/>
  <c r="BV18" i="28" s="1"/>
  <c r="BN208" i="28"/>
  <c r="BN16" i="28"/>
  <c r="BV16" i="28" s="1"/>
  <c r="BN198" i="28"/>
  <c r="BV198" i="28" s="1"/>
  <c r="BN127" i="28"/>
  <c r="BV127" i="28" s="1"/>
  <c r="BN48" i="28"/>
  <c r="BN200" i="28"/>
  <c r="BN131" i="28"/>
  <c r="BN120" i="28"/>
  <c r="BV120" i="28" s="1"/>
  <c r="BN156" i="28"/>
  <c r="BN214" i="28"/>
  <c r="BV214" i="28" s="1"/>
  <c r="BN23" i="28"/>
  <c r="BV23" i="28" s="1"/>
  <c r="BN113" i="28"/>
  <c r="BN185" i="28"/>
  <c r="BN71" i="28"/>
  <c r="BV71" i="28" s="1"/>
  <c r="BN204" i="28"/>
  <c r="BV204" i="28" s="1"/>
  <c r="BN177" i="28"/>
  <c r="BV177" i="28" s="1"/>
  <c r="BN87" i="28"/>
  <c r="BV87" i="28" s="1"/>
  <c r="BN175" i="28"/>
  <c r="BV175" i="28" s="1"/>
  <c r="BN215" i="28"/>
  <c r="BV215" i="28" s="1"/>
  <c r="BN174" i="28"/>
  <c r="BN58" i="28"/>
  <c r="BV58" i="28" s="1"/>
  <c r="BN206" i="28"/>
  <c r="BV206" i="28" s="1"/>
  <c r="BN34" i="28"/>
  <c r="BV34" i="28" s="1"/>
  <c r="BN56" i="28"/>
  <c r="BN203" i="28"/>
  <c r="BV203" i="28" s="1"/>
  <c r="BN94" i="28"/>
  <c r="BN84" i="28"/>
  <c r="BV84" i="28" s="1"/>
  <c r="BN96" i="28"/>
  <c r="BV96" i="28" s="1"/>
  <c r="BN188" i="28"/>
  <c r="BV188" i="28" s="1"/>
  <c r="BN52" i="28"/>
  <c r="BN100" i="28"/>
  <c r="BV100" i="28" s="1"/>
  <c r="BN162" i="28"/>
  <c r="BN46" i="28"/>
  <c r="BV46" i="28" s="1"/>
  <c r="BN132" i="28"/>
  <c r="BV132" i="28" s="1"/>
  <c r="BN91" i="28"/>
  <c r="BV91" i="28" s="1"/>
  <c r="BN114" i="28"/>
  <c r="BV114" i="28" s="1"/>
  <c r="BN187" i="28"/>
  <c r="BN205" i="28"/>
  <c r="BN201" i="28"/>
  <c r="BV201" i="28" s="1"/>
  <c r="BN93" i="28"/>
  <c r="BV93" i="28" s="1"/>
  <c r="BN72" i="28"/>
  <c r="BV72" i="28" s="1"/>
  <c r="BN136" i="28"/>
  <c r="BV136" i="28" s="1"/>
  <c r="BN88" i="28"/>
  <c r="BV88" i="28" s="1"/>
  <c r="BN29" i="28"/>
  <c r="BV29" i="28" s="1"/>
  <c r="BN13" i="28"/>
  <c r="BV13" i="28" s="1"/>
  <c r="BN145" i="28"/>
  <c r="BN30" i="28"/>
  <c r="BV30" i="28" s="1"/>
  <c r="BN41" i="28"/>
  <c r="BV41" i="28" s="1"/>
  <c r="BN82" i="28"/>
  <c r="BN21" i="28"/>
  <c r="BV21" i="28" s="1"/>
  <c r="BN111" i="28"/>
  <c r="BV111" i="28" s="1"/>
  <c r="BN133" i="28"/>
  <c r="BV133" i="28" s="1"/>
  <c r="BN147" i="28"/>
  <c r="BV147" i="28" s="1"/>
  <c r="BN118" i="28"/>
  <c r="BV118" i="28" s="1"/>
  <c r="BN141" i="28"/>
  <c r="BN160" i="28"/>
  <c r="BV160" i="28" s="1"/>
  <c r="BN64" i="28"/>
  <c r="BV64" i="28" s="1"/>
  <c r="BN192" i="28"/>
  <c r="BN122" i="28"/>
  <c r="BV122" i="28" s="1"/>
  <c r="BN159" i="28"/>
  <c r="BV159" i="28" s="1"/>
  <c r="BN92" i="28"/>
  <c r="BV92" i="28" s="1"/>
  <c r="BN171" i="28"/>
  <c r="BN158" i="28"/>
  <c r="BV158" i="28" s="1"/>
  <c r="BN73" i="28"/>
  <c r="BV73" i="28" s="1"/>
  <c r="BN85" i="28"/>
  <c r="BV85" i="28" s="1"/>
  <c r="BN213" i="28"/>
  <c r="BN116" i="28"/>
  <c r="BV116" i="28" s="1"/>
  <c r="BN184" i="28"/>
  <c r="BV184" i="28" s="1"/>
  <c r="BN49" i="28"/>
  <c r="BV49" i="28" s="1"/>
  <c r="BN47" i="28"/>
  <c r="BN152" i="28"/>
  <c r="BV152" i="28" s="1"/>
  <c r="BN170" i="28"/>
  <c r="BV170" i="28" s="1"/>
  <c r="BN20" i="28"/>
  <c r="BV20" i="28" s="1"/>
  <c r="BN143" i="28"/>
  <c r="BV143" i="28" s="1"/>
  <c r="BN112" i="28"/>
  <c r="BV112" i="28" s="1"/>
  <c r="BN197" i="28"/>
  <c r="BV197" i="28" s="1"/>
  <c r="BN196" i="28"/>
  <c r="BN181" i="28"/>
  <c r="BV181" i="28" s="1"/>
  <c r="BN183" i="28"/>
  <c r="BV183" i="28" s="1"/>
  <c r="BN178" i="28"/>
  <c r="BV178" i="28" s="1"/>
  <c r="BN99" i="28"/>
  <c r="BV99" i="28" s="1"/>
  <c r="BN109" i="28"/>
  <c r="BV109" i="28" s="1"/>
  <c r="BN89" i="28"/>
  <c r="BV89" i="28" s="1"/>
  <c r="BN207" i="28"/>
  <c r="BV207" i="28" s="1"/>
  <c r="BN194" i="28"/>
  <c r="BN125" i="28"/>
  <c r="BV125" i="28" s="1"/>
  <c r="BN57" i="28"/>
  <c r="BV57" i="28" s="1"/>
  <c r="BN83" i="28"/>
  <c r="BV83" i="28" s="1"/>
  <c r="BN130" i="28"/>
  <c r="BV130" i="28" s="1"/>
  <c r="BN167" i="28"/>
  <c r="BV167" i="28" s="1"/>
  <c r="BN129" i="28"/>
  <c r="BV129" i="28" s="1"/>
  <c r="BN66" i="28"/>
  <c r="BV66" i="28" s="1"/>
  <c r="BN74" i="28"/>
  <c r="BV74" i="28" s="1"/>
  <c r="BN8" i="28"/>
  <c r="V111" i="25"/>
  <c r="W110" i="25"/>
  <c r="BL20" i="28"/>
  <c r="BT20" i="28" s="1"/>
  <c r="BL108" i="28"/>
  <c r="BT108" i="28" s="1"/>
  <c r="BL61" i="28"/>
  <c r="BT61" i="28" s="1"/>
  <c r="BL148" i="28"/>
  <c r="BT148" i="28" s="1"/>
  <c r="BL80" i="28"/>
  <c r="BT80" i="28" s="1"/>
  <c r="BL31" i="28"/>
  <c r="BT31" i="28" s="1"/>
  <c r="BL22" i="28"/>
  <c r="BT22" i="28" s="1"/>
  <c r="BL144" i="28"/>
  <c r="BT144" i="28" s="1"/>
  <c r="BL26" i="28"/>
  <c r="BT26" i="28" s="1"/>
  <c r="BL76" i="28"/>
  <c r="BT76" i="28" s="1"/>
  <c r="BL86" i="28"/>
  <c r="BL127" i="28"/>
  <c r="BT127" i="28" s="1"/>
  <c r="BL97" i="28"/>
  <c r="BT97" i="28" s="1"/>
  <c r="BL52" i="28"/>
  <c r="BL215" i="28"/>
  <c r="BT215" i="28" s="1"/>
  <c r="BL150" i="28"/>
  <c r="BT150" i="28" s="1"/>
  <c r="BL121" i="28"/>
  <c r="BL167" i="28"/>
  <c r="BT167" i="28" s="1"/>
  <c r="BL47" i="28"/>
  <c r="BL206" i="28"/>
  <c r="BT206" i="28" s="1"/>
  <c r="BL40" i="28"/>
  <c r="BT40" i="28" s="1"/>
  <c r="BL202" i="28"/>
  <c r="BT202" i="28" s="1"/>
  <c r="BL111" i="28"/>
  <c r="BT111" i="28" s="1"/>
  <c r="BL163" i="28"/>
  <c r="BT163" i="28" s="1"/>
  <c r="BL190" i="28"/>
  <c r="BT190" i="28" s="1"/>
  <c r="BL164" i="28"/>
  <c r="BT164" i="28" s="1"/>
  <c r="BL135" i="28"/>
  <c r="BT135" i="28" s="1"/>
  <c r="BL168" i="28"/>
  <c r="BT168" i="28" s="1"/>
  <c r="BL177" i="28"/>
  <c r="BT177" i="28" s="1"/>
  <c r="BL67" i="28"/>
  <c r="BT67" i="28" s="1"/>
  <c r="BL128" i="28"/>
  <c r="BT128" i="28" s="1"/>
  <c r="BL189" i="28"/>
  <c r="BT189" i="28" s="1"/>
  <c r="BL197" i="28"/>
  <c r="BT197" i="28" s="1"/>
  <c r="BL125" i="28"/>
  <c r="BT125" i="28" s="1"/>
  <c r="BL37" i="28"/>
  <c r="BT37" i="28" s="1"/>
  <c r="BL213" i="28"/>
  <c r="BL119" i="28"/>
  <c r="BT119" i="28" s="1"/>
  <c r="BL65" i="28"/>
  <c r="BL134" i="28"/>
  <c r="BT134" i="28" s="1"/>
  <c r="BL94" i="28"/>
  <c r="BL142" i="28"/>
  <c r="BT142" i="28" s="1"/>
  <c r="BL193" i="28"/>
  <c r="BT193" i="28" s="1"/>
  <c r="BL43" i="28"/>
  <c r="BT43" i="28" s="1"/>
  <c r="BL126" i="28"/>
  <c r="BL56" i="28"/>
  <c r="BL51" i="28"/>
  <c r="BT51" i="28" s="1"/>
  <c r="BL55" i="28"/>
  <c r="BT55" i="28" s="1"/>
  <c r="BL201" i="28"/>
  <c r="BT201" i="28" s="1"/>
  <c r="BL120" i="28"/>
  <c r="BT120" i="28" s="1"/>
  <c r="BL24" i="28"/>
  <c r="BL84" i="28"/>
  <c r="BT84" i="28" s="1"/>
  <c r="BL16" i="28"/>
  <c r="BT16" i="28" s="1"/>
  <c r="BL53" i="28"/>
  <c r="BT53" i="28" s="1"/>
  <c r="BL155" i="28"/>
  <c r="BT155" i="28" s="1"/>
  <c r="BL170" i="28"/>
  <c r="BT170" i="28" s="1"/>
  <c r="BL138" i="28"/>
  <c r="BL210" i="28"/>
  <c r="BT210" i="28" s="1"/>
  <c r="BL171" i="28"/>
  <c r="BL34" i="28"/>
  <c r="BT34" i="28" s="1"/>
  <c r="BL109" i="28"/>
  <c r="BT109" i="28" s="1"/>
  <c r="BL28" i="28"/>
  <c r="BL179" i="28"/>
  <c r="BT179" i="28" s="1"/>
  <c r="BL90" i="28"/>
  <c r="BT90" i="28" s="1"/>
  <c r="BL99" i="28"/>
  <c r="BT99" i="28" s="1"/>
  <c r="BL88" i="28"/>
  <c r="BT88" i="28" s="1"/>
  <c r="BL70" i="28"/>
  <c r="BT70" i="28" s="1"/>
  <c r="BL107" i="28"/>
  <c r="BT107" i="28" s="1"/>
  <c r="BL140" i="28"/>
  <c r="BT140" i="28" s="1"/>
  <c r="BL10" i="28"/>
  <c r="BT10" i="28" s="1"/>
  <c r="BL82" i="28"/>
  <c r="BL124" i="28"/>
  <c r="BT124" i="28" s="1"/>
  <c r="BL187" i="28"/>
  <c r="BL208" i="28"/>
  <c r="BL18" i="28"/>
  <c r="BT18" i="28" s="1"/>
  <c r="BL114" i="28"/>
  <c r="BT114" i="28" s="1"/>
  <c r="BL186" i="28"/>
  <c r="BT186" i="28" s="1"/>
  <c r="BL160" i="28"/>
  <c r="BT160" i="28" s="1"/>
  <c r="BL183" i="28"/>
  <c r="BT183" i="28" s="1"/>
  <c r="BL130" i="28"/>
  <c r="BT130" i="28" s="1"/>
  <c r="BL38" i="28"/>
  <c r="BT38" i="28" s="1"/>
  <c r="BL153" i="28"/>
  <c r="BT153" i="28" s="1"/>
  <c r="BL200" i="28"/>
  <c r="BL145" i="28"/>
  <c r="BL74" i="28"/>
  <c r="BT74" i="28" s="1"/>
  <c r="BL123" i="28"/>
  <c r="BT123" i="28" s="1"/>
  <c r="BL104" i="28"/>
  <c r="BL154" i="28"/>
  <c r="BL129" i="28"/>
  <c r="BT129" i="28" s="1"/>
  <c r="BL116" i="28"/>
  <c r="BT116" i="28" s="1"/>
  <c r="BL196" i="28"/>
  <c r="BL204" i="28"/>
  <c r="BT204" i="28" s="1"/>
  <c r="BL27" i="28"/>
  <c r="BT27" i="28" s="1"/>
  <c r="BL132" i="28"/>
  <c r="BT132" i="28" s="1"/>
  <c r="BL39" i="28"/>
  <c r="BT39" i="28" s="1"/>
  <c r="BL207" i="28"/>
  <c r="BT207" i="28" s="1"/>
  <c r="BL172" i="28"/>
  <c r="BT172" i="28" s="1"/>
  <c r="BL41" i="28"/>
  <c r="BT41" i="28" s="1"/>
  <c r="BL44" i="28"/>
  <c r="BT44" i="28" s="1"/>
  <c r="BL91" i="28"/>
  <c r="BT91" i="28" s="1"/>
  <c r="BL192" i="28"/>
  <c r="BL180" i="28"/>
  <c r="BL48" i="28"/>
  <c r="BL136" i="28"/>
  <c r="BT136" i="28" s="1"/>
  <c r="BL203" i="28"/>
  <c r="BT203" i="28" s="1"/>
  <c r="BL117" i="28"/>
  <c r="BT117" i="28" s="1"/>
  <c r="BL101" i="28"/>
  <c r="BT101" i="28" s="1"/>
  <c r="BL173" i="28"/>
  <c r="BT173" i="28" s="1"/>
  <c r="BL195" i="28"/>
  <c r="BT195" i="28" s="1"/>
  <c r="BL182" i="28"/>
  <c r="BL23" i="28"/>
  <c r="BT23" i="28" s="1"/>
  <c r="BL59" i="28"/>
  <c r="BT59" i="28" s="1"/>
  <c r="BL188" i="28"/>
  <c r="BT188" i="28" s="1"/>
  <c r="BL131" i="28"/>
  <c r="BL181" i="28"/>
  <c r="BT181" i="28" s="1"/>
  <c r="BL110" i="28"/>
  <c r="BT110" i="28" s="1"/>
  <c r="BL32" i="28"/>
  <c r="BL21" i="28"/>
  <c r="BT21" i="28" s="1"/>
  <c r="BL64" i="28"/>
  <c r="BT64" i="28" s="1"/>
  <c r="BL71" i="28"/>
  <c r="BT71" i="28" s="1"/>
  <c r="BL139" i="28"/>
  <c r="BT139" i="28" s="1"/>
  <c r="BL191" i="28"/>
  <c r="BT191" i="28" s="1"/>
  <c r="BL105" i="28"/>
  <c r="BT105" i="28" s="1"/>
  <c r="BL79" i="28"/>
  <c r="BT79" i="28" s="1"/>
  <c r="BL77" i="28"/>
  <c r="BT77" i="28" s="1"/>
  <c r="BL46" i="28"/>
  <c r="BT46" i="28" s="1"/>
  <c r="BL100" i="28"/>
  <c r="BT100" i="28" s="1"/>
  <c r="BL199" i="28"/>
  <c r="BT199" i="28" s="1"/>
  <c r="BL68" i="28"/>
  <c r="BT68" i="28" s="1"/>
  <c r="BL146" i="28"/>
  <c r="BT146" i="28" s="1"/>
  <c r="BL112" i="28"/>
  <c r="BT112" i="28" s="1"/>
  <c r="BL133" i="28"/>
  <c r="BT133" i="28" s="1"/>
  <c r="BL73" i="28"/>
  <c r="BT73" i="28" s="1"/>
  <c r="BL151" i="28"/>
  <c r="BT151" i="28" s="1"/>
  <c r="BL75" i="28"/>
  <c r="BL11" i="28"/>
  <c r="BT11" i="28" s="1"/>
  <c r="BL19" i="28"/>
  <c r="BT19" i="28" s="1"/>
  <c r="BL49" i="28"/>
  <c r="BT49" i="28" s="1"/>
  <c r="BL35" i="28"/>
  <c r="BT35" i="28" s="1"/>
  <c r="BL158" i="28"/>
  <c r="BT158" i="28" s="1"/>
  <c r="BL42" i="28"/>
  <c r="BT42" i="28" s="1"/>
  <c r="BL54" i="28"/>
  <c r="BT54" i="28" s="1"/>
  <c r="BL211" i="28"/>
  <c r="BT211" i="28" s="1"/>
  <c r="BL95" i="28"/>
  <c r="BT95" i="28" s="1"/>
  <c r="BL157" i="28"/>
  <c r="BT157" i="28" s="1"/>
  <c r="BL25" i="28"/>
  <c r="BT25" i="28" s="1"/>
  <c r="BL93" i="28"/>
  <c r="BT93" i="28" s="1"/>
  <c r="BL212" i="28"/>
  <c r="BL141" i="28"/>
  <c r="BL30" i="28"/>
  <c r="BT30" i="28" s="1"/>
  <c r="BL29" i="28"/>
  <c r="BT29" i="28" s="1"/>
  <c r="BL106" i="28"/>
  <c r="BT106" i="28" s="1"/>
  <c r="BL205" i="28"/>
  <c r="BL45" i="28"/>
  <c r="BT45" i="28" s="1"/>
  <c r="BL165" i="28"/>
  <c r="BT165" i="28" s="1"/>
  <c r="BL14" i="28"/>
  <c r="BT14" i="28" s="1"/>
  <c r="BL159" i="28"/>
  <c r="BT159" i="28" s="1"/>
  <c r="BL194" i="28"/>
  <c r="BL216" i="28"/>
  <c r="BT216" i="28" s="1"/>
  <c r="BL118" i="28"/>
  <c r="BT118" i="28" s="1"/>
  <c r="BL184" i="28"/>
  <c r="BT184" i="28" s="1"/>
  <c r="BL9" i="28"/>
  <c r="BT9" i="28" s="1"/>
  <c r="BL36" i="28"/>
  <c r="BT36" i="28" s="1"/>
  <c r="BL60" i="28"/>
  <c r="BT60" i="28" s="1"/>
  <c r="BL209" i="28"/>
  <c r="BT209" i="28" s="1"/>
  <c r="BL63" i="28"/>
  <c r="BT63" i="28" s="1"/>
  <c r="BL176" i="28"/>
  <c r="BT176" i="28" s="1"/>
  <c r="BL149" i="28"/>
  <c r="BL87" i="28"/>
  <c r="BT87" i="28" s="1"/>
  <c r="BL83" i="28"/>
  <c r="BT83" i="28" s="1"/>
  <c r="BL13" i="28"/>
  <c r="BT13" i="28" s="1"/>
  <c r="BL115" i="28"/>
  <c r="BT115" i="28" s="1"/>
  <c r="BL152" i="28"/>
  <c r="BT152" i="28" s="1"/>
  <c r="BL103" i="28"/>
  <c r="BT103" i="28" s="1"/>
  <c r="BL96" i="28"/>
  <c r="BT96" i="28" s="1"/>
  <c r="BL33" i="28"/>
  <c r="BT33" i="28" s="1"/>
  <c r="BL69" i="28"/>
  <c r="BT69" i="28" s="1"/>
  <c r="BL66" i="28"/>
  <c r="BT66" i="28" s="1"/>
  <c r="BL98" i="28"/>
  <c r="BT98" i="28" s="1"/>
  <c r="BL214" i="28"/>
  <c r="BT214" i="28" s="1"/>
  <c r="BL198" i="28"/>
  <c r="BT198" i="28" s="1"/>
  <c r="BL113" i="28"/>
  <c r="BL85" i="28"/>
  <c r="BT85" i="28" s="1"/>
  <c r="BL178" i="28"/>
  <c r="BT178" i="28" s="1"/>
  <c r="BL175" i="28"/>
  <c r="BT175" i="28" s="1"/>
  <c r="BL12" i="28"/>
  <c r="BT12" i="28" s="1"/>
  <c r="BL156" i="28"/>
  <c r="BL57" i="28"/>
  <c r="BT57" i="28" s="1"/>
  <c r="BL58" i="28"/>
  <c r="BT58" i="28" s="1"/>
  <c r="BL122" i="28"/>
  <c r="BT122" i="28" s="1"/>
  <c r="BL50" i="28"/>
  <c r="BT50" i="28" s="1"/>
  <c r="BL174" i="28"/>
  <c r="BL143" i="28"/>
  <c r="BT143" i="28" s="1"/>
  <c r="BL102" i="28"/>
  <c r="BT102" i="28" s="1"/>
  <c r="BL17" i="28"/>
  <c r="BT17" i="28" s="1"/>
  <c r="BL92" i="28"/>
  <c r="BT92" i="28" s="1"/>
  <c r="BL166" i="28"/>
  <c r="BT166" i="28" s="1"/>
  <c r="BL162" i="28"/>
  <c r="BL62" i="28"/>
  <c r="BT62" i="28" s="1"/>
  <c r="BL81" i="28"/>
  <c r="BT81" i="28" s="1"/>
  <c r="BL169" i="28"/>
  <c r="BT169" i="28" s="1"/>
  <c r="BL137" i="28"/>
  <c r="BT137" i="28" s="1"/>
  <c r="BL161" i="28"/>
  <c r="BT161" i="28" s="1"/>
  <c r="BL78" i="28"/>
  <c r="BL15" i="28"/>
  <c r="BL185" i="28"/>
  <c r="BL147" i="28"/>
  <c r="BT147" i="28" s="1"/>
  <c r="BL72" i="28"/>
  <c r="BT72" i="28" s="1"/>
  <c r="BL89" i="28"/>
  <c r="BT89" i="28" s="1"/>
  <c r="BL8" i="28"/>
  <c r="V25" i="25"/>
  <c r="W24" i="25"/>
  <c r="P108" i="25"/>
  <c r="CY9" i="28"/>
  <c r="CY16" i="28" s="1" a="1"/>
  <c r="O9" i="28"/>
  <c r="L17" i="18"/>
  <c r="K18" i="18"/>
  <c r="AA110" i="25"/>
  <c r="AB109" i="25"/>
  <c r="AG109" i="25"/>
  <c r="AH109" i="25" s="1"/>
  <c r="AL109" i="25"/>
  <c r="CY14" i="28"/>
  <c r="O14" i="28"/>
  <c r="BM163" i="28"/>
  <c r="BU163" i="28" s="1"/>
  <c r="BM96" i="28"/>
  <c r="BU96" i="28" s="1"/>
  <c r="BM140" i="28"/>
  <c r="BU140" i="28" s="1"/>
  <c r="BM192" i="28"/>
  <c r="BM180" i="28"/>
  <c r="BM32" i="28"/>
  <c r="BM90" i="28"/>
  <c r="BU90" i="28" s="1"/>
  <c r="BM139" i="28"/>
  <c r="BU139" i="28" s="1"/>
  <c r="BM204" i="28"/>
  <c r="BU204" i="28" s="1"/>
  <c r="BM205" i="28"/>
  <c r="BM95" i="28"/>
  <c r="BU95" i="28" s="1"/>
  <c r="BM191" i="28"/>
  <c r="BU191" i="28" s="1"/>
  <c r="BM17" i="28"/>
  <c r="BU17" i="28" s="1"/>
  <c r="BM153" i="28"/>
  <c r="BU153" i="28" s="1"/>
  <c r="BM155" i="28"/>
  <c r="BU155" i="28" s="1"/>
  <c r="BM111" i="28"/>
  <c r="BU111" i="28" s="1"/>
  <c r="BM183" i="28"/>
  <c r="BU183" i="28" s="1"/>
  <c r="BM185" i="28"/>
  <c r="BM78" i="28"/>
  <c r="BM165" i="28"/>
  <c r="BU165" i="28" s="1"/>
  <c r="BM9" i="28"/>
  <c r="BU9" i="28" s="1"/>
  <c r="BM107" i="28"/>
  <c r="BU107" i="28" s="1"/>
  <c r="BM216" i="28"/>
  <c r="BU216" i="28" s="1"/>
  <c r="BM83" i="28"/>
  <c r="BU83" i="28" s="1"/>
  <c r="BM72" i="28"/>
  <c r="BU72" i="28" s="1"/>
  <c r="BM136" i="28"/>
  <c r="BU136" i="28" s="1"/>
  <c r="BM187" i="28"/>
  <c r="BM22" i="28"/>
  <c r="BU22" i="28" s="1"/>
  <c r="BM25" i="28"/>
  <c r="BU25" i="28" s="1"/>
  <c r="BM27" i="28"/>
  <c r="BU27" i="28" s="1"/>
  <c r="BM15" i="28"/>
  <c r="BM200" i="28"/>
  <c r="BM171" i="28"/>
  <c r="BM174" i="28"/>
  <c r="BM116" i="28"/>
  <c r="BU116" i="28" s="1"/>
  <c r="BM29" i="28"/>
  <c r="BU29" i="28" s="1"/>
  <c r="BM55" i="28"/>
  <c r="BU55" i="28" s="1"/>
  <c r="BM13" i="28"/>
  <c r="BU13" i="28" s="1"/>
  <c r="BM193" i="28"/>
  <c r="BU193" i="28" s="1"/>
  <c r="BM212" i="28"/>
  <c r="BM70" i="28"/>
  <c r="BU70" i="28" s="1"/>
  <c r="BM23" i="28"/>
  <c r="BU23" i="28" s="1"/>
  <c r="BM60" i="28"/>
  <c r="BU60" i="28" s="1"/>
  <c r="BM214" i="28"/>
  <c r="BU214" i="28" s="1"/>
  <c r="BM113" i="28"/>
  <c r="BM149" i="28"/>
  <c r="BM43" i="28"/>
  <c r="BU43" i="28" s="1"/>
  <c r="BM18" i="28"/>
  <c r="BU18" i="28" s="1"/>
  <c r="BM76" i="28"/>
  <c r="BU76" i="28" s="1"/>
  <c r="BM87" i="28"/>
  <c r="BU87" i="28" s="1"/>
  <c r="BM141" i="28"/>
  <c r="BM207" i="28"/>
  <c r="BU207" i="28" s="1"/>
  <c r="BM148" i="28"/>
  <c r="BU148" i="28" s="1"/>
  <c r="BM108" i="28"/>
  <c r="BU108" i="28" s="1"/>
  <c r="BM206" i="28"/>
  <c r="BU206" i="28" s="1"/>
  <c r="BM152" i="28"/>
  <c r="BU152" i="28" s="1"/>
  <c r="BM45" i="28"/>
  <c r="BU45" i="28" s="1"/>
  <c r="BM118" i="28"/>
  <c r="BU118" i="28" s="1"/>
  <c r="BM51" i="28"/>
  <c r="BU51" i="28" s="1"/>
  <c r="BM37" i="28"/>
  <c r="BU37" i="28" s="1"/>
  <c r="BM190" i="28"/>
  <c r="BU190" i="28" s="1"/>
  <c r="BM56" i="28"/>
  <c r="BM41" i="28"/>
  <c r="BU41" i="28" s="1"/>
  <c r="BM188" i="28"/>
  <c r="BU188" i="28" s="1"/>
  <c r="BM129" i="28"/>
  <c r="BU129" i="28" s="1"/>
  <c r="BM48" i="28"/>
  <c r="BM156" i="28"/>
  <c r="BM101" i="28"/>
  <c r="BU101" i="28" s="1"/>
  <c r="BM26" i="28"/>
  <c r="BU26" i="28" s="1"/>
  <c r="BM133" i="28"/>
  <c r="BU133" i="28" s="1"/>
  <c r="BM49" i="28"/>
  <c r="BU49" i="28" s="1"/>
  <c r="BM135" i="28"/>
  <c r="BU135" i="28" s="1"/>
  <c r="BM162" i="28"/>
  <c r="BM196" i="28"/>
  <c r="BM68" i="28"/>
  <c r="BU68" i="28" s="1"/>
  <c r="BM31" i="28"/>
  <c r="BU31" i="28" s="1"/>
  <c r="BM125" i="28"/>
  <c r="BU125" i="28" s="1"/>
  <c r="BM100" i="28"/>
  <c r="BU100" i="28" s="1"/>
  <c r="BM175" i="28"/>
  <c r="BU175" i="28" s="1"/>
  <c r="BM89" i="28"/>
  <c r="BU89" i="28" s="1"/>
  <c r="BM21" i="28"/>
  <c r="BU21" i="28" s="1"/>
  <c r="BM98" i="28"/>
  <c r="BU98" i="28" s="1"/>
  <c r="BM59" i="28"/>
  <c r="BU59" i="28" s="1"/>
  <c r="BM168" i="28"/>
  <c r="BU168" i="28" s="1"/>
  <c r="BM137" i="28"/>
  <c r="BU137" i="28" s="1"/>
  <c r="BM210" i="28"/>
  <c r="BU210" i="28" s="1"/>
  <c r="BM74" i="28"/>
  <c r="BU74" i="28" s="1"/>
  <c r="BM172" i="28"/>
  <c r="BU172" i="28" s="1"/>
  <c r="BM110" i="28"/>
  <c r="BU110" i="28" s="1"/>
  <c r="BM164" i="28"/>
  <c r="BU164" i="28" s="1"/>
  <c r="BM157" i="28"/>
  <c r="BU157" i="28" s="1"/>
  <c r="BM167" i="28"/>
  <c r="BU167" i="28" s="1"/>
  <c r="BM209" i="28"/>
  <c r="BU209" i="28" s="1"/>
  <c r="BM146" i="28"/>
  <c r="BU146" i="28" s="1"/>
  <c r="BM199" i="28"/>
  <c r="BU199" i="28" s="1"/>
  <c r="BM52" i="28"/>
  <c r="BM195" i="28"/>
  <c r="BU195" i="28" s="1"/>
  <c r="BM104" i="28"/>
  <c r="BM103" i="28"/>
  <c r="BU103" i="28" s="1"/>
  <c r="BM126" i="28"/>
  <c r="BM34" i="28"/>
  <c r="BU34" i="28" s="1"/>
  <c r="BM61" i="28"/>
  <c r="BU61" i="28" s="1"/>
  <c r="BM201" i="28"/>
  <c r="BU201" i="28" s="1"/>
  <c r="BM194" i="28"/>
  <c r="BM159" i="28"/>
  <c r="BU159" i="28" s="1"/>
  <c r="BM147" i="28"/>
  <c r="BU147" i="28" s="1"/>
  <c r="BM46" i="28"/>
  <c r="BU46" i="28" s="1"/>
  <c r="BM88" i="28"/>
  <c r="BU88" i="28" s="1"/>
  <c r="BM176" i="28"/>
  <c r="BU176" i="28" s="1"/>
  <c r="BM177" i="28"/>
  <c r="BU177" i="28" s="1"/>
  <c r="BM127" i="28"/>
  <c r="BU127" i="28" s="1"/>
  <c r="BM202" i="28"/>
  <c r="BU202" i="28" s="1"/>
  <c r="BM114" i="28"/>
  <c r="BU114" i="28" s="1"/>
  <c r="BM85" i="28"/>
  <c r="BU85" i="28" s="1"/>
  <c r="BM184" i="28"/>
  <c r="BU184" i="28" s="1"/>
  <c r="BM47" i="28"/>
  <c r="BM211" i="28"/>
  <c r="BU211" i="28" s="1"/>
  <c r="BM81" i="28"/>
  <c r="BU81" i="28" s="1"/>
  <c r="BM122" i="28"/>
  <c r="BU122" i="28" s="1"/>
  <c r="BM158" i="28"/>
  <c r="BU158" i="28" s="1"/>
  <c r="BM82" i="28"/>
  <c r="BM112" i="28"/>
  <c r="BU112" i="28" s="1"/>
  <c r="BM186" i="28"/>
  <c r="BU186" i="28" s="1"/>
  <c r="BM161" i="28"/>
  <c r="BU161" i="28" s="1"/>
  <c r="BM91" i="28"/>
  <c r="BU91" i="28" s="1"/>
  <c r="BM128" i="28"/>
  <c r="BU128" i="28" s="1"/>
  <c r="BM123" i="28"/>
  <c r="BU123" i="28" s="1"/>
  <c r="BM54" i="28"/>
  <c r="BU54" i="28" s="1"/>
  <c r="BM109" i="28"/>
  <c r="BU109" i="28" s="1"/>
  <c r="BM166" i="28"/>
  <c r="BU166" i="28" s="1"/>
  <c r="BM143" i="28"/>
  <c r="BU143" i="28" s="1"/>
  <c r="BM92" i="28"/>
  <c r="BU92" i="28" s="1"/>
  <c r="BM57" i="28"/>
  <c r="BU57" i="28" s="1"/>
  <c r="BM151" i="28"/>
  <c r="BU151" i="28" s="1"/>
  <c r="BM120" i="28"/>
  <c r="BU120" i="28" s="1"/>
  <c r="BM44" i="28"/>
  <c r="BU44" i="28" s="1"/>
  <c r="BM182" i="28"/>
  <c r="BM170" i="28"/>
  <c r="BU170" i="28" s="1"/>
  <c r="BM117" i="28"/>
  <c r="BU117" i="28" s="1"/>
  <c r="BM160" i="28"/>
  <c r="BU160" i="28" s="1"/>
  <c r="BM58" i="28"/>
  <c r="BU58" i="28" s="1"/>
  <c r="BM65" i="28"/>
  <c r="BM138" i="28"/>
  <c r="BM203" i="28"/>
  <c r="BU203" i="28" s="1"/>
  <c r="BM16" i="28"/>
  <c r="BU16" i="28" s="1"/>
  <c r="BM154" i="28"/>
  <c r="BM173" i="28"/>
  <c r="BU173" i="28" s="1"/>
  <c r="BM67" i="28"/>
  <c r="BU67" i="28" s="1"/>
  <c r="BM62" i="28"/>
  <c r="BU62" i="28" s="1"/>
  <c r="BM42" i="28"/>
  <c r="BU42" i="28" s="1"/>
  <c r="BM10" i="28"/>
  <c r="BU10" i="28" s="1"/>
  <c r="BM94" i="28"/>
  <c r="BM115" i="28"/>
  <c r="BU115" i="28" s="1"/>
  <c r="BM215" i="28"/>
  <c r="BU215" i="28" s="1"/>
  <c r="BM19" i="28"/>
  <c r="BU19" i="28" s="1"/>
  <c r="BM84" i="28"/>
  <c r="BU84" i="28" s="1"/>
  <c r="BM213" i="28"/>
  <c r="BM145" i="28"/>
  <c r="BM181" i="28"/>
  <c r="BU181" i="28" s="1"/>
  <c r="BM197" i="28"/>
  <c r="BU197" i="28" s="1"/>
  <c r="BM99" i="28"/>
  <c r="BU99" i="28" s="1"/>
  <c r="BM63" i="28"/>
  <c r="BU63" i="28" s="1"/>
  <c r="BM64" i="28"/>
  <c r="BU64" i="28" s="1"/>
  <c r="BM119" i="28"/>
  <c r="BU119" i="28" s="1"/>
  <c r="BM131" i="28"/>
  <c r="BM198" i="28"/>
  <c r="BU198" i="28" s="1"/>
  <c r="BM35" i="28"/>
  <c r="BU35" i="28" s="1"/>
  <c r="BM12" i="28"/>
  <c r="BU12" i="28" s="1"/>
  <c r="BM71" i="28"/>
  <c r="BU71" i="28" s="1"/>
  <c r="BM102" i="28"/>
  <c r="BU102" i="28" s="1"/>
  <c r="BM144" i="28"/>
  <c r="BU144" i="28" s="1"/>
  <c r="BM80" i="28"/>
  <c r="BU80" i="28" s="1"/>
  <c r="BM130" i="28"/>
  <c r="BU130" i="28" s="1"/>
  <c r="BM134" i="28"/>
  <c r="BU134" i="28" s="1"/>
  <c r="BM53" i="28"/>
  <c r="BU53" i="28" s="1"/>
  <c r="BM208" i="28"/>
  <c r="BM132" i="28"/>
  <c r="BU132" i="28" s="1"/>
  <c r="BM66" i="28"/>
  <c r="BU66" i="28" s="1"/>
  <c r="BM77" i="28"/>
  <c r="BU77" i="28" s="1"/>
  <c r="BM11" i="28"/>
  <c r="BU11" i="28" s="1"/>
  <c r="BM33" i="28"/>
  <c r="BU33" i="28" s="1"/>
  <c r="BM75" i="28"/>
  <c r="BM142" i="28"/>
  <c r="BU142" i="28" s="1"/>
  <c r="BM178" i="28"/>
  <c r="BU178" i="28" s="1"/>
  <c r="BM28" i="28"/>
  <c r="BM106" i="28"/>
  <c r="BU106" i="28" s="1"/>
  <c r="BM150" i="28"/>
  <c r="BU150" i="28" s="1"/>
  <c r="BM50" i="28"/>
  <c r="BU50" i="28" s="1"/>
  <c r="BM124" i="28"/>
  <c r="BU124" i="28" s="1"/>
  <c r="BM179" i="28"/>
  <c r="BU179" i="28" s="1"/>
  <c r="BM14" i="28"/>
  <c r="BU14" i="28" s="1"/>
  <c r="BM36" i="28"/>
  <c r="BU36" i="28" s="1"/>
  <c r="BM69" i="28"/>
  <c r="BU69" i="28" s="1"/>
  <c r="BM93" i="28"/>
  <c r="BU93" i="28" s="1"/>
  <c r="BM189" i="28"/>
  <c r="BU189" i="28" s="1"/>
  <c r="BM73" i="28"/>
  <c r="BU73" i="28" s="1"/>
  <c r="BM30" i="28"/>
  <c r="BU30" i="28" s="1"/>
  <c r="BM121" i="28"/>
  <c r="BM38" i="28"/>
  <c r="BU38" i="28" s="1"/>
  <c r="BM24" i="28"/>
  <c r="BM39" i="28"/>
  <c r="BU39" i="28" s="1"/>
  <c r="BM97" i="28"/>
  <c r="BU97" i="28" s="1"/>
  <c r="BM20" i="28"/>
  <c r="BU20" i="28" s="1"/>
  <c r="BM40" i="28"/>
  <c r="BU40" i="28" s="1"/>
  <c r="BM105" i="28"/>
  <c r="BU105" i="28" s="1"/>
  <c r="BM86" i="28"/>
  <c r="BM79" i="28"/>
  <c r="BU79" i="28" s="1"/>
  <c r="BM169" i="28"/>
  <c r="BU169" i="28" s="1"/>
  <c r="BM8" i="28"/>
  <c r="P9" i="28"/>
  <c r="BO192" i="28"/>
  <c r="BO37" i="28"/>
  <c r="BW37" i="28" s="1"/>
  <c r="BO75" i="28"/>
  <c r="BO186" i="28"/>
  <c r="BW186" i="28" s="1"/>
  <c r="BO130" i="28"/>
  <c r="BW130" i="28" s="1"/>
  <c r="BO52" i="28"/>
  <c r="BO114" i="28"/>
  <c r="BW114" i="28" s="1"/>
  <c r="BO13" i="28"/>
  <c r="BW13" i="28" s="1"/>
  <c r="BO136" i="28"/>
  <c r="BW136" i="28" s="1"/>
  <c r="BO44" i="28"/>
  <c r="BW44" i="28" s="1"/>
  <c r="BO15" i="28"/>
  <c r="BO152" i="28"/>
  <c r="BW152" i="28" s="1"/>
  <c r="BO90" i="28"/>
  <c r="BW90" i="28" s="1"/>
  <c r="BO205" i="28"/>
  <c r="BO63" i="28"/>
  <c r="BW63" i="28" s="1"/>
  <c r="BO139" i="28"/>
  <c r="BW139" i="28" s="1"/>
  <c r="BO189" i="28"/>
  <c r="BW189" i="28" s="1"/>
  <c r="BO185" i="28"/>
  <c r="BO215" i="28"/>
  <c r="BW215" i="28" s="1"/>
  <c r="BO146" i="28"/>
  <c r="BW146" i="28" s="1"/>
  <c r="BO162" i="28"/>
  <c r="BO34" i="28"/>
  <c r="BW34" i="28" s="1"/>
  <c r="BO49" i="28"/>
  <c r="BW49" i="28" s="1"/>
  <c r="BO145" i="28"/>
  <c r="BO77" i="28"/>
  <c r="BW77" i="28" s="1"/>
  <c r="BO171" i="28"/>
  <c r="BO198" i="28"/>
  <c r="BW198" i="28" s="1"/>
  <c r="BO161" i="28"/>
  <c r="BW161" i="28" s="1"/>
  <c r="BO172" i="28"/>
  <c r="BW172" i="28" s="1"/>
  <c r="BO173" i="28"/>
  <c r="BW173" i="28" s="1"/>
  <c r="BO60" i="28"/>
  <c r="BW60" i="28" s="1"/>
  <c r="BO195" i="28"/>
  <c r="BW195" i="28" s="1"/>
  <c r="BO158" i="28"/>
  <c r="BW158" i="28" s="1"/>
  <c r="BO76" i="28"/>
  <c r="BW76" i="28" s="1"/>
  <c r="BO65" i="28"/>
  <c r="BO178" i="28"/>
  <c r="BW178" i="28" s="1"/>
  <c r="BO91" i="28"/>
  <c r="BW91" i="28" s="1"/>
  <c r="BO66" i="28"/>
  <c r="BW66" i="28" s="1"/>
  <c r="BO94" i="28"/>
  <c r="BO64" i="28"/>
  <c r="BW64" i="28" s="1"/>
  <c r="BO177" i="28"/>
  <c r="BW177" i="28" s="1"/>
  <c r="BO26" i="28"/>
  <c r="BW26" i="28" s="1"/>
  <c r="BO99" i="28"/>
  <c r="BW99" i="28" s="1"/>
  <c r="BO69" i="28"/>
  <c r="BW69" i="28" s="1"/>
  <c r="BO50" i="28"/>
  <c r="BW50" i="28" s="1"/>
  <c r="BO107" i="28"/>
  <c r="BW107" i="28" s="1"/>
  <c r="BO208" i="28"/>
  <c r="BO58" i="28"/>
  <c r="BW58" i="28" s="1"/>
  <c r="BO135" i="28"/>
  <c r="BW135" i="28" s="1"/>
  <c r="BO194" i="28"/>
  <c r="BO176" i="28"/>
  <c r="BW176" i="28" s="1"/>
  <c r="BO196" i="28"/>
  <c r="BO118" i="28"/>
  <c r="BW118" i="28" s="1"/>
  <c r="BO74" i="28"/>
  <c r="BW74" i="28" s="1"/>
  <c r="BO68" i="28"/>
  <c r="BW68" i="28" s="1"/>
  <c r="BO82" i="28"/>
  <c r="BO207" i="28"/>
  <c r="BW207" i="28" s="1"/>
  <c r="BO97" i="28"/>
  <c r="BW97" i="28" s="1"/>
  <c r="BO20" i="28"/>
  <c r="BW20" i="28" s="1"/>
  <c r="BO157" i="28"/>
  <c r="BW157" i="28" s="1"/>
  <c r="BO182" i="28"/>
  <c r="BO62" i="28"/>
  <c r="BW62" i="28" s="1"/>
  <c r="BO80" i="28"/>
  <c r="BW80" i="28" s="1"/>
  <c r="BO70" i="28"/>
  <c r="BW70" i="28" s="1"/>
  <c r="BO110" i="28"/>
  <c r="BW110" i="28" s="1"/>
  <c r="BO144" i="28"/>
  <c r="BW144" i="28" s="1"/>
  <c r="BO155" i="28"/>
  <c r="BW155" i="28" s="1"/>
  <c r="BO11" i="28"/>
  <c r="BW11" i="28" s="1"/>
  <c r="BO46" i="28"/>
  <c r="BW46" i="28" s="1"/>
  <c r="BO22" i="28"/>
  <c r="BW22" i="28" s="1"/>
  <c r="BO153" i="28"/>
  <c r="BW153" i="28" s="1"/>
  <c r="BO168" i="28"/>
  <c r="BW168" i="28" s="1"/>
  <c r="BO55" i="28"/>
  <c r="BW55" i="28" s="1"/>
  <c r="BO187" i="28"/>
  <c r="BO85" i="28"/>
  <c r="BW85" i="28" s="1"/>
  <c r="BO125" i="28"/>
  <c r="BW125" i="28" s="1"/>
  <c r="BO113" i="28"/>
  <c r="BO184" i="28"/>
  <c r="BW184" i="28" s="1"/>
  <c r="BO211" i="28"/>
  <c r="BW211" i="28" s="1"/>
  <c r="BO87" i="28"/>
  <c r="BW87" i="28" s="1"/>
  <c r="BO27" i="28"/>
  <c r="BW27" i="28" s="1"/>
  <c r="BO86" i="28"/>
  <c r="BO148" i="28"/>
  <c r="BW148" i="28" s="1"/>
  <c r="BO179" i="28"/>
  <c r="BW179" i="28" s="1"/>
  <c r="BO197" i="28"/>
  <c r="BW197" i="28" s="1"/>
  <c r="BO25" i="28"/>
  <c r="BW25" i="28" s="1"/>
  <c r="BO127" i="28"/>
  <c r="BW127" i="28" s="1"/>
  <c r="BO120" i="28"/>
  <c r="BW120" i="28" s="1"/>
  <c r="BO32" i="28"/>
  <c r="BO210" i="28"/>
  <c r="BW210" i="28" s="1"/>
  <c r="BO204" i="28"/>
  <c r="BW204" i="28" s="1"/>
  <c r="BO164" i="28"/>
  <c r="BW164" i="28" s="1"/>
  <c r="BO83" i="28"/>
  <c r="BW83" i="28" s="1"/>
  <c r="BO206" i="28"/>
  <c r="BW206" i="28" s="1"/>
  <c r="BO209" i="28"/>
  <c r="BW209" i="28" s="1"/>
  <c r="BO170" i="28"/>
  <c r="BW170" i="28" s="1"/>
  <c r="BO122" i="28"/>
  <c r="BW122" i="28" s="1"/>
  <c r="BO151" i="28"/>
  <c r="BW151" i="28" s="1"/>
  <c r="BO95" i="28"/>
  <c r="BW95" i="28" s="1"/>
  <c r="BO129" i="28"/>
  <c r="BW129" i="28" s="1"/>
  <c r="BO89" i="28"/>
  <c r="BW89" i="28" s="1"/>
  <c r="BO166" i="28"/>
  <c r="BW166" i="28" s="1"/>
  <c r="BO104" i="28"/>
  <c r="BO154" i="28"/>
  <c r="BO35" i="28"/>
  <c r="BW35" i="28" s="1"/>
  <c r="BO103" i="28"/>
  <c r="BW103" i="28" s="1"/>
  <c r="BO41" i="28"/>
  <c r="BW41" i="28" s="1"/>
  <c r="BO132" i="28"/>
  <c r="BW132" i="28" s="1"/>
  <c r="BO42" i="28"/>
  <c r="BW42" i="28" s="1"/>
  <c r="BO21" i="28"/>
  <c r="BW21" i="28" s="1"/>
  <c r="BO188" i="28"/>
  <c r="BW188" i="28" s="1"/>
  <c r="BO214" i="28"/>
  <c r="BW214" i="28" s="1"/>
  <c r="BO78" i="28"/>
  <c r="BO181" i="28"/>
  <c r="BW181" i="28" s="1"/>
  <c r="BO133" i="28"/>
  <c r="BW133" i="28" s="1"/>
  <c r="BO71" i="28"/>
  <c r="BW71" i="28" s="1"/>
  <c r="BO79" i="28"/>
  <c r="BW79" i="28" s="1"/>
  <c r="BO73" i="28"/>
  <c r="BW73" i="28" s="1"/>
  <c r="BO98" i="28"/>
  <c r="BW98" i="28" s="1"/>
  <c r="BO201" i="28"/>
  <c r="BW201" i="28" s="1"/>
  <c r="BO67" i="28"/>
  <c r="BW67" i="28" s="1"/>
  <c r="BO216" i="28"/>
  <c r="BW216" i="28" s="1"/>
  <c r="BO93" i="28"/>
  <c r="BW93" i="28" s="1"/>
  <c r="BO134" i="28"/>
  <c r="BW134" i="28" s="1"/>
  <c r="BO102" i="28"/>
  <c r="BW102" i="28" s="1"/>
  <c r="BO167" i="28"/>
  <c r="BW167" i="28" s="1"/>
  <c r="BO105" i="28"/>
  <c r="BW105" i="28" s="1"/>
  <c r="BO16" i="28"/>
  <c r="BW16" i="28" s="1"/>
  <c r="BO169" i="28"/>
  <c r="BW169" i="28" s="1"/>
  <c r="BO112" i="28"/>
  <c r="BW112" i="28" s="1"/>
  <c r="BO40" i="28"/>
  <c r="BW40" i="28" s="1"/>
  <c r="BO163" i="28"/>
  <c r="BW163" i="28" s="1"/>
  <c r="BO140" i="28"/>
  <c r="BW140" i="28" s="1"/>
  <c r="BO12" i="28"/>
  <c r="BW12" i="28" s="1"/>
  <c r="BO29" i="28"/>
  <c r="BW29" i="28" s="1"/>
  <c r="BO54" i="28"/>
  <c r="BW54" i="28" s="1"/>
  <c r="BO59" i="28"/>
  <c r="BW59" i="28" s="1"/>
  <c r="BO142" i="28"/>
  <c r="BW142" i="28" s="1"/>
  <c r="BO150" i="28"/>
  <c r="BW150" i="28" s="1"/>
  <c r="BO108" i="28"/>
  <c r="BW108" i="28" s="1"/>
  <c r="BO143" i="28"/>
  <c r="BW143" i="28" s="1"/>
  <c r="BO117" i="28"/>
  <c r="BW117" i="28" s="1"/>
  <c r="BO14" i="28"/>
  <c r="BW14" i="28" s="1"/>
  <c r="BO47" i="28"/>
  <c r="BO124" i="28"/>
  <c r="BW124" i="28" s="1"/>
  <c r="BO9" i="28"/>
  <c r="BW9" i="28" s="1"/>
  <c r="BO72" i="28"/>
  <c r="BW72" i="28" s="1"/>
  <c r="BO43" i="28"/>
  <c r="BW43" i="28" s="1"/>
  <c r="BO39" i="28"/>
  <c r="BW39" i="28" s="1"/>
  <c r="BO31" i="28"/>
  <c r="BW31" i="28" s="1"/>
  <c r="BO10" i="28"/>
  <c r="BW10" i="28" s="1"/>
  <c r="BO88" i="28"/>
  <c r="BW88" i="28" s="1"/>
  <c r="BO126" i="28"/>
  <c r="BO123" i="28"/>
  <c r="BW123" i="28" s="1"/>
  <c r="BO199" i="28"/>
  <c r="BW199" i="28" s="1"/>
  <c r="BO116" i="28"/>
  <c r="BW116" i="28" s="1"/>
  <c r="BO45" i="28"/>
  <c r="BW45" i="28" s="1"/>
  <c r="BO128" i="28"/>
  <c r="BW128" i="28" s="1"/>
  <c r="BO165" i="28"/>
  <c r="BW165" i="28" s="1"/>
  <c r="BO149" i="28"/>
  <c r="BO51" i="28"/>
  <c r="BW51" i="28" s="1"/>
  <c r="BO193" i="28"/>
  <c r="BW193" i="28" s="1"/>
  <c r="BO119" i="28"/>
  <c r="BW119" i="28" s="1"/>
  <c r="BO156" i="28"/>
  <c r="BO61" i="28"/>
  <c r="BW61" i="28" s="1"/>
  <c r="BO36" i="28"/>
  <c r="BW36" i="28" s="1"/>
  <c r="BO111" i="28"/>
  <c r="BW111" i="28" s="1"/>
  <c r="BO53" i="28"/>
  <c r="BW53" i="28" s="1"/>
  <c r="BO174" i="28"/>
  <c r="BO141" i="28"/>
  <c r="BO100" i="28"/>
  <c r="BW100" i="28" s="1"/>
  <c r="BO190" i="28"/>
  <c r="BW190" i="28" s="1"/>
  <c r="BO180" i="28"/>
  <c r="BO81" i="28"/>
  <c r="BW81" i="28" s="1"/>
  <c r="BO28" i="28"/>
  <c r="BO175" i="28"/>
  <c r="BW175" i="28" s="1"/>
  <c r="BO23" i="28"/>
  <c r="BW23" i="28" s="1"/>
  <c r="BO138" i="28"/>
  <c r="BO160" i="28"/>
  <c r="BW160" i="28" s="1"/>
  <c r="BO24" i="28"/>
  <c r="BO96" i="28"/>
  <c r="BW96" i="28" s="1"/>
  <c r="BO109" i="28"/>
  <c r="BW109" i="28" s="1"/>
  <c r="BO159" i="28"/>
  <c r="BW159" i="28" s="1"/>
  <c r="BO84" i="28"/>
  <c r="BW84" i="28" s="1"/>
  <c r="BO121" i="28"/>
  <c r="BO17" i="28"/>
  <c r="BW17" i="28" s="1"/>
  <c r="BO38" i="28"/>
  <c r="BW38" i="28" s="1"/>
  <c r="BO131" i="28"/>
  <c r="BO30" i="28"/>
  <c r="BW30" i="28" s="1"/>
  <c r="BO56" i="28"/>
  <c r="BO115" i="28"/>
  <c r="BW115" i="28" s="1"/>
  <c r="BO57" i="28"/>
  <c r="BW57" i="28" s="1"/>
  <c r="BO19" i="28"/>
  <c r="BW19" i="28" s="1"/>
  <c r="BO191" i="28"/>
  <c r="BW191" i="28" s="1"/>
  <c r="BO106" i="28"/>
  <c r="BW106" i="28" s="1"/>
  <c r="BO183" i="28"/>
  <c r="BW183" i="28" s="1"/>
  <c r="BO137" i="28"/>
  <c r="BW137" i="28" s="1"/>
  <c r="BO18" i="28"/>
  <c r="BW18" i="28" s="1"/>
  <c r="BO92" i="28"/>
  <c r="BW92" i="28" s="1"/>
  <c r="BO33" i="28"/>
  <c r="BW33" i="28" s="1"/>
  <c r="BO200" i="28"/>
  <c r="BO212" i="28"/>
  <c r="BO202" i="28"/>
  <c r="BW202" i="28" s="1"/>
  <c r="BO213" i="28"/>
  <c r="BO147" i="28"/>
  <c r="BW147" i="28" s="1"/>
  <c r="BO101" i="28"/>
  <c r="BW101" i="28" s="1"/>
  <c r="BO48" i="28"/>
  <c r="BO203" i="28"/>
  <c r="BW203" i="28" s="1"/>
  <c r="BO8" i="28"/>
  <c r="Q9" i="28"/>
  <c r="BK70" i="28"/>
  <c r="BS70" i="28" s="1"/>
  <c r="BK166" i="28"/>
  <c r="BS166" i="28" s="1"/>
  <c r="BK57" i="28"/>
  <c r="BS57" i="28" s="1"/>
  <c r="BK40" i="28"/>
  <c r="BS40" i="28" s="1"/>
  <c r="BK173" i="28"/>
  <c r="BS173" i="28" s="1"/>
  <c r="BK188" i="28"/>
  <c r="BS188" i="28" s="1"/>
  <c r="BK12" i="28"/>
  <c r="BS12" i="28" s="1"/>
  <c r="BK162" i="28"/>
  <c r="BK123" i="28"/>
  <c r="BS123" i="28" s="1"/>
  <c r="BK83" i="28"/>
  <c r="BS83" i="28" s="1"/>
  <c r="BK31" i="28"/>
  <c r="BS31" i="28" s="1"/>
  <c r="BK65" i="28"/>
  <c r="BK79" i="28"/>
  <c r="BS79" i="28" s="1"/>
  <c r="BK108" i="28"/>
  <c r="BS108" i="28" s="1"/>
  <c r="BK111" i="28"/>
  <c r="BS111" i="28" s="1"/>
  <c r="BK61" i="28"/>
  <c r="BS61" i="28" s="1"/>
  <c r="BK62" i="28"/>
  <c r="BS62" i="28" s="1"/>
  <c r="BK21" i="28"/>
  <c r="BS21" i="28" s="1"/>
  <c r="BK18" i="28"/>
  <c r="BS18" i="28" s="1"/>
  <c r="BK76" i="28"/>
  <c r="BS76" i="28" s="1"/>
  <c r="BK50" i="28"/>
  <c r="BS50" i="28" s="1"/>
  <c r="BK213" i="28"/>
  <c r="BK121" i="28"/>
  <c r="BK183" i="28"/>
  <c r="BS183" i="28" s="1"/>
  <c r="BK125" i="28"/>
  <c r="BS125" i="28" s="1"/>
  <c r="BK176" i="28"/>
  <c r="BS176" i="28" s="1"/>
  <c r="BK92" i="28"/>
  <c r="BS92" i="28" s="1"/>
  <c r="BK28" i="28"/>
  <c r="BK95" i="28"/>
  <c r="BS95" i="28" s="1"/>
  <c r="BK73" i="28"/>
  <c r="BS73" i="28" s="1"/>
  <c r="BK105" i="28"/>
  <c r="BS105" i="28" s="1"/>
  <c r="BK89" i="28"/>
  <c r="BS89" i="28" s="1"/>
  <c r="BK171" i="28"/>
  <c r="BK156" i="28"/>
  <c r="BK204" i="28"/>
  <c r="BS204" i="28" s="1"/>
  <c r="BK85" i="28"/>
  <c r="BS85" i="28" s="1"/>
  <c r="BK110" i="28"/>
  <c r="BS110" i="28" s="1"/>
  <c r="BK157" i="28"/>
  <c r="BS157" i="28" s="1"/>
  <c r="BK195" i="28"/>
  <c r="BS195" i="28" s="1"/>
  <c r="BK178" i="28"/>
  <c r="BS178" i="28" s="1"/>
  <c r="BK122" i="28"/>
  <c r="BS122" i="28" s="1"/>
  <c r="BK158" i="28"/>
  <c r="BS158" i="28" s="1"/>
  <c r="BK78" i="28"/>
  <c r="BK130" i="28"/>
  <c r="BS130" i="28" s="1"/>
  <c r="BK54" i="28"/>
  <c r="BS54" i="28" s="1"/>
  <c r="BK109" i="28"/>
  <c r="BS109" i="28" s="1"/>
  <c r="BK214" i="28"/>
  <c r="BS214" i="28" s="1"/>
  <c r="BK32" i="28"/>
  <c r="BK182" i="28"/>
  <c r="BK26" i="28"/>
  <c r="BS26" i="28" s="1"/>
  <c r="BK64" i="28"/>
  <c r="BS64" i="28" s="1"/>
  <c r="BK147" i="28"/>
  <c r="BS147" i="28" s="1"/>
  <c r="BK30" i="28"/>
  <c r="BS30" i="28" s="1"/>
  <c r="BK33" i="28"/>
  <c r="BS33" i="28" s="1"/>
  <c r="BK131" i="28"/>
  <c r="BK175" i="28"/>
  <c r="BS175" i="28" s="1"/>
  <c r="BK20" i="28"/>
  <c r="BS20" i="28" s="1"/>
  <c r="BK103" i="28"/>
  <c r="BS103" i="28" s="1"/>
  <c r="BK198" i="28"/>
  <c r="BS198" i="28" s="1"/>
  <c r="BK208" i="28"/>
  <c r="BK142" i="28"/>
  <c r="BS142" i="28" s="1"/>
  <c r="BK206" i="28"/>
  <c r="BS206" i="28" s="1"/>
  <c r="BK82" i="28"/>
  <c r="BK203" i="28"/>
  <c r="BS203" i="28" s="1"/>
  <c r="BK139" i="28"/>
  <c r="BS139" i="28" s="1"/>
  <c r="BK127" i="28"/>
  <c r="BS127" i="28" s="1"/>
  <c r="BK132" i="28"/>
  <c r="BS132" i="28" s="1"/>
  <c r="BK151" i="28"/>
  <c r="BS151" i="28" s="1"/>
  <c r="BK189" i="28"/>
  <c r="BS189" i="28" s="1"/>
  <c r="BK74" i="28"/>
  <c r="BS74" i="28" s="1"/>
  <c r="BK56" i="28"/>
  <c r="BK41" i="28"/>
  <c r="BS41" i="28" s="1"/>
  <c r="BK42" i="28"/>
  <c r="BS42" i="28" s="1"/>
  <c r="BK58" i="28"/>
  <c r="BS58" i="28" s="1"/>
  <c r="BK100" i="28"/>
  <c r="BS100" i="28" s="1"/>
  <c r="BK146" i="28"/>
  <c r="BS146" i="28" s="1"/>
  <c r="BK24" i="28"/>
  <c r="BK112" i="28"/>
  <c r="BS112" i="28" s="1"/>
  <c r="BK63" i="28"/>
  <c r="BS63" i="28" s="1"/>
  <c r="BK117" i="28"/>
  <c r="BS117" i="28" s="1"/>
  <c r="BK196" i="28"/>
  <c r="BK149" i="28"/>
  <c r="BK91" i="28"/>
  <c r="BS91" i="28" s="1"/>
  <c r="BK128" i="28"/>
  <c r="BS128" i="28" s="1"/>
  <c r="BK39" i="28"/>
  <c r="BS39" i="28" s="1"/>
  <c r="BK96" i="28"/>
  <c r="BS96" i="28" s="1"/>
  <c r="BK201" i="28"/>
  <c r="BS201" i="28" s="1"/>
  <c r="BK47" i="28"/>
  <c r="BK211" i="28"/>
  <c r="BS211" i="28" s="1"/>
  <c r="BK25" i="28"/>
  <c r="BS25" i="28" s="1"/>
  <c r="BK167" i="28"/>
  <c r="BS167" i="28" s="1"/>
  <c r="BK102" i="28"/>
  <c r="BS102" i="28" s="1"/>
  <c r="BK202" i="28"/>
  <c r="BS202" i="28" s="1"/>
  <c r="BK90" i="28"/>
  <c r="BS90" i="28" s="1"/>
  <c r="BK118" i="28"/>
  <c r="BS118" i="28" s="1"/>
  <c r="BK210" i="28"/>
  <c r="BS210" i="28" s="1"/>
  <c r="BK68" i="28"/>
  <c r="BS68" i="28" s="1"/>
  <c r="BK34" i="28"/>
  <c r="BS34" i="28" s="1"/>
  <c r="BK163" i="28"/>
  <c r="BS163" i="28" s="1"/>
  <c r="BK145" i="28"/>
  <c r="BK23" i="28"/>
  <c r="BS23" i="28" s="1"/>
  <c r="BK193" i="28"/>
  <c r="BS193" i="28" s="1"/>
  <c r="BK152" i="28"/>
  <c r="BS152" i="28" s="1"/>
  <c r="BK114" i="28"/>
  <c r="BS114" i="28" s="1"/>
  <c r="BK212" i="28"/>
  <c r="BK144" i="28"/>
  <c r="BS144" i="28" s="1"/>
  <c r="BK107" i="28"/>
  <c r="BS107" i="28" s="1"/>
  <c r="BK104" i="28"/>
  <c r="BK140" i="28"/>
  <c r="BS140" i="28" s="1"/>
  <c r="BK93" i="28"/>
  <c r="BS93" i="28" s="1"/>
  <c r="BK15" i="28"/>
  <c r="BK80" i="28"/>
  <c r="BS80" i="28" s="1"/>
  <c r="BK13" i="28"/>
  <c r="BS13" i="28" s="1"/>
  <c r="BK168" i="28"/>
  <c r="BS168" i="28" s="1"/>
  <c r="BK199" i="28"/>
  <c r="BS199" i="28" s="1"/>
  <c r="BK187" i="28"/>
  <c r="BK45" i="28"/>
  <c r="BS45" i="28" s="1"/>
  <c r="BK138" i="28"/>
  <c r="BK106" i="28"/>
  <c r="BS106" i="28" s="1"/>
  <c r="BK200" i="28"/>
  <c r="BK181" i="28"/>
  <c r="BS181" i="28" s="1"/>
  <c r="BK160" i="28"/>
  <c r="BS160" i="28" s="1"/>
  <c r="BK120" i="28"/>
  <c r="BS120" i="28" s="1"/>
  <c r="BK119" i="28"/>
  <c r="BS119" i="28" s="1"/>
  <c r="BK52" i="28"/>
  <c r="BK205" i="28"/>
  <c r="BK99" i="28"/>
  <c r="BS99" i="28" s="1"/>
  <c r="BK137" i="28"/>
  <c r="BS137" i="28" s="1"/>
  <c r="BK97" i="28"/>
  <c r="BS97" i="28" s="1"/>
  <c r="BK60" i="28"/>
  <c r="BS60" i="28" s="1"/>
  <c r="BK154" i="28"/>
  <c r="BK16" i="28"/>
  <c r="BS16" i="28" s="1"/>
  <c r="BK75" i="28"/>
  <c r="BK86" i="28"/>
  <c r="BK179" i="28"/>
  <c r="BS179" i="28" s="1"/>
  <c r="BK172" i="28"/>
  <c r="BS172" i="28" s="1"/>
  <c r="BK72" i="28"/>
  <c r="BS72" i="28" s="1"/>
  <c r="BK170" i="28"/>
  <c r="BS170" i="28" s="1"/>
  <c r="BK44" i="28"/>
  <c r="BS44" i="28" s="1"/>
  <c r="BK46" i="28"/>
  <c r="BS46" i="28" s="1"/>
  <c r="BK98" i="28"/>
  <c r="BS98" i="28" s="1"/>
  <c r="BK134" i="28"/>
  <c r="BS134" i="28" s="1"/>
  <c r="BK9" i="28"/>
  <c r="BS9" i="28" s="1"/>
  <c r="BK186" i="28"/>
  <c r="BS186" i="28" s="1"/>
  <c r="BK116" i="28"/>
  <c r="BS116" i="28" s="1"/>
  <c r="BK148" i="28"/>
  <c r="BS148" i="28" s="1"/>
  <c r="BK81" i="28"/>
  <c r="BS81" i="28" s="1"/>
  <c r="BK87" i="28"/>
  <c r="BS87" i="28" s="1"/>
  <c r="BK164" i="28"/>
  <c r="BS164" i="28" s="1"/>
  <c r="BK19" i="28"/>
  <c r="BS19" i="28" s="1"/>
  <c r="BK22" i="28"/>
  <c r="BS22" i="28" s="1"/>
  <c r="BK159" i="28"/>
  <c r="BS159" i="28" s="1"/>
  <c r="BK88" i="28"/>
  <c r="BS88" i="28" s="1"/>
  <c r="BK115" i="28"/>
  <c r="BS115" i="28" s="1"/>
  <c r="BK215" i="28"/>
  <c r="BS215" i="28" s="1"/>
  <c r="BK84" i="28"/>
  <c r="BS84" i="28" s="1"/>
  <c r="BK38" i="28"/>
  <c r="BS38" i="28" s="1"/>
  <c r="BK184" i="28"/>
  <c r="BS184" i="28" s="1"/>
  <c r="BK35" i="28"/>
  <c r="BS35" i="28" s="1"/>
  <c r="BK27" i="28"/>
  <c r="BS27" i="28" s="1"/>
  <c r="BK94" i="28"/>
  <c r="BK191" i="28"/>
  <c r="BS191" i="28" s="1"/>
  <c r="BK141" i="28"/>
  <c r="BK165" i="28"/>
  <c r="BS165" i="28" s="1"/>
  <c r="BK71" i="28"/>
  <c r="BS71" i="28" s="1"/>
  <c r="BK133" i="28"/>
  <c r="BS133" i="28" s="1"/>
  <c r="BK150" i="28"/>
  <c r="BS150" i="28" s="1"/>
  <c r="BK190" i="28"/>
  <c r="BS190" i="28" s="1"/>
  <c r="BK10" i="28"/>
  <c r="BS10" i="28" s="1"/>
  <c r="BK194" i="28"/>
  <c r="BK49" i="28"/>
  <c r="BS49" i="28" s="1"/>
  <c r="BK14" i="28"/>
  <c r="BS14" i="28" s="1"/>
  <c r="BK17" i="28"/>
  <c r="BS17" i="28" s="1"/>
  <c r="BK174" i="28"/>
  <c r="BK126" i="28"/>
  <c r="BK67" i="28"/>
  <c r="BS67" i="28" s="1"/>
  <c r="BK43" i="28"/>
  <c r="BS43" i="28" s="1"/>
  <c r="BK129" i="28"/>
  <c r="BS129" i="28" s="1"/>
  <c r="BK53" i="28"/>
  <c r="BS53" i="28" s="1"/>
  <c r="BK37" i="28"/>
  <c r="BS37" i="28" s="1"/>
  <c r="BK36" i="28"/>
  <c r="BS36" i="28" s="1"/>
  <c r="BK185" i="28"/>
  <c r="BK216" i="28"/>
  <c r="BS216" i="28" s="1"/>
  <c r="BK113" i="28"/>
  <c r="BK11" i="28"/>
  <c r="BS11" i="28" s="1"/>
  <c r="BK135" i="28"/>
  <c r="BS135" i="28" s="1"/>
  <c r="BK55" i="28"/>
  <c r="BS55" i="28" s="1"/>
  <c r="BK180" i="28"/>
  <c r="BK124" i="28"/>
  <c r="BS124" i="28" s="1"/>
  <c r="BK169" i="28"/>
  <c r="BS169" i="28" s="1"/>
  <c r="BK51" i="28"/>
  <c r="BS51" i="28" s="1"/>
  <c r="BK155" i="28"/>
  <c r="BS155" i="28" s="1"/>
  <c r="BK48" i="28"/>
  <c r="BK192" i="28"/>
  <c r="BK207" i="28"/>
  <c r="BS207" i="28" s="1"/>
  <c r="BK101" i="28"/>
  <c r="BS101" i="28" s="1"/>
  <c r="BK136" i="28"/>
  <c r="BS136" i="28" s="1"/>
  <c r="BK69" i="28"/>
  <c r="BS69" i="28" s="1"/>
  <c r="BK143" i="28"/>
  <c r="BS143" i="28" s="1"/>
  <c r="BK29" i="28"/>
  <c r="BS29" i="28" s="1"/>
  <c r="BK59" i="28"/>
  <c r="BS59" i="28" s="1"/>
  <c r="BK153" i="28"/>
  <c r="BS153" i="28" s="1"/>
  <c r="BK209" i="28"/>
  <c r="BS209" i="28" s="1"/>
  <c r="BK177" i="28"/>
  <c r="BS177" i="28" s="1"/>
  <c r="BK197" i="28"/>
  <c r="BS197" i="28" s="1"/>
  <c r="BK161" i="28"/>
  <c r="BS161" i="28" s="1"/>
  <c r="BK77" i="28"/>
  <c r="BS77" i="28" s="1"/>
  <c r="BK66" i="28"/>
  <c r="BS66" i="28" s="1"/>
  <c r="BK8" i="28"/>
  <c r="S23" i="25"/>
  <c r="AI23" i="25"/>
  <c r="AJ23" i="25" s="1"/>
  <c r="T23" i="25" s="1"/>
  <c r="CY18" i="28" l="1"/>
  <c r="CY17" i="28"/>
  <c r="CZ16" i="28"/>
  <c r="CZ17" i="28"/>
  <c r="CY19" i="28"/>
  <c r="CZ20" i="28"/>
  <c r="CZ18" i="28"/>
  <c r="CY20" i="28"/>
  <c r="CZ19" i="28"/>
  <c r="CY16" i="28"/>
  <c r="BS121" i="28"/>
  <c r="CK37" i="28" s="1"/>
  <c r="CS37" i="28" s="1"/>
  <c r="CC37" i="28"/>
  <c r="BT205" i="28"/>
  <c r="CL27" i="28" s="1"/>
  <c r="CT27" i="28" s="1"/>
  <c r="CD27" i="28"/>
  <c r="BS141" i="28"/>
  <c r="CK39" i="28" s="1"/>
  <c r="CS39" i="28" s="1"/>
  <c r="CC39" i="28"/>
  <c r="CC20" i="28"/>
  <c r="BS154" i="28"/>
  <c r="CK20" i="28" s="1"/>
  <c r="CS20" i="28" s="1"/>
  <c r="BS113" i="28"/>
  <c r="CK16" i="28" s="1"/>
  <c r="CS16" i="28" s="1"/>
  <c r="CC16" i="28"/>
  <c r="CC46" i="28"/>
  <c r="BS200" i="28"/>
  <c r="CK46" i="28" s="1"/>
  <c r="CC31" i="28"/>
  <c r="BS47" i="28"/>
  <c r="CK31" i="28" s="1"/>
  <c r="BS32" i="28"/>
  <c r="CK10" i="28" s="1"/>
  <c r="CS10" i="28" s="1"/>
  <c r="CC10" i="28"/>
  <c r="BS162" i="28"/>
  <c r="CK21" i="28" s="1"/>
  <c r="CS21" i="28" s="1"/>
  <c r="CC21" i="28"/>
  <c r="BW213" i="28"/>
  <c r="CO48" i="28" s="1"/>
  <c r="CW48" i="28" s="1"/>
  <c r="CG48" i="28"/>
  <c r="BW131" i="28"/>
  <c r="CO38" i="28" s="1"/>
  <c r="CW38" i="28" s="1"/>
  <c r="CG38" i="28"/>
  <c r="BW24" i="28"/>
  <c r="CO9" i="28" s="1"/>
  <c r="CG9" i="28"/>
  <c r="CG41" i="28"/>
  <c r="BW156" i="28"/>
  <c r="CO41" i="28" s="1"/>
  <c r="BW196" i="28"/>
  <c r="CO26" i="28" s="1"/>
  <c r="CW26" i="28" s="1"/>
  <c r="CG26" i="28"/>
  <c r="CE9" i="28"/>
  <c r="BU24" i="28"/>
  <c r="CM9" i="28" s="1"/>
  <c r="BU208" i="28"/>
  <c r="CM47" i="28" s="1"/>
  <c r="CU47" i="28" s="1"/>
  <c r="CE47" i="28"/>
  <c r="BU94" i="28"/>
  <c r="CM15" i="28" s="1"/>
  <c r="CU15" i="28" s="1"/>
  <c r="CE15" i="28"/>
  <c r="CE45" i="28"/>
  <c r="BU194" i="28"/>
  <c r="CM45" i="28" s="1"/>
  <c r="BU52" i="28"/>
  <c r="CM32" i="28" s="1"/>
  <c r="CU32" i="28" s="1"/>
  <c r="CE32" i="28"/>
  <c r="CE28" i="28"/>
  <c r="BU212" i="28"/>
  <c r="CM28" i="28" s="1"/>
  <c r="BU200" i="28"/>
  <c r="CM46" i="28" s="1"/>
  <c r="CE46" i="28"/>
  <c r="L18" i="18"/>
  <c r="M18" i="18" s="1"/>
  <c r="K19" i="18"/>
  <c r="CD8" i="28"/>
  <c r="BT8" i="28"/>
  <c r="CL8" i="28" s="1"/>
  <c r="CD38" i="28"/>
  <c r="BT131" i="28"/>
  <c r="CL38" i="28" s="1"/>
  <c r="BT208" i="28"/>
  <c r="CL47" i="28" s="1"/>
  <c r="CT47" i="28" s="1"/>
  <c r="CD47" i="28"/>
  <c r="BT121" i="28"/>
  <c r="CL37" i="28" s="1"/>
  <c r="CD37" i="28"/>
  <c r="BV174" i="28"/>
  <c r="CN42" i="28" s="1"/>
  <c r="CV42" i="28" s="1"/>
  <c r="CF42" i="28"/>
  <c r="CF16" i="28"/>
  <c r="BV113" i="28"/>
  <c r="CN16" i="28" s="1"/>
  <c r="BV180" i="28"/>
  <c r="CN23" i="28" s="1"/>
  <c r="CF23" i="28"/>
  <c r="BR113" i="28"/>
  <c r="CJ16" i="28" s="1"/>
  <c r="CR16" i="28" s="1"/>
  <c r="CB16" i="28"/>
  <c r="CB11" i="28"/>
  <c r="BR48" i="28"/>
  <c r="CJ11" i="28" s="1"/>
  <c r="BR154" i="28"/>
  <c r="CJ20" i="28" s="1"/>
  <c r="CB20" i="28"/>
  <c r="BR174" i="28"/>
  <c r="CJ42" i="28" s="1"/>
  <c r="CR42" i="28" s="1"/>
  <c r="CB42" i="28"/>
  <c r="BR75" i="28"/>
  <c r="CJ13" i="28" s="1"/>
  <c r="CB13" i="28"/>
  <c r="BS15" i="28"/>
  <c r="CK29" i="28" s="1"/>
  <c r="CS29" i="28" s="1"/>
  <c r="CC29" i="28"/>
  <c r="CE18" i="28"/>
  <c r="BU138" i="28"/>
  <c r="CM18" i="28" s="1"/>
  <c r="CU18" i="28" s="1"/>
  <c r="M17" i="18"/>
  <c r="CF35" i="28"/>
  <c r="BV86" i="28"/>
  <c r="CN35" i="28" s="1"/>
  <c r="BR131" i="28"/>
  <c r="CJ38" i="28" s="1"/>
  <c r="CB38" i="28"/>
  <c r="BS185" i="28"/>
  <c r="CK24" i="28" s="1"/>
  <c r="CC24" i="28"/>
  <c r="CC42" i="28"/>
  <c r="BS174" i="28"/>
  <c r="CK42" i="28" s="1"/>
  <c r="CC35" i="28"/>
  <c r="BS86" i="28"/>
  <c r="CK35" i="28" s="1"/>
  <c r="BS205" i="28"/>
  <c r="CK27" i="28" s="1"/>
  <c r="CC27" i="28"/>
  <c r="BS138" i="28"/>
  <c r="CK18" i="28" s="1"/>
  <c r="CS18" i="28" s="1"/>
  <c r="CC18" i="28"/>
  <c r="BS213" i="28"/>
  <c r="CK48" i="28" s="1"/>
  <c r="CS48" i="28" s="1"/>
  <c r="CC48" i="28"/>
  <c r="CG28" i="28"/>
  <c r="BW212" i="28"/>
  <c r="CO28" i="28" s="1"/>
  <c r="BW138" i="28"/>
  <c r="CO18" i="28" s="1"/>
  <c r="CG18" i="28"/>
  <c r="BW141" i="28"/>
  <c r="CO39" i="28" s="1"/>
  <c r="CW39" i="28" s="1"/>
  <c r="CG39" i="28"/>
  <c r="CG35" i="28"/>
  <c r="BW86" i="28"/>
  <c r="CO35" i="28" s="1"/>
  <c r="CG44" i="28"/>
  <c r="BW187" i="28"/>
  <c r="CO44" i="28" s="1"/>
  <c r="BW194" i="28"/>
  <c r="CO45" i="28" s="1"/>
  <c r="CG45" i="28"/>
  <c r="BW171" i="28"/>
  <c r="CO22" i="28" s="1"/>
  <c r="CW22" i="28" s="1"/>
  <c r="CG22" i="28"/>
  <c r="BW185" i="28"/>
  <c r="CO24" i="28" s="1"/>
  <c r="CW24" i="28" s="1"/>
  <c r="CG24" i="28"/>
  <c r="CE35" i="28"/>
  <c r="BU86" i="28"/>
  <c r="CM35" i="28" s="1"/>
  <c r="BU121" i="28"/>
  <c r="CM37" i="28" s="1"/>
  <c r="CE37" i="28"/>
  <c r="BU75" i="28"/>
  <c r="CM13" i="28" s="1"/>
  <c r="CU13" i="28" s="1"/>
  <c r="CE13" i="28"/>
  <c r="CE19" i="28"/>
  <c r="BU145" i="28"/>
  <c r="CM19" i="28" s="1"/>
  <c r="CU19" i="28" s="1"/>
  <c r="BU65" i="28"/>
  <c r="CM33" i="28" s="1"/>
  <c r="CE33" i="28"/>
  <c r="BU56" i="28"/>
  <c r="CM12" i="28" s="1"/>
  <c r="CE12" i="28"/>
  <c r="BU149" i="28"/>
  <c r="CM40" i="28" s="1"/>
  <c r="CU40" i="28" s="1"/>
  <c r="CE40" i="28"/>
  <c r="BU32" i="28"/>
  <c r="CM10" i="28" s="1"/>
  <c r="CE10" i="28"/>
  <c r="CD42" i="28"/>
  <c r="BT174" i="28"/>
  <c r="CL42" i="28" s="1"/>
  <c r="BT149" i="28"/>
  <c r="CL40" i="28" s="1"/>
  <c r="CD40" i="28"/>
  <c r="BT154" i="28"/>
  <c r="CL20" i="28" s="1"/>
  <c r="CT20" i="28" s="1"/>
  <c r="CD20" i="28"/>
  <c r="BV213" i="28"/>
  <c r="CN48" i="28" s="1"/>
  <c r="CF48" i="28"/>
  <c r="BV192" i="28"/>
  <c r="CN25" i="28" s="1"/>
  <c r="CV25" i="28" s="1"/>
  <c r="CF25" i="28"/>
  <c r="BV94" i="28"/>
  <c r="CN15" i="28" s="1"/>
  <c r="CF15" i="28"/>
  <c r="BV138" i="28"/>
  <c r="CN18" i="28" s="1"/>
  <c r="CV18" i="28" s="1"/>
  <c r="CF18" i="28"/>
  <c r="Y14" i="32"/>
  <c r="Y16" i="32"/>
  <c r="Y29" i="32"/>
  <c r="Y38" i="32"/>
  <c r="Y39" i="32"/>
  <c r="Y36" i="32"/>
  <c r="Y53" i="32"/>
  <c r="Y83" i="32"/>
  <c r="Y66" i="32"/>
  <c r="Y52" i="32"/>
  <c r="Y85" i="32"/>
  <c r="Y102" i="32"/>
  <c r="Y78" i="32"/>
  <c r="Y22" i="32"/>
  <c r="Y9" i="32"/>
  <c r="Y15" i="32"/>
  <c r="Y58" i="32"/>
  <c r="Y69" i="32"/>
  <c r="Y43" i="32"/>
  <c r="Y87" i="32"/>
  <c r="Y77" i="32"/>
  <c r="Y76" i="32"/>
  <c r="Y81" i="32"/>
  <c r="Y86" i="32"/>
  <c r="Z5" i="32"/>
  <c r="Y21" i="32"/>
  <c r="Y35" i="32"/>
  <c r="Y45" i="32"/>
  <c r="Y44" i="32"/>
  <c r="Y63" i="32"/>
  <c r="Y99" i="32"/>
  <c r="Y93" i="32"/>
  <c r="Y70" i="32"/>
  <c r="Y98" i="32"/>
  <c r="Y84" i="32"/>
  <c r="Y10" i="32"/>
  <c r="Y20" i="32"/>
  <c r="Y37" i="32"/>
  <c r="Y50" i="32"/>
  <c r="Y61" i="32"/>
  <c r="Y30" i="32"/>
  <c r="Y75" i="32"/>
  <c r="Y60" i="32"/>
  <c r="Y68" i="32"/>
  <c r="Y55" i="32"/>
  <c r="Y92" i="32"/>
  <c r="Y11" i="32"/>
  <c r="Y41" i="32"/>
  <c r="Y48" i="32"/>
  <c r="Y56" i="32"/>
  <c r="Y31" i="32"/>
  <c r="Y57" i="32"/>
  <c r="Y105" i="32"/>
  <c r="Y7" i="32"/>
  <c r="Y24" i="32"/>
  <c r="Y51" i="32"/>
  <c r="Y59" i="32"/>
  <c r="Y74" i="32"/>
  <c r="Y82" i="32"/>
  <c r="Y100" i="32"/>
  <c r="Y12" i="32"/>
  <c r="Y32" i="32"/>
  <c r="Y65" i="32"/>
  <c r="Y67" i="32"/>
  <c r="Y80" i="32"/>
  <c r="Y88" i="32"/>
  <c r="Y104" i="32"/>
  <c r="Y26" i="32"/>
  <c r="Y54" i="32"/>
  <c r="Y71" i="32"/>
  <c r="Y73" i="32"/>
  <c r="Y101" i="32"/>
  <c r="Y8" i="32"/>
  <c r="Y62" i="32"/>
  <c r="Y79" i="32"/>
  <c r="Y27" i="32"/>
  <c r="Y13" i="32"/>
  <c r="Y28" i="32"/>
  <c r="Y91" i="32"/>
  <c r="Y64" i="32"/>
  <c r="Y17" i="32"/>
  <c r="Y19" i="32"/>
  <c r="Y94" i="32"/>
  <c r="Y25" i="32"/>
  <c r="Y34" i="32"/>
  <c r="Y106" i="32"/>
  <c r="Y33" i="32"/>
  <c r="Y95" i="32"/>
  <c r="Y72" i="32"/>
  <c r="Y18" i="32"/>
  <c r="Y96" i="32"/>
  <c r="Y23" i="32"/>
  <c r="Y97" i="32"/>
  <c r="Y103" i="32"/>
  <c r="Y40" i="32"/>
  <c r="Y47" i="32"/>
  <c r="Y90" i="32"/>
  <c r="Y42" i="32"/>
  <c r="Y46" i="32"/>
  <c r="Y49" i="32"/>
  <c r="Y89" i="32"/>
  <c r="BR149" i="28"/>
  <c r="CJ40" i="28" s="1"/>
  <c r="CB40" i="28"/>
  <c r="BR180" i="28"/>
  <c r="CJ23" i="28" s="1"/>
  <c r="CB23" i="28"/>
  <c r="BR86" i="28"/>
  <c r="CJ35" i="28" s="1"/>
  <c r="CR35" i="28" s="1"/>
  <c r="CB35" i="28"/>
  <c r="BR212" i="28"/>
  <c r="CJ28" i="28" s="1"/>
  <c r="CB28" i="28"/>
  <c r="CB19" i="28"/>
  <c r="BR145" i="28"/>
  <c r="CJ19" i="28" s="1"/>
  <c r="BR187" i="28"/>
  <c r="CJ44" i="28" s="1"/>
  <c r="CB44" i="28"/>
  <c r="CB36" i="28"/>
  <c r="BR104" i="28"/>
  <c r="CJ36" i="28" s="1"/>
  <c r="BW15" i="28"/>
  <c r="CO29" i="28" s="1"/>
  <c r="CG29" i="28"/>
  <c r="BU15" i="28"/>
  <c r="CM29" i="28" s="1"/>
  <c r="CE29" i="28"/>
  <c r="BT94" i="28"/>
  <c r="CL15" i="28" s="1"/>
  <c r="CD15" i="28"/>
  <c r="BR28" i="28"/>
  <c r="CJ30" i="28" s="1"/>
  <c r="CR30" i="28" s="1"/>
  <c r="CB30" i="28"/>
  <c r="BS75" i="28"/>
  <c r="CK13" i="28" s="1"/>
  <c r="CC13" i="28"/>
  <c r="BS52" i="28"/>
  <c r="CK32" i="28" s="1"/>
  <c r="CC32" i="28"/>
  <c r="BS24" i="28"/>
  <c r="CK9" i="28" s="1"/>
  <c r="CC9" i="28"/>
  <c r="CG8" i="28"/>
  <c r="BW8" i="28"/>
  <c r="CO8" i="28" s="1"/>
  <c r="BW200" i="28"/>
  <c r="CO46" i="28" s="1"/>
  <c r="CG46" i="28"/>
  <c r="BW121" i="28"/>
  <c r="CO37" i="28" s="1"/>
  <c r="CG37" i="28"/>
  <c r="BW174" i="28"/>
  <c r="CO42" i="28" s="1"/>
  <c r="CG42" i="28"/>
  <c r="BW126" i="28"/>
  <c r="CO17" i="28" s="1"/>
  <c r="CW17" i="28" s="1"/>
  <c r="CG17" i="28"/>
  <c r="BW78" i="28"/>
  <c r="CO34" i="28" s="1"/>
  <c r="CG34" i="28"/>
  <c r="CG10" i="28"/>
  <c r="BW32" i="28"/>
  <c r="CO10" i="28" s="1"/>
  <c r="BW192" i="28"/>
  <c r="CO25" i="28" s="1"/>
  <c r="CG25" i="28"/>
  <c r="BU131" i="28"/>
  <c r="CM38" i="28" s="1"/>
  <c r="CE38" i="28"/>
  <c r="BU213" i="28"/>
  <c r="CM48" i="28" s="1"/>
  <c r="CE48" i="28"/>
  <c r="BU113" i="28"/>
  <c r="CM16" i="28" s="1"/>
  <c r="CE16" i="28"/>
  <c r="BU180" i="28"/>
  <c r="CM23" i="28" s="1"/>
  <c r="CE23" i="28"/>
  <c r="BT75" i="28"/>
  <c r="CL13" i="28" s="1"/>
  <c r="CT13" i="28" s="1"/>
  <c r="CD13" i="28"/>
  <c r="BT48" i="28"/>
  <c r="CL11" i="28" s="1"/>
  <c r="CD11" i="28"/>
  <c r="BT104" i="28"/>
  <c r="CL36" i="28" s="1"/>
  <c r="CD36" i="28"/>
  <c r="BT82" i="28"/>
  <c r="CL14" i="28" s="1"/>
  <c r="CD14" i="28"/>
  <c r="BT65" i="28"/>
  <c r="CL33" i="28" s="1"/>
  <c r="CD33" i="28"/>
  <c r="BT52" i="28"/>
  <c r="CL32" i="28" s="1"/>
  <c r="CD32" i="28"/>
  <c r="M110" i="25"/>
  <c r="CF14" i="28"/>
  <c r="BV82" i="28"/>
  <c r="CN14" i="28" s="1"/>
  <c r="BV156" i="28"/>
  <c r="CN41" i="28" s="1"/>
  <c r="CF41" i="28"/>
  <c r="BV208" i="28"/>
  <c r="CN47" i="28" s="1"/>
  <c r="CF47" i="28"/>
  <c r="CF34" i="28"/>
  <c r="BV78" i="28"/>
  <c r="CN34" i="28" s="1"/>
  <c r="CV34" i="28" s="1"/>
  <c r="BV121" i="28"/>
  <c r="CN37" i="28" s="1"/>
  <c r="CV37" i="28" s="1"/>
  <c r="CF37" i="28"/>
  <c r="S24" i="25"/>
  <c r="AI24" i="25"/>
  <c r="AJ24" i="25" s="1"/>
  <c r="T24" i="25" s="1"/>
  <c r="BR213" i="28"/>
  <c r="CJ48" i="28" s="1"/>
  <c r="CB48" i="28"/>
  <c r="BR24" i="28"/>
  <c r="CJ9" i="28" s="1"/>
  <c r="CB9" i="28"/>
  <c r="BR47" i="28"/>
  <c r="CJ31" i="28" s="1"/>
  <c r="CB31" i="28"/>
  <c r="BR185" i="28"/>
  <c r="CJ24" i="28" s="1"/>
  <c r="CB24" i="28"/>
  <c r="CG33" i="28"/>
  <c r="BW65" i="28"/>
  <c r="CO33" i="28" s="1"/>
  <c r="BV182" i="28"/>
  <c r="CN43" i="28" s="1"/>
  <c r="CF43" i="28"/>
  <c r="BR52" i="28"/>
  <c r="CJ32" i="28" s="1"/>
  <c r="CR32" i="28" s="1"/>
  <c r="CB32" i="28"/>
  <c r="BS180" i="28"/>
  <c r="CK23" i="28" s="1"/>
  <c r="CS23" i="28" s="1"/>
  <c r="CC23" i="28"/>
  <c r="BS187" i="28"/>
  <c r="CK44" i="28" s="1"/>
  <c r="CC44" i="28"/>
  <c r="CC36" i="28"/>
  <c r="BS104" i="28"/>
  <c r="CK36" i="28" s="1"/>
  <c r="BS145" i="28"/>
  <c r="CK19" i="28" s="1"/>
  <c r="CS19" i="28" s="1"/>
  <c r="CC19" i="28"/>
  <c r="BS208" i="28"/>
  <c r="CK47" i="28" s="1"/>
  <c r="CC47" i="28"/>
  <c r="BS28" i="28"/>
  <c r="CK30" i="28" s="1"/>
  <c r="CC30" i="28"/>
  <c r="BS65" i="28"/>
  <c r="CK33" i="28" s="1"/>
  <c r="CC33" i="28"/>
  <c r="BW149" i="28"/>
  <c r="CO40" i="28" s="1"/>
  <c r="CW40" i="28" s="1"/>
  <c r="CG40" i="28"/>
  <c r="CG31" i="28"/>
  <c r="BW47" i="28"/>
  <c r="CO31" i="28" s="1"/>
  <c r="CG20" i="28"/>
  <c r="BW154" i="28"/>
  <c r="CO20" i="28" s="1"/>
  <c r="CW20" i="28" s="1"/>
  <c r="BW82" i="28"/>
  <c r="CO14" i="28" s="1"/>
  <c r="CW14" i="28" s="1"/>
  <c r="CG14" i="28"/>
  <c r="BW145" i="28"/>
  <c r="CO19" i="28" s="1"/>
  <c r="CW19" i="28" s="1"/>
  <c r="CG19" i="28"/>
  <c r="BU47" i="28"/>
  <c r="CM31" i="28" s="1"/>
  <c r="CE31" i="28"/>
  <c r="CE17" i="28"/>
  <c r="BU126" i="28"/>
  <c r="CM17" i="28" s="1"/>
  <c r="BU192" i="28"/>
  <c r="CM25" i="28" s="1"/>
  <c r="CU25" i="28" s="1"/>
  <c r="CE25" i="28"/>
  <c r="CD24" i="28"/>
  <c r="BT185" i="28"/>
  <c r="CL24" i="28" s="1"/>
  <c r="BT162" i="28"/>
  <c r="CL21" i="28" s="1"/>
  <c r="CT21" i="28" s="1"/>
  <c r="CD21" i="28"/>
  <c r="CD16" i="28"/>
  <c r="BT113" i="28"/>
  <c r="CL16" i="28" s="1"/>
  <c r="CT16" i="28" s="1"/>
  <c r="BT194" i="28"/>
  <c r="CL45" i="28" s="1"/>
  <c r="CT45" i="28" s="1"/>
  <c r="CD45" i="28"/>
  <c r="BT182" i="28"/>
  <c r="CL43" i="28" s="1"/>
  <c r="CT43" i="28" s="1"/>
  <c r="CD43" i="28"/>
  <c r="BT180" i="28"/>
  <c r="CL23" i="28" s="1"/>
  <c r="CD23" i="28"/>
  <c r="BT28" i="28"/>
  <c r="CL30" i="28" s="1"/>
  <c r="CD30" i="28"/>
  <c r="CD12" i="28"/>
  <c r="BT56" i="28"/>
  <c r="CL12" i="28" s="1"/>
  <c r="V112" i="25"/>
  <c r="W111" i="25"/>
  <c r="BV162" i="28"/>
  <c r="CN21" i="28" s="1"/>
  <c r="CV21" i="28" s="1"/>
  <c r="CF21" i="28"/>
  <c r="CF12" i="28"/>
  <c r="BV56" i="28"/>
  <c r="CN12" i="28" s="1"/>
  <c r="CV12" i="28" s="1"/>
  <c r="BV149" i="28"/>
  <c r="CN40" i="28" s="1"/>
  <c r="CV40" i="28" s="1"/>
  <c r="CF40" i="28"/>
  <c r="P24" i="25"/>
  <c r="AC24" i="25"/>
  <c r="AD24" i="25" s="1"/>
  <c r="Q24" i="25" s="1"/>
  <c r="BR171" i="28"/>
  <c r="CJ22" i="28" s="1"/>
  <c r="CB22" i="28"/>
  <c r="BR182" i="28"/>
  <c r="CJ43" i="28" s="1"/>
  <c r="CB43" i="28"/>
  <c r="BR65" i="28"/>
  <c r="CJ33" i="28" s="1"/>
  <c r="CR33" i="28" s="1"/>
  <c r="CB33" i="28"/>
  <c r="H24" i="18"/>
  <c r="I24" i="18" s="1"/>
  <c r="G25" i="18"/>
  <c r="BS56" i="28"/>
  <c r="CK12" i="28" s="1"/>
  <c r="CS12" i="28" s="1"/>
  <c r="CC12" i="28"/>
  <c r="BW75" i="28"/>
  <c r="CO13" i="28" s="1"/>
  <c r="CG13" i="28"/>
  <c r="BT138" i="28"/>
  <c r="CL18" i="28" s="1"/>
  <c r="CD18" i="28"/>
  <c r="BR78" i="28"/>
  <c r="CJ34" i="28" s="1"/>
  <c r="CR34" i="28" s="1"/>
  <c r="CB34" i="28"/>
  <c r="BR208" i="28"/>
  <c r="CJ47" i="28" s="1"/>
  <c r="CB47" i="28"/>
  <c r="BS78" i="28"/>
  <c r="CK34" i="28" s="1"/>
  <c r="CC34" i="28"/>
  <c r="BW48" i="28"/>
  <c r="CO11" i="28" s="1"/>
  <c r="CW11" i="28" s="1"/>
  <c r="CG11" i="28"/>
  <c r="BW28" i="28"/>
  <c r="CO30" i="28" s="1"/>
  <c r="CW30" i="28" s="1"/>
  <c r="CG30" i="28"/>
  <c r="BW104" i="28"/>
  <c r="CO36" i="28" s="1"/>
  <c r="CW36" i="28" s="1"/>
  <c r="CG36" i="28"/>
  <c r="BW208" i="28"/>
  <c r="CO47" i="28" s="1"/>
  <c r="CG47" i="28"/>
  <c r="CG15" i="28"/>
  <c r="BW94" i="28"/>
  <c r="CO15" i="28" s="1"/>
  <c r="CE41" i="28"/>
  <c r="BU156" i="28"/>
  <c r="CM41" i="28" s="1"/>
  <c r="BU141" i="28"/>
  <c r="CM39" i="28" s="1"/>
  <c r="CE39" i="28"/>
  <c r="CE44" i="28"/>
  <c r="BU187" i="28"/>
  <c r="CM44" i="28" s="1"/>
  <c r="BU78" i="28"/>
  <c r="CM34" i="28" s="1"/>
  <c r="CU34" i="28" s="1"/>
  <c r="CE34" i="28"/>
  <c r="S109" i="25"/>
  <c r="BT15" i="28"/>
  <c r="CL29" i="28" s="1"/>
  <c r="CD29" i="28"/>
  <c r="BT141" i="28"/>
  <c r="CL39" i="28" s="1"/>
  <c r="CD39" i="28"/>
  <c r="BT32" i="28"/>
  <c r="CL10" i="28" s="1"/>
  <c r="CT10" i="28" s="1"/>
  <c r="CD10" i="28"/>
  <c r="BT192" i="28"/>
  <c r="CL25" i="28" s="1"/>
  <c r="CT25" i="28" s="1"/>
  <c r="CD25" i="28"/>
  <c r="BT126" i="28"/>
  <c r="CL17" i="28" s="1"/>
  <c r="CD17" i="28"/>
  <c r="BT213" i="28"/>
  <c r="CL48" i="28" s="1"/>
  <c r="CD48" i="28"/>
  <c r="BV141" i="28"/>
  <c r="CN39" i="28" s="1"/>
  <c r="CF39" i="28"/>
  <c r="BV131" i="28"/>
  <c r="CN38" i="28" s="1"/>
  <c r="CV38" i="28" s="1"/>
  <c r="CF38" i="28"/>
  <c r="CF36" i="28"/>
  <c r="BV104" i="28"/>
  <c r="CN36" i="28" s="1"/>
  <c r="BV15" i="28"/>
  <c r="CN29" i="28" s="1"/>
  <c r="CF29" i="28"/>
  <c r="AA26" i="25"/>
  <c r="AB25" i="25"/>
  <c r="AG25" i="25"/>
  <c r="AH25" i="25" s="1"/>
  <c r="BR196" i="28"/>
  <c r="CJ26" i="28" s="1"/>
  <c r="CB26" i="28"/>
  <c r="BR194" i="28"/>
  <c r="CJ45" i="28" s="1"/>
  <c r="CB45" i="28"/>
  <c r="BR121" i="28"/>
  <c r="CJ37" i="28" s="1"/>
  <c r="CR37" i="28" s="1"/>
  <c r="CB37" i="28"/>
  <c r="CB25" i="28"/>
  <c r="BR192" i="28"/>
  <c r="CJ25" i="28" s="1"/>
  <c r="BR32" i="28"/>
  <c r="CJ10" i="28" s="1"/>
  <c r="CB10" i="28"/>
  <c r="CB29" i="28"/>
  <c r="BR15" i="28"/>
  <c r="CJ29" i="28" s="1"/>
  <c r="CC17" i="28"/>
  <c r="BS126" i="28"/>
  <c r="CK17" i="28" s="1"/>
  <c r="BS82" i="28"/>
  <c r="CK14" i="28" s="1"/>
  <c r="CC14" i="28"/>
  <c r="CB18" i="28"/>
  <c r="BR138" i="28"/>
  <c r="CJ18" i="28" s="1"/>
  <c r="BR200" i="28"/>
  <c r="CJ46" i="28" s="1"/>
  <c r="CB46" i="28"/>
  <c r="BS192" i="28"/>
  <c r="CK25" i="28" s="1"/>
  <c r="CS25" i="28" s="1"/>
  <c r="CC25" i="28"/>
  <c r="CC45" i="28"/>
  <c r="BS194" i="28"/>
  <c r="CK45" i="28" s="1"/>
  <c r="BS149" i="28"/>
  <c r="CK40" i="28" s="1"/>
  <c r="CC40" i="28"/>
  <c r="CC41" i="28"/>
  <c r="BS156" i="28"/>
  <c r="CK41" i="28" s="1"/>
  <c r="CS41" i="28" s="1"/>
  <c r="CG12" i="28"/>
  <c r="BW56" i="28"/>
  <c r="CO12" i="28" s="1"/>
  <c r="BW205" i="28"/>
  <c r="CO27" i="28" s="1"/>
  <c r="CG27" i="28"/>
  <c r="BW52" i="28"/>
  <c r="CO32" i="28" s="1"/>
  <c r="CG32" i="28"/>
  <c r="CE20" i="28"/>
  <c r="BU154" i="28"/>
  <c r="CM20" i="28" s="1"/>
  <c r="CU20" i="28" s="1"/>
  <c r="BU104" i="28"/>
  <c r="CM36" i="28" s="1"/>
  <c r="CU36" i="28" s="1"/>
  <c r="CE36" i="28"/>
  <c r="BU196" i="28"/>
  <c r="CM26" i="28" s="1"/>
  <c r="CU26" i="28" s="1"/>
  <c r="CE26" i="28"/>
  <c r="BU48" i="28"/>
  <c r="CM11" i="28" s="1"/>
  <c r="CE11" i="28"/>
  <c r="BU174" i="28"/>
  <c r="CM42" i="28" s="1"/>
  <c r="CE42" i="28"/>
  <c r="BU185" i="28"/>
  <c r="CM24" i="28" s="1"/>
  <c r="CE24" i="28"/>
  <c r="BU205" i="28"/>
  <c r="CM27" i="28" s="1"/>
  <c r="CU27" i="28" s="1"/>
  <c r="CE27" i="28"/>
  <c r="P109" i="25"/>
  <c r="X24" i="25"/>
  <c r="Y24" i="25" s="1"/>
  <c r="N24" i="25" s="1"/>
  <c r="M24" i="25"/>
  <c r="BT78" i="28"/>
  <c r="CL34" i="28" s="1"/>
  <c r="CT34" i="28" s="1"/>
  <c r="CD34" i="28"/>
  <c r="CD28" i="28"/>
  <c r="BT212" i="28"/>
  <c r="CL28" i="28" s="1"/>
  <c r="BT145" i="28"/>
  <c r="CL19" i="28" s="1"/>
  <c r="CD19" i="28"/>
  <c r="CD31" i="28"/>
  <c r="BT47" i="28"/>
  <c r="CL31" i="28" s="1"/>
  <c r="BT86" i="28"/>
  <c r="CL35" i="28" s="1"/>
  <c r="CD35" i="28"/>
  <c r="BV8" i="28"/>
  <c r="CN8" i="28" s="1"/>
  <c r="CV8" i="28" s="1"/>
  <c r="CF8" i="28"/>
  <c r="CF31" i="28"/>
  <c r="BV47" i="28"/>
  <c r="CN31" i="28" s="1"/>
  <c r="BV171" i="28"/>
  <c r="CN22" i="28" s="1"/>
  <c r="CF22" i="28"/>
  <c r="BV145" i="28"/>
  <c r="CN19" i="28" s="1"/>
  <c r="CV19" i="28" s="1"/>
  <c r="CF19" i="28"/>
  <c r="BV205" i="28"/>
  <c r="CN27" i="28" s="1"/>
  <c r="CF27" i="28"/>
  <c r="BV52" i="28"/>
  <c r="CN32" i="28" s="1"/>
  <c r="CF32" i="28"/>
  <c r="BV200" i="28"/>
  <c r="CN46" i="28" s="1"/>
  <c r="CF46" i="28"/>
  <c r="BV65" i="28"/>
  <c r="CN33" i="28" s="1"/>
  <c r="CF33" i="28"/>
  <c r="BV24" i="28"/>
  <c r="CN9" i="28" s="1"/>
  <c r="CV9" i="28" s="1"/>
  <c r="CF9" i="28"/>
  <c r="BV75" i="28"/>
  <c r="CN13" i="28" s="1"/>
  <c r="CF13" i="28"/>
  <c r="BV154" i="28"/>
  <c r="CN20" i="28" s="1"/>
  <c r="CF20" i="28"/>
  <c r="CB12" i="28"/>
  <c r="BR56" i="28"/>
  <c r="CJ12" i="28" s="1"/>
  <c r="CB14" i="28"/>
  <c r="BR82" i="28"/>
  <c r="CJ14" i="28" s="1"/>
  <c r="CB15" i="28"/>
  <c r="BR94" i="28"/>
  <c r="CJ15" i="28" s="1"/>
  <c r="CC38" i="28"/>
  <c r="BS131" i="28"/>
  <c r="CK38" i="28" s="1"/>
  <c r="CS38" i="28" s="1"/>
  <c r="CD44" i="28"/>
  <c r="BT187" i="28"/>
  <c r="CL44" i="28" s="1"/>
  <c r="BR8" i="28"/>
  <c r="CJ8" i="28" s="1"/>
  <c r="CR8" i="28" s="1"/>
  <c r="CB8" i="28"/>
  <c r="CC8" i="28"/>
  <c r="BS8" i="28"/>
  <c r="CK8" i="28" s="1"/>
  <c r="BS48" i="28"/>
  <c r="CK11" i="28" s="1"/>
  <c r="CC11" i="28"/>
  <c r="BS94" i="28"/>
  <c r="CK15" i="28" s="1"/>
  <c r="CS15" i="28" s="1"/>
  <c r="CC15" i="28"/>
  <c r="CC28" i="28"/>
  <c r="BS212" i="28"/>
  <c r="CK28" i="28" s="1"/>
  <c r="BS196" i="28"/>
  <c r="CK26" i="28" s="1"/>
  <c r="CC26" i="28"/>
  <c r="BS182" i="28"/>
  <c r="CK43" i="28" s="1"/>
  <c r="CC43" i="28"/>
  <c r="BS171" i="28"/>
  <c r="CK22" i="28" s="1"/>
  <c r="CC22" i="28"/>
  <c r="CG23" i="28"/>
  <c r="BW180" i="28"/>
  <c r="CO23" i="28" s="1"/>
  <c r="BW113" i="28"/>
  <c r="CO16" i="28" s="1"/>
  <c r="CG16" i="28"/>
  <c r="CG43" i="28"/>
  <c r="BW182" i="28"/>
  <c r="CO43" i="28" s="1"/>
  <c r="CW43" i="28" s="1"/>
  <c r="BW162" i="28"/>
  <c r="CO21" i="28" s="1"/>
  <c r="CW21" i="28" s="1"/>
  <c r="CG21" i="28"/>
  <c r="CE8" i="28"/>
  <c r="BU8" i="28"/>
  <c r="CM8" i="28" s="1"/>
  <c r="BU28" i="28"/>
  <c r="CM30" i="28" s="1"/>
  <c r="CE30" i="28"/>
  <c r="CE43" i="28"/>
  <c r="BU182" i="28"/>
  <c r="CM43" i="28" s="1"/>
  <c r="CU43" i="28" s="1"/>
  <c r="BU82" i="28"/>
  <c r="CM14" i="28" s="1"/>
  <c r="CE14" i="28"/>
  <c r="BU162" i="28"/>
  <c r="CM21" i="28" s="1"/>
  <c r="CU21" i="28" s="1"/>
  <c r="CE21" i="28"/>
  <c r="BU171" i="28"/>
  <c r="CM22" i="28" s="1"/>
  <c r="CE22" i="28"/>
  <c r="AB110" i="25"/>
  <c r="AA111" i="25"/>
  <c r="AG110" i="25"/>
  <c r="AH110" i="25" s="1"/>
  <c r="AL110" i="25"/>
  <c r="W25" i="25"/>
  <c r="V26" i="25"/>
  <c r="BT156" i="28"/>
  <c r="CL41" i="28" s="1"/>
  <c r="CD41" i="28"/>
  <c r="CD26" i="28"/>
  <c r="BT196" i="28"/>
  <c r="CL26" i="28" s="1"/>
  <c r="CT26" i="28" s="1"/>
  <c r="BT200" i="28"/>
  <c r="CL46" i="28" s="1"/>
  <c r="CD46" i="28"/>
  <c r="BT171" i="28"/>
  <c r="CL22" i="28" s="1"/>
  <c r="CT22" i="28" s="1"/>
  <c r="CD22" i="28"/>
  <c r="CD9" i="28"/>
  <c r="BT24" i="28"/>
  <c r="CL9" i="28" s="1"/>
  <c r="BV194" i="28"/>
  <c r="CN45" i="28" s="1"/>
  <c r="CF45" i="28"/>
  <c r="CF26" i="28"/>
  <c r="BV196" i="28"/>
  <c r="CN26" i="28" s="1"/>
  <c r="BV187" i="28"/>
  <c r="CN44" i="28" s="1"/>
  <c r="CF44" i="28"/>
  <c r="CF24" i="28"/>
  <c r="BV185" i="28"/>
  <c r="CN24" i="28" s="1"/>
  <c r="BV48" i="28"/>
  <c r="CN11" i="28" s="1"/>
  <c r="CF11" i="28"/>
  <c r="BV32" i="28"/>
  <c r="CN10" i="28" s="1"/>
  <c r="CF10" i="28"/>
  <c r="BV212" i="28"/>
  <c r="CN28" i="28" s="1"/>
  <c r="CF28" i="28"/>
  <c r="CF17" i="28"/>
  <c r="BV126" i="28"/>
  <c r="CN17" i="28" s="1"/>
  <c r="BV28" i="28"/>
  <c r="CN30" i="28" s="1"/>
  <c r="CF30" i="28"/>
  <c r="BR156" i="28"/>
  <c r="CJ41" i="28" s="1"/>
  <c r="CB41" i="28"/>
  <c r="BR162" i="28"/>
  <c r="CJ21" i="28" s="1"/>
  <c r="CB21" i="28"/>
  <c r="BR141" i="28"/>
  <c r="CJ39" i="28" s="1"/>
  <c r="CB39" i="28"/>
  <c r="BR205" i="28"/>
  <c r="CJ27" i="28" s="1"/>
  <c r="CB27" i="28"/>
  <c r="BR126" i="28"/>
  <c r="CJ17" i="28" s="1"/>
  <c r="CB17" i="28"/>
  <c r="CV24" i="28" l="1"/>
  <c r="CR15" i="28"/>
  <c r="CW10" i="28"/>
  <c r="CR19" i="28"/>
  <c r="CS33" i="28"/>
  <c r="CV43" i="28"/>
  <c r="CV15" i="28"/>
  <c r="CU12" i="28"/>
  <c r="CW45" i="28"/>
  <c r="CS27" i="28"/>
  <c r="CR21" i="28"/>
  <c r="CV44" i="28"/>
  <c r="CV27" i="28"/>
  <c r="CV39" i="28"/>
  <c r="CU44" i="28"/>
  <c r="CU17" i="28"/>
  <c r="CW33" i="28"/>
  <c r="CR13" i="28"/>
  <c r="CT37" i="28"/>
  <c r="CU33" i="28"/>
  <c r="CU39" i="28"/>
  <c r="CR47" i="28"/>
  <c r="CR22" i="28"/>
  <c r="CT23" i="28"/>
  <c r="CS47" i="28"/>
  <c r="CR24" i="28"/>
  <c r="CV41" i="28"/>
  <c r="CR18" i="28"/>
  <c r="CT17" i="28"/>
  <c r="CU23" i="28"/>
  <c r="CW42" i="28"/>
  <c r="CT15" i="28"/>
  <c r="CR23" i="28"/>
  <c r="CR20" i="28"/>
  <c r="CV17" i="28"/>
  <c r="CT9" i="28"/>
  <c r="CS8" i="28"/>
  <c r="CR41" i="28"/>
  <c r="CW27" i="28"/>
  <c r="CS14" i="28"/>
  <c r="CT18" i="28"/>
  <c r="CT40" i="28"/>
  <c r="CU37" i="28"/>
  <c r="CW18" i="28"/>
  <c r="CR38" i="28"/>
  <c r="CU24" i="28"/>
  <c r="CV10" i="28"/>
  <c r="CU14" i="28"/>
  <c r="CS22" i="28"/>
  <c r="CV33" i="28"/>
  <c r="CT35" i="28"/>
  <c r="CR29" i="28"/>
  <c r="CT33" i="28"/>
  <c r="CU38" i="28"/>
  <c r="CV23" i="28"/>
  <c r="CU46" i="28"/>
  <c r="CR17" i="28"/>
  <c r="CT46" i="28"/>
  <c r="CT29" i="28"/>
  <c r="CT14" i="28"/>
  <c r="CW25" i="28"/>
  <c r="CS9" i="28"/>
  <c r="CR44" i="28"/>
  <c r="CW9" i="28"/>
  <c r="CV26" i="28"/>
  <c r="CT44" i="28"/>
  <c r="CR12" i="28"/>
  <c r="CW12" i="28"/>
  <c r="CS17" i="28"/>
  <c r="AB26" i="25"/>
  <c r="AA27" i="25"/>
  <c r="AG26" i="25"/>
  <c r="AH26" i="25" s="1"/>
  <c r="CR9" i="28"/>
  <c r="N16" i="28" s="1"/>
  <c r="CT36" i="28"/>
  <c r="CU16" i="28"/>
  <c r="CW37" i="28"/>
  <c r="CS32" i="28"/>
  <c r="CU29" i="28"/>
  <c r="CR40" i="28"/>
  <c r="CR11" i="28"/>
  <c r="CT8" i="28"/>
  <c r="CU9" i="28"/>
  <c r="AA112" i="25"/>
  <c r="AB111" i="25"/>
  <c r="AL111" i="25"/>
  <c r="AG111" i="25"/>
  <c r="AH111" i="25" s="1"/>
  <c r="CV29" i="28"/>
  <c r="CT48" i="28"/>
  <c r="CT39" i="28"/>
  <c r="CW47" i="28"/>
  <c r="CS34" i="28"/>
  <c r="CW13" i="28"/>
  <c r="CR43" i="28"/>
  <c r="CT30" i="28"/>
  <c r="CS30" i="28"/>
  <c r="CS44" i="28"/>
  <c r="CR48" i="28"/>
  <c r="CV47" i="28"/>
  <c r="CT32" i="28"/>
  <c r="CT11" i="28"/>
  <c r="CU48" i="28"/>
  <c r="CW34" i="28"/>
  <c r="CW46" i="28"/>
  <c r="CS13" i="28"/>
  <c r="CW29" i="28"/>
  <c r="CT42" i="28"/>
  <c r="CU35" i="28"/>
  <c r="CW44" i="28"/>
  <c r="CS35" i="28"/>
  <c r="CV35" i="28"/>
  <c r="L19" i="18"/>
  <c r="M19" i="18" s="1"/>
  <c r="K20" i="18"/>
  <c r="CU45" i="28"/>
  <c r="CS46" i="28"/>
  <c r="X25" i="25"/>
  <c r="Y25" i="25" s="1"/>
  <c r="N25" i="25" s="1"/>
  <c r="M25" i="25"/>
  <c r="CR27" i="28"/>
  <c r="CV30" i="28"/>
  <c r="CV11" i="28"/>
  <c r="CV45" i="28"/>
  <c r="P110" i="25"/>
  <c r="CS43" i="28"/>
  <c r="CS11" i="28"/>
  <c r="CV20" i="28"/>
  <c r="CV46" i="28"/>
  <c r="CV22" i="28"/>
  <c r="CU42" i="28"/>
  <c r="CR46" i="28"/>
  <c r="CR45" i="28"/>
  <c r="CV36" i="28"/>
  <c r="CW8" i="28"/>
  <c r="CR36" i="28"/>
  <c r="N17" i="28"/>
  <c r="CW35" i="28"/>
  <c r="CS42" i="28"/>
  <c r="CW41" i="28"/>
  <c r="CR39" i="28"/>
  <c r="CT41" i="28"/>
  <c r="CU22" i="28"/>
  <c r="CU30" i="28"/>
  <c r="CW16" i="28"/>
  <c r="CS26" i="28"/>
  <c r="CV13" i="28"/>
  <c r="CV32" i="28"/>
  <c r="CT19" i="28"/>
  <c r="CU11" i="28"/>
  <c r="CW32" i="28"/>
  <c r="CS40" i="28"/>
  <c r="CR10" i="28"/>
  <c r="CR26" i="28"/>
  <c r="CU41" i="28"/>
  <c r="H25" i="18"/>
  <c r="I25" i="18" s="1"/>
  <c r="G26" i="18"/>
  <c r="M111" i="25"/>
  <c r="CT24" i="28"/>
  <c r="CV14" i="28"/>
  <c r="Z21" i="32"/>
  <c r="Z12" i="32"/>
  <c r="Z23" i="32"/>
  <c r="Z27" i="32"/>
  <c r="Z68" i="32"/>
  <c r="Z41" i="32"/>
  <c r="Z78" i="32"/>
  <c r="Z38" i="32"/>
  <c r="Z100" i="32"/>
  <c r="Z51" i="32"/>
  <c r="Z101" i="32"/>
  <c r="Z62" i="32"/>
  <c r="Z104" i="32"/>
  <c r="Z13" i="32"/>
  <c r="AA5" i="32"/>
  <c r="Z29" i="32"/>
  <c r="Z35" i="32"/>
  <c r="Z48" i="32"/>
  <c r="Z60" i="32"/>
  <c r="Z98" i="32"/>
  <c r="Z87" i="32"/>
  <c r="Z30" i="32"/>
  <c r="Z43" i="32"/>
  <c r="Z92" i="32"/>
  <c r="Z7" i="32"/>
  <c r="Z24" i="32"/>
  <c r="Z49" i="32"/>
  <c r="Z55" i="32"/>
  <c r="Z33" i="32"/>
  <c r="Z74" i="32"/>
  <c r="Z46" i="32"/>
  <c r="Z26" i="32"/>
  <c r="Z76" i="32"/>
  <c r="Z91" i="32"/>
  <c r="Z63" i="32"/>
  <c r="Z8" i="32"/>
  <c r="Z15" i="32"/>
  <c r="Z36" i="32"/>
  <c r="Z61" i="32"/>
  <c r="Z72" i="32"/>
  <c r="Z47" i="32"/>
  <c r="Z90" i="32"/>
  <c r="Z81" i="32"/>
  <c r="Z77" i="32"/>
  <c r="Z71" i="32"/>
  <c r="Z34" i="32"/>
  <c r="Z10" i="32"/>
  <c r="Z39" i="32"/>
  <c r="Z64" i="32"/>
  <c r="Z70" i="32"/>
  <c r="Z84" i="32"/>
  <c r="Z79" i="32"/>
  <c r="Z96" i="32"/>
  <c r="Z11" i="32"/>
  <c r="Z45" i="32"/>
  <c r="Z18" i="32"/>
  <c r="Z82" i="32"/>
  <c r="Z97" i="32"/>
  <c r="Z89" i="32"/>
  <c r="Z105" i="32"/>
  <c r="Z19" i="32"/>
  <c r="Z53" i="32"/>
  <c r="Z14" i="32"/>
  <c r="Z86" i="32"/>
  <c r="Z103" i="32"/>
  <c r="Z83" i="32"/>
  <c r="Z85" i="32"/>
  <c r="Z40" i="32"/>
  <c r="Z44" i="32"/>
  <c r="Z59" i="32"/>
  <c r="Z99" i="32"/>
  <c r="Z9" i="32"/>
  <c r="Z57" i="32"/>
  <c r="Z50" i="32"/>
  <c r="Z67" i="32"/>
  <c r="Z75" i="32"/>
  <c r="Z17" i="32"/>
  <c r="Z31" i="32"/>
  <c r="Z66" i="32"/>
  <c r="Z80" i="32"/>
  <c r="Z93" i="32"/>
  <c r="Z32" i="32"/>
  <c r="Z106" i="32"/>
  <c r="Z42" i="32"/>
  <c r="Z54" i="32"/>
  <c r="Z52" i="32"/>
  <c r="Z65" i="32"/>
  <c r="Z58" i="32"/>
  <c r="Z88" i="32"/>
  <c r="Z94" i="32"/>
  <c r="Z20" i="32"/>
  <c r="Z73" i="32"/>
  <c r="Z22" i="32"/>
  <c r="Z37" i="32"/>
  <c r="Z102" i="32"/>
  <c r="Z56" i="32"/>
  <c r="Z95" i="32"/>
  <c r="Z28" i="32"/>
  <c r="Z69" i="32"/>
  <c r="Z25" i="32"/>
  <c r="Z16" i="32"/>
  <c r="CV48" i="28"/>
  <c r="CU10" i="28"/>
  <c r="S110" i="25"/>
  <c r="W26" i="25"/>
  <c r="V27" i="25"/>
  <c r="CU8" i="28"/>
  <c r="CW23" i="28"/>
  <c r="CR14" i="28"/>
  <c r="CS45" i="28"/>
  <c r="CR25" i="28"/>
  <c r="S25" i="25"/>
  <c r="AI25" i="25"/>
  <c r="AJ25" i="25" s="1"/>
  <c r="T25" i="25" s="1"/>
  <c r="V113" i="25"/>
  <c r="W112" i="25"/>
  <c r="CV16" i="28"/>
  <c r="CT38" i="28"/>
  <c r="N25" i="28"/>
  <c r="N28" i="28"/>
  <c r="N26" i="28"/>
  <c r="N31" i="28"/>
  <c r="N32" i="28"/>
  <c r="N27" i="28"/>
  <c r="N24" i="28"/>
  <c r="N29" i="28"/>
  <c r="N30" i="28"/>
  <c r="N19" i="28"/>
  <c r="AC25" i="25"/>
  <c r="AD25" i="25" s="1"/>
  <c r="Q25" i="25" s="1"/>
  <c r="P25" i="25"/>
  <c r="CW15" i="28"/>
  <c r="CT12" i="28"/>
  <c r="CS36" i="28"/>
  <c r="CS24" i="28"/>
  <c r="CY24" i="28" l="1"/>
  <c r="Q16" i="28"/>
  <c r="P16" i="28"/>
  <c r="CY25" i="28"/>
  <c r="P17" i="28"/>
  <c r="Q17" i="28"/>
  <c r="S111" i="25"/>
  <c r="P26" i="25"/>
  <c r="AC26" i="25"/>
  <c r="AD26" i="25" s="1"/>
  <c r="Q26" i="25" s="1"/>
  <c r="O30" i="28"/>
  <c r="Q30" i="28"/>
  <c r="P30" i="28"/>
  <c r="O25" i="28"/>
  <c r="Q25" i="28"/>
  <c r="P25" i="28"/>
  <c r="AA9" i="32"/>
  <c r="AA27" i="32"/>
  <c r="AA36" i="32"/>
  <c r="AA34" i="32"/>
  <c r="AA67" i="32"/>
  <c r="AA51" i="32"/>
  <c r="AA85" i="32"/>
  <c r="AA55" i="32"/>
  <c r="AA94" i="32"/>
  <c r="AA80" i="32"/>
  <c r="AA79" i="32"/>
  <c r="AA103" i="32"/>
  <c r="AA12" i="32"/>
  <c r="AA11" i="32"/>
  <c r="AA22" i="32"/>
  <c r="AA25" i="32"/>
  <c r="AA63" i="32"/>
  <c r="AA54" i="32"/>
  <c r="AA93" i="32"/>
  <c r="AA72" i="32"/>
  <c r="AA74" i="32"/>
  <c r="AA84" i="32"/>
  <c r="AA95" i="32"/>
  <c r="AA24" i="32"/>
  <c r="AA23" i="32"/>
  <c r="AA44" i="32"/>
  <c r="AA43" i="32"/>
  <c r="AA32" i="32"/>
  <c r="AA69" i="32"/>
  <c r="AA105" i="32"/>
  <c r="AA88" i="32"/>
  <c r="AA68" i="32"/>
  <c r="AA98" i="32"/>
  <c r="AA70" i="32"/>
  <c r="AB5" i="32"/>
  <c r="AA14" i="32"/>
  <c r="AA39" i="32"/>
  <c r="AA56" i="32"/>
  <c r="AA59" i="32"/>
  <c r="AA29" i="32"/>
  <c r="AA81" i="32"/>
  <c r="AA61" i="32"/>
  <c r="AA53" i="32"/>
  <c r="AA50" i="32"/>
  <c r="AA82" i="32"/>
  <c r="AA100" i="32"/>
  <c r="AA10" i="32"/>
  <c r="AA33" i="32"/>
  <c r="AA62" i="32"/>
  <c r="AA73" i="32"/>
  <c r="AA75" i="32"/>
  <c r="AA86" i="32"/>
  <c r="AA37" i="32"/>
  <c r="AA18" i="32"/>
  <c r="AA48" i="32"/>
  <c r="AA71" i="32"/>
  <c r="AA77" i="32"/>
  <c r="AA78" i="32"/>
  <c r="AA76" i="32"/>
  <c r="AA92" i="32"/>
  <c r="AA15" i="32"/>
  <c r="AA52" i="32"/>
  <c r="AA28" i="32"/>
  <c r="AA89" i="32"/>
  <c r="AA91" i="32"/>
  <c r="AA90" i="32"/>
  <c r="AA96" i="32"/>
  <c r="AA31" i="32"/>
  <c r="AA49" i="32"/>
  <c r="AA17" i="32"/>
  <c r="AA104" i="32"/>
  <c r="AA35" i="32"/>
  <c r="AA42" i="32"/>
  <c r="AA41" i="32"/>
  <c r="AA102" i="32"/>
  <c r="AA13" i="32"/>
  <c r="AA45" i="32"/>
  <c r="AA64" i="32"/>
  <c r="AA106" i="32"/>
  <c r="AA7" i="32"/>
  <c r="AA38" i="32"/>
  <c r="AA66" i="32"/>
  <c r="AA16" i="32"/>
  <c r="AA46" i="32"/>
  <c r="AA47" i="32"/>
  <c r="AA20" i="32"/>
  <c r="AA40" i="32"/>
  <c r="AA58" i="32"/>
  <c r="AA65" i="32"/>
  <c r="AA19" i="32"/>
  <c r="AA21" i="32"/>
  <c r="AA26" i="32"/>
  <c r="AA99" i="32"/>
  <c r="AA60" i="32"/>
  <c r="AA57" i="32"/>
  <c r="AA97" i="32"/>
  <c r="AA8" i="32"/>
  <c r="AA30" i="32"/>
  <c r="AA101" i="32"/>
  <c r="AA83" i="32"/>
  <c r="AA87" i="32"/>
  <c r="Q29" i="28"/>
  <c r="O29" i="28"/>
  <c r="P29" i="28"/>
  <c r="Q27" i="28"/>
  <c r="O27" i="28"/>
  <c r="P27" i="28"/>
  <c r="M112" i="25"/>
  <c r="O32" i="28"/>
  <c r="Q32" i="28"/>
  <c r="P32" i="28"/>
  <c r="W113" i="25"/>
  <c r="V114" i="25"/>
  <c r="W27" i="25"/>
  <c r="V28" i="25"/>
  <c r="Q31" i="28"/>
  <c r="O31" i="28"/>
  <c r="P31" i="28"/>
  <c r="X26" i="25"/>
  <c r="Y26" i="25" s="1"/>
  <c r="N26" i="25" s="1"/>
  <c r="M26" i="25"/>
  <c r="L20" i="18"/>
  <c r="M20" i="18" s="1"/>
  <c r="K21" i="18"/>
  <c r="S26" i="25"/>
  <c r="AI26" i="25"/>
  <c r="AJ26" i="25" s="1"/>
  <c r="T26" i="25" s="1"/>
  <c r="Q26" i="28"/>
  <c r="P26" i="28"/>
  <c r="O26" i="28"/>
  <c r="AB27" i="25"/>
  <c r="AA28" i="25"/>
  <c r="AG27" i="25"/>
  <c r="AH27" i="25" s="1"/>
  <c r="CY27" i="28"/>
  <c r="Q19" i="28"/>
  <c r="P19" i="28"/>
  <c r="Q28" i="28"/>
  <c r="O28" i="28"/>
  <c r="P28" i="28"/>
  <c r="N20" i="28"/>
  <c r="P111" i="25"/>
  <c r="O24" i="28"/>
  <c r="P24" i="28"/>
  <c r="Q24" i="28"/>
  <c r="AB112" i="25"/>
  <c r="AA113" i="25"/>
  <c r="AG112" i="25"/>
  <c r="AH112" i="25" s="1"/>
  <c r="AL112" i="25"/>
  <c r="N18" i="28"/>
  <c r="H26" i="18"/>
  <c r="I26" i="18" s="1"/>
  <c r="G27" i="18"/>
  <c r="N21" i="28"/>
  <c r="S112" i="25" l="1"/>
  <c r="P112" i="25"/>
  <c r="H27" i="18"/>
  <c r="I27" i="18" s="1"/>
  <c r="G28" i="18"/>
  <c r="CY26" i="28"/>
  <c r="Q18" i="28"/>
  <c r="P18" i="28"/>
  <c r="V29" i="25"/>
  <c r="W28" i="25"/>
  <c r="AI27" i="25"/>
  <c r="AJ27" i="25" s="1"/>
  <c r="T27" i="25" s="1"/>
  <c r="S27" i="25"/>
  <c r="L21" i="18"/>
  <c r="M21" i="18" s="1"/>
  <c r="K22" i="18"/>
  <c r="M27" i="25"/>
  <c r="X27" i="25"/>
  <c r="Y27" i="25" s="1"/>
  <c r="N27" i="25" s="1"/>
  <c r="AB19" i="32"/>
  <c r="AB10" i="32"/>
  <c r="AB20" i="32"/>
  <c r="AB55" i="32"/>
  <c r="AB24" i="32"/>
  <c r="AB28" i="32"/>
  <c r="AB64" i="32"/>
  <c r="AB96" i="32"/>
  <c r="AB85" i="32"/>
  <c r="AB60" i="32"/>
  <c r="AB74" i="32"/>
  <c r="AB94" i="32"/>
  <c r="AB99" i="32"/>
  <c r="AB15" i="32"/>
  <c r="AB14" i="32"/>
  <c r="AB27" i="32"/>
  <c r="AB50" i="32"/>
  <c r="AB39" i="32"/>
  <c r="AB48" i="32"/>
  <c r="AB88" i="32"/>
  <c r="AB82" i="32"/>
  <c r="AB65" i="32"/>
  <c r="AB87" i="32"/>
  <c r="AB91" i="32"/>
  <c r="AB8" i="32"/>
  <c r="AB26" i="32"/>
  <c r="AB43" i="32"/>
  <c r="AB66" i="32"/>
  <c r="AB16" i="32"/>
  <c r="AB68" i="32"/>
  <c r="AB104" i="32"/>
  <c r="AB101" i="32"/>
  <c r="AB81" i="32"/>
  <c r="AB83" i="32"/>
  <c r="AB73" i="32"/>
  <c r="AB17" i="32"/>
  <c r="AB38" i="32"/>
  <c r="AB59" i="32"/>
  <c r="AB31" i="32"/>
  <c r="AB42" i="32"/>
  <c r="AB80" i="32"/>
  <c r="AB71" i="32"/>
  <c r="AB44" i="32"/>
  <c r="AB67" i="32"/>
  <c r="AB57" i="32"/>
  <c r="AB105" i="32"/>
  <c r="AB7" i="32"/>
  <c r="AB47" i="32"/>
  <c r="AB46" i="32"/>
  <c r="AB76" i="32"/>
  <c r="AB98" i="32"/>
  <c r="AB77" i="32"/>
  <c r="AB86" i="32"/>
  <c r="AB18" i="32"/>
  <c r="AB51" i="32"/>
  <c r="AB49" i="32"/>
  <c r="AB84" i="32"/>
  <c r="AB12" i="32"/>
  <c r="AB93" i="32"/>
  <c r="AB103" i="32"/>
  <c r="AB22" i="32"/>
  <c r="AB41" i="32"/>
  <c r="AB32" i="32"/>
  <c r="AB92" i="32"/>
  <c r="AB29" i="32"/>
  <c r="AB97" i="32"/>
  <c r="AB9" i="32"/>
  <c r="AB56" i="32"/>
  <c r="AB72" i="32"/>
  <c r="AB78" i="32"/>
  <c r="AB13" i="32"/>
  <c r="AB70" i="32"/>
  <c r="AB100" i="32"/>
  <c r="AB33" i="32"/>
  <c r="AB30" i="32"/>
  <c r="AB25" i="32"/>
  <c r="AB62" i="32"/>
  <c r="AB52" i="32"/>
  <c r="AC5" i="32"/>
  <c r="AB45" i="32"/>
  <c r="AB89" i="32"/>
  <c r="AB34" i="32"/>
  <c r="AB58" i="32"/>
  <c r="AB90" i="32"/>
  <c r="AB21" i="32"/>
  <c r="AB61" i="32"/>
  <c r="AB69" i="32"/>
  <c r="AB23" i="32"/>
  <c r="AB95" i="32"/>
  <c r="AB53" i="32"/>
  <c r="AB102" i="32"/>
  <c r="AB63" i="32"/>
  <c r="AB40" i="32"/>
  <c r="AB35" i="32"/>
  <c r="AB36" i="32"/>
  <c r="AB37" i="32"/>
  <c r="AB79" i="32"/>
  <c r="AB54" i="32"/>
  <c r="AB106" i="32"/>
  <c r="AB11" i="32"/>
  <c r="AB75" i="32"/>
  <c r="CY29" i="28"/>
  <c r="P21" i="28"/>
  <c r="Q21" i="28"/>
  <c r="CY28" i="28"/>
  <c r="P20" i="28"/>
  <c r="Q20" i="28"/>
  <c r="AB28" i="25"/>
  <c r="AA29" i="25"/>
  <c r="AG28" i="25"/>
  <c r="AH28" i="25" s="1"/>
  <c r="V115" i="25"/>
  <c r="W114" i="25"/>
  <c r="AB113" i="25"/>
  <c r="AA114" i="25"/>
  <c r="AG113" i="25"/>
  <c r="AH113" i="25" s="1"/>
  <c r="AL113" i="25"/>
  <c r="AC27" i="25"/>
  <c r="AD27" i="25" s="1"/>
  <c r="Q27" i="25" s="1"/>
  <c r="P27" i="25"/>
  <c r="M113" i="25"/>
  <c r="CY32" i="28" a="1"/>
  <c r="H28" i="18" l="1"/>
  <c r="I28" i="18" s="1"/>
  <c r="G29" i="18"/>
  <c r="CZ33" i="28"/>
  <c r="CZ36" i="28"/>
  <c r="CZ34" i="28"/>
  <c r="CY32" i="28"/>
  <c r="CY34" i="28"/>
  <c r="CZ35" i="28"/>
  <c r="CZ32" i="28"/>
  <c r="CY33" i="28"/>
  <c r="CY35" i="28"/>
  <c r="CY36" i="28"/>
  <c r="M114" i="25"/>
  <c r="W115" i="25"/>
  <c r="V116" i="25"/>
  <c r="AD5" i="32"/>
  <c r="AC17" i="32"/>
  <c r="AC28" i="32"/>
  <c r="AC62" i="32"/>
  <c r="AC69" i="32"/>
  <c r="AC49" i="32"/>
  <c r="AC83" i="32"/>
  <c r="AC14" i="32"/>
  <c r="AC8" i="32"/>
  <c r="AC41" i="32"/>
  <c r="AC58" i="32"/>
  <c r="AC27" i="32"/>
  <c r="AC55" i="32"/>
  <c r="AC95" i="32"/>
  <c r="AC76" i="32"/>
  <c r="AC72" i="32"/>
  <c r="AC84" i="32"/>
  <c r="AC74" i="32"/>
  <c r="AC90" i="32"/>
  <c r="AC26" i="32"/>
  <c r="AC16" i="32"/>
  <c r="AC33" i="32"/>
  <c r="AC9" i="32"/>
  <c r="AC34" i="32"/>
  <c r="AC47" i="32"/>
  <c r="AC35" i="32"/>
  <c r="AC87" i="32"/>
  <c r="AC73" i="32"/>
  <c r="AC82" i="32"/>
  <c r="AC85" i="32"/>
  <c r="AC101" i="32"/>
  <c r="AC106" i="32"/>
  <c r="AC13" i="32"/>
  <c r="AC42" i="32"/>
  <c r="AC57" i="32"/>
  <c r="AC39" i="32"/>
  <c r="AC91" i="32"/>
  <c r="AC86" i="32"/>
  <c r="AC36" i="32"/>
  <c r="AC96" i="32"/>
  <c r="AC104" i="32"/>
  <c r="AC10" i="32"/>
  <c r="AC21" i="32"/>
  <c r="AC46" i="32"/>
  <c r="AC60" i="32"/>
  <c r="AC52" i="32"/>
  <c r="AC99" i="32"/>
  <c r="AC89" i="32"/>
  <c r="AC53" i="32"/>
  <c r="AC100" i="32"/>
  <c r="AC45" i="32"/>
  <c r="AC18" i="32"/>
  <c r="AC11" i="32"/>
  <c r="AC38" i="32"/>
  <c r="AC79" i="32"/>
  <c r="AC32" i="32"/>
  <c r="AC105" i="32"/>
  <c r="AC98" i="32"/>
  <c r="AC22" i="32"/>
  <c r="AC31" i="32"/>
  <c r="AC43" i="32"/>
  <c r="AC103" i="32"/>
  <c r="AC61" i="32"/>
  <c r="AC51" i="32"/>
  <c r="AC80" i="32"/>
  <c r="AC7" i="32"/>
  <c r="AC50" i="32"/>
  <c r="AC23" i="32"/>
  <c r="AC19" i="32"/>
  <c r="AC64" i="32"/>
  <c r="AC68" i="32"/>
  <c r="AC29" i="32"/>
  <c r="AC63" i="32"/>
  <c r="AC102" i="32"/>
  <c r="AC77" i="32"/>
  <c r="AC37" i="32"/>
  <c r="AC67" i="32"/>
  <c r="AC59" i="32"/>
  <c r="AC88" i="32"/>
  <c r="AC54" i="32"/>
  <c r="AC71" i="32"/>
  <c r="AC66" i="32"/>
  <c r="AC94" i="32"/>
  <c r="AC15" i="32"/>
  <c r="AC70" i="32"/>
  <c r="AC65" i="32"/>
  <c r="AC81" i="32"/>
  <c r="AC20" i="32"/>
  <c r="AC48" i="32"/>
  <c r="AC97" i="32"/>
  <c r="AC25" i="32"/>
  <c r="AC40" i="32"/>
  <c r="AC30" i="32"/>
  <c r="AC93" i="32"/>
  <c r="AC44" i="32"/>
  <c r="AC56" i="32"/>
  <c r="AC92" i="32"/>
  <c r="AC78" i="32"/>
  <c r="AC12" i="32"/>
  <c r="AC24" i="32"/>
  <c r="AC75" i="32"/>
  <c r="AA30" i="25"/>
  <c r="AB29" i="25"/>
  <c r="AG29" i="25"/>
  <c r="AH29" i="25" s="1"/>
  <c r="AC28" i="25"/>
  <c r="AD28" i="25" s="1"/>
  <c r="Q28" i="25" s="1"/>
  <c r="P28" i="25"/>
  <c r="S113" i="25"/>
  <c r="S28" i="25"/>
  <c r="AI28" i="25"/>
  <c r="AJ28" i="25" s="1"/>
  <c r="T28" i="25" s="1"/>
  <c r="L22" i="18"/>
  <c r="M22" i="18" s="1"/>
  <c r="K23" i="18"/>
  <c r="AA115" i="25"/>
  <c r="AB114" i="25"/>
  <c r="AG114" i="25"/>
  <c r="AH114" i="25" s="1"/>
  <c r="AL114" i="25"/>
  <c r="X28" i="25"/>
  <c r="Y28" i="25" s="1"/>
  <c r="N28" i="25" s="1"/>
  <c r="M28" i="25"/>
  <c r="W29" i="25"/>
  <c r="V30" i="25"/>
  <c r="P113" i="25"/>
  <c r="V31" i="25" l="1"/>
  <c r="W30" i="25"/>
  <c r="L23" i="18"/>
  <c r="M23" i="18" s="1"/>
  <c r="K24" i="18"/>
  <c r="S29" i="25"/>
  <c r="AI29" i="25"/>
  <c r="AJ29" i="25" s="1"/>
  <c r="T29" i="25" s="1"/>
  <c r="W116" i="25"/>
  <c r="V117" i="25"/>
  <c r="AA31" i="25"/>
  <c r="AB30" i="25"/>
  <c r="AG30" i="25"/>
  <c r="AH30" i="25" s="1"/>
  <c r="M115" i="25"/>
  <c r="P29" i="25"/>
  <c r="AC29" i="25"/>
  <c r="AD29" i="25" s="1"/>
  <c r="Q29" i="25" s="1"/>
  <c r="H29" i="18"/>
  <c r="I29" i="18" s="1"/>
  <c r="G30" i="18"/>
  <c r="M29" i="25"/>
  <c r="X29" i="25"/>
  <c r="Y29" i="25" s="1"/>
  <c r="N29" i="25" s="1"/>
  <c r="S114" i="25"/>
  <c r="P114" i="25"/>
  <c r="AB115" i="25"/>
  <c r="AA116" i="25"/>
  <c r="AL115" i="25"/>
  <c r="AG115" i="25"/>
  <c r="AH115" i="25" s="1"/>
  <c r="AD17" i="32"/>
  <c r="AE5" i="32"/>
  <c r="AD40" i="32"/>
  <c r="AD57" i="32"/>
  <c r="AD64" i="32"/>
  <c r="AD31" i="32"/>
  <c r="AD74" i="32"/>
  <c r="AD106" i="32"/>
  <c r="AD11" i="32"/>
  <c r="AD32" i="32"/>
  <c r="AD53" i="32"/>
  <c r="AD68" i="32"/>
  <c r="AD46" i="32"/>
  <c r="AD86" i="32"/>
  <c r="AD77" i="32"/>
  <c r="AD71" i="32"/>
  <c r="AD60" i="32"/>
  <c r="AD103" i="32"/>
  <c r="AD101" i="32"/>
  <c r="AD8" i="32"/>
  <c r="AD15" i="32"/>
  <c r="AD36" i="32"/>
  <c r="AD61" i="32"/>
  <c r="AD26" i="32"/>
  <c r="AD56" i="32"/>
  <c r="AD90" i="32"/>
  <c r="AD80" i="32"/>
  <c r="AD73" i="32"/>
  <c r="AD65" i="32"/>
  <c r="AD81" i="32"/>
  <c r="AD104" i="32"/>
  <c r="AD9" i="32"/>
  <c r="AD19" i="32"/>
  <c r="AD18" i="32"/>
  <c r="AD29" i="32"/>
  <c r="AD30" i="32"/>
  <c r="AD59" i="32"/>
  <c r="AD94" i="32"/>
  <c r="AD83" i="32"/>
  <c r="AD76" i="32"/>
  <c r="AD72" i="32"/>
  <c r="AD84" i="32"/>
  <c r="AD58" i="32"/>
  <c r="AD16" i="32"/>
  <c r="AD49" i="32"/>
  <c r="AD47" i="32"/>
  <c r="AD98" i="32"/>
  <c r="AD55" i="32"/>
  <c r="AD85" i="32"/>
  <c r="AD97" i="32"/>
  <c r="AD20" i="32"/>
  <c r="AD33" i="32"/>
  <c r="AD27" i="32"/>
  <c r="AD102" i="32"/>
  <c r="AD63" i="32"/>
  <c r="AD88" i="32"/>
  <c r="AD87" i="32"/>
  <c r="AD13" i="32"/>
  <c r="AD24" i="32"/>
  <c r="AD37" i="32"/>
  <c r="AD43" i="32"/>
  <c r="AD23" i="32"/>
  <c r="AD79" i="32"/>
  <c r="AD67" i="32"/>
  <c r="AD91" i="32"/>
  <c r="AD28" i="32"/>
  <c r="AD34" i="32"/>
  <c r="AD69" i="32"/>
  <c r="AD75" i="32"/>
  <c r="AD35" i="32"/>
  <c r="AD44" i="32"/>
  <c r="AD93" i="32"/>
  <c r="AD92" i="32"/>
  <c r="AD38" i="32"/>
  <c r="AD62" i="32"/>
  <c r="AD96" i="32"/>
  <c r="AD100" i="32"/>
  <c r="AD25" i="32"/>
  <c r="AD54" i="32"/>
  <c r="AD22" i="32"/>
  <c r="AD12" i="32"/>
  <c r="AD78" i="32"/>
  <c r="AD105" i="32"/>
  <c r="AD48" i="32"/>
  <c r="AD99" i="32"/>
  <c r="AD95" i="32"/>
  <c r="AD66" i="32"/>
  <c r="AD89" i="32"/>
  <c r="AD70" i="32"/>
  <c r="AD21" i="32"/>
  <c r="AD82" i="32"/>
  <c r="AD50" i="32"/>
  <c r="AD14" i="32"/>
  <c r="AD39" i="32"/>
  <c r="AD51" i="32"/>
  <c r="AD42" i="32"/>
  <c r="AD52" i="32"/>
  <c r="AD45" i="32"/>
  <c r="AD7" i="32"/>
  <c r="AD10" i="32"/>
  <c r="AD41" i="32"/>
  <c r="N43" i="28"/>
  <c r="N36" i="28"/>
  <c r="N37" i="28"/>
  <c r="N39" i="28"/>
  <c r="N42" i="28"/>
  <c r="N38" i="28"/>
  <c r="N41" i="28"/>
  <c r="N35" i="28"/>
  <c r="N40" i="28"/>
  <c r="M116" i="25" l="1"/>
  <c r="P115" i="25"/>
  <c r="V118" i="25"/>
  <c r="W117" i="25"/>
  <c r="AE16" i="32"/>
  <c r="AE11" i="32"/>
  <c r="AE26" i="32"/>
  <c r="AE17" i="32"/>
  <c r="AE58" i="32"/>
  <c r="AE41" i="32"/>
  <c r="AE65" i="32"/>
  <c r="AE97" i="32"/>
  <c r="AE74" i="32"/>
  <c r="AE70" i="32"/>
  <c r="AE59" i="32"/>
  <c r="AE20" i="32"/>
  <c r="AE15" i="32"/>
  <c r="AE29" i="32"/>
  <c r="AE21" i="32"/>
  <c r="AE61" i="32"/>
  <c r="AE25" i="32"/>
  <c r="AE69" i="32"/>
  <c r="AE101" i="32"/>
  <c r="AE84" i="32"/>
  <c r="AE80" i="32"/>
  <c r="AE78" i="32"/>
  <c r="AE72" i="32"/>
  <c r="AE24" i="32"/>
  <c r="AE19" i="32"/>
  <c r="AE32" i="32"/>
  <c r="AE22" i="32"/>
  <c r="AE63" i="32"/>
  <c r="AE30" i="32"/>
  <c r="AE73" i="32"/>
  <c r="AE105" i="32"/>
  <c r="AE87" i="32"/>
  <c r="AE49" i="32"/>
  <c r="AE86" i="32"/>
  <c r="AE83" i="32"/>
  <c r="AE10" i="32"/>
  <c r="AE44" i="32"/>
  <c r="AE45" i="32"/>
  <c r="AE38" i="32"/>
  <c r="AE93" i="32"/>
  <c r="AE103" i="32"/>
  <c r="AE91" i="32"/>
  <c r="AE88" i="32"/>
  <c r="AE14" i="32"/>
  <c r="AE48" i="32"/>
  <c r="AE55" i="32"/>
  <c r="AE47" i="32"/>
  <c r="AE28" i="32"/>
  <c r="AE46" i="32"/>
  <c r="AE95" i="32"/>
  <c r="AE94" i="32"/>
  <c r="AE18" i="32"/>
  <c r="AE52" i="32"/>
  <c r="AE67" i="32"/>
  <c r="AE50" i="32"/>
  <c r="AE43" i="32"/>
  <c r="AE62" i="32"/>
  <c r="AE99" i="32"/>
  <c r="AE98" i="32"/>
  <c r="AE12" i="32"/>
  <c r="AE56" i="32"/>
  <c r="AE37" i="32"/>
  <c r="AE57" i="32"/>
  <c r="AE82" i="32"/>
  <c r="AE8" i="32"/>
  <c r="AE60" i="32"/>
  <c r="AE34" i="32"/>
  <c r="AE68" i="32"/>
  <c r="AE106" i="32"/>
  <c r="AE9" i="32"/>
  <c r="AE36" i="32"/>
  <c r="AE53" i="32"/>
  <c r="AE90" i="32"/>
  <c r="AE92" i="32"/>
  <c r="AE23" i="32"/>
  <c r="AE13" i="32"/>
  <c r="AE54" i="32"/>
  <c r="AE104" i="32"/>
  <c r="AE35" i="32"/>
  <c r="AE81" i="32"/>
  <c r="AE79" i="32"/>
  <c r="AE42" i="32"/>
  <c r="AE51" i="32"/>
  <c r="AE75" i="32"/>
  <c r="AE77" i="32"/>
  <c r="AE102" i="32"/>
  <c r="AE7" i="32"/>
  <c r="AE85" i="32"/>
  <c r="AE27" i="32"/>
  <c r="AE89" i="32"/>
  <c r="AE71" i="32"/>
  <c r="AE33" i="32"/>
  <c r="AE100" i="32"/>
  <c r="AE96" i="32"/>
  <c r="AE66" i="32"/>
  <c r="AE39" i="32"/>
  <c r="AE40" i="32"/>
  <c r="AE64" i="32"/>
  <c r="AE31" i="32"/>
  <c r="AE76" i="32"/>
  <c r="L24" i="18"/>
  <c r="M24" i="18" s="1"/>
  <c r="K25" i="18"/>
  <c r="S115" i="25"/>
  <c r="AI30" i="25"/>
  <c r="AJ30" i="25" s="1"/>
  <c r="T30" i="25" s="1"/>
  <c r="S30" i="25"/>
  <c r="AC30" i="25"/>
  <c r="AD30" i="25" s="1"/>
  <c r="Q30" i="25" s="1"/>
  <c r="P30" i="25"/>
  <c r="X30" i="25"/>
  <c r="Y30" i="25" s="1"/>
  <c r="N30" i="25" s="1"/>
  <c r="M30" i="25"/>
  <c r="AB116" i="25"/>
  <c r="AA117" i="25"/>
  <c r="AG116" i="25"/>
  <c r="AH116" i="25" s="1"/>
  <c r="AL116" i="25"/>
  <c r="H30" i="18"/>
  <c r="I30" i="18" s="1"/>
  <c r="G31" i="18"/>
  <c r="AA32" i="25"/>
  <c r="AB31" i="25"/>
  <c r="AG31" i="25"/>
  <c r="AH31" i="25" s="1"/>
  <c r="W31" i="25"/>
  <c r="V32" i="25"/>
  <c r="W32" i="25" l="1"/>
  <c r="V33" i="25"/>
  <c r="X31" i="25"/>
  <c r="Y31" i="25" s="1"/>
  <c r="N31" i="25" s="1"/>
  <c r="M31" i="25"/>
  <c r="AA33" i="25"/>
  <c r="AB32" i="25"/>
  <c r="AG32" i="25"/>
  <c r="AH32" i="25" s="1"/>
  <c r="P116" i="25"/>
  <c r="V119" i="25"/>
  <c r="W118" i="25"/>
  <c r="S116" i="25"/>
  <c r="AI31" i="25"/>
  <c r="AJ31" i="25" s="1"/>
  <c r="T31" i="25" s="1"/>
  <c r="S31" i="25"/>
  <c r="AC31" i="25"/>
  <c r="AD31" i="25" s="1"/>
  <c r="Q31" i="25" s="1"/>
  <c r="P31" i="25"/>
  <c r="L25" i="18"/>
  <c r="M25" i="18" s="1"/>
  <c r="K26" i="18"/>
  <c r="AA118" i="25"/>
  <c r="AB117" i="25"/>
  <c r="AL117" i="25"/>
  <c r="AG117" i="25"/>
  <c r="AH117" i="25" s="1"/>
  <c r="H31" i="18"/>
  <c r="I31" i="18" s="1"/>
  <c r="G32" i="18"/>
  <c r="M117" i="25"/>
  <c r="AA34" i="25" l="1"/>
  <c r="AB33" i="25"/>
  <c r="AG33" i="25"/>
  <c r="AH33" i="25" s="1"/>
  <c r="S32" i="25"/>
  <c r="AI32" i="25"/>
  <c r="AJ32" i="25" s="1"/>
  <c r="T32" i="25" s="1"/>
  <c r="P117" i="25"/>
  <c r="AB118" i="25"/>
  <c r="AA119" i="25"/>
  <c r="AG118" i="25"/>
  <c r="AH118" i="25" s="1"/>
  <c r="AL118" i="25"/>
  <c r="M118" i="25"/>
  <c r="V120" i="25"/>
  <c r="W119" i="25"/>
  <c r="W33" i="25"/>
  <c r="V34" i="25"/>
  <c r="S117" i="25"/>
  <c r="AC32" i="25"/>
  <c r="AD32" i="25" s="1"/>
  <c r="Q32" i="25" s="1"/>
  <c r="P32" i="25"/>
  <c r="L26" i="18"/>
  <c r="M26" i="18" s="1"/>
  <c r="K27" i="18"/>
  <c r="H32" i="18"/>
  <c r="I32" i="18" s="1"/>
  <c r="G33" i="18"/>
  <c r="M32" i="25"/>
  <c r="X32" i="25"/>
  <c r="Y32" i="25" s="1"/>
  <c r="N32" i="25" s="1"/>
  <c r="M119" i="25" l="1"/>
  <c r="X33" i="25"/>
  <c r="Y33" i="25" s="1"/>
  <c r="N33" i="25" s="1"/>
  <c r="M33" i="25"/>
  <c r="P118" i="25"/>
  <c r="L27" i="18"/>
  <c r="M27" i="18" s="1"/>
  <c r="K28" i="18"/>
  <c r="W120" i="25"/>
  <c r="V121" i="25"/>
  <c r="S33" i="25"/>
  <c r="AI33" i="25"/>
  <c r="AJ33" i="25" s="1"/>
  <c r="T33" i="25" s="1"/>
  <c r="S118" i="25"/>
  <c r="P33" i="25"/>
  <c r="AC33" i="25"/>
  <c r="AD33" i="25" s="1"/>
  <c r="Q33" i="25" s="1"/>
  <c r="H33" i="18"/>
  <c r="I33" i="18" s="1"/>
  <c r="G34" i="18"/>
  <c r="W34" i="25"/>
  <c r="V35" i="25"/>
  <c r="AB119" i="25"/>
  <c r="AA120" i="25"/>
  <c r="AG119" i="25"/>
  <c r="AH119" i="25" s="1"/>
  <c r="AL119" i="25"/>
  <c r="AA35" i="25"/>
  <c r="AB34" i="25"/>
  <c r="AG34" i="25"/>
  <c r="AH34" i="25" s="1"/>
  <c r="L28" i="18" l="1"/>
  <c r="M28" i="18" s="1"/>
  <c r="K29" i="18"/>
  <c r="P119" i="25"/>
  <c r="S119" i="25"/>
  <c r="AA121" i="25"/>
  <c r="AB120" i="25"/>
  <c r="AG120" i="25"/>
  <c r="AH120" i="25" s="1"/>
  <c r="AL120" i="25"/>
  <c r="W35" i="25"/>
  <c r="V36" i="25"/>
  <c r="P34" i="25"/>
  <c r="AC34" i="25"/>
  <c r="AD34" i="25" s="1"/>
  <c r="Q34" i="25" s="1"/>
  <c r="H34" i="18"/>
  <c r="I34" i="18" s="1"/>
  <c r="G35" i="18"/>
  <c r="W121" i="25"/>
  <c r="V122" i="25"/>
  <c r="S34" i="25"/>
  <c r="AI34" i="25"/>
  <c r="AJ34" i="25" s="1"/>
  <c r="T34" i="25" s="1"/>
  <c r="M34" i="25"/>
  <c r="X34" i="25"/>
  <c r="Y34" i="25" s="1"/>
  <c r="N34" i="25" s="1"/>
  <c r="AB35" i="25"/>
  <c r="AA36" i="25"/>
  <c r="AG35" i="25"/>
  <c r="AH35" i="25" s="1"/>
  <c r="M120" i="25"/>
  <c r="AA37" i="25" l="1"/>
  <c r="AB36" i="25"/>
  <c r="AG36" i="25"/>
  <c r="AH36" i="25" s="1"/>
  <c r="H35" i="18"/>
  <c r="I35" i="18" s="1"/>
  <c r="G36" i="18"/>
  <c r="P120" i="25"/>
  <c r="AC35" i="25"/>
  <c r="AD35" i="25" s="1"/>
  <c r="Q35" i="25" s="1"/>
  <c r="P35" i="25"/>
  <c r="W36" i="25"/>
  <c r="V37" i="25"/>
  <c r="X35" i="25"/>
  <c r="Y35" i="25" s="1"/>
  <c r="N35" i="25" s="1"/>
  <c r="M35" i="25"/>
  <c r="AA122" i="25"/>
  <c r="AB121" i="25"/>
  <c r="AL121" i="25"/>
  <c r="AG121" i="25"/>
  <c r="AH121" i="25" s="1"/>
  <c r="V123" i="25"/>
  <c r="W122" i="25"/>
  <c r="L29" i="18"/>
  <c r="M29" i="18" s="1"/>
  <c r="K30" i="18"/>
  <c r="AI35" i="25"/>
  <c r="AJ35" i="25" s="1"/>
  <c r="T35" i="25" s="1"/>
  <c r="S35" i="25"/>
  <c r="M121" i="25"/>
  <c r="S120" i="25"/>
  <c r="P121" i="25" l="1"/>
  <c r="AA123" i="25"/>
  <c r="AB122" i="25"/>
  <c r="AG122" i="25"/>
  <c r="AH122" i="25" s="1"/>
  <c r="AL122" i="25"/>
  <c r="L30" i="18"/>
  <c r="M30" i="18" s="1"/>
  <c r="K31" i="18"/>
  <c r="H36" i="18"/>
  <c r="I36" i="18" s="1"/>
  <c r="G37" i="18"/>
  <c r="S36" i="25"/>
  <c r="AI36" i="25"/>
  <c r="AJ36" i="25" s="1"/>
  <c r="T36" i="25" s="1"/>
  <c r="M122" i="25"/>
  <c r="V38" i="25"/>
  <c r="W37" i="25"/>
  <c r="V124" i="25"/>
  <c r="W123" i="25"/>
  <c r="M36" i="25"/>
  <c r="X36" i="25"/>
  <c r="Y36" i="25" s="1"/>
  <c r="N36" i="25" s="1"/>
  <c r="P36" i="25"/>
  <c r="AC36" i="25"/>
  <c r="AD36" i="25" s="1"/>
  <c r="Q36" i="25" s="1"/>
  <c r="S121" i="25"/>
  <c r="AA38" i="25"/>
  <c r="AB37" i="25"/>
  <c r="AG37" i="25"/>
  <c r="AH37" i="25" s="1"/>
  <c r="M37" i="25" l="1"/>
  <c r="X37" i="25"/>
  <c r="Y37" i="25" s="1"/>
  <c r="N37" i="25" s="1"/>
  <c r="L31" i="18"/>
  <c r="M31" i="18" s="1"/>
  <c r="K32" i="18"/>
  <c r="S122" i="25"/>
  <c r="P122" i="25"/>
  <c r="V39" i="25"/>
  <c r="W38" i="25"/>
  <c r="AB123" i="25"/>
  <c r="AA124" i="25"/>
  <c r="AG123" i="25"/>
  <c r="AH123" i="25" s="1"/>
  <c r="AL123" i="25"/>
  <c r="S37" i="25"/>
  <c r="AI37" i="25"/>
  <c r="AJ37" i="25" s="1"/>
  <c r="T37" i="25" s="1"/>
  <c r="P37" i="25"/>
  <c r="AC37" i="25"/>
  <c r="AD37" i="25" s="1"/>
  <c r="Q37" i="25" s="1"/>
  <c r="M123" i="25"/>
  <c r="H37" i="18"/>
  <c r="I37" i="18" s="1"/>
  <c r="G38" i="18"/>
  <c r="AA39" i="25"/>
  <c r="AB38" i="25"/>
  <c r="AG38" i="25"/>
  <c r="AH38" i="25" s="1"/>
  <c r="V125" i="25"/>
  <c r="W124" i="25"/>
  <c r="AB39" i="25" l="1"/>
  <c r="AA40" i="25"/>
  <c r="AG39" i="25"/>
  <c r="AH39" i="25" s="1"/>
  <c r="S123" i="25"/>
  <c r="AA125" i="25"/>
  <c r="AB124" i="25"/>
  <c r="AL124" i="25"/>
  <c r="AG124" i="25"/>
  <c r="AH124" i="25" s="1"/>
  <c r="L32" i="18"/>
  <c r="M32" i="18" s="1"/>
  <c r="K33" i="18"/>
  <c r="P123" i="25"/>
  <c r="H38" i="18"/>
  <c r="I38" i="18" s="1"/>
  <c r="G39" i="18"/>
  <c r="M38" i="25"/>
  <c r="X38" i="25"/>
  <c r="Y38" i="25" s="1"/>
  <c r="N38" i="25" s="1"/>
  <c r="AC38" i="25"/>
  <c r="AD38" i="25" s="1"/>
  <c r="Q38" i="25" s="1"/>
  <c r="P38" i="25"/>
  <c r="M124" i="25"/>
  <c r="V126" i="25"/>
  <c r="W125" i="25"/>
  <c r="S38" i="25"/>
  <c r="AI38" i="25"/>
  <c r="AJ38" i="25" s="1"/>
  <c r="T38" i="25" s="1"/>
  <c r="W39" i="25"/>
  <c r="V40" i="25"/>
  <c r="H39" i="18" l="1"/>
  <c r="I39" i="18" s="1"/>
  <c r="G40" i="18"/>
  <c r="M125" i="25"/>
  <c r="P124" i="25"/>
  <c r="W126" i="25"/>
  <c r="V127" i="25"/>
  <c r="AB125" i="25"/>
  <c r="AA126" i="25"/>
  <c r="AL125" i="25"/>
  <c r="AG125" i="25"/>
  <c r="AH125" i="25" s="1"/>
  <c r="S39" i="25"/>
  <c r="AI39" i="25"/>
  <c r="AJ39" i="25" s="1"/>
  <c r="T39" i="25" s="1"/>
  <c r="V41" i="25"/>
  <c r="W40" i="25"/>
  <c r="L33" i="18"/>
  <c r="M33" i="18" s="1"/>
  <c r="K34" i="18"/>
  <c r="X39" i="25"/>
  <c r="Y39" i="25" s="1"/>
  <c r="N39" i="25" s="1"/>
  <c r="M39" i="25"/>
  <c r="AB40" i="25"/>
  <c r="AG40" i="25"/>
  <c r="AH40" i="25" s="1"/>
  <c r="AA41" i="25"/>
  <c r="S124" i="25"/>
  <c r="AC39" i="25"/>
  <c r="AD39" i="25" s="1"/>
  <c r="Q39" i="25" s="1"/>
  <c r="P39" i="25"/>
  <c r="AA42" i="25" l="1"/>
  <c r="AB41" i="25"/>
  <c r="AG41" i="25"/>
  <c r="AH41" i="25" s="1"/>
  <c r="M126" i="25"/>
  <c r="X40" i="25"/>
  <c r="Y40" i="25" s="1"/>
  <c r="N40" i="25" s="1"/>
  <c r="M40" i="25"/>
  <c r="V128" i="25"/>
  <c r="W127" i="25"/>
  <c r="P40" i="25"/>
  <c r="AC40" i="25"/>
  <c r="AD40" i="25" s="1"/>
  <c r="Q40" i="25" s="1"/>
  <c r="S125" i="25"/>
  <c r="W41" i="25"/>
  <c r="V42" i="25"/>
  <c r="AI40" i="25"/>
  <c r="AJ40" i="25" s="1"/>
  <c r="T40" i="25" s="1"/>
  <c r="S40" i="25"/>
  <c r="L34" i="18"/>
  <c r="M34" i="18" s="1"/>
  <c r="K35" i="18"/>
  <c r="AA127" i="25"/>
  <c r="AB126" i="25"/>
  <c r="AL126" i="25"/>
  <c r="AG126" i="25"/>
  <c r="AH126" i="25" s="1"/>
  <c r="H40" i="18"/>
  <c r="I40" i="18" s="1"/>
  <c r="G41" i="18"/>
  <c r="P125" i="25"/>
  <c r="W128" i="25" l="1"/>
  <c r="V129" i="25"/>
  <c r="W42" i="25"/>
  <c r="V43" i="25"/>
  <c r="P126" i="25"/>
  <c r="AA128" i="25"/>
  <c r="AB127" i="25"/>
  <c r="AL127" i="25"/>
  <c r="AG127" i="25"/>
  <c r="AH127" i="25" s="1"/>
  <c r="S41" i="25"/>
  <c r="AI41" i="25"/>
  <c r="AJ41" i="25" s="1"/>
  <c r="T41" i="25" s="1"/>
  <c r="S126" i="25"/>
  <c r="X41" i="25"/>
  <c r="Y41" i="25" s="1"/>
  <c r="N41" i="25" s="1"/>
  <c r="M41" i="25"/>
  <c r="L35" i="18"/>
  <c r="M35" i="18" s="1"/>
  <c r="K36" i="18"/>
  <c r="AC41" i="25"/>
  <c r="AD41" i="25" s="1"/>
  <c r="Q41" i="25" s="1"/>
  <c r="P41" i="25"/>
  <c r="H41" i="18"/>
  <c r="I41" i="18" s="1"/>
  <c r="G42" i="18"/>
  <c r="M127" i="25"/>
  <c r="AB42" i="25"/>
  <c r="AA43" i="25"/>
  <c r="AG42" i="25"/>
  <c r="AH42" i="25" s="1"/>
  <c r="P42" i="25" l="1"/>
  <c r="AC42" i="25"/>
  <c r="AD42" i="25" s="1"/>
  <c r="Q42" i="25" s="1"/>
  <c r="P127" i="25"/>
  <c r="H42" i="18"/>
  <c r="I42" i="18" s="1"/>
  <c r="G43" i="18"/>
  <c r="V44" i="25"/>
  <c r="W43" i="25"/>
  <c r="AI42" i="25"/>
  <c r="AJ42" i="25" s="1"/>
  <c r="T42" i="25" s="1"/>
  <c r="S42" i="25"/>
  <c r="X42" i="25"/>
  <c r="Y42" i="25" s="1"/>
  <c r="N42" i="25" s="1"/>
  <c r="M42" i="25"/>
  <c r="AB43" i="25"/>
  <c r="AA44" i="25"/>
  <c r="AG43" i="25"/>
  <c r="AH43" i="25" s="1"/>
  <c r="L36" i="18"/>
  <c r="M36" i="18" s="1"/>
  <c r="K37" i="18"/>
  <c r="S127" i="25"/>
  <c r="V130" i="25"/>
  <c r="W129" i="25"/>
  <c r="AB128" i="25"/>
  <c r="AA129" i="25"/>
  <c r="AL128" i="25"/>
  <c r="AG128" i="25"/>
  <c r="AH128" i="25" s="1"/>
  <c r="M128" i="25"/>
  <c r="X43" i="25" l="1"/>
  <c r="Y43" i="25" s="1"/>
  <c r="N43" i="25" s="1"/>
  <c r="M43" i="25"/>
  <c r="AI43" i="25"/>
  <c r="AJ43" i="25" s="1"/>
  <c r="T43" i="25" s="1"/>
  <c r="S43" i="25"/>
  <c r="H43" i="18"/>
  <c r="I43" i="18" s="1"/>
  <c r="G44" i="18"/>
  <c r="P128" i="25"/>
  <c r="AC43" i="25"/>
  <c r="AD43" i="25" s="1"/>
  <c r="Q43" i="25" s="1"/>
  <c r="P43" i="25"/>
  <c r="V131" i="25"/>
  <c r="W130" i="25"/>
  <c r="W44" i="25"/>
  <c r="V45" i="25"/>
  <c r="AB129" i="25"/>
  <c r="AA130" i="25"/>
  <c r="AG129" i="25"/>
  <c r="AH129" i="25" s="1"/>
  <c r="AL129" i="25"/>
  <c r="AA45" i="25"/>
  <c r="AB44" i="25"/>
  <c r="AG44" i="25"/>
  <c r="AH44" i="25" s="1"/>
  <c r="M129" i="25"/>
  <c r="S128" i="25"/>
  <c r="L37" i="18"/>
  <c r="M37" i="18" s="1"/>
  <c r="K38" i="18"/>
  <c r="AB130" i="25" l="1"/>
  <c r="AA131" i="25"/>
  <c r="AG130" i="25"/>
  <c r="AH130" i="25" s="1"/>
  <c r="AL130" i="25"/>
  <c r="W45" i="25"/>
  <c r="V46" i="25"/>
  <c r="H44" i="18"/>
  <c r="I44" i="18" s="1"/>
  <c r="G45" i="18"/>
  <c r="AI44" i="25"/>
  <c r="AJ44" i="25" s="1"/>
  <c r="T44" i="25" s="1"/>
  <c r="S44" i="25"/>
  <c r="X44" i="25"/>
  <c r="Y44" i="25" s="1"/>
  <c r="N44" i="25" s="1"/>
  <c r="M44" i="25"/>
  <c r="AC44" i="25"/>
  <c r="AD44" i="25" s="1"/>
  <c r="Q44" i="25" s="1"/>
  <c r="P44" i="25"/>
  <c r="M130" i="25"/>
  <c r="P129" i="25"/>
  <c r="AB45" i="25"/>
  <c r="AA46" i="25"/>
  <c r="AG45" i="25"/>
  <c r="AH45" i="25" s="1"/>
  <c r="W131" i="25"/>
  <c r="V132" i="25"/>
  <c r="L38" i="18"/>
  <c r="M38" i="18" s="1"/>
  <c r="K39" i="18"/>
  <c r="S129" i="25"/>
  <c r="H45" i="18" l="1"/>
  <c r="I45" i="18" s="1"/>
  <c r="G46" i="18"/>
  <c r="V133" i="25"/>
  <c r="W132" i="25"/>
  <c r="M45" i="25"/>
  <c r="X45" i="25"/>
  <c r="Y45" i="25" s="1"/>
  <c r="N45" i="25" s="1"/>
  <c r="W46" i="25"/>
  <c r="V47" i="25"/>
  <c r="S130" i="25"/>
  <c r="AI45" i="25"/>
  <c r="AJ45" i="25" s="1"/>
  <c r="T45" i="25" s="1"/>
  <c r="S45" i="25"/>
  <c r="AA132" i="25"/>
  <c r="AB131" i="25"/>
  <c r="AL131" i="25"/>
  <c r="AG131" i="25"/>
  <c r="AH131" i="25" s="1"/>
  <c r="M131" i="25"/>
  <c r="AA47" i="25"/>
  <c r="AB46" i="25"/>
  <c r="AG46" i="25"/>
  <c r="AH46" i="25" s="1"/>
  <c r="P45" i="25"/>
  <c r="AC45" i="25"/>
  <c r="AD45" i="25" s="1"/>
  <c r="Q45" i="25" s="1"/>
  <c r="L39" i="18"/>
  <c r="M39" i="18" s="1"/>
  <c r="K40" i="18"/>
  <c r="P130" i="25"/>
  <c r="S131" i="25" l="1"/>
  <c r="W47" i="25"/>
  <c r="V48" i="25"/>
  <c r="P131" i="25"/>
  <c r="AB132" i="25"/>
  <c r="AA133" i="25"/>
  <c r="AL132" i="25"/>
  <c r="AG132" i="25"/>
  <c r="AH132" i="25" s="1"/>
  <c r="X46" i="25"/>
  <c r="Y46" i="25" s="1"/>
  <c r="N46" i="25" s="1"/>
  <c r="M46" i="25"/>
  <c r="P46" i="25"/>
  <c r="AC46" i="25"/>
  <c r="AD46" i="25" s="1"/>
  <c r="Q46" i="25" s="1"/>
  <c r="M132" i="25"/>
  <c r="AB47" i="25"/>
  <c r="AA48" i="25"/>
  <c r="AG47" i="25"/>
  <c r="AH47" i="25" s="1"/>
  <c r="W133" i="25"/>
  <c r="V134" i="25"/>
  <c r="H46" i="18"/>
  <c r="I46" i="18" s="1"/>
  <c r="G47" i="18"/>
  <c r="AI46" i="25"/>
  <c r="AJ46" i="25" s="1"/>
  <c r="T46" i="25" s="1"/>
  <c r="S46" i="25"/>
  <c r="L40" i="18"/>
  <c r="M40" i="18" s="1"/>
  <c r="K41" i="18"/>
  <c r="AB133" i="25" l="1"/>
  <c r="AA134" i="25"/>
  <c r="AL133" i="25"/>
  <c r="AG133" i="25"/>
  <c r="AH133" i="25" s="1"/>
  <c r="W134" i="25"/>
  <c r="V135" i="25"/>
  <c r="M133" i="25"/>
  <c r="V49" i="25"/>
  <c r="W48" i="25"/>
  <c r="M47" i="25"/>
  <c r="X47" i="25"/>
  <c r="Y47" i="25" s="1"/>
  <c r="N47" i="25" s="1"/>
  <c r="AI47" i="25"/>
  <c r="AJ47" i="25" s="1"/>
  <c r="T47" i="25" s="1"/>
  <c r="S47" i="25"/>
  <c r="S132" i="25"/>
  <c r="H47" i="18"/>
  <c r="I47" i="18" s="1"/>
  <c r="G48" i="18"/>
  <c r="P132" i="25"/>
  <c r="L41" i="18"/>
  <c r="M41" i="18" s="1"/>
  <c r="K42" i="18"/>
  <c r="AG48" i="25"/>
  <c r="AH48" i="25" s="1"/>
  <c r="AA49" i="25"/>
  <c r="AB48" i="25"/>
  <c r="P47" i="25"/>
  <c r="AC47" i="25"/>
  <c r="AD47" i="25" s="1"/>
  <c r="Q47" i="25" s="1"/>
  <c r="AB49" i="25" l="1"/>
  <c r="AG49" i="25"/>
  <c r="AH49" i="25" s="1"/>
  <c r="AA50" i="25"/>
  <c r="L42" i="18"/>
  <c r="M42" i="18" s="1"/>
  <c r="K43" i="18"/>
  <c r="M134" i="25"/>
  <c r="S48" i="25"/>
  <c r="AI48" i="25"/>
  <c r="AJ48" i="25" s="1"/>
  <c r="T48" i="25" s="1"/>
  <c r="S133" i="25"/>
  <c r="W135" i="25"/>
  <c r="V136" i="25"/>
  <c r="H48" i="18"/>
  <c r="I48" i="18" s="1"/>
  <c r="G49" i="18"/>
  <c r="M48" i="25"/>
  <c r="X48" i="25"/>
  <c r="Y48" i="25" s="1"/>
  <c r="N48" i="25" s="1"/>
  <c r="AA135" i="25"/>
  <c r="AB134" i="25"/>
  <c r="AL134" i="25"/>
  <c r="AG134" i="25"/>
  <c r="AH134" i="25" s="1"/>
  <c r="AC48" i="25"/>
  <c r="AD48" i="25" s="1"/>
  <c r="Q48" i="25" s="1"/>
  <c r="P48" i="25"/>
  <c r="W49" i="25"/>
  <c r="V50" i="25"/>
  <c r="P133" i="25"/>
  <c r="X49" i="25" l="1"/>
  <c r="Y49" i="25" s="1"/>
  <c r="N49" i="25" s="1"/>
  <c r="M49" i="25"/>
  <c r="S134" i="25"/>
  <c r="V137" i="25"/>
  <c r="W136" i="25"/>
  <c r="L43" i="18"/>
  <c r="M43" i="18" s="1"/>
  <c r="K44" i="18"/>
  <c r="M135" i="25"/>
  <c r="H49" i="18"/>
  <c r="I49" i="18" s="1"/>
  <c r="G50" i="18"/>
  <c r="P134" i="25"/>
  <c r="AA51" i="25"/>
  <c r="AB50" i="25"/>
  <c r="AG50" i="25"/>
  <c r="AH50" i="25" s="1"/>
  <c r="S49" i="25"/>
  <c r="AI49" i="25"/>
  <c r="AJ49" i="25" s="1"/>
  <c r="T49" i="25" s="1"/>
  <c r="AA136" i="25"/>
  <c r="AB135" i="25"/>
  <c r="AL135" i="25"/>
  <c r="AG135" i="25"/>
  <c r="AH135" i="25" s="1"/>
  <c r="V51" i="25"/>
  <c r="W50" i="25"/>
  <c r="AC49" i="25"/>
  <c r="AD49" i="25" s="1"/>
  <c r="Q49" i="25" s="1"/>
  <c r="P49" i="25"/>
  <c r="M50" i="25" l="1"/>
  <c r="X50" i="25"/>
  <c r="Y50" i="25" s="1"/>
  <c r="N50" i="25" s="1"/>
  <c r="V52" i="25"/>
  <c r="W51" i="25"/>
  <c r="AC50" i="25"/>
  <c r="AD50" i="25" s="1"/>
  <c r="Q50" i="25" s="1"/>
  <c r="P50" i="25"/>
  <c r="L44" i="18"/>
  <c r="M44" i="18" s="1"/>
  <c r="K45" i="18"/>
  <c r="M136" i="25"/>
  <c r="W137" i="25"/>
  <c r="V138" i="25"/>
  <c r="AB51" i="25"/>
  <c r="AA52" i="25"/>
  <c r="AG51" i="25"/>
  <c r="AH51" i="25" s="1"/>
  <c r="P135" i="25"/>
  <c r="AA137" i="25"/>
  <c r="AB136" i="25"/>
  <c r="AL136" i="25"/>
  <c r="AG136" i="25"/>
  <c r="AH136" i="25" s="1"/>
  <c r="H50" i="18"/>
  <c r="I50" i="18" s="1"/>
  <c r="G51" i="18"/>
  <c r="S135" i="25"/>
  <c r="AI50" i="25"/>
  <c r="AJ50" i="25" s="1"/>
  <c r="T50" i="25" s="1"/>
  <c r="S50" i="25"/>
  <c r="L45" i="18" l="1"/>
  <c r="M45" i="18" s="1"/>
  <c r="K46" i="18"/>
  <c r="H51" i="18"/>
  <c r="I51" i="18" s="1"/>
  <c r="G52" i="18"/>
  <c r="AB52" i="25"/>
  <c r="AA53" i="25"/>
  <c r="AG52" i="25"/>
  <c r="AH52" i="25" s="1"/>
  <c r="AI51" i="25"/>
  <c r="AJ51" i="25" s="1"/>
  <c r="T51" i="25" s="1"/>
  <c r="S51" i="25"/>
  <c r="P51" i="25"/>
  <c r="AC51" i="25"/>
  <c r="AD51" i="25" s="1"/>
  <c r="Q51" i="25" s="1"/>
  <c r="W138" i="25"/>
  <c r="V139" i="25"/>
  <c r="M51" i="25"/>
  <c r="X51" i="25"/>
  <c r="Y51" i="25" s="1"/>
  <c r="N51" i="25" s="1"/>
  <c r="S136" i="25"/>
  <c r="P136" i="25"/>
  <c r="W52" i="25"/>
  <c r="V53" i="25"/>
  <c r="M137" i="25"/>
  <c r="AA138" i="25"/>
  <c r="AB137" i="25"/>
  <c r="AG137" i="25"/>
  <c r="AH137" i="25" s="1"/>
  <c r="AL137" i="25"/>
  <c r="AA139" i="25" l="1"/>
  <c r="AB138" i="25"/>
  <c r="AG138" i="25"/>
  <c r="AH138" i="25" s="1"/>
  <c r="AL138" i="25"/>
  <c r="W139" i="25"/>
  <c r="V140" i="25"/>
  <c r="P52" i="25"/>
  <c r="AC52" i="25"/>
  <c r="AD52" i="25" s="1"/>
  <c r="Q52" i="25" s="1"/>
  <c r="AI52" i="25"/>
  <c r="AJ52" i="25" s="1"/>
  <c r="T52" i="25" s="1"/>
  <c r="S52" i="25"/>
  <c r="W53" i="25"/>
  <c r="V54" i="25"/>
  <c r="X52" i="25"/>
  <c r="Y52" i="25" s="1"/>
  <c r="N52" i="25" s="1"/>
  <c r="M52" i="25"/>
  <c r="M138" i="25"/>
  <c r="H52" i="18"/>
  <c r="I52" i="18" s="1"/>
  <c r="G53" i="18"/>
  <c r="S137" i="25"/>
  <c r="L46" i="18"/>
  <c r="M46" i="18" s="1"/>
  <c r="K47" i="18"/>
  <c r="AA54" i="25"/>
  <c r="AB53" i="25"/>
  <c r="AG53" i="25"/>
  <c r="AH53" i="25" s="1"/>
  <c r="P137" i="25"/>
  <c r="M139" i="25" l="1"/>
  <c r="P53" i="25"/>
  <c r="AC53" i="25"/>
  <c r="AD53" i="25" s="1"/>
  <c r="Q53" i="25" s="1"/>
  <c r="L47" i="18"/>
  <c r="M47" i="18" s="1"/>
  <c r="K48" i="18"/>
  <c r="W140" i="25"/>
  <c r="V141" i="25"/>
  <c r="V55" i="25"/>
  <c r="W54" i="25"/>
  <c r="S138" i="25"/>
  <c r="AA55" i="25"/>
  <c r="AB54" i="25"/>
  <c r="AG54" i="25"/>
  <c r="AH54" i="25" s="1"/>
  <c r="M53" i="25"/>
  <c r="X53" i="25"/>
  <c r="Y53" i="25" s="1"/>
  <c r="N53" i="25" s="1"/>
  <c r="H53" i="18"/>
  <c r="I53" i="18" s="1"/>
  <c r="G54" i="18"/>
  <c r="P138" i="25"/>
  <c r="AI53" i="25"/>
  <c r="AJ53" i="25" s="1"/>
  <c r="T53" i="25" s="1"/>
  <c r="S53" i="25"/>
  <c r="AA140" i="25"/>
  <c r="AB139" i="25"/>
  <c r="AL139" i="25"/>
  <c r="AG139" i="25"/>
  <c r="AH139" i="25" s="1"/>
  <c r="AA141" i="25" l="1"/>
  <c r="AB140" i="25"/>
  <c r="AG140" i="25"/>
  <c r="AH140" i="25" s="1"/>
  <c r="AL140" i="25"/>
  <c r="W141" i="25"/>
  <c r="V142" i="25"/>
  <c r="M140" i="25"/>
  <c r="P54" i="25"/>
  <c r="AC54" i="25"/>
  <c r="AD54" i="25" s="1"/>
  <c r="Q54" i="25" s="1"/>
  <c r="L48" i="18"/>
  <c r="M48" i="18" s="1"/>
  <c r="K49" i="18"/>
  <c r="S139" i="25"/>
  <c r="H54" i="18"/>
  <c r="I54" i="18" s="1"/>
  <c r="G55" i="18"/>
  <c r="S54" i="25"/>
  <c r="AI54" i="25"/>
  <c r="AJ54" i="25" s="1"/>
  <c r="T54" i="25" s="1"/>
  <c r="AA56" i="25"/>
  <c r="AB55" i="25"/>
  <c r="AG55" i="25"/>
  <c r="AH55" i="25" s="1"/>
  <c r="X54" i="25"/>
  <c r="Y54" i="25" s="1"/>
  <c r="N54" i="25" s="1"/>
  <c r="M54" i="25"/>
  <c r="P139" i="25"/>
  <c r="V56" i="25"/>
  <c r="W55" i="25"/>
  <c r="AC55" i="25" l="1"/>
  <c r="AD55" i="25" s="1"/>
  <c r="Q55" i="25" s="1"/>
  <c r="P55" i="25"/>
  <c r="H55" i="18"/>
  <c r="I55" i="18" s="1"/>
  <c r="G56" i="18"/>
  <c r="S55" i="25"/>
  <c r="AI55" i="25"/>
  <c r="AJ55" i="25" s="1"/>
  <c r="T55" i="25" s="1"/>
  <c r="M141" i="25"/>
  <c r="L49" i="18"/>
  <c r="M49" i="18" s="1"/>
  <c r="K50" i="18"/>
  <c r="S140" i="25"/>
  <c r="V57" i="25"/>
  <c r="W56" i="25"/>
  <c r="P140" i="25"/>
  <c r="V143" i="25"/>
  <c r="W142" i="25"/>
  <c r="X55" i="25"/>
  <c r="Y55" i="25" s="1"/>
  <c r="N55" i="25" s="1"/>
  <c r="M55" i="25"/>
  <c r="AB56" i="25"/>
  <c r="AA57" i="25"/>
  <c r="AG56" i="25"/>
  <c r="AH56" i="25" s="1"/>
  <c r="AB141" i="25"/>
  <c r="AA142" i="25"/>
  <c r="AL141" i="25"/>
  <c r="AG141" i="25"/>
  <c r="AH141" i="25" s="1"/>
  <c r="P141" i="25" l="1"/>
  <c r="AI56" i="25"/>
  <c r="AJ56" i="25" s="1"/>
  <c r="T56" i="25" s="1"/>
  <c r="S56" i="25"/>
  <c r="AA58" i="25"/>
  <c r="AB57" i="25"/>
  <c r="AG57" i="25"/>
  <c r="AH57" i="25" s="1"/>
  <c r="X56" i="25"/>
  <c r="Y56" i="25" s="1"/>
  <c r="N56" i="25" s="1"/>
  <c r="M56" i="25"/>
  <c r="AC56" i="25"/>
  <c r="AD56" i="25" s="1"/>
  <c r="Q56" i="25" s="1"/>
  <c r="P56" i="25"/>
  <c r="V58" i="25"/>
  <c r="W57" i="25"/>
  <c r="H56" i="18"/>
  <c r="I56" i="18" s="1"/>
  <c r="G57" i="18"/>
  <c r="M142" i="25"/>
  <c r="L50" i="18"/>
  <c r="M50" i="18" s="1"/>
  <c r="K51" i="18"/>
  <c r="S141" i="25"/>
  <c r="AA143" i="25"/>
  <c r="AB142" i="25"/>
  <c r="AG142" i="25"/>
  <c r="AH142" i="25" s="1"/>
  <c r="AL142" i="25"/>
  <c r="V144" i="25"/>
  <c r="W143" i="25"/>
  <c r="S142" i="25" l="1"/>
  <c r="M57" i="25"/>
  <c r="X57" i="25"/>
  <c r="Y57" i="25" s="1"/>
  <c r="N57" i="25" s="1"/>
  <c r="AB58" i="25"/>
  <c r="AA59" i="25"/>
  <c r="AG58" i="25"/>
  <c r="AH58" i="25" s="1"/>
  <c r="H57" i="18"/>
  <c r="I57" i="18" s="1"/>
  <c r="G58" i="18"/>
  <c r="P57" i="25"/>
  <c r="AC57" i="25"/>
  <c r="AD57" i="25" s="1"/>
  <c r="Q57" i="25" s="1"/>
  <c r="W58" i="25"/>
  <c r="V59" i="25"/>
  <c r="M143" i="25"/>
  <c r="L51" i="18"/>
  <c r="M51" i="18" s="1"/>
  <c r="K52" i="18"/>
  <c r="S57" i="25"/>
  <c r="AI57" i="25"/>
  <c r="AJ57" i="25" s="1"/>
  <c r="T57" i="25" s="1"/>
  <c r="P142" i="25"/>
  <c r="AB143" i="25"/>
  <c r="AA144" i="25"/>
  <c r="AG143" i="25"/>
  <c r="AH143" i="25" s="1"/>
  <c r="AL143" i="25"/>
  <c r="W144" i="25"/>
  <c r="V145" i="25"/>
  <c r="AB144" i="25" l="1"/>
  <c r="AA145" i="25"/>
  <c r="AL144" i="25"/>
  <c r="AG144" i="25"/>
  <c r="AH144" i="25" s="1"/>
  <c r="AA60" i="25"/>
  <c r="AB59" i="25"/>
  <c r="AG59" i="25"/>
  <c r="AH59" i="25" s="1"/>
  <c r="V60" i="25"/>
  <c r="W59" i="25"/>
  <c r="P58" i="25"/>
  <c r="AC58" i="25"/>
  <c r="AD58" i="25" s="1"/>
  <c r="Q58" i="25" s="1"/>
  <c r="P143" i="25"/>
  <c r="S143" i="25"/>
  <c r="W145" i="25"/>
  <c r="V146" i="25"/>
  <c r="S58" i="25"/>
  <c r="AI58" i="25"/>
  <c r="AJ58" i="25" s="1"/>
  <c r="T58" i="25" s="1"/>
  <c r="M144" i="25"/>
  <c r="X58" i="25"/>
  <c r="Y58" i="25" s="1"/>
  <c r="N58" i="25" s="1"/>
  <c r="M58" i="25"/>
  <c r="L52" i="18"/>
  <c r="M52" i="18" s="1"/>
  <c r="K53" i="18"/>
  <c r="H58" i="18"/>
  <c r="I58" i="18" s="1"/>
  <c r="G59" i="18"/>
  <c r="M145" i="25" l="1"/>
  <c r="V61" i="25"/>
  <c r="W60" i="25"/>
  <c r="AC59" i="25"/>
  <c r="AD59" i="25" s="1"/>
  <c r="Q59" i="25" s="1"/>
  <c r="P59" i="25"/>
  <c r="AB60" i="25"/>
  <c r="AA61" i="25"/>
  <c r="S144" i="25"/>
  <c r="H59" i="18"/>
  <c r="I59" i="18" s="1"/>
  <c r="G60" i="18"/>
  <c r="S59" i="25"/>
  <c r="AI59" i="25"/>
  <c r="AB145" i="25"/>
  <c r="AA146" i="25"/>
  <c r="AG145" i="25"/>
  <c r="AH145" i="25" s="1"/>
  <c r="AL145" i="25"/>
  <c r="L53" i="18"/>
  <c r="M53" i="18" s="1"/>
  <c r="K54" i="18"/>
  <c r="W146" i="25"/>
  <c r="V147" i="25"/>
  <c r="X59" i="25"/>
  <c r="Y59" i="25" s="1"/>
  <c r="N59" i="25" s="1"/>
  <c r="M59" i="25"/>
  <c r="P144" i="25"/>
  <c r="AC60" i="25" l="1"/>
  <c r="AD60" i="25" s="1"/>
  <c r="Q60" i="25" s="1"/>
  <c r="P60" i="25"/>
  <c r="AA147" i="25"/>
  <c r="AB146" i="25"/>
  <c r="AG146" i="25"/>
  <c r="AH146" i="25" s="1"/>
  <c r="AL146" i="25"/>
  <c r="AA62" i="25"/>
  <c r="AB61" i="25"/>
  <c r="AJ59" i="25"/>
  <c r="T59" i="25" s="1"/>
  <c r="AI60" i="25"/>
  <c r="M146" i="25"/>
  <c r="L54" i="18"/>
  <c r="M54" i="18" s="1"/>
  <c r="K55" i="18"/>
  <c r="H60" i="18"/>
  <c r="I60" i="18" s="1"/>
  <c r="G61" i="18"/>
  <c r="M60" i="25"/>
  <c r="X60" i="25"/>
  <c r="Y60" i="25" s="1"/>
  <c r="N60" i="25" s="1"/>
  <c r="V148" i="25"/>
  <c r="W147" i="25"/>
  <c r="W61" i="25"/>
  <c r="V62" i="25"/>
  <c r="P145" i="25"/>
  <c r="S145" i="25"/>
  <c r="H61" i="18" l="1"/>
  <c r="I61" i="18" s="1"/>
  <c r="G62" i="18"/>
  <c r="AC61" i="25"/>
  <c r="AD61" i="25" s="1"/>
  <c r="Q61" i="25" s="1"/>
  <c r="P61" i="25"/>
  <c r="S146" i="25"/>
  <c r="M147" i="25"/>
  <c r="P146" i="25"/>
  <c r="V149" i="25"/>
  <c r="W148" i="25"/>
  <c r="AB147" i="25"/>
  <c r="AA148" i="25"/>
  <c r="AG147" i="25"/>
  <c r="AH147" i="25" s="1"/>
  <c r="AL147" i="25"/>
  <c r="AA63" i="25"/>
  <c r="AB62" i="25"/>
  <c r="L55" i="18"/>
  <c r="M55" i="18" s="1"/>
  <c r="K56" i="18"/>
  <c r="AJ60" i="25"/>
  <c r="T60" i="25" s="1"/>
  <c r="AI61" i="25"/>
  <c r="W62" i="25"/>
  <c r="V63" i="25"/>
  <c r="M61" i="25"/>
  <c r="X61" i="25"/>
  <c r="Y61" i="25" s="1"/>
  <c r="N61" i="25" s="1"/>
  <c r="V64" i="25" l="1"/>
  <c r="W63" i="25"/>
  <c r="AA149" i="25"/>
  <c r="AB148" i="25"/>
  <c r="AL148" i="25"/>
  <c r="AG148" i="25"/>
  <c r="AH148" i="25" s="1"/>
  <c r="P147" i="25"/>
  <c r="L56" i="18"/>
  <c r="M56" i="18" s="1"/>
  <c r="K57" i="18"/>
  <c r="M148" i="25"/>
  <c r="X62" i="25"/>
  <c r="Y62" i="25" s="1"/>
  <c r="N62" i="25" s="1"/>
  <c r="M62" i="25"/>
  <c r="AJ61" i="25"/>
  <c r="T61" i="25" s="1"/>
  <c r="AI62" i="25"/>
  <c r="S147" i="25"/>
  <c r="AC62" i="25"/>
  <c r="AD62" i="25" s="1"/>
  <c r="Q62" i="25" s="1"/>
  <c r="P62" i="25"/>
  <c r="H62" i="18"/>
  <c r="I62" i="18" s="1"/>
  <c r="G63" i="18"/>
  <c r="W149" i="25"/>
  <c r="V150" i="25"/>
  <c r="AA64" i="25"/>
  <c r="AB63" i="25"/>
  <c r="V151" i="25" l="1"/>
  <c r="W150" i="25"/>
  <c r="AJ62" i="25"/>
  <c r="T62" i="25" s="1"/>
  <c r="AI63" i="25"/>
  <c r="S148" i="25"/>
  <c r="P148" i="25"/>
  <c r="M149" i="25"/>
  <c r="AB149" i="25"/>
  <c r="AA150" i="25"/>
  <c r="AL149" i="25"/>
  <c r="AG149" i="25"/>
  <c r="AH149" i="25" s="1"/>
  <c r="AC63" i="25"/>
  <c r="AD63" i="25" s="1"/>
  <c r="Q63" i="25" s="1"/>
  <c r="P63" i="25"/>
  <c r="L57" i="18"/>
  <c r="M57" i="18" s="1"/>
  <c r="K58" i="18"/>
  <c r="M63" i="25"/>
  <c r="X63" i="25"/>
  <c r="Y63" i="25" s="1"/>
  <c r="N63" i="25" s="1"/>
  <c r="H63" i="18"/>
  <c r="I63" i="18" s="1"/>
  <c r="G64" i="18"/>
  <c r="AA65" i="25"/>
  <c r="AB64" i="25"/>
  <c r="W64" i="25"/>
  <c r="V65" i="25"/>
  <c r="AB65" i="25" l="1"/>
  <c r="AA66" i="25"/>
  <c r="AC64" i="25"/>
  <c r="AD64" i="25" s="1"/>
  <c r="Q64" i="25" s="1"/>
  <c r="P64" i="25"/>
  <c r="AA151" i="25"/>
  <c r="AB150" i="25"/>
  <c r="AG150" i="25"/>
  <c r="AH150" i="25" s="1"/>
  <c r="AL150" i="25"/>
  <c r="AJ63" i="25"/>
  <c r="T63" i="25" s="1"/>
  <c r="AI64" i="25"/>
  <c r="S149" i="25"/>
  <c r="H64" i="18"/>
  <c r="I64" i="18" s="1"/>
  <c r="G65" i="18"/>
  <c r="P149" i="25"/>
  <c r="V66" i="25"/>
  <c r="W65" i="25"/>
  <c r="L58" i="18"/>
  <c r="M58" i="18" s="1"/>
  <c r="K59" i="18"/>
  <c r="M150" i="25"/>
  <c r="X64" i="25"/>
  <c r="Y64" i="25" s="1"/>
  <c r="N64" i="25" s="1"/>
  <c r="M64" i="25"/>
  <c r="V152" i="25"/>
  <c r="W151" i="25"/>
  <c r="S150" i="25" l="1"/>
  <c r="P150" i="25"/>
  <c r="AB151" i="25"/>
  <c r="AA152" i="25"/>
  <c r="AL151" i="25"/>
  <c r="AG151" i="25"/>
  <c r="AH151" i="25" s="1"/>
  <c r="L59" i="18"/>
  <c r="M59" i="18" s="1"/>
  <c r="K60" i="18"/>
  <c r="H65" i="18"/>
  <c r="I65" i="18" s="1"/>
  <c r="G66" i="18"/>
  <c r="M151" i="25"/>
  <c r="M65" i="25"/>
  <c r="X65" i="25"/>
  <c r="Y65" i="25" s="1"/>
  <c r="N65" i="25" s="1"/>
  <c r="AJ64" i="25"/>
  <c r="T64" i="25" s="1"/>
  <c r="AI65" i="25"/>
  <c r="AB66" i="25"/>
  <c r="AA67" i="25"/>
  <c r="V153" i="25"/>
  <c r="W152" i="25"/>
  <c r="W66" i="25"/>
  <c r="V67" i="25"/>
  <c r="AC65" i="25"/>
  <c r="AD65" i="25" s="1"/>
  <c r="Q65" i="25" s="1"/>
  <c r="P65" i="25"/>
  <c r="S151" i="25" l="1"/>
  <c r="V154" i="25"/>
  <c r="W153" i="25"/>
  <c r="P151" i="25"/>
  <c r="M66" i="25"/>
  <c r="X66" i="25"/>
  <c r="Y66" i="25" s="1"/>
  <c r="N66" i="25" s="1"/>
  <c r="AA153" i="25"/>
  <c r="AB152" i="25"/>
  <c r="AG152" i="25"/>
  <c r="AH152" i="25" s="1"/>
  <c r="AL152" i="25"/>
  <c r="H66" i="18"/>
  <c r="I66" i="18" s="1"/>
  <c r="G67" i="18"/>
  <c r="W67" i="25"/>
  <c r="V68" i="25"/>
  <c r="M152" i="25"/>
  <c r="AA68" i="25"/>
  <c r="AB67" i="25"/>
  <c r="P66" i="25"/>
  <c r="AC66" i="25"/>
  <c r="AD66" i="25" s="1"/>
  <c r="Q66" i="25" s="1"/>
  <c r="AJ65" i="25"/>
  <c r="T65" i="25" s="1"/>
  <c r="AI66" i="25"/>
  <c r="L60" i="18"/>
  <c r="M60" i="18" s="1"/>
  <c r="K61" i="18"/>
  <c r="X67" i="25" l="1"/>
  <c r="Y67" i="25" s="1"/>
  <c r="N67" i="25" s="1"/>
  <c r="M67" i="25"/>
  <c r="V69" i="25"/>
  <c r="W68" i="25"/>
  <c r="M153" i="25"/>
  <c r="P67" i="25"/>
  <c r="AC67" i="25"/>
  <c r="AD67" i="25" s="1"/>
  <c r="Q67" i="25" s="1"/>
  <c r="V155" i="25"/>
  <c r="W154" i="25"/>
  <c r="AJ66" i="25"/>
  <c r="T66" i="25" s="1"/>
  <c r="AI67" i="25"/>
  <c r="H67" i="18"/>
  <c r="I67" i="18" s="1"/>
  <c r="G68" i="18"/>
  <c r="AB68" i="25"/>
  <c r="AA69" i="25"/>
  <c r="L61" i="18"/>
  <c r="M61" i="18" s="1"/>
  <c r="K62" i="18"/>
  <c r="P152" i="25"/>
  <c r="S152" i="25"/>
  <c r="AB153" i="25"/>
  <c r="AA154" i="25"/>
  <c r="AL153" i="25"/>
  <c r="AG153" i="25"/>
  <c r="AH153" i="25" s="1"/>
  <c r="AB69" i="25" l="1"/>
  <c r="AA70" i="25"/>
  <c r="AA155" i="25"/>
  <c r="AB154" i="25"/>
  <c r="AG154" i="25"/>
  <c r="AH154" i="25" s="1"/>
  <c r="AL154" i="25"/>
  <c r="P153" i="25"/>
  <c r="H68" i="18"/>
  <c r="I68" i="18" s="1"/>
  <c r="G69" i="18"/>
  <c r="AI68" i="25"/>
  <c r="AJ67" i="25"/>
  <c r="T67" i="25" s="1"/>
  <c r="X68" i="25"/>
  <c r="Y68" i="25" s="1"/>
  <c r="N68" i="25" s="1"/>
  <c r="M68" i="25"/>
  <c r="AC68" i="25"/>
  <c r="AD68" i="25" s="1"/>
  <c r="Q68" i="25" s="1"/>
  <c r="P68" i="25"/>
  <c r="W69" i="25"/>
  <c r="V70" i="25"/>
  <c r="S153" i="25"/>
  <c r="L62" i="18"/>
  <c r="M62" i="18" s="1"/>
  <c r="K63" i="18"/>
  <c r="M154" i="25"/>
  <c r="W155" i="25"/>
  <c r="V156" i="25"/>
  <c r="L63" i="18" l="1"/>
  <c r="M63" i="18" s="1"/>
  <c r="K64" i="18"/>
  <c r="S154" i="25"/>
  <c r="P154" i="25"/>
  <c r="AJ68" i="25"/>
  <c r="T68" i="25" s="1"/>
  <c r="AI69" i="25"/>
  <c r="AB155" i="25"/>
  <c r="AA156" i="25"/>
  <c r="AG155" i="25"/>
  <c r="AH155" i="25" s="1"/>
  <c r="AL155" i="25"/>
  <c r="W156" i="25"/>
  <c r="V157" i="25"/>
  <c r="V71" i="25"/>
  <c r="W70" i="25"/>
  <c r="H69" i="18"/>
  <c r="I69" i="18" s="1"/>
  <c r="G70" i="18"/>
  <c r="AB70" i="25"/>
  <c r="AA71" i="25"/>
  <c r="M155" i="25"/>
  <c r="X69" i="25"/>
  <c r="Y69" i="25" s="1"/>
  <c r="N69" i="25" s="1"/>
  <c r="M69" i="25"/>
  <c r="AC69" i="25"/>
  <c r="AD69" i="25" s="1"/>
  <c r="Q69" i="25" s="1"/>
  <c r="P69" i="25"/>
  <c r="M70" i="25" l="1"/>
  <c r="X70" i="25"/>
  <c r="Y70" i="25" s="1"/>
  <c r="N70" i="25" s="1"/>
  <c r="AJ69" i="25"/>
  <c r="T69" i="25" s="1"/>
  <c r="AI70" i="25"/>
  <c r="W157" i="25"/>
  <c r="V158" i="25"/>
  <c r="M156" i="25"/>
  <c r="W71" i="25"/>
  <c r="V72" i="25"/>
  <c r="S155" i="25"/>
  <c r="AA72" i="25"/>
  <c r="AB71" i="25"/>
  <c r="P70" i="25"/>
  <c r="AC70" i="25"/>
  <c r="AD70" i="25" s="1"/>
  <c r="Q70" i="25" s="1"/>
  <c r="H70" i="18"/>
  <c r="I70" i="18" s="1"/>
  <c r="G71" i="18"/>
  <c r="AA157" i="25"/>
  <c r="AB156" i="25"/>
  <c r="AG156" i="25"/>
  <c r="AH156" i="25" s="1"/>
  <c r="AL156" i="25"/>
  <c r="L64" i="18"/>
  <c r="M64" i="18" s="1"/>
  <c r="K65" i="18"/>
  <c r="P155" i="25"/>
  <c r="S156" i="25" l="1"/>
  <c r="M157" i="25"/>
  <c r="AB72" i="25"/>
  <c r="AA73" i="25"/>
  <c r="P156" i="25"/>
  <c r="AJ70" i="25"/>
  <c r="T70" i="25" s="1"/>
  <c r="AI71" i="25"/>
  <c r="P71" i="25"/>
  <c r="AC71" i="25"/>
  <c r="AD71" i="25" s="1"/>
  <c r="Q71" i="25" s="1"/>
  <c r="W158" i="25"/>
  <c r="V159" i="25"/>
  <c r="H71" i="18"/>
  <c r="I71" i="18" s="1"/>
  <c r="G72" i="18"/>
  <c r="V73" i="25"/>
  <c r="W72" i="25"/>
  <c r="L65" i="18"/>
  <c r="M65" i="18" s="1"/>
  <c r="K66" i="18"/>
  <c r="AB157" i="25"/>
  <c r="AA158" i="25"/>
  <c r="AG157" i="25"/>
  <c r="AH157" i="25" s="1"/>
  <c r="AL157" i="25"/>
  <c r="X71" i="25"/>
  <c r="Y71" i="25" s="1"/>
  <c r="N71" i="25" s="1"/>
  <c r="M71" i="25"/>
  <c r="H72" i="18" l="1"/>
  <c r="I72" i="18" s="1"/>
  <c r="G73" i="18"/>
  <c r="AB158" i="25"/>
  <c r="AA159" i="25"/>
  <c r="AL158" i="25"/>
  <c r="AG158" i="25"/>
  <c r="AH158" i="25" s="1"/>
  <c r="P157" i="25"/>
  <c r="AC72" i="25"/>
  <c r="AD72" i="25" s="1"/>
  <c r="Q72" i="25" s="1"/>
  <c r="P72" i="25"/>
  <c r="W159" i="25"/>
  <c r="V160" i="25"/>
  <c r="AB73" i="25"/>
  <c r="AA74" i="25"/>
  <c r="M158" i="25"/>
  <c r="L66" i="18"/>
  <c r="M66" i="18" s="1"/>
  <c r="K67" i="18"/>
  <c r="X72" i="25"/>
  <c r="Y72" i="25" s="1"/>
  <c r="N72" i="25" s="1"/>
  <c r="M72" i="25"/>
  <c r="AJ71" i="25"/>
  <c r="T71" i="25" s="1"/>
  <c r="AI72" i="25"/>
  <c r="S157" i="25"/>
  <c r="W73" i="25"/>
  <c r="V74" i="25"/>
  <c r="AJ72" i="25" l="1"/>
  <c r="T72" i="25" s="1"/>
  <c r="AI73" i="25"/>
  <c r="AA75" i="25"/>
  <c r="AB74" i="25"/>
  <c r="AC73" i="25"/>
  <c r="AD73" i="25" s="1"/>
  <c r="Q73" i="25" s="1"/>
  <c r="P73" i="25"/>
  <c r="W160" i="25"/>
  <c r="V161" i="25"/>
  <c r="AB159" i="25"/>
  <c r="AA160" i="25"/>
  <c r="AL159" i="25"/>
  <c r="AG159" i="25"/>
  <c r="AH159" i="25" s="1"/>
  <c r="M159" i="25"/>
  <c r="P158" i="25"/>
  <c r="V75" i="25"/>
  <c r="W74" i="25"/>
  <c r="L67" i="18"/>
  <c r="M67" i="18" s="1"/>
  <c r="K68" i="18"/>
  <c r="H73" i="18"/>
  <c r="I73" i="18" s="1"/>
  <c r="G74" i="18"/>
  <c r="S158" i="25"/>
  <c r="X73" i="25"/>
  <c r="Y73" i="25" s="1"/>
  <c r="N73" i="25" s="1"/>
  <c r="M73" i="25"/>
  <c r="L68" i="18" l="1"/>
  <c r="M68" i="18" s="1"/>
  <c r="K69" i="18"/>
  <c r="W161" i="25"/>
  <c r="V162" i="25"/>
  <c r="H74" i="18"/>
  <c r="I74" i="18" s="1"/>
  <c r="G75" i="18"/>
  <c r="S159" i="25"/>
  <c r="AC74" i="25"/>
  <c r="AD74" i="25" s="1"/>
  <c r="Q74" i="25" s="1"/>
  <c r="P74" i="25"/>
  <c r="AB75" i="25"/>
  <c r="AA76" i="25"/>
  <c r="M160" i="25"/>
  <c r="M74" i="25"/>
  <c r="X74" i="25"/>
  <c r="Y74" i="25" s="1"/>
  <c r="N74" i="25" s="1"/>
  <c r="AB160" i="25"/>
  <c r="AA161" i="25"/>
  <c r="AL160" i="25"/>
  <c r="AG160" i="25"/>
  <c r="AH160" i="25" s="1"/>
  <c r="AJ73" i="25"/>
  <c r="T73" i="25" s="1"/>
  <c r="AI74" i="25"/>
  <c r="W75" i="25"/>
  <c r="V76" i="25"/>
  <c r="P159" i="25"/>
  <c r="X75" i="25" l="1"/>
  <c r="Y75" i="25" s="1"/>
  <c r="N75" i="25" s="1"/>
  <c r="M75" i="25"/>
  <c r="S160" i="25"/>
  <c r="AA77" i="25"/>
  <c r="AB76" i="25"/>
  <c r="W162" i="25"/>
  <c r="V163" i="25"/>
  <c r="M161" i="25"/>
  <c r="V77" i="25"/>
  <c r="W76" i="25"/>
  <c r="AJ74" i="25"/>
  <c r="T74" i="25" s="1"/>
  <c r="AI75" i="25"/>
  <c r="AB161" i="25"/>
  <c r="AA162" i="25"/>
  <c r="AG161" i="25"/>
  <c r="AH161" i="25" s="1"/>
  <c r="AL161" i="25"/>
  <c r="L69" i="18"/>
  <c r="M69" i="18" s="1"/>
  <c r="K70" i="18"/>
  <c r="H75" i="18"/>
  <c r="I75" i="18" s="1"/>
  <c r="G76" i="18"/>
  <c r="P75" i="25"/>
  <c r="AC75" i="25"/>
  <c r="AD75" i="25" s="1"/>
  <c r="Q75" i="25" s="1"/>
  <c r="P160" i="25"/>
  <c r="AB162" i="25" l="1"/>
  <c r="AA163" i="25"/>
  <c r="AL162" i="25"/>
  <c r="AG162" i="25"/>
  <c r="AH162" i="25" s="1"/>
  <c r="L70" i="18"/>
  <c r="M70" i="18" s="1"/>
  <c r="K71" i="18"/>
  <c r="X76" i="25"/>
  <c r="Y76" i="25" s="1"/>
  <c r="N76" i="25" s="1"/>
  <c r="M76" i="25"/>
  <c r="M162" i="25"/>
  <c r="P76" i="25"/>
  <c r="AC76" i="25"/>
  <c r="AD76" i="25" s="1"/>
  <c r="Q76" i="25" s="1"/>
  <c r="V78" i="25"/>
  <c r="W77" i="25"/>
  <c r="W163" i="25"/>
  <c r="V164" i="25"/>
  <c r="P161" i="25"/>
  <c r="H76" i="18"/>
  <c r="I76" i="18" s="1"/>
  <c r="G77" i="18"/>
  <c r="AJ75" i="25"/>
  <c r="T75" i="25" s="1"/>
  <c r="AI76" i="25"/>
  <c r="AA78" i="25"/>
  <c r="AB77" i="25"/>
  <c r="S161" i="25"/>
  <c r="M163" i="25" l="1"/>
  <c r="AJ76" i="25"/>
  <c r="T76" i="25" s="1"/>
  <c r="AI77" i="25"/>
  <c r="AC77" i="25"/>
  <c r="AD77" i="25" s="1"/>
  <c r="Q77" i="25" s="1"/>
  <c r="P77" i="25"/>
  <c r="V165" i="25"/>
  <c r="W164" i="25"/>
  <c r="AA79" i="25"/>
  <c r="AB78" i="25"/>
  <c r="M77" i="25"/>
  <c r="X77" i="25"/>
  <c r="Y77" i="25" s="1"/>
  <c r="N77" i="25" s="1"/>
  <c r="H77" i="18"/>
  <c r="I77" i="18" s="1"/>
  <c r="G78" i="18"/>
  <c r="L71" i="18"/>
  <c r="M71" i="18" s="1"/>
  <c r="K72" i="18"/>
  <c r="S162" i="25"/>
  <c r="AB163" i="25"/>
  <c r="AA164" i="25"/>
  <c r="AG163" i="25"/>
  <c r="AH163" i="25" s="1"/>
  <c r="AL163" i="25"/>
  <c r="W78" i="25"/>
  <c r="V79" i="25"/>
  <c r="P162" i="25"/>
  <c r="L72" i="18" l="1"/>
  <c r="M72" i="18" s="1"/>
  <c r="K73" i="18"/>
  <c r="M164" i="25"/>
  <c r="S163" i="25"/>
  <c r="AJ77" i="25"/>
  <c r="T77" i="25" s="1"/>
  <c r="AI78" i="25"/>
  <c r="W79" i="25"/>
  <c r="V80" i="25"/>
  <c r="X78" i="25"/>
  <c r="Y78" i="25" s="1"/>
  <c r="N78" i="25" s="1"/>
  <c r="M78" i="25"/>
  <c r="W165" i="25"/>
  <c r="V166" i="25"/>
  <c r="H78" i="18"/>
  <c r="I78" i="18" s="1"/>
  <c r="G79" i="18"/>
  <c r="AB164" i="25"/>
  <c r="AA165" i="25"/>
  <c r="AG164" i="25"/>
  <c r="AH164" i="25" s="1"/>
  <c r="AL164" i="25"/>
  <c r="P163" i="25"/>
  <c r="AC78" i="25"/>
  <c r="AD78" i="25" s="1"/>
  <c r="Q78" i="25" s="1"/>
  <c r="P78" i="25"/>
  <c r="AB79" i="25"/>
  <c r="AA80" i="25"/>
  <c r="H79" i="18" l="1"/>
  <c r="I79" i="18" s="1"/>
  <c r="G80" i="18"/>
  <c r="AJ78" i="25"/>
  <c r="T78" i="25" s="1"/>
  <c r="AI79" i="25"/>
  <c r="S164" i="25"/>
  <c r="W166" i="25"/>
  <c r="V167" i="25"/>
  <c r="M165" i="25"/>
  <c r="AA166" i="25"/>
  <c r="AB165" i="25"/>
  <c r="AL165" i="25"/>
  <c r="AG165" i="25"/>
  <c r="AH165" i="25" s="1"/>
  <c r="W80" i="25"/>
  <c r="V81" i="25"/>
  <c r="W81" i="25" s="1"/>
  <c r="L73" i="18"/>
  <c r="M73" i="18" s="1"/>
  <c r="K74" i="18"/>
  <c r="AA81" i="25"/>
  <c r="AB81" i="25" s="1"/>
  <c r="AB80" i="25"/>
  <c r="P79" i="25"/>
  <c r="AC79" i="25"/>
  <c r="AD79" i="25" s="1"/>
  <c r="Q79" i="25" s="1"/>
  <c r="P164" i="25"/>
  <c r="X79" i="25"/>
  <c r="Y79" i="25" s="1"/>
  <c r="N79" i="25" s="1"/>
  <c r="M79" i="25"/>
  <c r="M166" i="25" l="1"/>
  <c r="M81" i="25"/>
  <c r="V168" i="25"/>
  <c r="W167" i="25"/>
  <c r="P81" i="25"/>
  <c r="S165" i="25"/>
  <c r="P80" i="25"/>
  <c r="AC80" i="25"/>
  <c r="AD80" i="25" s="1"/>
  <c r="Q80" i="25" s="1"/>
  <c r="AJ79" i="25"/>
  <c r="T79" i="25" s="1"/>
  <c r="AI80" i="25"/>
  <c r="AA167" i="25"/>
  <c r="AB166" i="25"/>
  <c r="AL166" i="25"/>
  <c r="AG166" i="25"/>
  <c r="AH166" i="25" s="1"/>
  <c r="L74" i="18"/>
  <c r="M74" i="18" s="1"/>
  <c r="K75" i="18"/>
  <c r="H80" i="18"/>
  <c r="I80" i="18" s="1"/>
  <c r="G81" i="18"/>
  <c r="M80" i="25"/>
  <c r="X80" i="25"/>
  <c r="Y80" i="25" s="1"/>
  <c r="N80" i="25" s="1"/>
  <c r="P165" i="25"/>
  <c r="AC81" i="25" l="1"/>
  <c r="P166" i="25"/>
  <c r="AB167" i="25"/>
  <c r="AA168" i="25"/>
  <c r="AL167" i="25"/>
  <c r="AG167" i="25"/>
  <c r="AH167" i="25" s="1"/>
  <c r="AJ80" i="25"/>
  <c r="T80" i="25" s="1"/>
  <c r="AI81" i="25"/>
  <c r="M167" i="25"/>
  <c r="AC82" i="25"/>
  <c r="AD81" i="25"/>
  <c r="Q81" i="25" s="1"/>
  <c r="V169" i="25"/>
  <c r="W168" i="25"/>
  <c r="L75" i="18"/>
  <c r="M75" i="18" s="1"/>
  <c r="K76" i="18"/>
  <c r="X81" i="25"/>
  <c r="H81" i="18"/>
  <c r="I81" i="18" s="1"/>
  <c r="G82" i="18"/>
  <c r="S166" i="25"/>
  <c r="L76" i="18" l="1"/>
  <c r="M76" i="18" s="1"/>
  <c r="K77" i="18"/>
  <c r="AJ81" i="25"/>
  <c r="T81" i="25" s="1"/>
  <c r="AI82" i="25"/>
  <c r="S167" i="25"/>
  <c r="AA169" i="25"/>
  <c r="AB168" i="25"/>
  <c r="AG168" i="25"/>
  <c r="AH168" i="25" s="1"/>
  <c r="AL168" i="25"/>
  <c r="AD82" i="25"/>
  <c r="Q82" i="25" s="1"/>
  <c r="AC83" i="25"/>
  <c r="P167" i="25"/>
  <c r="M168" i="25"/>
  <c r="V170" i="25"/>
  <c r="W169" i="25"/>
  <c r="H82" i="18"/>
  <c r="I82" i="18" s="1"/>
  <c r="G83" i="18"/>
  <c r="Y81" i="25"/>
  <c r="N81" i="25" s="1"/>
  <c r="X82" i="25"/>
  <c r="P168" i="25" l="1"/>
  <c r="AA170" i="25"/>
  <c r="AB169" i="25"/>
  <c r="AL169" i="25"/>
  <c r="AG169" i="25"/>
  <c r="AH169" i="25" s="1"/>
  <c r="Y82" i="25"/>
  <c r="N82" i="25" s="1"/>
  <c r="X83" i="25"/>
  <c r="H83" i="18"/>
  <c r="I83" i="18" s="1"/>
  <c r="G84" i="18"/>
  <c r="AD83" i="25"/>
  <c r="Q83" i="25" s="1"/>
  <c r="AC84" i="25"/>
  <c r="AJ82" i="25"/>
  <c r="T82" i="25" s="1"/>
  <c r="AI83" i="25"/>
  <c r="M169" i="25"/>
  <c r="L77" i="18"/>
  <c r="M77" i="18" s="1"/>
  <c r="K78" i="18"/>
  <c r="V171" i="25"/>
  <c r="W170" i="25"/>
  <c r="S168" i="25"/>
  <c r="Y83" i="25" l="1"/>
  <c r="N83" i="25" s="1"/>
  <c r="X84" i="25"/>
  <c r="AJ83" i="25"/>
  <c r="T83" i="25" s="1"/>
  <c r="AI84" i="25"/>
  <c r="M170" i="25"/>
  <c r="AD84" i="25"/>
  <c r="Q84" i="25" s="1"/>
  <c r="AC85" i="25"/>
  <c r="P169" i="25"/>
  <c r="AB170" i="25"/>
  <c r="AA171" i="25"/>
  <c r="AG170" i="25"/>
  <c r="AH170" i="25" s="1"/>
  <c r="AL170" i="25"/>
  <c r="L78" i="18"/>
  <c r="M78" i="18" s="1"/>
  <c r="K79" i="18"/>
  <c r="H84" i="18"/>
  <c r="I84" i="18" s="1"/>
  <c r="G85" i="18"/>
  <c r="S169" i="25"/>
  <c r="W171" i="25"/>
  <c r="V172" i="25"/>
  <c r="L79" i="18" l="1"/>
  <c r="M79" i="18" s="1"/>
  <c r="K80" i="18"/>
  <c r="AD85" i="25"/>
  <c r="Q85" i="25" s="1"/>
  <c r="AC86" i="25"/>
  <c r="S170" i="25"/>
  <c r="AB171" i="25"/>
  <c r="AA172" i="25"/>
  <c r="AL171" i="25"/>
  <c r="AG171" i="25"/>
  <c r="AH171" i="25" s="1"/>
  <c r="AJ84" i="25"/>
  <c r="T84" i="25" s="1"/>
  <c r="AI85" i="25"/>
  <c r="V173" i="25"/>
  <c r="W172" i="25"/>
  <c r="P170" i="25"/>
  <c r="H85" i="18"/>
  <c r="I85" i="18" s="1"/>
  <c r="G86" i="18"/>
  <c r="Y84" i="25"/>
  <c r="N84" i="25" s="1"/>
  <c r="X85" i="25"/>
  <c r="M171" i="25"/>
  <c r="P171" i="25" l="1"/>
  <c r="M172" i="25"/>
  <c r="Y85" i="25"/>
  <c r="N85" i="25" s="1"/>
  <c r="X86" i="25"/>
  <c r="AJ85" i="25"/>
  <c r="T85" i="25" s="1"/>
  <c r="AI86" i="25"/>
  <c r="AD86" i="25"/>
  <c r="Q86" i="25" s="1"/>
  <c r="AC87" i="25"/>
  <c r="H86" i="18"/>
  <c r="I86" i="18" s="1"/>
  <c r="G87" i="18"/>
  <c r="W173" i="25"/>
  <c r="V174" i="25"/>
  <c r="L80" i="18"/>
  <c r="M80" i="18" s="1"/>
  <c r="K81" i="18"/>
  <c r="S171" i="25"/>
  <c r="AA173" i="25"/>
  <c r="AB172" i="25"/>
  <c r="AL172" i="25"/>
  <c r="AG172" i="25"/>
  <c r="AH172" i="25" s="1"/>
  <c r="L81" i="18" l="1"/>
  <c r="M81" i="18" s="1"/>
  <c r="K82" i="18"/>
  <c r="AJ86" i="25"/>
  <c r="T86" i="25" s="1"/>
  <c r="AI87" i="25"/>
  <c r="W174" i="25"/>
  <c r="V175" i="25"/>
  <c r="H87" i="18"/>
  <c r="I87" i="18" s="1"/>
  <c r="G88" i="18"/>
  <c r="S172" i="25"/>
  <c r="P172" i="25"/>
  <c r="AA174" i="25"/>
  <c r="AB173" i="25"/>
  <c r="AG173" i="25"/>
  <c r="AH173" i="25" s="1"/>
  <c r="AL173" i="25"/>
  <c r="Y86" i="25"/>
  <c r="N86" i="25" s="1"/>
  <c r="X87" i="25"/>
  <c r="M173" i="25"/>
  <c r="AD87" i="25"/>
  <c r="Q87" i="25" s="1"/>
  <c r="AC88" i="25"/>
  <c r="H88" i="18" l="1"/>
  <c r="I88" i="18" s="1"/>
  <c r="G89" i="18"/>
  <c r="S173" i="25"/>
  <c r="M174" i="25"/>
  <c r="AJ87" i="25"/>
  <c r="T87" i="25" s="1"/>
  <c r="AI88" i="25"/>
  <c r="P173" i="25"/>
  <c r="AA175" i="25"/>
  <c r="AB174" i="25"/>
  <c r="AL174" i="25"/>
  <c r="AG174" i="25"/>
  <c r="AH174" i="25" s="1"/>
  <c r="Y87" i="25"/>
  <c r="N87" i="25" s="1"/>
  <c r="X88" i="25"/>
  <c r="L82" i="18"/>
  <c r="M82" i="18" s="1"/>
  <c r="K83" i="18"/>
  <c r="AD88" i="25"/>
  <c r="Q88" i="25" s="1"/>
  <c r="AC89" i="25"/>
  <c r="V176" i="25"/>
  <c r="W175" i="25"/>
  <c r="Y88" i="25" l="1"/>
  <c r="N88" i="25" s="1"/>
  <c r="X89" i="25"/>
  <c r="AJ88" i="25"/>
  <c r="T88" i="25" s="1"/>
  <c r="AI89" i="25"/>
  <c r="W176" i="25"/>
  <c r="V177" i="25"/>
  <c r="P174" i="25"/>
  <c r="AD89" i="25"/>
  <c r="Q89" i="25" s="1"/>
  <c r="AC90" i="25"/>
  <c r="AB175" i="25"/>
  <c r="AA176" i="25"/>
  <c r="AG175" i="25"/>
  <c r="AH175" i="25" s="1"/>
  <c r="AL175" i="25"/>
  <c r="M175" i="25"/>
  <c r="L83" i="18"/>
  <c r="M83" i="18" s="1"/>
  <c r="K84" i="18"/>
  <c r="H89" i="18"/>
  <c r="I89" i="18" s="1"/>
  <c r="G90" i="18"/>
  <c r="S174" i="25"/>
  <c r="V178" i="25" l="1"/>
  <c r="W177" i="25"/>
  <c r="M176" i="25"/>
  <c r="H90" i="18"/>
  <c r="I90" i="18" s="1"/>
  <c r="G91" i="18"/>
  <c r="AA177" i="25"/>
  <c r="AB176" i="25"/>
  <c r="AG176" i="25"/>
  <c r="AH176" i="25" s="1"/>
  <c r="AL176" i="25"/>
  <c r="AJ89" i="25"/>
  <c r="T89" i="25" s="1"/>
  <c r="AI90" i="25"/>
  <c r="S175" i="25"/>
  <c r="P175" i="25"/>
  <c r="L84" i="18"/>
  <c r="M84" i="18" s="1"/>
  <c r="K85" i="18"/>
  <c r="AD90" i="25"/>
  <c r="Q90" i="25" s="1"/>
  <c r="AC91" i="25"/>
  <c r="Y89" i="25"/>
  <c r="N89" i="25" s="1"/>
  <c r="X90" i="25"/>
  <c r="Y90" i="25" l="1"/>
  <c r="N90" i="25" s="1"/>
  <c r="X91" i="25"/>
  <c r="P176" i="25"/>
  <c r="AB177" i="25"/>
  <c r="AA178" i="25"/>
  <c r="AG177" i="25"/>
  <c r="AH177" i="25" s="1"/>
  <c r="AL177" i="25"/>
  <c r="AD91" i="25"/>
  <c r="Q91" i="25" s="1"/>
  <c r="AC92" i="25"/>
  <c r="AJ90" i="25"/>
  <c r="T90" i="25" s="1"/>
  <c r="AI91" i="25"/>
  <c r="H91" i="18"/>
  <c r="I91" i="18" s="1"/>
  <c r="G92" i="18"/>
  <c r="L85" i="18"/>
  <c r="M85" i="18" s="1"/>
  <c r="K86" i="18"/>
  <c r="M177" i="25"/>
  <c r="S176" i="25"/>
  <c r="W178" i="25"/>
  <c r="V179" i="25"/>
  <c r="H92" i="18" l="1"/>
  <c r="I92" i="18" s="1"/>
  <c r="G93" i="18"/>
  <c r="P177" i="25"/>
  <c r="L86" i="18"/>
  <c r="M86" i="18" s="1"/>
  <c r="K87" i="18"/>
  <c r="W179" i="25"/>
  <c r="V180" i="25"/>
  <c r="M178" i="25"/>
  <c r="AJ91" i="25"/>
  <c r="T91" i="25" s="1"/>
  <c r="AI92" i="25"/>
  <c r="S177" i="25"/>
  <c r="AD92" i="25"/>
  <c r="Q92" i="25" s="1"/>
  <c r="AC93" i="25"/>
  <c r="Y91" i="25"/>
  <c r="N91" i="25" s="1"/>
  <c r="X92" i="25"/>
  <c r="AB178" i="25"/>
  <c r="AA179" i="25"/>
  <c r="AL178" i="25"/>
  <c r="AG178" i="25"/>
  <c r="AH178" i="25" s="1"/>
  <c r="AD93" i="25" l="1"/>
  <c r="Q93" i="25" s="1"/>
  <c r="AC94" i="25"/>
  <c r="W180" i="25"/>
  <c r="V181" i="25"/>
  <c r="AB179" i="25"/>
  <c r="AA180" i="25"/>
  <c r="AL179" i="25"/>
  <c r="AG179" i="25"/>
  <c r="AH179" i="25" s="1"/>
  <c r="AJ92" i="25"/>
  <c r="T92" i="25" s="1"/>
  <c r="AI93" i="25"/>
  <c r="P178" i="25"/>
  <c r="M179" i="25"/>
  <c r="Y92" i="25"/>
  <c r="N92" i="25" s="1"/>
  <c r="X93" i="25"/>
  <c r="H93" i="18"/>
  <c r="I93" i="18" s="1"/>
  <c r="G94" i="18"/>
  <c r="S178" i="25"/>
  <c r="L87" i="18"/>
  <c r="M87" i="18" s="1"/>
  <c r="K88" i="18"/>
  <c r="S179" i="25" l="1"/>
  <c r="L88" i="18"/>
  <c r="M88" i="18" s="1"/>
  <c r="K89" i="18"/>
  <c r="P179" i="25"/>
  <c r="W181" i="25"/>
  <c r="V182" i="25"/>
  <c r="Y93" i="25"/>
  <c r="N93" i="25" s="1"/>
  <c r="X94" i="25"/>
  <c r="AB180" i="25"/>
  <c r="AA181" i="25"/>
  <c r="AL180" i="25"/>
  <c r="AG180" i="25"/>
  <c r="AH180" i="25" s="1"/>
  <c r="M180" i="25"/>
  <c r="H94" i="18"/>
  <c r="I94" i="18" s="1"/>
  <c r="G95" i="18"/>
  <c r="AJ93" i="25"/>
  <c r="T93" i="25" s="1"/>
  <c r="AI94" i="25"/>
  <c r="AD94" i="25"/>
  <c r="Q94" i="25" s="1"/>
  <c r="AC95" i="25"/>
  <c r="W182" i="25" l="1"/>
  <c r="V183" i="25"/>
  <c r="S180" i="25"/>
  <c r="AJ94" i="25"/>
  <c r="T94" i="25" s="1"/>
  <c r="AI95" i="25"/>
  <c r="AB181" i="25"/>
  <c r="AA182" i="25"/>
  <c r="AL181" i="25"/>
  <c r="AG181" i="25"/>
  <c r="AH181" i="25" s="1"/>
  <c r="L89" i="18"/>
  <c r="M89" i="18" s="1"/>
  <c r="K90" i="18"/>
  <c r="AD95" i="25"/>
  <c r="Q95" i="25" s="1"/>
  <c r="AC96" i="25"/>
  <c r="P180" i="25"/>
  <c r="H95" i="18"/>
  <c r="I95" i="18" s="1"/>
  <c r="G96" i="18"/>
  <c r="Y94" i="25"/>
  <c r="N94" i="25" s="1"/>
  <c r="X95" i="25"/>
  <c r="M181" i="25"/>
  <c r="AJ95" i="25" l="1"/>
  <c r="T95" i="25" s="1"/>
  <c r="AI96" i="25"/>
  <c r="P181" i="25"/>
  <c r="Y95" i="25"/>
  <c r="N95" i="25" s="1"/>
  <c r="X96" i="25"/>
  <c r="L90" i="18"/>
  <c r="M90" i="18" s="1"/>
  <c r="K91" i="18"/>
  <c r="AD96" i="25"/>
  <c r="Q96" i="25" s="1"/>
  <c r="AC97" i="25"/>
  <c r="H96" i="18"/>
  <c r="I96" i="18" s="1"/>
  <c r="G97" i="18"/>
  <c r="W183" i="25"/>
  <c r="V184" i="25"/>
  <c r="S181" i="25"/>
  <c r="AA183" i="25"/>
  <c r="AB182" i="25"/>
  <c r="AG182" i="25"/>
  <c r="AH182" i="25" s="1"/>
  <c r="AL182" i="25"/>
  <c r="M182" i="25"/>
  <c r="Y96" i="25" l="1"/>
  <c r="N96" i="25" s="1"/>
  <c r="X97" i="25"/>
  <c r="AA184" i="25"/>
  <c r="AB183" i="25"/>
  <c r="AG183" i="25"/>
  <c r="AH183" i="25" s="1"/>
  <c r="AL183" i="25"/>
  <c r="L91" i="18"/>
  <c r="M91" i="18" s="1"/>
  <c r="K92" i="18"/>
  <c r="V185" i="25"/>
  <c r="W184" i="25"/>
  <c r="H97" i="18"/>
  <c r="I97" i="18" s="1"/>
  <c r="G98" i="18"/>
  <c r="M183" i="25"/>
  <c r="S182" i="25"/>
  <c r="P182" i="25"/>
  <c r="AD97" i="25"/>
  <c r="Q97" i="25" s="1"/>
  <c r="AC98" i="25"/>
  <c r="AJ96" i="25"/>
  <c r="T96" i="25" s="1"/>
  <c r="AI97" i="25"/>
  <c r="L92" i="18" l="1"/>
  <c r="M92" i="18" s="1"/>
  <c r="K93" i="18"/>
  <c r="S183" i="25"/>
  <c r="AJ97" i="25"/>
  <c r="T97" i="25" s="1"/>
  <c r="AI98" i="25"/>
  <c r="H98" i="18"/>
  <c r="I98" i="18" s="1"/>
  <c r="G99" i="18"/>
  <c r="P183" i="25"/>
  <c r="AD98" i="25"/>
  <c r="Q98" i="25" s="1"/>
  <c r="AC99" i="25"/>
  <c r="AB184" i="25"/>
  <c r="AA185" i="25"/>
  <c r="AG184" i="25"/>
  <c r="AH184" i="25" s="1"/>
  <c r="AL184" i="25"/>
  <c r="M184" i="25"/>
  <c r="Y97" i="25"/>
  <c r="N97" i="25" s="1"/>
  <c r="X98" i="25"/>
  <c r="W185" i="25"/>
  <c r="V186" i="25"/>
  <c r="H99" i="18" l="1"/>
  <c r="I99" i="18" s="1"/>
  <c r="G100" i="18"/>
  <c r="S184" i="25"/>
  <c r="AJ98" i="25"/>
  <c r="T98" i="25" s="1"/>
  <c r="AI99" i="25"/>
  <c r="P184" i="25"/>
  <c r="AD99" i="25"/>
  <c r="Q99" i="25" s="1"/>
  <c r="AC100" i="25"/>
  <c r="W186" i="25"/>
  <c r="V187" i="25"/>
  <c r="M185" i="25"/>
  <c r="Y98" i="25"/>
  <c r="N98" i="25" s="1"/>
  <c r="X99" i="25"/>
  <c r="AA186" i="25"/>
  <c r="AB185" i="25"/>
  <c r="L93" i="18"/>
  <c r="M93" i="18" s="1"/>
  <c r="K94" i="18"/>
  <c r="Y99" i="25" l="1"/>
  <c r="N99" i="25" s="1"/>
  <c r="X100" i="25"/>
  <c r="V188" i="25"/>
  <c r="W187" i="25"/>
  <c r="AJ99" i="25"/>
  <c r="T99" i="25" s="1"/>
  <c r="AI100" i="25"/>
  <c r="L94" i="18"/>
  <c r="M94" i="18" s="1"/>
  <c r="K95" i="18"/>
  <c r="M186" i="25"/>
  <c r="P185" i="25"/>
  <c r="AD100" i="25"/>
  <c r="Q100" i="25" s="1"/>
  <c r="AC101" i="25"/>
  <c r="H100" i="18"/>
  <c r="I100" i="18" s="1"/>
  <c r="G101" i="18"/>
  <c r="AB186" i="25"/>
  <c r="AA187" i="25"/>
  <c r="H101" i="18" l="1"/>
  <c r="I101" i="18" s="1"/>
  <c r="G102" i="18"/>
  <c r="L95" i="18"/>
  <c r="M95" i="18" s="1"/>
  <c r="K96" i="18"/>
  <c r="AD101" i="25"/>
  <c r="Q101" i="25" s="1"/>
  <c r="AC102" i="25"/>
  <c r="M187" i="25"/>
  <c r="W188" i="25"/>
  <c r="V189" i="25"/>
  <c r="AB187" i="25"/>
  <c r="AA188" i="25"/>
  <c r="Y100" i="25"/>
  <c r="N100" i="25" s="1"/>
  <c r="X101" i="25"/>
  <c r="AJ100" i="25"/>
  <c r="T100" i="25" s="1"/>
  <c r="AI101" i="25"/>
  <c r="P186" i="25"/>
  <c r="AJ101" i="25" l="1"/>
  <c r="T101" i="25" s="1"/>
  <c r="AI102" i="25"/>
  <c r="Y101" i="25"/>
  <c r="N101" i="25" s="1"/>
  <c r="X102" i="25"/>
  <c r="AB188" i="25"/>
  <c r="AA189" i="25"/>
  <c r="L96" i="18"/>
  <c r="M96" i="18" s="1"/>
  <c r="K97" i="18"/>
  <c r="AD102" i="25"/>
  <c r="Q102" i="25" s="1"/>
  <c r="AC103" i="25"/>
  <c r="P187" i="25"/>
  <c r="W189" i="25"/>
  <c r="V190" i="25"/>
  <c r="H102" i="18"/>
  <c r="I102" i="18" s="1"/>
  <c r="G103" i="18"/>
  <c r="M188" i="25"/>
  <c r="L97" i="18" l="1"/>
  <c r="M97" i="18" s="1"/>
  <c r="K98" i="18"/>
  <c r="M189" i="25"/>
  <c r="W190" i="25"/>
  <c r="V191" i="25"/>
  <c r="AB189" i="25"/>
  <c r="AA190" i="25"/>
  <c r="Y102" i="25"/>
  <c r="N102" i="25" s="1"/>
  <c r="X103" i="25"/>
  <c r="P188" i="25"/>
  <c r="AD103" i="25"/>
  <c r="Q103" i="25" s="1"/>
  <c r="AC104" i="25"/>
  <c r="AJ102" i="25"/>
  <c r="T102" i="25" s="1"/>
  <c r="AI103" i="25"/>
  <c r="H103" i="18"/>
  <c r="I103" i="18" s="1"/>
  <c r="G104" i="18"/>
  <c r="AB190" i="25" l="1"/>
  <c r="AA191" i="25"/>
  <c r="AD104" i="25"/>
  <c r="Q104" i="25" s="1"/>
  <c r="AC105" i="25"/>
  <c r="W191" i="25"/>
  <c r="V192" i="25"/>
  <c r="AJ103" i="25"/>
  <c r="T103" i="25" s="1"/>
  <c r="AI104" i="25"/>
  <c r="P189" i="25"/>
  <c r="M190" i="25"/>
  <c r="H104" i="18"/>
  <c r="I104" i="18" s="1"/>
  <c r="G105" i="18"/>
  <c r="Y103" i="25"/>
  <c r="N103" i="25" s="1"/>
  <c r="X104" i="25"/>
  <c r="L98" i="18"/>
  <c r="M98" i="18" s="1"/>
  <c r="K99" i="18"/>
  <c r="Y104" i="25" l="1"/>
  <c r="N104" i="25" s="1"/>
  <c r="X105" i="25"/>
  <c r="AJ104" i="25"/>
  <c r="T104" i="25" s="1"/>
  <c r="AI105" i="25"/>
  <c r="H105" i="18"/>
  <c r="I105" i="18" s="1"/>
  <c r="G106" i="18"/>
  <c r="V193" i="25"/>
  <c r="W192" i="25"/>
  <c r="AD105" i="25"/>
  <c r="Q105" i="25" s="1"/>
  <c r="AC106" i="25"/>
  <c r="L99" i="18"/>
  <c r="M99" i="18" s="1"/>
  <c r="K100" i="18"/>
  <c r="AB191" i="25"/>
  <c r="AA192" i="25"/>
  <c r="M191" i="25"/>
  <c r="P190" i="25"/>
  <c r="M192" i="25" l="1"/>
  <c r="H106" i="18"/>
  <c r="I106" i="18" s="1"/>
  <c r="G107" i="18"/>
  <c r="L100" i="18"/>
  <c r="M100" i="18" s="1"/>
  <c r="K101" i="18"/>
  <c r="AJ105" i="25"/>
  <c r="T105" i="25" s="1"/>
  <c r="AI106" i="25"/>
  <c r="W193" i="25"/>
  <c r="V194" i="25"/>
  <c r="AD106" i="25"/>
  <c r="Q106" i="25" s="1"/>
  <c r="AC107" i="25"/>
  <c r="Y105" i="25"/>
  <c r="N105" i="25" s="1"/>
  <c r="X106" i="25"/>
  <c r="AA193" i="25"/>
  <c r="AB192" i="25"/>
  <c r="P191" i="25"/>
  <c r="AJ106" i="25" l="1"/>
  <c r="T106" i="25" s="1"/>
  <c r="AI107" i="25"/>
  <c r="AA194" i="25"/>
  <c r="AB193" i="25"/>
  <c r="Y106" i="25"/>
  <c r="N106" i="25" s="1"/>
  <c r="X107" i="25"/>
  <c r="P192" i="25"/>
  <c r="H107" i="18"/>
  <c r="I107" i="18" s="1"/>
  <c r="G108" i="18"/>
  <c r="AD107" i="25"/>
  <c r="Q107" i="25" s="1"/>
  <c r="AC108" i="25"/>
  <c r="W194" i="25"/>
  <c r="V195" i="25"/>
  <c r="L101" i="18"/>
  <c r="M101" i="18" s="1"/>
  <c r="K102" i="18"/>
  <c r="M193" i="25"/>
  <c r="L102" i="18" l="1"/>
  <c r="M102" i="18" s="1"/>
  <c r="K103" i="18"/>
  <c r="W195" i="25"/>
  <c r="V196" i="25"/>
  <c r="AD108" i="25"/>
  <c r="Q108" i="25" s="1"/>
  <c r="AC109" i="25"/>
  <c r="P193" i="25"/>
  <c r="Y107" i="25"/>
  <c r="N107" i="25" s="1"/>
  <c r="X108" i="25"/>
  <c r="AB194" i="25"/>
  <c r="AA195" i="25"/>
  <c r="H108" i="18"/>
  <c r="I108" i="18" s="1"/>
  <c r="G109" i="18"/>
  <c r="AJ107" i="25"/>
  <c r="T107" i="25" s="1"/>
  <c r="AI108" i="25"/>
  <c r="M194" i="25"/>
  <c r="AJ108" i="25" l="1"/>
  <c r="T108" i="25" s="1"/>
  <c r="AI109" i="25"/>
  <c r="AD109" i="25"/>
  <c r="Q109" i="25" s="1"/>
  <c r="AC110" i="25"/>
  <c r="AB195" i="25"/>
  <c r="AA196" i="25"/>
  <c r="V197" i="25"/>
  <c r="W196" i="25"/>
  <c r="H109" i="18"/>
  <c r="I109" i="18" s="1"/>
  <c r="G110" i="18"/>
  <c r="M195" i="25"/>
  <c r="P194" i="25"/>
  <c r="Y108" i="25"/>
  <c r="N108" i="25" s="1"/>
  <c r="X109" i="25"/>
  <c r="L103" i="18"/>
  <c r="M103" i="18" s="1"/>
  <c r="K104" i="18"/>
  <c r="M196" i="25" l="1"/>
  <c r="AA197" i="25"/>
  <c r="AB196" i="25"/>
  <c r="W197" i="25"/>
  <c r="V198" i="25"/>
  <c r="AD110" i="25"/>
  <c r="Q110" i="25" s="1"/>
  <c r="AC111" i="25"/>
  <c r="P195" i="25"/>
  <c r="L104" i="18"/>
  <c r="M104" i="18" s="1"/>
  <c r="K105" i="18"/>
  <c r="H110" i="18"/>
  <c r="I110" i="18" s="1"/>
  <c r="G111" i="18"/>
  <c r="AJ109" i="25"/>
  <c r="T109" i="25" s="1"/>
  <c r="AI110" i="25"/>
  <c r="Y109" i="25"/>
  <c r="N109" i="25" s="1"/>
  <c r="X110" i="25"/>
  <c r="AD111" i="25" l="1"/>
  <c r="Q111" i="25" s="1"/>
  <c r="AC112" i="25"/>
  <c r="M197" i="25"/>
  <c r="V199" i="25"/>
  <c r="W198" i="25"/>
  <c r="P196" i="25"/>
  <c r="AA198" i="25"/>
  <c r="AB197" i="25"/>
  <c r="Y110" i="25"/>
  <c r="N110" i="25" s="1"/>
  <c r="X111" i="25"/>
  <c r="AJ110" i="25"/>
  <c r="T110" i="25" s="1"/>
  <c r="AI111" i="25"/>
  <c r="H111" i="18"/>
  <c r="I111" i="18" s="1"/>
  <c r="G112" i="18"/>
  <c r="L105" i="18"/>
  <c r="M105" i="18" s="1"/>
  <c r="K106" i="18"/>
  <c r="AJ111" i="25" l="1"/>
  <c r="T111" i="25" s="1"/>
  <c r="AI112" i="25"/>
  <c r="V200" i="25"/>
  <c r="W199" i="25"/>
  <c r="Y111" i="25"/>
  <c r="N111" i="25" s="1"/>
  <c r="X112" i="25"/>
  <c r="M198" i="25"/>
  <c r="L106" i="18"/>
  <c r="M106" i="18" s="1"/>
  <c r="K107" i="18"/>
  <c r="P197" i="25"/>
  <c r="AD112" i="25"/>
  <c r="Q112" i="25" s="1"/>
  <c r="AC113" i="25"/>
  <c r="H112" i="18"/>
  <c r="I112" i="18" s="1"/>
  <c r="G113" i="18"/>
  <c r="AB198" i="25"/>
  <c r="AA199" i="25"/>
  <c r="Y112" i="25" l="1"/>
  <c r="N112" i="25" s="1"/>
  <c r="X113" i="25"/>
  <c r="M199" i="25"/>
  <c r="H113" i="18"/>
  <c r="I113" i="18" s="1"/>
  <c r="G114" i="18"/>
  <c r="V201" i="25"/>
  <c r="W200" i="25"/>
  <c r="AB199" i="25"/>
  <c r="AA200" i="25"/>
  <c r="L107" i="18"/>
  <c r="M107" i="18" s="1"/>
  <c r="K108" i="18"/>
  <c r="AJ112" i="25"/>
  <c r="T112" i="25" s="1"/>
  <c r="AI113" i="25"/>
  <c r="AD113" i="25"/>
  <c r="Q113" i="25" s="1"/>
  <c r="AC114" i="25"/>
  <c r="P198" i="25"/>
  <c r="AD114" i="25" l="1"/>
  <c r="Q114" i="25" s="1"/>
  <c r="AC115" i="25"/>
  <c r="L108" i="18"/>
  <c r="M108" i="18" s="1"/>
  <c r="K109" i="18"/>
  <c r="H114" i="18"/>
  <c r="I114" i="18" s="1"/>
  <c r="G115" i="18"/>
  <c r="AB200" i="25"/>
  <c r="AA201" i="25"/>
  <c r="Y113" i="25"/>
  <c r="N113" i="25" s="1"/>
  <c r="X114" i="25"/>
  <c r="M200" i="25"/>
  <c r="V202" i="25"/>
  <c r="W201" i="25"/>
  <c r="AJ113" i="25"/>
  <c r="T113" i="25" s="1"/>
  <c r="AI114" i="25"/>
  <c r="P199" i="25"/>
  <c r="AA202" i="25" l="1"/>
  <c r="AB201" i="25"/>
  <c r="W202" i="25"/>
  <c r="V203" i="25"/>
  <c r="P200" i="25"/>
  <c r="H115" i="18"/>
  <c r="I115" i="18" s="1"/>
  <c r="G116" i="18"/>
  <c r="L109" i="18"/>
  <c r="M109" i="18" s="1"/>
  <c r="K110" i="18"/>
  <c r="Y114" i="25"/>
  <c r="N114" i="25" s="1"/>
  <c r="X115" i="25"/>
  <c r="AD115" i="25"/>
  <c r="Q115" i="25" s="1"/>
  <c r="AC116" i="25"/>
  <c r="AJ114" i="25"/>
  <c r="T114" i="25" s="1"/>
  <c r="AI115" i="25"/>
  <c r="M201" i="25"/>
  <c r="H116" i="18" l="1"/>
  <c r="I116" i="18" s="1"/>
  <c r="G117" i="18"/>
  <c r="AJ115" i="25"/>
  <c r="T115" i="25" s="1"/>
  <c r="AI116" i="25"/>
  <c r="AD116" i="25"/>
  <c r="Q116" i="25" s="1"/>
  <c r="AC117" i="25"/>
  <c r="Y115" i="25"/>
  <c r="N115" i="25" s="1"/>
  <c r="X116" i="25"/>
  <c r="V204" i="25"/>
  <c r="W203" i="25"/>
  <c r="M202" i="25"/>
  <c r="L110" i="18"/>
  <c r="M110" i="18" s="1"/>
  <c r="K111" i="18"/>
  <c r="P201" i="25"/>
  <c r="AB202" i="25"/>
  <c r="AA203" i="25"/>
  <c r="AJ116" i="25" l="1"/>
  <c r="T116" i="25" s="1"/>
  <c r="AI117" i="25"/>
  <c r="Y116" i="25"/>
  <c r="N116" i="25" s="1"/>
  <c r="X117" i="25"/>
  <c r="AD117" i="25"/>
  <c r="Q117" i="25" s="1"/>
  <c r="AC118" i="25"/>
  <c r="AA204" i="25"/>
  <c r="AB203" i="25"/>
  <c r="M203" i="25"/>
  <c r="H117" i="18"/>
  <c r="I117" i="18" s="1"/>
  <c r="G118" i="18"/>
  <c r="L111" i="18"/>
  <c r="M111" i="18" s="1"/>
  <c r="K112" i="18"/>
  <c r="P202" i="25"/>
  <c r="V205" i="25"/>
  <c r="W204" i="25"/>
  <c r="P203" i="25" l="1"/>
  <c r="L112" i="18"/>
  <c r="M112" i="18" s="1"/>
  <c r="K113" i="18"/>
  <c r="AD118" i="25"/>
  <c r="Q118" i="25" s="1"/>
  <c r="AC119" i="25"/>
  <c r="H118" i="18"/>
  <c r="I118" i="18" s="1"/>
  <c r="G119" i="18"/>
  <c r="Y117" i="25"/>
  <c r="N117" i="25" s="1"/>
  <c r="X118" i="25"/>
  <c r="AA205" i="25"/>
  <c r="AB204" i="25"/>
  <c r="M204" i="25"/>
  <c r="AJ117" i="25"/>
  <c r="T117" i="25" s="1"/>
  <c r="AI118" i="25"/>
  <c r="V206" i="25"/>
  <c r="W205" i="25"/>
  <c r="H119" i="18" l="1"/>
  <c r="I119" i="18" s="1"/>
  <c r="G120" i="18"/>
  <c r="AJ118" i="25"/>
  <c r="T118" i="25" s="1"/>
  <c r="AI119" i="25"/>
  <c r="P204" i="25"/>
  <c r="L113" i="18"/>
  <c r="M113" i="18" s="1"/>
  <c r="K114" i="18"/>
  <c r="AB205" i="25"/>
  <c r="AA206" i="25"/>
  <c r="M205" i="25"/>
  <c r="Y118" i="25"/>
  <c r="N118" i="25" s="1"/>
  <c r="X119" i="25"/>
  <c r="AD119" i="25"/>
  <c r="Q119" i="25" s="1"/>
  <c r="AC120" i="25"/>
  <c r="W206" i="25"/>
  <c r="V207" i="25"/>
  <c r="L114" i="18" l="1"/>
  <c r="M114" i="18" s="1"/>
  <c r="K115" i="18"/>
  <c r="Y119" i="25"/>
  <c r="N119" i="25" s="1"/>
  <c r="X120" i="25"/>
  <c r="AJ119" i="25"/>
  <c r="T119" i="25" s="1"/>
  <c r="AI120" i="25"/>
  <c r="V208" i="25"/>
  <c r="W207" i="25"/>
  <c r="AB206" i="25"/>
  <c r="AA207" i="25"/>
  <c r="H120" i="18"/>
  <c r="I120" i="18" s="1"/>
  <c r="G121" i="18"/>
  <c r="AD120" i="25"/>
  <c r="Q120" i="25" s="1"/>
  <c r="AC121" i="25"/>
  <c r="M206" i="25"/>
  <c r="P205" i="25"/>
  <c r="W208" i="25" l="1"/>
  <c r="V209" i="25"/>
  <c r="AD121" i="25"/>
  <c r="Q121" i="25" s="1"/>
  <c r="AC122" i="25"/>
  <c r="AJ120" i="25"/>
  <c r="T120" i="25" s="1"/>
  <c r="AI121" i="25"/>
  <c r="H121" i="18"/>
  <c r="I121" i="18" s="1"/>
  <c r="G122" i="18"/>
  <c r="Y120" i="25"/>
  <c r="N120" i="25" s="1"/>
  <c r="X121" i="25"/>
  <c r="AB207" i="25"/>
  <c r="AA208" i="25"/>
  <c r="L115" i="18"/>
  <c r="M115" i="18" s="1"/>
  <c r="K116" i="18"/>
  <c r="M207" i="25"/>
  <c r="P206" i="25"/>
  <c r="L116" i="18" l="1"/>
  <c r="M116" i="18" s="1"/>
  <c r="K117" i="18"/>
  <c r="AJ121" i="25"/>
  <c r="T121" i="25" s="1"/>
  <c r="AI122" i="25"/>
  <c r="AB208" i="25"/>
  <c r="AA209" i="25"/>
  <c r="AD122" i="25"/>
  <c r="Q122" i="25" s="1"/>
  <c r="AC123" i="25"/>
  <c r="P207" i="25"/>
  <c r="Y121" i="25"/>
  <c r="N121" i="25" s="1"/>
  <c r="X122" i="25"/>
  <c r="W209" i="25"/>
  <c r="V210" i="25"/>
  <c r="H122" i="18"/>
  <c r="I122" i="18" s="1"/>
  <c r="G123" i="18"/>
  <c r="M208" i="25"/>
  <c r="AD123" i="25" l="1"/>
  <c r="Q123" i="25" s="1"/>
  <c r="AC124" i="25"/>
  <c r="P208" i="25"/>
  <c r="M209" i="25"/>
  <c r="Y122" i="25"/>
  <c r="N122" i="25" s="1"/>
  <c r="X123" i="25"/>
  <c r="AJ122" i="25"/>
  <c r="T122" i="25" s="1"/>
  <c r="AI123" i="25"/>
  <c r="W210" i="25"/>
  <c r="V211" i="25"/>
  <c r="L117" i="18"/>
  <c r="M117" i="18" s="1"/>
  <c r="K118" i="18"/>
  <c r="H123" i="18"/>
  <c r="I123" i="18" s="1"/>
  <c r="G124" i="18"/>
  <c r="AB209" i="25"/>
  <c r="AA210" i="25"/>
  <c r="Y123" i="25" l="1"/>
  <c r="N123" i="25" s="1"/>
  <c r="X124" i="25"/>
  <c r="H124" i="18"/>
  <c r="I124" i="18" s="1"/>
  <c r="G125" i="18"/>
  <c r="L118" i="18"/>
  <c r="M118" i="18" s="1"/>
  <c r="K119" i="18"/>
  <c r="W211" i="25"/>
  <c r="V212" i="25"/>
  <c r="M210" i="25"/>
  <c r="AB210" i="25"/>
  <c r="AA211" i="25"/>
  <c r="AJ123" i="25"/>
  <c r="T123" i="25" s="1"/>
  <c r="AI124" i="25"/>
  <c r="AD124" i="25"/>
  <c r="Q124" i="25" s="1"/>
  <c r="AC125" i="25"/>
  <c r="P209" i="25"/>
  <c r="AD125" i="25" l="1"/>
  <c r="Q125" i="25" s="1"/>
  <c r="AC126" i="25"/>
  <c r="AJ124" i="25"/>
  <c r="T124" i="25" s="1"/>
  <c r="AI125" i="25"/>
  <c r="H125" i="18"/>
  <c r="I125" i="18" s="1"/>
  <c r="G126" i="18"/>
  <c r="P210" i="25"/>
  <c r="Y124" i="25"/>
  <c r="N124" i="25" s="1"/>
  <c r="X125" i="25"/>
  <c r="V213" i="25"/>
  <c r="W212" i="25"/>
  <c r="M211" i="25"/>
  <c r="L119" i="18"/>
  <c r="M119" i="18" s="1"/>
  <c r="K120" i="18"/>
  <c r="AA212" i="25"/>
  <c r="AB211" i="25"/>
  <c r="L120" i="18" l="1"/>
  <c r="M120" i="18" s="1"/>
  <c r="K121" i="18"/>
  <c r="M212" i="25"/>
  <c r="AJ125" i="25"/>
  <c r="T125" i="25" s="1"/>
  <c r="AI126" i="25"/>
  <c r="H126" i="18"/>
  <c r="I126" i="18" s="1"/>
  <c r="G127" i="18"/>
  <c r="V214" i="25"/>
  <c r="W213" i="25"/>
  <c r="P211" i="25"/>
  <c r="Y125" i="25"/>
  <c r="N125" i="25" s="1"/>
  <c r="X126" i="25"/>
  <c r="AD126" i="25"/>
  <c r="Q126" i="25" s="1"/>
  <c r="AC127" i="25"/>
  <c r="AB212" i="25"/>
  <c r="AA213" i="25"/>
  <c r="H127" i="18" l="1"/>
  <c r="I127" i="18" s="1"/>
  <c r="G128" i="18"/>
  <c r="Y126" i="25"/>
  <c r="N126" i="25" s="1"/>
  <c r="X127" i="25"/>
  <c r="AB213" i="25"/>
  <c r="AA214" i="25"/>
  <c r="M213" i="25"/>
  <c r="L121" i="18"/>
  <c r="M121" i="18" s="1"/>
  <c r="K122" i="18"/>
  <c r="AD127" i="25"/>
  <c r="Q127" i="25" s="1"/>
  <c r="AC128" i="25"/>
  <c r="AJ126" i="25"/>
  <c r="T126" i="25" s="1"/>
  <c r="AI127" i="25"/>
  <c r="P212" i="25"/>
  <c r="W214" i="25"/>
  <c r="V215" i="25"/>
  <c r="P213" i="25" l="1"/>
  <c r="AD128" i="25"/>
  <c r="Q128" i="25" s="1"/>
  <c r="AC129" i="25"/>
  <c r="Y127" i="25"/>
  <c r="N127" i="25" s="1"/>
  <c r="X128" i="25"/>
  <c r="V216" i="25"/>
  <c r="W216" i="25" s="1"/>
  <c r="W215" i="25"/>
  <c r="L122" i="18"/>
  <c r="M122" i="18" s="1"/>
  <c r="K123" i="18"/>
  <c r="H128" i="18"/>
  <c r="I128" i="18" s="1"/>
  <c r="G129" i="18"/>
  <c r="AJ127" i="25"/>
  <c r="T127" i="25" s="1"/>
  <c r="AI128" i="25"/>
  <c r="AB214" i="25"/>
  <c r="AA215" i="25"/>
  <c r="M214" i="25"/>
  <c r="M215" i="25" l="1"/>
  <c r="P214" i="25"/>
  <c r="Y128" i="25"/>
  <c r="N128" i="25" s="1"/>
  <c r="X129" i="25"/>
  <c r="H129" i="18"/>
  <c r="I129" i="18" s="1"/>
  <c r="G130" i="18"/>
  <c r="AD129" i="25"/>
  <c r="Q129" i="25" s="1"/>
  <c r="AC130" i="25"/>
  <c r="AA216" i="25"/>
  <c r="AB216" i="25" s="1"/>
  <c r="AB215" i="25"/>
  <c r="L123" i="18"/>
  <c r="M123" i="18" s="1"/>
  <c r="K124" i="18"/>
  <c r="M216" i="25"/>
  <c r="W8" i="25"/>
  <c r="AJ128" i="25"/>
  <c r="T128" i="25" s="1"/>
  <c r="AI129" i="25"/>
  <c r="H130" i="18" l="1"/>
  <c r="I130" i="18" s="1"/>
  <c r="G131" i="18"/>
  <c r="P215" i="25"/>
  <c r="L124" i="18"/>
  <c r="M124" i="18" s="1"/>
  <c r="K125" i="18"/>
  <c r="P216" i="25"/>
  <c r="AB8" i="25"/>
  <c r="Y129" i="25"/>
  <c r="N129" i="25" s="1"/>
  <c r="X130" i="25"/>
  <c r="AJ129" i="25"/>
  <c r="T129" i="25" s="1"/>
  <c r="AI130" i="25"/>
  <c r="AD130" i="25"/>
  <c r="Q130" i="25" s="1"/>
  <c r="AC131" i="25"/>
  <c r="AJ130" i="25" l="1"/>
  <c r="T130" i="25" s="1"/>
  <c r="AI131" i="25"/>
  <c r="Y130" i="25"/>
  <c r="N130" i="25" s="1"/>
  <c r="X131" i="25"/>
  <c r="AD131" i="25"/>
  <c r="Q131" i="25" s="1"/>
  <c r="AC132" i="25"/>
  <c r="L125" i="18"/>
  <c r="M125" i="18" s="1"/>
  <c r="K126" i="18"/>
  <c r="H131" i="18"/>
  <c r="I131" i="18" s="1"/>
  <c r="G132" i="18"/>
  <c r="AD132" i="25" l="1"/>
  <c r="Q132" i="25" s="1"/>
  <c r="AC133" i="25"/>
  <c r="Y131" i="25"/>
  <c r="N131" i="25" s="1"/>
  <c r="X132" i="25"/>
  <c r="H132" i="18"/>
  <c r="I132" i="18" s="1"/>
  <c r="G133" i="18"/>
  <c r="AJ131" i="25"/>
  <c r="T131" i="25" s="1"/>
  <c r="AI132" i="25"/>
  <c r="L126" i="18"/>
  <c r="M126" i="18" s="1"/>
  <c r="K127" i="18"/>
  <c r="AJ132" i="25" l="1"/>
  <c r="T132" i="25" s="1"/>
  <c r="AI133" i="25"/>
  <c r="H133" i="18"/>
  <c r="I133" i="18" s="1"/>
  <c r="G134" i="18"/>
  <c r="Y132" i="25"/>
  <c r="N132" i="25" s="1"/>
  <c r="X133" i="25"/>
  <c r="L127" i="18"/>
  <c r="M127" i="18" s="1"/>
  <c r="K128" i="18"/>
  <c r="AD133" i="25"/>
  <c r="Q133" i="25" s="1"/>
  <c r="AC134" i="25"/>
  <c r="L128" i="18" l="1"/>
  <c r="M128" i="18" s="1"/>
  <c r="K129" i="18"/>
  <c r="Y133" i="25"/>
  <c r="N133" i="25" s="1"/>
  <c r="X134" i="25"/>
  <c r="H134" i="18"/>
  <c r="I134" i="18" s="1"/>
  <c r="G135" i="18"/>
  <c r="AD134" i="25"/>
  <c r="Q134" i="25" s="1"/>
  <c r="AC135" i="25"/>
  <c r="AJ133" i="25"/>
  <c r="T133" i="25" s="1"/>
  <c r="AI134" i="25"/>
  <c r="AD135" i="25" l="1"/>
  <c r="Q135" i="25" s="1"/>
  <c r="AC136" i="25"/>
  <c r="H135" i="18"/>
  <c r="I135" i="18" s="1"/>
  <c r="G136" i="18"/>
  <c r="Y134" i="25"/>
  <c r="N134" i="25" s="1"/>
  <c r="X135" i="25"/>
  <c r="AJ134" i="25"/>
  <c r="T134" i="25" s="1"/>
  <c r="AI135" i="25"/>
  <c r="L129" i="18"/>
  <c r="M129" i="18" s="1"/>
  <c r="K130" i="18"/>
  <c r="Y135" i="25" l="1"/>
  <c r="N135" i="25" s="1"/>
  <c r="X136" i="25"/>
  <c r="H136" i="18"/>
  <c r="I136" i="18" s="1"/>
  <c r="G137" i="18"/>
  <c r="AJ135" i="25"/>
  <c r="T135" i="25" s="1"/>
  <c r="AI136" i="25"/>
  <c r="L130" i="18"/>
  <c r="M130" i="18" s="1"/>
  <c r="K131" i="18"/>
  <c r="AD136" i="25"/>
  <c r="Q136" i="25" s="1"/>
  <c r="AC137" i="25"/>
  <c r="L131" i="18" l="1"/>
  <c r="M131" i="18" s="1"/>
  <c r="K132" i="18"/>
  <c r="AJ136" i="25"/>
  <c r="T136" i="25" s="1"/>
  <c r="AI137" i="25"/>
  <c r="H137" i="18"/>
  <c r="I137" i="18" s="1"/>
  <c r="G138" i="18"/>
  <c r="AD137" i="25"/>
  <c r="Q137" i="25" s="1"/>
  <c r="AC138" i="25"/>
  <c r="Y136" i="25"/>
  <c r="N136" i="25" s="1"/>
  <c r="X137" i="25"/>
  <c r="AD138" i="25" l="1"/>
  <c r="Q138" i="25" s="1"/>
  <c r="AC139" i="25"/>
  <c r="H138" i="18"/>
  <c r="I138" i="18" s="1"/>
  <c r="G139" i="18"/>
  <c r="AJ137" i="25"/>
  <c r="T137" i="25" s="1"/>
  <c r="AI138" i="25"/>
  <c r="Y137" i="25"/>
  <c r="N137" i="25" s="1"/>
  <c r="X138" i="25"/>
  <c r="L132" i="18"/>
  <c r="M132" i="18" s="1"/>
  <c r="K133" i="18"/>
  <c r="Y138" i="25" l="1"/>
  <c r="N138" i="25" s="1"/>
  <c r="X139" i="25"/>
  <c r="AJ138" i="25"/>
  <c r="T138" i="25" s="1"/>
  <c r="AI139" i="25"/>
  <c r="H139" i="18"/>
  <c r="I139" i="18" s="1"/>
  <c r="G140" i="18"/>
  <c r="L133" i="18"/>
  <c r="M133" i="18" s="1"/>
  <c r="K134" i="18"/>
  <c r="AD139" i="25"/>
  <c r="Q139" i="25" s="1"/>
  <c r="AC140" i="25"/>
  <c r="L134" i="18" l="1"/>
  <c r="M134" i="18" s="1"/>
  <c r="K135" i="18"/>
  <c r="H140" i="18"/>
  <c r="I140" i="18" s="1"/>
  <c r="G141" i="18"/>
  <c r="AJ139" i="25"/>
  <c r="T139" i="25" s="1"/>
  <c r="AI140" i="25"/>
  <c r="AD140" i="25"/>
  <c r="Q140" i="25" s="1"/>
  <c r="AC141" i="25"/>
  <c r="Y139" i="25"/>
  <c r="N139" i="25" s="1"/>
  <c r="X140" i="25"/>
  <c r="AD141" i="25" l="1"/>
  <c r="Q141" i="25" s="1"/>
  <c r="AC142" i="25"/>
  <c r="AJ140" i="25"/>
  <c r="T140" i="25" s="1"/>
  <c r="AI141" i="25"/>
  <c r="H141" i="18"/>
  <c r="I141" i="18" s="1"/>
  <c r="G142" i="18"/>
  <c r="Y140" i="25"/>
  <c r="N140" i="25" s="1"/>
  <c r="X141" i="25"/>
  <c r="L135" i="18"/>
  <c r="M135" i="18" s="1"/>
  <c r="K136" i="18"/>
  <c r="H142" i="18" l="1"/>
  <c r="I142" i="18" s="1"/>
  <c r="G143" i="18"/>
  <c r="AJ141" i="25"/>
  <c r="T141" i="25" s="1"/>
  <c r="AI142" i="25"/>
  <c r="L136" i="18"/>
  <c r="M136" i="18" s="1"/>
  <c r="K137" i="18"/>
  <c r="AD142" i="25"/>
  <c r="Q142" i="25" s="1"/>
  <c r="AC143" i="25"/>
  <c r="Y141" i="25"/>
  <c r="N141" i="25" s="1"/>
  <c r="X142" i="25"/>
  <c r="L137" i="18" l="1"/>
  <c r="M137" i="18" s="1"/>
  <c r="K138" i="18"/>
  <c r="AJ142" i="25"/>
  <c r="T142" i="25" s="1"/>
  <c r="AI143" i="25"/>
  <c r="Y142" i="25"/>
  <c r="N142" i="25" s="1"/>
  <c r="X143" i="25"/>
  <c r="H143" i="18"/>
  <c r="G9" i="18"/>
  <c r="AD143" i="25"/>
  <c r="Q143" i="25" s="1"/>
  <c r="AC144" i="25"/>
  <c r="Y143" i="25" l="1"/>
  <c r="N143" i="25" s="1"/>
  <c r="X144" i="25"/>
  <c r="AJ143" i="25"/>
  <c r="T143" i="25" s="1"/>
  <c r="AI144" i="25"/>
  <c r="AD144" i="25"/>
  <c r="Q144" i="25" s="1"/>
  <c r="AC145" i="25"/>
  <c r="L138" i="18"/>
  <c r="M138" i="18" s="1"/>
  <c r="K139" i="18"/>
  <c r="I143" i="18"/>
  <c r="I9" i="18" s="1"/>
  <c r="I4" i="18" s="1"/>
  <c r="H9" i="18"/>
  <c r="L139" i="18" l="1"/>
  <c r="M139" i="18" s="1"/>
  <c r="K140" i="18"/>
  <c r="AD145" i="25"/>
  <c r="Q145" i="25" s="1"/>
  <c r="AC146" i="25"/>
  <c r="AJ144" i="25"/>
  <c r="T144" i="25" s="1"/>
  <c r="AI145" i="25"/>
  <c r="Y144" i="25"/>
  <c r="N144" i="25" s="1"/>
  <c r="X145" i="25"/>
  <c r="L140" i="18" l="1"/>
  <c r="M140" i="18" s="1"/>
  <c r="K141" i="18"/>
  <c r="Y145" i="25"/>
  <c r="N145" i="25" s="1"/>
  <c r="X146" i="25"/>
  <c r="AJ145" i="25"/>
  <c r="T145" i="25" s="1"/>
  <c r="AI146" i="25"/>
  <c r="AD146" i="25"/>
  <c r="Q146" i="25" s="1"/>
  <c r="AC147" i="25"/>
  <c r="AD147" i="25" l="1"/>
  <c r="Q147" i="25" s="1"/>
  <c r="AC148" i="25"/>
  <c r="Y146" i="25"/>
  <c r="N146" i="25" s="1"/>
  <c r="X147" i="25"/>
  <c r="L141" i="18"/>
  <c r="M141" i="18" s="1"/>
  <c r="K142" i="18"/>
  <c r="AJ146" i="25"/>
  <c r="T146" i="25" s="1"/>
  <c r="AI147" i="25"/>
  <c r="AJ147" i="25" l="1"/>
  <c r="T147" i="25" s="1"/>
  <c r="AI148" i="25"/>
  <c r="L142" i="18"/>
  <c r="M142" i="18" s="1"/>
  <c r="K143" i="18"/>
  <c r="Y147" i="25"/>
  <c r="N147" i="25" s="1"/>
  <c r="X148" i="25"/>
  <c r="AD148" i="25"/>
  <c r="Q148" i="25" s="1"/>
  <c r="AC149" i="25"/>
  <c r="L143" i="18" l="1"/>
  <c r="K9" i="18"/>
  <c r="AJ148" i="25"/>
  <c r="T148" i="25" s="1"/>
  <c r="AI149" i="25"/>
  <c r="AD149" i="25"/>
  <c r="Q149" i="25" s="1"/>
  <c r="AC150" i="25"/>
  <c r="Y148" i="25"/>
  <c r="N148" i="25" s="1"/>
  <c r="X149" i="25"/>
  <c r="Y149" i="25" l="1"/>
  <c r="N149" i="25" s="1"/>
  <c r="X150" i="25"/>
  <c r="AD150" i="25"/>
  <c r="Q150" i="25" s="1"/>
  <c r="AC151" i="25"/>
  <c r="AJ149" i="25"/>
  <c r="T149" i="25" s="1"/>
  <c r="AI150" i="25"/>
  <c r="M143" i="18"/>
  <c r="M9" i="18" s="1"/>
  <c r="M4" i="18" s="1"/>
  <c r="L9" i="18"/>
  <c r="Y150" i="25" l="1"/>
  <c r="N150" i="25" s="1"/>
  <c r="X151" i="25"/>
  <c r="AJ150" i="25"/>
  <c r="T150" i="25" s="1"/>
  <c r="AI151" i="25"/>
  <c r="AD151" i="25"/>
  <c r="Q151" i="25" s="1"/>
  <c r="AC152" i="25"/>
  <c r="AJ151" i="25" l="1"/>
  <c r="T151" i="25" s="1"/>
  <c r="AI152" i="25"/>
  <c r="AD152" i="25"/>
  <c r="Q152" i="25" s="1"/>
  <c r="AC153" i="25"/>
  <c r="Y151" i="25"/>
  <c r="N151" i="25" s="1"/>
  <c r="X152" i="25"/>
  <c r="Y152" i="25" l="1"/>
  <c r="N152" i="25" s="1"/>
  <c r="X153" i="25"/>
  <c r="AJ152" i="25"/>
  <c r="T152" i="25" s="1"/>
  <c r="AI153" i="25"/>
  <c r="AD153" i="25"/>
  <c r="Q153" i="25" s="1"/>
  <c r="AC154" i="25"/>
  <c r="Y153" i="25" l="1"/>
  <c r="N153" i="25" s="1"/>
  <c r="X154" i="25"/>
  <c r="AD154" i="25"/>
  <c r="Q154" i="25" s="1"/>
  <c r="AC155" i="25"/>
  <c r="AJ153" i="25"/>
  <c r="T153" i="25" s="1"/>
  <c r="AI154" i="25"/>
  <c r="Y154" i="25" l="1"/>
  <c r="N154" i="25" s="1"/>
  <c r="X155" i="25"/>
  <c r="AJ154" i="25"/>
  <c r="T154" i="25" s="1"/>
  <c r="AI155" i="25"/>
  <c r="AD155" i="25"/>
  <c r="Q155" i="25" s="1"/>
  <c r="AC156" i="25"/>
  <c r="AD156" i="25" l="1"/>
  <c r="Q156" i="25" s="1"/>
  <c r="AC157" i="25"/>
  <c r="AJ155" i="25"/>
  <c r="T155" i="25" s="1"/>
  <c r="AI156" i="25"/>
  <c r="Y155" i="25"/>
  <c r="N155" i="25" s="1"/>
  <c r="X156" i="25"/>
  <c r="AJ156" i="25" l="1"/>
  <c r="T156" i="25" s="1"/>
  <c r="AI157" i="25"/>
  <c r="AD157" i="25"/>
  <c r="Q157" i="25" s="1"/>
  <c r="AC158" i="25"/>
  <c r="Y156" i="25"/>
  <c r="N156" i="25" s="1"/>
  <c r="X157" i="25"/>
  <c r="AD158" i="25" l="1"/>
  <c r="Q158" i="25" s="1"/>
  <c r="AC159" i="25"/>
  <c r="AJ157" i="25"/>
  <c r="T157" i="25" s="1"/>
  <c r="AI158" i="25"/>
  <c r="Y157" i="25"/>
  <c r="N157" i="25" s="1"/>
  <c r="X158" i="25"/>
  <c r="AD159" i="25" l="1"/>
  <c r="Q159" i="25" s="1"/>
  <c r="AC160" i="25"/>
  <c r="Y158" i="25"/>
  <c r="N158" i="25" s="1"/>
  <c r="X159" i="25"/>
  <c r="AJ158" i="25"/>
  <c r="T158" i="25" s="1"/>
  <c r="AI159" i="25"/>
  <c r="AD160" i="25" l="1"/>
  <c r="Q160" i="25" s="1"/>
  <c r="AC161" i="25"/>
  <c r="AJ159" i="25"/>
  <c r="T159" i="25" s="1"/>
  <c r="AI160" i="25"/>
  <c r="Y159" i="25"/>
  <c r="N159" i="25" s="1"/>
  <c r="X160" i="25"/>
  <c r="Y160" i="25" l="1"/>
  <c r="N160" i="25" s="1"/>
  <c r="X161" i="25"/>
  <c r="AD161" i="25"/>
  <c r="Q161" i="25" s="1"/>
  <c r="AC162" i="25"/>
  <c r="AJ160" i="25"/>
  <c r="T160" i="25" s="1"/>
  <c r="AI161" i="25"/>
  <c r="Y161" i="25" l="1"/>
  <c r="N161" i="25" s="1"/>
  <c r="X162" i="25"/>
  <c r="AJ161" i="25"/>
  <c r="T161" i="25" s="1"/>
  <c r="AI162" i="25"/>
  <c r="AD162" i="25"/>
  <c r="Q162" i="25" s="1"/>
  <c r="AC163" i="25"/>
  <c r="AD163" i="25" l="1"/>
  <c r="Q163" i="25" s="1"/>
  <c r="AC164" i="25"/>
  <c r="AJ162" i="25"/>
  <c r="T162" i="25" s="1"/>
  <c r="AI163" i="25"/>
  <c r="Y162" i="25"/>
  <c r="N162" i="25" s="1"/>
  <c r="X163" i="25"/>
  <c r="AJ163" i="25" l="1"/>
  <c r="T163" i="25" s="1"/>
  <c r="AI164" i="25"/>
  <c r="AD164" i="25"/>
  <c r="Q164" i="25" s="1"/>
  <c r="AC165" i="25"/>
  <c r="Y163" i="25"/>
  <c r="N163" i="25" s="1"/>
  <c r="X164" i="25"/>
  <c r="AJ164" i="25" l="1"/>
  <c r="T164" i="25" s="1"/>
  <c r="AI165" i="25"/>
  <c r="Y164" i="25"/>
  <c r="N164" i="25" s="1"/>
  <c r="X165" i="25"/>
  <c r="AD165" i="25"/>
  <c r="Q165" i="25" s="1"/>
  <c r="AC166" i="25"/>
  <c r="AJ165" i="25" l="1"/>
  <c r="T165" i="25" s="1"/>
  <c r="AI166" i="25"/>
  <c r="AD166" i="25"/>
  <c r="Q166" i="25" s="1"/>
  <c r="AC167" i="25"/>
  <c r="Y165" i="25"/>
  <c r="N165" i="25" s="1"/>
  <c r="X166" i="25"/>
  <c r="AJ166" i="25" l="1"/>
  <c r="T166" i="25" s="1"/>
  <c r="AI167" i="25"/>
  <c r="Y166" i="25"/>
  <c r="N166" i="25" s="1"/>
  <c r="X167" i="25"/>
  <c r="AD167" i="25"/>
  <c r="Q167" i="25" s="1"/>
  <c r="AC168" i="25"/>
  <c r="AJ167" i="25" l="1"/>
  <c r="T167" i="25" s="1"/>
  <c r="AI168" i="25"/>
  <c r="AD168" i="25"/>
  <c r="Q168" i="25" s="1"/>
  <c r="AC169" i="25"/>
  <c r="Y167" i="25"/>
  <c r="N167" i="25" s="1"/>
  <c r="X168" i="25"/>
  <c r="AJ168" i="25" l="1"/>
  <c r="T168" i="25" s="1"/>
  <c r="AI169" i="25"/>
  <c r="Y168" i="25"/>
  <c r="N168" i="25" s="1"/>
  <c r="X169" i="25"/>
  <c r="AD169" i="25"/>
  <c r="Q169" i="25" s="1"/>
  <c r="AC170" i="25"/>
  <c r="AD170" i="25" l="1"/>
  <c r="Q170" i="25" s="1"/>
  <c r="AC171" i="25"/>
  <c r="AJ169" i="25"/>
  <c r="T169" i="25" s="1"/>
  <c r="AI170" i="25"/>
  <c r="Y169" i="25"/>
  <c r="N169" i="25" s="1"/>
  <c r="X170" i="25"/>
  <c r="Y170" i="25" l="1"/>
  <c r="N170" i="25" s="1"/>
  <c r="X171" i="25"/>
  <c r="AD171" i="25"/>
  <c r="Q171" i="25" s="1"/>
  <c r="AC172" i="25"/>
  <c r="AJ170" i="25"/>
  <c r="T170" i="25" s="1"/>
  <c r="AI171" i="25"/>
  <c r="AJ171" i="25" l="1"/>
  <c r="T171" i="25" s="1"/>
  <c r="AI172" i="25"/>
  <c r="Y171" i="25"/>
  <c r="N171" i="25" s="1"/>
  <c r="X172" i="25"/>
  <c r="AD172" i="25"/>
  <c r="Q172" i="25" s="1"/>
  <c r="AC173" i="25"/>
  <c r="AD173" i="25" l="1"/>
  <c r="Q173" i="25" s="1"/>
  <c r="AC174" i="25"/>
  <c r="Y172" i="25"/>
  <c r="N172" i="25" s="1"/>
  <c r="X173" i="25"/>
  <c r="AJ172" i="25"/>
  <c r="T172" i="25" s="1"/>
  <c r="AI173" i="25"/>
  <c r="AJ173" i="25" l="1"/>
  <c r="T173" i="25" s="1"/>
  <c r="AI174" i="25"/>
  <c r="Y173" i="25"/>
  <c r="N173" i="25" s="1"/>
  <c r="X174" i="25"/>
  <c r="AD174" i="25"/>
  <c r="Q174" i="25" s="1"/>
  <c r="AC175" i="25"/>
  <c r="Y174" i="25" l="1"/>
  <c r="N174" i="25" s="1"/>
  <c r="X175" i="25"/>
  <c r="AJ174" i="25"/>
  <c r="T174" i="25" s="1"/>
  <c r="AI175" i="25"/>
  <c r="AD175" i="25"/>
  <c r="Q175" i="25" s="1"/>
  <c r="AC176" i="25"/>
  <c r="AD176" i="25" l="1"/>
  <c r="Q176" i="25" s="1"/>
  <c r="AC177" i="25"/>
  <c r="Y175" i="25"/>
  <c r="N175" i="25" s="1"/>
  <c r="X176" i="25"/>
  <c r="AJ175" i="25"/>
  <c r="T175" i="25" s="1"/>
  <c r="AI176" i="25"/>
  <c r="AD177" i="25" l="1"/>
  <c r="Q177" i="25" s="1"/>
  <c r="AC178" i="25"/>
  <c r="AJ176" i="25"/>
  <c r="T176" i="25" s="1"/>
  <c r="AI177" i="25"/>
  <c r="Y176" i="25"/>
  <c r="N176" i="25" s="1"/>
  <c r="X177" i="25"/>
  <c r="AJ177" i="25" l="1"/>
  <c r="T177" i="25" s="1"/>
  <c r="AI178" i="25"/>
  <c r="Y177" i="25"/>
  <c r="N177" i="25" s="1"/>
  <c r="X178" i="25"/>
  <c r="AD178" i="25"/>
  <c r="Q178" i="25" s="1"/>
  <c r="AC179" i="25"/>
  <c r="AD179" i="25" l="1"/>
  <c r="Q179" i="25" s="1"/>
  <c r="AC180" i="25"/>
  <c r="AJ178" i="25"/>
  <c r="T178" i="25" s="1"/>
  <c r="AI179" i="25"/>
  <c r="Y178" i="25"/>
  <c r="N178" i="25" s="1"/>
  <c r="X179" i="25"/>
  <c r="AD180" i="25" l="1"/>
  <c r="Q180" i="25" s="1"/>
  <c r="AC181" i="25"/>
  <c r="Y179" i="25"/>
  <c r="N179" i="25" s="1"/>
  <c r="X180" i="25"/>
  <c r="AJ179" i="25"/>
  <c r="T179" i="25" s="1"/>
  <c r="AI180" i="25"/>
  <c r="AD181" i="25" l="1"/>
  <c r="Q181" i="25" s="1"/>
  <c r="AC182" i="25"/>
  <c r="AJ180" i="25"/>
  <c r="T180" i="25" s="1"/>
  <c r="AI181" i="25"/>
  <c r="Y180" i="25"/>
  <c r="N180" i="25" s="1"/>
  <c r="X181" i="25"/>
  <c r="AJ181" i="25" l="1"/>
  <c r="T181" i="25" s="1"/>
  <c r="AI182" i="25"/>
  <c r="AD182" i="25"/>
  <c r="Q182" i="25" s="1"/>
  <c r="AC183" i="25"/>
  <c r="Y181" i="25"/>
  <c r="N181" i="25" s="1"/>
  <c r="X182" i="25"/>
  <c r="Y182" i="25" l="1"/>
  <c r="N182" i="25" s="1"/>
  <c r="X183" i="25"/>
  <c r="AJ182" i="25"/>
  <c r="T182" i="25" s="1"/>
  <c r="AI183" i="25"/>
  <c r="AD183" i="25"/>
  <c r="Q183" i="25" s="1"/>
  <c r="AC184" i="25"/>
  <c r="AD184" i="25" l="1"/>
  <c r="Q184" i="25" s="1"/>
  <c r="AC185" i="25"/>
  <c r="AJ183" i="25"/>
  <c r="T183" i="25" s="1"/>
  <c r="AI184" i="25"/>
  <c r="Y183" i="25"/>
  <c r="N183" i="25" s="1"/>
  <c r="X184" i="25"/>
  <c r="AJ184" i="25" l="1"/>
  <c r="T184" i="25" s="1"/>
  <c r="AI185" i="25"/>
  <c r="Y184" i="25"/>
  <c r="N184" i="25" s="1"/>
  <c r="X185" i="25"/>
  <c r="AD185" i="25"/>
  <c r="Q185" i="25" s="1"/>
  <c r="AC186" i="25"/>
  <c r="AJ185" i="25" l="1"/>
  <c r="T185" i="25" s="1"/>
  <c r="AI186" i="25"/>
  <c r="AD186" i="25"/>
  <c r="Q186" i="25" s="1"/>
  <c r="AC187" i="25"/>
  <c r="Y185" i="25"/>
  <c r="N185" i="25" s="1"/>
  <c r="X186" i="25"/>
  <c r="AD187" i="25" l="1"/>
  <c r="Q187" i="25" s="1"/>
  <c r="AC188" i="25"/>
  <c r="AJ186" i="25"/>
  <c r="T186" i="25" s="1"/>
  <c r="AI187" i="25"/>
  <c r="Y186" i="25"/>
  <c r="N186" i="25" s="1"/>
  <c r="X187" i="25"/>
  <c r="Y187" i="25" l="1"/>
  <c r="N187" i="25" s="1"/>
  <c r="X188" i="25"/>
  <c r="AJ187" i="25"/>
  <c r="T187" i="25" s="1"/>
  <c r="AI188" i="25"/>
  <c r="AD188" i="25"/>
  <c r="Q188" i="25" s="1"/>
  <c r="AC189" i="25"/>
  <c r="AJ188" i="25" l="1"/>
  <c r="T188" i="25" s="1"/>
  <c r="AI189" i="25"/>
  <c r="Y188" i="25"/>
  <c r="N188" i="25" s="1"/>
  <c r="X189" i="25"/>
  <c r="AD189" i="25"/>
  <c r="Q189" i="25" s="1"/>
  <c r="AC190" i="25"/>
  <c r="AD190" i="25" l="1"/>
  <c r="Q190" i="25" s="1"/>
  <c r="AC191" i="25"/>
  <c r="AJ189" i="25"/>
  <c r="T189" i="25" s="1"/>
  <c r="AI190" i="25"/>
  <c r="Y189" i="25"/>
  <c r="N189" i="25" s="1"/>
  <c r="X190" i="25"/>
  <c r="AD191" i="25" l="1"/>
  <c r="Q191" i="25" s="1"/>
  <c r="AC192" i="25"/>
  <c r="Y190" i="25"/>
  <c r="N190" i="25" s="1"/>
  <c r="X191" i="25"/>
  <c r="AJ190" i="25"/>
  <c r="T190" i="25" s="1"/>
  <c r="AI191" i="25"/>
  <c r="AJ191" i="25" l="1"/>
  <c r="T191" i="25" s="1"/>
  <c r="AI192" i="25"/>
  <c r="AD192" i="25"/>
  <c r="Q192" i="25" s="1"/>
  <c r="AC193" i="25"/>
  <c r="Y191" i="25"/>
  <c r="N191" i="25" s="1"/>
  <c r="X192" i="25"/>
  <c r="Y192" i="25" l="1"/>
  <c r="N192" i="25" s="1"/>
  <c r="X193" i="25"/>
  <c r="AJ192" i="25"/>
  <c r="T192" i="25" s="1"/>
  <c r="AI193" i="25"/>
  <c r="AD193" i="25"/>
  <c r="Q193" i="25" s="1"/>
  <c r="AC194" i="25"/>
  <c r="Y193" i="25" l="1"/>
  <c r="N193" i="25" s="1"/>
  <c r="X194" i="25"/>
  <c r="AD194" i="25"/>
  <c r="Q194" i="25" s="1"/>
  <c r="AC195" i="25"/>
  <c r="AJ193" i="25"/>
  <c r="T193" i="25" s="1"/>
  <c r="AI194" i="25"/>
  <c r="AD195" i="25" l="1"/>
  <c r="Q195" i="25" s="1"/>
  <c r="AC196" i="25"/>
  <c r="AJ194" i="25"/>
  <c r="T194" i="25" s="1"/>
  <c r="AI195" i="25"/>
  <c r="Y194" i="25"/>
  <c r="N194" i="25" s="1"/>
  <c r="X195" i="25"/>
  <c r="AD196" i="25" l="1"/>
  <c r="Q196" i="25" s="1"/>
  <c r="AC197" i="25"/>
  <c r="Y195" i="25"/>
  <c r="N195" i="25" s="1"/>
  <c r="X196" i="25"/>
  <c r="AJ195" i="25"/>
  <c r="T195" i="25" s="1"/>
  <c r="AI196" i="25"/>
  <c r="AD197" i="25" l="1"/>
  <c r="Q197" i="25" s="1"/>
  <c r="AC198" i="25"/>
  <c r="AJ196" i="25"/>
  <c r="T196" i="25" s="1"/>
  <c r="AI197" i="25"/>
  <c r="Y196" i="25"/>
  <c r="N196" i="25" s="1"/>
  <c r="X197" i="25"/>
  <c r="AD198" i="25" l="1"/>
  <c r="Q198" i="25" s="1"/>
  <c r="AC199" i="25"/>
  <c r="Y197" i="25"/>
  <c r="N197" i="25" s="1"/>
  <c r="X198" i="25"/>
  <c r="AJ197" i="25"/>
  <c r="T197" i="25" s="1"/>
  <c r="AI198" i="25"/>
  <c r="AD199" i="25" l="1"/>
  <c r="Q199" i="25" s="1"/>
  <c r="AC200" i="25"/>
  <c r="AJ198" i="25"/>
  <c r="T198" i="25" s="1"/>
  <c r="AI199" i="25"/>
  <c r="Y198" i="25"/>
  <c r="N198" i="25" s="1"/>
  <c r="X199" i="25"/>
  <c r="AD200" i="25" l="1"/>
  <c r="Q200" i="25" s="1"/>
  <c r="AC201" i="25"/>
  <c r="Y199" i="25"/>
  <c r="N199" i="25" s="1"/>
  <c r="X200" i="25"/>
  <c r="AJ199" i="25"/>
  <c r="T199" i="25" s="1"/>
  <c r="AI200" i="25"/>
  <c r="AJ200" i="25" l="1"/>
  <c r="T200" i="25" s="1"/>
  <c r="AI201" i="25"/>
  <c r="AD201" i="25"/>
  <c r="Q201" i="25" s="1"/>
  <c r="AC202" i="25"/>
  <c r="Y200" i="25"/>
  <c r="N200" i="25" s="1"/>
  <c r="X201" i="25"/>
  <c r="AJ201" i="25" l="1"/>
  <c r="T201" i="25" s="1"/>
  <c r="AI202" i="25"/>
  <c r="Y201" i="25"/>
  <c r="N201" i="25" s="1"/>
  <c r="X202" i="25"/>
  <c r="AD202" i="25"/>
  <c r="Q202" i="25" s="1"/>
  <c r="AC203" i="25"/>
  <c r="AJ202" i="25" l="1"/>
  <c r="T202" i="25" s="1"/>
  <c r="AI203" i="25"/>
  <c r="AD203" i="25"/>
  <c r="Q203" i="25" s="1"/>
  <c r="AC204" i="25"/>
  <c r="Y202" i="25"/>
  <c r="N202" i="25" s="1"/>
  <c r="X203" i="25"/>
  <c r="AJ203" i="25" l="1"/>
  <c r="T203" i="25" s="1"/>
  <c r="AI204" i="25"/>
  <c r="Y203" i="25"/>
  <c r="N203" i="25" s="1"/>
  <c r="X204" i="25"/>
  <c r="AD204" i="25"/>
  <c r="Q204" i="25" s="1"/>
  <c r="AC205" i="25"/>
  <c r="AJ204" i="25" l="1"/>
  <c r="T204" i="25" s="1"/>
  <c r="AI205" i="25"/>
  <c r="AD205" i="25"/>
  <c r="Q205" i="25" s="1"/>
  <c r="AC206" i="25"/>
  <c r="Y204" i="25"/>
  <c r="N204" i="25" s="1"/>
  <c r="X205" i="25"/>
  <c r="Y205" i="25" l="1"/>
  <c r="N205" i="25" s="1"/>
  <c r="X206" i="25"/>
  <c r="AJ205" i="25"/>
  <c r="T205" i="25" s="1"/>
  <c r="AI206" i="25"/>
  <c r="AD206" i="25"/>
  <c r="Q206" i="25" s="1"/>
  <c r="AC207" i="25"/>
  <c r="AD207" i="25" l="1"/>
  <c r="Q207" i="25" s="1"/>
  <c r="AC208" i="25"/>
  <c r="Y206" i="25"/>
  <c r="N206" i="25" s="1"/>
  <c r="X207" i="25"/>
  <c r="AJ206" i="25"/>
  <c r="T206" i="25" s="1"/>
  <c r="AI207" i="25"/>
  <c r="AD208" i="25" l="1"/>
  <c r="Q208" i="25" s="1"/>
  <c r="AC209" i="25"/>
  <c r="AJ207" i="25"/>
  <c r="T207" i="25" s="1"/>
  <c r="AI208" i="25"/>
  <c r="Y207" i="25"/>
  <c r="N207" i="25" s="1"/>
  <c r="X208" i="25"/>
  <c r="AD209" i="25" l="1"/>
  <c r="Q209" i="25" s="1"/>
  <c r="AC210" i="25"/>
  <c r="Y208" i="25"/>
  <c r="N208" i="25" s="1"/>
  <c r="X209" i="25"/>
  <c r="AJ208" i="25"/>
  <c r="T208" i="25" s="1"/>
  <c r="AI209" i="25"/>
  <c r="AD210" i="25" l="1"/>
  <c r="Q210" i="25" s="1"/>
  <c r="AC211" i="25"/>
  <c r="AJ209" i="25"/>
  <c r="T209" i="25" s="1"/>
  <c r="AI210" i="25"/>
  <c r="Y209" i="25"/>
  <c r="N209" i="25" s="1"/>
  <c r="X210" i="25"/>
  <c r="AD211" i="25" l="1"/>
  <c r="Q211" i="25" s="1"/>
  <c r="AC212" i="25"/>
  <c r="Y210" i="25"/>
  <c r="N210" i="25" s="1"/>
  <c r="X211" i="25"/>
  <c r="AJ210" i="25"/>
  <c r="T210" i="25" s="1"/>
  <c r="AI211" i="25"/>
  <c r="AD212" i="25" l="1"/>
  <c r="Q212" i="25" s="1"/>
  <c r="AC213" i="25"/>
  <c r="AJ211" i="25"/>
  <c r="T211" i="25" s="1"/>
  <c r="AI212" i="25"/>
  <c r="Y211" i="25"/>
  <c r="N211" i="25" s="1"/>
  <c r="X212" i="25"/>
  <c r="AJ212" i="25" l="1"/>
  <c r="T212" i="25" s="1"/>
  <c r="AI213" i="25"/>
  <c r="Y212" i="25"/>
  <c r="N212" i="25" s="1"/>
  <c r="X213" i="25"/>
  <c r="AD213" i="25"/>
  <c r="Q213" i="25" s="1"/>
  <c r="AC214" i="25"/>
  <c r="AJ213" i="25" l="1"/>
  <c r="T213" i="25" s="1"/>
  <c r="AI214" i="25"/>
  <c r="AD214" i="25"/>
  <c r="Q214" i="25" s="1"/>
  <c r="AC215" i="25"/>
  <c r="Y213" i="25"/>
  <c r="N213" i="25" s="1"/>
  <c r="X214" i="25"/>
  <c r="AJ214" i="25" l="1"/>
  <c r="T214" i="25" s="1"/>
  <c r="AI215" i="25"/>
  <c r="Y214" i="25"/>
  <c r="N214" i="25" s="1"/>
  <c r="X215" i="25"/>
  <c r="AD215" i="25"/>
  <c r="Q215" i="25" s="1"/>
  <c r="AC216" i="25"/>
  <c r="AD216" i="25" s="1"/>
  <c r="Q216" i="25" l="1"/>
  <c r="AD8" i="25"/>
  <c r="AJ215" i="25"/>
  <c r="T215" i="25" s="1"/>
  <c r="AI216" i="25"/>
  <c r="AJ216" i="25" s="1"/>
  <c r="Y215" i="25"/>
  <c r="N215" i="25" s="1"/>
  <c r="X216" i="25"/>
  <c r="Y216" i="25" s="1"/>
  <c r="T216" i="25" l="1"/>
  <c r="AJ8" i="25"/>
  <c r="N216" i="25"/>
  <c r="Y8" i="25"/>
  <c r="P8" i="25"/>
  <c r="Q8" i="25"/>
  <c r="O8" i="25"/>
  <c r="AN9" i="25"/>
  <c r="AN10" i="25"/>
  <c r="AN11" i="25"/>
  <c r="AQ9" i="25" l="1"/>
  <c r="AS9" i="25" s="1"/>
  <c r="AR9" i="25"/>
  <c r="AT9" i="25" s="1"/>
  <c r="AN8" i="25"/>
  <c r="L8" i="25"/>
  <c r="N8" i="25"/>
  <c r="M8" i="25"/>
  <c r="AQ11" i="25"/>
  <c r="AS11" i="25" s="1"/>
  <c r="AR11" i="25"/>
  <c r="AT11" i="25" s="1"/>
  <c r="AR10" i="25"/>
  <c r="AT10" i="25" s="1"/>
  <c r="AQ10" i="25"/>
  <c r="AS10" i="25" s="1"/>
  <c r="S8" i="25"/>
  <c r="R8" i="25"/>
  <c r="T8" i="25"/>
  <c r="AV11" i="25" l="1"/>
  <c r="AU11" i="25"/>
  <c r="AU10" i="25"/>
  <c r="AV10" i="25"/>
  <c r="AT8" i="25"/>
  <c r="AS8" i="25"/>
  <c r="AU9" i="25"/>
  <c r="AV9" i="25"/>
  <c r="AU8" i="25" l="1"/>
  <c r="AV8" i="25"/>
</calcChain>
</file>

<file path=xl/sharedStrings.xml><?xml version="1.0" encoding="utf-8"?>
<sst xmlns="http://schemas.openxmlformats.org/spreadsheetml/2006/main" count="1841" uniqueCount="638">
  <si>
    <t>h</t>
    <phoneticPr fontId="18" type="noConversion"/>
  </si>
  <si>
    <t>yh</t>
    <phoneticPr fontId="18" type="noConversion"/>
  </si>
  <si>
    <t>yh^2</t>
    <phoneticPr fontId="18" type="noConversion"/>
  </si>
  <si>
    <t>Sample take per PSU (number of households)</t>
    <phoneticPr fontId="18" type="noConversion"/>
  </si>
  <si>
    <t>Equal allocation</t>
    <phoneticPr fontId="18" type="noConversion"/>
  </si>
  <si>
    <t>PSU 8</t>
  </si>
  <si>
    <t>PSU 9</t>
  </si>
  <si>
    <t>PSU 14</t>
  </si>
  <si>
    <t>ADDITIONAL INPUTS</t>
  </si>
  <si>
    <t>Value</t>
  </si>
  <si>
    <t>ADDITIONAL OUTPUTS</t>
  </si>
  <si>
    <t>Total</t>
  </si>
  <si>
    <r>
      <t xml:space="preserve">SAMPLE SIZE CALCULATION </t>
    </r>
    <r>
      <rPr>
        <b/>
        <i/>
        <sz val="11"/>
        <color theme="0"/>
        <rFont val="Calibri"/>
        <family val="2"/>
        <scheme val="minor"/>
      </rPr>
      <t>for one domain</t>
    </r>
  </si>
  <si>
    <t>Proportions of:</t>
  </si>
  <si>
    <t>Square-root allocation</t>
    <phoneticPr fontId="18" type="noConversion"/>
  </si>
  <si>
    <t>α</t>
    <phoneticPr fontId="18" type="noConversion"/>
  </si>
  <si>
    <t>PSU 37</t>
  </si>
  <si>
    <t>PSU 38</t>
  </si>
  <si>
    <t>PSU 103</t>
  </si>
  <si>
    <t>PSU 104</t>
  </si>
  <si>
    <t>PSU 105</t>
  </si>
  <si>
    <t>Number of working children</t>
    <phoneticPr fontId="18" type="noConversion"/>
  </si>
  <si>
    <t>PSU 82</t>
  </si>
  <si>
    <t>PSU 83</t>
  </si>
  <si>
    <t>PSU 84</t>
  </si>
  <si>
    <t>PSU 85</t>
  </si>
  <si>
    <t>PSU 86</t>
  </si>
  <si>
    <t>PSU 87</t>
  </si>
  <si>
    <t>PSU 88</t>
  </si>
  <si>
    <t>PSU 89</t>
  </si>
  <si>
    <t>PSU 90</t>
  </si>
  <si>
    <t>1</t>
    <phoneticPr fontId="18" type="noConversion"/>
  </si>
  <si>
    <r>
      <t xml:space="preserve">Average household size                                                             </t>
    </r>
    <r>
      <rPr>
        <i/>
        <sz val="12"/>
        <color indexed="8"/>
        <rFont val="Calibri"/>
        <family val="2"/>
      </rPr>
      <t>AveSize</t>
    </r>
    <phoneticPr fontId="18" type="noConversion"/>
  </si>
  <si>
    <r>
      <t>Cluster size (Number of households per cluster)</t>
    </r>
    <r>
      <rPr>
        <sz val="12"/>
        <color indexed="8"/>
        <rFont val="Calibri"/>
        <family val="2"/>
      </rPr>
      <t xml:space="preserve">                            </t>
    </r>
    <r>
      <rPr>
        <i/>
        <sz val="12"/>
        <color indexed="8"/>
        <rFont val="Calibri"/>
        <family val="2"/>
      </rPr>
      <t xml:space="preserve">b   </t>
    </r>
    <r>
      <rPr>
        <sz val="12"/>
        <color indexed="8"/>
        <rFont val="Calibri"/>
        <family val="2"/>
      </rPr>
      <t xml:space="preserve">  </t>
    </r>
    <phoneticPr fontId="18" type="noConversion"/>
  </si>
  <si>
    <r>
      <t>B</t>
    </r>
    <r>
      <rPr>
        <sz val="12"/>
        <color theme="1"/>
        <rFont val="Calibri"/>
        <family val="2"/>
        <scheme val="minor"/>
      </rPr>
      <t>ase populations in total population</t>
    </r>
    <phoneticPr fontId="18" type="noConversion"/>
  </si>
  <si>
    <t>(19)</t>
    <phoneticPr fontId="18" type="noConversion"/>
  </si>
  <si>
    <t>(20)</t>
    <phoneticPr fontId="18" type="noConversion"/>
  </si>
  <si>
    <r>
      <t xml:space="preserve">Sample size (number of households)              </t>
    </r>
    <r>
      <rPr>
        <i/>
        <sz val="12"/>
        <color indexed="8"/>
        <rFont val="Calibri"/>
        <family val="2"/>
      </rPr>
      <t>n</t>
    </r>
    <phoneticPr fontId="18" type="noConversion"/>
  </si>
  <si>
    <t>008</t>
    <phoneticPr fontId="18" type="noConversion"/>
  </si>
  <si>
    <t>1</t>
    <phoneticPr fontId="18" type="noConversion"/>
  </si>
  <si>
    <t>(1-f)</t>
    <phoneticPr fontId="18" type="noConversion"/>
  </si>
  <si>
    <t>(1-fd)</t>
    <phoneticPr fontId="18" type="noConversion"/>
  </si>
  <si>
    <t>(1-e-lampd)</t>
    <phoneticPr fontId="18" type="noConversion"/>
  </si>
  <si>
    <t>Var1</t>
    <phoneticPr fontId="18" type="noConversion"/>
  </si>
  <si>
    <t>AA BB</t>
    <phoneticPr fontId="18" type="noConversion"/>
  </si>
  <si>
    <t>CC DDDD</t>
    <phoneticPr fontId="18" type="noConversion"/>
  </si>
  <si>
    <t>Confidence interval</t>
    <phoneticPr fontId="18" type="noConversion"/>
  </si>
  <si>
    <t>Relative standard error</t>
    <phoneticPr fontId="18" type="noConversion"/>
  </si>
  <si>
    <t>Lower</t>
    <phoneticPr fontId="18" type="noConversion"/>
  </si>
  <si>
    <t>Upper</t>
    <phoneticPr fontId="18" type="noConversion"/>
  </si>
  <si>
    <t>(18)</t>
    <phoneticPr fontId="18" type="noConversion"/>
  </si>
  <si>
    <t>(34)</t>
    <phoneticPr fontId="18" type="noConversion"/>
  </si>
  <si>
    <t>(35)</t>
    <phoneticPr fontId="18" type="noConversion"/>
  </si>
  <si>
    <r>
      <t>λ = T</t>
    </r>
    <r>
      <rPr>
        <vertAlign val="superscript"/>
        <sz val="12"/>
        <color indexed="8"/>
        <rFont val="Times New Roman"/>
      </rPr>
      <t>-1</t>
    </r>
    <r>
      <rPr>
        <sz val="12"/>
        <color indexed="8"/>
        <rFont val="Times New Roman"/>
        <family val="2"/>
      </rPr>
      <t>(t</t>
    </r>
    <r>
      <rPr>
        <vertAlign val="subscript"/>
        <sz val="12"/>
        <color indexed="8"/>
        <rFont val="Times New Roman"/>
      </rPr>
      <t>x</t>
    </r>
    <r>
      <rPr>
        <sz val="12"/>
        <color indexed="8"/>
        <rFont val="Times New Roman"/>
        <family val="2"/>
      </rPr>
      <t>-t</t>
    </r>
    <r>
      <rPr>
        <vertAlign val="subscript"/>
        <sz val="12"/>
        <color indexed="8"/>
        <rFont val="Times New Roman"/>
      </rPr>
      <t>w</t>
    </r>
    <r>
      <rPr>
        <sz val="12"/>
        <color indexed="8"/>
        <rFont val="Times New Roman"/>
        <family val="2"/>
      </rPr>
      <t>)</t>
    </r>
    <phoneticPr fontId="18" type="noConversion"/>
  </si>
  <si>
    <t>(27)</t>
    <phoneticPr fontId="18" type="noConversion"/>
  </si>
  <si>
    <t>(32)</t>
    <phoneticPr fontId="18" type="noConversion"/>
  </si>
  <si>
    <t>λ</t>
    <phoneticPr fontId="18" type="noConversion"/>
  </si>
  <si>
    <r>
      <t>t</t>
    </r>
    <r>
      <rPr>
        <vertAlign val="subscript"/>
        <sz val="12"/>
        <color indexed="8"/>
        <rFont val="Times New Roman"/>
      </rPr>
      <t>x</t>
    </r>
    <r>
      <rPr>
        <sz val="12"/>
        <color indexed="8"/>
        <rFont val="Times New Roman"/>
        <family val="2"/>
      </rPr>
      <t>-t</t>
    </r>
    <r>
      <rPr>
        <vertAlign val="subscript"/>
        <sz val="12"/>
        <color indexed="8"/>
        <rFont val="Times New Roman"/>
      </rPr>
      <t>w</t>
    </r>
    <phoneticPr fontId="18" type="noConversion"/>
  </si>
  <si>
    <t>015</t>
  </si>
  <si>
    <t>016</t>
  </si>
  <si>
    <t>(10)</t>
    <phoneticPr fontId="18" type="noConversion"/>
  </si>
  <si>
    <t>Domain or Stratum 2</t>
    <phoneticPr fontId="18" type="noConversion"/>
  </si>
  <si>
    <t>(22)</t>
    <phoneticPr fontId="18" type="noConversion"/>
  </si>
  <si>
    <t>(23)</t>
    <phoneticPr fontId="18" type="noConversion"/>
  </si>
  <si>
    <t>p</t>
    <phoneticPr fontId="18" type="noConversion"/>
  </si>
  <si>
    <t>lambda*p</t>
    <phoneticPr fontId="18" type="noConversion"/>
  </si>
  <si>
    <t>Design 1</t>
    <phoneticPr fontId="18" type="noConversion"/>
  </si>
  <si>
    <t>Design 2</t>
    <phoneticPr fontId="18" type="noConversion"/>
  </si>
  <si>
    <t>Design 3</t>
    <phoneticPr fontId="18" type="noConversion"/>
  </si>
  <si>
    <t>This template is to assist you to examine sample allocations among domains or strata, allowing for different allocation procedures, including equal allocation, proportional allocation, the compromise square-root allocation and general allocation where the allocation parameter and the minimum sample size in each stratum can be specified.  More strata or domains can be inserted as needed. Specify the number of domains or strata as part of the input values. Do not change the content of cells that are red and those that are within the intermediary calculations.</t>
    <phoneticPr fontId="18" type="noConversion"/>
  </si>
  <si>
    <t>OUTPUT VALUES</t>
  </si>
  <si>
    <t>Children 12-14 yrs</t>
    <phoneticPr fontId="18" type="noConversion"/>
  </si>
  <si>
    <t>Children 5-11 yrs</t>
    <phoneticPr fontId="18" type="noConversion"/>
  </si>
  <si>
    <t>PSU 73</t>
  </si>
  <si>
    <t>Iteration 1</t>
    <phoneticPr fontId="18" type="noConversion"/>
  </si>
  <si>
    <t>Iteration 2</t>
    <phoneticPr fontId="18" type="noConversion"/>
  </si>
  <si>
    <t>start</t>
    <phoneticPr fontId="18" type="noConversion"/>
  </si>
  <si>
    <t>1/x</t>
    <phoneticPr fontId="18" type="noConversion"/>
  </si>
  <si>
    <t>gain var</t>
    <phoneticPr fontId="18" type="noConversion"/>
  </si>
  <si>
    <t>gain stdev</t>
    <phoneticPr fontId="18" type="noConversion"/>
  </si>
  <si>
    <t>sigma2</t>
    <phoneticPr fontId="18" type="noConversion"/>
  </si>
  <si>
    <t>lambda</t>
    <phoneticPr fontId="18" type="noConversion"/>
  </si>
  <si>
    <t>correl</t>
    <phoneticPr fontId="18" type="noConversion"/>
  </si>
  <si>
    <t>sample B</t>
    <phoneticPr fontId="18" type="noConversion"/>
  </si>
  <si>
    <t>a</t>
    <phoneticPr fontId="18" type="noConversion"/>
  </si>
  <si>
    <t>b</t>
    <phoneticPr fontId="18" type="noConversion"/>
  </si>
  <si>
    <t>rounding</t>
    <phoneticPr fontId="18" type="noConversion"/>
  </si>
  <si>
    <t>INTERMEDIARY</t>
    <phoneticPr fontId="18" type="noConversion"/>
  </si>
  <si>
    <t>k =</t>
    <phoneticPr fontId="18" type="noConversion"/>
  </si>
  <si>
    <t>Calibration factor</t>
    <phoneticPr fontId="18" type="noConversion"/>
  </si>
  <si>
    <t>PSU 48</t>
  </si>
  <si>
    <t>New random</t>
    <phoneticPr fontId="18" type="noConversion"/>
  </si>
  <si>
    <r>
      <t xml:space="preserve">SAMPLE </t>
    </r>
    <r>
      <rPr>
        <b/>
        <sz val="14"/>
        <color indexed="9"/>
        <rFont val="Calibri"/>
        <family val="2"/>
      </rPr>
      <t xml:space="preserve">ALLOCATION </t>
    </r>
    <r>
      <rPr>
        <b/>
        <i/>
        <sz val="11"/>
        <color indexed="9"/>
        <rFont val="Calibri"/>
        <family val="2"/>
      </rPr>
      <t>among domains or strata</t>
    </r>
    <phoneticPr fontId="18" type="noConversion"/>
  </si>
  <si>
    <r>
      <t>π</t>
    </r>
    <r>
      <rPr>
        <i/>
        <vertAlign val="subscript"/>
        <sz val="10"/>
        <color indexed="8"/>
        <rFont val="Calibri"/>
      </rPr>
      <t>i</t>
    </r>
    <phoneticPr fontId="18" type="noConversion"/>
  </si>
  <si>
    <t>Total sample size</t>
    <phoneticPr fontId="18" type="noConversion"/>
  </si>
  <si>
    <t>n =</t>
    <phoneticPr fontId="18" type="noConversion"/>
  </si>
  <si>
    <t>Estimate</t>
  </si>
  <si>
    <t>PSU 59</t>
  </si>
  <si>
    <t>PSU 60</t>
  </si>
  <si>
    <t>PSU 20</t>
  </si>
  <si>
    <t>Selection (2):Automatic selection of very large PSUs</t>
    <phoneticPr fontId="18" type="noConversion"/>
  </si>
  <si>
    <t>PSU 107</t>
  </si>
  <si>
    <t>PSU 72</t>
  </si>
  <si>
    <t>for levels</t>
    <phoneticPr fontId="18" type="noConversion"/>
  </si>
  <si>
    <t>for ratios</t>
    <phoneticPr fontId="18" type="noConversion"/>
  </si>
  <si>
    <t>Levels</t>
    <phoneticPr fontId="18" type="noConversion"/>
  </si>
  <si>
    <t>Ratios</t>
    <phoneticPr fontId="18" type="noConversion"/>
  </si>
  <si>
    <r>
      <t>σ(r)</t>
    </r>
    <r>
      <rPr>
        <vertAlign val="superscript"/>
        <sz val="12"/>
        <color indexed="8"/>
        <rFont val="Times New Roman"/>
      </rPr>
      <t>2</t>
    </r>
    <r>
      <rPr>
        <sz val="12"/>
        <color indexed="8"/>
        <rFont val="Times New Roman"/>
        <family val="2"/>
      </rPr>
      <t/>
    </r>
    <phoneticPr fontId="18" type="noConversion"/>
  </si>
  <si>
    <t>Total number of PSUs in stratum/domain in frame</t>
    <phoneticPr fontId="18" type="noConversion"/>
  </si>
  <si>
    <t>Random value</t>
    <phoneticPr fontId="18" type="noConversion"/>
  </si>
  <si>
    <t>i</t>
    <phoneticPr fontId="18" type="noConversion"/>
  </si>
  <si>
    <t>xi</t>
    <phoneticPr fontId="18" type="noConversion"/>
  </si>
  <si>
    <t>Children 5-17 yrs</t>
    <phoneticPr fontId="18" type="noConversion"/>
  </si>
  <si>
    <t>Expected sample children 5-17 yrs</t>
    <phoneticPr fontId="18" type="noConversion"/>
  </si>
  <si>
    <t>Expected sample hslds with children 5-17 yrs</t>
    <phoneticPr fontId="18" type="noConversion"/>
  </si>
  <si>
    <r>
      <t xml:space="preserve">Average no. of persons </t>
    </r>
    <r>
      <rPr>
        <sz val="12"/>
        <color indexed="8"/>
        <rFont val="Calibri"/>
        <family val="2"/>
      </rPr>
      <t>in</t>
    </r>
    <r>
      <rPr>
        <sz val="12"/>
        <color theme="1"/>
        <rFont val="Calibri"/>
        <family val="2"/>
        <scheme val="minor"/>
      </rPr>
      <t xml:space="preserve"> base population per HH</t>
    </r>
    <r>
      <rPr>
        <sz val="12"/>
        <color indexed="8"/>
        <rFont val="Calibri"/>
        <family val="2"/>
      </rPr>
      <t xml:space="preserve">               </t>
    </r>
    <r>
      <rPr>
        <i/>
        <sz val="12"/>
        <color indexed="8"/>
        <rFont val="Calibri"/>
        <family val="2"/>
      </rPr>
      <t>AveHH</t>
    </r>
    <phoneticPr fontId="18" type="noConversion"/>
  </si>
  <si>
    <t>PSU 22</t>
  </si>
  <si>
    <t>PSU 23</t>
  </si>
  <si>
    <t>PSU 24</t>
  </si>
  <si>
    <t>(3)</t>
    <phoneticPr fontId="18" type="noConversion"/>
  </si>
  <si>
    <t>(4)</t>
    <phoneticPr fontId="18" type="noConversion"/>
  </si>
  <si>
    <t>Ni</t>
    <phoneticPr fontId="18" type="noConversion"/>
  </si>
  <si>
    <t xml:space="preserve">CALCULATION OF SAMPLING ERRORS FOR LEVELS AND RATIOS </t>
    <phoneticPr fontId="18" type="noConversion"/>
  </si>
  <si>
    <t>Domain or Stratum 10</t>
  </si>
  <si>
    <t>sigma h</t>
    <phoneticPr fontId="18" type="noConversion"/>
  </si>
  <si>
    <r>
      <t xml:space="preserve">Confidence limits (95% confidence):
Upper: </t>
    </r>
    <r>
      <rPr>
        <b/>
        <i/>
        <sz val="12"/>
        <color theme="0"/>
        <rFont val="Calibri"/>
        <family val="2"/>
        <scheme val="minor"/>
      </rPr>
      <t>r</t>
    </r>
    <r>
      <rPr>
        <b/>
        <sz val="12"/>
        <color theme="0"/>
        <rFont val="Calibri"/>
        <family val="2"/>
        <scheme val="minor"/>
      </rPr>
      <t xml:space="preserve"> * (1 + </t>
    </r>
    <r>
      <rPr>
        <b/>
        <i/>
        <sz val="12"/>
        <color theme="0"/>
        <rFont val="Calibri"/>
        <family val="2"/>
        <scheme val="minor"/>
      </rPr>
      <t>RME</t>
    </r>
    <r>
      <rPr>
        <b/>
        <sz val="12"/>
        <color theme="0"/>
        <rFont val="Calibri"/>
        <family val="2"/>
        <scheme val="minor"/>
      </rPr>
      <t xml:space="preserve">)
Lower: </t>
    </r>
    <r>
      <rPr>
        <b/>
        <i/>
        <sz val="12"/>
        <color theme="0"/>
        <rFont val="Calibri"/>
        <family val="2"/>
        <scheme val="minor"/>
      </rPr>
      <t>r</t>
    </r>
    <r>
      <rPr>
        <b/>
        <sz val="12"/>
        <color theme="0"/>
        <rFont val="Calibri"/>
        <family val="2"/>
        <scheme val="minor"/>
      </rPr>
      <t xml:space="preserve"> * (1 - </t>
    </r>
    <r>
      <rPr>
        <b/>
        <i/>
        <sz val="12"/>
        <color theme="0"/>
        <rFont val="Calibri"/>
        <family val="2"/>
        <scheme val="minor"/>
      </rPr>
      <t>RME</t>
    </r>
    <r>
      <rPr>
        <b/>
        <sz val="12"/>
        <color theme="0"/>
        <rFont val="Calibri"/>
        <family val="2"/>
        <scheme val="minor"/>
      </rPr>
      <t xml:space="preserve">)
Sample size:
    4 * </t>
    </r>
    <r>
      <rPr>
        <b/>
        <i/>
        <sz val="12"/>
        <color indexed="9"/>
        <rFont val="Symbol"/>
      </rPr>
      <t>s</t>
    </r>
    <r>
      <rPr>
        <b/>
        <i/>
        <vertAlign val="superscript"/>
        <sz val="12"/>
        <color indexed="9"/>
        <rFont val="Symbol"/>
      </rPr>
      <t>2</t>
    </r>
    <r>
      <rPr>
        <b/>
        <sz val="12"/>
        <color theme="0"/>
        <rFont val="Calibri"/>
        <family val="2"/>
        <scheme val="minor"/>
      </rPr>
      <t xml:space="preserve"> * </t>
    </r>
    <r>
      <rPr>
        <b/>
        <i/>
        <sz val="12"/>
        <color theme="0"/>
        <rFont val="Calibri"/>
        <family val="2"/>
        <scheme val="minor"/>
      </rPr>
      <t>deff</t>
    </r>
    <r>
      <rPr>
        <b/>
        <sz val="12"/>
        <color theme="0"/>
        <rFont val="Calibri"/>
        <family val="2"/>
        <scheme val="minor"/>
      </rPr>
      <t xml:space="preserve">  
</t>
    </r>
    <r>
      <rPr>
        <b/>
        <i/>
        <sz val="12"/>
        <color theme="0"/>
        <rFont val="Calibri"/>
        <family val="2"/>
        <scheme val="minor"/>
      </rPr>
      <t>n</t>
    </r>
    <r>
      <rPr>
        <b/>
        <sz val="12"/>
        <color theme="0"/>
        <rFont val="Calibri"/>
        <family val="2"/>
        <scheme val="minor"/>
      </rPr>
      <t xml:space="preserve">  = ---------------------------------------------
    </t>
    </r>
    <r>
      <rPr>
        <b/>
        <sz val="12"/>
        <color indexed="9"/>
        <rFont val="Calibri"/>
        <family val="2"/>
      </rPr>
      <t xml:space="preserve"> </t>
    </r>
    <r>
      <rPr>
        <b/>
        <i/>
        <sz val="12"/>
        <color theme="0"/>
        <rFont val="Calibri"/>
        <family val="2"/>
        <scheme val="minor"/>
      </rPr>
      <t>ME</t>
    </r>
    <r>
      <rPr>
        <b/>
        <vertAlign val="superscript"/>
        <sz val="12"/>
        <color theme="0"/>
        <rFont val="Calibri"/>
        <family val="2"/>
        <scheme val="minor"/>
      </rPr>
      <t>2</t>
    </r>
    <r>
      <rPr>
        <b/>
        <sz val="12"/>
        <color theme="0"/>
        <rFont val="Calibri"/>
        <family val="2"/>
        <scheme val="minor"/>
      </rPr>
      <t xml:space="preserve"> * </t>
    </r>
    <r>
      <rPr>
        <b/>
        <i/>
        <sz val="12"/>
        <color theme="0"/>
        <rFont val="Calibri"/>
        <family val="2"/>
        <scheme val="minor"/>
      </rPr>
      <t>Ave</t>
    </r>
    <r>
      <rPr>
        <b/>
        <i/>
        <sz val="12"/>
        <color indexed="9"/>
        <rFont val="Calibri"/>
        <family val="2"/>
      </rPr>
      <t>HH</t>
    </r>
    <r>
      <rPr>
        <b/>
        <i/>
        <sz val="12"/>
        <color theme="0"/>
        <rFont val="Calibri"/>
        <family val="2"/>
        <scheme val="minor"/>
      </rPr>
      <t xml:space="preserve"> * RR</t>
    </r>
    <r>
      <rPr>
        <b/>
        <sz val="12"/>
        <color theme="0"/>
        <rFont val="Calibri"/>
        <family val="2"/>
        <scheme val="minor"/>
      </rPr>
      <t xml:space="preserve">
</t>
    </r>
    <r>
      <rPr>
        <b/>
        <sz val="12"/>
        <color indexed="9"/>
        <rFont val="Calibri"/>
        <family val="2"/>
      </rPr>
      <t>Variance:</t>
    </r>
    <r>
      <rPr>
        <b/>
        <sz val="12"/>
        <color theme="0"/>
        <rFont val="Calibri"/>
        <family val="2"/>
        <scheme val="minor"/>
      </rPr>
      <t xml:space="preserve"> </t>
    </r>
    <r>
      <rPr>
        <b/>
        <sz val="12"/>
        <color indexed="9"/>
        <rFont val="Symbol"/>
      </rPr>
      <t>s</t>
    </r>
    <r>
      <rPr>
        <b/>
        <vertAlign val="superscript"/>
        <sz val="12"/>
        <color indexed="9"/>
        <rFont val="Calibri"/>
        <family val="2"/>
      </rPr>
      <t>2</t>
    </r>
    <r>
      <rPr>
        <b/>
        <sz val="12"/>
        <color indexed="9"/>
        <rFont val="Calibri"/>
        <family val="2"/>
      </rPr>
      <t xml:space="preserve"> = r * (1-r)</t>
    </r>
    <r>
      <rPr>
        <b/>
        <sz val="12"/>
        <color theme="0"/>
        <rFont val="Calibri"/>
        <family val="2"/>
        <scheme val="minor"/>
      </rPr>
      <t xml:space="preserve">
</t>
    </r>
    <r>
      <rPr>
        <b/>
        <sz val="12"/>
        <color indexed="9"/>
        <rFont val="Calibri"/>
        <family val="2"/>
      </rPr>
      <t xml:space="preserve"> </t>
    </r>
    <r>
      <rPr>
        <b/>
        <i/>
        <sz val="12"/>
        <color theme="0"/>
        <rFont val="Calibri"/>
        <family val="2"/>
        <scheme val="minor"/>
      </rPr>
      <t/>
    </r>
    <phoneticPr fontId="18" type="noConversion"/>
  </si>
  <si>
    <t>(28)</t>
    <phoneticPr fontId="18" type="noConversion"/>
  </si>
  <si>
    <t>(29)</t>
    <phoneticPr fontId="18" type="noConversion"/>
  </si>
  <si>
    <t>PSU 55</t>
  </si>
  <si>
    <t>PSU 21</t>
  </si>
  <si>
    <t>Generalized variance</t>
    <phoneticPr fontId="18" type="noConversion"/>
  </si>
  <si>
    <t>Number of hslds in PSU in C-stratra</t>
    <phoneticPr fontId="18" type="noConversion"/>
  </si>
  <si>
    <t>Allocation of sample-take b</t>
    <phoneticPr fontId="18" type="noConversion"/>
  </si>
  <si>
    <t>Selection probability of C-HSLD</t>
    <phoneticPr fontId="18" type="noConversion"/>
  </si>
  <si>
    <t>sample C</t>
    <phoneticPr fontId="18" type="noConversion"/>
  </si>
  <si>
    <t>random</t>
    <phoneticPr fontId="18" type="noConversion"/>
  </si>
  <si>
    <r>
      <t>Number of households for one person in base population</t>
    </r>
    <r>
      <rPr>
        <b/>
        <sz val="12"/>
        <color theme="0"/>
        <rFont val="Calibri"/>
        <family val="2"/>
        <scheme val="minor"/>
      </rPr>
      <t xml:space="preserve">:
</t>
    </r>
    <r>
      <rPr>
        <i/>
        <sz val="12"/>
        <color indexed="9"/>
        <rFont val="Calibri"/>
      </rPr>
      <t>h</t>
    </r>
    <r>
      <rPr>
        <b/>
        <sz val="12"/>
        <color indexed="9"/>
        <rFont val="Calibri"/>
        <family val="2"/>
      </rPr>
      <t xml:space="preserve"> = 1/</t>
    </r>
    <r>
      <rPr>
        <i/>
        <sz val="12"/>
        <color indexed="9"/>
        <rFont val="Calibri"/>
      </rPr>
      <t>AveHH</t>
    </r>
    <r>
      <rPr>
        <b/>
        <sz val="12"/>
        <color theme="0"/>
        <rFont val="Calibri"/>
        <family val="2"/>
        <scheme val="minor"/>
      </rPr>
      <t xml:space="preserve">
</t>
    </r>
    <r>
      <rPr>
        <b/>
        <sz val="12"/>
        <color indexed="9"/>
        <rFont val="Calibri"/>
        <family val="2"/>
      </rPr>
      <t>Margin of error for given sample size</t>
    </r>
    <r>
      <rPr>
        <b/>
        <sz val="12"/>
        <color theme="0"/>
        <rFont val="Calibri"/>
        <family val="2"/>
        <scheme val="minor"/>
      </rPr>
      <t xml:space="preserve">:
    </t>
    </r>
    <r>
      <rPr>
        <b/>
        <sz val="12"/>
        <color indexed="9"/>
        <rFont val="Calibri"/>
        <family val="2"/>
      </rPr>
      <t xml:space="preserve">           </t>
    </r>
    <r>
      <rPr>
        <b/>
        <sz val="12"/>
        <color theme="0"/>
        <rFont val="Calibri"/>
        <family val="2"/>
        <scheme val="minor"/>
      </rPr>
      <t xml:space="preserve">4 * </t>
    </r>
    <r>
      <rPr>
        <b/>
        <i/>
        <sz val="12"/>
        <color indexed="9"/>
        <rFont val="Symbol"/>
      </rPr>
      <t>s</t>
    </r>
    <r>
      <rPr>
        <b/>
        <i/>
        <vertAlign val="superscript"/>
        <sz val="12"/>
        <color indexed="9"/>
        <rFont val="Symbol"/>
      </rPr>
      <t>2</t>
    </r>
    <r>
      <rPr>
        <b/>
        <sz val="12"/>
        <color theme="0"/>
        <rFont val="Calibri"/>
        <family val="2"/>
        <scheme val="minor"/>
      </rPr>
      <t xml:space="preserve"> * </t>
    </r>
    <r>
      <rPr>
        <b/>
        <i/>
        <sz val="12"/>
        <color theme="0"/>
        <rFont val="Calibri"/>
        <family val="2"/>
        <scheme val="minor"/>
      </rPr>
      <t>deff</t>
    </r>
    <r>
      <rPr>
        <b/>
        <sz val="12"/>
        <color theme="0"/>
        <rFont val="Calibri"/>
        <family val="2"/>
        <scheme val="minor"/>
      </rPr>
      <t xml:space="preserve">  
</t>
    </r>
    <r>
      <rPr>
        <b/>
        <i/>
        <sz val="12"/>
        <color indexed="9"/>
        <rFont val="Calibri"/>
        <family val="2"/>
      </rPr>
      <t>ME</t>
    </r>
    <r>
      <rPr>
        <b/>
        <sz val="12"/>
        <color theme="0"/>
        <rFont val="Calibri"/>
        <family val="2"/>
        <scheme val="minor"/>
      </rPr>
      <t xml:space="preserve">  =</t>
    </r>
    <r>
      <rPr>
        <b/>
        <sz val="12"/>
        <color indexed="9"/>
        <rFont val="Calibri"/>
        <family val="2"/>
      </rPr>
      <t>sqrt(</t>
    </r>
    <r>
      <rPr>
        <b/>
        <sz val="12"/>
        <color theme="0"/>
        <rFont val="Calibri"/>
        <family val="2"/>
        <scheme val="minor"/>
      </rPr>
      <t xml:space="preserve"> -----------------------</t>
    </r>
    <r>
      <rPr>
        <b/>
        <sz val="12"/>
        <color indexed="9"/>
        <rFont val="Calibri"/>
        <family val="2"/>
      </rPr>
      <t>)</t>
    </r>
    <r>
      <rPr>
        <b/>
        <sz val="12"/>
        <color theme="0"/>
        <rFont val="Calibri"/>
        <family val="2"/>
        <scheme val="minor"/>
      </rPr>
      <t xml:space="preserve">
    </t>
    </r>
    <r>
      <rPr>
        <b/>
        <sz val="12"/>
        <color indexed="9"/>
        <rFont val="Calibri"/>
        <family val="2"/>
      </rPr>
      <t xml:space="preserve">             </t>
    </r>
    <r>
      <rPr>
        <b/>
        <i/>
        <sz val="12"/>
        <color indexed="9"/>
        <rFont val="Calibri"/>
        <family val="2"/>
      </rPr>
      <t>n</t>
    </r>
    <r>
      <rPr>
        <b/>
        <sz val="12"/>
        <color theme="0"/>
        <rFont val="Calibri"/>
        <family val="2"/>
        <scheme val="minor"/>
      </rPr>
      <t xml:space="preserve"> * </t>
    </r>
    <r>
      <rPr>
        <b/>
        <i/>
        <sz val="12"/>
        <color theme="0"/>
        <rFont val="Calibri"/>
        <family val="2"/>
        <scheme val="minor"/>
      </rPr>
      <t>Ave</t>
    </r>
    <r>
      <rPr>
        <b/>
        <i/>
        <sz val="12"/>
        <color indexed="9"/>
        <rFont val="Calibri"/>
        <family val="2"/>
      </rPr>
      <t>HH</t>
    </r>
    <r>
      <rPr>
        <b/>
        <i/>
        <sz val="12"/>
        <color theme="0"/>
        <rFont val="Calibri"/>
        <family val="2"/>
        <scheme val="minor"/>
      </rPr>
      <t xml:space="preserve"> * RR</t>
    </r>
    <r>
      <rPr>
        <b/>
        <sz val="12"/>
        <color theme="0"/>
        <rFont val="Calibri"/>
        <family val="2"/>
        <scheme val="minor"/>
      </rPr>
      <t xml:space="preserve">
</t>
    </r>
    <phoneticPr fontId="18" type="noConversion"/>
  </si>
  <si>
    <r>
      <t xml:space="preserve">Sample size (number of households)                                                 </t>
    </r>
    <r>
      <rPr>
        <i/>
        <sz val="12"/>
        <color indexed="8"/>
        <rFont val="Calibri"/>
        <family val="2"/>
      </rPr>
      <t>n</t>
    </r>
    <phoneticPr fontId="18" type="noConversion"/>
  </si>
  <si>
    <t>zj2</t>
    <phoneticPr fontId="18" type="noConversion"/>
  </si>
  <si>
    <t>zh</t>
    <phoneticPr fontId="18" type="noConversion"/>
  </si>
  <si>
    <t>zh^2</t>
    <phoneticPr fontId="18" type="noConversion"/>
  </si>
  <si>
    <t>% working children</t>
    <phoneticPr fontId="18" type="noConversion"/>
  </si>
  <si>
    <t>2</t>
    <phoneticPr fontId="18" type="noConversion"/>
  </si>
  <si>
    <t>PSU virtual division</t>
    <phoneticPr fontId="18" type="noConversion"/>
  </si>
  <si>
    <t>√</t>
    <phoneticPr fontId="18" type="noConversion"/>
  </si>
  <si>
    <t>General allocation</t>
    <phoneticPr fontId="18" type="noConversion"/>
  </si>
  <si>
    <t>Ser CL</t>
    <phoneticPr fontId="18" type="noConversion"/>
  </si>
  <si>
    <t>Stratum 1</t>
    <phoneticPr fontId="18" type="noConversion"/>
  </si>
  <si>
    <t>Total sample size in stratum/domain (number of households)</t>
    <phoneticPr fontId="18" type="noConversion"/>
  </si>
  <si>
    <t>(32)</t>
    <phoneticPr fontId="18" type="noConversion"/>
  </si>
  <si>
    <t>(33)</t>
    <phoneticPr fontId="18" type="noConversion"/>
  </si>
  <si>
    <t>Var2</t>
    <phoneticPr fontId="18" type="noConversion"/>
  </si>
  <si>
    <t>Children 5-17 yrs</t>
    <phoneticPr fontId="18" type="noConversion"/>
  </si>
  <si>
    <t>mh</t>
    <phoneticPr fontId="18" type="noConversion"/>
  </si>
  <si>
    <t>Proportional allocation</t>
    <phoneticPr fontId="18" type="noConversion"/>
  </si>
  <si>
    <t>PSU number</t>
    <phoneticPr fontId="18" type="noConversion"/>
  </si>
  <si>
    <t>007</t>
    <phoneticPr fontId="18" type="noConversion"/>
  </si>
  <si>
    <t>(24)</t>
    <phoneticPr fontId="18" type="noConversion"/>
  </si>
  <si>
    <t>(25)</t>
    <phoneticPr fontId="18" type="noConversion"/>
  </si>
  <si>
    <t>(26)</t>
    <phoneticPr fontId="18" type="noConversion"/>
  </si>
  <si>
    <t>(27)</t>
    <phoneticPr fontId="18" type="noConversion"/>
  </si>
  <si>
    <t>h</t>
    <phoneticPr fontId="18" type="noConversion"/>
  </si>
  <si>
    <t>Strata</t>
    <phoneticPr fontId="18" type="noConversion"/>
  </si>
  <si>
    <t>Difference between known and estimated aggregates</t>
    <phoneticPr fontId="18" type="noConversion"/>
  </si>
  <si>
    <r>
      <t>p</t>
    </r>
    <r>
      <rPr>
        <i/>
        <vertAlign val="subscript"/>
        <sz val="10"/>
        <color indexed="8"/>
        <rFont val="Calibri"/>
      </rPr>
      <t>i</t>
    </r>
    <phoneticPr fontId="18" type="noConversion"/>
  </si>
  <si>
    <t>si</t>
    <phoneticPr fontId="18" type="noConversion"/>
  </si>
  <si>
    <t>ni</t>
    <phoneticPr fontId="18" type="noConversion"/>
  </si>
  <si>
    <t>This template is to assist you to select sample PSUs within a given stratum or domain by systematic random sampling with probabilities proportional to size. Two treatments of very large PSUs are incorporated: (1) Very large PSUs are divided into smaller virtual PSUs and (2) Very large PSUs are selected with probability one, self-represented PSUs. The results of treatment (1) are given in columns F to I and those of treatment (2) in columns J to M. More rows can be inserted as there are PSUs in the frame. Specify the sample size allocated for this stratum or domain in terms of number of households as well as the sample take per PSU as part of the input values. Specify also the total number of PSUs in the frame for this stratum or domain. Do not change the content of cells that are red and those that are within the intermediary calculations.</t>
    <phoneticPr fontId="18" type="noConversion"/>
  </si>
  <si>
    <r>
      <t>Expected sample</t>
    </r>
    <r>
      <rPr>
        <sz val="12"/>
        <color theme="1"/>
        <rFont val="Calibri"/>
        <family val="2"/>
        <scheme val="minor"/>
      </rPr>
      <t xml:space="preserve"> children </t>
    </r>
    <r>
      <rPr>
        <sz val="12"/>
        <color indexed="8"/>
        <rFont val="Calibri"/>
        <family val="2"/>
      </rPr>
      <t>5-11 yrs</t>
    </r>
    <phoneticPr fontId="18" type="noConversion"/>
  </si>
  <si>
    <t>Domain or Stratum 3</t>
    <phoneticPr fontId="18" type="noConversion"/>
  </si>
  <si>
    <t>Domain or Stratum 4</t>
    <phoneticPr fontId="18" type="noConversion"/>
  </si>
  <si>
    <t>Number of domains or strata</t>
    <phoneticPr fontId="18" type="noConversion"/>
  </si>
  <si>
    <t>Domain or Stratum 6</t>
  </si>
  <si>
    <t>Domain or Stratum 7</t>
  </si>
  <si>
    <t>Domain or Stratum 8</t>
  </si>
  <si>
    <t>Domain or Stratum 9</t>
  </si>
  <si>
    <t>Domain or Stratum 13</t>
  </si>
  <si>
    <t>Domain or Stratum 14</t>
  </si>
  <si>
    <t>Domain or Stratum 15</t>
  </si>
  <si>
    <t>Domain or Stratum 16</t>
  </si>
  <si>
    <t xml:space="preserve">Effective sample size in stratum or domain </t>
    <phoneticPr fontId="18" type="noConversion"/>
  </si>
  <si>
    <t>PSU 35</t>
  </si>
  <si>
    <t>PSU 36</t>
  </si>
  <si>
    <t>PSU 108</t>
  </si>
  <si>
    <t>PSU 109</t>
  </si>
  <si>
    <t>PSU 110</t>
  </si>
  <si>
    <t>PSU 111</t>
  </si>
  <si>
    <t>PSU 112</t>
  </si>
  <si>
    <t>PSU 113</t>
  </si>
  <si>
    <r>
      <t>Absolute margin of error</t>
    </r>
    <r>
      <rPr>
        <b/>
        <sz val="12"/>
        <color theme="0"/>
        <rFont val="Calibri"/>
        <family val="2"/>
        <scheme val="minor"/>
      </rPr>
      <t>:</t>
    </r>
    <r>
      <rPr>
        <b/>
        <sz val="12"/>
        <color indexed="9"/>
        <rFont val="Calibri"/>
        <family val="2"/>
      </rPr>
      <t xml:space="preserve"> </t>
    </r>
    <r>
      <rPr>
        <i/>
        <sz val="12"/>
        <color indexed="9"/>
        <rFont val="Calibri"/>
      </rPr>
      <t>ME</t>
    </r>
    <r>
      <rPr>
        <b/>
        <sz val="12"/>
        <color indexed="9"/>
        <rFont val="Calibri"/>
        <family val="2"/>
      </rPr>
      <t xml:space="preserve"> = </t>
    </r>
    <r>
      <rPr>
        <i/>
        <sz val="12"/>
        <color indexed="9"/>
        <rFont val="Calibri"/>
      </rPr>
      <t>r</t>
    </r>
    <r>
      <rPr>
        <b/>
        <sz val="12"/>
        <color indexed="9"/>
        <rFont val="Calibri"/>
        <family val="2"/>
      </rPr>
      <t xml:space="preserve"> * </t>
    </r>
    <r>
      <rPr>
        <i/>
        <sz val="12"/>
        <color indexed="9"/>
        <rFont val="Calibri"/>
      </rPr>
      <t>RME</t>
    </r>
    <r>
      <rPr>
        <b/>
        <sz val="12"/>
        <color theme="0"/>
        <rFont val="Calibri"/>
        <family val="2"/>
        <scheme val="minor"/>
      </rPr>
      <t xml:space="preserve">
</t>
    </r>
    <r>
      <rPr>
        <b/>
        <sz val="12"/>
        <color indexed="9"/>
        <rFont val="Calibri"/>
        <family val="2"/>
      </rPr>
      <t>Standard error (</t>
    </r>
    <r>
      <rPr>
        <i/>
        <sz val="12"/>
        <color indexed="9"/>
        <rFont val="Calibri"/>
      </rPr>
      <t>se</t>
    </r>
    <r>
      <rPr>
        <b/>
        <sz val="12"/>
        <color indexed="9"/>
        <rFont val="Calibri"/>
        <family val="2"/>
      </rPr>
      <t>): (</t>
    </r>
    <r>
      <rPr>
        <i/>
        <sz val="12"/>
        <color indexed="9"/>
        <rFont val="Calibri"/>
      </rPr>
      <t>r</t>
    </r>
    <r>
      <rPr>
        <b/>
        <sz val="12"/>
        <color indexed="9"/>
        <rFont val="Calibri"/>
        <family val="2"/>
      </rPr>
      <t xml:space="preserve"> * </t>
    </r>
    <r>
      <rPr>
        <i/>
        <sz val="12"/>
        <color indexed="9"/>
        <rFont val="Calibri"/>
      </rPr>
      <t>RME</t>
    </r>
    <r>
      <rPr>
        <b/>
        <sz val="12"/>
        <color indexed="9"/>
        <rFont val="Calibri"/>
        <family val="2"/>
      </rPr>
      <t>) / 2</t>
    </r>
    <r>
      <rPr>
        <b/>
        <sz val="12"/>
        <color theme="0"/>
        <rFont val="Calibri"/>
        <family val="2"/>
        <scheme val="minor"/>
      </rPr>
      <t xml:space="preserve">
</t>
    </r>
    <r>
      <rPr>
        <b/>
        <sz val="12"/>
        <color indexed="9"/>
        <rFont val="Calibri"/>
        <family val="2"/>
      </rPr>
      <t>Design effect and intraclass correlation:
deff = 1+(</t>
    </r>
    <r>
      <rPr>
        <i/>
        <sz val="12"/>
        <color indexed="9"/>
        <rFont val="Calibri"/>
      </rPr>
      <t>b</t>
    </r>
    <r>
      <rPr>
        <b/>
        <sz val="12"/>
        <color indexed="9"/>
        <rFont val="Calibri"/>
        <family val="2"/>
      </rPr>
      <t>/</t>
    </r>
    <r>
      <rPr>
        <i/>
        <sz val="12"/>
        <color indexed="9"/>
        <rFont val="Calibri"/>
      </rPr>
      <t>h</t>
    </r>
    <r>
      <rPr>
        <b/>
        <sz val="12"/>
        <color indexed="9"/>
        <rFont val="Calibri"/>
        <family val="2"/>
      </rPr>
      <t xml:space="preserve"> -1)*</t>
    </r>
    <r>
      <rPr>
        <i/>
        <sz val="12"/>
        <color indexed="9"/>
        <rFont val="Calibri"/>
      </rPr>
      <t>rho</t>
    </r>
    <r>
      <rPr>
        <b/>
        <sz val="12"/>
        <color indexed="9"/>
        <rFont val="Calibri"/>
        <family val="2"/>
      </rPr>
      <t xml:space="preserve">  
  </t>
    </r>
    <r>
      <rPr>
        <b/>
        <i/>
        <sz val="12"/>
        <color indexed="9"/>
        <rFont val="Calibri"/>
        <family val="2"/>
      </rPr>
      <t>Average number of persons in base population per household:</t>
    </r>
    <r>
      <rPr>
        <b/>
        <sz val="12"/>
        <color theme="0"/>
        <rFont val="Calibri"/>
        <family val="2"/>
        <scheme val="minor"/>
      </rPr>
      <t xml:space="preserve">
    </t>
    </r>
    <r>
      <rPr>
        <i/>
        <sz val="12"/>
        <color indexed="9"/>
        <rFont val="Calibri"/>
      </rPr>
      <t>AveHH</t>
    </r>
    <r>
      <rPr>
        <b/>
        <sz val="12"/>
        <color indexed="9"/>
        <rFont val="Calibri"/>
        <family val="2"/>
      </rPr>
      <t xml:space="preserve"> = </t>
    </r>
    <r>
      <rPr>
        <i/>
        <sz val="12"/>
        <color indexed="9"/>
        <rFont val="Calibri"/>
      </rPr>
      <t>pb</t>
    </r>
    <r>
      <rPr>
        <b/>
        <sz val="12"/>
        <color indexed="9"/>
        <rFont val="Calibri"/>
        <family val="2"/>
      </rPr>
      <t xml:space="preserve"> * </t>
    </r>
    <r>
      <rPr>
        <i/>
        <sz val="12"/>
        <color indexed="9"/>
        <rFont val="Calibri"/>
      </rPr>
      <t>AveSize</t>
    </r>
    <r>
      <rPr>
        <b/>
        <sz val="12"/>
        <color theme="0"/>
        <rFont val="Calibri"/>
        <family val="2"/>
        <scheme val="minor"/>
      </rPr>
      <t xml:space="preserve">
</t>
    </r>
    <r>
      <rPr>
        <b/>
        <sz val="12"/>
        <color indexed="9"/>
        <rFont val="Calibri"/>
        <family val="2"/>
      </rPr>
      <t/>
    </r>
    <phoneticPr fontId="18" type="noConversion"/>
  </si>
  <si>
    <t>PSU 39</t>
  </si>
  <si>
    <t>PSU 40</t>
  </si>
  <si>
    <t>PSU 41</t>
  </si>
  <si>
    <t>091</t>
  </si>
  <si>
    <t>092</t>
  </si>
  <si>
    <t>093</t>
  </si>
  <si>
    <t>Matrix of cross-classfied weighted auxiliary variables</t>
    <phoneticPr fontId="18" type="noConversion"/>
  </si>
  <si>
    <t>PSU 63</t>
  </si>
  <si>
    <t>PSU 25</t>
  </si>
  <si>
    <t>PSU 27</t>
  </si>
  <si>
    <t>PSU 28</t>
  </si>
  <si>
    <t>PSU 29</t>
  </si>
  <si>
    <t>PSU 30</t>
  </si>
  <si>
    <t>PSU 31</t>
  </si>
  <si>
    <t>PSU 32</t>
  </si>
  <si>
    <t>PSU 33</t>
  </si>
  <si>
    <t>RME</t>
    <phoneticPr fontId="18" type="noConversion"/>
  </si>
  <si>
    <t>AveHH</t>
    <phoneticPr fontId="18" type="noConversion"/>
  </si>
  <si>
    <t>PSU 66</t>
  </si>
  <si>
    <t>α =</t>
    <phoneticPr fontId="18" type="noConversion"/>
  </si>
  <si>
    <t>017</t>
  </si>
  <si>
    <t>PSU code number</t>
    <phoneticPr fontId="18" type="noConversion"/>
  </si>
  <si>
    <t>PSU 61</t>
  </si>
  <si>
    <t>PSU 62</t>
  </si>
  <si>
    <t>PSU 65</t>
  </si>
  <si>
    <t>PSU 69</t>
  </si>
  <si>
    <t>Stratum</t>
    <phoneticPr fontId="18" type="noConversion"/>
  </si>
  <si>
    <t>Number of sample PSU</t>
    <phoneticPr fontId="18" type="noConversion"/>
  </si>
  <si>
    <t>Number of children 5-17 yrs</t>
    <phoneticPr fontId="18" type="noConversion"/>
  </si>
  <si>
    <t>Number of working children</t>
    <phoneticPr fontId="18" type="noConversion"/>
  </si>
  <si>
    <t>Child labour</t>
    <phoneticPr fontId="18" type="noConversion"/>
  </si>
  <si>
    <t>In hazardous work</t>
    <phoneticPr fontId="18" type="noConversion"/>
  </si>
  <si>
    <t>Agr CL</t>
    <phoneticPr fontId="18" type="noConversion"/>
  </si>
  <si>
    <t>Ind CL</t>
    <phoneticPr fontId="18" type="noConversion"/>
  </si>
  <si>
    <t>INTERMEDIARY CALCULATIONS</t>
    <phoneticPr fontId="18" type="noConversion"/>
  </si>
  <si>
    <t>INTERMEDIARY CALCULATIONS</t>
    <phoneticPr fontId="18" type="noConversion"/>
  </si>
  <si>
    <t>Known aggregates of auxiliary variables</t>
    <phoneticPr fontId="18" type="noConversion"/>
  </si>
  <si>
    <t>random</t>
    <phoneticPr fontId="18" type="noConversion"/>
  </si>
  <si>
    <t>sample A</t>
    <phoneticPr fontId="18" type="noConversion"/>
  </si>
  <si>
    <t>Number of A-hslds in PSU</t>
    <phoneticPr fontId="18" type="noConversion"/>
  </si>
  <si>
    <t>Number of B-hslds in PSU</t>
    <phoneticPr fontId="18" type="noConversion"/>
  </si>
  <si>
    <t>Selection probability of A-HSLD</t>
    <phoneticPr fontId="18" type="noConversion"/>
  </si>
  <si>
    <t>Selection probability of B-HSLD</t>
    <phoneticPr fontId="18" type="noConversion"/>
  </si>
  <si>
    <t>Stratum B</t>
    <phoneticPr fontId="18" type="noConversion"/>
  </si>
  <si>
    <t>Stratum C</t>
    <phoneticPr fontId="18" type="noConversion"/>
  </si>
  <si>
    <r>
      <t xml:space="preserve">SAMPLE </t>
    </r>
    <r>
      <rPr>
        <b/>
        <sz val="14"/>
        <color theme="0"/>
        <rFont val="Calibri"/>
        <family val="2"/>
        <scheme val="minor"/>
      </rPr>
      <t>S</t>
    </r>
    <r>
      <rPr>
        <b/>
        <sz val="14"/>
        <color indexed="9"/>
        <rFont val="Calibri"/>
        <family val="2"/>
      </rPr>
      <t>ELECTION OF PSUs in given stratum or domain by systematic pps sampling</t>
    </r>
    <phoneticPr fontId="18" type="noConversion"/>
  </si>
  <si>
    <t>Chidren 5-17 yrs</t>
    <phoneticPr fontId="18" type="noConversion"/>
  </si>
  <si>
    <t>Variables</t>
    <phoneticPr fontId="18" type="noConversion"/>
  </si>
  <si>
    <t>Children 15-17 yrs</t>
    <phoneticPr fontId="18" type="noConversion"/>
  </si>
  <si>
    <t>Boys 15-17 yrs</t>
    <phoneticPr fontId="18" type="noConversion"/>
  </si>
  <si>
    <t>Girls 5-11 yrs</t>
    <phoneticPr fontId="18" type="noConversion"/>
  </si>
  <si>
    <t>(30)</t>
    <phoneticPr fontId="18" type="noConversion"/>
  </si>
  <si>
    <t>(31)</t>
    <phoneticPr fontId="18" type="noConversion"/>
  </si>
  <si>
    <r>
      <t xml:space="preserve">Intraclass correlation                                      </t>
    </r>
    <r>
      <rPr>
        <i/>
        <sz val="12"/>
        <color indexed="8"/>
        <rFont val="Calibri"/>
        <family val="2"/>
      </rPr>
      <t>rho</t>
    </r>
    <phoneticPr fontId="18" type="noConversion"/>
  </si>
  <si>
    <t>Allocation variable</t>
  </si>
  <si>
    <t>Weight adjusted for non-response</t>
    <phoneticPr fontId="18" type="noConversion"/>
  </si>
  <si>
    <t>Final calibrated weight</t>
    <phoneticPr fontId="18" type="noConversion"/>
  </si>
  <si>
    <t>(6)</t>
    <phoneticPr fontId="18" type="noConversion"/>
  </si>
  <si>
    <t>024</t>
  </si>
  <si>
    <t>025</t>
  </si>
  <si>
    <t>011</t>
  </si>
  <si>
    <t>012</t>
  </si>
  <si>
    <t>013</t>
  </si>
  <si>
    <t>014</t>
  </si>
  <si>
    <t>% CL in Ser</t>
    <phoneticPr fontId="18" type="noConversion"/>
  </si>
  <si>
    <t>Number of children 5-17 yrs</t>
    <phoneticPr fontId="18" type="noConversion"/>
  </si>
  <si>
    <t>Number of working children</t>
    <phoneticPr fontId="18" type="noConversion"/>
  </si>
  <si>
    <t>Child labour</t>
    <phoneticPr fontId="18" type="noConversion"/>
  </si>
  <si>
    <t>CALCULATION OF SAMPLING WEIGHTS ADJUSTED FOR NON-RESPONSE AND CALIBRATED TO KNOWN POPULATION AGGREGATES</t>
    <phoneticPr fontId="18" type="noConversion"/>
  </si>
  <si>
    <t>INPUT VALUES</t>
    <phoneticPr fontId="18" type="noConversion"/>
  </si>
  <si>
    <t>OUTPUT VALUES</t>
    <phoneticPr fontId="18" type="noConversion"/>
  </si>
  <si>
    <t>PSU 92</t>
  </si>
  <si>
    <t>PSU 93</t>
  </si>
  <si>
    <t>Expected sample children 15-17 yrs</t>
    <phoneticPr fontId="18" type="noConversion"/>
  </si>
  <si>
    <t>Iteration 3</t>
    <phoneticPr fontId="18" type="noConversion"/>
  </si>
  <si>
    <t>Zh^α</t>
    <phoneticPr fontId="18" type="noConversion"/>
  </si>
  <si>
    <t>048</t>
  </si>
  <si>
    <t>094</t>
  </si>
  <si>
    <t>095</t>
  </si>
  <si>
    <t>096</t>
  </si>
  <si>
    <t>097</t>
  </si>
  <si>
    <t>051</t>
  </si>
  <si>
    <t>052</t>
  </si>
  <si>
    <t>053</t>
  </si>
  <si>
    <r>
      <t xml:space="preserve">SAMPLE </t>
    </r>
    <r>
      <rPr>
        <b/>
        <sz val="14"/>
        <color theme="0"/>
        <rFont val="Calibri"/>
        <family val="2"/>
        <scheme val="minor"/>
      </rPr>
      <t>S</t>
    </r>
    <r>
      <rPr>
        <b/>
        <sz val="14"/>
        <color indexed="9"/>
        <rFont val="Calibri"/>
        <family val="2"/>
      </rPr>
      <t>ELECTION OF HOUSEHOLDS IN SAMPLE PSUs by systematic equal probability sampling</t>
    </r>
    <phoneticPr fontId="18" type="noConversion"/>
  </si>
  <si>
    <t>003</t>
  </si>
  <si>
    <t>004</t>
  </si>
  <si>
    <t>005</t>
  </si>
  <si>
    <t>006</t>
  </si>
  <si>
    <t>007</t>
  </si>
  <si>
    <t>Probability of selection of sample PSU</t>
  </si>
  <si>
    <r>
      <t xml:space="preserve">This template can be used to examine sample sizes for </t>
    </r>
    <r>
      <rPr>
        <b/>
        <sz val="12"/>
        <color indexed="9"/>
        <rFont val="Calibri"/>
        <family val="2"/>
      </rPr>
      <t>alternative</t>
    </r>
    <r>
      <rPr>
        <b/>
        <sz val="12"/>
        <color theme="0"/>
        <rFont val="Calibri"/>
        <family val="2"/>
        <scheme val="minor"/>
      </rPr>
      <t>l candidate indicators</t>
    </r>
    <r>
      <rPr>
        <b/>
        <sz val="12"/>
        <color indexed="9"/>
        <rFont val="Calibri"/>
        <family val="2"/>
      </rPr>
      <t>, both in terms of rates and amounts</t>
    </r>
    <r>
      <rPr>
        <b/>
        <sz val="12"/>
        <color theme="0"/>
        <rFont val="Calibri"/>
        <family val="2"/>
        <scheme val="minor"/>
      </rPr>
      <t xml:space="preserve">. Changing the </t>
    </r>
    <r>
      <rPr>
        <b/>
        <sz val="12"/>
        <color indexed="9"/>
        <rFont val="Calibri"/>
        <family val="2"/>
      </rPr>
      <t xml:space="preserve">input parameter </t>
    </r>
    <r>
      <rPr>
        <b/>
        <sz val="12"/>
        <color theme="0"/>
        <rFont val="Calibri"/>
        <family val="2"/>
        <scheme val="minor"/>
      </rPr>
      <t xml:space="preserve">values as necessary will </t>
    </r>
    <r>
      <rPr>
        <b/>
        <sz val="12"/>
        <color indexed="9"/>
        <rFont val="Calibri"/>
        <family val="2"/>
      </rPr>
      <t>produce</t>
    </r>
    <r>
      <rPr>
        <b/>
        <sz val="12"/>
        <color theme="0"/>
        <rFont val="Calibri"/>
        <family val="2"/>
        <scheme val="minor"/>
      </rPr>
      <t xml:space="preserve"> a new sample size 
(cell</t>
    </r>
    <r>
      <rPr>
        <b/>
        <sz val="12"/>
        <color indexed="9"/>
        <rFont val="Calibri"/>
        <family val="2"/>
      </rPr>
      <t xml:space="preserve"> E6</t>
    </r>
    <r>
      <rPr>
        <b/>
        <sz val="12"/>
        <color theme="0"/>
        <rFont val="Calibri"/>
        <family val="2"/>
        <scheme val="minor"/>
      </rPr>
      <t xml:space="preserve">).
</t>
    </r>
    <r>
      <rPr>
        <b/>
        <sz val="12"/>
        <color indexed="9"/>
        <rFont val="Calibri"/>
        <family val="2"/>
      </rPr>
      <t xml:space="preserve">The template can also be used for the reverse problem of examining margins of errors for given sample sizes, as in the case of child labour surveys attached as module to a broader labour force survey. The sample size should be specified as input value (cell B17). The template will produce the corresponding margin of error in absolute and relative terms                                                              (E11 and E12).                                            </t>
    </r>
    <r>
      <rPr>
        <b/>
        <sz val="12"/>
        <color theme="0"/>
        <rFont val="Calibri"/>
        <family val="2"/>
        <scheme val="minor"/>
      </rPr>
      <t xml:space="preserve">Indicators with comparatively low values of </t>
    </r>
    <r>
      <rPr>
        <b/>
        <i/>
        <sz val="12"/>
        <color theme="0"/>
        <rFont val="Calibri"/>
        <family val="2"/>
        <scheme val="minor"/>
      </rPr>
      <t>r</t>
    </r>
    <r>
      <rPr>
        <b/>
        <sz val="12"/>
        <color theme="0"/>
        <rFont val="Calibri"/>
        <family val="2"/>
        <scheme val="minor"/>
      </rPr>
      <t xml:space="preserve"> (cell </t>
    </r>
    <r>
      <rPr>
        <b/>
        <sz val="12"/>
        <color indexed="9"/>
        <rFont val="Calibri"/>
        <family val="2"/>
      </rPr>
      <t>B</t>
    </r>
    <r>
      <rPr>
        <b/>
        <sz val="12"/>
        <color theme="0"/>
        <rFont val="Calibri"/>
        <family val="2"/>
        <scheme val="minor"/>
      </rPr>
      <t xml:space="preserve">6) should be used only. Do not use indicators with </t>
    </r>
    <r>
      <rPr>
        <b/>
        <i/>
        <sz val="12"/>
        <color theme="0"/>
        <rFont val="Calibri"/>
        <family val="2"/>
        <scheme val="minor"/>
      </rPr>
      <t>r</t>
    </r>
    <r>
      <rPr>
        <b/>
        <sz val="12"/>
        <color theme="0"/>
        <rFont val="Calibri"/>
        <family val="2"/>
        <scheme val="minor"/>
      </rPr>
      <t xml:space="preserve"> values that are higher than 0.4 or lower than 0.1.
Do not change the cell contents that are red.</t>
    </r>
    <phoneticPr fontId="18" type="noConversion"/>
  </si>
  <si>
    <t>INPUT VALUES</t>
  </si>
  <si>
    <t>Parameter</t>
  </si>
  <si>
    <t>Domain or Stratum 5</t>
  </si>
  <si>
    <t>Domain or Stratum 11</t>
  </si>
  <si>
    <t>Domain or Stratum 12</t>
  </si>
  <si>
    <t>% child labour</t>
    <phoneticPr fontId="18" type="noConversion"/>
  </si>
  <si>
    <t>% working children</t>
    <phoneticPr fontId="18" type="noConversion"/>
  </si>
  <si>
    <t>082</t>
  </si>
  <si>
    <t>083</t>
  </si>
  <si>
    <t>084</t>
  </si>
  <si>
    <t>085</t>
  </si>
  <si>
    <t>086</t>
  </si>
  <si>
    <t>087</t>
  </si>
  <si>
    <t>088</t>
  </si>
  <si>
    <t>(9)</t>
    <phoneticPr fontId="18" type="noConversion"/>
  </si>
  <si>
    <t>PSU 57</t>
  </si>
  <si>
    <t>PSU 58</t>
  </si>
  <si>
    <t>Domain or Stratum 17</t>
  </si>
  <si>
    <t>Domain or Stratum 18</t>
  </si>
  <si>
    <t>075</t>
  </si>
  <si>
    <t>PSU 56</t>
  </si>
  <si>
    <t>PSU 129</t>
  </si>
  <si>
    <t>PSU 130</t>
  </si>
  <si>
    <t>PSU 131</t>
  </si>
  <si>
    <t>PSU 132</t>
  </si>
  <si>
    <r>
      <t xml:space="preserve">Standard error of estimate                              </t>
    </r>
    <r>
      <rPr>
        <i/>
        <sz val="12"/>
        <color indexed="8"/>
        <rFont val="Calibri"/>
        <family val="2"/>
      </rPr>
      <t>se</t>
    </r>
    <phoneticPr fontId="18" type="noConversion"/>
  </si>
  <si>
    <t>Quartile</t>
    <phoneticPr fontId="18" type="noConversion"/>
  </si>
  <si>
    <t>PSU 47</t>
  </si>
  <si>
    <t>Selection proportion</t>
    <phoneticPr fontId="18" type="noConversion"/>
  </si>
  <si>
    <t>(19)</t>
    <phoneticPr fontId="18" type="noConversion"/>
  </si>
  <si>
    <t>(20)</t>
    <phoneticPr fontId="18" type="noConversion"/>
  </si>
  <si>
    <t>(21)</t>
    <phoneticPr fontId="18" type="noConversion"/>
  </si>
  <si>
    <t>(6)</t>
    <phoneticPr fontId="18" type="noConversion"/>
  </si>
  <si>
    <t>(7)</t>
    <phoneticPr fontId="18" type="noConversion"/>
  </si>
  <si>
    <t>(8)</t>
    <phoneticPr fontId="18" type="noConversion"/>
  </si>
  <si>
    <t>(9)</t>
    <phoneticPr fontId="18" type="noConversion"/>
  </si>
  <si>
    <t>(10)</t>
    <phoneticPr fontId="18" type="noConversion"/>
  </si>
  <si>
    <t>OUTPUT VALUES</t>
    <phoneticPr fontId="18" type="noConversion"/>
  </si>
  <si>
    <t>Ser CL</t>
    <phoneticPr fontId="18" type="noConversion"/>
  </si>
  <si>
    <t>(4)</t>
    <phoneticPr fontId="18" type="noConversion"/>
  </si>
  <si>
    <t>(5)</t>
    <phoneticPr fontId="18" type="noConversion"/>
  </si>
  <si>
    <r>
      <t xml:space="preserve">Predicted value of main indicator                                                       </t>
    </r>
    <r>
      <rPr>
        <i/>
        <sz val="12"/>
        <color indexed="8"/>
        <rFont val="Calibri"/>
        <family val="2"/>
      </rPr>
      <t>r</t>
    </r>
    <phoneticPr fontId="18" type="noConversion"/>
  </si>
  <si>
    <t>Households with children 5-17 yrs</t>
    <phoneticPr fontId="18" type="noConversion"/>
  </si>
  <si>
    <t>Minmum allocation</t>
    <phoneticPr fontId="18" type="noConversion"/>
  </si>
  <si>
    <t>Address</t>
    <phoneticPr fontId="18" type="noConversion"/>
  </si>
  <si>
    <t>A</t>
    <phoneticPr fontId="18" type="noConversion"/>
  </si>
  <si>
    <t>B</t>
    <phoneticPr fontId="18" type="noConversion"/>
  </si>
  <si>
    <t>C</t>
    <phoneticPr fontId="18" type="noConversion"/>
  </si>
  <si>
    <t>PSU 1</t>
    <phoneticPr fontId="18" type="noConversion"/>
  </si>
  <si>
    <r>
      <t xml:space="preserve">Template User Instructions:                                                                </t>
    </r>
    <r>
      <rPr>
        <b/>
        <sz val="12"/>
        <color theme="0"/>
        <rFont val="Calibri"/>
        <family val="2"/>
        <scheme val="minor"/>
      </rPr>
      <t xml:space="preserve"> 
</t>
    </r>
    <r>
      <rPr>
        <b/>
        <sz val="12"/>
        <color indexed="9"/>
        <rFont val="Calibri"/>
        <family val="2"/>
      </rPr>
      <t>SIMPOC Interactive Tools</t>
    </r>
    <r>
      <rPr>
        <b/>
        <sz val="12"/>
        <color theme="0"/>
        <rFont val="Calibri"/>
        <family val="2"/>
        <scheme val="minor"/>
      </rPr>
      <t xml:space="preserve">
</t>
    </r>
    <r>
      <rPr>
        <b/>
        <sz val="12"/>
        <color indexed="9"/>
        <rFont val="Calibri"/>
        <family val="2"/>
      </rPr>
      <t>"Sample size and Margin of error"                                       ILO, Geneva, 5 August 2014</t>
    </r>
    <phoneticPr fontId="18" type="noConversion"/>
  </si>
  <si>
    <t>Stratum</t>
    <phoneticPr fontId="18" type="noConversion"/>
  </si>
  <si>
    <t>h</t>
    <phoneticPr fontId="18" type="noConversion"/>
  </si>
  <si>
    <t>INTERMEDIARY CALCULATIONS</t>
    <phoneticPr fontId="18" type="noConversion"/>
  </si>
  <si>
    <r>
      <t xml:space="preserve">Standard deviation of underlying variable                                        </t>
    </r>
    <r>
      <rPr>
        <sz val="12"/>
        <color indexed="8"/>
        <rFont val="Symbol"/>
      </rPr>
      <t>s</t>
    </r>
    <phoneticPr fontId="18" type="noConversion"/>
  </si>
  <si>
    <t>Child labour</t>
    <phoneticPr fontId="18" type="noConversion"/>
  </si>
  <si>
    <t>027</t>
  </si>
  <si>
    <t>028</t>
  </si>
  <si>
    <t>029</t>
  </si>
  <si>
    <t>(15)</t>
    <phoneticPr fontId="18" type="noConversion"/>
  </si>
  <si>
    <t>Sampling weights</t>
    <phoneticPr fontId="18" type="noConversion"/>
  </si>
  <si>
    <t>Number of children 5-17 yrs</t>
    <phoneticPr fontId="18" type="noConversion"/>
  </si>
  <si>
    <t>026</t>
  </si>
  <si>
    <t>% working children</t>
    <phoneticPr fontId="18" type="noConversion"/>
  </si>
  <si>
    <t>(8)</t>
    <phoneticPr fontId="18" type="noConversion"/>
  </si>
  <si>
    <t>(7)</t>
    <phoneticPr fontId="18" type="noConversion"/>
  </si>
  <si>
    <t>PSU 94</t>
  </si>
  <si>
    <t>PSU 95</t>
  </si>
  <si>
    <t>PSU 96</t>
  </si>
  <si>
    <t>PSU 97</t>
  </si>
  <si>
    <t>PSU 98</t>
  </si>
  <si>
    <t>PSU 26</t>
  </si>
  <si>
    <t>047</t>
  </si>
  <si>
    <t>Auxiliary variables for calibration</t>
    <phoneticPr fontId="18" type="noConversion"/>
  </si>
  <si>
    <t>PSU 127</t>
  </si>
  <si>
    <t>PSU 128</t>
  </si>
  <si>
    <t>yj</t>
    <phoneticPr fontId="18" type="noConversion"/>
  </si>
  <si>
    <t>yj2</t>
    <phoneticPr fontId="18" type="noConversion"/>
  </si>
  <si>
    <t>055</t>
  </si>
  <si>
    <t>(16)</t>
    <phoneticPr fontId="18" type="noConversion"/>
  </si>
  <si>
    <t>(17)</t>
    <phoneticPr fontId="18" type="noConversion"/>
  </si>
  <si>
    <t>(18)</t>
    <phoneticPr fontId="18" type="noConversion"/>
  </si>
  <si>
    <t>Indicator</t>
    <phoneticPr fontId="18" type="noConversion"/>
  </si>
  <si>
    <t>Estimate</t>
    <phoneticPr fontId="18" type="noConversion"/>
  </si>
  <si>
    <t>Standard error</t>
    <phoneticPr fontId="18" type="noConversion"/>
  </si>
  <si>
    <t>% child labour in hazardous work</t>
    <phoneticPr fontId="18" type="noConversion"/>
  </si>
  <si>
    <t>PSU 15</t>
  </si>
  <si>
    <t>PSU 16</t>
  </si>
  <si>
    <t>PSU 17</t>
  </si>
  <si>
    <t>PSU 18</t>
  </si>
  <si>
    <t>PSU 42</t>
  </si>
  <si>
    <t>PSU 80</t>
  </si>
  <si>
    <t>PSU 81</t>
  </si>
  <si>
    <t>Probability of selection of sample hsld in PSU</t>
  </si>
  <si>
    <t>% CL in hazardous work</t>
    <phoneticPr fontId="18" type="noConversion"/>
  </si>
  <si>
    <t>% CL in Agr</t>
    <phoneticPr fontId="18" type="noConversion"/>
  </si>
  <si>
    <t>021</t>
  </si>
  <si>
    <t>022</t>
  </si>
  <si>
    <t>023</t>
  </si>
  <si>
    <t>056</t>
  </si>
  <si>
    <t>057</t>
  </si>
  <si>
    <t>058</t>
  </si>
  <si>
    <t>059</t>
  </si>
  <si>
    <t>060</t>
  </si>
  <si>
    <t>061</t>
  </si>
  <si>
    <t>062</t>
  </si>
  <si>
    <t>063</t>
  </si>
  <si>
    <t>064</t>
  </si>
  <si>
    <t>065</t>
  </si>
  <si>
    <t>066</t>
  </si>
  <si>
    <t>INTERMEDIATE CALCULATIONS</t>
    <phoneticPr fontId="18" type="noConversion"/>
  </si>
  <si>
    <t>PSU 99</t>
  </si>
  <si>
    <t>PSU 100</t>
  </si>
  <si>
    <r>
      <t xml:space="preserve">Confidence limits (at 95% confidence)    </t>
    </r>
    <r>
      <rPr>
        <i/>
        <sz val="12"/>
        <color indexed="8"/>
        <rFont val="Calibri"/>
        <family val="2"/>
      </rPr>
      <t>Lower</t>
    </r>
    <phoneticPr fontId="18" type="noConversion"/>
  </si>
  <si>
    <t>RR</t>
    <phoneticPr fontId="18" type="noConversion"/>
  </si>
  <si>
    <t>Measure of PSU size</t>
    <phoneticPr fontId="18" type="noConversion"/>
  </si>
  <si>
    <t>PSU 4</t>
  </si>
  <si>
    <t>PSU 5</t>
  </si>
  <si>
    <t>PSU 6</t>
  </si>
  <si>
    <t>Zo</t>
    <phoneticPr fontId="18" type="noConversion"/>
  </si>
  <si>
    <t>089</t>
  </si>
  <si>
    <t>090</t>
  </si>
  <si>
    <t>zj</t>
    <phoneticPr fontId="18" type="noConversion"/>
  </si>
  <si>
    <t>098</t>
  </si>
  <si>
    <t>099</t>
  </si>
  <si>
    <t>Fixed-point algorithm (Newton's equation)</t>
    <phoneticPr fontId="18" type="noConversion"/>
  </si>
  <si>
    <t>PSU 11</t>
  </si>
  <si>
    <t>PSU 12</t>
  </si>
  <si>
    <t>PSU 13</t>
  </si>
  <si>
    <t>PSU 49</t>
  </si>
  <si>
    <t>PSU 50</t>
  </si>
  <si>
    <t>PSU 51</t>
  </si>
  <si>
    <t>PSU 91</t>
  </si>
  <si>
    <t>Selection Interval</t>
  </si>
  <si>
    <t>Random number</t>
  </si>
  <si>
    <t>SELECT HOUSEHOLD WITH THE FOLLOWING NUMBERS</t>
  </si>
  <si>
    <t>001</t>
  </si>
  <si>
    <t>002</t>
  </si>
  <si>
    <t>Upper</t>
    <phoneticPr fontId="18" type="noConversion"/>
  </si>
  <si>
    <t>PSU 52</t>
  </si>
  <si>
    <t>- Agriculture</t>
    <phoneticPr fontId="18" type="noConversion"/>
  </si>
  <si>
    <t>- Industry</t>
    <phoneticPr fontId="18" type="noConversion"/>
  </si>
  <si>
    <t>Selection (1): Virtual division of very large PSUs</t>
    <phoneticPr fontId="18" type="noConversion"/>
  </si>
  <si>
    <t>Number of hslds in PSU (Listing)</t>
  </si>
  <si>
    <t>Number of sample hslds in PSU</t>
  </si>
  <si>
    <t>(11)</t>
    <phoneticPr fontId="18" type="noConversion"/>
  </si>
  <si>
    <t>(12)</t>
    <phoneticPr fontId="18" type="noConversion"/>
  </si>
  <si>
    <t>(13)</t>
    <phoneticPr fontId="18" type="noConversion"/>
  </si>
  <si>
    <t>(14)</t>
    <phoneticPr fontId="18" type="noConversion"/>
  </si>
  <si>
    <t>Number of sample PSUs in stratumn (Frame)</t>
    <phoneticPr fontId="18" type="noConversion"/>
  </si>
  <si>
    <t>037</t>
  </si>
  <si>
    <t>038</t>
  </si>
  <si>
    <t>039</t>
  </si>
  <si>
    <t>040</t>
  </si>
  <si>
    <t>041</t>
  </si>
  <si>
    <t>042</t>
  </si>
  <si>
    <t>043</t>
  </si>
  <si>
    <t>044</t>
  </si>
  <si>
    <t>045</t>
  </si>
  <si>
    <t>046</t>
  </si>
  <si>
    <t>PSU 114</t>
  </si>
  <si>
    <t>First stage sampling</t>
    <phoneticPr fontId="18" type="noConversion"/>
  </si>
  <si>
    <t>Number of clusters</t>
  </si>
  <si>
    <t>% child labour in agriculture</t>
    <phoneticPr fontId="18" type="noConversion"/>
  </si>
  <si>
    <t>weighted auxiliary variables</t>
    <phoneticPr fontId="18" type="noConversion"/>
  </si>
  <si>
    <r>
      <t>sqrt(weight</t>
    </r>
    <r>
      <rPr>
        <vertAlign val="subscript"/>
        <sz val="12"/>
        <color indexed="8"/>
        <rFont val="Times New Roman"/>
      </rPr>
      <t>k</t>
    </r>
    <r>
      <rPr>
        <sz val="12"/>
        <color indexed="8"/>
        <rFont val="Times New Roman"/>
        <family val="2"/>
      </rPr>
      <t xml:space="preserve"> adjusted for non-response)X</t>
    </r>
    <r>
      <rPr>
        <vertAlign val="subscript"/>
        <sz val="12"/>
        <color indexed="8"/>
        <rFont val="Times New Roman"/>
      </rPr>
      <t>k</t>
    </r>
    <phoneticPr fontId="18" type="noConversion"/>
  </si>
  <si>
    <r>
      <t xml:space="preserve">Intraclass correlation                                                                         </t>
    </r>
    <r>
      <rPr>
        <i/>
        <sz val="12"/>
        <color indexed="8"/>
        <rFont val="Calibri"/>
        <family val="2"/>
      </rPr>
      <t>rho</t>
    </r>
    <phoneticPr fontId="18" type="noConversion"/>
  </si>
  <si>
    <r>
      <t>T = ∑</t>
    </r>
    <r>
      <rPr>
        <vertAlign val="subscript"/>
        <sz val="12"/>
        <color indexed="8"/>
        <rFont val="Times New Roman"/>
      </rPr>
      <t>k</t>
    </r>
    <r>
      <rPr>
        <sz val="12"/>
        <color indexed="8"/>
        <rFont val="Times New Roman"/>
        <family val="2"/>
      </rPr>
      <t xml:space="preserve"> w</t>
    </r>
    <r>
      <rPr>
        <vertAlign val="subscript"/>
        <sz val="12"/>
        <color indexed="8"/>
        <rFont val="Times New Roman"/>
      </rPr>
      <t>k</t>
    </r>
    <r>
      <rPr>
        <sz val="12"/>
        <color indexed="8"/>
        <rFont val="Times New Roman"/>
        <family val="2"/>
      </rPr>
      <t>X</t>
    </r>
    <r>
      <rPr>
        <vertAlign val="subscript"/>
        <sz val="12"/>
        <color indexed="8"/>
        <rFont val="Times New Roman"/>
      </rPr>
      <t>k</t>
    </r>
    <r>
      <rPr>
        <sz val="12"/>
        <color indexed="8"/>
        <rFont val="Times New Roman"/>
        <family val="2"/>
      </rPr>
      <t>X’</t>
    </r>
    <r>
      <rPr>
        <vertAlign val="subscript"/>
        <sz val="12"/>
        <color indexed="8"/>
        <rFont val="Times New Roman"/>
      </rPr>
      <t>k</t>
    </r>
    <phoneticPr fontId="18" type="noConversion"/>
  </si>
  <si>
    <r>
      <t>T</t>
    </r>
    <r>
      <rPr>
        <vertAlign val="superscript"/>
        <sz val="12"/>
        <color indexed="8"/>
        <rFont val="Times New Roman"/>
      </rPr>
      <t>-1</t>
    </r>
    <phoneticPr fontId="18" type="noConversion"/>
  </si>
  <si>
    <t>PSU 106</t>
  </si>
  <si>
    <t>009</t>
  </si>
  <si>
    <t>010</t>
  </si>
  <si>
    <t>PSU 123</t>
  </si>
  <si>
    <t>PSU 124</t>
  </si>
  <si>
    <t>PSU 125</t>
  </si>
  <si>
    <t>% child labour in industry</t>
    <phoneticPr fontId="18" type="noConversion"/>
  </si>
  <si>
    <t>% child labour in services</t>
    <phoneticPr fontId="18" type="noConversion"/>
  </si>
  <si>
    <t>Number of hslds in PSU (Frame)</t>
  </si>
  <si>
    <r>
      <t xml:space="preserve">Expected sample </t>
    </r>
    <r>
      <rPr>
        <sz val="12"/>
        <color indexed="8"/>
        <rFont val="Calibri"/>
        <family val="2"/>
      </rPr>
      <t>children 12-14 yrs</t>
    </r>
    <phoneticPr fontId="18" type="noConversion"/>
  </si>
  <si>
    <t>Probabilities</t>
    <phoneticPr fontId="18" type="noConversion"/>
  </si>
  <si>
    <r>
      <t xml:space="preserve">SAMPLE PSU LISTING and SAMPLE </t>
    </r>
    <r>
      <rPr>
        <b/>
        <sz val="14"/>
        <color theme="0"/>
        <rFont val="Calibri"/>
        <family val="2"/>
        <scheme val="minor"/>
      </rPr>
      <t>S</t>
    </r>
    <r>
      <rPr>
        <b/>
        <sz val="14"/>
        <color indexed="9"/>
        <rFont val="Calibri"/>
        <family val="2"/>
      </rPr>
      <t xml:space="preserve">ELECTION OF HOUSEHOLDS </t>
    </r>
    <phoneticPr fontId="18" type="noConversion"/>
  </si>
  <si>
    <t>Stratum 1</t>
    <phoneticPr fontId="18" type="noConversion"/>
  </si>
  <si>
    <t>071</t>
  </si>
  <si>
    <t>072</t>
  </si>
  <si>
    <t>073</t>
  </si>
  <si>
    <t>076</t>
  </si>
  <si>
    <t>077</t>
  </si>
  <si>
    <t>078</t>
  </si>
  <si>
    <t>i</t>
    <phoneticPr fontId="18" type="noConversion"/>
  </si>
  <si>
    <r>
      <t>N</t>
    </r>
    <r>
      <rPr>
        <vertAlign val="subscript"/>
        <sz val="12"/>
        <color indexed="9"/>
        <rFont val="Times New Roman"/>
      </rPr>
      <t>i</t>
    </r>
    <phoneticPr fontId="18" type="noConversion"/>
  </si>
  <si>
    <r>
      <t>b</t>
    </r>
    <r>
      <rPr>
        <vertAlign val="subscript"/>
        <sz val="12"/>
        <color indexed="9"/>
        <rFont val="Times New Roman"/>
      </rPr>
      <t>i</t>
    </r>
    <phoneticPr fontId="18" type="noConversion"/>
  </si>
  <si>
    <r>
      <t>v</t>
    </r>
    <r>
      <rPr>
        <vertAlign val="subscript"/>
        <sz val="12"/>
        <color indexed="9"/>
        <rFont val="Times New Roman"/>
      </rPr>
      <t>i</t>
    </r>
    <phoneticPr fontId="18" type="noConversion"/>
  </si>
  <si>
    <t>random number</t>
    <phoneticPr fontId="18" type="noConversion"/>
  </si>
  <si>
    <t>Overall probability of selection of sample hsld</t>
  </si>
  <si>
    <t>Number of sample hslds response</t>
  </si>
  <si>
    <t>Overall response rate</t>
  </si>
  <si>
    <t>Boys 5-11 yrs</t>
    <phoneticPr fontId="18" type="noConversion"/>
  </si>
  <si>
    <t>Boys 12-14 yrs</t>
    <phoneticPr fontId="18" type="noConversion"/>
  </si>
  <si>
    <t>079</t>
  </si>
  <si>
    <t>080</t>
  </si>
  <si>
    <t>081</t>
  </si>
  <si>
    <t>PSU 34</t>
  </si>
  <si>
    <t>Stratum or domain 1</t>
    <phoneticPr fontId="18" type="noConversion"/>
  </si>
  <si>
    <r>
      <t xml:space="preserve">Expected sample </t>
    </r>
    <r>
      <rPr>
        <sz val="12"/>
        <color theme="1"/>
        <rFont val="Calibri"/>
        <family val="2"/>
        <scheme val="minor"/>
      </rPr>
      <t>household members</t>
    </r>
    <phoneticPr fontId="18" type="noConversion"/>
  </si>
  <si>
    <t>In hazardous work</t>
    <phoneticPr fontId="18" type="noConversion"/>
  </si>
  <si>
    <t>Agr CL</t>
    <phoneticPr fontId="18" type="noConversion"/>
  </si>
  <si>
    <t>PSU 45</t>
  </si>
  <si>
    <t>PSU 46</t>
  </si>
  <si>
    <t>Domain or Stratum 1</t>
    <phoneticPr fontId="18" type="noConversion"/>
  </si>
  <si>
    <t>PSU 3</t>
  </si>
  <si>
    <t>Household serial no.</t>
    <phoneticPr fontId="18" type="noConversion"/>
  </si>
  <si>
    <t>Name</t>
    <phoneticPr fontId="18" type="noConversion"/>
  </si>
  <si>
    <t>PSU 71</t>
  </si>
  <si>
    <t>INTERMEDIARY CALCULATIONS</t>
    <phoneticPr fontId="18" type="noConversion"/>
  </si>
  <si>
    <t>Domain or Stratum 20</t>
  </si>
  <si>
    <t>Stratum or domain</t>
    <phoneticPr fontId="18" type="noConversion"/>
  </si>
  <si>
    <t>h</t>
    <phoneticPr fontId="18" type="noConversion"/>
  </si>
  <si>
    <t>PSU 1</t>
    <phoneticPr fontId="18" type="noConversion"/>
  </si>
  <si>
    <t>PSU 2</t>
  </si>
  <si>
    <t>- Services</t>
    <phoneticPr fontId="18" type="noConversion"/>
  </si>
  <si>
    <r>
      <t xml:space="preserve">Standard deviation of underlying variable    </t>
    </r>
    <r>
      <rPr>
        <sz val="12"/>
        <color indexed="8"/>
        <rFont val="Symbol"/>
      </rPr>
      <t>s</t>
    </r>
    <phoneticPr fontId="18" type="noConversion"/>
  </si>
  <si>
    <t>Total number of hslds in stratum (Frame)</t>
  </si>
  <si>
    <t>% CL in Ind</t>
    <phoneticPr fontId="18" type="noConversion"/>
  </si>
  <si>
    <t>Response</t>
    <phoneticPr fontId="18" type="noConversion"/>
  </si>
  <si>
    <t>074</t>
  </si>
  <si>
    <t>(5)</t>
    <phoneticPr fontId="18" type="noConversion"/>
  </si>
  <si>
    <t>Design weight</t>
  </si>
  <si>
    <r>
      <t xml:space="preserve">Proportion of base population in total population                      </t>
    </r>
    <r>
      <rPr>
        <i/>
        <sz val="12"/>
        <color indexed="8"/>
        <rFont val="Calibri"/>
        <family val="2"/>
      </rPr>
      <t xml:space="preserve"> pb</t>
    </r>
    <phoneticPr fontId="18" type="noConversion"/>
  </si>
  <si>
    <t>PSU 64</t>
  </si>
  <si>
    <t>PSU 67</t>
  </si>
  <si>
    <t>PSU 68</t>
  </si>
  <si>
    <t>H =</t>
    <phoneticPr fontId="18" type="noConversion"/>
  </si>
  <si>
    <t>Sample</t>
    <phoneticPr fontId="18" type="noConversion"/>
  </si>
  <si>
    <t>Buiding serial no.</t>
    <phoneticPr fontId="18" type="noConversion"/>
  </si>
  <si>
    <t>Dwelling serial no.</t>
    <phoneticPr fontId="18" type="noConversion"/>
  </si>
  <si>
    <t>Sample PSU id no.</t>
    <phoneticPr fontId="18" type="noConversion"/>
  </si>
  <si>
    <r>
      <t xml:space="preserve">Margin of error at 95% confidence              </t>
    </r>
    <r>
      <rPr>
        <i/>
        <sz val="12"/>
        <color indexed="8"/>
        <rFont val="Calibri"/>
        <family val="2"/>
      </rPr>
      <t>ME</t>
    </r>
    <phoneticPr fontId="18" type="noConversion"/>
  </si>
  <si>
    <t>I</t>
    <phoneticPr fontId="18" type="noConversion"/>
  </si>
  <si>
    <t>r</t>
    <phoneticPr fontId="18" type="noConversion"/>
  </si>
  <si>
    <t>PSU 115</t>
  </si>
  <si>
    <t>PSU 116</t>
  </si>
  <si>
    <t>PSU 2</t>
    <phoneticPr fontId="18" type="noConversion"/>
  </si>
  <si>
    <t>PSU 3</t>
    <phoneticPr fontId="18" type="noConversion"/>
  </si>
  <si>
    <t>PSU 43</t>
  </si>
  <si>
    <t>PSU code</t>
    <phoneticPr fontId="18" type="noConversion"/>
  </si>
  <si>
    <t>Identifiers</t>
    <phoneticPr fontId="18" type="noConversion"/>
  </si>
  <si>
    <t>(1)</t>
    <phoneticPr fontId="18" type="noConversion"/>
  </si>
  <si>
    <t>(2)</t>
    <phoneticPr fontId="18" type="noConversion"/>
  </si>
  <si>
    <r>
      <t>Response rate</t>
    </r>
    <r>
      <rPr>
        <sz val="12"/>
        <color indexed="8"/>
        <rFont val="Calibri"/>
        <family val="2"/>
      </rPr>
      <t xml:space="preserve">                                                                                      </t>
    </r>
    <r>
      <rPr>
        <i/>
        <sz val="12"/>
        <color indexed="8"/>
        <rFont val="Calibri"/>
        <family val="2"/>
      </rPr>
      <t>RR</t>
    </r>
    <phoneticPr fontId="18" type="noConversion"/>
  </si>
  <si>
    <t>PSU 74</t>
  </si>
  <si>
    <t>PSU 75</t>
  </si>
  <si>
    <t>PSU 76</t>
  </si>
  <si>
    <t>PSU 77</t>
  </si>
  <si>
    <t>PSU 78</t>
  </si>
  <si>
    <t>PSU 79</t>
  </si>
  <si>
    <t>Input parameters</t>
    <phoneticPr fontId="18" type="noConversion"/>
  </si>
  <si>
    <t>random =</t>
    <phoneticPr fontId="18" type="noConversion"/>
  </si>
  <si>
    <t>b =</t>
    <phoneticPr fontId="18" type="noConversion"/>
  </si>
  <si>
    <t>alpha C =</t>
    <phoneticPr fontId="18" type="noConversion"/>
  </si>
  <si>
    <r>
      <t xml:space="preserve">Average household size                                                             </t>
    </r>
    <r>
      <rPr>
        <i/>
        <sz val="12"/>
        <color indexed="8"/>
        <rFont val="Calibri"/>
        <family val="2"/>
      </rPr>
      <t>AveSize</t>
    </r>
    <phoneticPr fontId="18" type="noConversion"/>
  </si>
  <si>
    <t>Allocation parameter</t>
    <phoneticPr fontId="18" type="noConversion"/>
  </si>
  <si>
    <t>030</t>
  </si>
  <si>
    <t>031</t>
  </si>
  <si>
    <t>032</t>
  </si>
  <si>
    <t>033</t>
  </si>
  <si>
    <t>034</t>
  </si>
  <si>
    <t>035</t>
  </si>
  <si>
    <t>036</t>
  </si>
  <si>
    <r>
      <t>σ</t>
    </r>
    <r>
      <rPr>
        <vertAlign val="superscript"/>
        <sz val="12"/>
        <color indexed="8"/>
        <rFont val="Times New Roman"/>
      </rPr>
      <t>2</t>
    </r>
    <r>
      <rPr>
        <sz val="12"/>
        <color indexed="8"/>
        <rFont val="Times New Roman"/>
        <family val="2"/>
      </rPr>
      <t>/x</t>
    </r>
    <r>
      <rPr>
        <vertAlign val="superscript"/>
        <sz val="12"/>
        <color indexed="8"/>
        <rFont val="Times New Roman"/>
      </rPr>
      <t>2</t>
    </r>
    <phoneticPr fontId="18" type="noConversion"/>
  </si>
  <si>
    <t>INTERMEDIARY CALCULATIONS</t>
    <phoneticPr fontId="18" type="noConversion"/>
  </si>
  <si>
    <r>
      <t xml:space="preserve">Design effect                                                   </t>
    </r>
    <r>
      <rPr>
        <i/>
        <sz val="12"/>
        <color indexed="8"/>
        <rFont val="Calibri"/>
        <family val="2"/>
      </rPr>
      <t>deff</t>
    </r>
    <phoneticPr fontId="18" type="noConversion"/>
  </si>
  <si>
    <t>Interquartile</t>
    <phoneticPr fontId="18" type="noConversion"/>
  </si>
  <si>
    <t>Very large weights</t>
    <phoneticPr fontId="18" type="noConversion"/>
  </si>
  <si>
    <t>Med+5*IQL</t>
    <phoneticPr fontId="18" type="noConversion"/>
  </si>
  <si>
    <t>Number</t>
    <phoneticPr fontId="18" type="noConversion"/>
  </si>
  <si>
    <t>Second stage sampling</t>
  </si>
  <si>
    <t>Weights</t>
    <phoneticPr fontId="18" type="noConversion"/>
  </si>
  <si>
    <t>Stratum code</t>
  </si>
  <si>
    <r>
      <t xml:space="preserve">Margin of error at 95% confidence                                                 </t>
    </r>
    <r>
      <rPr>
        <i/>
        <sz val="12"/>
        <color indexed="8"/>
        <rFont val="Calibri"/>
        <family val="2"/>
      </rPr>
      <t>ME</t>
    </r>
    <phoneticPr fontId="18" type="noConversion"/>
  </si>
  <si>
    <r>
      <t xml:space="preserve">Number of households per cluster                                                     </t>
    </r>
    <r>
      <rPr>
        <i/>
        <sz val="12"/>
        <color indexed="8"/>
        <rFont val="Calibri"/>
        <family val="2"/>
      </rPr>
      <t>b</t>
    </r>
    <phoneticPr fontId="18" type="noConversion"/>
  </si>
  <si>
    <t>PSU 44</t>
  </si>
  <si>
    <t>Selection probability</t>
    <phoneticPr fontId="18" type="noConversion"/>
  </si>
  <si>
    <t>PSU 7</t>
  </si>
  <si>
    <t>PSU 10</t>
  </si>
  <si>
    <t>% Child labour</t>
    <phoneticPr fontId="18" type="noConversion"/>
  </si>
  <si>
    <r>
      <t xml:space="preserve">Design effect                                                                                      </t>
    </r>
    <r>
      <rPr>
        <i/>
        <sz val="12"/>
        <color indexed="8"/>
        <rFont val="Calibri"/>
        <family val="2"/>
      </rPr>
      <t>deff</t>
    </r>
    <phoneticPr fontId="18" type="noConversion"/>
  </si>
  <si>
    <t>Average gain in standard error of estimate of percentage of children in child labour</t>
    <phoneticPr fontId="18" type="noConversion"/>
  </si>
  <si>
    <t>% children in child labour (p)</t>
    <phoneticPr fontId="18" type="noConversion"/>
  </si>
  <si>
    <t xml:space="preserve">Numerical illustration: Three PSUs with 208 households, 149 households with children </t>
    <phoneticPr fontId="18" type="noConversion"/>
  </si>
  <si>
    <t>Efficiency of design 2 (sampling only households with children identified during listing)</t>
    <phoneticPr fontId="18" type="noConversion"/>
  </si>
  <si>
    <t>No correlation within household (ρ=0)</t>
    <phoneticPr fontId="18" type="noConversion"/>
  </si>
  <si>
    <t>Full correlation within household (ρ=1)</t>
    <phoneticPr fontId="18" type="noConversion"/>
  </si>
  <si>
    <t xml:space="preserve">Average number of children per hsld (λ) </t>
    <phoneticPr fontId="18" type="noConversion"/>
  </si>
  <si>
    <t>Design 1</t>
    <phoneticPr fontId="18" type="noConversion"/>
  </si>
  <si>
    <t>Design 2</t>
    <phoneticPr fontId="18" type="noConversion"/>
  </si>
  <si>
    <t>Design 3</t>
    <phoneticPr fontId="18" type="noConversion"/>
  </si>
  <si>
    <t>Sampling all listed households</t>
    <phoneticPr fontId="18" type="noConversion"/>
  </si>
  <si>
    <t>Sampling only households with children (5-17 years old)</t>
    <phoneticPr fontId="18" type="noConversion"/>
  </si>
  <si>
    <t>Stratified sampling of households with children and with working children</t>
    <phoneticPr fontId="18" type="noConversion"/>
  </si>
  <si>
    <t>Strata A</t>
    <phoneticPr fontId="18" type="noConversion"/>
  </si>
  <si>
    <t>Probability HSLD</t>
    <phoneticPr fontId="18" type="noConversion"/>
  </si>
  <si>
    <t>Sample A</t>
    <phoneticPr fontId="18" type="noConversion"/>
  </si>
  <si>
    <t>Strata B</t>
    <phoneticPr fontId="18" type="noConversion"/>
  </si>
  <si>
    <t>Sample B</t>
    <phoneticPr fontId="18" type="noConversion"/>
  </si>
  <si>
    <t>Strata C</t>
    <phoneticPr fontId="18" type="noConversion"/>
  </si>
  <si>
    <t>Sample C</t>
    <phoneticPr fontId="18" type="noConversion"/>
  </si>
  <si>
    <t>PSU 101</t>
  </si>
  <si>
    <t>PSU 102</t>
  </si>
  <si>
    <t>PSU 118</t>
  </si>
  <si>
    <t>PSU 119</t>
  </si>
  <si>
    <t>Zh</t>
    <phoneticPr fontId="18" type="noConversion"/>
  </si>
  <si>
    <t>PSU 53</t>
  </si>
  <si>
    <t>f'(k)</t>
    <phoneticPr fontId="18" type="noConversion"/>
  </si>
  <si>
    <t>f(k)</t>
    <phoneticPr fontId="18" type="noConversion"/>
  </si>
  <si>
    <t>Number of households</t>
    <phoneticPr fontId="18" type="noConversion"/>
  </si>
  <si>
    <t>PSU 133</t>
  </si>
  <si>
    <t>PSU 134</t>
  </si>
  <si>
    <t>Number of sample PSU to be selected</t>
  </si>
  <si>
    <t>INTERMEDIARY CALCULATIONS</t>
    <phoneticPr fontId="18" type="noConversion"/>
  </si>
  <si>
    <t>018</t>
  </si>
  <si>
    <t>019</t>
  </si>
  <si>
    <t>020</t>
  </si>
  <si>
    <t>PSU 1</t>
    <phoneticPr fontId="18" type="noConversion"/>
  </si>
  <si>
    <t>PSU 2</t>
    <phoneticPr fontId="18" type="noConversion"/>
  </si>
  <si>
    <t>PSU 3</t>
    <phoneticPr fontId="18" type="noConversion"/>
  </si>
  <si>
    <t>n</t>
    <phoneticPr fontId="18" type="noConversion"/>
  </si>
  <si>
    <t>N</t>
    <phoneticPr fontId="18" type="noConversion"/>
  </si>
  <si>
    <t>Nd</t>
    <phoneticPr fontId="18" type="noConversion"/>
  </si>
  <si>
    <t>Fixed-point algorithm (Newton's equation)</t>
    <phoneticPr fontId="18" type="noConversion"/>
  </si>
  <si>
    <r>
      <t>OUTPUT</t>
    </r>
    <r>
      <rPr>
        <b/>
        <sz val="12"/>
        <color theme="0"/>
        <rFont val="Calibri"/>
        <family val="2"/>
        <scheme val="minor"/>
      </rPr>
      <t xml:space="preserve"> VALUES</t>
    </r>
    <phoneticPr fontId="18" type="noConversion"/>
  </si>
  <si>
    <t>049</t>
  </si>
  <si>
    <t>050</t>
  </si>
  <si>
    <t>054</t>
  </si>
  <si>
    <t>067</t>
  </si>
  <si>
    <t>068</t>
  </si>
  <si>
    <t>069</t>
  </si>
  <si>
    <t>070</t>
  </si>
  <si>
    <r>
      <t>E</t>
    </r>
    <r>
      <rPr>
        <sz val="12"/>
        <color indexed="8"/>
        <rFont val="Calibri"/>
        <family val="2"/>
      </rPr>
      <t xml:space="preserve">xpected sample </t>
    </r>
    <r>
      <rPr>
        <sz val="12"/>
        <color theme="1"/>
        <rFont val="Calibri"/>
        <family val="2"/>
        <scheme val="minor"/>
      </rPr>
      <t>households</t>
    </r>
    <phoneticPr fontId="18" type="noConversion"/>
  </si>
  <si>
    <t>Effective sample size</t>
    <phoneticPr fontId="18" type="noConversion"/>
  </si>
  <si>
    <t>PSU 117</t>
  </si>
  <si>
    <t>PSU 120</t>
  </si>
  <si>
    <t>PSU 121</t>
  </si>
  <si>
    <t>PSU 122</t>
  </si>
  <si>
    <t>Ind CL</t>
    <phoneticPr fontId="18" type="noConversion"/>
  </si>
  <si>
    <t>Number of household to be selected</t>
  </si>
  <si>
    <t>(919)</t>
    <phoneticPr fontId="18" type="noConversion"/>
  </si>
  <si>
    <t>Input data</t>
    <phoneticPr fontId="18" type="noConversion"/>
  </si>
  <si>
    <t>Girls 12-14 yrs</t>
    <phoneticPr fontId="18" type="noConversion"/>
  </si>
  <si>
    <t>Girls 15-17 yrs</t>
    <phoneticPr fontId="18" type="noConversion"/>
  </si>
  <si>
    <t>PSU 70</t>
  </si>
  <si>
    <t>PSU 54</t>
  </si>
  <si>
    <t>Domain or Stratum 19</t>
  </si>
  <si>
    <t>PSU 19</t>
  </si>
  <si>
    <t>PSU 126</t>
  </si>
  <si>
    <t>Hazardous work by children</t>
    <phoneticPr fontId="18" type="noConversion"/>
  </si>
  <si>
    <t>Approximate standard errors</t>
    <phoneticPr fontId="18" type="noConversion"/>
  </si>
  <si>
    <t>Number of households listed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</si>
</sst>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
    <numFmt numFmtId="166" formatCode="0.000000"/>
    <numFmt numFmtId="167" formatCode="0_)"/>
    <numFmt numFmtId="168" formatCode="0.0000"/>
    <numFmt numFmtId="169" formatCode="0.0000000"/>
    <numFmt numFmtId="170" formatCode="0.00000"/>
  </numFmts>
  <fonts count="64" x14ac:knownFonts="1">
    <font>
      <sz val="12"/>
      <color indexed="8"/>
      <name val="Times New Roman"/>
      <family val="2"/>
    </font>
    <font>
      <sz val="10"/>
      <name val="Verdana"/>
    </font>
    <font>
      <sz val="10"/>
      <name val="Verdana"/>
    </font>
    <font>
      <b/>
      <sz val="10"/>
      <name val="Verdana"/>
    </font>
    <font>
      <sz val="10"/>
      <name val="Verdana"/>
    </font>
    <font>
      <sz val="10"/>
      <name val="Verdana"/>
    </font>
    <font>
      <sz val="10"/>
      <color theme="1"/>
      <name val="Calibri"/>
      <family val="2"/>
      <scheme val="minor"/>
    </font>
    <font>
      <b/>
      <sz val="14"/>
      <color theme="0"/>
      <name val="Calibri"/>
      <family val="2"/>
      <scheme val="minor"/>
    </font>
    <font>
      <b/>
      <sz val="12"/>
      <color theme="0"/>
      <name val="Calibri"/>
      <family val="2"/>
      <scheme val="minor"/>
    </font>
    <font>
      <sz val="12"/>
      <color theme="1"/>
      <name val="Calibri"/>
      <family val="2"/>
      <scheme val="minor"/>
    </font>
    <font>
      <i/>
      <sz val="12"/>
      <color theme="1"/>
      <name val="Calibri"/>
      <family val="2"/>
      <scheme val="minor"/>
    </font>
    <font>
      <b/>
      <sz val="12"/>
      <color theme="1"/>
      <name val="Calibri"/>
      <family val="2"/>
      <scheme val="minor"/>
    </font>
    <font>
      <b/>
      <i/>
      <sz val="11"/>
      <color theme="0"/>
      <name val="Calibri"/>
      <family val="2"/>
      <scheme val="minor"/>
    </font>
    <font>
      <b/>
      <sz val="12"/>
      <color rgb="FFFF0000"/>
      <name val="Calibri"/>
      <family val="2"/>
      <scheme val="minor"/>
    </font>
    <font>
      <b/>
      <sz val="10"/>
      <color rgb="FFFF0000"/>
      <name val="Calibri"/>
      <family val="2"/>
      <scheme val="minor"/>
    </font>
    <font>
      <b/>
      <i/>
      <sz val="12"/>
      <color theme="0"/>
      <name val="Calibri"/>
      <family val="2"/>
      <scheme val="minor"/>
    </font>
    <font>
      <b/>
      <vertAlign val="superscript"/>
      <sz val="12"/>
      <color theme="0"/>
      <name val="Calibri"/>
      <family val="2"/>
      <scheme val="minor"/>
    </font>
    <font>
      <i/>
      <sz val="10"/>
      <color theme="1"/>
      <name val="Calibri"/>
      <family val="2"/>
      <scheme val="minor"/>
    </font>
    <font>
      <sz val="8"/>
      <name val="Verdana"/>
    </font>
    <font>
      <sz val="12"/>
      <color indexed="8"/>
      <name val="Calibri"/>
      <family val="2"/>
    </font>
    <font>
      <sz val="10"/>
      <color indexed="8"/>
      <name val="Calibri"/>
      <family val="2"/>
    </font>
    <font>
      <b/>
      <sz val="14"/>
      <color indexed="9"/>
      <name val="Calibri"/>
      <family val="2"/>
    </font>
    <font>
      <b/>
      <i/>
      <sz val="11"/>
      <color indexed="9"/>
      <name val="Calibri"/>
      <family val="2"/>
    </font>
    <font>
      <i/>
      <sz val="10"/>
      <color indexed="8"/>
      <name val="Calibri"/>
      <family val="2"/>
    </font>
    <font>
      <b/>
      <sz val="12"/>
      <color indexed="9"/>
      <name val="Calibri"/>
      <family val="2"/>
    </font>
    <font>
      <sz val="10"/>
      <color indexed="10"/>
      <name val="Calibri"/>
    </font>
    <font>
      <i/>
      <sz val="10"/>
      <color indexed="10"/>
      <name val="Calibri"/>
    </font>
    <font>
      <i/>
      <vertAlign val="subscript"/>
      <sz val="10"/>
      <color indexed="8"/>
      <name val="Calibri"/>
    </font>
    <font>
      <b/>
      <sz val="10"/>
      <color indexed="9"/>
      <name val="Calibri"/>
    </font>
    <font>
      <sz val="12"/>
      <color indexed="8"/>
      <name val="Symbol"/>
    </font>
    <font>
      <i/>
      <sz val="12"/>
      <color indexed="8"/>
      <name val="Calibri"/>
      <family val="2"/>
    </font>
    <font>
      <b/>
      <sz val="12"/>
      <color indexed="10"/>
      <name val="Calibri"/>
      <family val="2"/>
    </font>
    <font>
      <b/>
      <i/>
      <sz val="12"/>
      <color indexed="9"/>
      <name val="Calibri"/>
      <family val="2"/>
    </font>
    <font>
      <b/>
      <i/>
      <sz val="12"/>
      <color indexed="9"/>
      <name val="Symbol"/>
    </font>
    <font>
      <b/>
      <i/>
      <vertAlign val="superscript"/>
      <sz val="12"/>
      <color indexed="9"/>
      <name val="Symbol"/>
    </font>
    <font>
      <i/>
      <sz val="12"/>
      <color indexed="9"/>
      <name val="Calibri"/>
    </font>
    <font>
      <b/>
      <sz val="12"/>
      <color indexed="9"/>
      <name val="Symbol"/>
    </font>
    <font>
      <b/>
      <vertAlign val="superscript"/>
      <sz val="12"/>
      <color indexed="9"/>
      <name val="Calibri"/>
      <family val="2"/>
    </font>
    <font>
      <b/>
      <sz val="10"/>
      <name val="Arial"/>
      <family val="2"/>
    </font>
    <font>
      <sz val="10"/>
      <color indexed="10"/>
      <name val="Arial"/>
      <family val="2"/>
    </font>
    <font>
      <sz val="10"/>
      <color indexed="17"/>
      <name val="Arial"/>
      <family val="2"/>
    </font>
    <font>
      <sz val="10"/>
      <name val="Arial"/>
      <family val="2"/>
    </font>
    <font>
      <b/>
      <sz val="10"/>
      <color indexed="9"/>
      <name val="Arial"/>
      <family val="2"/>
    </font>
    <font>
      <sz val="12"/>
      <color indexed="9"/>
      <name val="Times New Roman"/>
      <family val="2"/>
    </font>
    <font>
      <vertAlign val="subscript"/>
      <sz val="12"/>
      <color indexed="9"/>
      <name val="Times New Roman"/>
    </font>
    <font>
      <b/>
      <sz val="12"/>
      <color indexed="9"/>
      <name val="Arial"/>
    </font>
    <font>
      <sz val="10"/>
      <color indexed="9"/>
      <name val="Verdana"/>
    </font>
    <font>
      <b/>
      <sz val="12"/>
      <name val="Arial"/>
    </font>
    <font>
      <sz val="12"/>
      <color indexed="8"/>
      <name val="Times New Roman"/>
      <family val="2"/>
    </font>
    <font>
      <vertAlign val="subscript"/>
      <sz val="12"/>
      <color indexed="8"/>
      <name val="Times New Roman"/>
    </font>
    <font>
      <vertAlign val="superscript"/>
      <sz val="12"/>
      <color indexed="8"/>
      <name val="Times New Roman"/>
    </font>
    <font>
      <b/>
      <sz val="12"/>
      <color indexed="10"/>
      <name val="Times New Roman"/>
    </font>
    <font>
      <sz val="12"/>
      <name val="Times New Roman"/>
      <family val="2"/>
    </font>
    <font>
      <sz val="12"/>
      <color indexed="9"/>
      <name val="Arial"/>
    </font>
    <font>
      <b/>
      <sz val="10"/>
      <color indexed="8"/>
      <name val="Verdana"/>
    </font>
    <font>
      <b/>
      <sz val="10"/>
      <color indexed="10"/>
      <name val="Verdana"/>
    </font>
    <font>
      <b/>
      <sz val="11"/>
      <color indexed="9"/>
      <name val="Calibri"/>
    </font>
    <font>
      <sz val="10"/>
      <color indexed="10"/>
      <name val="Verdana"/>
    </font>
    <font>
      <b/>
      <sz val="10"/>
      <color indexed="8"/>
      <name val="Calibri"/>
    </font>
    <font>
      <b/>
      <sz val="10"/>
      <color indexed="10"/>
      <name val="Calibri"/>
      <family val="2"/>
    </font>
    <font>
      <b/>
      <sz val="12"/>
      <color indexed="8"/>
      <name val="Times New Roman"/>
      <family val="2"/>
    </font>
    <font>
      <b/>
      <sz val="12"/>
      <color indexed="8"/>
      <name val="Calibri"/>
      <family val="2"/>
    </font>
    <font>
      <sz val="10"/>
      <color indexed="14"/>
      <name val="Calibri"/>
    </font>
    <font>
      <sz val="12"/>
      <color indexed="10"/>
      <name val="Times New Roman"/>
      <family val="2"/>
    </font>
  </fonts>
  <fills count="10">
    <fill>
      <patternFill patternType="none"/>
    </fill>
    <fill>
      <patternFill patternType="gray125"/>
    </fill>
    <fill>
      <patternFill patternType="solid">
        <fgColor theme="5"/>
        <bgColor indexed="64"/>
      </patternFill>
    </fill>
    <fill>
      <patternFill patternType="solid">
        <fgColor theme="8" tint="-0.249977111117893"/>
        <bgColor indexed="64"/>
      </patternFill>
    </fill>
    <fill>
      <patternFill patternType="solid">
        <fgColor indexed="57"/>
        <bgColor indexed="64"/>
      </patternFill>
    </fill>
    <fill>
      <patternFill patternType="solid">
        <fgColor indexed="47"/>
        <bgColor indexed="64"/>
      </patternFill>
    </fill>
    <fill>
      <patternFill patternType="solid">
        <fgColor indexed="10"/>
        <bgColor indexed="64"/>
      </patternFill>
    </fill>
    <fill>
      <patternFill patternType="solid">
        <fgColor indexed="29"/>
        <bgColor indexed="64"/>
      </patternFill>
    </fill>
    <fill>
      <patternFill patternType="solid">
        <fgColor indexed="48"/>
        <bgColor indexed="64"/>
      </patternFill>
    </fill>
    <fill>
      <patternFill patternType="solid">
        <fgColor indexed="41"/>
        <bgColor indexed="64"/>
      </patternFill>
    </fill>
  </fills>
  <borders count="3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top/>
      <bottom style="thin">
        <color indexed="64"/>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right/>
      <top style="thin">
        <color indexed="64"/>
      </top>
      <bottom/>
      <diagonal/>
    </border>
    <border>
      <left style="thin">
        <color indexed="9"/>
      </left>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right style="thin">
        <color indexed="64"/>
      </right>
      <top style="thin">
        <color indexed="64"/>
      </top>
      <bottom/>
      <diagonal/>
    </border>
    <border>
      <left/>
      <right style="thin">
        <color indexed="9"/>
      </right>
      <top style="thin">
        <color indexed="9"/>
      </top>
      <bottom style="thin">
        <color indexed="9"/>
      </bottom>
      <diagonal/>
    </border>
    <border>
      <left/>
      <right/>
      <top style="thin">
        <color indexed="9"/>
      </top>
      <bottom style="thin">
        <color indexed="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9"/>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42">
    <xf numFmtId="0" fontId="0" fillId="0" borderId="0" xfId="0"/>
    <xf numFmtId="0" fontId="9" fillId="0" borderId="0" xfId="0" applyFont="1"/>
    <xf numFmtId="0" fontId="9" fillId="0" borderId="0" xfId="0" applyFont="1" applyAlignment="1">
      <alignment horizontal="center"/>
    </xf>
    <xf numFmtId="0" fontId="6" fillId="0" borderId="0" xfId="0" applyFont="1" applyAlignment="1">
      <alignment wrapText="1"/>
    </xf>
    <xf numFmtId="0" fontId="6" fillId="0" borderId="0" xfId="0" applyFont="1" applyAlignment="1">
      <alignment horizont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wrapText="1"/>
    </xf>
    <xf numFmtId="0" fontId="11" fillId="0" borderId="3" xfId="0" applyFont="1" applyBorder="1" applyAlignment="1">
      <alignment horizontal="center" vertical="center"/>
    </xf>
    <xf numFmtId="0" fontId="11" fillId="0" borderId="1" xfId="0" applyFont="1" applyBorder="1" applyAlignment="1">
      <alignment horizontal="left" vertical="center"/>
    </xf>
    <xf numFmtId="0" fontId="9" fillId="0" borderId="7" xfId="0" applyFont="1" applyBorder="1" applyAlignment="1">
      <alignment vertical="center"/>
    </xf>
    <xf numFmtId="0" fontId="9" fillId="0" borderId="8" xfId="0" applyFont="1" applyBorder="1" applyAlignment="1">
      <alignment horizontal="center" vertical="center"/>
    </xf>
    <xf numFmtId="0" fontId="9" fillId="0" borderId="7" xfId="0" applyFont="1" applyBorder="1" applyAlignment="1">
      <alignment horizontal="right" vertical="center"/>
    </xf>
    <xf numFmtId="0" fontId="9" fillId="0" borderId="9" xfId="0" applyFont="1" applyBorder="1" applyAlignment="1">
      <alignment vertical="center"/>
    </xf>
    <xf numFmtId="0" fontId="9" fillId="0" borderId="11" xfId="0" applyFont="1" applyBorder="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6" xfId="0" applyFont="1" applyBorder="1" applyAlignment="1">
      <alignment horizontal="center" vertical="center"/>
    </xf>
    <xf numFmtId="0" fontId="9" fillId="0" borderId="7" xfId="0" applyFont="1" applyBorder="1" applyAlignment="1">
      <alignment horizontal="left" vertical="center"/>
    </xf>
    <xf numFmtId="0" fontId="9" fillId="0" borderId="8" xfId="0" applyFont="1" applyBorder="1" applyAlignment="1">
      <alignment vertical="center"/>
    </xf>
    <xf numFmtId="0" fontId="9" fillId="0" borderId="11" xfId="0" applyFont="1" applyBorder="1" applyAlignment="1">
      <alignment vertical="center"/>
    </xf>
    <xf numFmtId="0" fontId="13" fillId="0" borderId="8" xfId="0" applyFont="1" applyBorder="1" applyAlignment="1">
      <alignment horizontal="center" vertical="center"/>
    </xf>
    <xf numFmtId="1" fontId="13" fillId="0" borderId="8" xfId="0" applyNumberFormat="1" applyFont="1" applyBorder="1" applyAlignment="1">
      <alignment horizontal="center" vertical="center"/>
    </xf>
    <xf numFmtId="0" fontId="9" fillId="0" borderId="2" xfId="0" applyFont="1" applyBorder="1" applyAlignment="1">
      <alignment vertical="center" wrapText="1"/>
    </xf>
    <xf numFmtId="0" fontId="9" fillId="0" borderId="2" xfId="0" applyFont="1" applyBorder="1" applyAlignment="1">
      <alignment horizontal="center" vertical="center" wrapText="1"/>
    </xf>
    <xf numFmtId="0" fontId="17" fillId="0" borderId="2" xfId="0" applyFont="1" applyBorder="1" applyAlignment="1">
      <alignment horizontal="center" wrapText="1"/>
    </xf>
    <xf numFmtId="0" fontId="19" fillId="0" borderId="7" xfId="0" applyFont="1" applyBorder="1" applyAlignment="1">
      <alignment horizontal="right" vertical="center"/>
    </xf>
    <xf numFmtId="2" fontId="9" fillId="0" borderId="8" xfId="0" applyNumberFormat="1" applyFont="1" applyBorder="1" applyAlignment="1">
      <alignment horizontal="center" vertical="center"/>
    </xf>
    <xf numFmtId="0" fontId="20" fillId="0" borderId="10" xfId="0" applyFont="1" applyBorder="1" applyAlignment="1">
      <alignment horizontal="center" wrapText="1"/>
    </xf>
    <xf numFmtId="0" fontId="20" fillId="0" borderId="0" xfId="0" applyFont="1" applyBorder="1" applyAlignment="1">
      <alignment horizontal="center"/>
    </xf>
    <xf numFmtId="1" fontId="6" fillId="0" borderId="0" xfId="0" applyNumberFormat="1" applyFont="1" applyAlignment="1">
      <alignment horizontal="center" wrapText="1"/>
    </xf>
    <xf numFmtId="2" fontId="6" fillId="0" borderId="0" xfId="0" applyNumberFormat="1" applyFont="1" applyAlignment="1">
      <alignment horizontal="center" wrapText="1"/>
    </xf>
    <xf numFmtId="0" fontId="20" fillId="0" borderId="0" xfId="0" applyFont="1" applyAlignment="1">
      <alignment wrapText="1"/>
    </xf>
    <xf numFmtId="2" fontId="6" fillId="0" borderId="10" xfId="0" applyNumberFormat="1" applyFont="1" applyBorder="1" applyAlignment="1">
      <alignment horizontal="center" wrapText="1"/>
    </xf>
    <xf numFmtId="0" fontId="20" fillId="0" borderId="0" xfId="0" applyFont="1" applyBorder="1" applyAlignment="1">
      <alignment horizontal="center" wrapText="1"/>
    </xf>
    <xf numFmtId="2" fontId="23" fillId="0" borderId="2" xfId="0" applyNumberFormat="1" applyFont="1" applyBorder="1" applyAlignment="1">
      <alignment horizontal="center" wrapText="1"/>
    </xf>
    <xf numFmtId="0" fontId="23" fillId="0" borderId="10" xfId="0" applyFont="1" applyBorder="1" applyAlignment="1">
      <alignment horizontal="center" wrapText="1"/>
    </xf>
    <xf numFmtId="0" fontId="8" fillId="0" borderId="0" xfId="0" applyFont="1" applyFill="1" applyBorder="1" applyAlignment="1">
      <alignment horizontal="center" vertical="center"/>
    </xf>
    <xf numFmtId="0" fontId="17" fillId="0" borderId="0" xfId="0" applyFont="1" applyBorder="1" applyAlignment="1">
      <alignment horizontal="center" wrapText="1"/>
    </xf>
    <xf numFmtId="0" fontId="6" fillId="0" borderId="0" xfId="0" applyFont="1" applyBorder="1" applyAlignment="1">
      <alignment horizontal="center" wrapText="1"/>
    </xf>
    <xf numFmtId="0" fontId="9" fillId="0" borderId="0" xfId="0" applyFont="1" applyBorder="1" applyAlignment="1">
      <alignment horizontal="center" vertical="center" wrapText="1"/>
    </xf>
    <xf numFmtId="0" fontId="20" fillId="0" borderId="0" xfId="0" applyFont="1" applyBorder="1" applyAlignment="1">
      <alignment horizontal="right" wrapText="1"/>
    </xf>
    <xf numFmtId="1" fontId="6" fillId="0" borderId="0" xfId="0" applyNumberFormat="1" applyFont="1" applyAlignment="1">
      <alignment horizontal="right" wrapText="1"/>
    </xf>
    <xf numFmtId="0" fontId="9" fillId="0" borderId="0" xfId="0" applyFont="1" applyBorder="1" applyAlignment="1">
      <alignment vertical="center" wrapText="1"/>
    </xf>
    <xf numFmtId="1" fontId="13" fillId="0" borderId="0" xfId="0" applyNumberFormat="1" applyFont="1" applyBorder="1" applyAlignment="1">
      <alignment horizontal="center" vertical="center" wrapText="1"/>
    </xf>
    <xf numFmtId="2" fontId="20" fillId="0" borderId="0" xfId="0" applyNumberFormat="1" applyFont="1" applyBorder="1" applyAlignment="1">
      <alignment horizontal="right"/>
    </xf>
    <xf numFmtId="0" fontId="20" fillId="0" borderId="0" xfId="0" applyFont="1" applyBorder="1" applyAlignment="1">
      <alignment horizontal="left" wrapText="1"/>
    </xf>
    <xf numFmtId="0" fontId="6" fillId="0" borderId="0" xfId="0" applyFont="1" applyAlignment="1">
      <alignment horizontal="right" wrapText="1"/>
    </xf>
    <xf numFmtId="1" fontId="14" fillId="0" borderId="0" xfId="0" applyNumberFormat="1" applyFont="1" applyAlignment="1">
      <alignment horizontal="right" wrapText="1"/>
    </xf>
    <xf numFmtId="1" fontId="14" fillId="0" borderId="12" xfId="0" applyNumberFormat="1" applyFont="1" applyBorder="1" applyAlignment="1">
      <alignment horizontal="right" wrapText="1"/>
    </xf>
    <xf numFmtId="1" fontId="14" fillId="0" borderId="0" xfId="0" applyNumberFormat="1" applyFont="1" applyAlignment="1">
      <alignment horizontal="right" wrapText="1"/>
    </xf>
    <xf numFmtId="2" fontId="20" fillId="0" borderId="0" xfId="0" applyNumberFormat="1" applyFont="1" applyAlignment="1">
      <alignment horizontal="center" wrapText="1"/>
    </xf>
    <xf numFmtId="1" fontId="19" fillId="0" borderId="0" xfId="0" applyNumberFormat="1" applyFont="1" applyBorder="1" applyAlignment="1">
      <alignment horizontal="center" vertical="center" wrapText="1"/>
    </xf>
    <xf numFmtId="0" fontId="6" fillId="5" borderId="0" xfId="0" applyFont="1" applyFill="1" applyAlignment="1">
      <alignment horizontal="center" wrapText="1"/>
    </xf>
    <xf numFmtId="0" fontId="20" fillId="5" borderId="0" xfId="0" applyFont="1" applyFill="1" applyBorder="1" applyAlignment="1">
      <alignment horizontal="center"/>
    </xf>
    <xf numFmtId="1" fontId="6" fillId="0" borderId="0" xfId="0" applyNumberFormat="1" applyFont="1" applyAlignment="1">
      <alignment horizontal="right" wrapText="1"/>
    </xf>
    <xf numFmtId="1" fontId="14" fillId="0" borderId="0" xfId="0" applyNumberFormat="1" applyFont="1" applyAlignment="1">
      <alignment horizontal="right" wrapText="1"/>
    </xf>
    <xf numFmtId="0" fontId="6" fillId="5" borderId="0" xfId="0" applyFont="1" applyFill="1" applyBorder="1" applyAlignment="1">
      <alignment horizontal="center" wrapText="1"/>
    </xf>
    <xf numFmtId="0" fontId="6" fillId="5" borderId="10" xfId="0" applyFont="1" applyFill="1" applyBorder="1" applyAlignment="1">
      <alignment horizontal="center" wrapText="1"/>
    </xf>
    <xf numFmtId="1" fontId="20" fillId="0" borderId="2" xfId="0" applyNumberFormat="1" applyFont="1" applyBorder="1" applyAlignment="1">
      <alignment horizontal="right" wrapText="1"/>
    </xf>
    <xf numFmtId="1" fontId="20" fillId="0" borderId="2" xfId="0" applyNumberFormat="1" applyFont="1" applyBorder="1" applyAlignment="1">
      <alignment horizontal="right" wrapText="1"/>
    </xf>
    <xf numFmtId="2" fontId="20" fillId="5" borderId="0" xfId="0" applyNumberFormat="1" applyFont="1" applyFill="1" applyAlignment="1">
      <alignment horizontal="center" wrapText="1"/>
    </xf>
    <xf numFmtId="0" fontId="20" fillId="5" borderId="10" xfId="0" applyFont="1" applyFill="1" applyBorder="1" applyAlignment="1">
      <alignment horizontal="center"/>
    </xf>
    <xf numFmtId="0" fontId="20" fillId="0" borderId="2" xfId="0" applyFont="1" applyBorder="1" applyAlignment="1">
      <alignment horizontal="center" wrapText="1"/>
    </xf>
    <xf numFmtId="0" fontId="23" fillId="0" borderId="2" xfId="0" applyFont="1" applyBorder="1" applyAlignment="1">
      <alignment horizontal="center" wrapText="1"/>
    </xf>
    <xf numFmtId="0" fontId="20" fillId="0" borderId="0" xfId="0" applyFont="1"/>
    <xf numFmtId="165" fontId="14" fillId="0" borderId="0" xfId="0" applyNumberFormat="1" applyFont="1" applyAlignment="1">
      <alignment horizontal="right" wrapText="1"/>
    </xf>
    <xf numFmtId="165" fontId="6" fillId="0" borderId="0" xfId="0" applyNumberFormat="1" applyFont="1" applyAlignment="1">
      <alignment horizontal="right" wrapText="1"/>
    </xf>
    <xf numFmtId="165" fontId="14" fillId="0" borderId="0" xfId="0" applyNumberFormat="1" applyFont="1" applyAlignment="1">
      <alignment horizontal="right" wrapText="1"/>
    </xf>
    <xf numFmtId="164" fontId="14" fillId="0" borderId="0" xfId="0" applyNumberFormat="1" applyFont="1" applyAlignment="1">
      <alignment horizontal="right" wrapText="1"/>
    </xf>
    <xf numFmtId="0" fontId="9" fillId="0" borderId="10" xfId="0" applyFont="1" applyBorder="1" applyAlignment="1">
      <alignment vertical="center" wrapText="1"/>
    </xf>
    <xf numFmtId="1" fontId="20" fillId="0" borderId="10" xfId="0" applyNumberFormat="1" applyFont="1" applyBorder="1" applyAlignment="1">
      <alignment horizontal="right" wrapText="1"/>
    </xf>
    <xf numFmtId="0" fontId="9" fillId="0" borderId="10" xfId="0" applyFont="1" applyBorder="1" applyAlignment="1">
      <alignment horizontal="center" vertical="center" wrapText="1"/>
    </xf>
    <xf numFmtId="0" fontId="25" fillId="0" borderId="0" xfId="0" applyFont="1" applyBorder="1" applyAlignment="1">
      <alignment horizontal="center"/>
    </xf>
    <xf numFmtId="0" fontId="25" fillId="0" borderId="0" xfId="0" applyFont="1" applyAlignment="1">
      <alignment horizontal="right" wrapText="1"/>
    </xf>
    <xf numFmtId="1" fontId="25" fillId="0" borderId="0" xfId="0" applyNumberFormat="1" applyFont="1" applyBorder="1" applyAlignment="1">
      <alignment horizontal="center"/>
    </xf>
    <xf numFmtId="0" fontId="14" fillId="0" borderId="0" xfId="0" applyNumberFormat="1" applyFont="1" applyAlignment="1">
      <alignment horizontal="right" wrapText="1"/>
    </xf>
    <xf numFmtId="0" fontId="25" fillId="0" borderId="0" xfId="0" applyFont="1" applyBorder="1" applyAlignment="1">
      <alignment horizontal="left"/>
    </xf>
    <xf numFmtId="0" fontId="0" fillId="0" borderId="0" xfId="0" applyAlignment="1">
      <alignment horizontal="left"/>
    </xf>
    <xf numFmtId="0" fontId="25" fillId="0" borderId="0" xfId="0" applyFont="1" applyAlignment="1">
      <alignment horizontal="left"/>
    </xf>
    <xf numFmtId="0" fontId="25" fillId="0" borderId="0" xfId="0" applyFont="1" applyAlignment="1">
      <alignment horizontal="center"/>
    </xf>
    <xf numFmtId="0" fontId="25" fillId="0" borderId="0" xfId="0" applyFont="1" applyBorder="1" applyAlignment="1">
      <alignment horizontal="center" wrapText="1"/>
    </xf>
    <xf numFmtId="0" fontId="25" fillId="0" borderId="10" xfId="0" applyFont="1" applyBorder="1" applyAlignment="1">
      <alignment horizontal="center" wrapText="1"/>
    </xf>
    <xf numFmtId="166" fontId="20" fillId="0" borderId="0" xfId="0" applyNumberFormat="1" applyFont="1" applyAlignment="1">
      <alignment horizontal="center" wrapText="1"/>
    </xf>
    <xf numFmtId="166" fontId="26" fillId="0" borderId="2" xfId="0" applyNumberFormat="1" applyFont="1" applyBorder="1" applyAlignment="1">
      <alignment horizontal="right" wrapText="1"/>
    </xf>
    <xf numFmtId="0" fontId="19" fillId="0" borderId="8" xfId="0" applyFont="1" applyBorder="1" applyAlignment="1">
      <alignment horizontal="center" vertical="center"/>
    </xf>
    <xf numFmtId="0" fontId="19" fillId="0" borderId="7" xfId="0" applyFont="1" applyBorder="1" applyAlignment="1">
      <alignment vertical="center"/>
    </xf>
    <xf numFmtId="0" fontId="10" fillId="0" borderId="8" xfId="0" applyFont="1" applyBorder="1" applyAlignment="1">
      <alignment horizontal="center" vertical="center"/>
    </xf>
    <xf numFmtId="0" fontId="11" fillId="0" borderId="6" xfId="0" applyFont="1" applyBorder="1" applyAlignment="1">
      <alignment horizontal="center" vertical="center"/>
    </xf>
    <xf numFmtId="0" fontId="19" fillId="0" borderId="9" xfId="0" applyFont="1" applyBorder="1" applyAlignment="1">
      <alignment vertical="center"/>
    </xf>
    <xf numFmtId="0" fontId="11" fillId="0" borderId="4" xfId="0" applyFont="1" applyBorder="1" applyAlignment="1">
      <alignment vertical="center"/>
    </xf>
    <xf numFmtId="0" fontId="19" fillId="0" borderId="7" xfId="0" applyFont="1" applyBorder="1" applyAlignment="1">
      <alignment horizontal="left" vertical="center"/>
    </xf>
    <xf numFmtId="0" fontId="30" fillId="0" borderId="7" xfId="0" applyFont="1" applyBorder="1" applyAlignment="1">
      <alignment horizontal="right" vertical="center"/>
    </xf>
    <xf numFmtId="1" fontId="13" fillId="0" borderId="8" xfId="0" applyNumberFormat="1" applyFont="1" applyBorder="1" applyAlignment="1">
      <alignment horizontal="center" vertical="center"/>
    </xf>
    <xf numFmtId="164" fontId="13" fillId="0" borderId="8" xfId="0" applyNumberFormat="1" applyFont="1" applyBorder="1" applyAlignment="1">
      <alignment horizontal="center" vertical="center"/>
    </xf>
    <xf numFmtId="2" fontId="31" fillId="0" borderId="8" xfId="0" applyNumberFormat="1" applyFont="1" applyBorder="1" applyAlignment="1">
      <alignment horizontal="center" vertical="center"/>
    </xf>
    <xf numFmtId="2" fontId="13" fillId="0" borderId="8" xfId="0" applyNumberFormat="1" applyFont="1" applyBorder="1" applyAlignment="1">
      <alignment horizontal="center" vertical="center"/>
    </xf>
    <xf numFmtId="0" fontId="19" fillId="0" borderId="8" xfId="0" applyFont="1" applyBorder="1" applyAlignment="1">
      <alignment horizontal="center" vertical="center" wrapText="1"/>
    </xf>
    <xf numFmtId="0" fontId="19" fillId="0" borderId="11" xfId="0" quotePrefix="1" applyFont="1" applyBorder="1" applyAlignment="1">
      <alignment horizontal="center" vertical="center"/>
    </xf>
    <xf numFmtId="0" fontId="8" fillId="3" borderId="1" xfId="0" applyFont="1" applyFill="1" applyBorder="1" applyAlignment="1">
      <alignment horizontal="center" vertical="center"/>
    </xf>
    <xf numFmtId="0" fontId="8" fillId="3" borderId="3" xfId="0" applyFont="1" applyFill="1" applyBorder="1" applyAlignment="1">
      <alignment horizontal="center" vertical="center"/>
    </xf>
    <xf numFmtId="165" fontId="13" fillId="0" borderId="8" xfId="0" applyNumberFormat="1" applyFont="1" applyBorder="1" applyAlignment="1">
      <alignment horizontal="center" vertical="center"/>
    </xf>
    <xf numFmtId="2" fontId="13" fillId="0" borderId="8" xfId="0" applyNumberFormat="1" applyFont="1" applyBorder="1" applyAlignment="1">
      <alignment horizontal="center" vertical="center"/>
    </xf>
    <xf numFmtId="0" fontId="0" fillId="0" borderId="0" xfId="0" applyAlignment="1">
      <alignment vertical="center" wrapText="1"/>
    </xf>
    <xf numFmtId="0" fontId="38" fillId="0" borderId="0" xfId="0" applyFont="1"/>
    <xf numFmtId="166" fontId="0" fillId="0" borderId="0" xfId="0" applyNumberFormat="1"/>
    <xf numFmtId="1" fontId="0" fillId="0" borderId="0" xfId="0" applyNumberFormat="1"/>
    <xf numFmtId="0" fontId="38" fillId="0" borderId="0" xfId="0" applyFont="1" applyBorder="1" applyAlignment="1" applyProtection="1">
      <alignment horizontal="left"/>
    </xf>
    <xf numFmtId="0" fontId="39" fillId="0" borderId="0" xfId="0" applyFont="1"/>
    <xf numFmtId="0" fontId="40" fillId="0" borderId="0" xfId="0" applyFont="1"/>
    <xf numFmtId="1" fontId="0" fillId="0" borderId="0" xfId="0" applyNumberFormat="1" applyProtection="1"/>
    <xf numFmtId="167" fontId="0" fillId="0" borderId="0" xfId="0" applyNumberFormat="1" applyProtection="1"/>
    <xf numFmtId="0" fontId="38" fillId="0" borderId="0" xfId="0" applyFont="1" applyAlignment="1">
      <alignment horizontal="center" vertical="center" wrapText="1"/>
    </xf>
    <xf numFmtId="1" fontId="38" fillId="0" borderId="0" xfId="0" applyNumberFormat="1" applyFont="1" applyAlignment="1">
      <alignment horizontal="center" vertical="center" wrapText="1"/>
    </xf>
    <xf numFmtId="0" fontId="0" fillId="0" borderId="0" xfId="0" applyFill="1"/>
    <xf numFmtId="166" fontId="0" fillId="0" borderId="0" xfId="0" applyNumberFormat="1" applyFill="1"/>
    <xf numFmtId="1" fontId="0" fillId="0" borderId="0" xfId="0" applyNumberFormat="1" applyFill="1"/>
    <xf numFmtId="1" fontId="0" fillId="0" borderId="0" xfId="0" applyNumberFormat="1" applyBorder="1" applyAlignment="1">
      <alignment horizontal="center"/>
    </xf>
    <xf numFmtId="1" fontId="0" fillId="0" borderId="0" xfId="0" applyNumberFormat="1" applyFill="1" applyBorder="1" applyAlignment="1">
      <alignment horizontal="center"/>
    </xf>
    <xf numFmtId="49" fontId="38" fillId="0" borderId="0" xfId="0" applyNumberFormat="1" applyFont="1" applyBorder="1" applyAlignment="1">
      <alignment horizontal="center" vertical="center" wrapText="1"/>
    </xf>
    <xf numFmtId="0" fontId="38" fillId="0" borderId="0" xfId="0" applyFont="1" applyBorder="1" applyAlignment="1">
      <alignment horizontal="center" vertical="center" wrapText="1"/>
    </xf>
    <xf numFmtId="49" fontId="0" fillId="0" borderId="0" xfId="0" applyNumberFormat="1" applyAlignment="1">
      <alignment horizontal="center"/>
    </xf>
    <xf numFmtId="0" fontId="0" fillId="0" borderId="0" xfId="0" applyBorder="1" applyAlignment="1">
      <alignment horizontal="center"/>
    </xf>
    <xf numFmtId="49" fontId="41" fillId="0" borderId="0" xfId="0" applyNumberFormat="1" applyFont="1" applyAlignment="1">
      <alignment horizontal="center"/>
    </xf>
    <xf numFmtId="0" fontId="41" fillId="0" borderId="0" xfId="0" applyFont="1" applyBorder="1" applyAlignment="1">
      <alignment horizontal="center"/>
    </xf>
    <xf numFmtId="49" fontId="0" fillId="0" borderId="0" xfId="0" applyNumberFormat="1" applyFill="1" applyAlignment="1">
      <alignment horizontal="center"/>
    </xf>
    <xf numFmtId="0" fontId="0" fillId="0" borderId="0" xfId="0" applyFill="1" applyBorder="1" applyAlignment="1">
      <alignment horizontal="center"/>
    </xf>
    <xf numFmtId="0" fontId="41" fillId="0" borderId="0" xfId="0" applyFont="1" applyFill="1" applyBorder="1" applyAlignment="1">
      <alignment horizontal="center"/>
    </xf>
    <xf numFmtId="1" fontId="0" fillId="0" borderId="0" xfId="0" applyNumberFormat="1" applyBorder="1" applyProtection="1"/>
    <xf numFmtId="167" fontId="0" fillId="0" borderId="0" xfId="0" applyNumberFormat="1" applyBorder="1" applyProtection="1"/>
    <xf numFmtId="0" fontId="0" fillId="7" borderId="0" xfId="0" applyFill="1"/>
    <xf numFmtId="0" fontId="38" fillId="7" borderId="0" xfId="0" applyFont="1" applyFill="1" applyBorder="1" applyAlignment="1">
      <alignment horizontal="center" vertical="center" wrapText="1"/>
    </xf>
    <xf numFmtId="2" fontId="0" fillId="0" borderId="0" xfId="0" applyNumberFormat="1"/>
    <xf numFmtId="2" fontId="0" fillId="0" borderId="0" xfId="0" applyNumberFormat="1" applyBorder="1"/>
    <xf numFmtId="0" fontId="43" fillId="6" borderId="0" xfId="0" applyFont="1" applyFill="1" applyAlignment="1">
      <alignment horizontal="center"/>
    </xf>
    <xf numFmtId="166" fontId="43" fillId="6" borderId="0" xfId="0" applyNumberFormat="1" applyFont="1" applyFill="1" applyAlignment="1">
      <alignment horizontal="center"/>
    </xf>
    <xf numFmtId="0" fontId="0" fillId="0" borderId="0" xfId="0" applyAlignment="1">
      <alignment horizontal="center"/>
    </xf>
    <xf numFmtId="0" fontId="0" fillId="0" borderId="0" xfId="0" applyFill="1" applyAlignment="1">
      <alignment horizontal="center"/>
    </xf>
    <xf numFmtId="167" fontId="0" fillId="0" borderId="0" xfId="0" applyNumberFormat="1"/>
    <xf numFmtId="0" fontId="0" fillId="0" borderId="0" xfId="0" applyAlignment="1">
      <alignment vertical="center" wrapText="1"/>
    </xf>
    <xf numFmtId="0" fontId="0" fillId="0" borderId="0" xfId="0" applyAlignment="1">
      <alignment wrapText="1"/>
    </xf>
    <xf numFmtId="0" fontId="45" fillId="0" borderId="0" xfId="0" applyFont="1" applyFill="1" applyAlignment="1">
      <alignment horizontal="center" vertical="center" wrapText="1"/>
    </xf>
    <xf numFmtId="0" fontId="46" fillId="0" borderId="0" xfId="0" applyFont="1" applyFill="1" applyAlignment="1">
      <alignment vertical="center" wrapText="1"/>
    </xf>
    <xf numFmtId="0" fontId="47" fillId="0" borderId="0" xfId="0" applyFont="1" applyAlignment="1">
      <alignment horizontal="center"/>
    </xf>
    <xf numFmtId="0" fontId="46" fillId="0" borderId="0" xfId="0" applyFont="1" applyFill="1" applyAlignment="1">
      <alignment wrapText="1"/>
    </xf>
    <xf numFmtId="0" fontId="47" fillId="0" borderId="0" xfId="0" applyFont="1" applyBorder="1" applyAlignment="1">
      <alignment horizontal="center"/>
    </xf>
    <xf numFmtId="0" fontId="46" fillId="0" borderId="0" xfId="0" applyFont="1" applyFill="1" applyBorder="1" applyAlignment="1">
      <alignment horizontal="center"/>
    </xf>
    <xf numFmtId="0" fontId="46" fillId="0" borderId="0" xfId="0" applyFont="1" applyFill="1" applyBorder="1" applyAlignment="1">
      <alignment horizontal="center" wrapText="1"/>
    </xf>
    <xf numFmtId="0" fontId="0" fillId="5" borderId="0" xfId="0" applyFill="1" applyAlignment="1">
      <alignment horizontal="center"/>
    </xf>
    <xf numFmtId="0" fontId="46" fillId="8" borderId="14" xfId="0" applyFont="1" applyFill="1" applyBorder="1" applyAlignment="1">
      <alignment horizontal="center" wrapText="1"/>
    </xf>
    <xf numFmtId="0" fontId="46" fillId="8" borderId="14" xfId="0" quotePrefix="1" applyFont="1" applyFill="1" applyBorder="1" applyAlignment="1">
      <alignment horizontal="center"/>
    </xf>
    <xf numFmtId="0" fontId="46" fillId="0" borderId="0" xfId="0" quotePrefix="1" applyFont="1" applyFill="1" applyBorder="1" applyAlignment="1">
      <alignment horizontal="center"/>
    </xf>
    <xf numFmtId="0" fontId="46" fillId="8" borderId="15" xfId="0" quotePrefix="1" applyFont="1" applyFill="1" applyBorder="1" applyAlignment="1">
      <alignment horizontal="center"/>
    </xf>
    <xf numFmtId="0" fontId="0" fillId="0" borderId="0" xfId="0" applyBorder="1" applyAlignment="1">
      <alignment horizontal="right"/>
    </xf>
    <xf numFmtId="0" fontId="0" fillId="0" borderId="0" xfId="0" applyBorder="1"/>
    <xf numFmtId="0" fontId="0" fillId="0" borderId="0" xfId="0" applyFill="1" applyBorder="1"/>
    <xf numFmtId="0" fontId="0" fillId="0" borderId="0" xfId="0" applyNumberFormat="1"/>
    <xf numFmtId="0" fontId="46" fillId="8" borderId="19" xfId="0" applyFont="1" applyFill="1" applyBorder="1" applyAlignment="1">
      <alignment horizontal="center" wrapText="1"/>
    </xf>
    <xf numFmtId="0" fontId="0" fillId="5" borderId="18" xfId="0" quotePrefix="1" applyFill="1" applyBorder="1" applyAlignment="1">
      <alignment horizontal="center"/>
    </xf>
    <xf numFmtId="0" fontId="0" fillId="0" borderId="16" xfId="0" applyFill="1" applyBorder="1"/>
    <xf numFmtId="0" fontId="0" fillId="0" borderId="0" xfId="0" applyFill="1" applyBorder="1" applyAlignment="1">
      <alignment horizontal="center" wrapText="1"/>
    </xf>
    <xf numFmtId="0" fontId="48" fillId="0" borderId="0" xfId="0" applyFont="1" applyFill="1" applyBorder="1" applyAlignment="1">
      <alignment horizontal="center" vertical="center" wrapText="1"/>
    </xf>
    <xf numFmtId="0" fontId="0" fillId="0" borderId="0" xfId="0" quotePrefix="1" applyFill="1" applyBorder="1" applyAlignment="1">
      <alignment horizontal="center"/>
    </xf>
    <xf numFmtId="0" fontId="48" fillId="0" borderId="0" xfId="0" applyFont="1" applyFill="1" applyAlignment="1">
      <alignment horizontal="center" wrapText="1"/>
    </xf>
    <xf numFmtId="0" fontId="0" fillId="0" borderId="0" xfId="0" applyFill="1" applyAlignment="1">
      <alignment horizontal="center" wrapText="1"/>
    </xf>
    <xf numFmtId="0" fontId="5" fillId="0" borderId="23" xfId="0" applyFont="1" applyFill="1" applyBorder="1" applyAlignment="1">
      <alignment horizontal="center"/>
    </xf>
    <xf numFmtId="0" fontId="5" fillId="0" borderId="0" xfId="0" applyFont="1" applyFill="1" applyBorder="1" applyAlignment="1">
      <alignment horizontal="center"/>
    </xf>
    <xf numFmtId="1" fontId="0" fillId="0" borderId="0" xfId="0" applyNumberFormat="1"/>
    <xf numFmtId="0" fontId="46" fillId="8" borderId="14" xfId="0" applyFont="1" applyFill="1" applyBorder="1" applyAlignment="1">
      <alignment horizontal="center"/>
    </xf>
    <xf numFmtId="0" fontId="46" fillId="8" borderId="14" xfId="0" applyFont="1" applyFill="1" applyBorder="1" applyAlignment="1">
      <alignment horizontal="center" wrapText="1"/>
    </xf>
    <xf numFmtId="0" fontId="4" fillId="5" borderId="18" xfId="0" applyFont="1" applyFill="1" applyBorder="1" applyAlignment="1">
      <alignment horizontal="center" wrapText="1"/>
    </xf>
    <xf numFmtId="0" fontId="4" fillId="5" borderId="18" xfId="0" quotePrefix="1" applyFont="1" applyFill="1" applyBorder="1" applyAlignment="1">
      <alignment horizontal="center"/>
    </xf>
    <xf numFmtId="1" fontId="51" fillId="0" borderId="0" xfId="0" applyNumberFormat="1" applyFont="1" applyBorder="1"/>
    <xf numFmtId="168" fontId="0" fillId="0" borderId="0" xfId="0" applyNumberFormat="1" applyBorder="1"/>
    <xf numFmtId="168" fontId="0" fillId="0" borderId="0" xfId="0" applyNumberFormat="1"/>
    <xf numFmtId="169" fontId="0" fillId="0" borderId="0" xfId="0" applyNumberFormat="1"/>
    <xf numFmtId="0" fontId="0" fillId="8" borderId="0" xfId="0" applyFill="1" applyAlignment="1">
      <alignment vertical="center"/>
    </xf>
    <xf numFmtId="0" fontId="0" fillId="0" borderId="0" xfId="0" applyAlignment="1"/>
    <xf numFmtId="0" fontId="2" fillId="0" borderId="0" xfId="0" applyFont="1" applyFill="1" applyAlignment="1">
      <alignment vertical="center" wrapText="1"/>
    </xf>
    <xf numFmtId="0" fontId="2" fillId="0" borderId="0" xfId="0" applyFont="1" applyFill="1" applyAlignment="1">
      <alignment horizontal="center" vertical="center" wrapText="1"/>
    </xf>
    <xf numFmtId="0" fontId="0" fillId="0" borderId="0" xfId="0" applyAlignment="1">
      <alignment vertical="center" wrapText="1"/>
    </xf>
    <xf numFmtId="0" fontId="46" fillId="8" borderId="14" xfId="0" applyFont="1" applyFill="1" applyBorder="1" applyAlignment="1">
      <alignment horizontal="center"/>
    </xf>
    <xf numFmtId="0" fontId="46" fillId="8" borderId="17" xfId="0" applyFont="1" applyFill="1" applyBorder="1" applyAlignment="1">
      <alignment horizontal="center" vertical="center" wrapText="1"/>
    </xf>
    <xf numFmtId="0" fontId="46" fillId="8" borderId="14" xfId="0" applyFont="1" applyFill="1" applyBorder="1" applyAlignment="1">
      <alignment horizontal="center" wrapText="1"/>
    </xf>
    <xf numFmtId="1" fontId="0" fillId="0" borderId="0" xfId="0" applyNumberFormat="1" applyBorder="1"/>
    <xf numFmtId="165" fontId="5" fillId="0" borderId="0" xfId="0" applyNumberFormat="1" applyFont="1" applyFill="1" applyBorder="1" applyAlignment="1">
      <alignment horizontal="center"/>
    </xf>
    <xf numFmtId="0" fontId="46" fillId="8" borderId="14" xfId="0" applyFont="1" applyFill="1" applyBorder="1" applyAlignment="1">
      <alignment horizontal="center" wrapText="1"/>
    </xf>
    <xf numFmtId="1" fontId="0" fillId="0" borderId="0" xfId="0" applyNumberFormat="1"/>
    <xf numFmtId="165" fontId="0" fillId="0" borderId="0" xfId="0" applyNumberFormat="1"/>
    <xf numFmtId="0" fontId="46" fillId="8" borderId="17" xfId="0" applyFont="1" applyFill="1" applyBorder="1" applyAlignment="1">
      <alignment horizontal="center" wrapText="1"/>
    </xf>
    <xf numFmtId="0" fontId="46" fillId="8" borderId="20" xfId="0" quotePrefix="1" applyFont="1" applyFill="1" applyBorder="1" applyAlignment="1">
      <alignment horizontal="center"/>
    </xf>
    <xf numFmtId="0" fontId="46" fillId="8" borderId="14" xfId="0" applyFont="1" applyFill="1" applyBorder="1" applyAlignment="1">
      <alignment horizontal="center" vertical="center"/>
    </xf>
    <xf numFmtId="0" fontId="52" fillId="0" borderId="0" xfId="0" applyFont="1" applyFill="1"/>
    <xf numFmtId="0" fontId="52" fillId="5" borderId="18" xfId="0" applyFont="1" applyFill="1" applyBorder="1" applyAlignment="1">
      <alignment horizontal="center"/>
    </xf>
    <xf numFmtId="0" fontId="52" fillId="5" borderId="18" xfId="0" applyFont="1" applyFill="1" applyBorder="1" applyAlignment="1">
      <alignment horizontal="center" wrapText="1"/>
    </xf>
    <xf numFmtId="0" fontId="1" fillId="5" borderId="18" xfId="0" applyFont="1" applyFill="1" applyBorder="1" applyAlignment="1">
      <alignment horizontal="center" wrapText="1"/>
    </xf>
    <xf numFmtId="0" fontId="52" fillId="5" borderId="18" xfId="0" applyFont="1" applyFill="1" applyBorder="1"/>
    <xf numFmtId="0" fontId="52" fillId="5" borderId="18" xfId="0" applyFont="1" applyFill="1" applyBorder="1" applyAlignment="1">
      <alignment horizontal="center" wrapText="1"/>
    </xf>
    <xf numFmtId="1" fontId="0" fillId="0" borderId="0" xfId="0" applyNumberFormat="1"/>
    <xf numFmtId="166" fontId="0" fillId="0" borderId="0" xfId="0" applyNumberFormat="1"/>
    <xf numFmtId="166" fontId="0" fillId="0" borderId="0" xfId="0" applyNumberFormat="1"/>
    <xf numFmtId="166" fontId="0" fillId="0" borderId="0" xfId="0" applyNumberFormat="1"/>
    <xf numFmtId="165" fontId="51" fillId="0" borderId="0" xfId="0" applyNumberFormat="1" applyFont="1" applyBorder="1"/>
    <xf numFmtId="0" fontId="55" fillId="0" borderId="0" xfId="0" applyFont="1" applyFill="1" applyBorder="1" applyAlignment="1">
      <alignment horizontal="left" wrapText="1"/>
    </xf>
    <xf numFmtId="3" fontId="51" fillId="0" borderId="0" xfId="0" applyNumberFormat="1" applyFont="1"/>
    <xf numFmtId="165" fontId="51" fillId="0" borderId="0" xfId="0" applyNumberFormat="1" applyFont="1"/>
    <xf numFmtId="3" fontId="51" fillId="0" borderId="0" xfId="0" applyNumberFormat="1" applyFont="1" applyBorder="1"/>
    <xf numFmtId="0" fontId="55" fillId="0" borderId="0" xfId="0" quotePrefix="1" applyFont="1" applyFill="1" applyBorder="1" applyAlignment="1">
      <alignment horizontal="left" wrapText="1"/>
    </xf>
    <xf numFmtId="0" fontId="51" fillId="0" borderId="0" xfId="0" applyFont="1"/>
    <xf numFmtId="166" fontId="0" fillId="0" borderId="0" xfId="0" applyNumberFormat="1"/>
    <xf numFmtId="0" fontId="0" fillId="0" borderId="0" xfId="0" applyFill="1" applyAlignment="1"/>
    <xf numFmtId="0" fontId="3" fillId="0" borderId="0" xfId="0" applyFont="1" applyFill="1" applyBorder="1" applyAlignment="1">
      <alignment horizontal="center"/>
    </xf>
    <xf numFmtId="0" fontId="0" fillId="5" borderId="0" xfId="0" applyFill="1" applyAlignment="1"/>
    <xf numFmtId="0" fontId="54" fillId="0" borderId="0" xfId="0" applyFont="1" applyFill="1" applyAlignment="1">
      <alignment horizontal="center"/>
    </xf>
    <xf numFmtId="0" fontId="6" fillId="0" borderId="0" xfId="0" applyFont="1" applyBorder="1" applyAlignment="1">
      <alignment horizontal="center" wrapText="1"/>
    </xf>
    <xf numFmtId="1" fontId="14" fillId="0" borderId="0" xfId="0" applyNumberFormat="1" applyFont="1" applyBorder="1" applyAlignment="1">
      <alignment horizontal="right" wrapText="1"/>
    </xf>
    <xf numFmtId="0" fontId="6" fillId="0" borderId="0" xfId="0" applyFont="1" applyAlignment="1">
      <alignment horizontal="left" wrapText="1"/>
    </xf>
    <xf numFmtId="0" fontId="20" fillId="0" borderId="0" xfId="0" applyFont="1" applyBorder="1" applyAlignment="1">
      <alignment wrapText="1"/>
    </xf>
    <xf numFmtId="0" fontId="20" fillId="0" borderId="0" xfId="0" applyFont="1" applyBorder="1"/>
    <xf numFmtId="165" fontId="14" fillId="0" borderId="0" xfId="0" applyNumberFormat="1" applyFont="1" applyBorder="1" applyAlignment="1">
      <alignment horizontal="right" wrapText="1"/>
    </xf>
    <xf numFmtId="164" fontId="14" fillId="0" borderId="0" xfId="0" applyNumberFormat="1" applyFont="1" applyBorder="1" applyAlignment="1">
      <alignment horizontal="right" wrapText="1"/>
    </xf>
    <xf numFmtId="0" fontId="14" fillId="0" borderId="0" xfId="0" applyNumberFormat="1" applyFont="1" applyBorder="1" applyAlignment="1">
      <alignment horizontal="right" wrapText="1"/>
    </xf>
    <xf numFmtId="0" fontId="25" fillId="0" borderId="0" xfId="0" applyFont="1" applyBorder="1" applyAlignment="1">
      <alignment horizontal="right" wrapText="1"/>
    </xf>
    <xf numFmtId="166" fontId="52" fillId="0" borderId="0" xfId="0" applyNumberFormat="1" applyFont="1" applyBorder="1"/>
    <xf numFmtId="0" fontId="0" fillId="5" borderId="18" xfId="0" applyFill="1" applyBorder="1" applyAlignment="1">
      <alignment horizontal="center"/>
    </xf>
    <xf numFmtId="1" fontId="52" fillId="5" borderId="0" xfId="0" applyNumberFormat="1" applyFont="1" applyFill="1" applyBorder="1" applyAlignment="1">
      <alignment horizontal="center"/>
    </xf>
    <xf numFmtId="0" fontId="57" fillId="0" borderId="0" xfId="0" applyFont="1" applyFill="1" applyBorder="1" applyAlignment="1">
      <alignment horizontal="center"/>
    </xf>
    <xf numFmtId="1" fontId="52" fillId="0" borderId="0" xfId="0" applyNumberFormat="1" applyFont="1" applyBorder="1"/>
    <xf numFmtId="0" fontId="52" fillId="0" borderId="0" xfId="0" applyNumberFormat="1" applyFont="1" applyBorder="1"/>
    <xf numFmtId="0" fontId="6" fillId="0" borderId="0" xfId="0" applyFont="1" applyBorder="1" applyAlignment="1">
      <alignment horizontal="center" wrapText="1"/>
    </xf>
    <xf numFmtId="0" fontId="56" fillId="2" borderId="0" xfId="0" applyFont="1" applyFill="1" applyAlignment="1">
      <alignment horizontal="left" vertical="center" wrapText="1"/>
    </xf>
    <xf numFmtId="166" fontId="6" fillId="0" borderId="0" xfId="0" applyNumberFormat="1" applyFont="1" applyAlignment="1">
      <alignment horizontal="right" wrapText="1"/>
    </xf>
    <xf numFmtId="0" fontId="6" fillId="0" borderId="0" xfId="0" applyNumberFormat="1" applyFont="1" applyAlignment="1">
      <alignment horizontal="right" wrapText="1"/>
    </xf>
    <xf numFmtId="165" fontId="6" fillId="0" borderId="0" xfId="0" applyNumberFormat="1" applyFont="1" applyAlignment="1">
      <alignment horizontal="right" wrapText="1"/>
    </xf>
    <xf numFmtId="0" fontId="20" fillId="5" borderId="0" xfId="0" applyFont="1" applyFill="1" applyBorder="1" applyAlignment="1">
      <alignment horizontal="center" wrapText="1"/>
    </xf>
    <xf numFmtId="0" fontId="20" fillId="5" borderId="32" xfId="0" applyFont="1" applyFill="1" applyBorder="1" applyAlignment="1">
      <alignment horizontal="center" wrapText="1"/>
    </xf>
    <xf numFmtId="165" fontId="6" fillId="0" borderId="0" xfId="0" applyNumberFormat="1" applyFont="1" applyAlignment="1">
      <alignment horizontal="right" wrapText="1"/>
    </xf>
    <xf numFmtId="0" fontId="6" fillId="9" borderId="0" xfId="0" applyFont="1" applyFill="1" applyAlignment="1">
      <alignment wrapText="1"/>
    </xf>
    <xf numFmtId="0" fontId="9" fillId="9" borderId="0" xfId="0" applyFont="1" applyFill="1" applyAlignment="1">
      <alignment vertical="center" wrapText="1"/>
    </xf>
    <xf numFmtId="0" fontId="20" fillId="9" borderId="0" xfId="0" applyFont="1" applyFill="1" applyAlignment="1">
      <alignment wrapText="1"/>
    </xf>
    <xf numFmtId="0" fontId="20" fillId="0" borderId="0" xfId="0" applyFont="1" applyAlignment="1"/>
    <xf numFmtId="0" fontId="6" fillId="5" borderId="29" xfId="0" applyFont="1" applyFill="1" applyBorder="1" applyAlignment="1">
      <alignment horizontal="center" wrapText="1"/>
    </xf>
    <xf numFmtId="0" fontId="20" fillId="0" borderId="0" xfId="0" applyFont="1" applyAlignment="1">
      <alignment horizontal="center" wrapText="1"/>
    </xf>
    <xf numFmtId="166" fontId="0" fillId="0" borderId="0" xfId="0" applyNumberFormat="1"/>
    <xf numFmtId="0" fontId="0" fillId="5" borderId="0" xfId="0" applyFill="1"/>
    <xf numFmtId="165" fontId="51" fillId="0" borderId="0" xfId="0" applyNumberFormat="1" applyFont="1"/>
    <xf numFmtId="1" fontId="52" fillId="0" borderId="0" xfId="0" applyNumberFormat="1" applyFont="1" applyBorder="1"/>
    <xf numFmtId="1" fontId="51" fillId="0" borderId="0" xfId="0" applyNumberFormat="1" applyFont="1" applyFill="1" applyBorder="1"/>
    <xf numFmtId="0" fontId="20" fillId="9" borderId="0" xfId="0" applyFont="1" applyFill="1" applyAlignment="1">
      <alignment horizontal="center" wrapText="1"/>
    </xf>
    <xf numFmtId="166" fontId="6" fillId="0" borderId="0" xfId="0" applyNumberFormat="1" applyFont="1" applyAlignment="1">
      <alignment wrapText="1"/>
    </xf>
    <xf numFmtId="166" fontId="6" fillId="0" borderId="0" xfId="0" applyNumberFormat="1" applyFont="1" applyAlignment="1">
      <alignment wrapText="1"/>
    </xf>
    <xf numFmtId="166" fontId="20" fillId="0" borderId="0" xfId="0" applyNumberFormat="1" applyFont="1" applyAlignment="1">
      <alignment vertical="center" wrapText="1"/>
    </xf>
    <xf numFmtId="166" fontId="20" fillId="0" borderId="0" xfId="0" applyNumberFormat="1" applyFont="1" applyAlignment="1">
      <alignment vertical="center" wrapText="1"/>
    </xf>
    <xf numFmtId="170" fontId="6" fillId="0" borderId="0" xfId="0" applyNumberFormat="1" applyFont="1" applyAlignment="1">
      <alignment wrapText="1"/>
    </xf>
    <xf numFmtId="0" fontId="20" fillId="0" borderId="0" xfId="0" applyFont="1" applyAlignment="1">
      <alignment vertical="center" wrapText="1"/>
    </xf>
    <xf numFmtId="0" fontId="6" fillId="9" borderId="26" xfId="0" applyFont="1" applyFill="1" applyBorder="1" applyAlignment="1">
      <alignment horizontal="center" wrapText="1"/>
    </xf>
    <xf numFmtId="0" fontId="6" fillId="9" borderId="27" xfId="0" applyFont="1" applyFill="1" applyBorder="1" applyAlignment="1">
      <alignment horizontal="center" wrapText="1"/>
    </xf>
    <xf numFmtId="0" fontId="6" fillId="9" borderId="28" xfId="0" applyFont="1" applyFill="1" applyBorder="1" applyAlignment="1">
      <alignment horizontal="center" wrapText="1"/>
    </xf>
    <xf numFmtId="9" fontId="20" fillId="9" borderId="36" xfId="0" applyNumberFormat="1" applyFont="1" applyFill="1" applyBorder="1" applyAlignment="1">
      <alignment horizontal="center" vertical="center" wrapText="1"/>
    </xf>
    <xf numFmtId="9" fontId="6" fillId="9" borderId="34" xfId="0" applyNumberFormat="1" applyFont="1" applyFill="1" applyBorder="1" applyAlignment="1">
      <alignment horizontal="center" wrapText="1"/>
    </xf>
    <xf numFmtId="9" fontId="6" fillId="9" borderId="34" xfId="0" applyNumberFormat="1" applyFont="1" applyFill="1" applyBorder="1" applyAlignment="1">
      <alignment horizontal="center" vertical="center" wrapText="1"/>
    </xf>
    <xf numFmtId="9" fontId="6" fillId="9" borderId="37" xfId="0" applyNumberFormat="1" applyFont="1" applyFill="1" applyBorder="1" applyAlignment="1">
      <alignment horizontal="center" wrapText="1"/>
    </xf>
    <xf numFmtId="165" fontId="6" fillId="0" borderId="33" xfId="0" applyNumberFormat="1" applyFont="1" applyBorder="1" applyAlignment="1">
      <alignment wrapText="1"/>
    </xf>
    <xf numFmtId="165" fontId="6" fillId="0" borderId="16" xfId="0" applyNumberFormat="1" applyFont="1" applyBorder="1" applyAlignment="1">
      <alignment wrapText="1"/>
    </xf>
    <xf numFmtId="165" fontId="6" fillId="0" borderId="23" xfId="0" applyNumberFormat="1" applyFont="1" applyBorder="1" applyAlignment="1">
      <alignment wrapText="1"/>
    </xf>
    <xf numFmtId="165" fontId="6" fillId="0" borderId="32" xfId="0" applyNumberFormat="1" applyFont="1" applyBorder="1" applyAlignment="1">
      <alignment wrapText="1"/>
    </xf>
    <xf numFmtId="165" fontId="6" fillId="0" borderId="0" xfId="0" applyNumberFormat="1" applyFont="1" applyBorder="1" applyAlignment="1">
      <alignment wrapText="1"/>
    </xf>
    <xf numFmtId="165" fontId="6" fillId="0" borderId="29" xfId="0" applyNumberFormat="1" applyFont="1" applyBorder="1" applyAlignment="1">
      <alignment wrapText="1"/>
    </xf>
    <xf numFmtId="165" fontId="20" fillId="0" borderId="32" xfId="0" applyNumberFormat="1" applyFont="1" applyBorder="1" applyAlignment="1">
      <alignment vertical="center" wrapText="1"/>
    </xf>
    <xf numFmtId="165" fontId="20" fillId="0" borderId="0" xfId="0" applyNumberFormat="1" applyFont="1" applyBorder="1" applyAlignment="1">
      <alignment vertical="center" wrapText="1"/>
    </xf>
    <xf numFmtId="165" fontId="20" fillId="0" borderId="29" xfId="0" applyNumberFormat="1" applyFont="1" applyBorder="1" applyAlignment="1">
      <alignment vertical="center" wrapText="1"/>
    </xf>
    <xf numFmtId="165" fontId="6" fillId="0" borderId="35" xfId="0" applyNumberFormat="1" applyFont="1" applyBorder="1" applyAlignment="1">
      <alignment wrapText="1"/>
    </xf>
    <xf numFmtId="165" fontId="6" fillId="0" borderId="13" xfId="0" applyNumberFormat="1" applyFont="1" applyBorder="1" applyAlignment="1">
      <alignment wrapText="1"/>
    </xf>
    <xf numFmtId="165" fontId="6" fillId="0" borderId="31" xfId="0" applyNumberFormat="1" applyFont="1" applyBorder="1" applyAlignment="1">
      <alignment wrapText="1"/>
    </xf>
    <xf numFmtId="0" fontId="6" fillId="9" borderId="34" xfId="0" applyFont="1" applyFill="1" applyBorder="1" applyAlignment="1">
      <alignment wrapText="1"/>
    </xf>
    <xf numFmtId="0" fontId="9" fillId="9" borderId="34" xfId="0" applyFont="1" applyFill="1" applyBorder="1" applyAlignment="1">
      <alignment vertical="center" wrapText="1"/>
    </xf>
    <xf numFmtId="0" fontId="6" fillId="9" borderId="37" xfId="0" applyFont="1" applyFill="1" applyBorder="1" applyAlignment="1">
      <alignment wrapText="1"/>
    </xf>
    <xf numFmtId="2" fontId="6" fillId="0" borderId="28" xfId="0" applyNumberFormat="1" applyFont="1" applyBorder="1" applyAlignment="1">
      <alignment horizontal="center" wrapText="1"/>
    </xf>
    <xf numFmtId="2" fontId="20" fillId="0" borderId="0" xfId="0" applyNumberFormat="1" applyFont="1" applyBorder="1" applyAlignment="1">
      <alignment horizontal="right" wrapText="1"/>
    </xf>
    <xf numFmtId="0" fontId="20" fillId="0" borderId="0" xfId="0" applyFont="1" applyBorder="1" applyAlignment="1">
      <alignment horizontal="right"/>
    </xf>
    <xf numFmtId="166" fontId="6" fillId="0" borderId="0" xfId="0" applyNumberFormat="1" applyFont="1" applyBorder="1" applyAlignment="1">
      <alignment horizontal="left" wrapText="1"/>
    </xf>
    <xf numFmtId="0" fontId="20" fillId="0" borderId="0" xfId="0" applyFont="1" applyBorder="1" applyAlignment="1">
      <alignment horizontal="left"/>
    </xf>
    <xf numFmtId="0" fontId="20" fillId="0" borderId="0" xfId="0" applyFont="1" applyAlignment="1">
      <alignment horizontal="center"/>
    </xf>
    <xf numFmtId="0" fontId="20" fillId="0" borderId="0" xfId="0" applyFont="1" applyAlignment="1">
      <alignment horizontal="right" wrapText="1"/>
    </xf>
    <xf numFmtId="1" fontId="62" fillId="0" borderId="35" xfId="0" applyNumberFormat="1" applyFont="1" applyBorder="1" applyAlignment="1">
      <alignment horizontal="right" wrapText="1"/>
    </xf>
    <xf numFmtId="1" fontId="62" fillId="0" borderId="13" xfId="0" applyNumberFormat="1" applyFont="1" applyBorder="1" applyAlignment="1">
      <alignment horizontal="right" wrapText="1"/>
    </xf>
    <xf numFmtId="0" fontId="20" fillId="0" borderId="29" xfId="0" applyFont="1" applyBorder="1" applyAlignment="1">
      <alignment horizontal="center" wrapText="1"/>
    </xf>
    <xf numFmtId="0" fontId="6" fillId="0" borderId="26" xfId="0" applyFont="1" applyBorder="1" applyAlignment="1">
      <alignment horizontal="center" wrapText="1"/>
    </xf>
    <xf numFmtId="0" fontId="6" fillId="0" borderId="27" xfId="0" applyFont="1" applyBorder="1" applyAlignment="1">
      <alignment horizontal="center" wrapText="1"/>
    </xf>
    <xf numFmtId="1" fontId="20" fillId="0" borderId="27" xfId="0" applyNumberFormat="1" applyFont="1" applyBorder="1" applyAlignment="1">
      <alignment horizontal="right" wrapText="1"/>
    </xf>
    <xf numFmtId="1" fontId="20" fillId="0" borderId="28" xfId="0" applyNumberFormat="1" applyFont="1" applyBorder="1" applyAlignment="1">
      <alignment horizontal="right" wrapText="1"/>
    </xf>
    <xf numFmtId="1" fontId="62" fillId="0" borderId="26" xfId="0" applyNumberFormat="1" applyFont="1" applyBorder="1" applyAlignment="1">
      <alignment horizontal="right" wrapText="1"/>
    </xf>
    <xf numFmtId="1" fontId="62" fillId="0" borderId="27" xfId="0" applyNumberFormat="1" applyFont="1" applyBorder="1" applyAlignment="1">
      <alignment horizontal="right" wrapText="1"/>
    </xf>
    <xf numFmtId="0" fontId="25" fillId="0" borderId="26" xfId="0" applyFont="1" applyFill="1" applyBorder="1" applyAlignment="1">
      <alignment horizontal="center" wrapText="1"/>
    </xf>
    <xf numFmtId="0" fontId="25" fillId="0" borderId="27" xfId="0" applyFont="1" applyFill="1" applyBorder="1" applyAlignment="1">
      <alignment horizontal="center" wrapText="1"/>
    </xf>
    <xf numFmtId="0" fontId="25" fillId="0" borderId="28" xfId="0" applyFont="1" applyFill="1" applyBorder="1" applyAlignment="1">
      <alignment horizontal="center" wrapText="1"/>
    </xf>
    <xf numFmtId="0" fontId="25" fillId="0" borderId="16" xfId="0" applyFont="1" applyFill="1" applyBorder="1" applyAlignment="1">
      <alignment horizontal="center" wrapText="1"/>
    </xf>
    <xf numFmtId="0" fontId="25" fillId="0" borderId="33" xfId="0" applyFont="1" applyFill="1" applyBorder="1" applyAlignment="1">
      <alignment horizontal="center" wrapText="1"/>
    </xf>
    <xf numFmtId="0" fontId="25" fillId="0" borderId="23" xfId="0" applyFont="1" applyFill="1" applyBorder="1" applyAlignment="1">
      <alignment horizontal="center" wrapText="1"/>
    </xf>
    <xf numFmtId="0" fontId="20" fillId="5" borderId="29" xfId="0" applyFont="1" applyFill="1" applyBorder="1" applyAlignment="1">
      <alignment horizontal="center"/>
    </xf>
    <xf numFmtId="1" fontId="20" fillId="0" borderId="26" xfId="0" applyNumberFormat="1" applyFont="1" applyBorder="1" applyAlignment="1">
      <alignment horizontal="right" wrapText="1"/>
    </xf>
    <xf numFmtId="166" fontId="6" fillId="0" borderId="27" xfId="0" applyNumberFormat="1" applyFont="1" applyBorder="1" applyAlignment="1">
      <alignment horizontal="right" wrapText="1"/>
    </xf>
    <xf numFmtId="166" fontId="20" fillId="0" borderId="27" xfId="0" applyNumberFormat="1" applyFont="1" applyBorder="1" applyAlignment="1">
      <alignment horizontal="right" wrapText="1"/>
    </xf>
    <xf numFmtId="0" fontId="25" fillId="0" borderId="0" xfId="0" applyNumberFormat="1" applyFont="1" applyAlignment="1">
      <alignment horizontal="right" wrapText="1"/>
    </xf>
    <xf numFmtId="165" fontId="25" fillId="0" borderId="0" xfId="0" applyNumberFormat="1" applyFont="1" applyAlignment="1">
      <alignment horizontal="right" wrapText="1"/>
    </xf>
    <xf numFmtId="1" fontId="62" fillId="0" borderId="28" xfId="0" applyNumberFormat="1" applyFont="1" applyBorder="1" applyAlignment="1">
      <alignment horizontal="right" wrapText="1"/>
    </xf>
    <xf numFmtId="166" fontId="6" fillId="9" borderId="0" xfId="0" applyNumberFormat="1" applyFont="1" applyFill="1" applyAlignment="1">
      <alignment wrapText="1"/>
    </xf>
    <xf numFmtId="0" fontId="59" fillId="9" borderId="0" xfId="0" applyFont="1" applyFill="1" applyBorder="1" applyAlignment="1">
      <alignment horizontal="left"/>
    </xf>
    <xf numFmtId="0" fontId="59" fillId="9" borderId="0" xfId="0" applyFont="1" applyFill="1" applyBorder="1" applyAlignment="1">
      <alignment horizontal="center"/>
    </xf>
    <xf numFmtId="0" fontId="25" fillId="9" borderId="0" xfId="0" applyFont="1" applyFill="1" applyBorder="1" applyAlignment="1">
      <alignment horizontal="center" wrapText="1"/>
    </xf>
    <xf numFmtId="0" fontId="59" fillId="9" borderId="0" xfId="0" applyFont="1" applyFill="1" applyBorder="1" applyAlignment="1">
      <alignment horizontal="right"/>
    </xf>
    <xf numFmtId="0" fontId="59" fillId="9" borderId="0" xfId="0" applyFont="1" applyFill="1" applyBorder="1" applyAlignment="1">
      <alignment horizontal="right" wrapText="1"/>
    </xf>
    <xf numFmtId="0" fontId="8" fillId="4" borderId="4"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7" fillId="3" borderId="0" xfId="0" applyFont="1" applyFill="1" applyAlignment="1">
      <alignment horizontal="center" vertical="center" wrapText="1"/>
    </xf>
    <xf numFmtId="0" fontId="24" fillId="3" borderId="4" xfId="0" applyFont="1" applyFill="1" applyBorder="1" applyAlignment="1">
      <alignment horizontal="center" vertical="center" wrapText="1"/>
    </xf>
    <xf numFmtId="0" fontId="24" fillId="3" borderId="0"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0" fillId="0" borderId="0" xfId="0" applyAlignment="1">
      <alignment vertical="center" wrapText="1"/>
    </xf>
    <xf numFmtId="0" fontId="20" fillId="5" borderId="0" xfId="0" applyFont="1" applyFill="1" applyAlignment="1">
      <alignment horizontal="center" wrapText="1"/>
    </xf>
    <xf numFmtId="0" fontId="7" fillId="2" borderId="0" xfId="0" applyFont="1" applyFill="1" applyAlignment="1">
      <alignment horizontal="center" vertical="center" wrapText="1"/>
    </xf>
    <xf numFmtId="0" fontId="24"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0" fillId="0" borderId="0" xfId="0" applyBorder="1" applyAlignment="1">
      <alignment horizontal="center" vertical="center" wrapText="1"/>
    </xf>
    <xf numFmtId="0" fontId="6" fillId="0" borderId="0" xfId="0" applyFont="1" applyBorder="1" applyAlignment="1">
      <alignment horizontal="center" wrapText="1"/>
    </xf>
    <xf numFmtId="0" fontId="56" fillId="2" borderId="0" xfId="0" applyFont="1" applyFill="1" applyAlignment="1">
      <alignment horizontal="left" vertical="center" wrapText="1"/>
    </xf>
    <xf numFmtId="0" fontId="20" fillId="5" borderId="13" xfId="0" applyFont="1" applyFill="1" applyBorder="1" applyAlignment="1">
      <alignment horizontal="center" wrapText="1"/>
    </xf>
    <xf numFmtId="0" fontId="6" fillId="5" borderId="13" xfId="0" applyFont="1" applyFill="1" applyBorder="1" applyAlignment="1">
      <alignment horizontal="center" wrapText="1"/>
    </xf>
    <xf numFmtId="0" fontId="21" fillId="2" borderId="0" xfId="0" applyFont="1" applyFill="1" applyAlignment="1">
      <alignment horizontal="center" vertical="center" wrapText="1"/>
    </xf>
    <xf numFmtId="0" fontId="0" fillId="0" borderId="0" xfId="0" applyAlignment="1">
      <alignment wrapText="1"/>
    </xf>
    <xf numFmtId="0" fontId="20" fillId="0" borderId="0" xfId="0" applyFont="1" applyAlignment="1">
      <alignment horizontal="left" wrapText="1"/>
    </xf>
    <xf numFmtId="0" fontId="20" fillId="0" borderId="0" xfId="0" applyFont="1" applyBorder="1" applyAlignment="1">
      <alignment horizontal="left" wrapText="1"/>
    </xf>
    <xf numFmtId="0" fontId="28" fillId="6" borderId="0" xfId="0" applyFont="1" applyFill="1" applyAlignment="1">
      <alignment horizontal="center" wrapText="1"/>
    </xf>
    <xf numFmtId="0" fontId="25" fillId="0" borderId="26" xfId="0" applyFont="1" applyFill="1" applyBorder="1" applyAlignment="1">
      <alignment horizontal="center" wrapText="1"/>
    </xf>
    <xf numFmtId="0" fontId="63" fillId="0" borderId="27" xfId="0" applyFont="1" applyFill="1" applyBorder="1" applyAlignment="1">
      <alignment horizontal="center" wrapText="1"/>
    </xf>
    <xf numFmtId="0" fontId="63" fillId="0" borderId="28" xfId="0" applyFont="1" applyFill="1" applyBorder="1" applyAlignment="1">
      <alignment horizontal="center" wrapText="1"/>
    </xf>
    <xf numFmtId="0" fontId="25" fillId="0" borderId="32" xfId="0" applyFont="1" applyFill="1" applyBorder="1" applyAlignment="1">
      <alignment horizontal="center" wrapText="1"/>
    </xf>
    <xf numFmtId="0" fontId="63" fillId="0" borderId="0" xfId="0" applyFont="1" applyFill="1" applyBorder="1" applyAlignment="1">
      <alignment horizontal="center" wrapText="1"/>
    </xf>
    <xf numFmtId="0" fontId="63" fillId="0" borderId="29" xfId="0" applyFont="1" applyFill="1" applyBorder="1" applyAlignment="1">
      <alignment horizontal="center" wrapText="1"/>
    </xf>
    <xf numFmtId="0" fontId="63" fillId="0" borderId="32" xfId="0" applyFont="1" applyFill="1" applyBorder="1" applyAlignment="1">
      <alignment horizontal="center" wrapText="1"/>
    </xf>
    <xf numFmtId="0" fontId="25" fillId="0" borderId="33" xfId="0" applyFont="1" applyFill="1" applyBorder="1" applyAlignment="1">
      <alignment horizontal="center" wrapText="1"/>
    </xf>
    <xf numFmtId="0" fontId="63" fillId="0" borderId="16" xfId="0" applyFont="1" applyFill="1" applyBorder="1" applyAlignment="1">
      <alignment horizontal="center" wrapText="1"/>
    </xf>
    <xf numFmtId="0" fontId="63" fillId="0" borderId="23" xfId="0" applyFont="1" applyFill="1" applyBorder="1" applyAlignment="1">
      <alignment horizontal="center" wrapText="1"/>
    </xf>
    <xf numFmtId="0" fontId="61" fillId="0" borderId="26" xfId="0" applyFont="1" applyBorder="1" applyAlignment="1">
      <alignment horizontal="center" wrapText="1"/>
    </xf>
    <xf numFmtId="0" fontId="60" fillId="0" borderId="27" xfId="0" applyFont="1" applyBorder="1" applyAlignment="1">
      <alignment horizontal="center" wrapText="1"/>
    </xf>
    <xf numFmtId="0" fontId="60" fillId="0" borderId="28" xfId="0" applyFont="1" applyBorder="1" applyAlignment="1">
      <alignment horizontal="center" wrapText="1"/>
    </xf>
    <xf numFmtId="0" fontId="0" fillId="0" borderId="0" xfId="0" applyAlignment="1">
      <alignment horizontal="center" wrapText="1"/>
    </xf>
    <xf numFmtId="0" fontId="0" fillId="0" borderId="0" xfId="0" applyAlignment="1">
      <alignment horizontal="center" vertical="center" wrapText="1"/>
    </xf>
    <xf numFmtId="0" fontId="20" fillId="0" borderId="26" xfId="0" applyFont="1" applyBorder="1" applyAlignment="1">
      <alignment horizontal="center" wrapText="1"/>
    </xf>
    <xf numFmtId="0" fontId="0" fillId="0" borderId="27" xfId="0" applyBorder="1" applyAlignment="1">
      <alignment horizontal="center" wrapText="1"/>
    </xf>
    <xf numFmtId="0" fontId="20" fillId="5" borderId="32" xfId="0" applyFont="1" applyFill="1" applyBorder="1" applyAlignment="1">
      <alignment horizontal="center" wrapText="1"/>
    </xf>
    <xf numFmtId="0" fontId="20" fillId="5" borderId="0" xfId="0" applyFont="1" applyFill="1" applyBorder="1" applyAlignment="1">
      <alignment horizontal="center" wrapText="1"/>
    </xf>
    <xf numFmtId="0" fontId="0" fillId="0" borderId="32" xfId="0" applyBorder="1" applyAlignment="1">
      <alignment horizontal="center" wrapText="1"/>
    </xf>
    <xf numFmtId="0" fontId="0" fillId="0" borderId="0" xfId="0" applyBorder="1" applyAlignment="1">
      <alignment horizontal="center" wrapText="1"/>
    </xf>
    <xf numFmtId="0" fontId="20" fillId="5" borderId="29" xfId="0" applyFont="1" applyFill="1" applyBorder="1" applyAlignment="1">
      <alignment horizontal="center" wrapText="1"/>
    </xf>
    <xf numFmtId="0" fontId="0" fillId="0" borderId="29" xfId="0" applyBorder="1" applyAlignment="1">
      <alignment horizontal="center" wrapText="1"/>
    </xf>
    <xf numFmtId="0" fontId="58" fillId="0" borderId="13" xfId="0" applyFont="1" applyBorder="1" applyAlignment="1">
      <alignment horizontal="center" wrapText="1"/>
    </xf>
    <xf numFmtId="0" fontId="6" fillId="9" borderId="36" xfId="0" applyFont="1" applyFill="1" applyBorder="1" applyAlignment="1">
      <alignment wrapText="1"/>
    </xf>
    <xf numFmtId="0" fontId="6" fillId="9" borderId="34" xfId="0" applyFont="1" applyFill="1" applyBorder="1" applyAlignment="1">
      <alignment wrapText="1"/>
    </xf>
    <xf numFmtId="0" fontId="6" fillId="9" borderId="37" xfId="0" applyFont="1" applyFill="1" applyBorder="1" applyAlignment="1">
      <alignment wrapText="1"/>
    </xf>
    <xf numFmtId="0" fontId="58" fillId="0" borderId="0" xfId="0" applyFont="1" applyBorder="1" applyAlignment="1">
      <alignment horizontal="center" wrapText="1"/>
    </xf>
    <xf numFmtId="0" fontId="20" fillId="9" borderId="26" xfId="0" applyFont="1" applyFill="1" applyBorder="1" applyAlignment="1">
      <alignment horizontal="center" wrapText="1"/>
    </xf>
    <xf numFmtId="0" fontId="6" fillId="9" borderId="27" xfId="0" applyFont="1" applyFill="1" applyBorder="1" applyAlignment="1">
      <alignment horizontal="center" wrapText="1"/>
    </xf>
    <xf numFmtId="0" fontId="6" fillId="9" borderId="28" xfId="0" applyFont="1" applyFill="1" applyBorder="1" applyAlignment="1">
      <alignment horizontal="center" wrapText="1"/>
    </xf>
    <xf numFmtId="0" fontId="20" fillId="9" borderId="35" xfId="0" applyFont="1" applyFill="1" applyBorder="1" applyAlignment="1">
      <alignment horizontal="center" wrapText="1"/>
    </xf>
    <xf numFmtId="0" fontId="6" fillId="9" borderId="13" xfId="0" applyFont="1" applyFill="1" applyBorder="1" applyAlignment="1">
      <alignment horizontal="center" wrapText="1"/>
    </xf>
    <xf numFmtId="0" fontId="6" fillId="9" borderId="31" xfId="0" applyFont="1" applyFill="1" applyBorder="1" applyAlignment="1">
      <alignment horizontal="center" wrapText="1"/>
    </xf>
    <xf numFmtId="0" fontId="20" fillId="9" borderId="36" xfId="0" applyFont="1" applyFill="1" applyBorder="1" applyAlignment="1">
      <alignment horizontal="center" wrapText="1"/>
    </xf>
    <xf numFmtId="0" fontId="0" fillId="0" borderId="34" xfId="0" applyBorder="1" applyAlignment="1">
      <alignment wrapText="1"/>
    </xf>
    <xf numFmtId="0" fontId="0" fillId="0" borderId="37" xfId="0" applyBorder="1" applyAlignment="1">
      <alignment wrapText="1"/>
    </xf>
    <xf numFmtId="0" fontId="20" fillId="5" borderId="26" xfId="0" applyFont="1" applyFill="1" applyBorder="1" applyAlignment="1">
      <alignment horizontal="center" wrapText="1"/>
    </xf>
    <xf numFmtId="0" fontId="0" fillId="0" borderId="28" xfId="0" applyBorder="1" applyAlignment="1">
      <alignment horizontal="center" wrapText="1"/>
    </xf>
    <xf numFmtId="0" fontId="24" fillId="2" borderId="13" xfId="0" applyFont="1" applyFill="1" applyBorder="1" applyAlignment="1">
      <alignment horizontal="center" vertical="center" wrapText="1"/>
    </xf>
    <xf numFmtId="0" fontId="0" fillId="0" borderId="13" xfId="0" applyBorder="1" applyAlignment="1">
      <alignment horizontal="center" vertical="center" wrapText="1"/>
    </xf>
    <xf numFmtId="0" fontId="58" fillId="0" borderId="0" xfId="0" applyFont="1" applyAlignment="1">
      <alignment horizontal="center" wrapText="1"/>
    </xf>
    <xf numFmtId="0" fontId="60" fillId="0" borderId="0" xfId="0" applyFont="1" applyAlignment="1">
      <alignment horizontal="center" wrapText="1"/>
    </xf>
    <xf numFmtId="167" fontId="42" fillId="6" borderId="0" xfId="0" applyNumberFormat="1" applyFont="1" applyFill="1" applyAlignment="1" applyProtection="1">
      <alignment horizontal="center" wrapText="1"/>
    </xf>
    <xf numFmtId="0" fontId="43" fillId="6" borderId="0" xfId="0" applyFont="1" applyFill="1" applyAlignment="1">
      <alignment wrapText="1"/>
    </xf>
    <xf numFmtId="0" fontId="0" fillId="6" borderId="0" xfId="0" applyFill="1" applyAlignment="1">
      <alignment wrapText="1"/>
    </xf>
    <xf numFmtId="1" fontId="0" fillId="0" borderId="0" xfId="0" applyNumberFormat="1" applyAlignment="1">
      <alignment horizontal="center" wrapText="1"/>
    </xf>
    <xf numFmtId="0" fontId="0" fillId="5" borderId="0" xfId="0" applyFill="1" applyAlignment="1">
      <alignment horizontal="center" wrapText="1"/>
    </xf>
    <xf numFmtId="0" fontId="45" fillId="8" borderId="0" xfId="0" applyFont="1" applyFill="1" applyAlignment="1">
      <alignment horizontal="center" wrapText="1"/>
    </xf>
    <xf numFmtId="0" fontId="46" fillId="8" borderId="0" xfId="0" applyFont="1" applyFill="1" applyAlignment="1">
      <alignment wrapText="1"/>
    </xf>
    <xf numFmtId="0" fontId="0" fillId="5" borderId="18" xfId="0" applyFill="1" applyBorder="1" applyAlignment="1">
      <alignment horizontal="center" wrapText="1"/>
    </xf>
    <xf numFmtId="0" fontId="0" fillId="0" borderId="18" xfId="0" applyBorder="1" applyAlignment="1">
      <alignment wrapText="1"/>
    </xf>
    <xf numFmtId="0" fontId="0" fillId="5" borderId="18" xfId="0" applyFill="1" applyBorder="1" applyAlignment="1">
      <alignment horizontal="center" vertical="center" wrapText="1"/>
    </xf>
    <xf numFmtId="0" fontId="0" fillId="0" borderId="18" xfId="0" applyBorder="1" applyAlignment="1">
      <alignment vertical="center" wrapText="1"/>
    </xf>
    <xf numFmtId="0" fontId="48" fillId="5" borderId="0" xfId="0" applyFont="1" applyFill="1" applyAlignment="1">
      <alignment horizontal="center" wrapText="1"/>
    </xf>
    <xf numFmtId="0" fontId="48" fillId="5" borderId="18" xfId="0" applyFont="1" applyFill="1" applyBorder="1" applyAlignment="1">
      <alignment horizontal="center" vertical="center" wrapText="1"/>
    </xf>
    <xf numFmtId="0" fontId="46" fillId="8" borderId="14" xfId="0" applyFont="1" applyFill="1" applyBorder="1" applyAlignment="1">
      <alignment horizontal="center" wrapText="1"/>
    </xf>
    <xf numFmtId="0" fontId="4" fillId="5" borderId="18" xfId="0" applyFont="1" applyFill="1" applyBorder="1" applyAlignment="1">
      <alignment horizontal="center" vertical="center" wrapText="1"/>
    </xf>
    <xf numFmtId="0" fontId="0" fillId="8" borderId="0" xfId="0" applyFill="1" applyAlignment="1">
      <alignment wrapText="1"/>
    </xf>
    <xf numFmtId="0" fontId="45" fillId="8" borderId="0" xfId="0" applyFont="1" applyFill="1" applyAlignment="1">
      <alignment horizontal="center" vertical="center" wrapText="1"/>
    </xf>
    <xf numFmtId="0" fontId="46" fillId="8" borderId="0" xfId="0" applyFont="1" applyFill="1" applyAlignment="1">
      <alignment vertical="center" wrapText="1"/>
    </xf>
    <xf numFmtId="0" fontId="46" fillId="8" borderId="17" xfId="0" applyFont="1" applyFill="1" applyBorder="1" applyAlignment="1">
      <alignment horizontal="center" vertical="center" wrapText="1"/>
    </xf>
    <xf numFmtId="0" fontId="46" fillId="8" borderId="25" xfId="0" applyFont="1" applyFill="1" applyBorder="1" applyAlignment="1">
      <alignment horizontal="center" vertical="center" wrapText="1"/>
    </xf>
    <xf numFmtId="0" fontId="0" fillId="0" borderId="24" xfId="0" applyBorder="1" applyAlignment="1">
      <alignment horizontal="center" vertical="center" wrapText="1"/>
    </xf>
    <xf numFmtId="0" fontId="3" fillId="5" borderId="18" xfId="0" applyFont="1" applyFill="1" applyBorder="1" applyAlignment="1">
      <alignment horizontal="center" wrapText="1"/>
    </xf>
    <xf numFmtId="0" fontId="52" fillId="5" borderId="18" xfId="0" applyFont="1" applyFill="1" applyBorder="1" applyAlignment="1">
      <alignment wrapText="1"/>
    </xf>
    <xf numFmtId="0" fontId="46" fillId="8" borderId="24" xfId="0" applyFont="1" applyFill="1" applyBorder="1" applyAlignment="1">
      <alignment horizontal="center" vertical="center" wrapText="1"/>
    </xf>
    <xf numFmtId="0" fontId="3" fillId="5" borderId="26" xfId="0" applyFont="1" applyFill="1" applyBorder="1" applyAlignment="1">
      <alignment horizontal="center" wrapText="1"/>
    </xf>
    <xf numFmtId="0" fontId="3" fillId="5" borderId="27" xfId="0" applyFont="1" applyFill="1" applyBorder="1" applyAlignment="1">
      <alignment horizontal="center" wrapText="1"/>
    </xf>
    <xf numFmtId="0" fontId="3" fillId="5" borderId="28" xfId="0" applyFont="1" applyFill="1" applyBorder="1" applyAlignment="1">
      <alignment horizontal="center" wrapText="1"/>
    </xf>
    <xf numFmtId="0" fontId="46" fillId="8" borderId="20" xfId="0" applyFont="1" applyFill="1" applyBorder="1" applyAlignment="1">
      <alignment horizontal="center" wrapText="1"/>
    </xf>
    <xf numFmtId="0" fontId="46" fillId="8" borderId="21" xfId="0" applyFont="1" applyFill="1" applyBorder="1" applyAlignment="1">
      <alignment horizontal="center" wrapText="1"/>
    </xf>
    <xf numFmtId="0" fontId="0" fillId="0" borderId="22" xfId="0" applyBorder="1" applyAlignment="1">
      <alignment horizontal="center" wrapText="1"/>
    </xf>
    <xf numFmtId="0" fontId="46" fillId="8" borderId="17" xfId="0" applyFont="1" applyFill="1" applyBorder="1" applyAlignment="1">
      <alignment horizontal="center" vertical="center"/>
    </xf>
    <xf numFmtId="0" fontId="46" fillId="8" borderId="24" xfId="0" applyFont="1" applyFill="1" applyBorder="1" applyAlignment="1">
      <alignment horizontal="center" vertical="center"/>
    </xf>
    <xf numFmtId="0" fontId="46" fillId="8" borderId="14" xfId="0" applyFont="1" applyFill="1" applyBorder="1" applyAlignment="1">
      <alignment horizontal="center"/>
    </xf>
    <xf numFmtId="0" fontId="43" fillId="8" borderId="17" xfId="0" applyFont="1" applyFill="1" applyBorder="1" applyAlignment="1">
      <alignment horizontal="center" wrapText="1"/>
    </xf>
    <xf numFmtId="0" fontId="43" fillId="8" borderId="24" xfId="0" applyFont="1" applyFill="1" applyBorder="1" applyAlignment="1">
      <alignment horizontal="center" wrapText="1"/>
    </xf>
    <xf numFmtId="0" fontId="53" fillId="8" borderId="0" xfId="0" applyFont="1" applyFill="1" applyAlignment="1">
      <alignment horizontal="center" wrapText="1"/>
    </xf>
    <xf numFmtId="0" fontId="53" fillId="8" borderId="29" xfId="0" applyFont="1" applyFill="1" applyBorder="1" applyAlignment="1">
      <alignment horizontal="center" wrapText="1"/>
    </xf>
    <xf numFmtId="0" fontId="0" fillId="5" borderId="26" xfId="0" applyFill="1" applyBorder="1" applyAlignment="1">
      <alignment horizontal="center" wrapText="1"/>
    </xf>
    <xf numFmtId="0" fontId="0" fillId="5" borderId="27" xfId="0" applyFill="1" applyBorder="1" applyAlignment="1">
      <alignment horizontal="center" wrapText="1"/>
    </xf>
    <xf numFmtId="0" fontId="0" fillId="5" borderId="28" xfId="0" applyFill="1" applyBorder="1" applyAlignment="1">
      <alignment horizontal="center" wrapText="1"/>
    </xf>
    <xf numFmtId="0" fontId="46" fillId="8" borderId="17" xfId="0" applyFont="1" applyFill="1" applyBorder="1" applyAlignment="1">
      <alignment horizontal="center" wrapText="1"/>
    </xf>
    <xf numFmtId="0" fontId="46" fillId="8" borderId="25" xfId="0" applyFont="1" applyFill="1" applyBorder="1" applyAlignment="1">
      <alignment horizontal="center" wrapText="1"/>
    </xf>
    <xf numFmtId="0" fontId="46" fillId="8" borderId="24" xfId="0" applyFont="1" applyFill="1" applyBorder="1" applyAlignment="1">
      <alignment horizontal="center" wrapText="1"/>
    </xf>
    <xf numFmtId="0" fontId="0" fillId="0" borderId="30" xfId="0" applyBorder="1" applyAlignment="1">
      <alignment horizontal="center" wrapText="1"/>
    </xf>
    <xf numFmtId="0" fontId="0" fillId="5" borderId="0" xfId="0" applyFill="1" applyAlignment="1">
      <alignment wrapText="1"/>
    </xf>
    <xf numFmtId="1" fontId="51" fillId="0" borderId="0" xfId="0" applyNumberFormat="1" applyFont="1" applyBorder="1" applyAlignment="1">
      <alignment horizontal="center" wrapText="1"/>
    </xf>
    <xf numFmtId="0" fontId="54" fillId="5" borderId="0" xfId="0" applyFont="1" applyFill="1" applyAlignment="1">
      <alignment horizontal="center" wrapText="1"/>
    </xf>
    <xf numFmtId="0" fontId="3" fillId="5" borderId="32" xfId="0" applyFont="1" applyFill="1" applyBorder="1" applyAlignment="1">
      <alignment horizontal="center" wrapText="1"/>
    </xf>
    <xf numFmtId="0" fontId="52" fillId="5" borderId="26" xfId="0" applyFont="1" applyFill="1" applyBorder="1" applyAlignment="1">
      <alignment horizontal="center" wrapText="1"/>
    </xf>
    <xf numFmtId="0" fontId="52" fillId="5" borderId="27" xfId="0" applyFont="1" applyFill="1" applyBorder="1" applyAlignment="1">
      <alignment horizontal="center" wrapText="1"/>
    </xf>
    <xf numFmtId="0" fontId="52" fillId="5" borderId="28" xfId="0" applyFont="1" applyFill="1" applyBorder="1" applyAlignment="1">
      <alignment horizontal="center" wrapText="1"/>
    </xf>
    <xf numFmtId="0" fontId="52" fillId="5" borderId="18" xfId="0" applyFont="1" applyFill="1" applyBorder="1" applyAlignment="1">
      <alignment horizontal="center" wrapText="1"/>
    </xf>
    <xf numFmtId="0" fontId="0" fillId="5" borderId="13" xfId="0" applyFill="1" applyBorder="1" applyAlignment="1">
      <alignment horizontal="center" wrapText="1"/>
    </xf>
    <xf numFmtId="0" fontId="0" fillId="5" borderId="31" xfId="0" applyFill="1" applyBorder="1" applyAlignment="1">
      <alignment horizontal="center" wrapText="1"/>
    </xf>
    <xf numFmtId="0" fontId="0" fillId="5" borderId="26" xfId="0" applyFill="1" applyBorder="1" applyAlignment="1">
      <alignment horizontal="center" vertical="center" wrapText="1"/>
    </xf>
    <xf numFmtId="0" fontId="0" fillId="5" borderId="28" xfId="0" applyFill="1" applyBorder="1" applyAlignment="1">
      <alignment horizontal="center" vertical="center" wrapText="1"/>
    </xf>
  </cellXfs>
  <cellStyles count="1">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365760</xdr:colOff>
      <xdr:row>10</xdr:row>
      <xdr:rowOff>0</xdr:rowOff>
    </xdr:from>
    <xdr:to>
      <xdr:col>5</xdr:col>
      <xdr:colOff>121920</xdr:colOff>
      <xdr:row>12</xdr:row>
      <xdr:rowOff>20320</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1808480" y="2296160"/>
          <a:ext cx="1920240" cy="386080"/>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100"/>
        </a:p>
      </xdr:txBody>
    </xdr:sp>
    <xdr:clientData/>
  </xdr:twoCellAnchor>
  <xdr:twoCellAnchor>
    <xdr:from>
      <xdr:col>2</xdr:col>
      <xdr:colOff>396240</xdr:colOff>
      <xdr:row>12</xdr:row>
      <xdr:rowOff>132080</xdr:rowOff>
    </xdr:from>
    <xdr:to>
      <xdr:col>3</xdr:col>
      <xdr:colOff>132080</xdr:colOff>
      <xdr:row>14</xdr:row>
      <xdr:rowOff>162560</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1838960" y="2794000"/>
          <a:ext cx="457200" cy="396240"/>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100"/>
        </a:p>
      </xdr:txBody>
    </xdr:sp>
    <xdr:clientData/>
  </xdr:twoCellAnchor>
  <xdr:twoCellAnchor>
    <xdr:from>
      <xdr:col>2</xdr:col>
      <xdr:colOff>365760</xdr:colOff>
      <xdr:row>16</xdr:row>
      <xdr:rowOff>0</xdr:rowOff>
    </xdr:from>
    <xdr:to>
      <xdr:col>5</xdr:col>
      <xdr:colOff>91440</xdr:colOff>
      <xdr:row>18</xdr:row>
      <xdr:rowOff>20320</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1808480" y="3393440"/>
          <a:ext cx="1889760" cy="386080"/>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100"/>
        </a:p>
      </xdr:txBody>
    </xdr:sp>
    <xdr:clientData/>
  </xdr:twoCellAnchor>
  <xdr:twoCellAnchor>
    <xdr:from>
      <xdr:col>2</xdr:col>
      <xdr:colOff>193040</xdr:colOff>
      <xdr:row>19</xdr:row>
      <xdr:rowOff>152400</xdr:rowOff>
    </xdr:from>
    <xdr:to>
      <xdr:col>5</xdr:col>
      <xdr:colOff>182880</xdr:colOff>
      <xdr:row>25</xdr:row>
      <xdr:rowOff>20320</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1635760" y="4094480"/>
          <a:ext cx="2153920" cy="965200"/>
        </a:xfrm>
        <a:prstGeom prst="roundRect">
          <a:avLst/>
        </a:prstGeom>
        <a:no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40"/>
  <sheetViews>
    <sheetView workbookViewId="0">
      <selection activeCell="D17" sqref="D17"/>
    </sheetView>
  </sheetViews>
  <sheetFormatPr defaultColWidth="8.875" defaultRowHeight="15.75" x14ac:dyDescent="0.25"/>
  <cols>
    <col min="1" max="1" width="60.375" style="1" customWidth="1"/>
    <col min="2" max="2" width="10.625" style="2" customWidth="1"/>
    <col min="3" max="3" width="1.5" style="1" customWidth="1"/>
    <col min="4" max="4" width="37.625" style="1" customWidth="1"/>
    <col min="5" max="5" width="8.875" style="2"/>
    <col min="6" max="6" width="1.125" style="1" customWidth="1"/>
    <col min="7" max="9" width="8.875" style="1"/>
    <col min="10" max="10" width="13.875" style="1" customWidth="1"/>
    <col min="11" max="11" width="1.125" style="1" customWidth="1"/>
    <col min="12" max="15" width="8.875" style="1"/>
    <col min="16" max="16" width="1.125" style="1" customWidth="1"/>
    <col min="17" max="16384" width="8.875" style="1"/>
  </cols>
  <sheetData>
    <row r="1" spans="1:20" s="5" customFormat="1" ht="26.25" customHeight="1" x14ac:dyDescent="0.25">
      <c r="A1" s="324" t="s">
        <v>12</v>
      </c>
      <c r="B1" s="324"/>
      <c r="C1" s="324"/>
      <c r="D1" s="324"/>
      <c r="E1" s="324"/>
      <c r="G1" s="327" t="s">
        <v>281</v>
      </c>
      <c r="H1" s="327"/>
      <c r="I1" s="327"/>
      <c r="J1" s="327"/>
      <c r="L1" s="327"/>
      <c r="M1" s="327"/>
      <c r="N1" s="327"/>
      <c r="O1" s="327"/>
      <c r="Q1" s="326" t="s">
        <v>331</v>
      </c>
      <c r="R1" s="327"/>
      <c r="S1" s="327"/>
      <c r="T1" s="327"/>
    </row>
    <row r="2" spans="1:20" s="5" customFormat="1" ht="12.75" customHeight="1" thickBot="1" x14ac:dyDescent="0.3">
      <c r="B2" s="6"/>
      <c r="E2" s="6"/>
      <c r="G2" s="327"/>
      <c r="H2" s="327"/>
      <c r="I2" s="327"/>
      <c r="J2" s="327"/>
      <c r="L2" s="327"/>
      <c r="M2" s="327"/>
      <c r="N2" s="327"/>
      <c r="O2" s="327"/>
      <c r="Q2" s="327"/>
      <c r="R2" s="327"/>
      <c r="S2" s="327"/>
      <c r="T2" s="327"/>
    </row>
    <row r="3" spans="1:20" s="5" customFormat="1" ht="15.95" customHeight="1" thickBot="1" x14ac:dyDescent="0.3">
      <c r="A3" s="99" t="s">
        <v>282</v>
      </c>
      <c r="B3" s="100"/>
      <c r="C3" s="7"/>
      <c r="D3" s="312" t="s">
        <v>70</v>
      </c>
      <c r="E3" s="313"/>
      <c r="G3" s="327"/>
      <c r="H3" s="327"/>
      <c r="I3" s="327"/>
      <c r="J3" s="327"/>
      <c r="L3" s="327"/>
      <c r="M3" s="327"/>
      <c r="N3" s="327"/>
      <c r="O3" s="327"/>
      <c r="Q3" s="327"/>
      <c r="R3" s="327"/>
      <c r="S3" s="327"/>
      <c r="T3" s="327"/>
    </row>
    <row r="4" spans="1:20" s="5" customFormat="1" ht="15.95" customHeight="1" thickBot="1" x14ac:dyDescent="0.3">
      <c r="A4" s="90" t="s">
        <v>283</v>
      </c>
      <c r="B4" s="88" t="s">
        <v>9</v>
      </c>
      <c r="D4" s="9" t="s">
        <v>96</v>
      </c>
      <c r="E4" s="8" t="s">
        <v>9</v>
      </c>
      <c r="G4" s="327"/>
      <c r="H4" s="327"/>
      <c r="I4" s="327"/>
      <c r="J4" s="327"/>
      <c r="L4" s="327"/>
      <c r="M4" s="327"/>
      <c r="N4" s="327"/>
      <c r="O4" s="327"/>
      <c r="Q4" s="327"/>
      <c r="R4" s="327"/>
      <c r="S4" s="327"/>
      <c r="T4" s="327"/>
    </row>
    <row r="5" spans="1:20" s="5" customFormat="1" ht="8.25" customHeight="1" x14ac:dyDescent="0.25">
      <c r="A5" s="16"/>
      <c r="B5" s="17"/>
      <c r="D5" s="10"/>
      <c r="E5" s="11"/>
      <c r="G5" s="327"/>
      <c r="H5" s="327"/>
      <c r="I5" s="327"/>
      <c r="J5" s="327"/>
      <c r="L5" s="327"/>
      <c r="M5" s="327"/>
      <c r="N5" s="327"/>
      <c r="O5" s="327"/>
      <c r="Q5" s="327"/>
      <c r="R5" s="327"/>
      <c r="S5" s="327"/>
      <c r="T5" s="327"/>
    </row>
    <row r="6" spans="1:20" s="5" customFormat="1" ht="21" customHeight="1" x14ac:dyDescent="0.25">
      <c r="A6" s="86" t="s">
        <v>323</v>
      </c>
      <c r="B6" s="11">
        <v>0.1</v>
      </c>
      <c r="D6" s="86" t="s">
        <v>37</v>
      </c>
      <c r="E6" s="93">
        <f>(B17="")*(4*(E7^2)*E8/((E11^2)*E13*E16))+(1-(B17=""))*B17</f>
        <v>2379.25925925926</v>
      </c>
      <c r="G6" s="327"/>
      <c r="H6" s="327"/>
      <c r="I6" s="327"/>
      <c r="J6" s="327"/>
      <c r="L6" s="327"/>
      <c r="M6" s="327"/>
      <c r="N6" s="327"/>
      <c r="O6" s="327"/>
      <c r="Q6" s="327"/>
      <c r="R6" s="327"/>
      <c r="S6" s="327"/>
      <c r="T6" s="327"/>
    </row>
    <row r="7" spans="1:20" s="5" customFormat="1" ht="21" customHeight="1" x14ac:dyDescent="0.25">
      <c r="A7" s="86" t="s">
        <v>335</v>
      </c>
      <c r="B7" s="97"/>
      <c r="D7" s="86" t="s">
        <v>501</v>
      </c>
      <c r="E7" s="95">
        <f>+IF(B7="",SQRT(B6*(1-B6)),B7)</f>
        <v>0.30000000000000004</v>
      </c>
      <c r="G7" s="327"/>
      <c r="H7" s="327"/>
      <c r="I7" s="327"/>
      <c r="J7" s="327"/>
      <c r="L7" s="327"/>
      <c r="M7" s="327"/>
      <c r="N7" s="327"/>
      <c r="O7" s="327"/>
      <c r="Q7" s="327"/>
      <c r="R7" s="327"/>
      <c r="S7" s="327"/>
      <c r="T7" s="327"/>
    </row>
    <row r="8" spans="1:20" s="5" customFormat="1" ht="21" customHeight="1" x14ac:dyDescent="0.25">
      <c r="A8" s="86" t="s">
        <v>566</v>
      </c>
      <c r="B8" s="11"/>
      <c r="D8" s="86" t="s">
        <v>551</v>
      </c>
      <c r="E8" s="102">
        <f>+(B8="")*(1+(B10*E13-1)*B9)+(1-(B8=""))*B8</f>
        <v>10.100628930817608</v>
      </c>
      <c r="G8" s="327"/>
      <c r="H8" s="327"/>
      <c r="I8" s="327"/>
      <c r="J8" s="327"/>
      <c r="L8" s="327"/>
      <c r="M8" s="327"/>
      <c r="N8" s="327"/>
      <c r="O8" s="327"/>
      <c r="Q8" s="327"/>
      <c r="R8" s="327"/>
      <c r="S8" s="327"/>
      <c r="T8" s="327"/>
    </row>
    <row r="9" spans="1:20" s="5" customFormat="1" ht="21" customHeight="1" x14ac:dyDescent="0.25">
      <c r="A9" s="86" t="s">
        <v>447</v>
      </c>
      <c r="B9" s="85">
        <f>1/3</f>
        <v>0.33333333333333331</v>
      </c>
      <c r="D9" s="86" t="s">
        <v>243</v>
      </c>
      <c r="E9" s="101">
        <f>+IF(B9="",(E8-1)/(B21*E13-1),B9)</f>
        <v>0.33333333333333331</v>
      </c>
      <c r="G9" s="327"/>
      <c r="H9" s="327"/>
      <c r="I9" s="327"/>
      <c r="J9" s="327"/>
      <c r="L9" s="327"/>
      <c r="M9" s="327"/>
      <c r="N9" s="327"/>
      <c r="O9" s="327"/>
      <c r="Q9" s="327"/>
      <c r="R9" s="327"/>
      <c r="S9" s="327"/>
      <c r="T9" s="327"/>
    </row>
    <row r="10" spans="1:20" s="5" customFormat="1" ht="21" customHeight="1" x14ac:dyDescent="0.25">
      <c r="A10" s="86" t="s">
        <v>560</v>
      </c>
      <c r="B10" s="85">
        <v>15</v>
      </c>
      <c r="D10" s="86" t="s">
        <v>307</v>
      </c>
      <c r="E10" s="94">
        <f>+B11/2</f>
        <v>1.4999999999999999E-2</v>
      </c>
      <c r="G10" s="327"/>
      <c r="H10" s="327"/>
      <c r="I10" s="327"/>
      <c r="J10" s="327"/>
      <c r="L10" s="327"/>
      <c r="M10" s="327"/>
      <c r="N10" s="327"/>
      <c r="O10" s="327"/>
      <c r="Q10" s="327"/>
      <c r="R10" s="327"/>
      <c r="S10" s="327"/>
      <c r="T10" s="327"/>
    </row>
    <row r="11" spans="1:20" s="5" customFormat="1" ht="21" customHeight="1" x14ac:dyDescent="0.25">
      <c r="A11" s="86" t="s">
        <v>559</v>
      </c>
      <c r="B11" s="87">
        <v>0.03</v>
      </c>
      <c r="D11" s="86" t="s">
        <v>517</v>
      </c>
      <c r="E11" s="96">
        <f>IF(B17="",(B11="")*B12*B6+(1-(B11=""))*B11,SQRT(4*(E7^2)*E8/(B17*E13*E16)))</f>
        <v>0.03</v>
      </c>
      <c r="G11" s="327"/>
      <c r="H11" s="327"/>
      <c r="I11" s="327"/>
      <c r="J11" s="327"/>
      <c r="L11" s="327"/>
      <c r="M11" s="327"/>
      <c r="N11" s="327"/>
      <c r="O11" s="327"/>
      <c r="Q11" s="327"/>
      <c r="R11" s="327"/>
      <c r="S11" s="327"/>
      <c r="T11" s="327"/>
    </row>
    <row r="12" spans="1:20" s="5" customFormat="1" ht="21" customHeight="1" x14ac:dyDescent="0.25">
      <c r="A12" s="92" t="s">
        <v>206</v>
      </c>
      <c r="B12" s="11"/>
      <c r="D12" s="92" t="s">
        <v>206</v>
      </c>
      <c r="E12" s="102">
        <f>+E11/B6</f>
        <v>0.3</v>
      </c>
      <c r="G12" s="327"/>
      <c r="H12" s="327"/>
      <c r="I12" s="327"/>
      <c r="J12" s="327"/>
      <c r="L12" s="327"/>
      <c r="M12" s="327"/>
      <c r="N12" s="327"/>
      <c r="O12" s="327"/>
      <c r="Q12" s="327"/>
      <c r="R12" s="327"/>
      <c r="S12" s="327"/>
      <c r="T12" s="327"/>
    </row>
    <row r="13" spans="1:20" s="5" customFormat="1" ht="21" customHeight="1" x14ac:dyDescent="0.25">
      <c r="A13" s="10" t="s">
        <v>115</v>
      </c>
      <c r="B13" s="87">
        <f>1/0.53</f>
        <v>1.8867924528301885</v>
      </c>
      <c r="D13" s="92" t="s">
        <v>207</v>
      </c>
      <c r="E13" s="102">
        <f>+(B13="")*B14*B15+(1-(B13=""))*B13</f>
        <v>1.8867924528301885</v>
      </c>
      <c r="G13" s="327"/>
      <c r="H13" s="327"/>
      <c r="I13" s="327"/>
      <c r="J13" s="327"/>
      <c r="L13" s="327"/>
      <c r="M13" s="327"/>
      <c r="N13" s="327"/>
      <c r="O13" s="327"/>
      <c r="Q13" s="327"/>
      <c r="R13" s="327"/>
      <c r="S13" s="327"/>
      <c r="T13" s="327"/>
    </row>
    <row r="14" spans="1:20" s="5" customFormat="1" ht="21" customHeight="1" x14ac:dyDescent="0.25">
      <c r="A14" s="86" t="s">
        <v>540</v>
      </c>
      <c r="B14" s="11"/>
      <c r="D14" s="91" t="s">
        <v>394</v>
      </c>
      <c r="E14" s="95">
        <f>+B6*(1-E12)</f>
        <v>6.9999999999999993E-2</v>
      </c>
      <c r="G14" s="327"/>
      <c r="H14" s="327"/>
      <c r="I14" s="327"/>
      <c r="J14" s="327"/>
      <c r="L14" s="327"/>
      <c r="M14" s="327"/>
      <c r="N14" s="327"/>
      <c r="O14" s="327"/>
      <c r="Q14" s="327"/>
      <c r="R14" s="327"/>
      <c r="S14" s="327"/>
      <c r="T14" s="327"/>
    </row>
    <row r="15" spans="1:20" s="5" customFormat="1" ht="21" customHeight="1" x14ac:dyDescent="0.25">
      <c r="A15" s="86" t="s">
        <v>508</v>
      </c>
      <c r="B15" s="85"/>
      <c r="D15" s="92" t="s">
        <v>419</v>
      </c>
      <c r="E15" s="96">
        <f>+B6*(1+E12)</f>
        <v>0.13</v>
      </c>
      <c r="G15" s="327"/>
      <c r="H15" s="327"/>
      <c r="I15" s="327"/>
      <c r="J15" s="327"/>
      <c r="L15" s="327"/>
      <c r="M15" s="327"/>
      <c r="N15" s="327"/>
      <c r="O15" s="327"/>
      <c r="Q15" s="327"/>
      <c r="R15" s="327"/>
      <c r="S15" s="327"/>
      <c r="T15" s="327"/>
    </row>
    <row r="16" spans="1:20" s="5" customFormat="1" ht="21" customHeight="1" x14ac:dyDescent="0.25">
      <c r="A16" s="10" t="s">
        <v>529</v>
      </c>
      <c r="B16" s="11">
        <v>0.9</v>
      </c>
      <c r="D16" s="92" t="s">
        <v>395</v>
      </c>
      <c r="E16" s="101">
        <f>+(B16="")+(1-(B16=""))*B16</f>
        <v>0.9</v>
      </c>
      <c r="G16" s="328"/>
      <c r="H16" s="328"/>
      <c r="I16" s="328"/>
      <c r="J16" s="328"/>
      <c r="L16" s="328"/>
      <c r="M16" s="328"/>
      <c r="N16" s="328"/>
      <c r="O16" s="328"/>
      <c r="Q16" s="328"/>
      <c r="R16" s="328"/>
      <c r="S16" s="328"/>
      <c r="T16" s="328"/>
    </row>
    <row r="17" spans="1:20" s="5" customFormat="1" ht="21" customHeight="1" thickBot="1" x14ac:dyDescent="0.3">
      <c r="A17" s="89" t="s">
        <v>137</v>
      </c>
      <c r="B17" s="98"/>
      <c r="D17" s="13"/>
      <c r="E17" s="20"/>
      <c r="G17" s="328"/>
      <c r="H17" s="328"/>
      <c r="I17" s="328"/>
      <c r="J17" s="328"/>
      <c r="L17" s="328"/>
      <c r="M17" s="328"/>
      <c r="N17" s="328"/>
      <c r="O17" s="328"/>
      <c r="Q17" s="328"/>
      <c r="R17" s="328"/>
      <c r="S17" s="328"/>
      <c r="T17" s="328"/>
    </row>
    <row r="18" spans="1:20" s="5" customFormat="1" ht="15.95" customHeight="1" thickBot="1" x14ac:dyDescent="0.3">
      <c r="G18" s="15"/>
    </row>
    <row r="19" spans="1:20" s="5" customFormat="1" ht="15.95" customHeight="1" thickBot="1" x14ac:dyDescent="0.3">
      <c r="A19" s="314" t="s">
        <v>8</v>
      </c>
      <c r="B19" s="315"/>
      <c r="D19" s="314" t="s">
        <v>10</v>
      </c>
      <c r="E19" s="315"/>
      <c r="G19" s="316" t="s">
        <v>125</v>
      </c>
      <c r="H19" s="317"/>
      <c r="I19" s="317"/>
      <c r="J19" s="313"/>
      <c r="L19" s="325" t="s">
        <v>189</v>
      </c>
      <c r="M19" s="317"/>
      <c r="N19" s="317"/>
      <c r="O19" s="313"/>
      <c r="Q19" s="325" t="s">
        <v>136</v>
      </c>
      <c r="R19" s="317"/>
      <c r="S19" s="317"/>
      <c r="T19" s="313"/>
    </row>
    <row r="20" spans="1:20" s="5" customFormat="1" ht="6.75" customHeight="1" x14ac:dyDescent="0.25">
      <c r="A20" s="16"/>
      <c r="B20" s="17"/>
      <c r="D20" s="16"/>
      <c r="E20" s="17"/>
      <c r="G20" s="318"/>
      <c r="H20" s="319"/>
      <c r="I20" s="319"/>
      <c r="J20" s="320"/>
      <c r="L20" s="318"/>
      <c r="M20" s="319"/>
      <c r="N20" s="319"/>
      <c r="O20" s="320"/>
      <c r="Q20" s="318"/>
      <c r="R20" s="319"/>
      <c r="S20" s="319"/>
      <c r="T20" s="320"/>
    </row>
    <row r="21" spans="1:20" s="5" customFormat="1" ht="15.95" customHeight="1" x14ac:dyDescent="0.25">
      <c r="A21" s="10" t="s">
        <v>33</v>
      </c>
      <c r="B21" s="11">
        <v>16</v>
      </c>
      <c r="D21" s="10" t="s">
        <v>443</v>
      </c>
      <c r="E21" s="22">
        <f>+E6/B21</f>
        <v>148.70370370370375</v>
      </c>
      <c r="G21" s="318"/>
      <c r="H21" s="319"/>
      <c r="I21" s="319"/>
      <c r="J21" s="320"/>
      <c r="L21" s="318"/>
      <c r="M21" s="319"/>
      <c r="N21" s="319"/>
      <c r="O21" s="320"/>
      <c r="Q21" s="318"/>
      <c r="R21" s="319"/>
      <c r="S21" s="319"/>
      <c r="T21" s="320"/>
    </row>
    <row r="22" spans="1:20" s="5" customFormat="1" ht="15.95" customHeight="1" x14ac:dyDescent="0.25">
      <c r="A22" s="86" t="s">
        <v>32</v>
      </c>
      <c r="B22" s="11">
        <v>5</v>
      </c>
      <c r="D22" s="10"/>
      <c r="E22" s="21"/>
      <c r="G22" s="318"/>
      <c r="H22" s="319"/>
      <c r="I22" s="319"/>
      <c r="J22" s="320"/>
      <c r="L22" s="318"/>
      <c r="M22" s="319"/>
      <c r="N22" s="319"/>
      <c r="O22" s="320"/>
      <c r="Q22" s="318"/>
      <c r="R22" s="319"/>
      <c r="S22" s="319"/>
      <c r="T22" s="320"/>
    </row>
    <row r="23" spans="1:20" s="5" customFormat="1" x14ac:dyDescent="0.25">
      <c r="A23" s="86" t="s">
        <v>34</v>
      </c>
      <c r="B23" s="11"/>
      <c r="D23" s="12" t="s">
        <v>618</v>
      </c>
      <c r="E23" s="22">
        <f>+E6*B16</f>
        <v>2141.3333333333339</v>
      </c>
      <c r="G23" s="318"/>
      <c r="H23" s="319"/>
      <c r="I23" s="319"/>
      <c r="J23" s="320"/>
      <c r="L23" s="318"/>
      <c r="M23" s="319"/>
      <c r="N23" s="319"/>
      <c r="O23" s="320"/>
      <c r="Q23" s="318"/>
      <c r="R23" s="319"/>
      <c r="S23" s="319"/>
      <c r="T23" s="320"/>
    </row>
    <row r="24" spans="1:20" s="5" customFormat="1" x14ac:dyDescent="0.25">
      <c r="A24" s="18" t="s">
        <v>13</v>
      </c>
      <c r="B24" s="19"/>
      <c r="D24" s="26" t="s">
        <v>484</v>
      </c>
      <c r="E24" s="22">
        <f>+E23*B22</f>
        <v>10706.66666666667</v>
      </c>
      <c r="G24" s="318"/>
      <c r="H24" s="319"/>
      <c r="I24" s="319"/>
      <c r="J24" s="320"/>
      <c r="L24" s="318"/>
      <c r="M24" s="319"/>
      <c r="N24" s="319"/>
      <c r="O24" s="320"/>
      <c r="Q24" s="318"/>
      <c r="R24" s="319"/>
      <c r="S24" s="319"/>
      <c r="T24" s="320"/>
    </row>
    <row r="25" spans="1:20" s="5" customFormat="1" x14ac:dyDescent="0.25">
      <c r="A25" s="26" t="s">
        <v>324</v>
      </c>
      <c r="B25" s="11">
        <v>0.9</v>
      </c>
      <c r="D25" s="26" t="s">
        <v>114</v>
      </c>
      <c r="E25" s="22">
        <f>+E23*B25</f>
        <v>1927.2000000000005</v>
      </c>
      <c r="G25" s="318"/>
      <c r="H25" s="319"/>
      <c r="I25" s="319"/>
      <c r="J25" s="320"/>
      <c r="L25" s="318"/>
      <c r="M25" s="319"/>
      <c r="N25" s="319"/>
      <c r="O25" s="320"/>
      <c r="Q25" s="318"/>
      <c r="R25" s="319"/>
      <c r="S25" s="319"/>
      <c r="T25" s="320"/>
    </row>
    <row r="26" spans="1:20" s="5" customFormat="1" x14ac:dyDescent="0.25">
      <c r="A26" s="26" t="s">
        <v>236</v>
      </c>
      <c r="B26" s="27">
        <v>0.15</v>
      </c>
      <c r="D26" s="26" t="s">
        <v>113</v>
      </c>
      <c r="E26" s="22">
        <f>E24*B26</f>
        <v>1606.0000000000005</v>
      </c>
      <c r="G26" s="318"/>
      <c r="H26" s="319"/>
      <c r="I26" s="319"/>
      <c r="J26" s="320"/>
      <c r="L26" s="318"/>
      <c r="M26" s="319"/>
      <c r="N26" s="319"/>
      <c r="O26" s="320"/>
      <c r="Q26" s="318"/>
      <c r="R26" s="319"/>
      <c r="S26" s="319"/>
      <c r="T26" s="320"/>
    </row>
    <row r="27" spans="1:20" s="5" customFormat="1" x14ac:dyDescent="0.25">
      <c r="A27" s="26" t="s">
        <v>72</v>
      </c>
      <c r="B27" s="27">
        <f>+B26*858915/1585566</f>
        <v>8.1256314779706421E-2</v>
      </c>
      <c r="D27" s="26" t="s">
        <v>168</v>
      </c>
      <c r="E27" s="22">
        <f>E24*B27</f>
        <v>869.98427690805704</v>
      </c>
      <c r="G27" s="318"/>
      <c r="H27" s="319"/>
      <c r="I27" s="319"/>
      <c r="J27" s="320"/>
      <c r="L27" s="318"/>
      <c r="M27" s="319"/>
      <c r="N27" s="319"/>
      <c r="O27" s="320"/>
      <c r="Q27" s="318"/>
      <c r="R27" s="319"/>
      <c r="S27" s="319"/>
      <c r="T27" s="320"/>
    </row>
    <row r="28" spans="1:20" s="5" customFormat="1" x14ac:dyDescent="0.25">
      <c r="A28" s="26" t="s">
        <v>71</v>
      </c>
      <c r="B28" s="27">
        <f>+B26*362146/1585566</f>
        <v>3.4260257851139592E-2</v>
      </c>
      <c r="D28" s="26" t="s">
        <v>459</v>
      </c>
      <c r="E28" s="22">
        <f>E24*B28</f>
        <v>366.81316072620132</v>
      </c>
      <c r="G28" s="318"/>
      <c r="H28" s="319"/>
      <c r="I28" s="319"/>
      <c r="J28" s="320"/>
      <c r="L28" s="318"/>
      <c r="M28" s="319"/>
      <c r="N28" s="319"/>
      <c r="O28" s="320"/>
      <c r="Q28" s="318"/>
      <c r="R28" s="319"/>
      <c r="S28" s="319"/>
      <c r="T28" s="320"/>
    </row>
    <row r="29" spans="1:20" s="5" customFormat="1" x14ac:dyDescent="0.25">
      <c r="A29" s="26" t="s">
        <v>238</v>
      </c>
      <c r="B29" s="27">
        <f>+B26*364495/1585566</f>
        <v>3.4482481334741036E-2</v>
      </c>
      <c r="D29" s="26" t="s">
        <v>263</v>
      </c>
      <c r="E29" s="22">
        <f>+E24*B29</f>
        <v>369.19243349062748</v>
      </c>
      <c r="G29" s="318"/>
      <c r="H29" s="319"/>
      <c r="I29" s="319"/>
      <c r="J29" s="320"/>
      <c r="L29" s="318"/>
      <c r="M29" s="319"/>
      <c r="N29" s="319"/>
      <c r="O29" s="320"/>
      <c r="Q29" s="318"/>
      <c r="R29" s="319"/>
      <c r="S29" s="319"/>
      <c r="T29" s="320"/>
    </row>
    <row r="30" spans="1:20" s="5" customFormat="1" ht="16.5" thickBot="1" x14ac:dyDescent="0.3">
      <c r="A30" s="13"/>
      <c r="B30" s="14"/>
      <c r="D30" s="13"/>
      <c r="E30" s="20"/>
      <c r="G30" s="321"/>
      <c r="H30" s="322"/>
      <c r="I30" s="322"/>
      <c r="J30" s="323"/>
      <c r="L30" s="321"/>
      <c r="M30" s="322"/>
      <c r="N30" s="322"/>
      <c r="O30" s="323"/>
      <c r="Q30" s="321"/>
      <c r="R30" s="322"/>
      <c r="S30" s="322"/>
      <c r="T30" s="323"/>
    </row>
    <row r="31" spans="1:20" s="5" customFormat="1" x14ac:dyDescent="0.25">
      <c r="D31" s="15"/>
      <c r="E31" s="15"/>
    </row>
    <row r="32" spans="1:20" s="5" customFormat="1" x14ac:dyDescent="0.25">
      <c r="A32" s="1"/>
      <c r="B32" s="2"/>
      <c r="C32" s="1"/>
      <c r="D32" s="1"/>
      <c r="E32" s="2"/>
      <c r="F32" s="1"/>
      <c r="G32" s="1"/>
      <c r="H32" s="1"/>
      <c r="I32" s="1"/>
      <c r="J32" s="1"/>
    </row>
    <row r="33" spans="1:10" s="5" customFormat="1" x14ac:dyDescent="0.25">
      <c r="A33" s="1"/>
      <c r="B33" s="2"/>
      <c r="C33" s="1"/>
      <c r="F33" s="1"/>
      <c r="G33" s="1"/>
      <c r="H33" s="1"/>
      <c r="I33" s="1"/>
      <c r="J33" s="1"/>
    </row>
    <row r="34" spans="1:10" s="5" customFormat="1" x14ac:dyDescent="0.25">
      <c r="A34" s="1"/>
      <c r="B34" s="2"/>
      <c r="C34" s="1"/>
      <c r="F34" s="1"/>
      <c r="G34" s="1"/>
      <c r="H34" s="1"/>
      <c r="I34" s="1"/>
      <c r="J34" s="1"/>
    </row>
    <row r="35" spans="1:10" s="5" customFormat="1" x14ac:dyDescent="0.25">
      <c r="A35" s="1"/>
      <c r="B35" s="2"/>
      <c r="C35" s="1"/>
      <c r="E35" s="2"/>
      <c r="F35" s="1"/>
      <c r="G35" s="1"/>
      <c r="H35" s="1"/>
      <c r="I35" s="1"/>
      <c r="J35" s="1"/>
    </row>
    <row r="36" spans="1:10" s="5" customFormat="1" x14ac:dyDescent="0.25">
      <c r="A36" s="1"/>
      <c r="B36" s="2"/>
      <c r="C36" s="1"/>
      <c r="E36" s="2"/>
      <c r="F36" s="1"/>
      <c r="G36" s="1"/>
      <c r="H36" s="1"/>
      <c r="I36" s="1"/>
      <c r="J36" s="1"/>
    </row>
    <row r="40" spans="1:10" x14ac:dyDescent="0.25">
      <c r="A40" s="1" t="e">
        <f>+#REF!=""</f>
        <v>#REF!</v>
      </c>
    </row>
  </sheetData>
  <mergeCells count="10">
    <mergeCell ref="L19:O30"/>
    <mergeCell ref="Q19:T30"/>
    <mergeCell ref="Q1:T17"/>
    <mergeCell ref="L1:O17"/>
    <mergeCell ref="G1:J17"/>
    <mergeCell ref="D3:E3"/>
    <mergeCell ref="A19:B19"/>
    <mergeCell ref="D19:E19"/>
    <mergeCell ref="G19:J30"/>
    <mergeCell ref="A1:E1"/>
  </mergeCells>
  <phoneticPr fontId="18" type="noConversion"/>
  <pageMargins left="0.75000000000000011" right="0.75000000000000011" top="1" bottom="1" header="0.5" footer="0.5"/>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32"/>
  <sheetViews>
    <sheetView workbookViewId="0">
      <selection activeCell="C4" sqref="C4"/>
    </sheetView>
  </sheetViews>
  <sheetFormatPr defaultColWidth="8.875" defaultRowHeight="12.75" x14ac:dyDescent="0.2"/>
  <cols>
    <col min="1" max="1" width="21.5" style="3" customWidth="1"/>
    <col min="2" max="2" width="10.625" style="31" customWidth="1"/>
    <col min="3" max="3" width="10.625" style="4" customWidth="1"/>
    <col min="4" max="4" width="1.625" style="4" customWidth="1"/>
    <col min="5" max="8" width="10.625" style="4" customWidth="1"/>
    <col min="9" max="9" width="1.625" style="4" customWidth="1"/>
    <col min="10" max="12" width="10" style="4" customWidth="1"/>
    <col min="13" max="13" width="10.125" style="4" customWidth="1"/>
    <col min="14" max="16" width="9.875" style="4" customWidth="1"/>
    <col min="17" max="17" width="10.125" style="4" customWidth="1"/>
    <col min="18" max="18" width="1.5" style="3" customWidth="1"/>
    <col min="19" max="16384" width="8.875" style="3"/>
  </cols>
  <sheetData>
    <row r="1" spans="1:18" ht="84.95" customHeight="1" x14ac:dyDescent="0.2">
      <c r="A1" s="330" t="s">
        <v>92</v>
      </c>
      <c r="B1" s="330"/>
      <c r="C1" s="330"/>
      <c r="D1" s="330"/>
      <c r="E1" s="330"/>
      <c r="F1" s="330"/>
      <c r="G1" s="330"/>
      <c r="H1" s="330"/>
      <c r="J1" s="335" t="s">
        <v>69</v>
      </c>
      <c r="K1" s="335"/>
      <c r="L1" s="335"/>
      <c r="M1" s="335"/>
      <c r="N1" s="335"/>
      <c r="O1" s="335"/>
      <c r="P1" s="335"/>
      <c r="Q1" s="335"/>
    </row>
    <row r="3" spans="1:18" s="7" customFormat="1" ht="16.5" customHeight="1" x14ac:dyDescent="0.25">
      <c r="A3" s="332" t="s">
        <v>282</v>
      </c>
      <c r="B3" s="328"/>
      <c r="C3" s="328"/>
      <c r="D3" s="37"/>
      <c r="E3" s="332" t="s">
        <v>70</v>
      </c>
      <c r="F3" s="333"/>
      <c r="G3" s="333"/>
      <c r="H3" s="333"/>
      <c r="I3" s="40"/>
      <c r="J3" s="331" t="s">
        <v>334</v>
      </c>
      <c r="K3" s="332"/>
      <c r="L3" s="332"/>
      <c r="M3" s="332"/>
      <c r="N3" s="332"/>
      <c r="O3" s="332"/>
      <c r="P3" s="332"/>
      <c r="Q3" s="332"/>
    </row>
    <row r="4" spans="1:18" ht="16.5" customHeight="1" x14ac:dyDescent="0.2">
      <c r="A4" s="32" t="s">
        <v>94</v>
      </c>
      <c r="B4" s="45" t="s">
        <v>95</v>
      </c>
      <c r="C4" s="39">
        <v>11675</v>
      </c>
      <c r="D4" s="334"/>
      <c r="E4" s="39"/>
      <c r="F4" s="39"/>
      <c r="G4" s="39"/>
      <c r="H4" s="39"/>
      <c r="J4" s="57"/>
      <c r="K4" s="54"/>
      <c r="L4" s="336" t="s">
        <v>609</v>
      </c>
      <c r="M4" s="337"/>
      <c r="N4" s="337"/>
      <c r="O4" s="337"/>
      <c r="P4" s="337"/>
      <c r="Q4" s="337"/>
    </row>
    <row r="5" spans="1:18" ht="16.5" customHeight="1" x14ac:dyDescent="0.2">
      <c r="A5" s="46" t="s">
        <v>171</v>
      </c>
      <c r="B5" s="45" t="s">
        <v>512</v>
      </c>
      <c r="C5" s="29">
        <f>+COUNTA(A10:A2500)</f>
        <v>20</v>
      </c>
      <c r="D5" s="334"/>
      <c r="H5" s="34"/>
      <c r="J5" s="57"/>
      <c r="K5" s="54"/>
      <c r="L5" s="329" t="s">
        <v>74</v>
      </c>
      <c r="M5" s="329"/>
      <c r="N5" s="329" t="s">
        <v>75</v>
      </c>
      <c r="O5" s="329"/>
      <c r="P5" s="329" t="s">
        <v>264</v>
      </c>
      <c r="Q5" s="329"/>
    </row>
    <row r="6" spans="1:18" ht="16.5" customHeight="1" x14ac:dyDescent="0.2">
      <c r="A6" s="32" t="s">
        <v>541</v>
      </c>
      <c r="B6" s="41" t="s">
        <v>209</v>
      </c>
      <c r="C6" s="29">
        <v>0.5</v>
      </c>
      <c r="D6" s="334"/>
      <c r="E6" s="29"/>
      <c r="F6" s="29"/>
      <c r="G6" s="29"/>
      <c r="J6" s="57"/>
      <c r="K6" s="54"/>
      <c r="L6" s="61" t="s">
        <v>88</v>
      </c>
      <c r="M6" s="53">
        <f>+C4/K9</f>
        <v>7.1173716093240333</v>
      </c>
      <c r="N6" s="61" t="s">
        <v>88</v>
      </c>
      <c r="O6" s="53">
        <f>+M6-(M9-$C4)/L9</f>
        <v>7.0682005070002614</v>
      </c>
      <c r="P6" s="61" t="s">
        <v>88</v>
      </c>
      <c r="Q6" s="53">
        <f>O6-(O9-$C4)/N9</f>
        <v>7.0682005070002623</v>
      </c>
    </row>
    <row r="7" spans="1:18" ht="54.75" customHeight="1" thickBot="1" x14ac:dyDescent="0.25">
      <c r="A7" s="28" t="s">
        <v>162</v>
      </c>
      <c r="B7" s="33" t="s">
        <v>244</v>
      </c>
      <c r="C7" s="28" t="s">
        <v>325</v>
      </c>
      <c r="D7" s="334"/>
      <c r="E7" s="34" t="s">
        <v>4</v>
      </c>
      <c r="F7" s="34" t="s">
        <v>154</v>
      </c>
      <c r="G7" s="34" t="s">
        <v>14</v>
      </c>
      <c r="H7" s="28" t="s">
        <v>145</v>
      </c>
      <c r="J7" s="58"/>
      <c r="K7" s="58"/>
      <c r="L7" s="58"/>
      <c r="M7" s="58"/>
      <c r="N7" s="58"/>
      <c r="O7" s="58"/>
      <c r="P7" s="58"/>
      <c r="Q7" s="58"/>
    </row>
    <row r="8" spans="1:18" ht="13.5" thickBot="1" x14ac:dyDescent="0.25">
      <c r="A8" s="28" t="s">
        <v>161</v>
      </c>
      <c r="B8" s="35" t="s">
        <v>591</v>
      </c>
      <c r="C8" s="36" t="s">
        <v>400</v>
      </c>
      <c r="D8" s="38"/>
      <c r="E8" s="25">
        <v>0</v>
      </c>
      <c r="F8" s="25">
        <v>1</v>
      </c>
      <c r="G8" s="25">
        <v>0.5</v>
      </c>
      <c r="H8" s="36" t="s">
        <v>15</v>
      </c>
      <c r="J8" s="62" t="s">
        <v>144</v>
      </c>
      <c r="K8" s="62" t="s">
        <v>265</v>
      </c>
      <c r="L8" s="62" t="s">
        <v>593</v>
      </c>
      <c r="M8" s="62" t="s">
        <v>594</v>
      </c>
      <c r="N8" s="62" t="s">
        <v>593</v>
      </c>
      <c r="O8" s="62" t="s">
        <v>594</v>
      </c>
      <c r="P8" s="62" t="s">
        <v>593</v>
      </c>
      <c r="Q8" s="62" t="s">
        <v>594</v>
      </c>
    </row>
    <row r="9" spans="1:18" s="7" customFormat="1" ht="15" customHeight="1" thickBot="1" x14ac:dyDescent="0.25">
      <c r="A9" s="23" t="s">
        <v>11</v>
      </c>
      <c r="B9" s="59">
        <f>SUM(B10:B2500)</f>
        <v>198256</v>
      </c>
      <c r="C9" s="60">
        <f>SUM(C10:C2500)</f>
        <v>5000</v>
      </c>
      <c r="D9" s="40"/>
      <c r="E9" s="49">
        <f>+SUM(E10:E2500)</f>
        <v>11675</v>
      </c>
      <c r="F9" s="49">
        <f t="shared" ref="F9:H9" si="0">+SUM(F10:F2500)</f>
        <v>11675</v>
      </c>
      <c r="G9" s="49">
        <f t="shared" si="0"/>
        <v>11674.999999999998</v>
      </c>
      <c r="H9" s="49">
        <f t="shared" si="0"/>
        <v>11675</v>
      </c>
      <c r="I9" s="24"/>
      <c r="J9" s="60">
        <f>+SUM(J10:J22500)</f>
        <v>1640.3527370560919</v>
      </c>
      <c r="K9" s="60">
        <f t="shared" ref="K9:Q9" si="1">+SUM(K10:K22500)</f>
        <v>1640.3527370560919</v>
      </c>
      <c r="L9" s="60">
        <f t="shared" si="1"/>
        <v>1616.3944399546699</v>
      </c>
      <c r="M9" s="60">
        <f t="shared" si="1"/>
        <v>11754.479896402587</v>
      </c>
      <c r="N9" s="60">
        <f t="shared" si="1"/>
        <v>1616.3944399546699</v>
      </c>
      <c r="O9" s="60">
        <f t="shared" si="1"/>
        <v>11674.999999999998</v>
      </c>
      <c r="P9" s="60">
        <f t="shared" si="1"/>
        <v>1616.3944399546699</v>
      </c>
      <c r="Q9" s="60">
        <f t="shared" si="1"/>
        <v>11675</v>
      </c>
      <c r="R9" s="23"/>
    </row>
    <row r="10" spans="1:18" x14ac:dyDescent="0.2">
      <c r="A10" s="32" t="s">
        <v>489</v>
      </c>
      <c r="B10" s="42">
        <v>4708</v>
      </c>
      <c r="C10" s="47">
        <v>250</v>
      </c>
      <c r="D10" s="39"/>
      <c r="E10" s="48">
        <f>C$4/C$5</f>
        <v>583.75</v>
      </c>
      <c r="F10" s="50">
        <f t="shared" ref="F10:F29" si="2">+C$4*B10/B$9</f>
        <v>277.24709466548302</v>
      </c>
      <c r="G10" s="56">
        <f t="shared" ref="G10:G29" si="3">+C$4*J10/J$9</f>
        <v>488.35750774150802</v>
      </c>
      <c r="H10" s="50">
        <f>+Q10</f>
        <v>484.9836390857979</v>
      </c>
      <c r="J10" s="55">
        <f>+SQRT(B10)</f>
        <v>68.614867193633771</v>
      </c>
      <c r="K10" s="55">
        <f t="shared" ref="K10:K29" si="4">+B10^C$6</f>
        <v>68.614867193633771</v>
      </c>
      <c r="L10" s="42">
        <f>+($K10/2)*(1+SIGN(M$6*$K10-$C10))</f>
        <v>68.614867193633771</v>
      </c>
      <c r="M10" s="42">
        <f t="shared" ref="M10:M29" si="5">+MAX($C10,M$6*$K10)</f>
        <v>488.35750774150802</v>
      </c>
      <c r="N10" s="42">
        <f>+($K10/2)*(1+SIGN(O$6*$K10-$C10))</f>
        <v>68.614867193633771</v>
      </c>
      <c r="O10" s="42">
        <f t="shared" ref="O10:O29" si="6">+MAX($C10,O$6*$K10)</f>
        <v>484.98363908579779</v>
      </c>
      <c r="P10" s="42">
        <f>+($K10/2)*(1+SIGN(Q$6*$K10-$C10))</f>
        <v>68.614867193633771</v>
      </c>
      <c r="Q10" s="42">
        <f t="shared" ref="Q10:Q29" si="7">+MAX($C10,Q$6*$K10)</f>
        <v>484.9836390857979</v>
      </c>
    </row>
    <row r="11" spans="1:18" x14ac:dyDescent="0.2">
      <c r="A11" s="32" t="s">
        <v>61</v>
      </c>
      <c r="B11" s="42">
        <v>72945</v>
      </c>
      <c r="C11" s="47">
        <v>250</v>
      </c>
      <c r="D11" s="39"/>
      <c r="E11" s="48">
        <f t="shared" ref="E11:E29" si="8">MAX(C11,C$4/C$5)</f>
        <v>583.75</v>
      </c>
      <c r="F11" s="50">
        <f t="shared" si="2"/>
        <v>4295.6222005891377</v>
      </c>
      <c r="G11" s="56">
        <f t="shared" si="3"/>
        <v>1922.2833573165206</v>
      </c>
      <c r="H11" s="50">
        <f t="shared" ref="H11:H29" si="9">+Q11</f>
        <v>1909.0030627293911</v>
      </c>
      <c r="J11" s="55">
        <f t="shared" ref="J11:J29" si="10">+SQRT(B11)</f>
        <v>270.08332047721865</v>
      </c>
      <c r="K11" s="55">
        <f t="shared" si="4"/>
        <v>270.08332047721865</v>
      </c>
      <c r="L11" s="55">
        <f t="shared" ref="L11:L29" si="11">+($K11/2)*(1+SIGN(M$6*$K11-$C11))</f>
        <v>270.08332047721865</v>
      </c>
      <c r="M11" s="42">
        <f t="shared" si="5"/>
        <v>1922.2833573165203</v>
      </c>
      <c r="N11" s="55">
        <f t="shared" ref="N11:N29" si="12">+($K11/2)*(1+SIGN(O$6*$K11-$C11))</f>
        <v>270.08332047721865</v>
      </c>
      <c r="O11" s="42">
        <f t="shared" si="6"/>
        <v>1909.0030627293909</v>
      </c>
      <c r="P11" s="55">
        <f t="shared" ref="P11:P29" si="13">+($K11/2)*(1+SIGN(Q$6*$K11-$C11))</f>
        <v>270.08332047721865</v>
      </c>
      <c r="Q11" s="42">
        <f t="shared" si="7"/>
        <v>1909.0030627293911</v>
      </c>
    </row>
    <row r="12" spans="1:18" x14ac:dyDescent="0.2">
      <c r="A12" s="32" t="s">
        <v>169</v>
      </c>
      <c r="B12" s="42">
        <v>6880</v>
      </c>
      <c r="C12" s="47">
        <v>250</v>
      </c>
      <c r="D12" s="39"/>
      <c r="E12" s="48">
        <f t="shared" si="8"/>
        <v>583.75</v>
      </c>
      <c r="F12" s="50">
        <f t="shared" si="2"/>
        <v>405.15293358082477</v>
      </c>
      <c r="G12" s="56">
        <f t="shared" si="3"/>
        <v>590.35583586635028</v>
      </c>
      <c r="H12" s="50">
        <f t="shared" si="9"/>
        <v>586.27730114788881</v>
      </c>
      <c r="J12" s="55">
        <f t="shared" si="10"/>
        <v>82.94576541331088</v>
      </c>
      <c r="K12" s="55">
        <f t="shared" si="4"/>
        <v>82.94576541331088</v>
      </c>
      <c r="L12" s="55">
        <f t="shared" si="11"/>
        <v>82.94576541331088</v>
      </c>
      <c r="M12" s="42">
        <f t="shared" si="5"/>
        <v>590.35583586635016</v>
      </c>
      <c r="N12" s="55">
        <f t="shared" si="12"/>
        <v>82.94576541331088</v>
      </c>
      <c r="O12" s="42">
        <f t="shared" si="6"/>
        <v>586.27730114788869</v>
      </c>
      <c r="P12" s="55">
        <f t="shared" si="13"/>
        <v>82.94576541331088</v>
      </c>
      <c r="Q12" s="42">
        <f t="shared" si="7"/>
        <v>586.27730114788881</v>
      </c>
    </row>
    <row r="13" spans="1:18" x14ac:dyDescent="0.2">
      <c r="A13" s="32" t="s">
        <v>170</v>
      </c>
      <c r="B13" s="42">
        <v>9343</v>
      </c>
      <c r="C13" s="47">
        <v>250</v>
      </c>
      <c r="D13" s="39"/>
      <c r="E13" s="48">
        <f t="shared" si="8"/>
        <v>583.75</v>
      </c>
      <c r="F13" s="50">
        <f t="shared" si="2"/>
        <v>550.19532826244858</v>
      </c>
      <c r="G13" s="56">
        <f t="shared" si="3"/>
        <v>687.95941108131785</v>
      </c>
      <c r="H13" s="50">
        <f t="shared" si="9"/>
        <v>683.20657190785596</v>
      </c>
      <c r="J13" s="55">
        <f t="shared" si="10"/>
        <v>96.65919511355348</v>
      </c>
      <c r="K13" s="55">
        <f t="shared" si="4"/>
        <v>96.65919511355348</v>
      </c>
      <c r="L13" s="55">
        <f t="shared" si="11"/>
        <v>96.65919511355348</v>
      </c>
      <c r="M13" s="42">
        <f t="shared" si="5"/>
        <v>687.95941108131785</v>
      </c>
      <c r="N13" s="55">
        <f t="shared" si="12"/>
        <v>96.65919511355348</v>
      </c>
      <c r="O13" s="42">
        <f t="shared" si="6"/>
        <v>683.20657190785585</v>
      </c>
      <c r="P13" s="55">
        <f t="shared" si="13"/>
        <v>96.65919511355348</v>
      </c>
      <c r="Q13" s="42">
        <f t="shared" si="7"/>
        <v>683.20657190785596</v>
      </c>
    </row>
    <row r="14" spans="1:18" x14ac:dyDescent="0.2">
      <c r="A14" s="32" t="s">
        <v>284</v>
      </c>
      <c r="B14" s="55">
        <v>17622</v>
      </c>
      <c r="C14" s="47">
        <v>250</v>
      </c>
      <c r="D14" s="39"/>
      <c r="E14" s="56">
        <f t="shared" si="8"/>
        <v>583.75</v>
      </c>
      <c r="F14" s="50">
        <f t="shared" si="2"/>
        <v>1037.7332842385601</v>
      </c>
      <c r="G14" s="56">
        <f t="shared" si="3"/>
        <v>944.81600184029594</v>
      </c>
      <c r="H14" s="50">
        <f t="shared" si="9"/>
        <v>938.28864218371086</v>
      </c>
      <c r="J14" s="55">
        <f t="shared" si="10"/>
        <v>132.74788133902553</v>
      </c>
      <c r="K14" s="55">
        <f t="shared" si="4"/>
        <v>132.74788133902553</v>
      </c>
      <c r="L14" s="55">
        <f t="shared" si="11"/>
        <v>132.74788133902553</v>
      </c>
      <c r="M14" s="55">
        <f t="shared" si="5"/>
        <v>944.81600184029594</v>
      </c>
      <c r="N14" s="55">
        <f t="shared" si="12"/>
        <v>132.74788133902553</v>
      </c>
      <c r="O14" s="55">
        <f t="shared" si="6"/>
        <v>938.28864218371075</v>
      </c>
      <c r="P14" s="55">
        <f t="shared" si="13"/>
        <v>132.74788133902553</v>
      </c>
      <c r="Q14" s="55">
        <f t="shared" si="7"/>
        <v>938.28864218371086</v>
      </c>
    </row>
    <row r="15" spans="1:18" x14ac:dyDescent="0.2">
      <c r="A15" s="32" t="s">
        <v>172</v>
      </c>
      <c r="B15" s="55">
        <v>2326</v>
      </c>
      <c r="C15" s="47">
        <v>250</v>
      </c>
      <c r="D15" s="39"/>
      <c r="E15" s="56">
        <f t="shared" si="8"/>
        <v>583.75</v>
      </c>
      <c r="F15" s="50">
        <f t="shared" si="2"/>
        <v>136.97466911468001</v>
      </c>
      <c r="G15" s="56">
        <f t="shared" si="3"/>
        <v>343.26102645398385</v>
      </c>
      <c r="H15" s="50">
        <f t="shared" si="9"/>
        <v>340.88957193650157</v>
      </c>
      <c r="J15" s="55">
        <f t="shared" si="10"/>
        <v>48.228622207149975</v>
      </c>
      <c r="K15" s="55">
        <f t="shared" si="4"/>
        <v>48.228622207149975</v>
      </c>
      <c r="L15" s="55">
        <f t="shared" si="11"/>
        <v>48.228622207149975</v>
      </c>
      <c r="M15" s="55">
        <f t="shared" si="5"/>
        <v>343.26102645398385</v>
      </c>
      <c r="N15" s="55">
        <f t="shared" si="12"/>
        <v>48.228622207149975</v>
      </c>
      <c r="O15" s="55">
        <f t="shared" si="6"/>
        <v>340.88957193650151</v>
      </c>
      <c r="P15" s="55">
        <f t="shared" si="13"/>
        <v>48.228622207149975</v>
      </c>
      <c r="Q15" s="55">
        <f t="shared" si="7"/>
        <v>340.88957193650157</v>
      </c>
    </row>
    <row r="16" spans="1:18" x14ac:dyDescent="0.2">
      <c r="A16" s="32" t="s">
        <v>173</v>
      </c>
      <c r="B16" s="55">
        <v>4628</v>
      </c>
      <c r="C16" s="47">
        <v>250</v>
      </c>
      <c r="D16" s="39"/>
      <c r="E16" s="56">
        <f t="shared" si="8"/>
        <v>583.75</v>
      </c>
      <c r="F16" s="50">
        <f t="shared" si="2"/>
        <v>272.53601404245018</v>
      </c>
      <c r="G16" s="56">
        <f t="shared" si="3"/>
        <v>484.1905586414095</v>
      </c>
      <c r="H16" s="50">
        <f t="shared" si="9"/>
        <v>480.84547778712738</v>
      </c>
      <c r="J16" s="55">
        <f t="shared" si="10"/>
        <v>68.029405406779802</v>
      </c>
      <c r="K16" s="55">
        <f t="shared" si="4"/>
        <v>68.029405406779802</v>
      </c>
      <c r="L16" s="55">
        <f t="shared" si="11"/>
        <v>68.029405406779802</v>
      </c>
      <c r="M16" s="55">
        <f t="shared" si="5"/>
        <v>484.19055864140944</v>
      </c>
      <c r="N16" s="55">
        <f t="shared" si="12"/>
        <v>68.029405406779802</v>
      </c>
      <c r="O16" s="55">
        <f t="shared" si="6"/>
        <v>480.84547778712732</v>
      </c>
      <c r="P16" s="55">
        <f t="shared" si="13"/>
        <v>68.029405406779802</v>
      </c>
      <c r="Q16" s="55">
        <f t="shared" si="7"/>
        <v>480.84547778712738</v>
      </c>
    </row>
    <row r="17" spans="1:18" x14ac:dyDescent="0.2">
      <c r="A17" s="32" t="s">
        <v>174</v>
      </c>
      <c r="B17" s="55">
        <v>3152</v>
      </c>
      <c r="C17" s="47">
        <v>250</v>
      </c>
      <c r="D17" s="39"/>
      <c r="E17" s="56">
        <f t="shared" si="8"/>
        <v>583.75</v>
      </c>
      <c r="F17" s="50">
        <f t="shared" si="2"/>
        <v>185.61657654749416</v>
      </c>
      <c r="G17" s="56">
        <f t="shared" si="3"/>
        <v>399.58828389564616</v>
      </c>
      <c r="H17" s="50">
        <f t="shared" si="9"/>
        <v>396.82768665929098</v>
      </c>
      <c r="J17" s="55">
        <f t="shared" si="10"/>
        <v>56.142675390472796</v>
      </c>
      <c r="K17" s="55">
        <f t="shared" si="4"/>
        <v>56.142675390472796</v>
      </c>
      <c r="L17" s="55">
        <f t="shared" si="11"/>
        <v>56.142675390472796</v>
      </c>
      <c r="M17" s="55">
        <f t="shared" si="5"/>
        <v>399.58828389564616</v>
      </c>
      <c r="N17" s="55">
        <f t="shared" si="12"/>
        <v>56.142675390472796</v>
      </c>
      <c r="O17" s="55">
        <f t="shared" si="6"/>
        <v>396.82768665929092</v>
      </c>
      <c r="P17" s="55">
        <f t="shared" si="13"/>
        <v>56.142675390472796</v>
      </c>
      <c r="Q17" s="55">
        <f t="shared" si="7"/>
        <v>396.82768665929098</v>
      </c>
    </row>
    <row r="18" spans="1:18" x14ac:dyDescent="0.2">
      <c r="A18" s="32" t="s">
        <v>175</v>
      </c>
      <c r="B18" s="55">
        <v>1378</v>
      </c>
      <c r="C18" s="47">
        <v>250</v>
      </c>
      <c r="D18" s="39"/>
      <c r="E18" s="56">
        <f t="shared" si="8"/>
        <v>583.75</v>
      </c>
      <c r="F18" s="50">
        <f t="shared" si="2"/>
        <v>81.148363731740773</v>
      </c>
      <c r="G18" s="56">
        <f t="shared" si="3"/>
        <v>264.20695779169375</v>
      </c>
      <c r="H18" s="50">
        <f t="shared" si="9"/>
        <v>262.3816565331212</v>
      </c>
      <c r="J18" s="55">
        <f t="shared" si="10"/>
        <v>37.12142238654117</v>
      </c>
      <c r="K18" s="55">
        <f t="shared" si="4"/>
        <v>37.12142238654117</v>
      </c>
      <c r="L18" s="55">
        <f t="shared" si="11"/>
        <v>37.12142238654117</v>
      </c>
      <c r="M18" s="55">
        <f t="shared" si="5"/>
        <v>264.2069577916937</v>
      </c>
      <c r="N18" s="55">
        <f t="shared" si="12"/>
        <v>37.12142238654117</v>
      </c>
      <c r="O18" s="55">
        <f t="shared" si="6"/>
        <v>262.38165653312115</v>
      </c>
      <c r="P18" s="55">
        <f t="shared" si="13"/>
        <v>37.12142238654117</v>
      </c>
      <c r="Q18" s="55">
        <f t="shared" si="7"/>
        <v>262.3816565331212</v>
      </c>
    </row>
    <row r="19" spans="1:18" x14ac:dyDescent="0.2">
      <c r="A19" s="32" t="s">
        <v>123</v>
      </c>
      <c r="B19" s="55">
        <v>3225</v>
      </c>
      <c r="C19" s="47">
        <v>250</v>
      </c>
      <c r="D19" s="39"/>
      <c r="E19" s="56">
        <f t="shared" si="8"/>
        <v>583.75</v>
      </c>
      <c r="F19" s="50">
        <f t="shared" si="2"/>
        <v>189.91543761601162</v>
      </c>
      <c r="G19" s="56">
        <f t="shared" si="3"/>
        <v>404.18901032352181</v>
      </c>
      <c r="H19" s="50">
        <f t="shared" si="9"/>
        <v>401.39662848993515</v>
      </c>
      <c r="J19" s="55">
        <f t="shared" si="10"/>
        <v>56.789083458002736</v>
      </c>
      <c r="K19" s="55">
        <f t="shared" si="4"/>
        <v>56.789083458002736</v>
      </c>
      <c r="L19" s="55">
        <f t="shared" si="11"/>
        <v>56.789083458002736</v>
      </c>
      <c r="M19" s="55">
        <f t="shared" si="5"/>
        <v>404.18901032352176</v>
      </c>
      <c r="N19" s="55">
        <f t="shared" si="12"/>
        <v>56.789083458002736</v>
      </c>
      <c r="O19" s="55">
        <f t="shared" si="6"/>
        <v>401.3966284899351</v>
      </c>
      <c r="P19" s="55">
        <f t="shared" si="13"/>
        <v>56.789083458002736</v>
      </c>
      <c r="Q19" s="55">
        <f t="shared" si="7"/>
        <v>401.39662848993515</v>
      </c>
    </row>
    <row r="20" spans="1:18" x14ac:dyDescent="0.2">
      <c r="A20" s="32" t="s">
        <v>285</v>
      </c>
      <c r="B20" s="55">
        <v>574</v>
      </c>
      <c r="C20" s="47">
        <v>250</v>
      </c>
      <c r="D20" s="39"/>
      <c r="E20" s="56">
        <f t="shared" si="8"/>
        <v>583.75</v>
      </c>
      <c r="F20" s="50">
        <f t="shared" si="2"/>
        <v>33.802003470260672</v>
      </c>
      <c r="G20" s="56">
        <f t="shared" si="3"/>
        <v>170.52010359741035</v>
      </c>
      <c r="H20" s="50">
        <f t="shared" si="9"/>
        <v>250</v>
      </c>
      <c r="J20" s="55">
        <f t="shared" si="10"/>
        <v>23.958297101421877</v>
      </c>
      <c r="K20" s="55">
        <f t="shared" si="4"/>
        <v>23.958297101421877</v>
      </c>
      <c r="L20" s="55">
        <f t="shared" si="11"/>
        <v>0</v>
      </c>
      <c r="M20" s="55">
        <f t="shared" si="5"/>
        <v>250</v>
      </c>
      <c r="N20" s="55">
        <f t="shared" si="12"/>
        <v>0</v>
      </c>
      <c r="O20" s="55">
        <f t="shared" si="6"/>
        <v>250</v>
      </c>
      <c r="P20" s="55">
        <f t="shared" si="13"/>
        <v>0</v>
      </c>
      <c r="Q20" s="55">
        <f t="shared" si="7"/>
        <v>250</v>
      </c>
    </row>
    <row r="21" spans="1:18" x14ac:dyDescent="0.2">
      <c r="A21" s="32" t="s">
        <v>286</v>
      </c>
      <c r="B21" s="55">
        <v>3447</v>
      </c>
      <c r="C21" s="47">
        <v>250</v>
      </c>
      <c r="D21" s="39"/>
      <c r="E21" s="56">
        <f t="shared" si="8"/>
        <v>583.75</v>
      </c>
      <c r="F21" s="50">
        <f t="shared" si="2"/>
        <v>202.98868634492777</v>
      </c>
      <c r="G21" s="56">
        <f t="shared" si="3"/>
        <v>417.86912463246796</v>
      </c>
      <c r="H21" s="50">
        <f t="shared" si="9"/>
        <v>414.98223230576542</v>
      </c>
      <c r="J21" s="55">
        <f t="shared" si="10"/>
        <v>58.711157372342782</v>
      </c>
      <c r="K21" s="55">
        <f t="shared" si="4"/>
        <v>58.711157372342782</v>
      </c>
      <c r="L21" s="55">
        <f t="shared" si="11"/>
        <v>58.711157372342782</v>
      </c>
      <c r="M21" s="55">
        <f t="shared" si="5"/>
        <v>417.86912463246796</v>
      </c>
      <c r="N21" s="55">
        <f t="shared" si="12"/>
        <v>58.711157372342782</v>
      </c>
      <c r="O21" s="55">
        <f t="shared" si="6"/>
        <v>414.98223230576536</v>
      </c>
      <c r="P21" s="55">
        <f t="shared" si="13"/>
        <v>58.711157372342782</v>
      </c>
      <c r="Q21" s="55">
        <f t="shared" si="7"/>
        <v>414.98223230576542</v>
      </c>
    </row>
    <row r="22" spans="1:18" x14ac:dyDescent="0.2">
      <c r="A22" s="32" t="s">
        <v>176</v>
      </c>
      <c r="B22" s="55">
        <v>3523</v>
      </c>
      <c r="C22" s="47">
        <v>250</v>
      </c>
      <c r="D22" s="39"/>
      <c r="E22" s="56">
        <f t="shared" si="8"/>
        <v>583.75</v>
      </c>
      <c r="F22" s="50">
        <f t="shared" si="2"/>
        <v>207.46421293680896</v>
      </c>
      <c r="G22" s="56">
        <f t="shared" si="3"/>
        <v>422.45063107613078</v>
      </c>
      <c r="H22" s="50">
        <f t="shared" si="9"/>
        <v>419.53208693545758</v>
      </c>
      <c r="J22" s="55">
        <f t="shared" si="10"/>
        <v>59.354865007006801</v>
      </c>
      <c r="K22" s="55">
        <f t="shared" si="4"/>
        <v>59.354865007006801</v>
      </c>
      <c r="L22" s="55">
        <f t="shared" si="11"/>
        <v>59.354865007006801</v>
      </c>
      <c r="M22" s="55">
        <f t="shared" si="5"/>
        <v>422.45063107613072</v>
      </c>
      <c r="N22" s="55">
        <f t="shared" si="12"/>
        <v>59.354865007006801</v>
      </c>
      <c r="O22" s="55">
        <f t="shared" si="6"/>
        <v>419.53208693545753</v>
      </c>
      <c r="P22" s="55">
        <f t="shared" si="13"/>
        <v>59.354865007006801</v>
      </c>
      <c r="Q22" s="55">
        <f t="shared" si="7"/>
        <v>419.53208693545758</v>
      </c>
    </row>
    <row r="23" spans="1:18" x14ac:dyDescent="0.2">
      <c r="A23" s="32" t="s">
        <v>177</v>
      </c>
      <c r="B23" s="55">
        <v>8104</v>
      </c>
      <c r="C23" s="47">
        <v>250</v>
      </c>
      <c r="D23" s="39"/>
      <c r="E23" s="56">
        <f t="shared" si="8"/>
        <v>583.75</v>
      </c>
      <c r="F23" s="50">
        <f t="shared" si="2"/>
        <v>477.23246711322736</v>
      </c>
      <c r="G23" s="56">
        <f t="shared" si="3"/>
        <v>640.72158913112673</v>
      </c>
      <c r="H23" s="50">
        <f t="shared" si="9"/>
        <v>636.29509736569139</v>
      </c>
      <c r="J23" s="55">
        <f t="shared" si="10"/>
        <v>90.022219479415199</v>
      </c>
      <c r="K23" s="55">
        <f t="shared" si="4"/>
        <v>90.022219479415199</v>
      </c>
      <c r="L23" s="55">
        <f t="shared" si="11"/>
        <v>90.022219479415199</v>
      </c>
      <c r="M23" s="55">
        <f t="shared" si="5"/>
        <v>640.72158913112673</v>
      </c>
      <c r="N23" s="55">
        <f t="shared" si="12"/>
        <v>90.022219479415199</v>
      </c>
      <c r="O23" s="55">
        <f t="shared" si="6"/>
        <v>636.29509736569128</v>
      </c>
      <c r="P23" s="55">
        <f t="shared" si="13"/>
        <v>90.022219479415199</v>
      </c>
      <c r="Q23" s="55">
        <f t="shared" si="7"/>
        <v>636.29509736569139</v>
      </c>
    </row>
    <row r="24" spans="1:18" x14ac:dyDescent="0.2">
      <c r="A24" s="32" t="s">
        <v>178</v>
      </c>
      <c r="B24" s="42">
        <v>32739</v>
      </c>
      <c r="C24" s="47">
        <v>250</v>
      </c>
      <c r="D24" s="39"/>
      <c r="E24" s="48">
        <f t="shared" si="8"/>
        <v>583.75</v>
      </c>
      <c r="F24" s="50">
        <f t="shared" si="2"/>
        <v>1927.9508564684045</v>
      </c>
      <c r="G24" s="56">
        <f t="shared" si="3"/>
        <v>1287.8116412002219</v>
      </c>
      <c r="H24" s="50">
        <f t="shared" si="9"/>
        <v>1278.9146604805071</v>
      </c>
      <c r="J24" s="55">
        <f t="shared" si="10"/>
        <v>180.93921631310334</v>
      </c>
      <c r="K24" s="55">
        <f t="shared" si="4"/>
        <v>180.93921631310334</v>
      </c>
      <c r="L24" s="55">
        <f t="shared" si="11"/>
        <v>180.93921631310334</v>
      </c>
      <c r="M24" s="42">
        <f t="shared" si="5"/>
        <v>1287.8116412002216</v>
      </c>
      <c r="N24" s="55">
        <f t="shared" si="12"/>
        <v>180.93921631310334</v>
      </c>
      <c r="O24" s="42">
        <f t="shared" si="6"/>
        <v>1278.9146604805071</v>
      </c>
      <c r="P24" s="55">
        <f t="shared" si="13"/>
        <v>180.93921631310334</v>
      </c>
      <c r="Q24" s="42">
        <f t="shared" si="7"/>
        <v>1278.9146604805071</v>
      </c>
    </row>
    <row r="25" spans="1:18" x14ac:dyDescent="0.2">
      <c r="A25" s="32" t="s">
        <v>179</v>
      </c>
      <c r="B25" s="42">
        <v>2027</v>
      </c>
      <c r="C25" s="47">
        <v>250</v>
      </c>
      <c r="D25" s="39"/>
      <c r="E25" s="48">
        <f t="shared" si="8"/>
        <v>583.75</v>
      </c>
      <c r="F25" s="50">
        <f t="shared" si="2"/>
        <v>119.36700528609475</v>
      </c>
      <c r="G25" s="56">
        <f t="shared" si="3"/>
        <v>320.43984719960201</v>
      </c>
      <c r="H25" s="50">
        <f t="shared" si="9"/>
        <v>318.22605517353668</v>
      </c>
      <c r="J25" s="55">
        <f t="shared" si="10"/>
        <v>45.022216737961713</v>
      </c>
      <c r="K25" s="55">
        <f t="shared" si="4"/>
        <v>45.022216737961713</v>
      </c>
      <c r="L25" s="55">
        <f t="shared" si="11"/>
        <v>45.022216737961713</v>
      </c>
      <c r="M25" s="42">
        <f t="shared" si="5"/>
        <v>320.43984719960201</v>
      </c>
      <c r="N25" s="55">
        <f t="shared" si="12"/>
        <v>45.022216737961713</v>
      </c>
      <c r="O25" s="42">
        <f t="shared" si="6"/>
        <v>318.22605517353662</v>
      </c>
      <c r="P25" s="55">
        <f t="shared" si="13"/>
        <v>45.022216737961713</v>
      </c>
      <c r="Q25" s="42">
        <f t="shared" si="7"/>
        <v>318.22605517353668</v>
      </c>
    </row>
    <row r="26" spans="1:18" x14ac:dyDescent="0.2">
      <c r="A26" s="32" t="s">
        <v>299</v>
      </c>
      <c r="B26" s="42">
        <v>2589</v>
      </c>
      <c r="C26" s="47">
        <v>250</v>
      </c>
      <c r="D26" s="39"/>
      <c r="E26" s="48">
        <f t="shared" si="8"/>
        <v>583.75</v>
      </c>
      <c r="F26" s="50">
        <f t="shared" si="2"/>
        <v>152.4623466629005</v>
      </c>
      <c r="G26" s="56">
        <f t="shared" si="3"/>
        <v>362.14764621722077</v>
      </c>
      <c r="H26" s="50">
        <f t="shared" si="9"/>
        <v>359.64571152195606</v>
      </c>
      <c r="J26" s="55">
        <f t="shared" si="10"/>
        <v>50.882216932834204</v>
      </c>
      <c r="K26" s="55">
        <f t="shared" si="4"/>
        <v>50.882216932834204</v>
      </c>
      <c r="L26" s="55">
        <f t="shared" si="11"/>
        <v>50.882216932834204</v>
      </c>
      <c r="M26" s="42">
        <f t="shared" si="5"/>
        <v>362.14764621722077</v>
      </c>
      <c r="N26" s="55">
        <f t="shared" si="12"/>
        <v>50.882216932834204</v>
      </c>
      <c r="O26" s="42">
        <f t="shared" si="6"/>
        <v>359.645711521956</v>
      </c>
      <c r="P26" s="55">
        <f t="shared" si="13"/>
        <v>50.882216932834204</v>
      </c>
      <c r="Q26" s="42">
        <f t="shared" si="7"/>
        <v>359.64571152195606</v>
      </c>
    </row>
    <row r="27" spans="1:18" x14ac:dyDescent="0.2">
      <c r="A27" s="32" t="s">
        <v>300</v>
      </c>
      <c r="B27" s="42">
        <v>3041</v>
      </c>
      <c r="C27" s="47">
        <v>250</v>
      </c>
      <c r="D27" s="39"/>
      <c r="E27" s="48">
        <f t="shared" si="8"/>
        <v>583.75</v>
      </c>
      <c r="F27" s="50">
        <f t="shared" si="2"/>
        <v>179.07995218303608</v>
      </c>
      <c r="G27" s="56">
        <f t="shared" si="3"/>
        <v>392.48932724249852</v>
      </c>
      <c r="H27" s="50">
        <f t="shared" si="9"/>
        <v>389.7777738868262</v>
      </c>
      <c r="J27" s="55">
        <f t="shared" si="10"/>
        <v>55.145262715848951</v>
      </c>
      <c r="K27" s="55">
        <f t="shared" si="4"/>
        <v>55.145262715848951</v>
      </c>
      <c r="L27" s="55">
        <f t="shared" si="11"/>
        <v>55.145262715848951</v>
      </c>
      <c r="M27" s="42">
        <f t="shared" si="5"/>
        <v>392.48932724249846</v>
      </c>
      <c r="N27" s="55">
        <f t="shared" si="12"/>
        <v>55.145262715848951</v>
      </c>
      <c r="O27" s="42">
        <f t="shared" si="6"/>
        <v>389.77777388682614</v>
      </c>
      <c r="P27" s="55">
        <f t="shared" si="13"/>
        <v>55.145262715848951</v>
      </c>
      <c r="Q27" s="42">
        <f t="shared" si="7"/>
        <v>389.7777738868262</v>
      </c>
    </row>
    <row r="28" spans="1:18" x14ac:dyDescent="0.2">
      <c r="A28" s="32" t="s">
        <v>632</v>
      </c>
      <c r="B28" s="42">
        <v>1476</v>
      </c>
      <c r="C28" s="47">
        <v>250</v>
      </c>
      <c r="D28" s="39"/>
      <c r="E28" s="215">
        <f t="shared" si="8"/>
        <v>583.75</v>
      </c>
      <c r="F28" s="215">
        <f t="shared" si="2"/>
        <v>86.919437494956014</v>
      </c>
      <c r="G28" s="215">
        <f t="shared" si="3"/>
        <v>273.44048795087491</v>
      </c>
      <c r="H28" s="215">
        <f t="shared" si="9"/>
        <v>271.55139588845117</v>
      </c>
      <c r="J28" s="55">
        <f t="shared" si="10"/>
        <v>38.418745424597091</v>
      </c>
      <c r="K28" s="55">
        <f t="shared" si="4"/>
        <v>38.418745424597091</v>
      </c>
      <c r="L28" s="55">
        <f t="shared" si="11"/>
        <v>38.418745424597091</v>
      </c>
      <c r="M28" s="42">
        <f t="shared" si="5"/>
        <v>273.44048795087497</v>
      </c>
      <c r="N28" s="55">
        <f t="shared" si="12"/>
        <v>38.418745424597091</v>
      </c>
      <c r="O28" s="42">
        <f t="shared" si="6"/>
        <v>271.55139588845111</v>
      </c>
      <c r="P28" s="55">
        <f t="shared" si="13"/>
        <v>38.418745424597091</v>
      </c>
      <c r="Q28" s="42">
        <f t="shared" si="7"/>
        <v>271.55139588845117</v>
      </c>
    </row>
    <row r="29" spans="1:18" x14ac:dyDescent="0.2">
      <c r="A29" s="32" t="s">
        <v>495</v>
      </c>
      <c r="B29" s="42">
        <v>14529</v>
      </c>
      <c r="C29" s="47">
        <v>250</v>
      </c>
      <c r="D29" s="39"/>
      <c r="E29" s="215">
        <f t="shared" si="8"/>
        <v>583.75</v>
      </c>
      <c r="F29" s="215">
        <f t="shared" si="2"/>
        <v>855.59112965055283</v>
      </c>
      <c r="G29" s="215">
        <f t="shared" si="3"/>
        <v>857.90165080019631</v>
      </c>
      <c r="H29" s="215">
        <f t="shared" si="9"/>
        <v>851.97474798118856</v>
      </c>
      <c r="J29" s="55">
        <f t="shared" si="10"/>
        <v>120.5363015858708</v>
      </c>
      <c r="K29" s="55">
        <f t="shared" si="4"/>
        <v>120.5363015858708</v>
      </c>
      <c r="L29" s="55">
        <f t="shared" si="11"/>
        <v>120.5363015858708</v>
      </c>
      <c r="M29" s="42">
        <f t="shared" si="5"/>
        <v>857.90165080019631</v>
      </c>
      <c r="N29" s="55">
        <f t="shared" si="12"/>
        <v>120.5363015858708</v>
      </c>
      <c r="O29" s="42">
        <f t="shared" si="6"/>
        <v>851.97474798118844</v>
      </c>
      <c r="P29" s="55">
        <f t="shared" si="13"/>
        <v>120.5363015858708</v>
      </c>
      <c r="Q29" s="42">
        <f t="shared" si="7"/>
        <v>851.97474798118856</v>
      </c>
    </row>
    <row r="31" spans="1:18" s="7" customFormat="1" ht="14.1" customHeight="1" x14ac:dyDescent="0.25">
      <c r="A31" s="43"/>
      <c r="B31" s="52"/>
      <c r="C31" s="40"/>
      <c r="D31" s="40"/>
      <c r="E31" s="40"/>
      <c r="F31" s="40"/>
      <c r="G31" s="40"/>
      <c r="H31" s="44"/>
      <c r="I31" s="40"/>
      <c r="J31" s="40"/>
      <c r="K31" s="40"/>
      <c r="L31" s="40"/>
      <c r="M31" s="40"/>
      <c r="N31" s="40"/>
      <c r="O31" s="40"/>
      <c r="P31" s="40"/>
      <c r="Q31" s="40"/>
      <c r="R31" s="43"/>
    </row>
    <row r="32" spans="1:18" x14ac:dyDescent="0.2">
      <c r="B32" s="51"/>
      <c r="H32" s="30"/>
    </row>
  </sheetData>
  <mergeCells count="10">
    <mergeCell ref="L5:M5"/>
    <mergeCell ref="N5:O5"/>
    <mergeCell ref="P5:Q5"/>
    <mergeCell ref="A1:H1"/>
    <mergeCell ref="J3:Q3"/>
    <mergeCell ref="E3:H3"/>
    <mergeCell ref="D4:D7"/>
    <mergeCell ref="J1:Q1"/>
    <mergeCell ref="L4:Q4"/>
    <mergeCell ref="A3:C3"/>
  </mergeCells>
  <phoneticPr fontId="18" type="noConversion"/>
  <pageMargins left="0.75000000000000011" right="0.75000000000000011" top="1" bottom="1" header="0.5" footer="0.5"/>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46"/>
  <sheetViews>
    <sheetView workbookViewId="0">
      <selection sqref="A1:XFD1048576"/>
    </sheetView>
  </sheetViews>
  <sheetFormatPr defaultColWidth="8.875" defaultRowHeight="12.75" x14ac:dyDescent="0.2"/>
  <cols>
    <col min="1" max="2" width="21.5" style="3" customWidth="1"/>
    <col min="3" max="3" width="10.625" style="3" customWidth="1"/>
    <col min="4" max="4" width="10.625" style="31" customWidth="1"/>
    <col min="5" max="5" width="1.625" style="4" customWidth="1"/>
    <col min="6" max="13" width="10.625" style="4" customWidth="1"/>
    <col min="14" max="14" width="1.625" style="4" customWidth="1"/>
    <col min="15" max="15" width="10" style="4" customWidth="1"/>
    <col min="16" max="16" width="10.125" style="4" customWidth="1"/>
    <col min="17" max="19" width="9.875" style="4" customWidth="1"/>
    <col min="20" max="20" width="10.125" style="4" customWidth="1"/>
    <col min="21" max="21" width="1.5" style="3" customWidth="1"/>
    <col min="22" max="16384" width="8.875" style="3"/>
  </cols>
  <sheetData>
    <row r="1" spans="1:21" ht="170.1" customHeight="1" x14ac:dyDescent="0.25">
      <c r="A1" s="338" t="s">
        <v>235</v>
      </c>
      <c r="B1" s="339"/>
      <c r="C1" s="339"/>
      <c r="D1" s="339"/>
      <c r="E1" s="339"/>
      <c r="F1" s="339"/>
      <c r="G1" s="339"/>
      <c r="H1" s="339"/>
      <c r="I1" s="339"/>
      <c r="J1" s="339"/>
      <c r="K1" s="339"/>
      <c r="L1" s="339"/>
      <c r="M1" s="339"/>
      <c r="O1" s="335" t="s">
        <v>167</v>
      </c>
      <c r="P1" s="335"/>
      <c r="Q1" s="335"/>
      <c r="R1" s="335"/>
      <c r="S1" s="335"/>
      <c r="T1" s="335"/>
    </row>
    <row r="2" spans="1:21" x14ac:dyDescent="0.2">
      <c r="O2" s="216"/>
    </row>
    <row r="3" spans="1:21" s="7" customFormat="1" ht="16.5" customHeight="1" x14ac:dyDescent="0.25">
      <c r="A3" s="332" t="s">
        <v>282</v>
      </c>
      <c r="B3" s="328"/>
      <c r="C3" s="328"/>
      <c r="D3" s="328"/>
      <c r="E3" s="37"/>
      <c r="F3" s="332" t="s">
        <v>70</v>
      </c>
      <c r="G3" s="332"/>
      <c r="H3" s="332"/>
      <c r="I3" s="332"/>
      <c r="J3" s="332" t="s">
        <v>70</v>
      </c>
      <c r="K3" s="332"/>
      <c r="L3" s="332"/>
      <c r="M3" s="332"/>
      <c r="N3" s="40"/>
      <c r="O3" s="331" t="s">
        <v>599</v>
      </c>
      <c r="P3" s="332"/>
      <c r="Q3" s="332"/>
      <c r="R3" s="332"/>
      <c r="S3" s="332"/>
      <c r="T3" s="332"/>
    </row>
    <row r="4" spans="1:21" ht="16.5" customHeight="1" x14ac:dyDescent="0.25">
      <c r="A4" s="340" t="s">
        <v>148</v>
      </c>
      <c r="B4" s="340"/>
      <c r="C4" s="39">
        <v>156</v>
      </c>
      <c r="D4" s="51" t="s">
        <v>91</v>
      </c>
      <c r="E4" s="334"/>
      <c r="F4" s="77" t="s">
        <v>180</v>
      </c>
      <c r="G4" s="77"/>
      <c r="H4" s="77"/>
      <c r="I4" s="75">
        <f ca="1">+I9</f>
        <v>160</v>
      </c>
      <c r="J4" s="77"/>
      <c r="K4" s="77"/>
      <c r="L4" s="78"/>
      <c r="M4" s="75">
        <f ca="1">+M9</f>
        <v>160</v>
      </c>
      <c r="O4" s="336" t="s">
        <v>406</v>
      </c>
      <c r="P4" s="337"/>
      <c r="Q4" s="337"/>
      <c r="R4" s="337"/>
      <c r="S4" s="337"/>
      <c r="T4" s="337"/>
    </row>
    <row r="5" spans="1:21" ht="16.5" customHeight="1" x14ac:dyDescent="0.25">
      <c r="A5" s="341" t="s">
        <v>108</v>
      </c>
      <c r="B5" s="339"/>
      <c r="C5" s="29">
        <f>+COUNTA(A10:A2500)</f>
        <v>134</v>
      </c>
      <c r="D5" s="51" t="s">
        <v>76</v>
      </c>
      <c r="E5" s="334"/>
      <c r="F5" s="79" t="s">
        <v>598</v>
      </c>
      <c r="G5" s="79"/>
      <c r="H5" s="79"/>
      <c r="I5" s="80">
        <f>+M5</f>
        <v>10</v>
      </c>
      <c r="J5" s="79"/>
      <c r="K5" s="79"/>
      <c r="L5" s="78"/>
      <c r="M5" s="73">
        <f>+ROUND(C4/C6,0)</f>
        <v>10</v>
      </c>
      <c r="O5" s="329" t="s">
        <v>74</v>
      </c>
      <c r="P5" s="329"/>
      <c r="Q5" s="329" t="s">
        <v>75</v>
      </c>
      <c r="R5" s="329"/>
      <c r="S5" s="329" t="s">
        <v>264</v>
      </c>
      <c r="T5" s="329"/>
    </row>
    <row r="6" spans="1:21" ht="16.5" customHeight="1" x14ac:dyDescent="0.25">
      <c r="A6" s="341" t="s">
        <v>3</v>
      </c>
      <c r="B6" s="339"/>
      <c r="C6" s="29">
        <v>16</v>
      </c>
      <c r="D6" s="83">
        <f ca="1">+RAND()</f>
        <v>0.2977868951672844</v>
      </c>
      <c r="E6" s="334"/>
      <c r="F6" s="342" t="s">
        <v>423</v>
      </c>
      <c r="G6" s="342"/>
      <c r="H6" s="342"/>
      <c r="I6" s="342"/>
      <c r="J6" s="342" t="s">
        <v>100</v>
      </c>
      <c r="K6" s="342"/>
      <c r="L6" s="342"/>
      <c r="M6" s="342"/>
      <c r="O6" s="61" t="s">
        <v>88</v>
      </c>
      <c r="P6" s="53">
        <f>+M5/D9</f>
        <v>7.4626865671641792E-4</v>
      </c>
      <c r="Q6" s="61" t="s">
        <v>88</v>
      </c>
      <c r="R6" s="53">
        <f>+P6-(P9-$M5)/O9</f>
        <v>8.3728718950600012E-4</v>
      </c>
      <c r="S6" s="61" t="s">
        <v>88</v>
      </c>
      <c r="T6" s="53">
        <f>R6-(R9-$M5)/Q9</f>
        <v>8.3728718950600066E-4</v>
      </c>
    </row>
    <row r="7" spans="1:21" ht="35.1" customHeight="1" thickBot="1" x14ac:dyDescent="0.25">
      <c r="A7" s="28" t="s">
        <v>496</v>
      </c>
      <c r="B7" s="28" t="s">
        <v>211</v>
      </c>
      <c r="C7" s="28" t="s">
        <v>595</v>
      </c>
      <c r="D7" s="28" t="s">
        <v>396</v>
      </c>
      <c r="E7" s="334"/>
      <c r="F7" s="81" t="s">
        <v>310</v>
      </c>
      <c r="G7" s="81" t="s">
        <v>109</v>
      </c>
      <c r="H7" s="81" t="s">
        <v>513</v>
      </c>
      <c r="I7" s="81" t="s">
        <v>619</v>
      </c>
      <c r="J7" s="81" t="s">
        <v>562</v>
      </c>
      <c r="K7" s="81" t="s">
        <v>109</v>
      </c>
      <c r="L7" s="82" t="s">
        <v>513</v>
      </c>
      <c r="M7" s="82" t="s">
        <v>619</v>
      </c>
      <c r="O7" s="58"/>
      <c r="P7" s="58"/>
      <c r="Q7" s="58"/>
      <c r="R7" s="58"/>
      <c r="S7" s="58"/>
      <c r="T7" s="58"/>
    </row>
    <row r="8" spans="1:21" ht="15" thickBot="1" x14ac:dyDescent="0.3">
      <c r="A8" s="28" t="s">
        <v>497</v>
      </c>
      <c r="B8" s="63" t="s">
        <v>110</v>
      </c>
      <c r="C8" s="64" t="s">
        <v>121</v>
      </c>
      <c r="D8" s="35" t="s">
        <v>111</v>
      </c>
      <c r="E8" s="38"/>
      <c r="F8" s="64" t="s">
        <v>164</v>
      </c>
      <c r="G8" s="84">
        <f ca="1">-D6</f>
        <v>-0.2977868951672844</v>
      </c>
      <c r="H8" s="64" t="s">
        <v>165</v>
      </c>
      <c r="I8" s="64" t="s">
        <v>166</v>
      </c>
      <c r="J8" s="64" t="s">
        <v>93</v>
      </c>
      <c r="K8" s="84">
        <f ca="1">-D6</f>
        <v>-0.2977868951672844</v>
      </c>
      <c r="L8" s="36" t="s">
        <v>165</v>
      </c>
      <c r="M8" s="63" t="s">
        <v>166</v>
      </c>
      <c r="O8" s="62" t="s">
        <v>593</v>
      </c>
      <c r="P8" s="62" t="s">
        <v>594</v>
      </c>
      <c r="Q8" s="62" t="s">
        <v>593</v>
      </c>
      <c r="R8" s="62" t="s">
        <v>594</v>
      </c>
      <c r="S8" s="62" t="s">
        <v>593</v>
      </c>
      <c r="T8" s="62" t="s">
        <v>594</v>
      </c>
    </row>
    <row r="9" spans="1:21" s="7" customFormat="1" ht="17.100000000000001" customHeight="1" thickBot="1" x14ac:dyDescent="0.25">
      <c r="A9" s="70"/>
      <c r="B9" s="70"/>
      <c r="C9" s="71">
        <f>SUM(C10:C2500)</f>
        <v>13400</v>
      </c>
      <c r="D9" s="71">
        <f>SUM(D10:D2500)</f>
        <v>13400</v>
      </c>
      <c r="E9" s="40"/>
      <c r="F9" s="49">
        <f>+SUM(F10:F2500)</f>
        <v>10.000000000000004</v>
      </c>
      <c r="G9" s="49">
        <f t="shared" ref="G9:M9" ca="1" si="0">+SUM(G10:G2500)</f>
        <v>718.27715306250923</v>
      </c>
      <c r="H9" s="49">
        <f t="shared" ca="1" si="0"/>
        <v>10</v>
      </c>
      <c r="I9" s="49">
        <f t="shared" ca="1" si="0"/>
        <v>160</v>
      </c>
      <c r="J9" s="49">
        <f t="shared" si="0"/>
        <v>10.000000000000002</v>
      </c>
      <c r="K9" s="49">
        <f t="shared" ca="1" si="0"/>
        <v>654.63353623178705</v>
      </c>
      <c r="L9" s="49">
        <f t="shared" ca="1" si="0"/>
        <v>10</v>
      </c>
      <c r="M9" s="49">
        <f t="shared" ca="1" si="0"/>
        <v>160</v>
      </c>
      <c r="N9" s="72"/>
      <c r="O9" s="60">
        <f>+SUM(O10:O2500)+V11+U9</f>
        <v>10749</v>
      </c>
      <c r="P9" s="60">
        <f t="shared" ref="P9:T9" si="1">+SUM(P10:P2500)</f>
        <v>9.0216417910447806</v>
      </c>
      <c r="Q9" s="60">
        <f t="shared" si="1"/>
        <v>10749</v>
      </c>
      <c r="R9" s="60">
        <f t="shared" si="1"/>
        <v>9.9999999999999947</v>
      </c>
      <c r="S9" s="60">
        <f t="shared" si="1"/>
        <v>10749</v>
      </c>
      <c r="T9" s="60">
        <f t="shared" si="1"/>
        <v>10.000000000000002</v>
      </c>
      <c r="U9" s="43"/>
    </row>
    <row r="10" spans="1:21" ht="14.1" customHeight="1" x14ac:dyDescent="0.2">
      <c r="A10" s="32" t="s">
        <v>483</v>
      </c>
      <c r="B10" s="32" t="s">
        <v>498</v>
      </c>
      <c r="C10" s="32">
        <f>+D10</f>
        <v>31</v>
      </c>
      <c r="D10" s="65">
        <v>31</v>
      </c>
      <c r="E10" s="39"/>
      <c r="F10" s="66">
        <f t="shared" ref="F10:F41" si="2">+I$5*D10/D$9</f>
        <v>2.3134328358208955E-2</v>
      </c>
      <c r="G10" s="69">
        <f ca="1">+F10+G8</f>
        <v>-0.27465256680907546</v>
      </c>
      <c r="H10" s="76">
        <f ca="1">+INT(G10)-INT(G8)</f>
        <v>0</v>
      </c>
      <c r="I10" s="76">
        <f ca="1">MIN(C10,H10*C$6)</f>
        <v>0</v>
      </c>
      <c r="J10" s="68">
        <f>+T10</f>
        <v>2.5955902874686021E-2</v>
      </c>
      <c r="K10" s="69">
        <f ca="1">+J10+K8</f>
        <v>-0.27183099229259838</v>
      </c>
      <c r="L10" s="50">
        <f ca="1">+INT(K10)-INT(K8)</f>
        <v>0</v>
      </c>
      <c r="M10" s="74">
        <f t="shared" ref="M10:M41" ca="1" si="3">MIN(C10,L10*C$6)</f>
        <v>0</v>
      </c>
      <c r="O10" s="55">
        <f t="shared" ref="O10:O41" si="4">+($D10/2)*(SIGN(1-P$6*$D10)+1)</f>
        <v>31</v>
      </c>
      <c r="P10" s="67">
        <f t="shared" ref="P10:P41" si="5">MIN(1,P$6*$D10)</f>
        <v>2.3134328358208955E-2</v>
      </c>
      <c r="Q10" s="55">
        <f t="shared" ref="Q10:Q41" si="6">+($D10/2)*(SIGN(1-R$6*$D10)+1)</f>
        <v>31</v>
      </c>
      <c r="R10" s="67">
        <f t="shared" ref="R10:R41" si="7">MIN(1,R$6*$D10)</f>
        <v>2.5955902874686004E-2</v>
      </c>
      <c r="S10" s="55">
        <f t="shared" ref="S10:S41" si="8">+($D10/2)*(SIGN(1-T$6*$D10)+1)</f>
        <v>31</v>
      </c>
      <c r="T10" s="67">
        <f t="shared" ref="T10:T41" si="9">MIN(1,T$6*$D10)</f>
        <v>2.5955902874686021E-2</v>
      </c>
    </row>
    <row r="11" spans="1:21" ht="14.1" customHeight="1" x14ac:dyDescent="0.2">
      <c r="A11" s="32" t="s">
        <v>483</v>
      </c>
      <c r="B11" s="32" t="s">
        <v>499</v>
      </c>
      <c r="C11" s="32">
        <f t="shared" ref="C11:C74" si="10">+D11</f>
        <v>71</v>
      </c>
      <c r="D11" s="65">
        <v>71</v>
      </c>
      <c r="E11" s="39"/>
      <c r="F11" s="68">
        <f t="shared" si="2"/>
        <v>5.2985074626865671E-2</v>
      </c>
      <c r="G11" s="69">
        <f t="shared" ref="G11:G74" ca="1" si="11">+F11+G10</f>
        <v>-0.2216674921822098</v>
      </c>
      <c r="H11" s="76">
        <f t="shared" ref="H11:H74" ca="1" si="12">+INT(G11)-INT(G10)</f>
        <v>0</v>
      </c>
      <c r="I11" s="76">
        <f t="shared" ref="I11:I74" ca="1" si="13">MIN(C11,H11*C$6)</f>
        <v>0</v>
      </c>
      <c r="J11" s="68">
        <f t="shared" ref="J11:J74" si="14">+T11</f>
        <v>5.9447390454926044E-2</v>
      </c>
      <c r="K11" s="69">
        <f t="shared" ref="K11:K74" ca="1" si="15">+J11+K10</f>
        <v>-0.21238360183767235</v>
      </c>
      <c r="L11" s="56">
        <f t="shared" ref="L11:L74" ca="1" si="16">+INT(K11)-INT(K10)</f>
        <v>0</v>
      </c>
      <c r="M11" s="74">
        <f t="shared" ca="1" si="3"/>
        <v>0</v>
      </c>
      <c r="O11" s="55">
        <f t="shared" si="4"/>
        <v>71</v>
      </c>
      <c r="P11" s="67">
        <f t="shared" si="5"/>
        <v>5.2985074626865671E-2</v>
      </c>
      <c r="Q11" s="55">
        <f t="shared" si="6"/>
        <v>71</v>
      </c>
      <c r="R11" s="67">
        <f t="shared" si="7"/>
        <v>5.9447390454926009E-2</v>
      </c>
      <c r="S11" s="55">
        <f t="shared" si="8"/>
        <v>71</v>
      </c>
      <c r="T11" s="67">
        <f t="shared" si="9"/>
        <v>5.9447390454926044E-2</v>
      </c>
    </row>
    <row r="12" spans="1:21" ht="14.1" customHeight="1" x14ac:dyDescent="0.2">
      <c r="A12" s="32" t="s">
        <v>483</v>
      </c>
      <c r="B12" s="32" t="s">
        <v>490</v>
      </c>
      <c r="C12" s="32">
        <f t="shared" si="10"/>
        <v>211</v>
      </c>
      <c r="D12" s="65">
        <v>211</v>
      </c>
      <c r="E12" s="39"/>
      <c r="F12" s="68">
        <f t="shared" si="2"/>
        <v>0.15746268656716417</v>
      </c>
      <c r="G12" s="69">
        <f t="shared" ca="1" si="11"/>
        <v>-6.4204805615045629E-2</v>
      </c>
      <c r="H12" s="76">
        <f t="shared" ca="1" si="12"/>
        <v>0</v>
      </c>
      <c r="I12" s="76">
        <f t="shared" ca="1" si="13"/>
        <v>0</v>
      </c>
      <c r="J12" s="68">
        <f t="shared" si="14"/>
        <v>0.17666759698576615</v>
      </c>
      <c r="K12" s="69">
        <f t="shared" ca="1" si="15"/>
        <v>-3.5716004851906208E-2</v>
      </c>
      <c r="L12" s="56">
        <f t="shared" ca="1" si="16"/>
        <v>0</v>
      </c>
      <c r="M12" s="74">
        <f t="shared" ca="1" si="3"/>
        <v>0</v>
      </c>
      <c r="O12" s="55">
        <f t="shared" si="4"/>
        <v>211</v>
      </c>
      <c r="P12" s="67">
        <f t="shared" si="5"/>
        <v>0.15746268656716417</v>
      </c>
      <c r="Q12" s="55">
        <f t="shared" si="6"/>
        <v>211</v>
      </c>
      <c r="R12" s="67">
        <f t="shared" si="7"/>
        <v>0.17666759698576603</v>
      </c>
      <c r="S12" s="55">
        <f t="shared" si="8"/>
        <v>211</v>
      </c>
      <c r="T12" s="67">
        <f t="shared" si="9"/>
        <v>0.17666759698576615</v>
      </c>
    </row>
    <row r="13" spans="1:21" ht="14.1" customHeight="1" x14ac:dyDescent="0.2">
      <c r="A13" s="32" t="s">
        <v>483</v>
      </c>
      <c r="B13" s="32" t="s">
        <v>397</v>
      </c>
      <c r="C13" s="32">
        <f t="shared" si="10"/>
        <v>23</v>
      </c>
      <c r="D13" s="65">
        <v>23</v>
      </c>
      <c r="E13" s="39"/>
      <c r="F13" s="68">
        <f t="shared" si="2"/>
        <v>1.7164179104477612E-2</v>
      </c>
      <c r="G13" s="69">
        <f t="shared" ca="1" si="11"/>
        <v>-4.704062651056802E-2</v>
      </c>
      <c r="H13" s="76">
        <f t="shared" ca="1" si="12"/>
        <v>0</v>
      </c>
      <c r="I13" s="76">
        <f t="shared" ca="1" si="13"/>
        <v>0</v>
      </c>
      <c r="J13" s="68">
        <f t="shared" si="14"/>
        <v>1.9257605358638016E-2</v>
      </c>
      <c r="K13" s="69">
        <f t="shared" ca="1" si="15"/>
        <v>-1.6458399493268192E-2</v>
      </c>
      <c r="L13" s="56">
        <f t="shared" ca="1" si="16"/>
        <v>0</v>
      </c>
      <c r="M13" s="74">
        <f t="shared" ca="1" si="3"/>
        <v>0</v>
      </c>
      <c r="O13" s="55">
        <f t="shared" si="4"/>
        <v>23</v>
      </c>
      <c r="P13" s="67">
        <f t="shared" si="5"/>
        <v>1.7164179104477612E-2</v>
      </c>
      <c r="Q13" s="55">
        <f t="shared" si="6"/>
        <v>23</v>
      </c>
      <c r="R13" s="67">
        <f t="shared" si="7"/>
        <v>1.9257605358638002E-2</v>
      </c>
      <c r="S13" s="55">
        <f t="shared" si="8"/>
        <v>23</v>
      </c>
      <c r="T13" s="67">
        <f t="shared" si="9"/>
        <v>1.9257605358638016E-2</v>
      </c>
    </row>
    <row r="14" spans="1:21" ht="14.1" customHeight="1" x14ac:dyDescent="0.2">
      <c r="A14" s="32" t="s">
        <v>483</v>
      </c>
      <c r="B14" s="32" t="s">
        <v>398</v>
      </c>
      <c r="C14" s="32">
        <f t="shared" si="10"/>
        <v>151</v>
      </c>
      <c r="D14" s="65">
        <v>151</v>
      </c>
      <c r="E14" s="39"/>
      <c r="F14" s="68">
        <f t="shared" si="2"/>
        <v>0.1126865671641791</v>
      </c>
      <c r="G14" s="69">
        <f t="shared" ca="1" si="11"/>
        <v>6.5645940653611082E-2</v>
      </c>
      <c r="H14" s="76">
        <f t="shared" ca="1" si="12"/>
        <v>1</v>
      </c>
      <c r="I14" s="76">
        <f t="shared" ca="1" si="13"/>
        <v>16</v>
      </c>
      <c r="J14" s="68">
        <f t="shared" si="14"/>
        <v>0.1264303656154061</v>
      </c>
      <c r="K14" s="69">
        <f t="shared" ca="1" si="15"/>
        <v>0.10997196612213792</v>
      </c>
      <c r="L14" s="56">
        <f t="shared" ca="1" si="16"/>
        <v>1</v>
      </c>
      <c r="M14" s="74">
        <f t="shared" ca="1" si="3"/>
        <v>16</v>
      </c>
      <c r="O14" s="55">
        <f t="shared" si="4"/>
        <v>151</v>
      </c>
      <c r="P14" s="67">
        <f t="shared" si="5"/>
        <v>0.1126865671641791</v>
      </c>
      <c r="Q14" s="55">
        <f t="shared" si="6"/>
        <v>151</v>
      </c>
      <c r="R14" s="67">
        <f t="shared" si="7"/>
        <v>0.12643036561540602</v>
      </c>
      <c r="S14" s="55">
        <f t="shared" si="8"/>
        <v>151</v>
      </c>
      <c r="T14" s="67">
        <f t="shared" si="9"/>
        <v>0.1264303656154061</v>
      </c>
    </row>
    <row r="15" spans="1:21" ht="14.1" customHeight="1" x14ac:dyDescent="0.2">
      <c r="A15" s="32" t="s">
        <v>483</v>
      </c>
      <c r="B15" s="32" t="s">
        <v>399</v>
      </c>
      <c r="C15" s="32">
        <f t="shared" si="10"/>
        <v>74</v>
      </c>
      <c r="D15" s="65">
        <v>74</v>
      </c>
      <c r="E15" s="39"/>
      <c r="F15" s="68">
        <f t="shared" si="2"/>
        <v>5.5223880597014927E-2</v>
      </c>
      <c r="G15" s="69">
        <f t="shared" ca="1" si="11"/>
        <v>0.12086982125062601</v>
      </c>
      <c r="H15" s="76">
        <f t="shared" ca="1" si="12"/>
        <v>0</v>
      </c>
      <c r="I15" s="76">
        <f t="shared" ca="1" si="13"/>
        <v>0</v>
      </c>
      <c r="J15" s="68">
        <f t="shared" si="14"/>
        <v>6.1959252023444052E-2</v>
      </c>
      <c r="K15" s="69">
        <f t="shared" ca="1" si="15"/>
        <v>0.17193121814558196</v>
      </c>
      <c r="L15" s="56">
        <f t="shared" ca="1" si="16"/>
        <v>0</v>
      </c>
      <c r="M15" s="74">
        <f t="shared" ca="1" si="3"/>
        <v>0</v>
      </c>
      <c r="O15" s="55">
        <f t="shared" si="4"/>
        <v>74</v>
      </c>
      <c r="P15" s="67">
        <f t="shared" si="5"/>
        <v>5.5223880597014927E-2</v>
      </c>
      <c r="Q15" s="55">
        <f t="shared" si="6"/>
        <v>74</v>
      </c>
      <c r="R15" s="67">
        <f t="shared" si="7"/>
        <v>6.195925202344401E-2</v>
      </c>
      <c r="S15" s="55">
        <f t="shared" si="8"/>
        <v>74</v>
      </c>
      <c r="T15" s="67">
        <f t="shared" si="9"/>
        <v>6.1959252023444052E-2</v>
      </c>
    </row>
    <row r="16" spans="1:21" ht="14.1" customHeight="1" x14ac:dyDescent="0.2">
      <c r="A16" s="32" t="s">
        <v>483</v>
      </c>
      <c r="B16" s="32" t="s">
        <v>563</v>
      </c>
      <c r="C16" s="32">
        <f t="shared" si="10"/>
        <v>2651</v>
      </c>
      <c r="D16" s="65">
        <v>2651</v>
      </c>
      <c r="E16" s="39"/>
      <c r="F16" s="68">
        <f t="shared" si="2"/>
        <v>1.9783582089552239</v>
      </c>
      <c r="G16" s="69">
        <f t="shared" ca="1" si="11"/>
        <v>2.0992280302058499</v>
      </c>
      <c r="H16" s="76">
        <f t="shared" ca="1" si="12"/>
        <v>2</v>
      </c>
      <c r="I16" s="76">
        <f t="shared" ca="1" si="13"/>
        <v>32</v>
      </c>
      <c r="J16" s="68">
        <f t="shared" si="14"/>
        <v>1</v>
      </c>
      <c r="K16" s="69">
        <f t="shared" ca="1" si="15"/>
        <v>1.1719312181455819</v>
      </c>
      <c r="L16" s="56">
        <f t="shared" ca="1" si="16"/>
        <v>1</v>
      </c>
      <c r="M16" s="74">
        <f t="shared" ca="1" si="3"/>
        <v>16</v>
      </c>
      <c r="O16" s="55">
        <f t="shared" si="4"/>
        <v>0</v>
      </c>
      <c r="P16" s="67">
        <f t="shared" si="5"/>
        <v>1</v>
      </c>
      <c r="Q16" s="55">
        <f t="shared" si="6"/>
        <v>0</v>
      </c>
      <c r="R16" s="67">
        <f t="shared" si="7"/>
        <v>1</v>
      </c>
      <c r="S16" s="55">
        <f t="shared" si="8"/>
        <v>0</v>
      </c>
      <c r="T16" s="67">
        <f t="shared" si="9"/>
        <v>1</v>
      </c>
    </row>
    <row r="17" spans="1:20" ht="14.1" customHeight="1" x14ac:dyDescent="0.2">
      <c r="A17" s="32" t="s">
        <v>483</v>
      </c>
      <c r="B17" s="32" t="s">
        <v>5</v>
      </c>
      <c r="C17" s="32">
        <f t="shared" si="10"/>
        <v>64</v>
      </c>
      <c r="D17" s="65">
        <v>64</v>
      </c>
      <c r="E17" s="39"/>
      <c r="F17" s="68">
        <f t="shared" si="2"/>
        <v>4.7761194029850747E-2</v>
      </c>
      <c r="G17" s="69">
        <f t="shared" ca="1" si="11"/>
        <v>2.1469892242357007</v>
      </c>
      <c r="H17" s="76">
        <f t="shared" ca="1" si="12"/>
        <v>0</v>
      </c>
      <c r="I17" s="76">
        <f t="shared" ca="1" si="13"/>
        <v>0</v>
      </c>
      <c r="J17" s="68">
        <f t="shared" si="14"/>
        <v>5.3586380128384042E-2</v>
      </c>
      <c r="K17" s="69">
        <f t="shared" ca="1" si="15"/>
        <v>1.2255175982739659</v>
      </c>
      <c r="L17" s="56">
        <f t="shared" ca="1" si="16"/>
        <v>0</v>
      </c>
      <c r="M17" s="74">
        <f t="shared" ca="1" si="3"/>
        <v>0</v>
      </c>
      <c r="O17" s="55">
        <f t="shared" si="4"/>
        <v>64</v>
      </c>
      <c r="P17" s="67">
        <f t="shared" si="5"/>
        <v>4.7761194029850747E-2</v>
      </c>
      <c r="Q17" s="55">
        <f t="shared" si="6"/>
        <v>64</v>
      </c>
      <c r="R17" s="67">
        <f t="shared" si="7"/>
        <v>5.3586380128384008E-2</v>
      </c>
      <c r="S17" s="55">
        <f t="shared" si="8"/>
        <v>64</v>
      </c>
      <c r="T17" s="67">
        <f t="shared" si="9"/>
        <v>5.3586380128384042E-2</v>
      </c>
    </row>
    <row r="18" spans="1:20" ht="14.1" customHeight="1" x14ac:dyDescent="0.2">
      <c r="A18" s="32" t="s">
        <v>483</v>
      </c>
      <c r="B18" s="32" t="s">
        <v>6</v>
      </c>
      <c r="C18" s="32">
        <f t="shared" si="10"/>
        <v>107</v>
      </c>
      <c r="D18" s="65">
        <v>107</v>
      </c>
      <c r="E18" s="39"/>
      <c r="F18" s="68">
        <f t="shared" si="2"/>
        <v>7.9850746268656722E-2</v>
      </c>
      <c r="G18" s="69">
        <f t="shared" ca="1" si="11"/>
        <v>2.2268399705043573</v>
      </c>
      <c r="H18" s="76">
        <f t="shared" ca="1" si="12"/>
        <v>0</v>
      </c>
      <c r="I18" s="76">
        <f t="shared" ca="1" si="13"/>
        <v>0</v>
      </c>
      <c r="J18" s="68">
        <f t="shared" si="14"/>
        <v>8.9589729277142066E-2</v>
      </c>
      <c r="K18" s="69">
        <f t="shared" ca="1" si="15"/>
        <v>1.315107327551108</v>
      </c>
      <c r="L18" s="56">
        <f t="shared" ca="1" si="16"/>
        <v>0</v>
      </c>
      <c r="M18" s="74">
        <f t="shared" ca="1" si="3"/>
        <v>0</v>
      </c>
      <c r="O18" s="55">
        <f t="shared" si="4"/>
        <v>107</v>
      </c>
      <c r="P18" s="67">
        <f t="shared" si="5"/>
        <v>7.9850746268656722E-2</v>
      </c>
      <c r="Q18" s="55">
        <f t="shared" si="6"/>
        <v>107</v>
      </c>
      <c r="R18" s="67">
        <f t="shared" si="7"/>
        <v>8.9589729277142011E-2</v>
      </c>
      <c r="S18" s="55">
        <f t="shared" si="8"/>
        <v>107</v>
      </c>
      <c r="T18" s="67">
        <f t="shared" si="9"/>
        <v>8.9589729277142066E-2</v>
      </c>
    </row>
    <row r="19" spans="1:20" ht="14.1" customHeight="1" x14ac:dyDescent="0.2">
      <c r="A19" s="32" t="s">
        <v>483</v>
      </c>
      <c r="B19" s="32" t="s">
        <v>564</v>
      </c>
      <c r="C19" s="32">
        <f t="shared" si="10"/>
        <v>102</v>
      </c>
      <c r="D19" s="65">
        <v>102</v>
      </c>
      <c r="E19" s="39"/>
      <c r="F19" s="68">
        <f t="shared" si="2"/>
        <v>7.6119402985074622E-2</v>
      </c>
      <c r="G19" s="69">
        <f t="shared" ca="1" si="11"/>
        <v>2.3029593734894318</v>
      </c>
      <c r="H19" s="76">
        <f t="shared" ca="1" si="12"/>
        <v>0</v>
      </c>
      <c r="I19" s="76">
        <f t="shared" ca="1" si="13"/>
        <v>0</v>
      </c>
      <c r="J19" s="68">
        <f t="shared" si="14"/>
        <v>8.5403293329612065E-2</v>
      </c>
      <c r="K19" s="69">
        <f t="shared" ca="1" si="15"/>
        <v>1.4005106208807201</v>
      </c>
      <c r="L19" s="56">
        <f t="shared" ca="1" si="16"/>
        <v>0</v>
      </c>
      <c r="M19" s="74">
        <f t="shared" ca="1" si="3"/>
        <v>0</v>
      </c>
      <c r="O19" s="55">
        <f t="shared" si="4"/>
        <v>102</v>
      </c>
      <c r="P19" s="67">
        <f t="shared" si="5"/>
        <v>7.6119402985074622E-2</v>
      </c>
      <c r="Q19" s="55">
        <f t="shared" si="6"/>
        <v>102</v>
      </c>
      <c r="R19" s="67">
        <f t="shared" si="7"/>
        <v>8.5403293329612009E-2</v>
      </c>
      <c r="S19" s="55">
        <f t="shared" si="8"/>
        <v>102</v>
      </c>
      <c r="T19" s="67">
        <f t="shared" si="9"/>
        <v>8.5403293329612065E-2</v>
      </c>
    </row>
    <row r="20" spans="1:20" ht="14.1" customHeight="1" x14ac:dyDescent="0.2">
      <c r="A20" s="32" t="s">
        <v>483</v>
      </c>
      <c r="B20" s="32" t="s">
        <v>407</v>
      </c>
      <c r="C20" s="32">
        <f t="shared" si="10"/>
        <v>12</v>
      </c>
      <c r="D20" s="65">
        <v>12</v>
      </c>
      <c r="E20" s="39"/>
      <c r="F20" s="68">
        <f t="shared" si="2"/>
        <v>8.9552238805970154E-3</v>
      </c>
      <c r="G20" s="69">
        <f t="shared" ca="1" si="11"/>
        <v>2.3119145973700288</v>
      </c>
      <c r="H20" s="76">
        <f t="shared" ca="1" si="12"/>
        <v>0</v>
      </c>
      <c r="I20" s="76">
        <f t="shared" ca="1" si="13"/>
        <v>0</v>
      </c>
      <c r="J20" s="68">
        <f t="shared" si="14"/>
        <v>1.0047446274072008E-2</v>
      </c>
      <c r="K20" s="69">
        <f t="shared" ca="1" si="15"/>
        <v>1.4105580671547922</v>
      </c>
      <c r="L20" s="56">
        <f t="shared" ca="1" si="16"/>
        <v>0</v>
      </c>
      <c r="M20" s="74">
        <f t="shared" ca="1" si="3"/>
        <v>0</v>
      </c>
      <c r="O20" s="55">
        <f t="shared" si="4"/>
        <v>12</v>
      </c>
      <c r="P20" s="67">
        <f t="shared" si="5"/>
        <v>8.9552238805970154E-3</v>
      </c>
      <c r="Q20" s="55">
        <f t="shared" si="6"/>
        <v>12</v>
      </c>
      <c r="R20" s="67">
        <f t="shared" si="7"/>
        <v>1.0047446274072001E-2</v>
      </c>
      <c r="S20" s="55">
        <f t="shared" si="8"/>
        <v>12</v>
      </c>
      <c r="T20" s="67">
        <f t="shared" si="9"/>
        <v>1.0047446274072008E-2</v>
      </c>
    </row>
    <row r="21" spans="1:20" ht="14.1" customHeight="1" x14ac:dyDescent="0.2">
      <c r="A21" s="32" t="s">
        <v>483</v>
      </c>
      <c r="B21" s="32" t="s">
        <v>408</v>
      </c>
      <c r="C21" s="32">
        <f t="shared" si="10"/>
        <v>60</v>
      </c>
      <c r="D21" s="65">
        <v>60</v>
      </c>
      <c r="E21" s="39"/>
      <c r="F21" s="68">
        <f t="shared" si="2"/>
        <v>4.4776119402985072E-2</v>
      </c>
      <c r="G21" s="69">
        <f t="shared" ca="1" si="11"/>
        <v>2.3566907167730138</v>
      </c>
      <c r="H21" s="76">
        <f t="shared" ca="1" si="12"/>
        <v>0</v>
      </c>
      <c r="I21" s="76">
        <f t="shared" ca="1" si="13"/>
        <v>0</v>
      </c>
      <c r="J21" s="68">
        <f t="shared" si="14"/>
        <v>5.0237231370360041E-2</v>
      </c>
      <c r="K21" s="69">
        <f t="shared" ca="1" si="15"/>
        <v>1.4607952985251522</v>
      </c>
      <c r="L21" s="56">
        <f t="shared" ca="1" si="16"/>
        <v>0</v>
      </c>
      <c r="M21" s="74">
        <f t="shared" ca="1" si="3"/>
        <v>0</v>
      </c>
      <c r="O21" s="55">
        <f t="shared" si="4"/>
        <v>60</v>
      </c>
      <c r="P21" s="67">
        <f t="shared" si="5"/>
        <v>4.4776119402985072E-2</v>
      </c>
      <c r="Q21" s="55">
        <f t="shared" si="6"/>
        <v>60</v>
      </c>
      <c r="R21" s="67">
        <f t="shared" si="7"/>
        <v>5.0237231370360007E-2</v>
      </c>
      <c r="S21" s="55">
        <f t="shared" si="8"/>
        <v>60</v>
      </c>
      <c r="T21" s="67">
        <f t="shared" si="9"/>
        <v>5.0237231370360041E-2</v>
      </c>
    </row>
    <row r="22" spans="1:20" ht="14.1" customHeight="1" x14ac:dyDescent="0.2">
      <c r="A22" s="32" t="s">
        <v>483</v>
      </c>
      <c r="B22" s="32" t="s">
        <v>409</v>
      </c>
      <c r="C22" s="32">
        <f t="shared" si="10"/>
        <v>71</v>
      </c>
      <c r="D22" s="65">
        <v>71</v>
      </c>
      <c r="E22" s="39"/>
      <c r="F22" s="68">
        <f t="shared" si="2"/>
        <v>5.2985074626865671E-2</v>
      </c>
      <c r="G22" s="69">
        <f t="shared" ca="1" si="11"/>
        <v>2.4096757913998794</v>
      </c>
      <c r="H22" s="76">
        <f t="shared" ca="1" si="12"/>
        <v>0</v>
      </c>
      <c r="I22" s="76">
        <f t="shared" ca="1" si="13"/>
        <v>0</v>
      </c>
      <c r="J22" s="68">
        <f t="shared" si="14"/>
        <v>5.9447390454926044E-2</v>
      </c>
      <c r="K22" s="69">
        <f t="shared" ca="1" si="15"/>
        <v>1.5202426889800782</v>
      </c>
      <c r="L22" s="56">
        <f t="shared" ca="1" si="16"/>
        <v>0</v>
      </c>
      <c r="M22" s="74">
        <f t="shared" ca="1" si="3"/>
        <v>0</v>
      </c>
      <c r="O22" s="55">
        <f t="shared" si="4"/>
        <v>71</v>
      </c>
      <c r="P22" s="67">
        <f t="shared" si="5"/>
        <v>5.2985074626865671E-2</v>
      </c>
      <c r="Q22" s="55">
        <f t="shared" si="6"/>
        <v>71</v>
      </c>
      <c r="R22" s="67">
        <f t="shared" si="7"/>
        <v>5.9447390454926009E-2</v>
      </c>
      <c r="S22" s="55">
        <f t="shared" si="8"/>
        <v>71</v>
      </c>
      <c r="T22" s="67">
        <f t="shared" si="9"/>
        <v>5.9447390454926044E-2</v>
      </c>
    </row>
    <row r="23" spans="1:20" ht="14.1" customHeight="1" x14ac:dyDescent="0.2">
      <c r="A23" s="32" t="s">
        <v>483</v>
      </c>
      <c r="B23" s="32" t="s">
        <v>7</v>
      </c>
      <c r="C23" s="32">
        <f t="shared" si="10"/>
        <v>53</v>
      </c>
      <c r="D23" s="65">
        <v>53</v>
      </c>
      <c r="E23" s="39"/>
      <c r="F23" s="68">
        <f t="shared" si="2"/>
        <v>3.9552238805970148E-2</v>
      </c>
      <c r="G23" s="69">
        <f t="shared" ca="1" si="11"/>
        <v>2.4492280302058496</v>
      </c>
      <c r="H23" s="76">
        <f t="shared" ca="1" si="12"/>
        <v>0</v>
      </c>
      <c r="I23" s="76">
        <f t="shared" ca="1" si="13"/>
        <v>0</v>
      </c>
      <c r="J23" s="68">
        <f t="shared" si="14"/>
        <v>4.4376221043818033E-2</v>
      </c>
      <c r="K23" s="69">
        <f t="shared" ca="1" si="15"/>
        <v>1.5646189100238963</v>
      </c>
      <c r="L23" s="56">
        <f t="shared" ca="1" si="16"/>
        <v>0</v>
      </c>
      <c r="M23" s="74">
        <f t="shared" ca="1" si="3"/>
        <v>0</v>
      </c>
      <c r="O23" s="55">
        <f t="shared" si="4"/>
        <v>53</v>
      </c>
      <c r="P23" s="67">
        <f t="shared" si="5"/>
        <v>3.9552238805970148E-2</v>
      </c>
      <c r="Q23" s="55">
        <f t="shared" si="6"/>
        <v>53</v>
      </c>
      <c r="R23" s="67">
        <f t="shared" si="7"/>
        <v>4.4376221043818005E-2</v>
      </c>
      <c r="S23" s="55">
        <f t="shared" si="8"/>
        <v>53</v>
      </c>
      <c r="T23" s="67">
        <f t="shared" si="9"/>
        <v>4.4376221043818033E-2</v>
      </c>
    </row>
    <row r="24" spans="1:20" ht="14.1" customHeight="1" x14ac:dyDescent="0.2">
      <c r="A24" s="32" t="s">
        <v>483</v>
      </c>
      <c r="B24" s="32" t="s">
        <v>367</v>
      </c>
      <c r="C24" s="32">
        <f t="shared" si="10"/>
        <v>91</v>
      </c>
      <c r="D24" s="65">
        <v>91</v>
      </c>
      <c r="E24" s="39"/>
      <c r="F24" s="68">
        <f t="shared" si="2"/>
        <v>6.7910447761194023E-2</v>
      </c>
      <c r="G24" s="69">
        <f t="shared" ca="1" si="11"/>
        <v>2.5171384779670434</v>
      </c>
      <c r="H24" s="76">
        <f t="shared" ca="1" si="12"/>
        <v>0</v>
      </c>
      <c r="I24" s="76">
        <f t="shared" ca="1" si="13"/>
        <v>0</v>
      </c>
      <c r="J24" s="68">
        <f t="shared" si="14"/>
        <v>7.6193134245046062E-2</v>
      </c>
      <c r="K24" s="69">
        <f t="shared" ca="1" si="15"/>
        <v>1.6408120442689424</v>
      </c>
      <c r="L24" s="56">
        <f t="shared" ca="1" si="16"/>
        <v>0</v>
      </c>
      <c r="M24" s="74">
        <f t="shared" ca="1" si="3"/>
        <v>0</v>
      </c>
      <c r="O24" s="55">
        <f t="shared" si="4"/>
        <v>91</v>
      </c>
      <c r="P24" s="67">
        <f t="shared" si="5"/>
        <v>6.7910447761194037E-2</v>
      </c>
      <c r="Q24" s="55">
        <f t="shared" si="6"/>
        <v>91</v>
      </c>
      <c r="R24" s="67">
        <f t="shared" si="7"/>
        <v>7.6193134245046007E-2</v>
      </c>
      <c r="S24" s="55">
        <f t="shared" si="8"/>
        <v>91</v>
      </c>
      <c r="T24" s="67">
        <f t="shared" si="9"/>
        <v>7.6193134245046062E-2</v>
      </c>
    </row>
    <row r="25" spans="1:20" ht="14.1" customHeight="1" x14ac:dyDescent="0.2">
      <c r="A25" s="32" t="s">
        <v>483</v>
      </c>
      <c r="B25" s="32" t="s">
        <v>368</v>
      </c>
      <c r="C25" s="32">
        <f t="shared" si="10"/>
        <v>30</v>
      </c>
      <c r="D25" s="65">
        <v>30</v>
      </c>
      <c r="E25" s="39"/>
      <c r="F25" s="68">
        <f t="shared" si="2"/>
        <v>2.2388059701492536E-2</v>
      </c>
      <c r="G25" s="69">
        <f t="shared" ca="1" si="11"/>
        <v>2.5395265376685359</v>
      </c>
      <c r="H25" s="76">
        <f t="shared" ca="1" si="12"/>
        <v>0</v>
      </c>
      <c r="I25" s="76">
        <f t="shared" ca="1" si="13"/>
        <v>0</v>
      </c>
      <c r="J25" s="68">
        <f t="shared" si="14"/>
        <v>2.5118615685180021E-2</v>
      </c>
      <c r="K25" s="69">
        <f t="shared" ca="1" si="15"/>
        <v>1.6659306599541224</v>
      </c>
      <c r="L25" s="56">
        <f t="shared" ca="1" si="16"/>
        <v>0</v>
      </c>
      <c r="M25" s="74">
        <f t="shared" ca="1" si="3"/>
        <v>0</v>
      </c>
      <c r="O25" s="55">
        <f t="shared" si="4"/>
        <v>30</v>
      </c>
      <c r="P25" s="67">
        <f t="shared" si="5"/>
        <v>2.2388059701492536E-2</v>
      </c>
      <c r="Q25" s="55">
        <f t="shared" si="6"/>
        <v>30</v>
      </c>
      <c r="R25" s="67">
        <f t="shared" si="7"/>
        <v>2.5118615685180003E-2</v>
      </c>
      <c r="S25" s="55">
        <f t="shared" si="8"/>
        <v>30</v>
      </c>
      <c r="T25" s="67">
        <f t="shared" si="9"/>
        <v>2.5118615685180021E-2</v>
      </c>
    </row>
    <row r="26" spans="1:20" ht="14.1" customHeight="1" x14ac:dyDescent="0.2">
      <c r="A26" s="32" t="s">
        <v>483</v>
      </c>
      <c r="B26" s="32" t="s">
        <v>369</v>
      </c>
      <c r="C26" s="32">
        <f t="shared" si="10"/>
        <v>85</v>
      </c>
      <c r="D26" s="65">
        <v>85</v>
      </c>
      <c r="E26" s="39"/>
      <c r="F26" s="68">
        <f t="shared" si="2"/>
        <v>6.3432835820895525E-2</v>
      </c>
      <c r="G26" s="69">
        <f t="shared" ca="1" si="11"/>
        <v>2.6029593734894312</v>
      </c>
      <c r="H26" s="76">
        <f t="shared" ca="1" si="12"/>
        <v>0</v>
      </c>
      <c r="I26" s="76">
        <f t="shared" ca="1" si="13"/>
        <v>0</v>
      </c>
      <c r="J26" s="68">
        <f t="shared" si="14"/>
        <v>7.1169411108010061E-2</v>
      </c>
      <c r="K26" s="69">
        <f t="shared" ca="1" si="15"/>
        <v>1.7371000710621325</v>
      </c>
      <c r="L26" s="56">
        <f t="shared" ca="1" si="16"/>
        <v>0</v>
      </c>
      <c r="M26" s="74">
        <f t="shared" ca="1" si="3"/>
        <v>0</v>
      </c>
      <c r="O26" s="55">
        <f t="shared" si="4"/>
        <v>85</v>
      </c>
      <c r="P26" s="67">
        <f t="shared" si="5"/>
        <v>6.3432835820895525E-2</v>
      </c>
      <c r="Q26" s="55">
        <f t="shared" si="6"/>
        <v>85</v>
      </c>
      <c r="R26" s="67">
        <f t="shared" si="7"/>
        <v>7.1169411108010006E-2</v>
      </c>
      <c r="S26" s="55">
        <f t="shared" si="8"/>
        <v>85</v>
      </c>
      <c r="T26" s="67">
        <f t="shared" si="9"/>
        <v>7.1169411108010061E-2</v>
      </c>
    </row>
    <row r="27" spans="1:20" ht="14.1" customHeight="1" x14ac:dyDescent="0.2">
      <c r="A27" s="32" t="s">
        <v>483</v>
      </c>
      <c r="B27" s="32" t="s">
        <v>370</v>
      </c>
      <c r="C27" s="32">
        <f t="shared" si="10"/>
        <v>23</v>
      </c>
      <c r="D27" s="65">
        <v>23</v>
      </c>
      <c r="E27" s="39"/>
      <c r="F27" s="68">
        <f t="shared" si="2"/>
        <v>1.7164179104477612E-2</v>
      </c>
      <c r="G27" s="69">
        <f t="shared" ca="1" si="11"/>
        <v>2.6201235525939088</v>
      </c>
      <c r="H27" s="76">
        <f t="shared" ca="1" si="12"/>
        <v>0</v>
      </c>
      <c r="I27" s="76">
        <f t="shared" ca="1" si="13"/>
        <v>0</v>
      </c>
      <c r="J27" s="68">
        <f t="shared" si="14"/>
        <v>1.9257605358638016E-2</v>
      </c>
      <c r="K27" s="69">
        <f t="shared" ca="1" si="15"/>
        <v>1.7563576764207705</v>
      </c>
      <c r="L27" s="56">
        <f t="shared" ca="1" si="16"/>
        <v>0</v>
      </c>
      <c r="M27" s="74">
        <f t="shared" ca="1" si="3"/>
        <v>0</v>
      </c>
      <c r="O27" s="55">
        <f t="shared" si="4"/>
        <v>23</v>
      </c>
      <c r="P27" s="67">
        <f t="shared" si="5"/>
        <v>1.7164179104477612E-2</v>
      </c>
      <c r="Q27" s="55">
        <f t="shared" si="6"/>
        <v>23</v>
      </c>
      <c r="R27" s="67">
        <f t="shared" si="7"/>
        <v>1.9257605358638002E-2</v>
      </c>
      <c r="S27" s="55">
        <f t="shared" si="8"/>
        <v>23</v>
      </c>
      <c r="T27" s="67">
        <f t="shared" si="9"/>
        <v>1.9257605358638016E-2</v>
      </c>
    </row>
    <row r="28" spans="1:20" ht="14.1" customHeight="1" x14ac:dyDescent="0.2">
      <c r="A28" s="32" t="s">
        <v>483</v>
      </c>
      <c r="B28" s="32" t="s">
        <v>633</v>
      </c>
      <c r="C28" s="32">
        <f t="shared" si="10"/>
        <v>42</v>
      </c>
      <c r="D28" s="65">
        <v>42</v>
      </c>
      <c r="E28" s="39"/>
      <c r="F28" s="68">
        <f t="shared" si="2"/>
        <v>3.134328358208955E-2</v>
      </c>
      <c r="G28" s="69">
        <f t="shared" ca="1" si="11"/>
        <v>2.6514668361759983</v>
      </c>
      <c r="H28" s="76">
        <f t="shared" ca="1" si="12"/>
        <v>0</v>
      </c>
      <c r="I28" s="76">
        <f t="shared" ca="1" si="13"/>
        <v>0</v>
      </c>
      <c r="J28" s="68">
        <f t="shared" si="14"/>
        <v>3.516606195925203E-2</v>
      </c>
      <c r="K28" s="69">
        <f t="shared" ca="1" si="15"/>
        <v>1.7915237383800224</v>
      </c>
      <c r="L28" s="56">
        <f t="shared" ca="1" si="16"/>
        <v>0</v>
      </c>
      <c r="M28" s="74">
        <f t="shared" ca="1" si="3"/>
        <v>0</v>
      </c>
      <c r="O28" s="55">
        <f t="shared" si="4"/>
        <v>42</v>
      </c>
      <c r="P28" s="67">
        <f t="shared" si="5"/>
        <v>3.134328358208955E-2</v>
      </c>
      <c r="Q28" s="55">
        <f t="shared" si="6"/>
        <v>42</v>
      </c>
      <c r="R28" s="67">
        <f t="shared" si="7"/>
        <v>3.5166061959252003E-2</v>
      </c>
      <c r="S28" s="55">
        <f t="shared" si="8"/>
        <v>42</v>
      </c>
      <c r="T28" s="67">
        <f t="shared" si="9"/>
        <v>3.516606195925203E-2</v>
      </c>
    </row>
    <row r="29" spans="1:20" ht="14.1" customHeight="1" x14ac:dyDescent="0.2">
      <c r="A29" s="32" t="s">
        <v>483</v>
      </c>
      <c r="B29" s="32" t="s">
        <v>99</v>
      </c>
      <c r="C29" s="32">
        <f t="shared" si="10"/>
        <v>39</v>
      </c>
      <c r="D29" s="65">
        <v>39</v>
      </c>
      <c r="E29" s="39"/>
      <c r="F29" s="68">
        <f t="shared" si="2"/>
        <v>2.9104477611940297E-2</v>
      </c>
      <c r="G29" s="69">
        <f t="shared" ca="1" si="11"/>
        <v>2.6805713137879388</v>
      </c>
      <c r="H29" s="76">
        <f t="shared" ca="1" si="12"/>
        <v>0</v>
      </c>
      <c r="I29" s="76">
        <f t="shared" ca="1" si="13"/>
        <v>0</v>
      </c>
      <c r="J29" s="68">
        <f t="shared" si="14"/>
        <v>3.2654200390734023E-2</v>
      </c>
      <c r="K29" s="69">
        <f t="shared" ca="1" si="15"/>
        <v>1.8241779387707564</v>
      </c>
      <c r="L29" s="56">
        <f t="shared" ca="1" si="16"/>
        <v>0</v>
      </c>
      <c r="M29" s="74">
        <f t="shared" ca="1" si="3"/>
        <v>0</v>
      </c>
      <c r="O29" s="55">
        <f t="shared" si="4"/>
        <v>39</v>
      </c>
      <c r="P29" s="67">
        <f t="shared" si="5"/>
        <v>2.9104477611940297E-2</v>
      </c>
      <c r="Q29" s="55">
        <f t="shared" si="6"/>
        <v>39</v>
      </c>
      <c r="R29" s="67">
        <f t="shared" si="7"/>
        <v>3.2654200390734002E-2</v>
      </c>
      <c r="S29" s="55">
        <f t="shared" si="8"/>
        <v>39</v>
      </c>
      <c r="T29" s="67">
        <f t="shared" si="9"/>
        <v>3.2654200390734023E-2</v>
      </c>
    </row>
    <row r="30" spans="1:20" ht="14.1" customHeight="1" x14ac:dyDescent="0.2">
      <c r="A30" s="32" t="s">
        <v>483</v>
      </c>
      <c r="B30" s="32" t="s">
        <v>129</v>
      </c>
      <c r="C30" s="32">
        <f t="shared" si="10"/>
        <v>51</v>
      </c>
      <c r="D30" s="65">
        <v>51</v>
      </c>
      <c r="E30" s="39"/>
      <c r="F30" s="68">
        <f t="shared" si="2"/>
        <v>3.8059701492537311E-2</v>
      </c>
      <c r="G30" s="69">
        <f t="shared" ca="1" si="11"/>
        <v>2.7186310152804762</v>
      </c>
      <c r="H30" s="76">
        <f t="shared" ca="1" si="12"/>
        <v>0</v>
      </c>
      <c r="I30" s="76">
        <f t="shared" ca="1" si="13"/>
        <v>0</v>
      </c>
      <c r="J30" s="68">
        <f t="shared" si="14"/>
        <v>4.2701646664806032E-2</v>
      </c>
      <c r="K30" s="69">
        <f t="shared" ca="1" si="15"/>
        <v>1.8668795854355624</v>
      </c>
      <c r="L30" s="56">
        <f t="shared" ca="1" si="16"/>
        <v>0</v>
      </c>
      <c r="M30" s="74">
        <f t="shared" ca="1" si="3"/>
        <v>0</v>
      </c>
      <c r="O30" s="55">
        <f t="shared" si="4"/>
        <v>51</v>
      </c>
      <c r="P30" s="67">
        <f t="shared" si="5"/>
        <v>3.8059701492537311E-2</v>
      </c>
      <c r="Q30" s="55">
        <f t="shared" si="6"/>
        <v>51</v>
      </c>
      <c r="R30" s="67">
        <f t="shared" si="7"/>
        <v>4.2701646664806005E-2</v>
      </c>
      <c r="S30" s="55">
        <f t="shared" si="8"/>
        <v>51</v>
      </c>
      <c r="T30" s="67">
        <f t="shared" si="9"/>
        <v>4.2701646664806032E-2</v>
      </c>
    </row>
    <row r="31" spans="1:20" ht="14.1" customHeight="1" x14ac:dyDescent="0.2">
      <c r="A31" s="32" t="s">
        <v>483</v>
      </c>
      <c r="B31" s="32" t="s">
        <v>116</v>
      </c>
      <c r="C31" s="32">
        <f t="shared" si="10"/>
        <v>131</v>
      </c>
      <c r="D31" s="65">
        <v>131</v>
      </c>
      <c r="E31" s="39"/>
      <c r="F31" s="68">
        <f t="shared" si="2"/>
        <v>9.7761194029850743E-2</v>
      </c>
      <c r="G31" s="69">
        <f t="shared" ca="1" si="11"/>
        <v>2.8163922093103269</v>
      </c>
      <c r="H31" s="76">
        <f t="shared" ca="1" si="12"/>
        <v>0</v>
      </c>
      <c r="I31" s="76">
        <f t="shared" ca="1" si="13"/>
        <v>0</v>
      </c>
      <c r="J31" s="68">
        <f t="shared" si="14"/>
        <v>0.10968462182528609</v>
      </c>
      <c r="K31" s="69">
        <f t="shared" ca="1" si="15"/>
        <v>1.9765642072608485</v>
      </c>
      <c r="L31" s="56">
        <f t="shared" ca="1" si="16"/>
        <v>0</v>
      </c>
      <c r="M31" s="74">
        <f t="shared" ca="1" si="3"/>
        <v>0</v>
      </c>
      <c r="O31" s="55">
        <f t="shared" si="4"/>
        <v>131</v>
      </c>
      <c r="P31" s="67">
        <f t="shared" si="5"/>
        <v>9.7761194029850743E-2</v>
      </c>
      <c r="Q31" s="55">
        <f t="shared" si="6"/>
        <v>131</v>
      </c>
      <c r="R31" s="67">
        <f t="shared" si="7"/>
        <v>0.10968462182528602</v>
      </c>
      <c r="S31" s="55">
        <f t="shared" si="8"/>
        <v>131</v>
      </c>
      <c r="T31" s="67">
        <f t="shared" si="9"/>
        <v>0.10968462182528609</v>
      </c>
    </row>
    <row r="32" spans="1:20" ht="14.1" customHeight="1" x14ac:dyDescent="0.2">
      <c r="A32" s="32" t="s">
        <v>483</v>
      </c>
      <c r="B32" s="32" t="s">
        <v>117</v>
      </c>
      <c r="C32" s="32">
        <f t="shared" si="10"/>
        <v>74</v>
      </c>
      <c r="D32" s="65">
        <v>74</v>
      </c>
      <c r="E32" s="39"/>
      <c r="F32" s="68">
        <f t="shared" si="2"/>
        <v>5.5223880597014927E-2</v>
      </c>
      <c r="G32" s="69">
        <f t="shared" ca="1" si="11"/>
        <v>2.871616089907342</v>
      </c>
      <c r="H32" s="76">
        <f t="shared" ca="1" si="12"/>
        <v>0</v>
      </c>
      <c r="I32" s="76">
        <f t="shared" ca="1" si="13"/>
        <v>0</v>
      </c>
      <c r="J32" s="68">
        <f t="shared" si="14"/>
        <v>6.1959252023444052E-2</v>
      </c>
      <c r="K32" s="69">
        <f t="shared" ca="1" si="15"/>
        <v>2.0385234592842925</v>
      </c>
      <c r="L32" s="56">
        <f t="shared" ca="1" si="16"/>
        <v>1</v>
      </c>
      <c r="M32" s="74">
        <f t="shared" ca="1" si="3"/>
        <v>16</v>
      </c>
      <c r="O32" s="55">
        <f t="shared" si="4"/>
        <v>74</v>
      </c>
      <c r="P32" s="67">
        <f t="shared" si="5"/>
        <v>5.5223880597014927E-2</v>
      </c>
      <c r="Q32" s="55">
        <f t="shared" si="6"/>
        <v>74</v>
      </c>
      <c r="R32" s="67">
        <f t="shared" si="7"/>
        <v>6.195925202344401E-2</v>
      </c>
      <c r="S32" s="55">
        <f t="shared" si="8"/>
        <v>74</v>
      </c>
      <c r="T32" s="67">
        <f t="shared" si="9"/>
        <v>6.1959252023444052E-2</v>
      </c>
    </row>
    <row r="33" spans="1:20" ht="14.1" customHeight="1" x14ac:dyDescent="0.2">
      <c r="A33" s="32" t="s">
        <v>483</v>
      </c>
      <c r="B33" s="32" t="s">
        <v>118</v>
      </c>
      <c r="C33" s="32">
        <f t="shared" si="10"/>
        <v>45</v>
      </c>
      <c r="D33" s="65">
        <v>45</v>
      </c>
      <c r="E33" s="39"/>
      <c r="F33" s="68">
        <f t="shared" si="2"/>
        <v>3.3582089552238806E-2</v>
      </c>
      <c r="G33" s="69">
        <f t="shared" ca="1" si="11"/>
        <v>2.9051981794595809</v>
      </c>
      <c r="H33" s="76">
        <f t="shared" ca="1" si="12"/>
        <v>0</v>
      </c>
      <c r="I33" s="76">
        <f t="shared" ca="1" si="13"/>
        <v>0</v>
      </c>
      <c r="J33" s="68">
        <f t="shared" si="14"/>
        <v>3.7677923527770031E-2</v>
      </c>
      <c r="K33" s="69">
        <f t="shared" ca="1" si="15"/>
        <v>2.0762013828120627</v>
      </c>
      <c r="L33" s="56">
        <f t="shared" ca="1" si="16"/>
        <v>0</v>
      </c>
      <c r="M33" s="74">
        <f t="shared" ca="1" si="3"/>
        <v>0</v>
      </c>
      <c r="O33" s="55">
        <f t="shared" si="4"/>
        <v>45</v>
      </c>
      <c r="P33" s="67">
        <f t="shared" si="5"/>
        <v>3.3582089552238806E-2</v>
      </c>
      <c r="Q33" s="55">
        <f t="shared" si="6"/>
        <v>45</v>
      </c>
      <c r="R33" s="67">
        <f t="shared" si="7"/>
        <v>3.7677923527770003E-2</v>
      </c>
      <c r="S33" s="55">
        <f t="shared" si="8"/>
        <v>45</v>
      </c>
      <c r="T33" s="67">
        <f t="shared" si="9"/>
        <v>3.7677923527770031E-2</v>
      </c>
    </row>
    <row r="34" spans="1:20" ht="14.1" customHeight="1" x14ac:dyDescent="0.2">
      <c r="A34" s="32" t="s">
        <v>483</v>
      </c>
      <c r="B34" s="32" t="s">
        <v>198</v>
      </c>
      <c r="C34" s="32">
        <f t="shared" si="10"/>
        <v>62</v>
      </c>
      <c r="D34" s="65">
        <v>62</v>
      </c>
      <c r="E34" s="39"/>
      <c r="F34" s="68">
        <f t="shared" si="2"/>
        <v>4.6268656716417909E-2</v>
      </c>
      <c r="G34" s="69">
        <f t="shared" ca="1" si="11"/>
        <v>2.951466836175999</v>
      </c>
      <c r="H34" s="76">
        <f t="shared" ca="1" si="12"/>
        <v>0</v>
      </c>
      <c r="I34" s="76">
        <f t="shared" ca="1" si="13"/>
        <v>0</v>
      </c>
      <c r="J34" s="68">
        <f t="shared" si="14"/>
        <v>5.1911805749372042E-2</v>
      </c>
      <c r="K34" s="69">
        <f t="shared" ca="1" si="15"/>
        <v>2.1281131885614348</v>
      </c>
      <c r="L34" s="56">
        <f t="shared" ca="1" si="16"/>
        <v>0</v>
      </c>
      <c r="M34" s="74">
        <f t="shared" ca="1" si="3"/>
        <v>0</v>
      </c>
      <c r="O34" s="55">
        <f t="shared" si="4"/>
        <v>62</v>
      </c>
      <c r="P34" s="67">
        <f t="shared" si="5"/>
        <v>4.6268656716417909E-2</v>
      </c>
      <c r="Q34" s="55">
        <f t="shared" si="6"/>
        <v>62</v>
      </c>
      <c r="R34" s="67">
        <f t="shared" si="7"/>
        <v>5.1911805749372007E-2</v>
      </c>
      <c r="S34" s="55">
        <f t="shared" si="8"/>
        <v>62</v>
      </c>
      <c r="T34" s="67">
        <f t="shared" si="9"/>
        <v>5.1911805749372042E-2</v>
      </c>
    </row>
    <row r="35" spans="1:20" ht="14.1" customHeight="1" x14ac:dyDescent="0.2">
      <c r="A35" s="32" t="s">
        <v>483</v>
      </c>
      <c r="B35" s="32" t="s">
        <v>352</v>
      </c>
      <c r="C35" s="32">
        <f t="shared" si="10"/>
        <v>100</v>
      </c>
      <c r="D35" s="65">
        <v>100</v>
      </c>
      <c r="E35" s="39"/>
      <c r="F35" s="68">
        <f t="shared" si="2"/>
        <v>7.4626865671641784E-2</v>
      </c>
      <c r="G35" s="69">
        <f t="shared" ca="1" si="11"/>
        <v>3.0260937018476408</v>
      </c>
      <c r="H35" s="76">
        <f t="shared" ca="1" si="12"/>
        <v>1</v>
      </c>
      <c r="I35" s="76">
        <f t="shared" ca="1" si="13"/>
        <v>16</v>
      </c>
      <c r="J35" s="68">
        <f t="shared" si="14"/>
        <v>8.3728718950600065E-2</v>
      </c>
      <c r="K35" s="69">
        <f t="shared" ca="1" si="15"/>
        <v>2.211841907512035</v>
      </c>
      <c r="L35" s="56">
        <f t="shared" ca="1" si="16"/>
        <v>0</v>
      </c>
      <c r="M35" s="74">
        <f t="shared" ca="1" si="3"/>
        <v>0</v>
      </c>
      <c r="O35" s="55">
        <f t="shared" si="4"/>
        <v>100</v>
      </c>
      <c r="P35" s="67">
        <f t="shared" si="5"/>
        <v>7.4626865671641798E-2</v>
      </c>
      <c r="Q35" s="55">
        <f t="shared" si="6"/>
        <v>100</v>
      </c>
      <c r="R35" s="67">
        <f t="shared" si="7"/>
        <v>8.3728718950600009E-2</v>
      </c>
      <c r="S35" s="55">
        <f t="shared" si="8"/>
        <v>100</v>
      </c>
      <c r="T35" s="67">
        <f t="shared" si="9"/>
        <v>8.3728718950600065E-2</v>
      </c>
    </row>
    <row r="36" spans="1:20" ht="14.1" customHeight="1" x14ac:dyDescent="0.2">
      <c r="A36" s="32" t="s">
        <v>483</v>
      </c>
      <c r="B36" s="32" t="s">
        <v>199</v>
      </c>
      <c r="C36" s="32">
        <f t="shared" si="10"/>
        <v>37</v>
      </c>
      <c r="D36" s="65">
        <v>37</v>
      </c>
      <c r="E36" s="39"/>
      <c r="F36" s="68">
        <f t="shared" si="2"/>
        <v>2.7611940298507463E-2</v>
      </c>
      <c r="G36" s="69">
        <f t="shared" ca="1" si="11"/>
        <v>3.0537056421461481</v>
      </c>
      <c r="H36" s="76">
        <f t="shared" ca="1" si="12"/>
        <v>0</v>
      </c>
      <c r="I36" s="76">
        <f t="shared" ca="1" si="13"/>
        <v>0</v>
      </c>
      <c r="J36" s="68">
        <f t="shared" si="14"/>
        <v>3.0979626011722026E-2</v>
      </c>
      <c r="K36" s="69">
        <f t="shared" ca="1" si="15"/>
        <v>2.2428215335237569</v>
      </c>
      <c r="L36" s="56">
        <f t="shared" ca="1" si="16"/>
        <v>0</v>
      </c>
      <c r="M36" s="74">
        <f t="shared" ca="1" si="3"/>
        <v>0</v>
      </c>
      <c r="O36" s="55">
        <f t="shared" si="4"/>
        <v>37</v>
      </c>
      <c r="P36" s="67">
        <f t="shared" si="5"/>
        <v>2.7611940298507463E-2</v>
      </c>
      <c r="Q36" s="55">
        <f t="shared" si="6"/>
        <v>37</v>
      </c>
      <c r="R36" s="67">
        <f t="shared" si="7"/>
        <v>3.0979626011722005E-2</v>
      </c>
      <c r="S36" s="55">
        <f t="shared" si="8"/>
        <v>37</v>
      </c>
      <c r="T36" s="67">
        <f t="shared" si="9"/>
        <v>3.0979626011722026E-2</v>
      </c>
    </row>
    <row r="37" spans="1:20" ht="14.1" customHeight="1" x14ac:dyDescent="0.2">
      <c r="A37" s="32" t="s">
        <v>483</v>
      </c>
      <c r="B37" s="32" t="s">
        <v>200</v>
      </c>
      <c r="C37" s="32">
        <f t="shared" si="10"/>
        <v>160</v>
      </c>
      <c r="D37" s="65">
        <v>160</v>
      </c>
      <c r="E37" s="39"/>
      <c r="F37" s="68">
        <f t="shared" si="2"/>
        <v>0.11940298507462686</v>
      </c>
      <c r="G37" s="69">
        <f t="shared" ca="1" si="11"/>
        <v>3.1731086272207749</v>
      </c>
      <c r="H37" s="76">
        <f t="shared" ca="1" si="12"/>
        <v>0</v>
      </c>
      <c r="I37" s="76">
        <f t="shared" ca="1" si="13"/>
        <v>0</v>
      </c>
      <c r="J37" s="68">
        <f t="shared" si="14"/>
        <v>0.13396595032096009</v>
      </c>
      <c r="K37" s="69">
        <f t="shared" ca="1" si="15"/>
        <v>2.3767874838447169</v>
      </c>
      <c r="L37" s="56">
        <f t="shared" ca="1" si="16"/>
        <v>0</v>
      </c>
      <c r="M37" s="74">
        <f t="shared" ca="1" si="3"/>
        <v>0</v>
      </c>
      <c r="O37" s="55">
        <f t="shared" si="4"/>
        <v>160</v>
      </c>
      <c r="P37" s="67">
        <f t="shared" si="5"/>
        <v>0.11940298507462686</v>
      </c>
      <c r="Q37" s="55">
        <f t="shared" si="6"/>
        <v>160</v>
      </c>
      <c r="R37" s="67">
        <f t="shared" si="7"/>
        <v>0.13396595032096001</v>
      </c>
      <c r="S37" s="55">
        <f t="shared" si="8"/>
        <v>160</v>
      </c>
      <c r="T37" s="67">
        <f t="shared" si="9"/>
        <v>0.13396595032096009</v>
      </c>
    </row>
    <row r="38" spans="1:20" ht="14.1" customHeight="1" x14ac:dyDescent="0.2">
      <c r="A38" s="32" t="s">
        <v>483</v>
      </c>
      <c r="B38" s="32" t="s">
        <v>201</v>
      </c>
      <c r="C38" s="32">
        <f t="shared" si="10"/>
        <v>93</v>
      </c>
      <c r="D38" s="65">
        <v>93</v>
      </c>
      <c r="E38" s="39"/>
      <c r="F38" s="68">
        <f t="shared" si="2"/>
        <v>6.9402985074626861E-2</v>
      </c>
      <c r="G38" s="69">
        <f t="shared" ca="1" si="11"/>
        <v>3.2425116122954019</v>
      </c>
      <c r="H38" s="76">
        <f t="shared" ca="1" si="12"/>
        <v>0</v>
      </c>
      <c r="I38" s="76">
        <f t="shared" ca="1" si="13"/>
        <v>0</v>
      </c>
      <c r="J38" s="68">
        <f t="shared" si="14"/>
        <v>7.7867708624058063E-2</v>
      </c>
      <c r="K38" s="69">
        <f t="shared" ca="1" si="15"/>
        <v>2.4546551924687749</v>
      </c>
      <c r="L38" s="56">
        <f t="shared" ca="1" si="16"/>
        <v>0</v>
      </c>
      <c r="M38" s="74">
        <f t="shared" ca="1" si="3"/>
        <v>0</v>
      </c>
      <c r="O38" s="55">
        <f t="shared" si="4"/>
        <v>93</v>
      </c>
      <c r="P38" s="67">
        <f t="shared" si="5"/>
        <v>6.9402985074626861E-2</v>
      </c>
      <c r="Q38" s="55">
        <f t="shared" si="6"/>
        <v>93</v>
      </c>
      <c r="R38" s="67">
        <f t="shared" si="7"/>
        <v>7.7867708624058007E-2</v>
      </c>
      <c r="S38" s="55">
        <f t="shared" si="8"/>
        <v>93</v>
      </c>
      <c r="T38" s="67">
        <f t="shared" si="9"/>
        <v>7.7867708624058063E-2</v>
      </c>
    </row>
    <row r="39" spans="1:20" ht="14.1" customHeight="1" x14ac:dyDescent="0.2">
      <c r="A39" s="32" t="s">
        <v>483</v>
      </c>
      <c r="B39" s="32" t="s">
        <v>202</v>
      </c>
      <c r="C39" s="32">
        <f t="shared" si="10"/>
        <v>44</v>
      </c>
      <c r="D39" s="65">
        <v>44</v>
      </c>
      <c r="E39" s="39"/>
      <c r="F39" s="68">
        <f t="shared" si="2"/>
        <v>3.2835820895522387E-2</v>
      </c>
      <c r="G39" s="69">
        <f t="shared" ca="1" si="11"/>
        <v>3.275347433190924</v>
      </c>
      <c r="H39" s="76">
        <f t="shared" ca="1" si="12"/>
        <v>0</v>
      </c>
      <c r="I39" s="76">
        <f t="shared" ca="1" si="13"/>
        <v>0</v>
      </c>
      <c r="J39" s="68">
        <f t="shared" si="14"/>
        <v>3.6840636338264031E-2</v>
      </c>
      <c r="K39" s="69">
        <f t="shared" ca="1" si="15"/>
        <v>2.491495828807039</v>
      </c>
      <c r="L39" s="56">
        <f t="shared" ca="1" si="16"/>
        <v>0</v>
      </c>
      <c r="M39" s="74">
        <f t="shared" ca="1" si="3"/>
        <v>0</v>
      </c>
      <c r="O39" s="55">
        <f t="shared" si="4"/>
        <v>44</v>
      </c>
      <c r="P39" s="67">
        <f t="shared" si="5"/>
        <v>3.2835820895522387E-2</v>
      </c>
      <c r="Q39" s="55">
        <f t="shared" si="6"/>
        <v>44</v>
      </c>
      <c r="R39" s="67">
        <f t="shared" si="7"/>
        <v>3.6840636338264003E-2</v>
      </c>
      <c r="S39" s="55">
        <f t="shared" si="8"/>
        <v>44</v>
      </c>
      <c r="T39" s="67">
        <f t="shared" si="9"/>
        <v>3.6840636338264031E-2</v>
      </c>
    </row>
    <row r="40" spans="1:20" ht="14.1" customHeight="1" x14ac:dyDescent="0.2">
      <c r="A40" s="32" t="s">
        <v>483</v>
      </c>
      <c r="B40" s="32" t="s">
        <v>203</v>
      </c>
      <c r="C40" s="32">
        <f t="shared" si="10"/>
        <v>66</v>
      </c>
      <c r="D40" s="65">
        <v>66</v>
      </c>
      <c r="E40" s="39"/>
      <c r="F40" s="68">
        <f t="shared" si="2"/>
        <v>4.9253731343283584E-2</v>
      </c>
      <c r="G40" s="69">
        <f t="shared" ca="1" si="11"/>
        <v>3.3246011645342075</v>
      </c>
      <c r="H40" s="76">
        <f t="shared" ca="1" si="12"/>
        <v>0</v>
      </c>
      <c r="I40" s="76">
        <f t="shared" ca="1" si="13"/>
        <v>0</v>
      </c>
      <c r="J40" s="68">
        <f t="shared" si="14"/>
        <v>5.5260954507396043E-2</v>
      </c>
      <c r="K40" s="69">
        <f t="shared" ca="1" si="15"/>
        <v>2.5467567833144349</v>
      </c>
      <c r="L40" s="56">
        <f t="shared" ca="1" si="16"/>
        <v>0</v>
      </c>
      <c r="M40" s="74">
        <f t="shared" ca="1" si="3"/>
        <v>0</v>
      </c>
      <c r="O40" s="55">
        <f t="shared" si="4"/>
        <v>66</v>
      </c>
      <c r="P40" s="67">
        <f t="shared" si="5"/>
        <v>4.9253731343283584E-2</v>
      </c>
      <c r="Q40" s="55">
        <f t="shared" si="6"/>
        <v>66</v>
      </c>
      <c r="R40" s="67">
        <f t="shared" si="7"/>
        <v>5.5260954507396008E-2</v>
      </c>
      <c r="S40" s="55">
        <f t="shared" si="8"/>
        <v>66</v>
      </c>
      <c r="T40" s="67">
        <f t="shared" si="9"/>
        <v>5.5260954507396043E-2</v>
      </c>
    </row>
    <row r="41" spans="1:20" ht="14.1" customHeight="1" x14ac:dyDescent="0.2">
      <c r="A41" s="32" t="s">
        <v>483</v>
      </c>
      <c r="B41" s="32" t="s">
        <v>204</v>
      </c>
      <c r="C41" s="32">
        <f t="shared" si="10"/>
        <v>74</v>
      </c>
      <c r="D41" s="65">
        <v>74</v>
      </c>
      <c r="E41" s="39"/>
      <c r="F41" s="68">
        <f t="shared" si="2"/>
        <v>5.5223880597014927E-2</v>
      </c>
      <c r="G41" s="69">
        <f t="shared" ca="1" si="11"/>
        <v>3.3798250451312226</v>
      </c>
      <c r="H41" s="76">
        <f t="shared" ca="1" si="12"/>
        <v>0</v>
      </c>
      <c r="I41" s="76">
        <f t="shared" ca="1" si="13"/>
        <v>0</v>
      </c>
      <c r="J41" s="68">
        <f t="shared" si="14"/>
        <v>6.1959252023444052E-2</v>
      </c>
      <c r="K41" s="69">
        <f t="shared" ca="1" si="15"/>
        <v>2.6087160353378791</v>
      </c>
      <c r="L41" s="56">
        <f t="shared" ca="1" si="16"/>
        <v>0</v>
      </c>
      <c r="M41" s="74">
        <f t="shared" ca="1" si="3"/>
        <v>0</v>
      </c>
      <c r="O41" s="55">
        <f t="shared" si="4"/>
        <v>74</v>
      </c>
      <c r="P41" s="67">
        <f t="shared" si="5"/>
        <v>5.5223880597014927E-2</v>
      </c>
      <c r="Q41" s="55">
        <f t="shared" si="6"/>
        <v>74</v>
      </c>
      <c r="R41" s="67">
        <f t="shared" si="7"/>
        <v>6.195925202344401E-2</v>
      </c>
      <c r="S41" s="55">
        <f t="shared" si="8"/>
        <v>74</v>
      </c>
      <c r="T41" s="67">
        <f t="shared" si="9"/>
        <v>6.1959252023444052E-2</v>
      </c>
    </row>
    <row r="42" spans="1:20" ht="14.1" customHeight="1" x14ac:dyDescent="0.2">
      <c r="A42" s="32" t="s">
        <v>483</v>
      </c>
      <c r="B42" s="32" t="s">
        <v>205</v>
      </c>
      <c r="C42" s="32">
        <f t="shared" si="10"/>
        <v>46</v>
      </c>
      <c r="D42" s="65">
        <v>46</v>
      </c>
      <c r="E42" s="39"/>
      <c r="F42" s="68">
        <f t="shared" ref="F42:F73" si="17">+I$5*D42/D$9</f>
        <v>3.4328358208955224E-2</v>
      </c>
      <c r="G42" s="69">
        <f t="shared" ca="1" si="11"/>
        <v>3.4141534033401779</v>
      </c>
      <c r="H42" s="76">
        <f t="shared" ca="1" si="12"/>
        <v>0</v>
      </c>
      <c r="I42" s="76">
        <f t="shared" ca="1" si="13"/>
        <v>0</v>
      </c>
      <c r="J42" s="68">
        <f t="shared" si="14"/>
        <v>3.8515210717276031E-2</v>
      </c>
      <c r="K42" s="69">
        <f t="shared" ca="1" si="15"/>
        <v>2.647231246055155</v>
      </c>
      <c r="L42" s="56">
        <f t="shared" ca="1" si="16"/>
        <v>0</v>
      </c>
      <c r="M42" s="74">
        <f t="shared" ref="M42:M73" ca="1" si="18">MIN(C42,L42*C$6)</f>
        <v>0</v>
      </c>
      <c r="O42" s="55">
        <f t="shared" ref="O42:O73" si="19">+($D42/2)*(SIGN(1-P$6*$D42)+1)</f>
        <v>46</v>
      </c>
      <c r="P42" s="67">
        <f t="shared" ref="P42:P73" si="20">MIN(1,P$6*$D42)</f>
        <v>3.4328358208955224E-2</v>
      </c>
      <c r="Q42" s="55">
        <f t="shared" ref="Q42:Q73" si="21">+($D42/2)*(SIGN(1-R$6*$D42)+1)</f>
        <v>46</v>
      </c>
      <c r="R42" s="67">
        <f t="shared" ref="R42:R73" si="22">MIN(1,R$6*$D42)</f>
        <v>3.8515210717276004E-2</v>
      </c>
      <c r="S42" s="55">
        <f t="shared" ref="S42:S73" si="23">+($D42/2)*(SIGN(1-T$6*$D42)+1)</f>
        <v>46</v>
      </c>
      <c r="T42" s="67">
        <f t="shared" ref="T42:T73" si="24">MIN(1,T$6*$D42)</f>
        <v>3.8515210717276031E-2</v>
      </c>
    </row>
    <row r="43" spans="1:20" ht="14.1" customHeight="1" x14ac:dyDescent="0.2">
      <c r="A43" s="32" t="s">
        <v>483</v>
      </c>
      <c r="B43" s="32" t="s">
        <v>482</v>
      </c>
      <c r="C43" s="32">
        <f t="shared" si="10"/>
        <v>17</v>
      </c>
      <c r="D43" s="65">
        <v>17</v>
      </c>
      <c r="E43" s="39"/>
      <c r="F43" s="68">
        <f t="shared" si="17"/>
        <v>1.2686567164179104E-2</v>
      </c>
      <c r="G43" s="69">
        <f t="shared" ca="1" si="11"/>
        <v>3.4268399705043571</v>
      </c>
      <c r="H43" s="76">
        <f t="shared" ca="1" si="12"/>
        <v>0</v>
      </c>
      <c r="I43" s="76">
        <f t="shared" ca="1" si="13"/>
        <v>0</v>
      </c>
      <c r="J43" s="68">
        <f t="shared" si="14"/>
        <v>1.4233882221602011E-2</v>
      </c>
      <c r="K43" s="69">
        <f t="shared" ca="1" si="15"/>
        <v>2.661465128276757</v>
      </c>
      <c r="L43" s="56">
        <f t="shared" ca="1" si="16"/>
        <v>0</v>
      </c>
      <c r="M43" s="74">
        <f t="shared" ca="1" si="18"/>
        <v>0</v>
      </c>
      <c r="O43" s="55">
        <f t="shared" si="19"/>
        <v>17</v>
      </c>
      <c r="P43" s="67">
        <f t="shared" si="20"/>
        <v>1.2686567164179105E-2</v>
      </c>
      <c r="Q43" s="55">
        <f t="shared" si="21"/>
        <v>17</v>
      </c>
      <c r="R43" s="67">
        <f t="shared" si="22"/>
        <v>1.4233882221602002E-2</v>
      </c>
      <c r="S43" s="55">
        <f t="shared" si="23"/>
        <v>17</v>
      </c>
      <c r="T43" s="67">
        <f t="shared" si="24"/>
        <v>1.4233882221602011E-2</v>
      </c>
    </row>
    <row r="44" spans="1:20" ht="14.1" customHeight="1" x14ac:dyDescent="0.2">
      <c r="A44" s="32" t="s">
        <v>483</v>
      </c>
      <c r="B44" s="32" t="s">
        <v>181</v>
      </c>
      <c r="C44" s="32">
        <f t="shared" si="10"/>
        <v>50</v>
      </c>
      <c r="D44" s="65">
        <v>50</v>
      </c>
      <c r="E44" s="39"/>
      <c r="F44" s="68">
        <f t="shared" si="17"/>
        <v>3.7313432835820892E-2</v>
      </c>
      <c r="G44" s="69">
        <f t="shared" ca="1" si="11"/>
        <v>3.4641534033401777</v>
      </c>
      <c r="H44" s="76">
        <f t="shared" ca="1" si="12"/>
        <v>0</v>
      </c>
      <c r="I44" s="76">
        <f t="shared" ca="1" si="13"/>
        <v>0</v>
      </c>
      <c r="J44" s="68">
        <f t="shared" si="14"/>
        <v>4.1864359475300032E-2</v>
      </c>
      <c r="K44" s="69">
        <f t="shared" ca="1" si="15"/>
        <v>2.7033294877520571</v>
      </c>
      <c r="L44" s="56">
        <f t="shared" ca="1" si="16"/>
        <v>0</v>
      </c>
      <c r="M44" s="74">
        <f t="shared" ca="1" si="18"/>
        <v>0</v>
      </c>
      <c r="O44" s="55">
        <f t="shared" si="19"/>
        <v>50</v>
      </c>
      <c r="P44" s="67">
        <f t="shared" si="20"/>
        <v>3.7313432835820899E-2</v>
      </c>
      <c r="Q44" s="55">
        <f t="shared" si="21"/>
        <v>50</v>
      </c>
      <c r="R44" s="67">
        <f t="shared" si="22"/>
        <v>4.1864359475300005E-2</v>
      </c>
      <c r="S44" s="55">
        <f t="shared" si="23"/>
        <v>50</v>
      </c>
      <c r="T44" s="67">
        <f t="shared" si="24"/>
        <v>4.1864359475300032E-2</v>
      </c>
    </row>
    <row r="45" spans="1:20" ht="14.1" customHeight="1" x14ac:dyDescent="0.2">
      <c r="A45" s="32" t="s">
        <v>483</v>
      </c>
      <c r="B45" s="32" t="s">
        <v>182</v>
      </c>
      <c r="C45" s="32">
        <f t="shared" si="10"/>
        <v>63</v>
      </c>
      <c r="D45" s="65">
        <v>63</v>
      </c>
      <c r="E45" s="39"/>
      <c r="F45" s="68">
        <f t="shared" si="17"/>
        <v>4.7014925373134328E-2</v>
      </c>
      <c r="G45" s="69">
        <f t="shared" ca="1" si="11"/>
        <v>3.5111683287133122</v>
      </c>
      <c r="H45" s="76">
        <f t="shared" ca="1" si="12"/>
        <v>0</v>
      </c>
      <c r="I45" s="76">
        <f t="shared" ca="1" si="13"/>
        <v>0</v>
      </c>
      <c r="J45" s="68">
        <f t="shared" si="14"/>
        <v>5.2749092938878042E-2</v>
      </c>
      <c r="K45" s="69">
        <f t="shared" ca="1" si="15"/>
        <v>2.7560785806909349</v>
      </c>
      <c r="L45" s="56">
        <f t="shared" ca="1" si="16"/>
        <v>0</v>
      </c>
      <c r="M45" s="74">
        <f t="shared" ca="1" si="18"/>
        <v>0</v>
      </c>
      <c r="O45" s="55">
        <f t="shared" si="19"/>
        <v>63</v>
      </c>
      <c r="P45" s="67">
        <f t="shared" si="20"/>
        <v>4.7014925373134328E-2</v>
      </c>
      <c r="Q45" s="55">
        <f t="shared" si="21"/>
        <v>63</v>
      </c>
      <c r="R45" s="67">
        <f t="shared" si="22"/>
        <v>5.2749092938878007E-2</v>
      </c>
      <c r="S45" s="55">
        <f t="shared" si="23"/>
        <v>63</v>
      </c>
      <c r="T45" s="67">
        <f t="shared" si="24"/>
        <v>5.2749092938878042E-2</v>
      </c>
    </row>
    <row r="46" spans="1:20" ht="14.1" customHeight="1" x14ac:dyDescent="0.2">
      <c r="A46" s="32" t="s">
        <v>483</v>
      </c>
      <c r="B46" s="32" t="s">
        <v>16</v>
      </c>
      <c r="C46" s="32">
        <f t="shared" si="10"/>
        <v>62</v>
      </c>
      <c r="D46" s="65">
        <v>62</v>
      </c>
      <c r="E46" s="39"/>
      <c r="F46" s="68">
        <f t="shared" si="17"/>
        <v>4.6268656716417909E-2</v>
      </c>
      <c r="G46" s="69">
        <f t="shared" ca="1" si="11"/>
        <v>3.5574369854297303</v>
      </c>
      <c r="H46" s="76">
        <f t="shared" ca="1" si="12"/>
        <v>0</v>
      </c>
      <c r="I46" s="76">
        <f t="shared" ca="1" si="13"/>
        <v>0</v>
      </c>
      <c r="J46" s="68">
        <f t="shared" si="14"/>
        <v>5.1911805749372042E-2</v>
      </c>
      <c r="K46" s="69">
        <f t="shared" ca="1" si="15"/>
        <v>2.8079903864403071</v>
      </c>
      <c r="L46" s="56">
        <f t="shared" ca="1" si="16"/>
        <v>0</v>
      </c>
      <c r="M46" s="74">
        <f t="shared" ca="1" si="18"/>
        <v>0</v>
      </c>
      <c r="O46" s="55">
        <f t="shared" si="19"/>
        <v>62</v>
      </c>
      <c r="P46" s="67">
        <f t="shared" si="20"/>
        <v>4.6268656716417909E-2</v>
      </c>
      <c r="Q46" s="55">
        <f t="shared" si="21"/>
        <v>62</v>
      </c>
      <c r="R46" s="67">
        <f t="shared" si="22"/>
        <v>5.1911805749372007E-2</v>
      </c>
      <c r="S46" s="55">
        <f t="shared" si="23"/>
        <v>62</v>
      </c>
      <c r="T46" s="67">
        <f t="shared" si="24"/>
        <v>5.1911805749372042E-2</v>
      </c>
    </row>
    <row r="47" spans="1:20" ht="14.1" customHeight="1" x14ac:dyDescent="0.2">
      <c r="A47" s="32" t="s">
        <v>483</v>
      </c>
      <c r="B47" s="32" t="s">
        <v>17</v>
      </c>
      <c r="C47" s="32">
        <f t="shared" si="10"/>
        <v>31</v>
      </c>
      <c r="D47" s="65">
        <v>31</v>
      </c>
      <c r="E47" s="39"/>
      <c r="F47" s="68">
        <f t="shared" si="17"/>
        <v>2.3134328358208955E-2</v>
      </c>
      <c r="G47" s="69">
        <f t="shared" ca="1" si="11"/>
        <v>3.5805713137879391</v>
      </c>
      <c r="H47" s="76">
        <f t="shared" ca="1" si="12"/>
        <v>0</v>
      </c>
      <c r="I47" s="76">
        <f t="shared" ca="1" si="13"/>
        <v>0</v>
      </c>
      <c r="J47" s="68">
        <f t="shared" si="14"/>
        <v>2.5955902874686021E-2</v>
      </c>
      <c r="K47" s="69">
        <f t="shared" ca="1" si="15"/>
        <v>2.8339462893149929</v>
      </c>
      <c r="L47" s="56">
        <f t="shared" ca="1" si="16"/>
        <v>0</v>
      </c>
      <c r="M47" s="74">
        <f t="shared" ca="1" si="18"/>
        <v>0</v>
      </c>
      <c r="O47" s="55">
        <f t="shared" si="19"/>
        <v>31</v>
      </c>
      <c r="P47" s="67">
        <f t="shared" si="20"/>
        <v>2.3134328358208955E-2</v>
      </c>
      <c r="Q47" s="55">
        <f t="shared" si="21"/>
        <v>31</v>
      </c>
      <c r="R47" s="67">
        <f t="shared" si="22"/>
        <v>2.5955902874686004E-2</v>
      </c>
      <c r="S47" s="55">
        <f t="shared" si="23"/>
        <v>31</v>
      </c>
      <c r="T47" s="67">
        <f t="shared" si="24"/>
        <v>2.5955902874686021E-2</v>
      </c>
    </row>
    <row r="48" spans="1:20" ht="14.1" customHeight="1" x14ac:dyDescent="0.2">
      <c r="A48" s="32" t="s">
        <v>483</v>
      </c>
      <c r="B48" s="32" t="s">
        <v>190</v>
      </c>
      <c r="C48" s="32">
        <f t="shared" si="10"/>
        <v>93</v>
      </c>
      <c r="D48" s="65">
        <v>93</v>
      </c>
      <c r="E48" s="39"/>
      <c r="F48" s="68">
        <f t="shared" si="17"/>
        <v>6.9402985074626861E-2</v>
      </c>
      <c r="G48" s="69">
        <f t="shared" ca="1" si="11"/>
        <v>3.6499742988625661</v>
      </c>
      <c r="H48" s="76">
        <f t="shared" ca="1" si="12"/>
        <v>0</v>
      </c>
      <c r="I48" s="76">
        <f t="shared" ca="1" si="13"/>
        <v>0</v>
      </c>
      <c r="J48" s="68">
        <f t="shared" si="14"/>
        <v>7.7867708624058063E-2</v>
      </c>
      <c r="K48" s="69">
        <f t="shared" ca="1" si="15"/>
        <v>2.9118139979390509</v>
      </c>
      <c r="L48" s="56">
        <f t="shared" ca="1" si="16"/>
        <v>0</v>
      </c>
      <c r="M48" s="74">
        <f t="shared" ca="1" si="18"/>
        <v>0</v>
      </c>
      <c r="O48" s="55">
        <f t="shared" si="19"/>
        <v>93</v>
      </c>
      <c r="P48" s="67">
        <f t="shared" si="20"/>
        <v>6.9402985074626861E-2</v>
      </c>
      <c r="Q48" s="55">
        <f t="shared" si="21"/>
        <v>93</v>
      </c>
      <c r="R48" s="67">
        <f t="shared" si="22"/>
        <v>7.7867708624058007E-2</v>
      </c>
      <c r="S48" s="55">
        <f t="shared" si="23"/>
        <v>93</v>
      </c>
      <c r="T48" s="67">
        <f t="shared" si="24"/>
        <v>7.7867708624058063E-2</v>
      </c>
    </row>
    <row r="49" spans="1:20" ht="14.1" customHeight="1" x14ac:dyDescent="0.2">
      <c r="A49" s="32" t="s">
        <v>483</v>
      </c>
      <c r="B49" s="32" t="s">
        <v>191</v>
      </c>
      <c r="C49" s="32">
        <f t="shared" si="10"/>
        <v>82</v>
      </c>
      <c r="D49" s="65">
        <v>82</v>
      </c>
      <c r="E49" s="39"/>
      <c r="F49" s="68">
        <f t="shared" si="17"/>
        <v>6.1194029850746269E-2</v>
      </c>
      <c r="G49" s="69">
        <f t="shared" ca="1" si="11"/>
        <v>3.7111683287133124</v>
      </c>
      <c r="H49" s="76">
        <f t="shared" ca="1" si="12"/>
        <v>0</v>
      </c>
      <c r="I49" s="76">
        <f t="shared" ca="1" si="13"/>
        <v>0</v>
      </c>
      <c r="J49" s="68">
        <f t="shared" si="14"/>
        <v>6.865754953949206E-2</v>
      </c>
      <c r="K49" s="69">
        <f t="shared" ca="1" si="15"/>
        <v>2.980471547478543</v>
      </c>
      <c r="L49" s="56">
        <f t="shared" ca="1" si="16"/>
        <v>0</v>
      </c>
      <c r="M49" s="74">
        <f t="shared" ca="1" si="18"/>
        <v>0</v>
      </c>
      <c r="O49" s="55">
        <f t="shared" si="19"/>
        <v>82</v>
      </c>
      <c r="P49" s="67">
        <f t="shared" si="20"/>
        <v>6.1194029850746269E-2</v>
      </c>
      <c r="Q49" s="55">
        <f t="shared" si="21"/>
        <v>82</v>
      </c>
      <c r="R49" s="67">
        <f t="shared" si="22"/>
        <v>6.8657549539492005E-2</v>
      </c>
      <c r="S49" s="55">
        <f t="shared" si="23"/>
        <v>82</v>
      </c>
      <c r="T49" s="67">
        <f t="shared" si="24"/>
        <v>6.865754953949206E-2</v>
      </c>
    </row>
    <row r="50" spans="1:20" ht="14.1" customHeight="1" x14ac:dyDescent="0.2">
      <c r="A50" s="32" t="s">
        <v>483</v>
      </c>
      <c r="B50" s="32" t="s">
        <v>192</v>
      </c>
      <c r="C50" s="32">
        <f t="shared" si="10"/>
        <v>39</v>
      </c>
      <c r="D50" s="65">
        <v>39</v>
      </c>
      <c r="E50" s="39"/>
      <c r="F50" s="68">
        <f t="shared" si="17"/>
        <v>2.9104477611940297E-2</v>
      </c>
      <c r="G50" s="69">
        <f t="shared" ca="1" si="11"/>
        <v>3.7402728063252528</v>
      </c>
      <c r="H50" s="76">
        <f t="shared" ca="1" si="12"/>
        <v>0</v>
      </c>
      <c r="I50" s="76">
        <f t="shared" ca="1" si="13"/>
        <v>0</v>
      </c>
      <c r="J50" s="68">
        <f t="shared" si="14"/>
        <v>3.2654200390734023E-2</v>
      </c>
      <c r="K50" s="69">
        <f t="shared" ca="1" si="15"/>
        <v>3.0131257478692772</v>
      </c>
      <c r="L50" s="56">
        <f t="shared" ca="1" si="16"/>
        <v>1</v>
      </c>
      <c r="M50" s="74">
        <f t="shared" ca="1" si="18"/>
        <v>16</v>
      </c>
      <c r="O50" s="55">
        <f t="shared" si="19"/>
        <v>39</v>
      </c>
      <c r="P50" s="67">
        <f t="shared" si="20"/>
        <v>2.9104477611940297E-2</v>
      </c>
      <c r="Q50" s="55">
        <f t="shared" si="21"/>
        <v>39</v>
      </c>
      <c r="R50" s="67">
        <f t="shared" si="22"/>
        <v>3.2654200390734002E-2</v>
      </c>
      <c r="S50" s="55">
        <f t="shared" si="23"/>
        <v>39</v>
      </c>
      <c r="T50" s="67">
        <f t="shared" si="24"/>
        <v>3.2654200390734023E-2</v>
      </c>
    </row>
    <row r="51" spans="1:20" ht="14.1" customHeight="1" x14ac:dyDescent="0.2">
      <c r="A51" s="32" t="s">
        <v>483</v>
      </c>
      <c r="B51" s="32" t="s">
        <v>371</v>
      </c>
      <c r="C51" s="32">
        <f t="shared" si="10"/>
        <v>41</v>
      </c>
      <c r="D51" s="65">
        <v>41</v>
      </c>
      <c r="E51" s="39"/>
      <c r="F51" s="68">
        <f t="shared" si="17"/>
        <v>3.0597014925373135E-2</v>
      </c>
      <c r="G51" s="69">
        <f t="shared" ca="1" si="11"/>
        <v>3.770869821250626</v>
      </c>
      <c r="H51" s="76">
        <f t="shared" ca="1" si="12"/>
        <v>0</v>
      </c>
      <c r="I51" s="76">
        <f t="shared" ca="1" si="13"/>
        <v>0</v>
      </c>
      <c r="J51" s="68">
        <f t="shared" si="14"/>
        <v>3.432877476974603E-2</v>
      </c>
      <c r="K51" s="69">
        <f t="shared" ca="1" si="15"/>
        <v>3.0474545226390233</v>
      </c>
      <c r="L51" s="56">
        <f t="shared" ca="1" si="16"/>
        <v>0</v>
      </c>
      <c r="M51" s="74">
        <f t="shared" ca="1" si="18"/>
        <v>0</v>
      </c>
      <c r="O51" s="55">
        <f t="shared" si="19"/>
        <v>41</v>
      </c>
      <c r="P51" s="67">
        <f t="shared" si="20"/>
        <v>3.0597014925373135E-2</v>
      </c>
      <c r="Q51" s="55">
        <f t="shared" si="21"/>
        <v>41</v>
      </c>
      <c r="R51" s="67">
        <f t="shared" si="22"/>
        <v>3.4328774769746002E-2</v>
      </c>
      <c r="S51" s="55">
        <f t="shared" si="23"/>
        <v>41</v>
      </c>
      <c r="T51" s="67">
        <f t="shared" si="24"/>
        <v>3.432877476974603E-2</v>
      </c>
    </row>
    <row r="52" spans="1:20" ht="14.1" customHeight="1" x14ac:dyDescent="0.2">
      <c r="A52" s="32" t="s">
        <v>483</v>
      </c>
      <c r="B52" s="32" t="s">
        <v>524</v>
      </c>
      <c r="C52" s="32">
        <f t="shared" si="10"/>
        <v>86</v>
      </c>
      <c r="D52" s="65">
        <v>86</v>
      </c>
      <c r="E52" s="39"/>
      <c r="F52" s="68">
        <f t="shared" si="17"/>
        <v>6.4179104477611937E-2</v>
      </c>
      <c r="G52" s="69">
        <f t="shared" ca="1" si="11"/>
        <v>3.8350489257282381</v>
      </c>
      <c r="H52" s="76">
        <f t="shared" ca="1" si="12"/>
        <v>0</v>
      </c>
      <c r="I52" s="76">
        <f t="shared" ca="1" si="13"/>
        <v>0</v>
      </c>
      <c r="J52" s="68">
        <f t="shared" si="14"/>
        <v>7.2006698297516061E-2</v>
      </c>
      <c r="K52" s="69">
        <f t="shared" ca="1" si="15"/>
        <v>3.1194612209365395</v>
      </c>
      <c r="L52" s="56">
        <f t="shared" ca="1" si="16"/>
        <v>0</v>
      </c>
      <c r="M52" s="74">
        <f t="shared" ca="1" si="18"/>
        <v>0</v>
      </c>
      <c r="O52" s="55">
        <f t="shared" si="19"/>
        <v>86</v>
      </c>
      <c r="P52" s="67">
        <f t="shared" si="20"/>
        <v>6.4179104477611937E-2</v>
      </c>
      <c r="Q52" s="55">
        <f t="shared" si="21"/>
        <v>86</v>
      </c>
      <c r="R52" s="67">
        <f t="shared" si="22"/>
        <v>7.2006698297516006E-2</v>
      </c>
      <c r="S52" s="55">
        <f t="shared" si="23"/>
        <v>86</v>
      </c>
      <c r="T52" s="67">
        <f t="shared" si="24"/>
        <v>7.2006698297516061E-2</v>
      </c>
    </row>
    <row r="53" spans="1:20" ht="14.1" customHeight="1" x14ac:dyDescent="0.2">
      <c r="A53" s="32" t="s">
        <v>483</v>
      </c>
      <c r="B53" s="32" t="s">
        <v>561</v>
      </c>
      <c r="C53" s="32">
        <f t="shared" si="10"/>
        <v>44</v>
      </c>
      <c r="D53" s="65">
        <v>44</v>
      </c>
      <c r="E53" s="39"/>
      <c r="F53" s="68">
        <f t="shared" si="17"/>
        <v>3.2835820895522387E-2</v>
      </c>
      <c r="G53" s="69">
        <f t="shared" ca="1" si="11"/>
        <v>3.8678847466237603</v>
      </c>
      <c r="H53" s="76">
        <f t="shared" ca="1" si="12"/>
        <v>0</v>
      </c>
      <c r="I53" s="76">
        <f t="shared" ca="1" si="13"/>
        <v>0</v>
      </c>
      <c r="J53" s="68">
        <f t="shared" si="14"/>
        <v>3.6840636338264031E-2</v>
      </c>
      <c r="K53" s="69">
        <f t="shared" ca="1" si="15"/>
        <v>3.1563018572748036</v>
      </c>
      <c r="L53" s="56">
        <f t="shared" ca="1" si="16"/>
        <v>0</v>
      </c>
      <c r="M53" s="74">
        <f t="shared" ca="1" si="18"/>
        <v>0</v>
      </c>
      <c r="O53" s="55">
        <f t="shared" si="19"/>
        <v>44</v>
      </c>
      <c r="P53" s="67">
        <f t="shared" si="20"/>
        <v>3.2835820895522387E-2</v>
      </c>
      <c r="Q53" s="55">
        <f t="shared" si="21"/>
        <v>44</v>
      </c>
      <c r="R53" s="67">
        <f t="shared" si="22"/>
        <v>3.6840636338264003E-2</v>
      </c>
      <c r="S53" s="55">
        <f t="shared" si="23"/>
        <v>44</v>
      </c>
      <c r="T53" s="67">
        <f t="shared" si="24"/>
        <v>3.6840636338264031E-2</v>
      </c>
    </row>
    <row r="54" spans="1:20" ht="14.1" customHeight="1" x14ac:dyDescent="0.2">
      <c r="A54" s="32" t="s">
        <v>483</v>
      </c>
      <c r="B54" s="32" t="s">
        <v>487</v>
      </c>
      <c r="C54" s="32">
        <f t="shared" si="10"/>
        <v>74</v>
      </c>
      <c r="D54" s="65">
        <v>74</v>
      </c>
      <c r="E54" s="39"/>
      <c r="F54" s="68">
        <f t="shared" si="17"/>
        <v>5.5223880597014927E-2</v>
      </c>
      <c r="G54" s="69">
        <f t="shared" ca="1" si="11"/>
        <v>3.9231086272207754</v>
      </c>
      <c r="H54" s="76">
        <f t="shared" ca="1" si="12"/>
        <v>0</v>
      </c>
      <c r="I54" s="76">
        <f t="shared" ca="1" si="13"/>
        <v>0</v>
      </c>
      <c r="J54" s="68">
        <f t="shared" si="14"/>
        <v>6.1959252023444052E-2</v>
      </c>
      <c r="K54" s="69">
        <f t="shared" ca="1" si="15"/>
        <v>3.2182611092982478</v>
      </c>
      <c r="L54" s="56">
        <f t="shared" ca="1" si="16"/>
        <v>0</v>
      </c>
      <c r="M54" s="74">
        <f t="shared" ca="1" si="18"/>
        <v>0</v>
      </c>
      <c r="O54" s="55">
        <f t="shared" si="19"/>
        <v>74</v>
      </c>
      <c r="P54" s="67">
        <f t="shared" si="20"/>
        <v>5.5223880597014927E-2</v>
      </c>
      <c r="Q54" s="55">
        <f t="shared" si="21"/>
        <v>74</v>
      </c>
      <c r="R54" s="67">
        <f t="shared" si="22"/>
        <v>6.195925202344401E-2</v>
      </c>
      <c r="S54" s="55">
        <f t="shared" si="23"/>
        <v>74</v>
      </c>
      <c r="T54" s="67">
        <f t="shared" si="24"/>
        <v>6.1959252023444052E-2</v>
      </c>
    </row>
    <row r="55" spans="1:20" ht="14.1" customHeight="1" x14ac:dyDescent="0.2">
      <c r="A55" s="32" t="s">
        <v>483</v>
      </c>
      <c r="B55" s="32" t="s">
        <v>488</v>
      </c>
      <c r="C55" s="32">
        <f t="shared" si="10"/>
        <v>55</v>
      </c>
      <c r="D55" s="65">
        <v>55</v>
      </c>
      <c r="E55" s="39"/>
      <c r="F55" s="68">
        <f t="shared" si="17"/>
        <v>4.1044776119402986E-2</v>
      </c>
      <c r="G55" s="69">
        <f t="shared" ca="1" si="11"/>
        <v>3.9641534033401782</v>
      </c>
      <c r="H55" s="76">
        <f t="shared" ca="1" si="12"/>
        <v>0</v>
      </c>
      <c r="I55" s="76">
        <f t="shared" ca="1" si="13"/>
        <v>0</v>
      </c>
      <c r="J55" s="68">
        <f t="shared" si="14"/>
        <v>4.6050795422830033E-2</v>
      </c>
      <c r="K55" s="69">
        <f t="shared" ca="1" si="15"/>
        <v>3.2643119047210778</v>
      </c>
      <c r="L55" s="56">
        <f t="shared" ca="1" si="16"/>
        <v>0</v>
      </c>
      <c r="M55" s="74">
        <f t="shared" ca="1" si="18"/>
        <v>0</v>
      </c>
      <c r="O55" s="55">
        <f t="shared" si="19"/>
        <v>55</v>
      </c>
      <c r="P55" s="67">
        <f t="shared" si="20"/>
        <v>4.1044776119402986E-2</v>
      </c>
      <c r="Q55" s="55">
        <f t="shared" si="21"/>
        <v>55</v>
      </c>
      <c r="R55" s="67">
        <f t="shared" si="22"/>
        <v>4.6050795422830006E-2</v>
      </c>
      <c r="S55" s="55">
        <f t="shared" si="23"/>
        <v>55</v>
      </c>
      <c r="T55" s="67">
        <f t="shared" si="24"/>
        <v>4.6050795422830033E-2</v>
      </c>
    </row>
    <row r="56" spans="1:20" ht="14.1" customHeight="1" x14ac:dyDescent="0.2">
      <c r="A56" s="32" t="s">
        <v>483</v>
      </c>
      <c r="B56" s="32" t="s">
        <v>309</v>
      </c>
      <c r="C56" s="32">
        <f t="shared" si="10"/>
        <v>255</v>
      </c>
      <c r="D56" s="65">
        <v>255</v>
      </c>
      <c r="E56" s="39"/>
      <c r="F56" s="68">
        <f t="shared" si="17"/>
        <v>0.19029850746268656</v>
      </c>
      <c r="G56" s="69">
        <f t="shared" ca="1" si="11"/>
        <v>4.154451910802865</v>
      </c>
      <c r="H56" s="76">
        <f t="shared" ca="1" si="12"/>
        <v>1</v>
      </c>
      <c r="I56" s="76">
        <f t="shared" ca="1" si="13"/>
        <v>16</v>
      </c>
      <c r="J56" s="68">
        <f t="shared" si="14"/>
        <v>0.21350823332403016</v>
      </c>
      <c r="K56" s="69">
        <f t="shared" ca="1" si="15"/>
        <v>3.4778201380451081</v>
      </c>
      <c r="L56" s="56">
        <f t="shared" ca="1" si="16"/>
        <v>0</v>
      </c>
      <c r="M56" s="74">
        <f t="shared" ca="1" si="18"/>
        <v>0</v>
      </c>
      <c r="O56" s="55">
        <f t="shared" si="19"/>
        <v>255</v>
      </c>
      <c r="P56" s="67">
        <f t="shared" si="20"/>
        <v>0.19029850746268656</v>
      </c>
      <c r="Q56" s="55">
        <f t="shared" si="21"/>
        <v>255</v>
      </c>
      <c r="R56" s="67">
        <f t="shared" si="22"/>
        <v>0.21350823332403004</v>
      </c>
      <c r="S56" s="55">
        <f t="shared" si="23"/>
        <v>255</v>
      </c>
      <c r="T56" s="67">
        <f t="shared" si="24"/>
        <v>0.21350823332403016</v>
      </c>
    </row>
    <row r="57" spans="1:20" ht="14.1" customHeight="1" x14ac:dyDescent="0.2">
      <c r="A57" s="32" t="s">
        <v>483</v>
      </c>
      <c r="B57" s="32" t="s">
        <v>90</v>
      </c>
      <c r="C57" s="32">
        <f t="shared" si="10"/>
        <v>73</v>
      </c>
      <c r="D57" s="65">
        <v>73</v>
      </c>
      <c r="E57" s="39"/>
      <c r="F57" s="68">
        <f t="shared" si="17"/>
        <v>5.4477611940298508E-2</v>
      </c>
      <c r="G57" s="69">
        <f t="shared" ca="1" si="11"/>
        <v>4.2089295227431638</v>
      </c>
      <c r="H57" s="76">
        <f t="shared" ca="1" si="12"/>
        <v>0</v>
      </c>
      <c r="I57" s="76">
        <f t="shared" ca="1" si="13"/>
        <v>0</v>
      </c>
      <c r="J57" s="68">
        <f t="shared" si="14"/>
        <v>6.1121964833938051E-2</v>
      </c>
      <c r="K57" s="69">
        <f t="shared" ca="1" si="15"/>
        <v>3.5389421028790462</v>
      </c>
      <c r="L57" s="56">
        <f t="shared" ca="1" si="16"/>
        <v>0</v>
      </c>
      <c r="M57" s="74">
        <f t="shared" ca="1" si="18"/>
        <v>0</v>
      </c>
      <c r="O57" s="55">
        <f t="shared" si="19"/>
        <v>73</v>
      </c>
      <c r="P57" s="67">
        <f t="shared" si="20"/>
        <v>5.4477611940298508E-2</v>
      </c>
      <c r="Q57" s="55">
        <f t="shared" si="21"/>
        <v>73</v>
      </c>
      <c r="R57" s="67">
        <f t="shared" si="22"/>
        <v>6.112196483393801E-2</v>
      </c>
      <c r="S57" s="55">
        <f t="shared" si="23"/>
        <v>73</v>
      </c>
      <c r="T57" s="67">
        <f t="shared" si="24"/>
        <v>6.1121964833938051E-2</v>
      </c>
    </row>
    <row r="58" spans="1:20" ht="14.1" customHeight="1" x14ac:dyDescent="0.2">
      <c r="A58" s="32" t="s">
        <v>483</v>
      </c>
      <c r="B58" s="32" t="s">
        <v>410</v>
      </c>
      <c r="C58" s="32">
        <f t="shared" si="10"/>
        <v>166</v>
      </c>
      <c r="D58" s="65">
        <v>166</v>
      </c>
      <c r="E58" s="39"/>
      <c r="F58" s="68">
        <f t="shared" si="17"/>
        <v>0.12388059701492538</v>
      </c>
      <c r="G58" s="69">
        <f t="shared" ca="1" si="11"/>
        <v>4.3328101197580891</v>
      </c>
      <c r="H58" s="76">
        <f t="shared" ca="1" si="12"/>
        <v>0</v>
      </c>
      <c r="I58" s="76">
        <f t="shared" ca="1" si="13"/>
        <v>0</v>
      </c>
      <c r="J58" s="68">
        <f t="shared" si="14"/>
        <v>0.13898967345799612</v>
      </c>
      <c r="K58" s="69">
        <f t="shared" ca="1" si="15"/>
        <v>3.6779317763370423</v>
      </c>
      <c r="L58" s="56">
        <f t="shared" ca="1" si="16"/>
        <v>0</v>
      </c>
      <c r="M58" s="74">
        <f t="shared" ca="1" si="18"/>
        <v>0</v>
      </c>
      <c r="O58" s="55">
        <f t="shared" si="19"/>
        <v>166</v>
      </c>
      <c r="P58" s="67">
        <f t="shared" si="20"/>
        <v>0.12388059701492538</v>
      </c>
      <c r="Q58" s="55">
        <f t="shared" si="21"/>
        <v>166</v>
      </c>
      <c r="R58" s="67">
        <f t="shared" si="22"/>
        <v>0.13898967345799601</v>
      </c>
      <c r="S58" s="55">
        <f t="shared" si="23"/>
        <v>166</v>
      </c>
      <c r="T58" s="67">
        <f t="shared" si="24"/>
        <v>0.13898967345799612</v>
      </c>
    </row>
    <row r="59" spans="1:20" ht="14.1" customHeight="1" x14ac:dyDescent="0.2">
      <c r="A59" s="32" t="s">
        <v>483</v>
      </c>
      <c r="B59" s="32" t="s">
        <v>411</v>
      </c>
      <c r="C59" s="32">
        <f t="shared" si="10"/>
        <v>51</v>
      </c>
      <c r="D59" s="65">
        <v>51</v>
      </c>
      <c r="E59" s="39"/>
      <c r="F59" s="68">
        <f t="shared" si="17"/>
        <v>3.8059701492537311E-2</v>
      </c>
      <c r="G59" s="69">
        <f t="shared" ca="1" si="11"/>
        <v>4.3708698212506265</v>
      </c>
      <c r="H59" s="76">
        <f t="shared" ca="1" si="12"/>
        <v>0</v>
      </c>
      <c r="I59" s="76">
        <f t="shared" ca="1" si="13"/>
        <v>0</v>
      </c>
      <c r="J59" s="68">
        <f t="shared" si="14"/>
        <v>4.2701646664806032E-2</v>
      </c>
      <c r="K59" s="69">
        <f t="shared" ca="1" si="15"/>
        <v>3.7206334230018485</v>
      </c>
      <c r="L59" s="56">
        <f t="shared" ca="1" si="16"/>
        <v>0</v>
      </c>
      <c r="M59" s="74">
        <f t="shared" ca="1" si="18"/>
        <v>0</v>
      </c>
      <c r="O59" s="55">
        <f t="shared" si="19"/>
        <v>51</v>
      </c>
      <c r="P59" s="67">
        <f t="shared" si="20"/>
        <v>3.8059701492537311E-2</v>
      </c>
      <c r="Q59" s="55">
        <f t="shared" si="21"/>
        <v>51</v>
      </c>
      <c r="R59" s="67">
        <f t="shared" si="22"/>
        <v>4.2701646664806005E-2</v>
      </c>
      <c r="S59" s="55">
        <f t="shared" si="23"/>
        <v>51</v>
      </c>
      <c r="T59" s="67">
        <f t="shared" si="24"/>
        <v>4.2701646664806032E-2</v>
      </c>
    </row>
    <row r="60" spans="1:20" ht="14.1" customHeight="1" x14ac:dyDescent="0.2">
      <c r="A60" s="32" t="s">
        <v>483</v>
      </c>
      <c r="B60" s="32" t="s">
        <v>412</v>
      </c>
      <c r="C60" s="32">
        <f t="shared" si="10"/>
        <v>112</v>
      </c>
      <c r="D60" s="65">
        <v>112</v>
      </c>
      <c r="E60" s="39"/>
      <c r="F60" s="68">
        <f t="shared" si="17"/>
        <v>8.3582089552238809E-2</v>
      </c>
      <c r="G60" s="69">
        <f t="shared" ca="1" si="11"/>
        <v>4.4544519108028657</v>
      </c>
      <c r="H60" s="76">
        <f t="shared" ca="1" si="12"/>
        <v>0</v>
      </c>
      <c r="I60" s="76">
        <f t="shared" ca="1" si="13"/>
        <v>0</v>
      </c>
      <c r="J60" s="68">
        <f t="shared" si="14"/>
        <v>9.3776165224672081E-2</v>
      </c>
      <c r="K60" s="69">
        <f t="shared" ca="1" si="15"/>
        <v>3.8144095882265208</v>
      </c>
      <c r="L60" s="56">
        <f t="shared" ca="1" si="16"/>
        <v>0</v>
      </c>
      <c r="M60" s="74">
        <f t="shared" ca="1" si="18"/>
        <v>0</v>
      </c>
      <c r="O60" s="55">
        <f t="shared" si="19"/>
        <v>112</v>
      </c>
      <c r="P60" s="67">
        <f t="shared" si="20"/>
        <v>8.3582089552238809E-2</v>
      </c>
      <c r="Q60" s="55">
        <f t="shared" si="21"/>
        <v>112</v>
      </c>
      <c r="R60" s="67">
        <f t="shared" si="22"/>
        <v>9.3776165224672012E-2</v>
      </c>
      <c r="S60" s="55">
        <f t="shared" si="23"/>
        <v>112</v>
      </c>
      <c r="T60" s="67">
        <f t="shared" si="24"/>
        <v>9.3776165224672081E-2</v>
      </c>
    </row>
    <row r="61" spans="1:20" ht="14.1" customHeight="1" x14ac:dyDescent="0.2">
      <c r="A61" s="32" t="s">
        <v>483</v>
      </c>
      <c r="B61" s="32" t="s">
        <v>420</v>
      </c>
      <c r="C61" s="32">
        <f t="shared" si="10"/>
        <v>32</v>
      </c>
      <c r="D61" s="65">
        <v>32</v>
      </c>
      <c r="E61" s="39"/>
      <c r="F61" s="68">
        <f t="shared" si="17"/>
        <v>2.3880597014925373E-2</v>
      </c>
      <c r="G61" s="69">
        <f t="shared" ca="1" si="11"/>
        <v>4.4783325078177914</v>
      </c>
      <c r="H61" s="76">
        <f t="shared" ca="1" si="12"/>
        <v>0</v>
      </c>
      <c r="I61" s="76">
        <f t="shared" ca="1" si="13"/>
        <v>0</v>
      </c>
      <c r="J61" s="68">
        <f t="shared" si="14"/>
        <v>2.6793190064192021E-2</v>
      </c>
      <c r="K61" s="69">
        <f t="shared" ca="1" si="15"/>
        <v>3.8412027782907128</v>
      </c>
      <c r="L61" s="56">
        <f t="shared" ca="1" si="16"/>
        <v>0</v>
      </c>
      <c r="M61" s="74">
        <f t="shared" ca="1" si="18"/>
        <v>0</v>
      </c>
      <c r="O61" s="55">
        <f t="shared" si="19"/>
        <v>32</v>
      </c>
      <c r="P61" s="67">
        <f t="shared" si="20"/>
        <v>2.3880597014925373E-2</v>
      </c>
      <c r="Q61" s="55">
        <f t="shared" si="21"/>
        <v>32</v>
      </c>
      <c r="R61" s="67">
        <f t="shared" si="22"/>
        <v>2.6793190064192004E-2</v>
      </c>
      <c r="S61" s="55">
        <f t="shared" si="23"/>
        <v>32</v>
      </c>
      <c r="T61" s="67">
        <f t="shared" si="24"/>
        <v>2.6793190064192021E-2</v>
      </c>
    </row>
    <row r="62" spans="1:20" ht="14.1" customHeight="1" x14ac:dyDescent="0.2">
      <c r="A62" s="32" t="s">
        <v>483</v>
      </c>
      <c r="B62" s="32" t="s">
        <v>592</v>
      </c>
      <c r="C62" s="32">
        <f t="shared" si="10"/>
        <v>64</v>
      </c>
      <c r="D62" s="65">
        <v>64</v>
      </c>
      <c r="E62" s="39"/>
      <c r="F62" s="68">
        <f t="shared" si="17"/>
        <v>4.7761194029850747E-2</v>
      </c>
      <c r="G62" s="69">
        <f t="shared" ca="1" si="11"/>
        <v>4.5260937018476417</v>
      </c>
      <c r="H62" s="76">
        <f t="shared" ca="1" si="12"/>
        <v>0</v>
      </c>
      <c r="I62" s="76">
        <f t="shared" ca="1" si="13"/>
        <v>0</v>
      </c>
      <c r="J62" s="68">
        <f t="shared" si="14"/>
        <v>5.3586380128384042E-2</v>
      </c>
      <c r="K62" s="69">
        <f t="shared" ca="1" si="15"/>
        <v>3.8947891584190968</v>
      </c>
      <c r="L62" s="56">
        <f t="shared" ca="1" si="16"/>
        <v>0</v>
      </c>
      <c r="M62" s="74">
        <f t="shared" ca="1" si="18"/>
        <v>0</v>
      </c>
      <c r="O62" s="55">
        <f t="shared" si="19"/>
        <v>64</v>
      </c>
      <c r="P62" s="67">
        <f t="shared" si="20"/>
        <v>4.7761194029850747E-2</v>
      </c>
      <c r="Q62" s="55">
        <f t="shared" si="21"/>
        <v>64</v>
      </c>
      <c r="R62" s="67">
        <f t="shared" si="22"/>
        <v>5.3586380128384008E-2</v>
      </c>
      <c r="S62" s="55">
        <f t="shared" si="23"/>
        <v>64</v>
      </c>
      <c r="T62" s="67">
        <f t="shared" si="24"/>
        <v>5.3586380128384042E-2</v>
      </c>
    </row>
    <row r="63" spans="1:20" ht="14.1" customHeight="1" x14ac:dyDescent="0.2">
      <c r="A63" s="32" t="s">
        <v>483</v>
      </c>
      <c r="B63" s="32" t="s">
        <v>631</v>
      </c>
      <c r="C63" s="32">
        <f t="shared" si="10"/>
        <v>54</v>
      </c>
      <c r="D63" s="65">
        <v>54</v>
      </c>
      <c r="E63" s="39"/>
      <c r="F63" s="68">
        <f t="shared" si="17"/>
        <v>4.0298507462686567E-2</v>
      </c>
      <c r="G63" s="69">
        <f t="shared" ca="1" si="11"/>
        <v>4.5663922093103286</v>
      </c>
      <c r="H63" s="76">
        <f t="shared" ca="1" si="12"/>
        <v>0</v>
      </c>
      <c r="I63" s="76">
        <f t="shared" ca="1" si="13"/>
        <v>0</v>
      </c>
      <c r="J63" s="68">
        <f t="shared" si="14"/>
        <v>4.5213508233324033E-2</v>
      </c>
      <c r="K63" s="69">
        <f t="shared" ca="1" si="15"/>
        <v>3.9400026666524206</v>
      </c>
      <c r="L63" s="56">
        <f t="shared" ca="1" si="16"/>
        <v>0</v>
      </c>
      <c r="M63" s="74">
        <f t="shared" ca="1" si="18"/>
        <v>0</v>
      </c>
      <c r="O63" s="55">
        <f t="shared" si="19"/>
        <v>54</v>
      </c>
      <c r="P63" s="67">
        <f t="shared" si="20"/>
        <v>4.0298507462686567E-2</v>
      </c>
      <c r="Q63" s="55">
        <f t="shared" si="21"/>
        <v>54</v>
      </c>
      <c r="R63" s="67">
        <f t="shared" si="22"/>
        <v>4.5213508233324005E-2</v>
      </c>
      <c r="S63" s="55">
        <f t="shared" si="23"/>
        <v>54</v>
      </c>
      <c r="T63" s="67">
        <f t="shared" si="24"/>
        <v>4.5213508233324033E-2</v>
      </c>
    </row>
    <row r="64" spans="1:20" ht="14.1" customHeight="1" x14ac:dyDescent="0.2">
      <c r="A64" s="32" t="s">
        <v>483</v>
      </c>
      <c r="B64" s="32" t="s">
        <v>128</v>
      </c>
      <c r="C64" s="32">
        <f t="shared" si="10"/>
        <v>32</v>
      </c>
      <c r="D64" s="65">
        <v>32</v>
      </c>
      <c r="E64" s="39"/>
      <c r="F64" s="68">
        <f t="shared" si="17"/>
        <v>2.3880597014925373E-2</v>
      </c>
      <c r="G64" s="69">
        <f t="shared" ca="1" si="11"/>
        <v>4.5902728063252543</v>
      </c>
      <c r="H64" s="76">
        <f t="shared" ca="1" si="12"/>
        <v>0</v>
      </c>
      <c r="I64" s="76">
        <f t="shared" ca="1" si="13"/>
        <v>0</v>
      </c>
      <c r="J64" s="68">
        <f t="shared" si="14"/>
        <v>2.6793190064192021E-2</v>
      </c>
      <c r="K64" s="69">
        <f t="shared" ca="1" si="15"/>
        <v>3.9667958567166126</v>
      </c>
      <c r="L64" s="56">
        <f t="shared" ca="1" si="16"/>
        <v>0</v>
      </c>
      <c r="M64" s="74">
        <f t="shared" ca="1" si="18"/>
        <v>0</v>
      </c>
      <c r="O64" s="55">
        <f t="shared" si="19"/>
        <v>32</v>
      </c>
      <c r="P64" s="67">
        <f t="shared" si="20"/>
        <v>2.3880597014925373E-2</v>
      </c>
      <c r="Q64" s="55">
        <f t="shared" si="21"/>
        <v>32</v>
      </c>
      <c r="R64" s="67">
        <f t="shared" si="22"/>
        <v>2.6793190064192004E-2</v>
      </c>
      <c r="S64" s="55">
        <f t="shared" si="23"/>
        <v>32</v>
      </c>
      <c r="T64" s="67">
        <f t="shared" si="24"/>
        <v>2.6793190064192021E-2</v>
      </c>
    </row>
    <row r="65" spans="1:20" ht="14.1" customHeight="1" x14ac:dyDescent="0.2">
      <c r="A65" s="32" t="s">
        <v>483</v>
      </c>
      <c r="B65" s="32" t="s">
        <v>302</v>
      </c>
      <c r="C65" s="32">
        <f t="shared" si="10"/>
        <v>80</v>
      </c>
      <c r="D65" s="65">
        <v>80</v>
      </c>
      <c r="E65" s="39"/>
      <c r="F65" s="68">
        <f t="shared" si="17"/>
        <v>5.9701492537313432E-2</v>
      </c>
      <c r="G65" s="69">
        <f t="shared" ca="1" si="11"/>
        <v>4.6499742988625679</v>
      </c>
      <c r="H65" s="76">
        <f t="shared" ca="1" si="12"/>
        <v>0</v>
      </c>
      <c r="I65" s="76">
        <f t="shared" ca="1" si="13"/>
        <v>0</v>
      </c>
      <c r="J65" s="68">
        <f t="shared" si="14"/>
        <v>6.6982975160480046E-2</v>
      </c>
      <c r="K65" s="69">
        <f t="shared" ca="1" si="15"/>
        <v>4.0337788318770924</v>
      </c>
      <c r="L65" s="56">
        <f t="shared" ca="1" si="16"/>
        <v>1</v>
      </c>
      <c r="M65" s="74">
        <f t="shared" ca="1" si="18"/>
        <v>16</v>
      </c>
      <c r="O65" s="55">
        <f t="shared" si="19"/>
        <v>80</v>
      </c>
      <c r="P65" s="67">
        <f t="shared" si="20"/>
        <v>5.9701492537313432E-2</v>
      </c>
      <c r="Q65" s="55">
        <f t="shared" si="21"/>
        <v>80</v>
      </c>
      <c r="R65" s="67">
        <f t="shared" si="22"/>
        <v>6.6982975160480004E-2</v>
      </c>
      <c r="S65" s="55">
        <f t="shared" si="23"/>
        <v>80</v>
      </c>
      <c r="T65" s="67">
        <f t="shared" si="24"/>
        <v>6.6982975160480046E-2</v>
      </c>
    </row>
    <row r="66" spans="1:20" ht="14.1" customHeight="1" x14ac:dyDescent="0.2">
      <c r="A66" s="32" t="s">
        <v>483</v>
      </c>
      <c r="B66" s="32" t="s">
        <v>297</v>
      </c>
      <c r="C66" s="32">
        <f t="shared" si="10"/>
        <v>47</v>
      </c>
      <c r="D66" s="65">
        <v>47</v>
      </c>
      <c r="E66" s="39"/>
      <c r="F66" s="68">
        <f t="shared" si="17"/>
        <v>3.5074626865671643E-2</v>
      </c>
      <c r="G66" s="69">
        <f t="shared" ca="1" si="11"/>
        <v>4.6850489257282391</v>
      </c>
      <c r="H66" s="76">
        <f t="shared" ca="1" si="12"/>
        <v>0</v>
      </c>
      <c r="I66" s="76">
        <f t="shared" ca="1" si="13"/>
        <v>0</v>
      </c>
      <c r="J66" s="68">
        <f t="shared" si="14"/>
        <v>3.9352497906782032E-2</v>
      </c>
      <c r="K66" s="69">
        <f t="shared" ca="1" si="15"/>
        <v>4.073131329783874</v>
      </c>
      <c r="L66" s="56">
        <f t="shared" ca="1" si="16"/>
        <v>0</v>
      </c>
      <c r="M66" s="74">
        <f t="shared" ca="1" si="18"/>
        <v>0</v>
      </c>
      <c r="O66" s="55">
        <f t="shared" si="19"/>
        <v>47</v>
      </c>
      <c r="P66" s="67">
        <f t="shared" si="20"/>
        <v>3.5074626865671643E-2</v>
      </c>
      <c r="Q66" s="55">
        <f t="shared" si="21"/>
        <v>47</v>
      </c>
      <c r="R66" s="67">
        <f t="shared" si="22"/>
        <v>3.9352497906782004E-2</v>
      </c>
      <c r="S66" s="55">
        <f t="shared" si="23"/>
        <v>47</v>
      </c>
      <c r="T66" s="67">
        <f t="shared" si="24"/>
        <v>3.9352497906782032E-2</v>
      </c>
    </row>
    <row r="67" spans="1:20" ht="14.1" customHeight="1" x14ac:dyDescent="0.2">
      <c r="A67" s="32" t="s">
        <v>483</v>
      </c>
      <c r="B67" s="32" t="s">
        <v>298</v>
      </c>
      <c r="C67" s="32">
        <f t="shared" si="10"/>
        <v>56</v>
      </c>
      <c r="D67" s="65">
        <v>56</v>
      </c>
      <c r="E67" s="39"/>
      <c r="F67" s="68">
        <f t="shared" si="17"/>
        <v>4.1791044776119404E-2</v>
      </c>
      <c r="G67" s="69">
        <f t="shared" ca="1" si="11"/>
        <v>4.7268399705043587</v>
      </c>
      <c r="H67" s="76">
        <f t="shared" ca="1" si="12"/>
        <v>0</v>
      </c>
      <c r="I67" s="76">
        <f t="shared" ca="1" si="13"/>
        <v>0</v>
      </c>
      <c r="J67" s="68">
        <f t="shared" si="14"/>
        <v>4.6888082612336041E-2</v>
      </c>
      <c r="K67" s="69">
        <f t="shared" ca="1" si="15"/>
        <v>4.1200194123962097</v>
      </c>
      <c r="L67" s="56">
        <f t="shared" ca="1" si="16"/>
        <v>0</v>
      </c>
      <c r="M67" s="74">
        <f t="shared" ca="1" si="18"/>
        <v>0</v>
      </c>
      <c r="O67" s="55">
        <f t="shared" si="19"/>
        <v>56</v>
      </c>
      <c r="P67" s="67">
        <f t="shared" si="20"/>
        <v>4.1791044776119404E-2</v>
      </c>
      <c r="Q67" s="55">
        <f t="shared" si="21"/>
        <v>56</v>
      </c>
      <c r="R67" s="67">
        <f t="shared" si="22"/>
        <v>4.6888082612336006E-2</v>
      </c>
      <c r="S67" s="55">
        <f t="shared" si="23"/>
        <v>56</v>
      </c>
      <c r="T67" s="67">
        <f t="shared" si="24"/>
        <v>4.6888082612336041E-2</v>
      </c>
    </row>
    <row r="68" spans="1:20" ht="14.1" customHeight="1" x14ac:dyDescent="0.2">
      <c r="A68" s="32" t="s">
        <v>483</v>
      </c>
      <c r="B68" s="32" t="s">
        <v>97</v>
      </c>
      <c r="C68" s="32">
        <f t="shared" si="10"/>
        <v>83</v>
      </c>
      <c r="D68" s="65">
        <v>83</v>
      </c>
      <c r="E68" s="39"/>
      <c r="F68" s="68">
        <f t="shared" si="17"/>
        <v>6.1940298507462688E-2</v>
      </c>
      <c r="G68" s="69">
        <f t="shared" ca="1" si="11"/>
        <v>4.7887802690118217</v>
      </c>
      <c r="H68" s="76">
        <f t="shared" ca="1" si="12"/>
        <v>0</v>
      </c>
      <c r="I68" s="76">
        <f t="shared" ca="1" si="13"/>
        <v>0</v>
      </c>
      <c r="J68" s="68">
        <f t="shared" si="14"/>
        <v>6.9494836728998061E-2</v>
      </c>
      <c r="K68" s="69">
        <f t="shared" ca="1" si="15"/>
        <v>4.1895142491252075</v>
      </c>
      <c r="L68" s="56">
        <f t="shared" ca="1" si="16"/>
        <v>0</v>
      </c>
      <c r="M68" s="74">
        <f t="shared" ca="1" si="18"/>
        <v>0</v>
      </c>
      <c r="O68" s="55">
        <f t="shared" si="19"/>
        <v>83</v>
      </c>
      <c r="P68" s="67">
        <f t="shared" si="20"/>
        <v>6.1940298507462688E-2</v>
      </c>
      <c r="Q68" s="55">
        <f t="shared" si="21"/>
        <v>83</v>
      </c>
      <c r="R68" s="67">
        <f t="shared" si="22"/>
        <v>6.9494836728998005E-2</v>
      </c>
      <c r="S68" s="55">
        <f t="shared" si="23"/>
        <v>83</v>
      </c>
      <c r="T68" s="67">
        <f t="shared" si="24"/>
        <v>6.9494836728998061E-2</v>
      </c>
    </row>
    <row r="69" spans="1:20" ht="14.1" customHeight="1" x14ac:dyDescent="0.2">
      <c r="A69" s="32" t="s">
        <v>483</v>
      </c>
      <c r="B69" s="32" t="s">
        <v>98</v>
      </c>
      <c r="C69" s="32">
        <f t="shared" si="10"/>
        <v>110</v>
      </c>
      <c r="D69" s="65">
        <v>110</v>
      </c>
      <c r="E69" s="39"/>
      <c r="F69" s="68">
        <f t="shared" si="17"/>
        <v>8.2089552238805971E-2</v>
      </c>
      <c r="G69" s="69">
        <f t="shared" ca="1" si="11"/>
        <v>4.8708698212506274</v>
      </c>
      <c r="H69" s="76">
        <f t="shared" ca="1" si="12"/>
        <v>0</v>
      </c>
      <c r="I69" s="76">
        <f t="shared" ca="1" si="13"/>
        <v>0</v>
      </c>
      <c r="J69" s="68">
        <f t="shared" si="14"/>
        <v>9.2101590845660067E-2</v>
      </c>
      <c r="K69" s="69">
        <f t="shared" ca="1" si="15"/>
        <v>4.2816158399708675</v>
      </c>
      <c r="L69" s="56">
        <f t="shared" ca="1" si="16"/>
        <v>0</v>
      </c>
      <c r="M69" s="74">
        <f t="shared" ca="1" si="18"/>
        <v>0</v>
      </c>
      <c r="O69" s="55">
        <f t="shared" si="19"/>
        <v>110</v>
      </c>
      <c r="P69" s="67">
        <f t="shared" si="20"/>
        <v>8.2089552238805971E-2</v>
      </c>
      <c r="Q69" s="55">
        <f t="shared" si="21"/>
        <v>110</v>
      </c>
      <c r="R69" s="67">
        <f t="shared" si="22"/>
        <v>9.2101590845660011E-2</v>
      </c>
      <c r="S69" s="55">
        <f t="shared" si="23"/>
        <v>110</v>
      </c>
      <c r="T69" s="67">
        <f t="shared" si="24"/>
        <v>9.2101590845660067E-2</v>
      </c>
    </row>
    <row r="70" spans="1:20" ht="14.1" customHeight="1" x14ac:dyDescent="0.2">
      <c r="A70" s="32" t="s">
        <v>483</v>
      </c>
      <c r="B70" s="32" t="s">
        <v>212</v>
      </c>
      <c r="C70" s="32">
        <f t="shared" si="10"/>
        <v>92</v>
      </c>
      <c r="D70" s="65">
        <v>92</v>
      </c>
      <c r="E70" s="39"/>
      <c r="F70" s="68">
        <f t="shared" si="17"/>
        <v>6.8656716417910449E-2</v>
      </c>
      <c r="G70" s="69">
        <f t="shared" ca="1" si="11"/>
        <v>4.939526537668538</v>
      </c>
      <c r="H70" s="76">
        <f t="shared" ca="1" si="12"/>
        <v>0</v>
      </c>
      <c r="I70" s="76">
        <f t="shared" ca="1" si="13"/>
        <v>0</v>
      </c>
      <c r="J70" s="68">
        <f t="shared" si="14"/>
        <v>7.7030421434552063E-2</v>
      </c>
      <c r="K70" s="69">
        <f t="shared" ca="1" si="15"/>
        <v>4.3586462614054193</v>
      </c>
      <c r="L70" s="56">
        <f t="shared" ca="1" si="16"/>
        <v>0</v>
      </c>
      <c r="M70" s="74">
        <f t="shared" ca="1" si="18"/>
        <v>0</v>
      </c>
      <c r="O70" s="55">
        <f t="shared" si="19"/>
        <v>92</v>
      </c>
      <c r="P70" s="67">
        <f t="shared" si="20"/>
        <v>6.8656716417910449E-2</v>
      </c>
      <c r="Q70" s="55">
        <f t="shared" si="21"/>
        <v>92</v>
      </c>
      <c r="R70" s="67">
        <f t="shared" si="22"/>
        <v>7.7030421434552007E-2</v>
      </c>
      <c r="S70" s="55">
        <f t="shared" si="23"/>
        <v>92</v>
      </c>
      <c r="T70" s="67">
        <f t="shared" si="24"/>
        <v>7.7030421434552063E-2</v>
      </c>
    </row>
    <row r="71" spans="1:20" ht="14.1" customHeight="1" x14ac:dyDescent="0.2">
      <c r="A71" s="32" t="s">
        <v>483</v>
      </c>
      <c r="B71" s="32" t="s">
        <v>213</v>
      </c>
      <c r="C71" s="32">
        <f t="shared" si="10"/>
        <v>90</v>
      </c>
      <c r="D71" s="65">
        <v>90</v>
      </c>
      <c r="E71" s="39"/>
      <c r="F71" s="68">
        <f t="shared" si="17"/>
        <v>6.7164179104477612E-2</v>
      </c>
      <c r="G71" s="69">
        <f t="shared" ca="1" si="11"/>
        <v>5.0066907167730159</v>
      </c>
      <c r="H71" s="76">
        <f t="shared" ca="1" si="12"/>
        <v>1</v>
      </c>
      <c r="I71" s="76">
        <f t="shared" ca="1" si="13"/>
        <v>16</v>
      </c>
      <c r="J71" s="68">
        <f t="shared" si="14"/>
        <v>7.5355847055540062E-2</v>
      </c>
      <c r="K71" s="69">
        <f t="shared" ca="1" si="15"/>
        <v>4.4340021084609598</v>
      </c>
      <c r="L71" s="56">
        <f t="shared" ca="1" si="16"/>
        <v>0</v>
      </c>
      <c r="M71" s="74">
        <f t="shared" ca="1" si="18"/>
        <v>0</v>
      </c>
      <c r="O71" s="55">
        <f t="shared" si="19"/>
        <v>90</v>
      </c>
      <c r="P71" s="67">
        <f t="shared" si="20"/>
        <v>6.7164179104477612E-2</v>
      </c>
      <c r="Q71" s="55">
        <f t="shared" si="21"/>
        <v>90</v>
      </c>
      <c r="R71" s="67">
        <f t="shared" si="22"/>
        <v>7.5355847055540007E-2</v>
      </c>
      <c r="S71" s="55">
        <f t="shared" si="23"/>
        <v>90</v>
      </c>
      <c r="T71" s="67">
        <f t="shared" si="24"/>
        <v>7.5355847055540062E-2</v>
      </c>
    </row>
    <row r="72" spans="1:20" ht="14.1" customHeight="1" x14ac:dyDescent="0.2">
      <c r="A72" s="32" t="s">
        <v>483</v>
      </c>
      <c r="B72" s="32" t="s">
        <v>197</v>
      </c>
      <c r="C72" s="32">
        <f t="shared" si="10"/>
        <v>27</v>
      </c>
      <c r="D72" s="65">
        <v>27</v>
      </c>
      <c r="E72" s="39"/>
      <c r="F72" s="68">
        <f t="shared" si="17"/>
        <v>2.0149253731343283E-2</v>
      </c>
      <c r="G72" s="69">
        <f t="shared" ca="1" si="11"/>
        <v>5.0268399705043594</v>
      </c>
      <c r="H72" s="76">
        <f t="shared" ca="1" si="12"/>
        <v>0</v>
      </c>
      <c r="I72" s="76">
        <f t="shared" ca="1" si="13"/>
        <v>0</v>
      </c>
      <c r="J72" s="68">
        <f t="shared" si="14"/>
        <v>2.2606754116662017E-2</v>
      </c>
      <c r="K72" s="69">
        <f t="shared" ca="1" si="15"/>
        <v>4.4566088625776219</v>
      </c>
      <c r="L72" s="56">
        <f t="shared" ca="1" si="16"/>
        <v>0</v>
      </c>
      <c r="M72" s="74">
        <f t="shared" ca="1" si="18"/>
        <v>0</v>
      </c>
      <c r="O72" s="55">
        <f t="shared" si="19"/>
        <v>27</v>
      </c>
      <c r="P72" s="67">
        <f t="shared" si="20"/>
        <v>2.0149253731343283E-2</v>
      </c>
      <c r="Q72" s="55">
        <f t="shared" si="21"/>
        <v>27</v>
      </c>
      <c r="R72" s="67">
        <f t="shared" si="22"/>
        <v>2.2606754116662003E-2</v>
      </c>
      <c r="S72" s="55">
        <f t="shared" si="23"/>
        <v>27</v>
      </c>
      <c r="T72" s="67">
        <f t="shared" si="24"/>
        <v>2.2606754116662017E-2</v>
      </c>
    </row>
    <row r="73" spans="1:20" ht="14.1" customHeight="1" x14ac:dyDescent="0.2">
      <c r="A73" s="32" t="s">
        <v>483</v>
      </c>
      <c r="B73" s="32" t="s">
        <v>509</v>
      </c>
      <c r="C73" s="32">
        <f t="shared" si="10"/>
        <v>147</v>
      </c>
      <c r="D73" s="65">
        <v>147</v>
      </c>
      <c r="E73" s="39"/>
      <c r="F73" s="68">
        <f t="shared" si="17"/>
        <v>0.10970149253731343</v>
      </c>
      <c r="G73" s="69">
        <f t="shared" ca="1" si="11"/>
        <v>5.1365414630416728</v>
      </c>
      <c r="H73" s="76">
        <f t="shared" ca="1" si="12"/>
        <v>0</v>
      </c>
      <c r="I73" s="76">
        <f t="shared" ca="1" si="13"/>
        <v>0</v>
      </c>
      <c r="J73" s="68">
        <f t="shared" si="14"/>
        <v>0.1230812168573821</v>
      </c>
      <c r="K73" s="69">
        <f t="shared" ca="1" si="15"/>
        <v>4.5796900794350037</v>
      </c>
      <c r="L73" s="56">
        <f t="shared" ca="1" si="16"/>
        <v>0</v>
      </c>
      <c r="M73" s="74">
        <f t="shared" ca="1" si="18"/>
        <v>0</v>
      </c>
      <c r="O73" s="55">
        <f t="shared" si="19"/>
        <v>147</v>
      </c>
      <c r="P73" s="67">
        <f t="shared" si="20"/>
        <v>0.10970149253731343</v>
      </c>
      <c r="Q73" s="55">
        <f t="shared" si="21"/>
        <v>147</v>
      </c>
      <c r="R73" s="67">
        <f t="shared" si="22"/>
        <v>0.12308121685738202</v>
      </c>
      <c r="S73" s="55">
        <f t="shared" si="23"/>
        <v>147</v>
      </c>
      <c r="T73" s="67">
        <f t="shared" si="24"/>
        <v>0.1230812168573821</v>
      </c>
    </row>
    <row r="74" spans="1:20" ht="14.1" customHeight="1" x14ac:dyDescent="0.2">
      <c r="A74" s="32" t="s">
        <v>483</v>
      </c>
      <c r="B74" s="32" t="s">
        <v>214</v>
      </c>
      <c r="C74" s="32">
        <f t="shared" si="10"/>
        <v>49</v>
      </c>
      <c r="D74" s="65">
        <v>49</v>
      </c>
      <c r="E74" s="39"/>
      <c r="F74" s="68">
        <f t="shared" ref="F74:F105" si="25">+I$5*D74/D$9</f>
        <v>3.656716417910448E-2</v>
      </c>
      <c r="G74" s="69">
        <f t="shared" ca="1" si="11"/>
        <v>5.1731086272207776</v>
      </c>
      <c r="H74" s="76">
        <f t="shared" ca="1" si="12"/>
        <v>0</v>
      </c>
      <c r="I74" s="76">
        <f t="shared" ca="1" si="13"/>
        <v>0</v>
      </c>
      <c r="J74" s="68">
        <f t="shared" si="14"/>
        <v>4.1027072285794032E-2</v>
      </c>
      <c r="K74" s="69">
        <f t="shared" ca="1" si="15"/>
        <v>4.6207171517207977</v>
      </c>
      <c r="L74" s="56">
        <f t="shared" ca="1" si="16"/>
        <v>0</v>
      </c>
      <c r="M74" s="74">
        <f t="shared" ref="M74:M105" ca="1" si="26">MIN(C74,L74*C$6)</f>
        <v>0</v>
      </c>
      <c r="O74" s="55">
        <f t="shared" ref="O74:O105" si="27">+($D74/2)*(SIGN(1-P$6*$D74)+1)</f>
        <v>49</v>
      </c>
      <c r="P74" s="67">
        <f t="shared" ref="P74:P105" si="28">MIN(1,P$6*$D74)</f>
        <v>3.656716417910448E-2</v>
      </c>
      <c r="Q74" s="55">
        <f t="shared" ref="Q74:Q105" si="29">+($D74/2)*(SIGN(1-R$6*$D74)+1)</f>
        <v>49</v>
      </c>
      <c r="R74" s="67">
        <f t="shared" ref="R74:R105" si="30">MIN(1,R$6*$D74)</f>
        <v>4.1027072285794004E-2</v>
      </c>
      <c r="S74" s="55">
        <f t="shared" ref="S74:S105" si="31">+($D74/2)*(SIGN(1-T$6*$D74)+1)</f>
        <v>49</v>
      </c>
      <c r="T74" s="67">
        <f t="shared" ref="T74:T105" si="32">MIN(1,T$6*$D74)</f>
        <v>4.1027072285794032E-2</v>
      </c>
    </row>
    <row r="75" spans="1:20" ht="14.1" customHeight="1" x14ac:dyDescent="0.2">
      <c r="A75" s="32" t="s">
        <v>483</v>
      </c>
      <c r="B75" s="32" t="s">
        <v>208</v>
      </c>
      <c r="C75" s="32">
        <f t="shared" ref="C75:C138" si="33">+D75</f>
        <v>97</v>
      </c>
      <c r="D75" s="65">
        <v>97</v>
      </c>
      <c r="E75" s="39"/>
      <c r="F75" s="68">
        <f t="shared" si="25"/>
        <v>7.2388059701492535E-2</v>
      </c>
      <c r="G75" s="69">
        <f t="shared" ref="G75:G138" ca="1" si="34">+F75+G74</f>
        <v>5.2454966869222703</v>
      </c>
      <c r="H75" s="76">
        <f t="shared" ref="H75:H138" ca="1" si="35">+INT(G75)-INT(G74)</f>
        <v>0</v>
      </c>
      <c r="I75" s="76">
        <f t="shared" ref="I75:I138" ca="1" si="36">MIN(C75,H75*C$6)</f>
        <v>0</v>
      </c>
      <c r="J75" s="68">
        <f t="shared" ref="J75:J138" si="37">+T75</f>
        <v>8.1216857382082064E-2</v>
      </c>
      <c r="K75" s="69">
        <f t="shared" ref="K75:K138" ca="1" si="38">+J75+K74</f>
        <v>4.7019340091028798</v>
      </c>
      <c r="L75" s="56">
        <f t="shared" ref="L75:L138" ca="1" si="39">+INT(K75)-INT(K74)</f>
        <v>0</v>
      </c>
      <c r="M75" s="74">
        <f t="shared" ca="1" si="26"/>
        <v>0</v>
      </c>
      <c r="O75" s="55">
        <f t="shared" si="27"/>
        <v>97</v>
      </c>
      <c r="P75" s="67">
        <f t="shared" si="28"/>
        <v>7.2388059701492535E-2</v>
      </c>
      <c r="Q75" s="55">
        <f t="shared" si="29"/>
        <v>97</v>
      </c>
      <c r="R75" s="67">
        <f t="shared" si="30"/>
        <v>8.1216857382082008E-2</v>
      </c>
      <c r="S75" s="55">
        <f t="shared" si="31"/>
        <v>97</v>
      </c>
      <c r="T75" s="67">
        <f t="shared" si="32"/>
        <v>8.1216857382082064E-2</v>
      </c>
    </row>
    <row r="76" spans="1:20" ht="14.1" customHeight="1" x14ac:dyDescent="0.2">
      <c r="A76" s="32" t="s">
        <v>483</v>
      </c>
      <c r="B76" s="32" t="s">
        <v>510</v>
      </c>
      <c r="C76" s="32">
        <f t="shared" si="33"/>
        <v>76</v>
      </c>
      <c r="D76" s="65">
        <v>76</v>
      </c>
      <c r="E76" s="39"/>
      <c r="F76" s="68">
        <f t="shared" si="25"/>
        <v>5.6716417910447764E-2</v>
      </c>
      <c r="G76" s="69">
        <f t="shared" ca="1" si="34"/>
        <v>5.3022131048327177</v>
      </c>
      <c r="H76" s="76">
        <f t="shared" ca="1" si="35"/>
        <v>0</v>
      </c>
      <c r="I76" s="76">
        <f t="shared" ca="1" si="36"/>
        <v>0</v>
      </c>
      <c r="J76" s="68">
        <f t="shared" si="37"/>
        <v>6.3633826402456045E-2</v>
      </c>
      <c r="K76" s="69">
        <f t="shared" ca="1" si="38"/>
        <v>4.7655678355053359</v>
      </c>
      <c r="L76" s="56">
        <f t="shared" ca="1" si="39"/>
        <v>0</v>
      </c>
      <c r="M76" s="74">
        <f t="shared" ca="1" si="26"/>
        <v>0</v>
      </c>
      <c r="O76" s="55">
        <f t="shared" si="27"/>
        <v>76</v>
      </c>
      <c r="P76" s="67">
        <f t="shared" si="28"/>
        <v>5.6716417910447764E-2</v>
      </c>
      <c r="Q76" s="55">
        <f t="shared" si="29"/>
        <v>76</v>
      </c>
      <c r="R76" s="67">
        <f t="shared" si="30"/>
        <v>6.3633826402456004E-2</v>
      </c>
      <c r="S76" s="55">
        <f t="shared" si="31"/>
        <v>76</v>
      </c>
      <c r="T76" s="67">
        <f t="shared" si="32"/>
        <v>6.3633826402456045E-2</v>
      </c>
    </row>
    <row r="77" spans="1:20" ht="14.1" customHeight="1" x14ac:dyDescent="0.2">
      <c r="A77" s="32" t="s">
        <v>483</v>
      </c>
      <c r="B77" s="32" t="s">
        <v>511</v>
      </c>
      <c r="C77" s="32">
        <f t="shared" si="33"/>
        <v>4</v>
      </c>
      <c r="D77" s="65">
        <v>4</v>
      </c>
      <c r="E77" s="39"/>
      <c r="F77" s="68">
        <f t="shared" si="25"/>
        <v>2.9850746268656717E-3</v>
      </c>
      <c r="G77" s="69">
        <f t="shared" ca="1" si="34"/>
        <v>5.3051981794595831</v>
      </c>
      <c r="H77" s="76">
        <f t="shared" ca="1" si="35"/>
        <v>0</v>
      </c>
      <c r="I77" s="76">
        <f t="shared" ca="1" si="36"/>
        <v>0</v>
      </c>
      <c r="J77" s="68">
        <f t="shared" si="37"/>
        <v>3.3491487580240027E-3</v>
      </c>
      <c r="K77" s="69">
        <f t="shared" ca="1" si="38"/>
        <v>4.7689169842633596</v>
      </c>
      <c r="L77" s="56">
        <f t="shared" ca="1" si="39"/>
        <v>0</v>
      </c>
      <c r="M77" s="74">
        <f t="shared" ca="1" si="26"/>
        <v>0</v>
      </c>
      <c r="O77" s="55">
        <f t="shared" si="27"/>
        <v>4</v>
      </c>
      <c r="P77" s="67">
        <f t="shared" si="28"/>
        <v>2.9850746268656717E-3</v>
      </c>
      <c r="Q77" s="55">
        <f t="shared" si="29"/>
        <v>4</v>
      </c>
      <c r="R77" s="67">
        <f t="shared" si="30"/>
        <v>3.3491487580240005E-3</v>
      </c>
      <c r="S77" s="55">
        <f t="shared" si="31"/>
        <v>4</v>
      </c>
      <c r="T77" s="67">
        <f t="shared" si="32"/>
        <v>3.3491487580240027E-3</v>
      </c>
    </row>
    <row r="78" spans="1:20" ht="14.1" customHeight="1" x14ac:dyDescent="0.2">
      <c r="A78" s="32" t="s">
        <v>483</v>
      </c>
      <c r="B78" s="32" t="s">
        <v>215</v>
      </c>
      <c r="C78" s="32">
        <f t="shared" si="33"/>
        <v>43</v>
      </c>
      <c r="D78" s="65">
        <v>43</v>
      </c>
      <c r="E78" s="39"/>
      <c r="F78" s="68">
        <f t="shared" si="25"/>
        <v>3.2089552238805968E-2</v>
      </c>
      <c r="G78" s="69">
        <f t="shared" ca="1" si="34"/>
        <v>5.3372877316983889</v>
      </c>
      <c r="H78" s="76">
        <f t="shared" ca="1" si="35"/>
        <v>0</v>
      </c>
      <c r="I78" s="76">
        <f t="shared" ca="1" si="36"/>
        <v>0</v>
      </c>
      <c r="J78" s="68">
        <f t="shared" si="37"/>
        <v>3.6003349148758031E-2</v>
      </c>
      <c r="K78" s="69">
        <f t="shared" ca="1" si="38"/>
        <v>4.8049203334121176</v>
      </c>
      <c r="L78" s="56">
        <f t="shared" ca="1" si="39"/>
        <v>0</v>
      </c>
      <c r="M78" s="74">
        <f t="shared" ca="1" si="26"/>
        <v>0</v>
      </c>
      <c r="O78" s="55">
        <f t="shared" si="27"/>
        <v>43</v>
      </c>
      <c r="P78" s="67">
        <f t="shared" si="28"/>
        <v>3.2089552238805968E-2</v>
      </c>
      <c r="Q78" s="55">
        <f t="shared" si="29"/>
        <v>43</v>
      </c>
      <c r="R78" s="67">
        <f t="shared" si="30"/>
        <v>3.6003349148758003E-2</v>
      </c>
      <c r="S78" s="55">
        <f t="shared" si="31"/>
        <v>43</v>
      </c>
      <c r="T78" s="67">
        <f t="shared" si="32"/>
        <v>3.6003349148758031E-2</v>
      </c>
    </row>
    <row r="79" spans="1:20" ht="14.1" customHeight="1" x14ac:dyDescent="0.2">
      <c r="A79" s="32" t="s">
        <v>483</v>
      </c>
      <c r="B79" s="32" t="s">
        <v>630</v>
      </c>
      <c r="C79" s="32">
        <f t="shared" si="33"/>
        <v>22</v>
      </c>
      <c r="D79" s="65">
        <v>22</v>
      </c>
      <c r="E79" s="39"/>
      <c r="F79" s="68">
        <f t="shared" si="25"/>
        <v>1.6417910447761194E-2</v>
      </c>
      <c r="G79" s="69">
        <f t="shared" ca="1" si="34"/>
        <v>5.3537056421461502</v>
      </c>
      <c r="H79" s="76">
        <f t="shared" ca="1" si="35"/>
        <v>0</v>
      </c>
      <c r="I79" s="76">
        <f t="shared" ca="1" si="36"/>
        <v>0</v>
      </c>
      <c r="J79" s="68">
        <f t="shared" si="37"/>
        <v>1.8420318169132015E-2</v>
      </c>
      <c r="K79" s="69">
        <f t="shared" ca="1" si="38"/>
        <v>4.8233406515812494</v>
      </c>
      <c r="L79" s="56">
        <f t="shared" ca="1" si="39"/>
        <v>0</v>
      </c>
      <c r="M79" s="74">
        <f t="shared" ca="1" si="26"/>
        <v>0</v>
      </c>
      <c r="O79" s="55">
        <f t="shared" si="27"/>
        <v>22</v>
      </c>
      <c r="P79" s="67">
        <f t="shared" si="28"/>
        <v>1.6417910447761194E-2</v>
      </c>
      <c r="Q79" s="55">
        <f t="shared" si="29"/>
        <v>22</v>
      </c>
      <c r="R79" s="67">
        <f t="shared" si="30"/>
        <v>1.8420318169132002E-2</v>
      </c>
      <c r="S79" s="55">
        <f t="shared" si="31"/>
        <v>22</v>
      </c>
      <c r="T79" s="67">
        <f t="shared" si="32"/>
        <v>1.8420318169132015E-2</v>
      </c>
    </row>
    <row r="80" spans="1:20" ht="14.1" customHeight="1" x14ac:dyDescent="0.2">
      <c r="A80" s="32" t="s">
        <v>483</v>
      </c>
      <c r="B80" s="32" t="s">
        <v>493</v>
      </c>
      <c r="C80" s="32">
        <f t="shared" si="33"/>
        <v>72</v>
      </c>
      <c r="D80" s="65">
        <v>72</v>
      </c>
      <c r="E80" s="39"/>
      <c r="F80" s="68">
        <f t="shared" si="25"/>
        <v>5.3731343283582089E-2</v>
      </c>
      <c r="G80" s="69">
        <f t="shared" ca="1" si="34"/>
        <v>5.4074369854297322</v>
      </c>
      <c r="H80" s="76">
        <f t="shared" ca="1" si="35"/>
        <v>0</v>
      </c>
      <c r="I80" s="76">
        <f t="shared" ca="1" si="36"/>
        <v>0</v>
      </c>
      <c r="J80" s="68">
        <f t="shared" si="37"/>
        <v>6.0284677644432044E-2</v>
      </c>
      <c r="K80" s="69">
        <f t="shared" ca="1" si="38"/>
        <v>4.8836253292256817</v>
      </c>
      <c r="L80" s="56">
        <f t="shared" ca="1" si="39"/>
        <v>0</v>
      </c>
      <c r="M80" s="74">
        <f t="shared" ca="1" si="26"/>
        <v>0</v>
      </c>
      <c r="O80" s="55">
        <f t="shared" si="27"/>
        <v>72</v>
      </c>
      <c r="P80" s="67">
        <f t="shared" si="28"/>
        <v>5.3731343283582089E-2</v>
      </c>
      <c r="Q80" s="55">
        <f t="shared" si="29"/>
        <v>72</v>
      </c>
      <c r="R80" s="67">
        <f t="shared" si="30"/>
        <v>6.028467764443201E-2</v>
      </c>
      <c r="S80" s="55">
        <f t="shared" si="31"/>
        <v>72</v>
      </c>
      <c r="T80" s="67">
        <f t="shared" si="32"/>
        <v>6.0284677644432044E-2</v>
      </c>
    </row>
    <row r="81" spans="1:20" ht="14.1" customHeight="1" x14ac:dyDescent="0.2">
      <c r="A81" s="32" t="s">
        <v>483</v>
      </c>
      <c r="B81" s="32" t="s">
        <v>102</v>
      </c>
      <c r="C81" s="32">
        <f t="shared" si="33"/>
        <v>55</v>
      </c>
      <c r="D81" s="65">
        <v>55</v>
      </c>
      <c r="E81" s="39"/>
      <c r="F81" s="68">
        <f t="shared" si="25"/>
        <v>4.1044776119402986E-2</v>
      </c>
      <c r="G81" s="69">
        <f t="shared" ca="1" si="34"/>
        <v>5.448481761549135</v>
      </c>
      <c r="H81" s="76">
        <f t="shared" ca="1" si="35"/>
        <v>0</v>
      </c>
      <c r="I81" s="76">
        <f t="shared" ca="1" si="36"/>
        <v>0</v>
      </c>
      <c r="J81" s="68">
        <f t="shared" si="37"/>
        <v>4.6050795422830033E-2</v>
      </c>
      <c r="K81" s="69">
        <f t="shared" ca="1" si="38"/>
        <v>4.9296761246485117</v>
      </c>
      <c r="L81" s="56">
        <f t="shared" ca="1" si="39"/>
        <v>0</v>
      </c>
      <c r="M81" s="74">
        <f t="shared" ca="1" si="26"/>
        <v>0</v>
      </c>
      <c r="O81" s="55">
        <f t="shared" si="27"/>
        <v>55</v>
      </c>
      <c r="P81" s="67">
        <f t="shared" si="28"/>
        <v>4.1044776119402986E-2</v>
      </c>
      <c r="Q81" s="55">
        <f t="shared" si="29"/>
        <v>55</v>
      </c>
      <c r="R81" s="67">
        <f t="shared" si="30"/>
        <v>4.6050795422830006E-2</v>
      </c>
      <c r="S81" s="55">
        <f t="shared" si="31"/>
        <v>55</v>
      </c>
      <c r="T81" s="67">
        <f t="shared" si="32"/>
        <v>4.6050795422830033E-2</v>
      </c>
    </row>
    <row r="82" spans="1:20" ht="14.1" customHeight="1" x14ac:dyDescent="0.2">
      <c r="A82" s="32" t="s">
        <v>483</v>
      </c>
      <c r="B82" s="32" t="s">
        <v>73</v>
      </c>
      <c r="C82" s="32">
        <f t="shared" si="33"/>
        <v>54</v>
      </c>
      <c r="D82" s="65">
        <v>54</v>
      </c>
      <c r="E82" s="39"/>
      <c r="F82" s="68">
        <f t="shared" si="25"/>
        <v>4.0298507462686567E-2</v>
      </c>
      <c r="G82" s="69">
        <f t="shared" ca="1" si="34"/>
        <v>5.4887802690118219</v>
      </c>
      <c r="H82" s="76">
        <f t="shared" ca="1" si="35"/>
        <v>0</v>
      </c>
      <c r="I82" s="76">
        <f t="shared" ca="1" si="36"/>
        <v>0</v>
      </c>
      <c r="J82" s="68">
        <f t="shared" si="37"/>
        <v>4.5213508233324033E-2</v>
      </c>
      <c r="K82" s="69">
        <f t="shared" ca="1" si="38"/>
        <v>4.9748896328818359</v>
      </c>
      <c r="L82" s="56">
        <f t="shared" ca="1" si="39"/>
        <v>0</v>
      </c>
      <c r="M82" s="74">
        <f t="shared" ca="1" si="26"/>
        <v>0</v>
      </c>
      <c r="O82" s="55">
        <f t="shared" si="27"/>
        <v>54</v>
      </c>
      <c r="P82" s="67">
        <f t="shared" si="28"/>
        <v>4.0298507462686567E-2</v>
      </c>
      <c r="Q82" s="55">
        <f t="shared" si="29"/>
        <v>54</v>
      </c>
      <c r="R82" s="67">
        <f t="shared" si="30"/>
        <v>4.5213508233324005E-2</v>
      </c>
      <c r="S82" s="55">
        <f t="shared" si="31"/>
        <v>54</v>
      </c>
      <c r="T82" s="67">
        <f t="shared" si="32"/>
        <v>4.5213508233324033E-2</v>
      </c>
    </row>
    <row r="83" spans="1:20" ht="14.1" customHeight="1" x14ac:dyDescent="0.2">
      <c r="A83" s="32" t="s">
        <v>483</v>
      </c>
      <c r="B83" s="32" t="s">
        <v>530</v>
      </c>
      <c r="C83" s="32">
        <f t="shared" si="33"/>
        <v>145</v>
      </c>
      <c r="D83" s="65">
        <v>145</v>
      </c>
      <c r="E83" s="39"/>
      <c r="F83" s="68">
        <f t="shared" si="25"/>
        <v>0.10820895522388059</v>
      </c>
      <c r="G83" s="69">
        <f t="shared" ca="1" si="34"/>
        <v>5.5969892242357027</v>
      </c>
      <c r="H83" s="76">
        <f t="shared" ca="1" si="35"/>
        <v>0</v>
      </c>
      <c r="I83" s="76">
        <f t="shared" ca="1" si="36"/>
        <v>0</v>
      </c>
      <c r="J83" s="68">
        <f t="shared" si="37"/>
        <v>0.1214066424783701</v>
      </c>
      <c r="K83" s="69">
        <f t="shared" ca="1" si="38"/>
        <v>5.0962962753602064</v>
      </c>
      <c r="L83" s="56">
        <f t="shared" ca="1" si="39"/>
        <v>1</v>
      </c>
      <c r="M83" s="74">
        <f t="shared" ca="1" si="26"/>
        <v>16</v>
      </c>
      <c r="O83" s="55">
        <f t="shared" si="27"/>
        <v>145</v>
      </c>
      <c r="P83" s="67">
        <f t="shared" si="28"/>
        <v>0.1082089552238806</v>
      </c>
      <c r="Q83" s="55">
        <f t="shared" si="29"/>
        <v>145</v>
      </c>
      <c r="R83" s="67">
        <f t="shared" si="30"/>
        <v>0.12140664247837002</v>
      </c>
      <c r="S83" s="55">
        <f t="shared" si="31"/>
        <v>145</v>
      </c>
      <c r="T83" s="67">
        <f t="shared" si="32"/>
        <v>0.1214066424783701</v>
      </c>
    </row>
    <row r="84" spans="1:20" ht="14.1" customHeight="1" x14ac:dyDescent="0.2">
      <c r="A84" s="32" t="s">
        <v>483</v>
      </c>
      <c r="B84" s="32" t="s">
        <v>531</v>
      </c>
      <c r="C84" s="32">
        <f t="shared" si="33"/>
        <v>55</v>
      </c>
      <c r="D84" s="65">
        <v>55</v>
      </c>
      <c r="E84" s="39"/>
      <c r="F84" s="68">
        <f t="shared" si="25"/>
        <v>4.1044776119402986E-2</v>
      </c>
      <c r="G84" s="69">
        <f t="shared" ca="1" si="34"/>
        <v>5.6380340003551055</v>
      </c>
      <c r="H84" s="76">
        <f t="shared" ca="1" si="35"/>
        <v>0</v>
      </c>
      <c r="I84" s="76">
        <f t="shared" ca="1" si="36"/>
        <v>0</v>
      </c>
      <c r="J84" s="68">
        <f t="shared" si="37"/>
        <v>4.6050795422830033E-2</v>
      </c>
      <c r="K84" s="69">
        <f t="shared" ca="1" si="38"/>
        <v>5.1423470707830363</v>
      </c>
      <c r="L84" s="56">
        <f t="shared" ca="1" si="39"/>
        <v>0</v>
      </c>
      <c r="M84" s="74">
        <f t="shared" ca="1" si="26"/>
        <v>0</v>
      </c>
      <c r="O84" s="55">
        <f t="shared" si="27"/>
        <v>55</v>
      </c>
      <c r="P84" s="67">
        <f t="shared" si="28"/>
        <v>4.1044776119402986E-2</v>
      </c>
      <c r="Q84" s="55">
        <f t="shared" si="29"/>
        <v>55</v>
      </c>
      <c r="R84" s="67">
        <f t="shared" si="30"/>
        <v>4.6050795422830006E-2</v>
      </c>
      <c r="S84" s="55">
        <f t="shared" si="31"/>
        <v>55</v>
      </c>
      <c r="T84" s="67">
        <f t="shared" si="32"/>
        <v>4.6050795422830033E-2</v>
      </c>
    </row>
    <row r="85" spans="1:20" ht="14.1" customHeight="1" x14ac:dyDescent="0.2">
      <c r="A85" s="32" t="s">
        <v>483</v>
      </c>
      <c r="B85" s="32" t="s">
        <v>532</v>
      </c>
      <c r="C85" s="32">
        <f t="shared" si="33"/>
        <v>33</v>
      </c>
      <c r="D85" s="65">
        <v>33</v>
      </c>
      <c r="E85" s="39"/>
      <c r="F85" s="68">
        <f t="shared" si="25"/>
        <v>2.4626865671641792E-2</v>
      </c>
      <c r="G85" s="69">
        <f t="shared" ca="1" si="34"/>
        <v>5.662660866026747</v>
      </c>
      <c r="H85" s="76">
        <f t="shared" ca="1" si="35"/>
        <v>0</v>
      </c>
      <c r="I85" s="76">
        <f t="shared" ca="1" si="36"/>
        <v>0</v>
      </c>
      <c r="J85" s="68">
        <f t="shared" si="37"/>
        <v>2.7630477253698021E-2</v>
      </c>
      <c r="K85" s="69">
        <f t="shared" ca="1" si="38"/>
        <v>5.1699775480367345</v>
      </c>
      <c r="L85" s="56">
        <f t="shared" ca="1" si="39"/>
        <v>0</v>
      </c>
      <c r="M85" s="74">
        <f t="shared" ca="1" si="26"/>
        <v>0</v>
      </c>
      <c r="O85" s="55">
        <f t="shared" si="27"/>
        <v>33</v>
      </c>
      <c r="P85" s="67">
        <f t="shared" si="28"/>
        <v>2.4626865671641792E-2</v>
      </c>
      <c r="Q85" s="55">
        <f t="shared" si="29"/>
        <v>33</v>
      </c>
      <c r="R85" s="67">
        <f t="shared" si="30"/>
        <v>2.7630477253698004E-2</v>
      </c>
      <c r="S85" s="55">
        <f t="shared" si="31"/>
        <v>33</v>
      </c>
      <c r="T85" s="67">
        <f t="shared" si="32"/>
        <v>2.7630477253698021E-2</v>
      </c>
    </row>
    <row r="86" spans="1:20" ht="14.1" customHeight="1" x14ac:dyDescent="0.2">
      <c r="A86" s="32" t="s">
        <v>483</v>
      </c>
      <c r="B86" s="32" t="s">
        <v>533</v>
      </c>
      <c r="C86" s="32">
        <f t="shared" si="33"/>
        <v>95</v>
      </c>
      <c r="D86" s="65">
        <v>95</v>
      </c>
      <c r="E86" s="39"/>
      <c r="F86" s="68">
        <f t="shared" si="25"/>
        <v>7.0895522388059698E-2</v>
      </c>
      <c r="G86" s="69">
        <f t="shared" ca="1" si="34"/>
        <v>5.7335563884148071</v>
      </c>
      <c r="H86" s="76">
        <f t="shared" ca="1" si="35"/>
        <v>0</v>
      </c>
      <c r="I86" s="76">
        <f t="shared" ca="1" si="36"/>
        <v>0</v>
      </c>
      <c r="J86" s="68">
        <f t="shared" si="37"/>
        <v>7.9542283003070063E-2</v>
      </c>
      <c r="K86" s="69">
        <f t="shared" ca="1" si="38"/>
        <v>5.2495198310398044</v>
      </c>
      <c r="L86" s="56">
        <f t="shared" ca="1" si="39"/>
        <v>0</v>
      </c>
      <c r="M86" s="74">
        <f t="shared" ca="1" si="26"/>
        <v>0</v>
      </c>
      <c r="O86" s="55">
        <f t="shared" si="27"/>
        <v>95</v>
      </c>
      <c r="P86" s="67">
        <f t="shared" si="28"/>
        <v>7.0895522388059698E-2</v>
      </c>
      <c r="Q86" s="55">
        <f t="shared" si="29"/>
        <v>95</v>
      </c>
      <c r="R86" s="67">
        <f t="shared" si="30"/>
        <v>7.9542283003070008E-2</v>
      </c>
      <c r="S86" s="55">
        <f t="shared" si="31"/>
        <v>95</v>
      </c>
      <c r="T86" s="67">
        <f t="shared" si="32"/>
        <v>7.9542283003070063E-2</v>
      </c>
    </row>
    <row r="87" spans="1:20" ht="14.1" customHeight="1" x14ac:dyDescent="0.2">
      <c r="A87" s="32" t="s">
        <v>483</v>
      </c>
      <c r="B87" s="32" t="s">
        <v>534</v>
      </c>
      <c r="C87" s="32">
        <f t="shared" si="33"/>
        <v>20</v>
      </c>
      <c r="D87" s="65">
        <v>20</v>
      </c>
      <c r="E87" s="39"/>
      <c r="F87" s="68">
        <f t="shared" si="25"/>
        <v>1.4925373134328358E-2</v>
      </c>
      <c r="G87" s="69">
        <f t="shared" ca="1" si="34"/>
        <v>5.7484817615491357</v>
      </c>
      <c r="H87" s="76">
        <f t="shared" ca="1" si="35"/>
        <v>0</v>
      </c>
      <c r="I87" s="76">
        <f t="shared" ca="1" si="36"/>
        <v>0</v>
      </c>
      <c r="J87" s="68">
        <f t="shared" si="37"/>
        <v>1.6745743790120012E-2</v>
      </c>
      <c r="K87" s="69">
        <f t="shared" ca="1" si="38"/>
        <v>5.2662655748299247</v>
      </c>
      <c r="L87" s="56">
        <f t="shared" ca="1" si="39"/>
        <v>0</v>
      </c>
      <c r="M87" s="74">
        <f t="shared" ca="1" si="26"/>
        <v>0</v>
      </c>
      <c r="O87" s="55">
        <f t="shared" si="27"/>
        <v>20</v>
      </c>
      <c r="P87" s="67">
        <f t="shared" si="28"/>
        <v>1.4925373134328358E-2</v>
      </c>
      <c r="Q87" s="55">
        <f t="shared" si="29"/>
        <v>20</v>
      </c>
      <c r="R87" s="67">
        <f t="shared" si="30"/>
        <v>1.6745743790120001E-2</v>
      </c>
      <c r="S87" s="55">
        <f t="shared" si="31"/>
        <v>20</v>
      </c>
      <c r="T87" s="67">
        <f t="shared" si="32"/>
        <v>1.6745743790120012E-2</v>
      </c>
    </row>
    <row r="88" spans="1:20" ht="14.1" customHeight="1" x14ac:dyDescent="0.2">
      <c r="A88" s="32" t="s">
        <v>483</v>
      </c>
      <c r="B88" s="32" t="s">
        <v>535</v>
      </c>
      <c r="C88" s="32">
        <f t="shared" si="33"/>
        <v>38</v>
      </c>
      <c r="D88" s="65">
        <v>38</v>
      </c>
      <c r="E88" s="39"/>
      <c r="F88" s="68">
        <f t="shared" si="25"/>
        <v>2.8358208955223882E-2</v>
      </c>
      <c r="G88" s="69">
        <f t="shared" ca="1" si="34"/>
        <v>5.7768399705043594</v>
      </c>
      <c r="H88" s="76">
        <f t="shared" ca="1" si="35"/>
        <v>0</v>
      </c>
      <c r="I88" s="76">
        <f t="shared" ca="1" si="36"/>
        <v>0</v>
      </c>
      <c r="J88" s="68">
        <f t="shared" si="37"/>
        <v>3.1816913201228023E-2</v>
      </c>
      <c r="K88" s="69">
        <f t="shared" ca="1" si="38"/>
        <v>5.2980824880311523</v>
      </c>
      <c r="L88" s="56">
        <f t="shared" ca="1" si="39"/>
        <v>0</v>
      </c>
      <c r="M88" s="74">
        <f t="shared" ca="1" si="26"/>
        <v>0</v>
      </c>
      <c r="O88" s="55">
        <f t="shared" si="27"/>
        <v>38</v>
      </c>
      <c r="P88" s="67">
        <f t="shared" si="28"/>
        <v>2.8358208955223882E-2</v>
      </c>
      <c r="Q88" s="55">
        <f t="shared" si="29"/>
        <v>38</v>
      </c>
      <c r="R88" s="67">
        <f t="shared" si="30"/>
        <v>3.1816913201228002E-2</v>
      </c>
      <c r="S88" s="55">
        <f t="shared" si="31"/>
        <v>38</v>
      </c>
      <c r="T88" s="67">
        <f t="shared" si="32"/>
        <v>3.1816913201228023E-2</v>
      </c>
    </row>
    <row r="89" spans="1:20" ht="14.1" customHeight="1" x14ac:dyDescent="0.2">
      <c r="A89" s="32" t="s">
        <v>483</v>
      </c>
      <c r="B89" s="32" t="s">
        <v>372</v>
      </c>
      <c r="C89" s="32">
        <f t="shared" si="33"/>
        <v>90</v>
      </c>
      <c r="D89" s="65">
        <v>90</v>
      </c>
      <c r="E89" s="39"/>
      <c r="F89" s="68">
        <f t="shared" si="25"/>
        <v>6.7164179104477612E-2</v>
      </c>
      <c r="G89" s="69">
        <f t="shared" ca="1" si="34"/>
        <v>5.8440041496088373</v>
      </c>
      <c r="H89" s="76">
        <f t="shared" ca="1" si="35"/>
        <v>0</v>
      </c>
      <c r="I89" s="76">
        <f t="shared" ca="1" si="36"/>
        <v>0</v>
      </c>
      <c r="J89" s="68">
        <f t="shared" si="37"/>
        <v>7.5355847055540062E-2</v>
      </c>
      <c r="K89" s="69">
        <f t="shared" ca="1" si="38"/>
        <v>5.3734383350866928</v>
      </c>
      <c r="L89" s="56">
        <f t="shared" ca="1" si="39"/>
        <v>0</v>
      </c>
      <c r="M89" s="74">
        <f t="shared" ca="1" si="26"/>
        <v>0</v>
      </c>
      <c r="O89" s="55">
        <f t="shared" si="27"/>
        <v>90</v>
      </c>
      <c r="P89" s="67">
        <f t="shared" si="28"/>
        <v>6.7164179104477612E-2</v>
      </c>
      <c r="Q89" s="55">
        <f t="shared" si="29"/>
        <v>90</v>
      </c>
      <c r="R89" s="67">
        <f t="shared" si="30"/>
        <v>7.5355847055540007E-2</v>
      </c>
      <c r="S89" s="55">
        <f t="shared" si="31"/>
        <v>90</v>
      </c>
      <c r="T89" s="67">
        <f t="shared" si="32"/>
        <v>7.5355847055540062E-2</v>
      </c>
    </row>
    <row r="90" spans="1:20" ht="14.1" customHeight="1" x14ac:dyDescent="0.2">
      <c r="A90" s="32" t="s">
        <v>483</v>
      </c>
      <c r="B90" s="32" t="s">
        <v>373</v>
      </c>
      <c r="C90" s="32">
        <f t="shared" si="33"/>
        <v>204</v>
      </c>
      <c r="D90" s="65">
        <v>204</v>
      </c>
      <c r="E90" s="39"/>
      <c r="F90" s="68">
        <f t="shared" si="25"/>
        <v>0.15223880597014924</v>
      </c>
      <c r="G90" s="69">
        <f t="shared" ca="1" si="34"/>
        <v>5.9962429555789862</v>
      </c>
      <c r="H90" s="76">
        <f t="shared" ca="1" si="35"/>
        <v>0</v>
      </c>
      <c r="I90" s="76">
        <f t="shared" ca="1" si="36"/>
        <v>0</v>
      </c>
      <c r="J90" s="68">
        <f t="shared" si="37"/>
        <v>0.17080658665922413</v>
      </c>
      <c r="K90" s="69">
        <f t="shared" ca="1" si="38"/>
        <v>5.5442449217459169</v>
      </c>
      <c r="L90" s="56">
        <f t="shared" ca="1" si="39"/>
        <v>0</v>
      </c>
      <c r="M90" s="74">
        <f t="shared" ca="1" si="26"/>
        <v>0</v>
      </c>
      <c r="O90" s="55">
        <f t="shared" si="27"/>
        <v>204</v>
      </c>
      <c r="P90" s="67">
        <f t="shared" si="28"/>
        <v>0.15223880597014924</v>
      </c>
      <c r="Q90" s="55">
        <f t="shared" si="29"/>
        <v>204</v>
      </c>
      <c r="R90" s="67">
        <f t="shared" si="30"/>
        <v>0.17080658665922402</v>
      </c>
      <c r="S90" s="55">
        <f t="shared" si="31"/>
        <v>204</v>
      </c>
      <c r="T90" s="67">
        <f t="shared" si="32"/>
        <v>0.17080658665922413</v>
      </c>
    </row>
    <row r="91" spans="1:20" ht="14.1" customHeight="1" x14ac:dyDescent="0.2">
      <c r="A91" s="32" t="s">
        <v>483</v>
      </c>
      <c r="B91" s="32" t="s">
        <v>22</v>
      </c>
      <c r="C91" s="32">
        <f t="shared" si="33"/>
        <v>116</v>
      </c>
      <c r="D91" s="65">
        <v>116</v>
      </c>
      <c r="E91" s="39"/>
      <c r="F91" s="68">
        <f t="shared" si="25"/>
        <v>8.6567164179104483E-2</v>
      </c>
      <c r="G91" s="69">
        <f t="shared" ca="1" si="34"/>
        <v>6.0828101197580908</v>
      </c>
      <c r="H91" s="76">
        <f t="shared" ca="1" si="35"/>
        <v>1</v>
      </c>
      <c r="I91" s="76">
        <f t="shared" ca="1" si="36"/>
        <v>16</v>
      </c>
      <c r="J91" s="68">
        <f t="shared" si="37"/>
        <v>9.7125313982696082E-2</v>
      </c>
      <c r="K91" s="69">
        <f t="shared" ca="1" si="38"/>
        <v>5.6413702357286128</v>
      </c>
      <c r="L91" s="56">
        <f t="shared" ca="1" si="39"/>
        <v>0</v>
      </c>
      <c r="M91" s="74">
        <f t="shared" ca="1" si="26"/>
        <v>0</v>
      </c>
      <c r="O91" s="55">
        <f t="shared" si="27"/>
        <v>116</v>
      </c>
      <c r="P91" s="67">
        <f t="shared" si="28"/>
        <v>8.6567164179104483E-2</v>
      </c>
      <c r="Q91" s="55">
        <f t="shared" si="29"/>
        <v>116</v>
      </c>
      <c r="R91" s="67">
        <f t="shared" si="30"/>
        <v>9.7125313982696013E-2</v>
      </c>
      <c r="S91" s="55">
        <f t="shared" si="31"/>
        <v>116</v>
      </c>
      <c r="T91" s="67">
        <f t="shared" si="32"/>
        <v>9.7125313982696082E-2</v>
      </c>
    </row>
    <row r="92" spans="1:20" ht="14.1" customHeight="1" x14ac:dyDescent="0.2">
      <c r="A92" s="32" t="s">
        <v>483</v>
      </c>
      <c r="B92" s="32" t="s">
        <v>23</v>
      </c>
      <c r="C92" s="32">
        <f t="shared" si="33"/>
        <v>159</v>
      </c>
      <c r="D92" s="65">
        <v>159</v>
      </c>
      <c r="E92" s="39"/>
      <c r="F92" s="68">
        <f t="shared" si="25"/>
        <v>0.11865671641791045</v>
      </c>
      <c r="G92" s="69">
        <f t="shared" ca="1" si="34"/>
        <v>6.2014668361760013</v>
      </c>
      <c r="H92" s="76">
        <f t="shared" ca="1" si="35"/>
        <v>0</v>
      </c>
      <c r="I92" s="76">
        <f t="shared" ca="1" si="36"/>
        <v>0</v>
      </c>
      <c r="J92" s="68">
        <f t="shared" si="37"/>
        <v>0.13312866313145411</v>
      </c>
      <c r="K92" s="69">
        <f t="shared" ca="1" si="38"/>
        <v>5.7744988988600667</v>
      </c>
      <c r="L92" s="56">
        <f t="shared" ca="1" si="39"/>
        <v>0</v>
      </c>
      <c r="M92" s="74">
        <f t="shared" ca="1" si="26"/>
        <v>0</v>
      </c>
      <c r="O92" s="55">
        <f t="shared" si="27"/>
        <v>159</v>
      </c>
      <c r="P92" s="67">
        <f t="shared" si="28"/>
        <v>0.11865671641791045</v>
      </c>
      <c r="Q92" s="55">
        <f t="shared" si="29"/>
        <v>159</v>
      </c>
      <c r="R92" s="67">
        <f t="shared" si="30"/>
        <v>0.13312866313145402</v>
      </c>
      <c r="S92" s="55">
        <f t="shared" si="31"/>
        <v>159</v>
      </c>
      <c r="T92" s="67">
        <f t="shared" si="32"/>
        <v>0.13312866313145411</v>
      </c>
    </row>
    <row r="93" spans="1:20" ht="14.1" customHeight="1" x14ac:dyDescent="0.2">
      <c r="A93" s="32" t="s">
        <v>483</v>
      </c>
      <c r="B93" s="32" t="s">
        <v>24</v>
      </c>
      <c r="C93" s="32">
        <f t="shared" si="33"/>
        <v>226</v>
      </c>
      <c r="D93" s="65">
        <v>226</v>
      </c>
      <c r="E93" s="39"/>
      <c r="F93" s="68">
        <f t="shared" si="25"/>
        <v>0.16865671641791044</v>
      </c>
      <c r="G93" s="69">
        <f t="shared" ca="1" si="34"/>
        <v>6.3701235525939115</v>
      </c>
      <c r="H93" s="76">
        <f t="shared" ca="1" si="35"/>
        <v>0</v>
      </c>
      <c r="I93" s="76">
        <f t="shared" ca="1" si="36"/>
        <v>0</v>
      </c>
      <c r="J93" s="68">
        <f t="shared" si="37"/>
        <v>0.18922690482835616</v>
      </c>
      <c r="K93" s="69">
        <f t="shared" ca="1" si="38"/>
        <v>5.9637258036884226</v>
      </c>
      <c r="L93" s="56">
        <f t="shared" ca="1" si="39"/>
        <v>0</v>
      </c>
      <c r="M93" s="74">
        <f t="shared" ca="1" si="26"/>
        <v>0</v>
      </c>
      <c r="O93" s="55">
        <f t="shared" si="27"/>
        <v>226</v>
      </c>
      <c r="P93" s="67">
        <f t="shared" si="28"/>
        <v>0.16865671641791044</v>
      </c>
      <c r="Q93" s="55">
        <f t="shared" si="29"/>
        <v>226</v>
      </c>
      <c r="R93" s="67">
        <f t="shared" si="30"/>
        <v>0.18922690482835602</v>
      </c>
      <c r="S93" s="55">
        <f t="shared" si="31"/>
        <v>226</v>
      </c>
      <c r="T93" s="67">
        <f t="shared" si="32"/>
        <v>0.18922690482835616</v>
      </c>
    </row>
    <row r="94" spans="1:20" ht="14.1" customHeight="1" x14ac:dyDescent="0.2">
      <c r="A94" s="32" t="s">
        <v>483</v>
      </c>
      <c r="B94" s="32" t="s">
        <v>25</v>
      </c>
      <c r="C94" s="32">
        <f t="shared" si="33"/>
        <v>96</v>
      </c>
      <c r="D94" s="65">
        <v>96</v>
      </c>
      <c r="E94" s="39"/>
      <c r="F94" s="68">
        <f t="shared" si="25"/>
        <v>7.1641791044776124E-2</v>
      </c>
      <c r="G94" s="69">
        <f t="shared" ca="1" si="34"/>
        <v>6.4417653436386875</v>
      </c>
      <c r="H94" s="76">
        <f t="shared" ca="1" si="35"/>
        <v>0</v>
      </c>
      <c r="I94" s="76">
        <f t="shared" ca="1" si="36"/>
        <v>0</v>
      </c>
      <c r="J94" s="68">
        <f t="shared" si="37"/>
        <v>8.0379570192576064E-2</v>
      </c>
      <c r="K94" s="69">
        <f t="shared" ca="1" si="38"/>
        <v>6.0441053738809991</v>
      </c>
      <c r="L94" s="56">
        <f t="shared" ca="1" si="39"/>
        <v>1</v>
      </c>
      <c r="M94" s="74">
        <f t="shared" ca="1" si="26"/>
        <v>16</v>
      </c>
      <c r="O94" s="55">
        <f t="shared" si="27"/>
        <v>96</v>
      </c>
      <c r="P94" s="67">
        <f t="shared" si="28"/>
        <v>7.1641791044776124E-2</v>
      </c>
      <c r="Q94" s="55">
        <f t="shared" si="29"/>
        <v>96</v>
      </c>
      <c r="R94" s="67">
        <f t="shared" si="30"/>
        <v>8.0379570192576008E-2</v>
      </c>
      <c r="S94" s="55">
        <f t="shared" si="31"/>
        <v>96</v>
      </c>
      <c r="T94" s="67">
        <f t="shared" si="32"/>
        <v>8.0379570192576064E-2</v>
      </c>
    </row>
    <row r="95" spans="1:20" ht="14.1" customHeight="1" x14ac:dyDescent="0.2">
      <c r="A95" s="32" t="s">
        <v>483</v>
      </c>
      <c r="B95" s="32" t="s">
        <v>26</v>
      </c>
      <c r="C95" s="32">
        <f t="shared" si="33"/>
        <v>71</v>
      </c>
      <c r="D95" s="65">
        <v>71</v>
      </c>
      <c r="E95" s="39"/>
      <c r="F95" s="68">
        <f t="shared" si="25"/>
        <v>5.2985074626865671E-2</v>
      </c>
      <c r="G95" s="69">
        <f t="shared" ca="1" si="34"/>
        <v>6.4947504182655535</v>
      </c>
      <c r="H95" s="76">
        <f t="shared" ca="1" si="35"/>
        <v>0</v>
      </c>
      <c r="I95" s="76">
        <f t="shared" ca="1" si="36"/>
        <v>0</v>
      </c>
      <c r="J95" s="68">
        <f t="shared" si="37"/>
        <v>5.9447390454926044E-2</v>
      </c>
      <c r="K95" s="69">
        <f t="shared" ca="1" si="38"/>
        <v>6.1035527643359249</v>
      </c>
      <c r="L95" s="56">
        <f t="shared" ca="1" si="39"/>
        <v>0</v>
      </c>
      <c r="M95" s="74">
        <f t="shared" ca="1" si="26"/>
        <v>0</v>
      </c>
      <c r="O95" s="55">
        <f t="shared" si="27"/>
        <v>71</v>
      </c>
      <c r="P95" s="67">
        <f t="shared" si="28"/>
        <v>5.2985074626865671E-2</v>
      </c>
      <c r="Q95" s="55">
        <f t="shared" si="29"/>
        <v>71</v>
      </c>
      <c r="R95" s="67">
        <f t="shared" si="30"/>
        <v>5.9447390454926009E-2</v>
      </c>
      <c r="S95" s="55">
        <f t="shared" si="31"/>
        <v>71</v>
      </c>
      <c r="T95" s="67">
        <f t="shared" si="32"/>
        <v>5.9447390454926044E-2</v>
      </c>
    </row>
    <row r="96" spans="1:20" ht="14.1" customHeight="1" x14ac:dyDescent="0.2">
      <c r="A96" s="32" t="s">
        <v>483</v>
      </c>
      <c r="B96" s="32" t="s">
        <v>27</v>
      </c>
      <c r="C96" s="32">
        <f t="shared" si="33"/>
        <v>48</v>
      </c>
      <c r="D96" s="65">
        <v>48</v>
      </c>
      <c r="E96" s="39"/>
      <c r="F96" s="68">
        <f t="shared" si="25"/>
        <v>3.5820895522388062E-2</v>
      </c>
      <c r="G96" s="69">
        <f t="shared" ca="1" si="34"/>
        <v>6.5305713137879415</v>
      </c>
      <c r="H96" s="76">
        <f t="shared" ca="1" si="35"/>
        <v>0</v>
      </c>
      <c r="I96" s="76">
        <f t="shared" ca="1" si="36"/>
        <v>0</v>
      </c>
      <c r="J96" s="68">
        <f t="shared" si="37"/>
        <v>4.0189785096288032E-2</v>
      </c>
      <c r="K96" s="69">
        <f t="shared" ca="1" si="38"/>
        <v>6.1437425494322131</v>
      </c>
      <c r="L96" s="56">
        <f t="shared" ca="1" si="39"/>
        <v>0</v>
      </c>
      <c r="M96" s="74">
        <f t="shared" ca="1" si="26"/>
        <v>0</v>
      </c>
      <c r="O96" s="55">
        <f t="shared" si="27"/>
        <v>48</v>
      </c>
      <c r="P96" s="67">
        <f t="shared" si="28"/>
        <v>3.5820895522388062E-2</v>
      </c>
      <c r="Q96" s="55">
        <f t="shared" si="29"/>
        <v>48</v>
      </c>
      <c r="R96" s="67">
        <f t="shared" si="30"/>
        <v>4.0189785096288004E-2</v>
      </c>
      <c r="S96" s="55">
        <f t="shared" si="31"/>
        <v>48</v>
      </c>
      <c r="T96" s="67">
        <f t="shared" si="32"/>
        <v>4.0189785096288032E-2</v>
      </c>
    </row>
    <row r="97" spans="1:20" ht="14.1" customHeight="1" x14ac:dyDescent="0.2">
      <c r="A97" s="32" t="s">
        <v>483</v>
      </c>
      <c r="B97" s="32" t="s">
        <v>28</v>
      </c>
      <c r="C97" s="32">
        <f t="shared" si="33"/>
        <v>81</v>
      </c>
      <c r="D97" s="65">
        <v>81</v>
      </c>
      <c r="E97" s="39"/>
      <c r="F97" s="68">
        <f t="shared" si="25"/>
        <v>6.044776119402985E-2</v>
      </c>
      <c r="G97" s="69">
        <f t="shared" ca="1" si="34"/>
        <v>6.591019074981971</v>
      </c>
      <c r="H97" s="76">
        <f t="shared" ca="1" si="35"/>
        <v>0</v>
      </c>
      <c r="I97" s="76">
        <f t="shared" ca="1" si="36"/>
        <v>0</v>
      </c>
      <c r="J97" s="68">
        <f t="shared" si="37"/>
        <v>6.782026234998606E-2</v>
      </c>
      <c r="K97" s="69">
        <f t="shared" ca="1" si="38"/>
        <v>6.2115628117821995</v>
      </c>
      <c r="L97" s="56">
        <f t="shared" ca="1" si="39"/>
        <v>0</v>
      </c>
      <c r="M97" s="74">
        <f t="shared" ca="1" si="26"/>
        <v>0</v>
      </c>
      <c r="O97" s="55">
        <f t="shared" si="27"/>
        <v>81</v>
      </c>
      <c r="P97" s="67">
        <f t="shared" si="28"/>
        <v>6.044776119402985E-2</v>
      </c>
      <c r="Q97" s="55">
        <f t="shared" si="29"/>
        <v>81</v>
      </c>
      <c r="R97" s="67">
        <f t="shared" si="30"/>
        <v>6.7820262349986005E-2</v>
      </c>
      <c r="S97" s="55">
        <f t="shared" si="31"/>
        <v>81</v>
      </c>
      <c r="T97" s="67">
        <f t="shared" si="32"/>
        <v>6.782026234998606E-2</v>
      </c>
    </row>
    <row r="98" spans="1:20" ht="14.1" customHeight="1" x14ac:dyDescent="0.2">
      <c r="A98" s="32" t="s">
        <v>483</v>
      </c>
      <c r="B98" s="32" t="s">
        <v>29</v>
      </c>
      <c r="C98" s="32">
        <f t="shared" si="33"/>
        <v>41</v>
      </c>
      <c r="D98" s="65">
        <v>41</v>
      </c>
      <c r="E98" s="39"/>
      <c r="F98" s="68">
        <f t="shared" si="25"/>
        <v>3.0597014925373135E-2</v>
      </c>
      <c r="G98" s="69">
        <f t="shared" ca="1" si="34"/>
        <v>6.6216160899073442</v>
      </c>
      <c r="H98" s="76">
        <f t="shared" ca="1" si="35"/>
        <v>0</v>
      </c>
      <c r="I98" s="76">
        <f t="shared" ca="1" si="36"/>
        <v>0</v>
      </c>
      <c r="J98" s="68">
        <f t="shared" si="37"/>
        <v>3.432877476974603E-2</v>
      </c>
      <c r="K98" s="69">
        <f t="shared" ca="1" si="38"/>
        <v>6.2458915865519451</v>
      </c>
      <c r="L98" s="56">
        <f t="shared" ca="1" si="39"/>
        <v>0</v>
      </c>
      <c r="M98" s="74">
        <f t="shared" ca="1" si="26"/>
        <v>0</v>
      </c>
      <c r="O98" s="55">
        <f t="shared" si="27"/>
        <v>41</v>
      </c>
      <c r="P98" s="67">
        <f t="shared" si="28"/>
        <v>3.0597014925373135E-2</v>
      </c>
      <c r="Q98" s="55">
        <f t="shared" si="29"/>
        <v>41</v>
      </c>
      <c r="R98" s="67">
        <f t="shared" si="30"/>
        <v>3.4328774769746002E-2</v>
      </c>
      <c r="S98" s="55">
        <f t="shared" si="31"/>
        <v>41</v>
      </c>
      <c r="T98" s="67">
        <f t="shared" si="32"/>
        <v>3.432877476974603E-2</v>
      </c>
    </row>
    <row r="99" spans="1:20" ht="14.1" customHeight="1" x14ac:dyDescent="0.2">
      <c r="A99" s="32" t="s">
        <v>483</v>
      </c>
      <c r="B99" s="32" t="s">
        <v>30</v>
      </c>
      <c r="C99" s="32">
        <f t="shared" si="33"/>
        <v>50</v>
      </c>
      <c r="D99" s="65">
        <v>50</v>
      </c>
      <c r="E99" s="39"/>
      <c r="F99" s="68">
        <f t="shared" si="25"/>
        <v>3.7313432835820892E-2</v>
      </c>
      <c r="G99" s="69">
        <f t="shared" ca="1" si="34"/>
        <v>6.6589295227431649</v>
      </c>
      <c r="H99" s="76">
        <f t="shared" ca="1" si="35"/>
        <v>0</v>
      </c>
      <c r="I99" s="76">
        <f t="shared" ca="1" si="36"/>
        <v>0</v>
      </c>
      <c r="J99" s="68">
        <f t="shared" si="37"/>
        <v>4.1864359475300032E-2</v>
      </c>
      <c r="K99" s="69">
        <f t="shared" ca="1" si="38"/>
        <v>6.2877559460272447</v>
      </c>
      <c r="L99" s="56">
        <f t="shared" ca="1" si="39"/>
        <v>0</v>
      </c>
      <c r="M99" s="74">
        <f t="shared" ca="1" si="26"/>
        <v>0</v>
      </c>
      <c r="O99" s="55">
        <f t="shared" si="27"/>
        <v>50</v>
      </c>
      <c r="P99" s="67">
        <f t="shared" si="28"/>
        <v>3.7313432835820899E-2</v>
      </c>
      <c r="Q99" s="55">
        <f t="shared" si="29"/>
        <v>50</v>
      </c>
      <c r="R99" s="67">
        <f t="shared" si="30"/>
        <v>4.1864359475300005E-2</v>
      </c>
      <c r="S99" s="55">
        <f t="shared" si="31"/>
        <v>50</v>
      </c>
      <c r="T99" s="67">
        <f t="shared" si="32"/>
        <v>4.1864359475300032E-2</v>
      </c>
    </row>
    <row r="100" spans="1:20" ht="14.1" customHeight="1" x14ac:dyDescent="0.2">
      <c r="A100" s="32" t="s">
        <v>483</v>
      </c>
      <c r="B100" s="32" t="s">
        <v>413</v>
      </c>
      <c r="C100" s="32">
        <f t="shared" si="33"/>
        <v>88</v>
      </c>
      <c r="D100" s="65">
        <v>88</v>
      </c>
      <c r="E100" s="39"/>
      <c r="F100" s="68">
        <f t="shared" si="25"/>
        <v>6.5671641791044774E-2</v>
      </c>
      <c r="G100" s="69">
        <f t="shared" ca="1" si="34"/>
        <v>6.7246011645342092</v>
      </c>
      <c r="H100" s="76">
        <f t="shared" ca="1" si="35"/>
        <v>0</v>
      </c>
      <c r="I100" s="76">
        <f t="shared" ca="1" si="36"/>
        <v>0</v>
      </c>
      <c r="J100" s="68">
        <f t="shared" si="37"/>
        <v>7.3681272676528062E-2</v>
      </c>
      <c r="K100" s="69">
        <f t="shared" ca="1" si="38"/>
        <v>6.3614372187037729</v>
      </c>
      <c r="L100" s="56">
        <f t="shared" ca="1" si="39"/>
        <v>0</v>
      </c>
      <c r="M100" s="74">
        <f t="shared" ca="1" si="26"/>
        <v>0</v>
      </c>
      <c r="O100" s="55">
        <f t="shared" si="27"/>
        <v>88</v>
      </c>
      <c r="P100" s="67">
        <f t="shared" si="28"/>
        <v>6.5671641791044774E-2</v>
      </c>
      <c r="Q100" s="55">
        <f t="shared" si="29"/>
        <v>88</v>
      </c>
      <c r="R100" s="67">
        <f t="shared" si="30"/>
        <v>7.3681272676528006E-2</v>
      </c>
      <c r="S100" s="55">
        <f t="shared" si="31"/>
        <v>88</v>
      </c>
      <c r="T100" s="67">
        <f t="shared" si="32"/>
        <v>7.3681272676528062E-2</v>
      </c>
    </row>
    <row r="101" spans="1:20" ht="14.1" customHeight="1" x14ac:dyDescent="0.2">
      <c r="A101" s="32" t="s">
        <v>483</v>
      </c>
      <c r="B101" s="32" t="s">
        <v>261</v>
      </c>
      <c r="C101" s="32">
        <f t="shared" si="33"/>
        <v>47</v>
      </c>
      <c r="D101" s="65">
        <v>47</v>
      </c>
      <c r="E101" s="39"/>
      <c r="F101" s="68">
        <f t="shared" si="25"/>
        <v>3.5074626865671643E-2</v>
      </c>
      <c r="G101" s="69">
        <f t="shared" ca="1" si="34"/>
        <v>6.7596757913998804</v>
      </c>
      <c r="H101" s="76">
        <f t="shared" ca="1" si="35"/>
        <v>0</v>
      </c>
      <c r="I101" s="76">
        <f t="shared" ca="1" si="36"/>
        <v>0</v>
      </c>
      <c r="J101" s="68">
        <f t="shared" si="37"/>
        <v>3.9352497906782032E-2</v>
      </c>
      <c r="K101" s="69">
        <f t="shared" ca="1" si="38"/>
        <v>6.4007897166105545</v>
      </c>
      <c r="L101" s="56">
        <f t="shared" ca="1" si="39"/>
        <v>0</v>
      </c>
      <c r="M101" s="74">
        <f t="shared" ca="1" si="26"/>
        <v>0</v>
      </c>
      <c r="O101" s="55">
        <f t="shared" si="27"/>
        <v>47</v>
      </c>
      <c r="P101" s="67">
        <f t="shared" si="28"/>
        <v>3.5074626865671643E-2</v>
      </c>
      <c r="Q101" s="55">
        <f t="shared" si="29"/>
        <v>47</v>
      </c>
      <c r="R101" s="67">
        <f t="shared" si="30"/>
        <v>3.9352497906782004E-2</v>
      </c>
      <c r="S101" s="55">
        <f t="shared" si="31"/>
        <v>47</v>
      </c>
      <c r="T101" s="67">
        <f t="shared" si="32"/>
        <v>3.9352497906782032E-2</v>
      </c>
    </row>
    <row r="102" spans="1:20" ht="14.1" customHeight="1" x14ac:dyDescent="0.2">
      <c r="A102" s="32" t="s">
        <v>483</v>
      </c>
      <c r="B102" s="32" t="s">
        <v>262</v>
      </c>
      <c r="C102" s="32">
        <f t="shared" si="33"/>
        <v>52</v>
      </c>
      <c r="D102" s="65">
        <v>52</v>
      </c>
      <c r="E102" s="39"/>
      <c r="F102" s="68">
        <f t="shared" si="25"/>
        <v>3.880597014925373E-2</v>
      </c>
      <c r="G102" s="69">
        <f t="shared" ca="1" si="34"/>
        <v>6.7984817615491338</v>
      </c>
      <c r="H102" s="76">
        <f t="shared" ca="1" si="35"/>
        <v>0</v>
      </c>
      <c r="I102" s="76">
        <f t="shared" ca="1" si="36"/>
        <v>0</v>
      </c>
      <c r="J102" s="68">
        <f t="shared" si="37"/>
        <v>4.3538933854312033E-2</v>
      </c>
      <c r="K102" s="69">
        <f t="shared" ca="1" si="38"/>
        <v>6.4443286504648665</v>
      </c>
      <c r="L102" s="56">
        <f t="shared" ca="1" si="39"/>
        <v>0</v>
      </c>
      <c r="M102" s="74">
        <f t="shared" ca="1" si="26"/>
        <v>0</v>
      </c>
      <c r="O102" s="55">
        <f t="shared" si="27"/>
        <v>52</v>
      </c>
      <c r="P102" s="67">
        <f t="shared" si="28"/>
        <v>3.880597014925373E-2</v>
      </c>
      <c r="Q102" s="55">
        <f t="shared" si="29"/>
        <v>52</v>
      </c>
      <c r="R102" s="67">
        <f t="shared" si="30"/>
        <v>4.3538933854312005E-2</v>
      </c>
      <c r="S102" s="55">
        <f t="shared" si="31"/>
        <v>52</v>
      </c>
      <c r="T102" s="67">
        <f t="shared" si="32"/>
        <v>4.3538933854312033E-2</v>
      </c>
    </row>
    <row r="103" spans="1:20" ht="14.1" customHeight="1" x14ac:dyDescent="0.2">
      <c r="A103" s="32" t="s">
        <v>483</v>
      </c>
      <c r="B103" s="32" t="s">
        <v>347</v>
      </c>
      <c r="C103" s="32">
        <f t="shared" si="33"/>
        <v>120</v>
      </c>
      <c r="D103" s="65">
        <v>120</v>
      </c>
      <c r="E103" s="39"/>
      <c r="F103" s="68">
        <f t="shared" si="25"/>
        <v>8.9552238805970144E-2</v>
      </c>
      <c r="G103" s="69">
        <f t="shared" ca="1" si="34"/>
        <v>6.8880340003551037</v>
      </c>
      <c r="H103" s="76">
        <f t="shared" ca="1" si="35"/>
        <v>0</v>
      </c>
      <c r="I103" s="76">
        <f t="shared" ca="1" si="36"/>
        <v>0</v>
      </c>
      <c r="J103" s="68">
        <f t="shared" si="37"/>
        <v>0.10047446274072008</v>
      </c>
      <c r="K103" s="69">
        <f t="shared" ca="1" si="38"/>
        <v>6.5448031132055862</v>
      </c>
      <c r="L103" s="56">
        <f t="shared" ca="1" si="39"/>
        <v>0</v>
      </c>
      <c r="M103" s="74">
        <f t="shared" ca="1" si="26"/>
        <v>0</v>
      </c>
      <c r="O103" s="55">
        <f t="shared" si="27"/>
        <v>120</v>
      </c>
      <c r="P103" s="67">
        <f t="shared" si="28"/>
        <v>8.9552238805970144E-2</v>
      </c>
      <c r="Q103" s="55">
        <f t="shared" si="29"/>
        <v>120</v>
      </c>
      <c r="R103" s="67">
        <f t="shared" si="30"/>
        <v>0.10047446274072001</v>
      </c>
      <c r="S103" s="55">
        <f t="shared" si="31"/>
        <v>120</v>
      </c>
      <c r="T103" s="67">
        <f t="shared" si="32"/>
        <v>0.10047446274072008</v>
      </c>
    </row>
    <row r="104" spans="1:20" ht="14.1" customHeight="1" x14ac:dyDescent="0.2">
      <c r="A104" s="32" t="s">
        <v>483</v>
      </c>
      <c r="B104" s="32" t="s">
        <v>348</v>
      </c>
      <c r="C104" s="32">
        <f t="shared" si="33"/>
        <v>116</v>
      </c>
      <c r="D104" s="65">
        <v>116</v>
      </c>
      <c r="E104" s="39"/>
      <c r="F104" s="68">
        <f t="shared" si="25"/>
        <v>8.6567164179104483E-2</v>
      </c>
      <c r="G104" s="69">
        <f t="shared" ca="1" si="34"/>
        <v>6.9746011645342083</v>
      </c>
      <c r="H104" s="76">
        <f t="shared" ca="1" si="35"/>
        <v>0</v>
      </c>
      <c r="I104" s="76">
        <f t="shared" ca="1" si="36"/>
        <v>0</v>
      </c>
      <c r="J104" s="68">
        <f t="shared" si="37"/>
        <v>9.7125313982696082E-2</v>
      </c>
      <c r="K104" s="69">
        <f t="shared" ca="1" si="38"/>
        <v>6.6419284271882821</v>
      </c>
      <c r="L104" s="56">
        <f t="shared" ca="1" si="39"/>
        <v>0</v>
      </c>
      <c r="M104" s="74">
        <f t="shared" ca="1" si="26"/>
        <v>0</v>
      </c>
      <c r="O104" s="55">
        <f t="shared" si="27"/>
        <v>116</v>
      </c>
      <c r="P104" s="67">
        <f t="shared" si="28"/>
        <v>8.6567164179104483E-2</v>
      </c>
      <c r="Q104" s="55">
        <f t="shared" si="29"/>
        <v>116</v>
      </c>
      <c r="R104" s="67">
        <f t="shared" si="30"/>
        <v>9.7125313982696013E-2</v>
      </c>
      <c r="S104" s="55">
        <f t="shared" si="31"/>
        <v>116</v>
      </c>
      <c r="T104" s="67">
        <f t="shared" si="32"/>
        <v>9.7125313982696082E-2</v>
      </c>
    </row>
    <row r="105" spans="1:20" ht="14.1" customHeight="1" x14ac:dyDescent="0.2">
      <c r="A105" s="32" t="s">
        <v>483</v>
      </c>
      <c r="B105" s="32" t="s">
        <v>349</v>
      </c>
      <c r="C105" s="32">
        <f t="shared" si="33"/>
        <v>96</v>
      </c>
      <c r="D105" s="65">
        <v>96</v>
      </c>
      <c r="E105" s="39"/>
      <c r="F105" s="68">
        <f t="shared" si="25"/>
        <v>7.1641791044776124E-2</v>
      </c>
      <c r="G105" s="69">
        <f t="shared" ca="1" si="34"/>
        <v>7.0462429555789843</v>
      </c>
      <c r="H105" s="76">
        <f t="shared" ca="1" si="35"/>
        <v>1</v>
      </c>
      <c r="I105" s="76">
        <f t="shared" ca="1" si="36"/>
        <v>16</v>
      </c>
      <c r="J105" s="68">
        <f t="shared" si="37"/>
        <v>8.0379570192576064E-2</v>
      </c>
      <c r="K105" s="69">
        <f t="shared" ca="1" si="38"/>
        <v>6.7223079973808586</v>
      </c>
      <c r="L105" s="56">
        <f t="shared" ca="1" si="39"/>
        <v>0</v>
      </c>
      <c r="M105" s="74">
        <f t="shared" ca="1" si="26"/>
        <v>0</v>
      </c>
      <c r="O105" s="55">
        <f t="shared" si="27"/>
        <v>96</v>
      </c>
      <c r="P105" s="67">
        <f t="shared" si="28"/>
        <v>7.1641791044776124E-2</v>
      </c>
      <c r="Q105" s="55">
        <f t="shared" si="29"/>
        <v>96</v>
      </c>
      <c r="R105" s="67">
        <f t="shared" si="30"/>
        <v>8.0379570192576008E-2</v>
      </c>
      <c r="S105" s="55">
        <f t="shared" si="31"/>
        <v>96</v>
      </c>
      <c r="T105" s="67">
        <f t="shared" si="32"/>
        <v>8.0379570192576064E-2</v>
      </c>
    </row>
    <row r="106" spans="1:20" ht="14.1" customHeight="1" x14ac:dyDescent="0.2">
      <c r="A106" s="32" t="s">
        <v>483</v>
      </c>
      <c r="B106" s="32" t="s">
        <v>350</v>
      </c>
      <c r="C106" s="32">
        <f t="shared" si="33"/>
        <v>121</v>
      </c>
      <c r="D106" s="65">
        <v>121</v>
      </c>
      <c r="E106" s="39"/>
      <c r="F106" s="68">
        <f t="shared" ref="F106:F137" si="40">+I$5*D106/D$9</f>
        <v>9.029850746268657E-2</v>
      </c>
      <c r="G106" s="69">
        <f t="shared" ca="1" si="34"/>
        <v>7.136541463041671</v>
      </c>
      <c r="H106" s="76">
        <f t="shared" ca="1" si="35"/>
        <v>0</v>
      </c>
      <c r="I106" s="76">
        <f t="shared" ca="1" si="36"/>
        <v>0</v>
      </c>
      <c r="J106" s="68">
        <f t="shared" si="37"/>
        <v>0.10131174993022608</v>
      </c>
      <c r="K106" s="69">
        <f t="shared" ca="1" si="38"/>
        <v>6.8236197473110849</v>
      </c>
      <c r="L106" s="56">
        <f t="shared" ca="1" si="39"/>
        <v>0</v>
      </c>
      <c r="M106" s="74">
        <f t="shared" ref="M106:M137" ca="1" si="41">MIN(C106,L106*C$6)</f>
        <v>0</v>
      </c>
      <c r="O106" s="55">
        <f t="shared" ref="O106:O137" si="42">+($D106/2)*(SIGN(1-P$6*$D106)+1)</f>
        <v>121</v>
      </c>
      <c r="P106" s="67">
        <f t="shared" ref="P106:P137" si="43">MIN(1,P$6*$D106)</f>
        <v>9.029850746268657E-2</v>
      </c>
      <c r="Q106" s="55">
        <f t="shared" ref="Q106:Q137" si="44">+($D106/2)*(SIGN(1-R$6*$D106)+1)</f>
        <v>121</v>
      </c>
      <c r="R106" s="67">
        <f t="shared" ref="R106:R137" si="45">MIN(1,R$6*$D106)</f>
        <v>0.10131174993022601</v>
      </c>
      <c r="S106" s="55">
        <f t="shared" ref="S106:S137" si="46">+($D106/2)*(SIGN(1-T$6*$D106)+1)</f>
        <v>121</v>
      </c>
      <c r="T106" s="67">
        <f t="shared" ref="T106:T137" si="47">MIN(1,T$6*$D106)</f>
        <v>0.10131174993022608</v>
      </c>
    </row>
    <row r="107" spans="1:20" ht="14.1" customHeight="1" x14ac:dyDescent="0.2">
      <c r="A107" s="32" t="s">
        <v>483</v>
      </c>
      <c r="B107" s="32" t="s">
        <v>351</v>
      </c>
      <c r="C107" s="32">
        <f t="shared" si="33"/>
        <v>89</v>
      </c>
      <c r="D107" s="65">
        <v>89</v>
      </c>
      <c r="E107" s="39"/>
      <c r="F107" s="68">
        <f t="shared" si="40"/>
        <v>6.64179104477612E-2</v>
      </c>
      <c r="G107" s="69">
        <f t="shared" ca="1" si="34"/>
        <v>7.2029593734894322</v>
      </c>
      <c r="H107" s="76">
        <f t="shared" ca="1" si="35"/>
        <v>0</v>
      </c>
      <c r="I107" s="76">
        <f t="shared" ca="1" si="36"/>
        <v>0</v>
      </c>
      <c r="J107" s="68">
        <f t="shared" si="37"/>
        <v>7.4518559866034062E-2</v>
      </c>
      <c r="K107" s="69">
        <f t="shared" ca="1" si="38"/>
        <v>6.8981383071771187</v>
      </c>
      <c r="L107" s="56">
        <f t="shared" ca="1" si="39"/>
        <v>0</v>
      </c>
      <c r="M107" s="74">
        <f t="shared" ca="1" si="41"/>
        <v>0</v>
      </c>
      <c r="O107" s="55">
        <f t="shared" si="42"/>
        <v>89</v>
      </c>
      <c r="P107" s="67">
        <f t="shared" si="43"/>
        <v>6.64179104477612E-2</v>
      </c>
      <c r="Q107" s="55">
        <f t="shared" si="44"/>
        <v>89</v>
      </c>
      <c r="R107" s="67">
        <f t="shared" si="45"/>
        <v>7.4518559866034007E-2</v>
      </c>
      <c r="S107" s="55">
        <f t="shared" si="46"/>
        <v>89</v>
      </c>
      <c r="T107" s="67">
        <f t="shared" si="47"/>
        <v>7.4518559866034062E-2</v>
      </c>
    </row>
    <row r="108" spans="1:20" ht="14.1" customHeight="1" x14ac:dyDescent="0.2">
      <c r="A108" s="32" t="s">
        <v>483</v>
      </c>
      <c r="B108" s="32" t="s">
        <v>392</v>
      </c>
      <c r="C108" s="32">
        <f t="shared" si="33"/>
        <v>107</v>
      </c>
      <c r="D108" s="65">
        <v>107</v>
      </c>
      <c r="E108" s="39"/>
      <c r="F108" s="68">
        <f t="shared" si="40"/>
        <v>7.9850746268656722E-2</v>
      </c>
      <c r="G108" s="69">
        <f t="shared" ca="1" si="34"/>
        <v>7.2828101197580892</v>
      </c>
      <c r="H108" s="76">
        <f t="shared" ca="1" si="35"/>
        <v>0</v>
      </c>
      <c r="I108" s="76">
        <f t="shared" ca="1" si="36"/>
        <v>0</v>
      </c>
      <c r="J108" s="68">
        <f t="shared" si="37"/>
        <v>8.9589729277142066E-2</v>
      </c>
      <c r="K108" s="69">
        <f t="shared" ca="1" si="38"/>
        <v>6.9877280364542607</v>
      </c>
      <c r="L108" s="56">
        <f t="shared" ca="1" si="39"/>
        <v>0</v>
      </c>
      <c r="M108" s="74">
        <f t="shared" ca="1" si="41"/>
        <v>0</v>
      </c>
      <c r="O108" s="55">
        <f t="shared" si="42"/>
        <v>107</v>
      </c>
      <c r="P108" s="67">
        <f t="shared" si="43"/>
        <v>7.9850746268656722E-2</v>
      </c>
      <c r="Q108" s="55">
        <f t="shared" si="44"/>
        <v>107</v>
      </c>
      <c r="R108" s="67">
        <f t="shared" si="45"/>
        <v>8.9589729277142011E-2</v>
      </c>
      <c r="S108" s="55">
        <f t="shared" si="46"/>
        <v>107</v>
      </c>
      <c r="T108" s="67">
        <f t="shared" si="47"/>
        <v>8.9589729277142066E-2</v>
      </c>
    </row>
    <row r="109" spans="1:20" ht="14.1" customHeight="1" x14ac:dyDescent="0.2">
      <c r="A109" s="32" t="s">
        <v>483</v>
      </c>
      <c r="B109" s="32" t="s">
        <v>393</v>
      </c>
      <c r="C109" s="32">
        <f t="shared" si="33"/>
        <v>83</v>
      </c>
      <c r="D109" s="65">
        <v>83</v>
      </c>
      <c r="E109" s="39"/>
      <c r="F109" s="68">
        <f t="shared" si="40"/>
        <v>6.1940298507462688E-2</v>
      </c>
      <c r="G109" s="69">
        <f t="shared" ca="1" si="34"/>
        <v>7.3447504182655523</v>
      </c>
      <c r="H109" s="76">
        <f t="shared" ca="1" si="35"/>
        <v>0</v>
      </c>
      <c r="I109" s="76">
        <f t="shared" ca="1" si="36"/>
        <v>0</v>
      </c>
      <c r="J109" s="68">
        <f t="shared" si="37"/>
        <v>6.9494836728998061E-2</v>
      </c>
      <c r="K109" s="69">
        <f t="shared" ca="1" si="38"/>
        <v>7.0572228731832585</v>
      </c>
      <c r="L109" s="56">
        <f t="shared" ca="1" si="39"/>
        <v>1</v>
      </c>
      <c r="M109" s="74">
        <f t="shared" ca="1" si="41"/>
        <v>16</v>
      </c>
      <c r="O109" s="55">
        <f t="shared" si="42"/>
        <v>83</v>
      </c>
      <c r="P109" s="67">
        <f t="shared" si="43"/>
        <v>6.1940298507462688E-2</v>
      </c>
      <c r="Q109" s="55">
        <f t="shared" si="44"/>
        <v>83</v>
      </c>
      <c r="R109" s="67">
        <f t="shared" si="45"/>
        <v>6.9494836728998005E-2</v>
      </c>
      <c r="S109" s="55">
        <f t="shared" si="46"/>
        <v>83</v>
      </c>
      <c r="T109" s="67">
        <f t="shared" si="47"/>
        <v>6.9494836728998061E-2</v>
      </c>
    </row>
    <row r="110" spans="1:20" ht="14.1" customHeight="1" x14ac:dyDescent="0.2">
      <c r="A110" s="32" t="s">
        <v>483</v>
      </c>
      <c r="B110" s="32" t="s">
        <v>587</v>
      </c>
      <c r="C110" s="32">
        <f t="shared" si="33"/>
        <v>93</v>
      </c>
      <c r="D110" s="65">
        <v>93</v>
      </c>
      <c r="E110" s="39"/>
      <c r="F110" s="68">
        <f t="shared" si="40"/>
        <v>6.9402985074626861E-2</v>
      </c>
      <c r="G110" s="69">
        <f t="shared" ca="1" si="34"/>
        <v>7.4141534033401788</v>
      </c>
      <c r="H110" s="76">
        <f t="shared" ca="1" si="35"/>
        <v>0</v>
      </c>
      <c r="I110" s="76">
        <f t="shared" ca="1" si="36"/>
        <v>0</v>
      </c>
      <c r="J110" s="68">
        <f t="shared" si="37"/>
        <v>7.7867708624058063E-2</v>
      </c>
      <c r="K110" s="69">
        <f t="shared" ca="1" si="38"/>
        <v>7.1350905818073169</v>
      </c>
      <c r="L110" s="56">
        <f t="shared" ca="1" si="39"/>
        <v>0</v>
      </c>
      <c r="M110" s="74">
        <f t="shared" ca="1" si="41"/>
        <v>0</v>
      </c>
      <c r="O110" s="55">
        <f t="shared" si="42"/>
        <v>93</v>
      </c>
      <c r="P110" s="67">
        <f t="shared" si="43"/>
        <v>6.9402985074626861E-2</v>
      </c>
      <c r="Q110" s="55">
        <f t="shared" si="44"/>
        <v>93</v>
      </c>
      <c r="R110" s="67">
        <f t="shared" si="45"/>
        <v>7.7867708624058007E-2</v>
      </c>
      <c r="S110" s="55">
        <f t="shared" si="46"/>
        <v>93</v>
      </c>
      <c r="T110" s="67">
        <f t="shared" si="47"/>
        <v>7.7867708624058063E-2</v>
      </c>
    </row>
    <row r="111" spans="1:20" ht="14.1" customHeight="1" x14ac:dyDescent="0.2">
      <c r="A111" s="32" t="s">
        <v>483</v>
      </c>
      <c r="B111" s="32" t="s">
        <v>588</v>
      </c>
      <c r="C111" s="32">
        <f t="shared" si="33"/>
        <v>40</v>
      </c>
      <c r="D111" s="65">
        <v>40</v>
      </c>
      <c r="E111" s="39"/>
      <c r="F111" s="68">
        <f t="shared" si="40"/>
        <v>2.9850746268656716E-2</v>
      </c>
      <c r="G111" s="69">
        <f t="shared" ca="1" si="34"/>
        <v>7.4440041496088352</v>
      </c>
      <c r="H111" s="76">
        <f t="shared" ca="1" si="35"/>
        <v>0</v>
      </c>
      <c r="I111" s="76">
        <f t="shared" ca="1" si="36"/>
        <v>0</v>
      </c>
      <c r="J111" s="68">
        <f t="shared" si="37"/>
        <v>3.3491487580240023E-2</v>
      </c>
      <c r="K111" s="69">
        <f t="shared" ca="1" si="38"/>
        <v>7.1685820693875568</v>
      </c>
      <c r="L111" s="56">
        <f t="shared" ca="1" si="39"/>
        <v>0</v>
      </c>
      <c r="M111" s="74">
        <f t="shared" ca="1" si="41"/>
        <v>0</v>
      </c>
      <c r="O111" s="55">
        <f t="shared" si="42"/>
        <v>40</v>
      </c>
      <c r="P111" s="67">
        <f t="shared" si="43"/>
        <v>2.9850746268656716E-2</v>
      </c>
      <c r="Q111" s="55">
        <f t="shared" si="44"/>
        <v>40</v>
      </c>
      <c r="R111" s="67">
        <f t="shared" si="45"/>
        <v>3.3491487580240002E-2</v>
      </c>
      <c r="S111" s="55">
        <f t="shared" si="46"/>
        <v>40</v>
      </c>
      <c r="T111" s="67">
        <f t="shared" si="47"/>
        <v>3.3491487580240023E-2</v>
      </c>
    </row>
    <row r="112" spans="1:20" ht="14.1" customHeight="1" x14ac:dyDescent="0.2">
      <c r="A112" s="32" t="s">
        <v>483</v>
      </c>
      <c r="B112" s="32" t="s">
        <v>18</v>
      </c>
      <c r="C112" s="32">
        <f t="shared" si="33"/>
        <v>67</v>
      </c>
      <c r="D112" s="65">
        <v>67</v>
      </c>
      <c r="E112" s="39"/>
      <c r="F112" s="68">
        <f t="shared" si="40"/>
        <v>0.05</v>
      </c>
      <c r="G112" s="69">
        <f t="shared" ca="1" si="34"/>
        <v>7.494004149608835</v>
      </c>
      <c r="H112" s="76">
        <f t="shared" ca="1" si="35"/>
        <v>0</v>
      </c>
      <c r="I112" s="76">
        <f t="shared" ca="1" si="36"/>
        <v>0</v>
      </c>
      <c r="J112" s="68">
        <f t="shared" si="37"/>
        <v>5.6098241696902043E-2</v>
      </c>
      <c r="K112" s="69">
        <f t="shared" ca="1" si="38"/>
        <v>7.2246803110844589</v>
      </c>
      <c r="L112" s="56">
        <f t="shared" ca="1" si="39"/>
        <v>0</v>
      </c>
      <c r="M112" s="74">
        <f t="shared" ca="1" si="41"/>
        <v>0</v>
      </c>
      <c r="O112" s="55">
        <f t="shared" si="42"/>
        <v>67</v>
      </c>
      <c r="P112" s="67">
        <f t="shared" si="43"/>
        <v>0.05</v>
      </c>
      <c r="Q112" s="55">
        <f t="shared" si="44"/>
        <v>67</v>
      </c>
      <c r="R112" s="67">
        <f t="shared" si="45"/>
        <v>5.6098241696902008E-2</v>
      </c>
      <c r="S112" s="55">
        <f t="shared" si="46"/>
        <v>67</v>
      </c>
      <c r="T112" s="67">
        <f t="shared" si="47"/>
        <v>5.6098241696902043E-2</v>
      </c>
    </row>
    <row r="113" spans="1:20" ht="14.1" customHeight="1" x14ac:dyDescent="0.2">
      <c r="A113" s="32" t="s">
        <v>483</v>
      </c>
      <c r="B113" s="32" t="s">
        <v>19</v>
      </c>
      <c r="C113" s="32">
        <f t="shared" si="33"/>
        <v>37</v>
      </c>
      <c r="D113" s="65">
        <v>37</v>
      </c>
      <c r="E113" s="39"/>
      <c r="F113" s="68">
        <f t="shared" si="40"/>
        <v>2.7611940298507463E-2</v>
      </c>
      <c r="G113" s="69">
        <f t="shared" ca="1" si="34"/>
        <v>7.5216160899073428</v>
      </c>
      <c r="H113" s="76">
        <f t="shared" ca="1" si="35"/>
        <v>0</v>
      </c>
      <c r="I113" s="76">
        <f t="shared" ca="1" si="36"/>
        <v>0</v>
      </c>
      <c r="J113" s="68">
        <f t="shared" si="37"/>
        <v>3.0979626011722026E-2</v>
      </c>
      <c r="K113" s="69">
        <f t="shared" ca="1" si="38"/>
        <v>7.2556599370961807</v>
      </c>
      <c r="L113" s="56">
        <f t="shared" ca="1" si="39"/>
        <v>0</v>
      </c>
      <c r="M113" s="74">
        <f t="shared" ca="1" si="41"/>
        <v>0</v>
      </c>
      <c r="O113" s="55">
        <f t="shared" si="42"/>
        <v>37</v>
      </c>
      <c r="P113" s="67">
        <f t="shared" si="43"/>
        <v>2.7611940298507463E-2</v>
      </c>
      <c r="Q113" s="55">
        <f t="shared" si="44"/>
        <v>37</v>
      </c>
      <c r="R113" s="67">
        <f t="shared" si="45"/>
        <v>3.0979626011722005E-2</v>
      </c>
      <c r="S113" s="55">
        <f t="shared" si="46"/>
        <v>37</v>
      </c>
      <c r="T113" s="67">
        <f t="shared" si="47"/>
        <v>3.0979626011722026E-2</v>
      </c>
    </row>
    <row r="114" spans="1:20" ht="14.1" customHeight="1" x14ac:dyDescent="0.2">
      <c r="A114" s="32" t="s">
        <v>483</v>
      </c>
      <c r="B114" s="32" t="s">
        <v>20</v>
      </c>
      <c r="C114" s="32">
        <f t="shared" si="33"/>
        <v>80</v>
      </c>
      <c r="D114" s="65">
        <v>80</v>
      </c>
      <c r="E114" s="39"/>
      <c r="F114" s="68">
        <f t="shared" si="40"/>
        <v>5.9701492537313432E-2</v>
      </c>
      <c r="G114" s="69">
        <f t="shared" ca="1" si="34"/>
        <v>7.5813175824446564</v>
      </c>
      <c r="H114" s="76">
        <f t="shared" ca="1" si="35"/>
        <v>0</v>
      </c>
      <c r="I114" s="76">
        <f t="shared" ca="1" si="36"/>
        <v>0</v>
      </c>
      <c r="J114" s="68">
        <f t="shared" si="37"/>
        <v>6.6982975160480046E-2</v>
      </c>
      <c r="K114" s="69">
        <f t="shared" ca="1" si="38"/>
        <v>7.3226429122566605</v>
      </c>
      <c r="L114" s="56">
        <f t="shared" ca="1" si="39"/>
        <v>0</v>
      </c>
      <c r="M114" s="74">
        <f t="shared" ca="1" si="41"/>
        <v>0</v>
      </c>
      <c r="O114" s="55">
        <f t="shared" si="42"/>
        <v>80</v>
      </c>
      <c r="P114" s="67">
        <f t="shared" si="43"/>
        <v>5.9701492537313432E-2</v>
      </c>
      <c r="Q114" s="55">
        <f t="shared" si="44"/>
        <v>80</v>
      </c>
      <c r="R114" s="67">
        <f t="shared" si="45"/>
        <v>6.6982975160480004E-2</v>
      </c>
      <c r="S114" s="55">
        <f t="shared" si="46"/>
        <v>80</v>
      </c>
      <c r="T114" s="67">
        <f t="shared" si="47"/>
        <v>6.6982975160480046E-2</v>
      </c>
    </row>
    <row r="115" spans="1:20" ht="14.1" customHeight="1" x14ac:dyDescent="0.2">
      <c r="A115" s="32" t="s">
        <v>483</v>
      </c>
      <c r="B115" s="32" t="s">
        <v>450</v>
      </c>
      <c r="C115" s="32">
        <f t="shared" si="33"/>
        <v>155</v>
      </c>
      <c r="D115" s="65">
        <v>155</v>
      </c>
      <c r="E115" s="39"/>
      <c r="F115" s="68">
        <f t="shared" si="40"/>
        <v>0.11567164179104478</v>
      </c>
      <c r="G115" s="69">
        <f t="shared" ca="1" si="34"/>
        <v>7.6969892242357014</v>
      </c>
      <c r="H115" s="76">
        <f t="shared" ca="1" si="35"/>
        <v>0</v>
      </c>
      <c r="I115" s="76">
        <f t="shared" ca="1" si="36"/>
        <v>0</v>
      </c>
      <c r="J115" s="68">
        <f t="shared" si="37"/>
        <v>0.1297795143734301</v>
      </c>
      <c r="K115" s="69">
        <f t="shared" ca="1" si="38"/>
        <v>7.4524224266300907</v>
      </c>
      <c r="L115" s="56">
        <f t="shared" ca="1" si="39"/>
        <v>0</v>
      </c>
      <c r="M115" s="74">
        <f t="shared" ca="1" si="41"/>
        <v>0</v>
      </c>
      <c r="O115" s="55">
        <f t="shared" si="42"/>
        <v>155</v>
      </c>
      <c r="P115" s="67">
        <f t="shared" si="43"/>
        <v>0.11567164179104478</v>
      </c>
      <c r="Q115" s="55">
        <f t="shared" si="44"/>
        <v>155</v>
      </c>
      <c r="R115" s="67">
        <f t="shared" si="45"/>
        <v>0.12977951437343002</v>
      </c>
      <c r="S115" s="55">
        <f t="shared" si="46"/>
        <v>155</v>
      </c>
      <c r="T115" s="67">
        <f t="shared" si="47"/>
        <v>0.1297795143734301</v>
      </c>
    </row>
    <row r="116" spans="1:20" ht="14.1" customHeight="1" x14ac:dyDescent="0.2">
      <c r="A116" s="32" t="s">
        <v>483</v>
      </c>
      <c r="B116" s="32" t="s">
        <v>101</v>
      </c>
      <c r="C116" s="32">
        <f t="shared" si="33"/>
        <v>93</v>
      </c>
      <c r="D116" s="65">
        <v>93</v>
      </c>
      <c r="E116" s="39"/>
      <c r="F116" s="68">
        <f t="shared" si="40"/>
        <v>6.9402985074626861E-2</v>
      </c>
      <c r="G116" s="69">
        <f t="shared" ca="1" si="34"/>
        <v>7.7663922093103279</v>
      </c>
      <c r="H116" s="76">
        <f t="shared" ca="1" si="35"/>
        <v>0</v>
      </c>
      <c r="I116" s="76">
        <f t="shared" ca="1" si="36"/>
        <v>0</v>
      </c>
      <c r="J116" s="68">
        <f t="shared" si="37"/>
        <v>7.7867708624058063E-2</v>
      </c>
      <c r="K116" s="69">
        <f t="shared" ca="1" si="38"/>
        <v>7.5302901352541491</v>
      </c>
      <c r="L116" s="56">
        <f t="shared" ca="1" si="39"/>
        <v>0</v>
      </c>
      <c r="M116" s="74">
        <f t="shared" ca="1" si="41"/>
        <v>0</v>
      </c>
      <c r="O116" s="55">
        <f t="shared" si="42"/>
        <v>93</v>
      </c>
      <c r="P116" s="67">
        <f t="shared" si="43"/>
        <v>6.9402985074626861E-2</v>
      </c>
      <c r="Q116" s="55">
        <f t="shared" si="44"/>
        <v>93</v>
      </c>
      <c r="R116" s="67">
        <f t="shared" si="45"/>
        <v>7.7867708624058007E-2</v>
      </c>
      <c r="S116" s="55">
        <f t="shared" si="46"/>
        <v>93</v>
      </c>
      <c r="T116" s="67">
        <f t="shared" si="47"/>
        <v>7.7867708624058063E-2</v>
      </c>
    </row>
    <row r="117" spans="1:20" ht="14.1" customHeight="1" x14ac:dyDescent="0.2">
      <c r="A117" s="32" t="s">
        <v>483</v>
      </c>
      <c r="B117" s="32" t="s">
        <v>183</v>
      </c>
      <c r="C117" s="32">
        <f t="shared" si="33"/>
        <v>123</v>
      </c>
      <c r="D117" s="65">
        <v>123</v>
      </c>
      <c r="E117" s="39"/>
      <c r="F117" s="68">
        <f t="shared" si="40"/>
        <v>9.1791044776119407E-2</v>
      </c>
      <c r="G117" s="69">
        <f t="shared" ca="1" si="34"/>
        <v>7.8581832540864474</v>
      </c>
      <c r="H117" s="76">
        <f t="shared" ca="1" si="35"/>
        <v>0</v>
      </c>
      <c r="I117" s="76">
        <f t="shared" ca="1" si="36"/>
        <v>0</v>
      </c>
      <c r="J117" s="68">
        <f t="shared" si="37"/>
        <v>0.10298632430923808</v>
      </c>
      <c r="K117" s="69">
        <f t="shared" ca="1" si="38"/>
        <v>7.6332764595633869</v>
      </c>
      <c r="L117" s="56">
        <f t="shared" ca="1" si="39"/>
        <v>0</v>
      </c>
      <c r="M117" s="74">
        <f t="shared" ca="1" si="41"/>
        <v>0</v>
      </c>
      <c r="O117" s="55">
        <f t="shared" si="42"/>
        <v>123</v>
      </c>
      <c r="P117" s="67">
        <f t="shared" si="43"/>
        <v>9.1791044776119407E-2</v>
      </c>
      <c r="Q117" s="55">
        <f t="shared" si="44"/>
        <v>123</v>
      </c>
      <c r="R117" s="67">
        <f t="shared" si="45"/>
        <v>0.10298632430923801</v>
      </c>
      <c r="S117" s="55">
        <f t="shared" si="46"/>
        <v>123</v>
      </c>
      <c r="T117" s="67">
        <f t="shared" si="47"/>
        <v>0.10298632430923808</v>
      </c>
    </row>
    <row r="118" spans="1:20" ht="14.1" customHeight="1" x14ac:dyDescent="0.2">
      <c r="A118" s="32" t="s">
        <v>483</v>
      </c>
      <c r="B118" s="32" t="s">
        <v>184</v>
      </c>
      <c r="C118" s="32">
        <f t="shared" si="33"/>
        <v>177</v>
      </c>
      <c r="D118" s="65">
        <v>177</v>
      </c>
      <c r="E118" s="39"/>
      <c r="F118" s="68">
        <f t="shared" si="40"/>
        <v>0.13208955223880597</v>
      </c>
      <c r="G118" s="69">
        <f t="shared" ca="1" si="34"/>
        <v>7.9902728063252537</v>
      </c>
      <c r="H118" s="76">
        <f t="shared" ca="1" si="35"/>
        <v>0</v>
      </c>
      <c r="I118" s="76">
        <f t="shared" ca="1" si="36"/>
        <v>0</v>
      </c>
      <c r="J118" s="68">
        <f t="shared" si="37"/>
        <v>0.14819983254256211</v>
      </c>
      <c r="K118" s="69">
        <f t="shared" ca="1" si="38"/>
        <v>7.7814762921059488</v>
      </c>
      <c r="L118" s="56">
        <f t="shared" ca="1" si="39"/>
        <v>0</v>
      </c>
      <c r="M118" s="74">
        <f t="shared" ca="1" si="41"/>
        <v>0</v>
      </c>
      <c r="O118" s="55">
        <f t="shared" si="42"/>
        <v>177</v>
      </c>
      <c r="P118" s="67">
        <f t="shared" si="43"/>
        <v>0.13208955223880597</v>
      </c>
      <c r="Q118" s="55">
        <f t="shared" si="44"/>
        <v>177</v>
      </c>
      <c r="R118" s="67">
        <f t="shared" si="45"/>
        <v>0.14819983254256203</v>
      </c>
      <c r="S118" s="55">
        <f t="shared" si="46"/>
        <v>177</v>
      </c>
      <c r="T118" s="67">
        <f t="shared" si="47"/>
        <v>0.14819983254256211</v>
      </c>
    </row>
    <row r="119" spans="1:20" ht="14.1" customHeight="1" x14ac:dyDescent="0.2">
      <c r="A119" s="32" t="s">
        <v>483</v>
      </c>
      <c r="B119" s="32" t="s">
        <v>185</v>
      </c>
      <c r="C119" s="32">
        <f t="shared" si="33"/>
        <v>130</v>
      </c>
      <c r="D119" s="65">
        <v>130</v>
      </c>
      <c r="E119" s="39"/>
      <c r="F119" s="68">
        <f t="shared" si="40"/>
        <v>9.7014925373134331E-2</v>
      </c>
      <c r="G119" s="69">
        <f t="shared" ca="1" si="34"/>
        <v>8.0872877316983889</v>
      </c>
      <c r="H119" s="76">
        <f t="shared" ca="1" si="35"/>
        <v>1</v>
      </c>
      <c r="I119" s="76">
        <f t="shared" ca="1" si="36"/>
        <v>16</v>
      </c>
      <c r="J119" s="68">
        <f t="shared" si="37"/>
        <v>0.10884733463578009</v>
      </c>
      <c r="K119" s="69">
        <f t="shared" ca="1" si="38"/>
        <v>7.8903236267417292</v>
      </c>
      <c r="L119" s="56">
        <f t="shared" ca="1" si="39"/>
        <v>0</v>
      </c>
      <c r="M119" s="74">
        <f t="shared" ca="1" si="41"/>
        <v>0</v>
      </c>
      <c r="O119" s="55">
        <f t="shared" si="42"/>
        <v>130</v>
      </c>
      <c r="P119" s="67">
        <f t="shared" si="43"/>
        <v>9.7014925373134331E-2</v>
      </c>
      <c r="Q119" s="55">
        <f t="shared" si="44"/>
        <v>130</v>
      </c>
      <c r="R119" s="67">
        <f t="shared" si="45"/>
        <v>0.10884733463578002</v>
      </c>
      <c r="S119" s="55">
        <f t="shared" si="46"/>
        <v>130</v>
      </c>
      <c r="T119" s="67">
        <f t="shared" si="47"/>
        <v>0.10884733463578009</v>
      </c>
    </row>
    <row r="120" spans="1:20" ht="14.1" customHeight="1" x14ac:dyDescent="0.2">
      <c r="A120" s="32" t="s">
        <v>483</v>
      </c>
      <c r="B120" s="32" t="s">
        <v>186</v>
      </c>
      <c r="C120" s="32">
        <f t="shared" si="33"/>
        <v>89</v>
      </c>
      <c r="D120" s="65">
        <v>89</v>
      </c>
      <c r="E120" s="39"/>
      <c r="F120" s="68">
        <f t="shared" si="40"/>
        <v>6.64179104477612E-2</v>
      </c>
      <c r="G120" s="69">
        <f t="shared" ca="1" si="34"/>
        <v>8.15370564214615</v>
      </c>
      <c r="H120" s="76">
        <f t="shared" ca="1" si="35"/>
        <v>0</v>
      </c>
      <c r="I120" s="76">
        <f t="shared" ca="1" si="36"/>
        <v>0</v>
      </c>
      <c r="J120" s="68">
        <f t="shared" si="37"/>
        <v>7.4518559866034062E-2</v>
      </c>
      <c r="K120" s="69">
        <f t="shared" ca="1" si="38"/>
        <v>7.964842186607763</v>
      </c>
      <c r="L120" s="56">
        <f t="shared" ca="1" si="39"/>
        <v>0</v>
      </c>
      <c r="M120" s="74">
        <f t="shared" ca="1" si="41"/>
        <v>0</v>
      </c>
      <c r="O120" s="55">
        <f t="shared" si="42"/>
        <v>89</v>
      </c>
      <c r="P120" s="67">
        <f t="shared" si="43"/>
        <v>6.64179104477612E-2</v>
      </c>
      <c r="Q120" s="55">
        <f t="shared" si="44"/>
        <v>89</v>
      </c>
      <c r="R120" s="67">
        <f t="shared" si="45"/>
        <v>7.4518559866034007E-2</v>
      </c>
      <c r="S120" s="55">
        <f t="shared" si="46"/>
        <v>89</v>
      </c>
      <c r="T120" s="67">
        <f t="shared" si="47"/>
        <v>7.4518559866034062E-2</v>
      </c>
    </row>
    <row r="121" spans="1:20" ht="14.1" customHeight="1" x14ac:dyDescent="0.2">
      <c r="A121" s="32" t="s">
        <v>483</v>
      </c>
      <c r="B121" s="32" t="s">
        <v>187</v>
      </c>
      <c r="C121" s="32">
        <f t="shared" si="33"/>
        <v>89</v>
      </c>
      <c r="D121" s="65">
        <v>89</v>
      </c>
      <c r="E121" s="39"/>
      <c r="F121" s="68">
        <f t="shared" si="40"/>
        <v>6.64179104477612E-2</v>
      </c>
      <c r="G121" s="69">
        <f t="shared" ca="1" si="34"/>
        <v>8.2201235525939111</v>
      </c>
      <c r="H121" s="76">
        <f t="shared" ca="1" si="35"/>
        <v>0</v>
      </c>
      <c r="I121" s="76">
        <f t="shared" ca="1" si="36"/>
        <v>0</v>
      </c>
      <c r="J121" s="68">
        <f t="shared" si="37"/>
        <v>7.4518559866034062E-2</v>
      </c>
      <c r="K121" s="69">
        <f t="shared" ca="1" si="38"/>
        <v>8.0393607464737968</v>
      </c>
      <c r="L121" s="56">
        <f t="shared" ca="1" si="39"/>
        <v>1</v>
      </c>
      <c r="M121" s="74">
        <f t="shared" ca="1" si="41"/>
        <v>16</v>
      </c>
      <c r="O121" s="55">
        <f t="shared" si="42"/>
        <v>89</v>
      </c>
      <c r="P121" s="67">
        <f t="shared" si="43"/>
        <v>6.64179104477612E-2</v>
      </c>
      <c r="Q121" s="55">
        <f t="shared" si="44"/>
        <v>89</v>
      </c>
      <c r="R121" s="67">
        <f t="shared" si="45"/>
        <v>7.4518559866034007E-2</v>
      </c>
      <c r="S121" s="55">
        <f t="shared" si="46"/>
        <v>89</v>
      </c>
      <c r="T121" s="67">
        <f t="shared" si="47"/>
        <v>7.4518559866034062E-2</v>
      </c>
    </row>
    <row r="122" spans="1:20" ht="14.1" customHeight="1" x14ac:dyDescent="0.2">
      <c r="A122" s="32" t="s">
        <v>483</v>
      </c>
      <c r="B122" s="32" t="s">
        <v>188</v>
      </c>
      <c r="C122" s="32">
        <f t="shared" si="33"/>
        <v>50</v>
      </c>
      <c r="D122" s="65">
        <v>50</v>
      </c>
      <c r="E122" s="39"/>
      <c r="F122" s="68">
        <f t="shared" si="40"/>
        <v>3.7313432835820892E-2</v>
      </c>
      <c r="G122" s="69">
        <f t="shared" ca="1" si="34"/>
        <v>8.2574369854297327</v>
      </c>
      <c r="H122" s="76">
        <f t="shared" ca="1" si="35"/>
        <v>0</v>
      </c>
      <c r="I122" s="76">
        <f t="shared" ca="1" si="36"/>
        <v>0</v>
      </c>
      <c r="J122" s="68">
        <f t="shared" si="37"/>
        <v>4.1864359475300032E-2</v>
      </c>
      <c r="K122" s="69">
        <f t="shared" ca="1" si="38"/>
        <v>8.0812251059490965</v>
      </c>
      <c r="L122" s="56">
        <f t="shared" ca="1" si="39"/>
        <v>0</v>
      </c>
      <c r="M122" s="74">
        <f t="shared" ca="1" si="41"/>
        <v>0</v>
      </c>
      <c r="O122" s="55">
        <f t="shared" si="42"/>
        <v>50</v>
      </c>
      <c r="P122" s="67">
        <f t="shared" si="43"/>
        <v>3.7313432835820899E-2</v>
      </c>
      <c r="Q122" s="55">
        <f t="shared" si="44"/>
        <v>50</v>
      </c>
      <c r="R122" s="67">
        <f t="shared" si="45"/>
        <v>4.1864359475300005E-2</v>
      </c>
      <c r="S122" s="55">
        <f t="shared" si="46"/>
        <v>50</v>
      </c>
      <c r="T122" s="67">
        <f t="shared" si="47"/>
        <v>4.1864359475300032E-2</v>
      </c>
    </row>
    <row r="123" spans="1:20" ht="14.1" customHeight="1" x14ac:dyDescent="0.2">
      <c r="A123" s="32" t="s">
        <v>483</v>
      </c>
      <c r="B123" s="32" t="s">
        <v>441</v>
      </c>
      <c r="C123" s="32">
        <f t="shared" si="33"/>
        <v>70</v>
      </c>
      <c r="D123" s="65">
        <v>70</v>
      </c>
      <c r="E123" s="39"/>
      <c r="F123" s="68">
        <f t="shared" si="40"/>
        <v>5.2238805970149252E-2</v>
      </c>
      <c r="G123" s="69">
        <f t="shared" ca="1" si="34"/>
        <v>8.3096757913998811</v>
      </c>
      <c r="H123" s="76">
        <f t="shared" ca="1" si="35"/>
        <v>0</v>
      </c>
      <c r="I123" s="76">
        <f t="shared" ca="1" si="36"/>
        <v>0</v>
      </c>
      <c r="J123" s="68">
        <f t="shared" si="37"/>
        <v>5.8610103265420044E-2</v>
      </c>
      <c r="K123" s="69">
        <f t="shared" ca="1" si="38"/>
        <v>8.1398352092145174</v>
      </c>
      <c r="L123" s="56">
        <f t="shared" ca="1" si="39"/>
        <v>0</v>
      </c>
      <c r="M123" s="74">
        <f t="shared" ca="1" si="41"/>
        <v>0</v>
      </c>
      <c r="O123" s="55">
        <f t="shared" si="42"/>
        <v>70</v>
      </c>
      <c r="P123" s="67">
        <f t="shared" si="43"/>
        <v>5.2238805970149252E-2</v>
      </c>
      <c r="Q123" s="55">
        <f t="shared" si="44"/>
        <v>70</v>
      </c>
      <c r="R123" s="67">
        <f t="shared" si="45"/>
        <v>5.8610103265420009E-2</v>
      </c>
      <c r="S123" s="55">
        <f t="shared" si="46"/>
        <v>70</v>
      </c>
      <c r="T123" s="67">
        <f t="shared" si="47"/>
        <v>5.8610103265420044E-2</v>
      </c>
    </row>
    <row r="124" spans="1:20" ht="14.1" customHeight="1" x14ac:dyDescent="0.2">
      <c r="A124" s="32" t="s">
        <v>483</v>
      </c>
      <c r="B124" s="32" t="s">
        <v>520</v>
      </c>
      <c r="C124" s="32">
        <f t="shared" si="33"/>
        <v>61</v>
      </c>
      <c r="D124" s="65">
        <v>61</v>
      </c>
      <c r="E124" s="39"/>
      <c r="F124" s="68">
        <f t="shared" si="40"/>
        <v>4.5522388059701491E-2</v>
      </c>
      <c r="G124" s="69">
        <f t="shared" ca="1" si="34"/>
        <v>8.3551981794595829</v>
      </c>
      <c r="H124" s="76">
        <f t="shared" ca="1" si="35"/>
        <v>0</v>
      </c>
      <c r="I124" s="76">
        <f t="shared" ca="1" si="36"/>
        <v>0</v>
      </c>
      <c r="J124" s="68">
        <f t="shared" si="37"/>
        <v>5.1074518559866042E-2</v>
      </c>
      <c r="K124" s="69">
        <f t="shared" ca="1" si="38"/>
        <v>8.1909097277743843</v>
      </c>
      <c r="L124" s="56">
        <f t="shared" ca="1" si="39"/>
        <v>0</v>
      </c>
      <c r="M124" s="74">
        <f t="shared" ca="1" si="41"/>
        <v>0</v>
      </c>
      <c r="O124" s="55">
        <f t="shared" si="42"/>
        <v>61</v>
      </c>
      <c r="P124" s="67">
        <f t="shared" si="43"/>
        <v>4.5522388059701491E-2</v>
      </c>
      <c r="Q124" s="55">
        <f t="shared" si="44"/>
        <v>61</v>
      </c>
      <c r="R124" s="67">
        <f t="shared" si="45"/>
        <v>5.1074518559866007E-2</v>
      </c>
      <c r="S124" s="55">
        <f t="shared" si="46"/>
        <v>61</v>
      </c>
      <c r="T124" s="67">
        <f t="shared" si="47"/>
        <v>5.1074518559866042E-2</v>
      </c>
    </row>
    <row r="125" spans="1:20" ht="14.1" customHeight="1" x14ac:dyDescent="0.2">
      <c r="A125" s="32" t="s">
        <v>483</v>
      </c>
      <c r="B125" s="32" t="s">
        <v>521</v>
      </c>
      <c r="C125" s="32">
        <f t="shared" si="33"/>
        <v>151</v>
      </c>
      <c r="D125" s="65">
        <v>151</v>
      </c>
      <c r="E125" s="39"/>
      <c r="F125" s="68">
        <f t="shared" si="40"/>
        <v>0.1126865671641791</v>
      </c>
      <c r="G125" s="69">
        <f t="shared" ca="1" si="34"/>
        <v>8.4678847466237617</v>
      </c>
      <c r="H125" s="76">
        <f t="shared" ca="1" si="35"/>
        <v>0</v>
      </c>
      <c r="I125" s="76">
        <f t="shared" ca="1" si="36"/>
        <v>0</v>
      </c>
      <c r="J125" s="68">
        <f t="shared" si="37"/>
        <v>0.1264303656154061</v>
      </c>
      <c r="K125" s="69">
        <f t="shared" ca="1" si="38"/>
        <v>8.3173400933897899</v>
      </c>
      <c r="L125" s="56">
        <f t="shared" ca="1" si="39"/>
        <v>0</v>
      </c>
      <c r="M125" s="74">
        <f t="shared" ca="1" si="41"/>
        <v>0</v>
      </c>
      <c r="O125" s="55">
        <f t="shared" si="42"/>
        <v>151</v>
      </c>
      <c r="P125" s="67">
        <f t="shared" si="43"/>
        <v>0.1126865671641791</v>
      </c>
      <c r="Q125" s="55">
        <f t="shared" si="44"/>
        <v>151</v>
      </c>
      <c r="R125" s="67">
        <f t="shared" si="45"/>
        <v>0.12643036561540602</v>
      </c>
      <c r="S125" s="55">
        <f t="shared" si="46"/>
        <v>151</v>
      </c>
      <c r="T125" s="67">
        <f t="shared" si="47"/>
        <v>0.1264303656154061</v>
      </c>
    </row>
    <row r="126" spans="1:20" ht="14.1" customHeight="1" x14ac:dyDescent="0.2">
      <c r="A126" s="32" t="s">
        <v>483</v>
      </c>
      <c r="B126" s="32" t="s">
        <v>620</v>
      </c>
      <c r="C126" s="32">
        <f t="shared" si="33"/>
        <v>100</v>
      </c>
      <c r="D126" s="65">
        <v>100</v>
      </c>
      <c r="E126" s="39"/>
      <c r="F126" s="68">
        <f t="shared" si="40"/>
        <v>7.4626865671641784E-2</v>
      </c>
      <c r="G126" s="69">
        <f t="shared" ca="1" si="34"/>
        <v>8.542511612295403</v>
      </c>
      <c r="H126" s="76">
        <f t="shared" ca="1" si="35"/>
        <v>0</v>
      </c>
      <c r="I126" s="76">
        <f t="shared" ca="1" si="36"/>
        <v>0</v>
      </c>
      <c r="J126" s="68">
        <f t="shared" si="37"/>
        <v>8.3728718950600065E-2</v>
      </c>
      <c r="K126" s="69">
        <f t="shared" ca="1" si="38"/>
        <v>8.4010688123403892</v>
      </c>
      <c r="L126" s="56">
        <f t="shared" ca="1" si="39"/>
        <v>0</v>
      </c>
      <c r="M126" s="74">
        <f t="shared" ca="1" si="41"/>
        <v>0</v>
      </c>
      <c r="O126" s="55">
        <f t="shared" si="42"/>
        <v>100</v>
      </c>
      <c r="P126" s="67">
        <f t="shared" si="43"/>
        <v>7.4626865671641798E-2</v>
      </c>
      <c r="Q126" s="55">
        <f t="shared" si="44"/>
        <v>100</v>
      </c>
      <c r="R126" s="67">
        <f t="shared" si="45"/>
        <v>8.3728718950600009E-2</v>
      </c>
      <c r="S126" s="55">
        <f t="shared" si="46"/>
        <v>100</v>
      </c>
      <c r="T126" s="67">
        <f t="shared" si="47"/>
        <v>8.3728718950600065E-2</v>
      </c>
    </row>
    <row r="127" spans="1:20" ht="14.1" customHeight="1" x14ac:dyDescent="0.2">
      <c r="A127" s="32" t="s">
        <v>483</v>
      </c>
      <c r="B127" s="32" t="s">
        <v>589</v>
      </c>
      <c r="C127" s="32">
        <f t="shared" si="33"/>
        <v>47</v>
      </c>
      <c r="D127" s="65">
        <v>47</v>
      </c>
      <c r="E127" s="39"/>
      <c r="F127" s="68">
        <f t="shared" si="40"/>
        <v>3.5074626865671643E-2</v>
      </c>
      <c r="G127" s="69">
        <f t="shared" ca="1" si="34"/>
        <v>8.5775862391610751</v>
      </c>
      <c r="H127" s="76">
        <f t="shared" ca="1" si="35"/>
        <v>0</v>
      </c>
      <c r="I127" s="76">
        <f t="shared" ca="1" si="36"/>
        <v>0</v>
      </c>
      <c r="J127" s="68">
        <f t="shared" si="37"/>
        <v>3.9352497906782032E-2</v>
      </c>
      <c r="K127" s="69">
        <f t="shared" ca="1" si="38"/>
        <v>8.4404213102471708</v>
      </c>
      <c r="L127" s="56">
        <f t="shared" ca="1" si="39"/>
        <v>0</v>
      </c>
      <c r="M127" s="74">
        <f t="shared" ca="1" si="41"/>
        <v>0</v>
      </c>
      <c r="O127" s="55">
        <f t="shared" si="42"/>
        <v>47</v>
      </c>
      <c r="P127" s="67">
        <f t="shared" si="43"/>
        <v>3.5074626865671643E-2</v>
      </c>
      <c r="Q127" s="55">
        <f t="shared" si="44"/>
        <v>47</v>
      </c>
      <c r="R127" s="67">
        <f t="shared" si="45"/>
        <v>3.9352497906782004E-2</v>
      </c>
      <c r="S127" s="55">
        <f t="shared" si="46"/>
        <v>47</v>
      </c>
      <c r="T127" s="67">
        <f t="shared" si="47"/>
        <v>3.9352497906782032E-2</v>
      </c>
    </row>
    <row r="128" spans="1:20" ht="14.1" customHeight="1" x14ac:dyDescent="0.2">
      <c r="A128" s="32" t="s">
        <v>483</v>
      </c>
      <c r="B128" s="32" t="s">
        <v>590</v>
      </c>
      <c r="C128" s="32">
        <f t="shared" si="33"/>
        <v>90</v>
      </c>
      <c r="D128" s="65">
        <v>90</v>
      </c>
      <c r="E128" s="39"/>
      <c r="F128" s="68">
        <f t="shared" si="40"/>
        <v>6.7164179104477612E-2</v>
      </c>
      <c r="G128" s="69">
        <f t="shared" ca="1" si="34"/>
        <v>8.6447504182655521</v>
      </c>
      <c r="H128" s="76">
        <f t="shared" ca="1" si="35"/>
        <v>0</v>
      </c>
      <c r="I128" s="76">
        <f t="shared" ca="1" si="36"/>
        <v>0</v>
      </c>
      <c r="J128" s="68">
        <f t="shared" si="37"/>
        <v>7.5355847055540062E-2</v>
      </c>
      <c r="K128" s="69">
        <f t="shared" ca="1" si="38"/>
        <v>8.5157771573027112</v>
      </c>
      <c r="L128" s="56">
        <f t="shared" ca="1" si="39"/>
        <v>0</v>
      </c>
      <c r="M128" s="74">
        <f t="shared" ca="1" si="41"/>
        <v>0</v>
      </c>
      <c r="O128" s="55">
        <f t="shared" si="42"/>
        <v>90</v>
      </c>
      <c r="P128" s="67">
        <f t="shared" si="43"/>
        <v>6.7164179104477612E-2</v>
      </c>
      <c r="Q128" s="55">
        <f t="shared" si="44"/>
        <v>90</v>
      </c>
      <c r="R128" s="67">
        <f t="shared" si="45"/>
        <v>7.5355847055540007E-2</v>
      </c>
      <c r="S128" s="55">
        <f t="shared" si="46"/>
        <v>90</v>
      </c>
      <c r="T128" s="67">
        <f t="shared" si="47"/>
        <v>7.5355847055540062E-2</v>
      </c>
    </row>
    <row r="129" spans="1:20" ht="14.1" customHeight="1" x14ac:dyDescent="0.2">
      <c r="A129" s="32" t="s">
        <v>483</v>
      </c>
      <c r="B129" s="32" t="s">
        <v>621</v>
      </c>
      <c r="C129" s="32">
        <f t="shared" si="33"/>
        <v>52</v>
      </c>
      <c r="D129" s="65">
        <v>52</v>
      </c>
      <c r="E129" s="39"/>
      <c r="F129" s="68">
        <f t="shared" si="40"/>
        <v>3.880597014925373E-2</v>
      </c>
      <c r="G129" s="69">
        <f t="shared" ca="1" si="34"/>
        <v>8.6835563884148055</v>
      </c>
      <c r="H129" s="76">
        <f t="shared" ca="1" si="35"/>
        <v>0</v>
      </c>
      <c r="I129" s="76">
        <f t="shared" ca="1" si="36"/>
        <v>0</v>
      </c>
      <c r="J129" s="68">
        <f t="shared" si="37"/>
        <v>4.3538933854312033E-2</v>
      </c>
      <c r="K129" s="69">
        <f t="shared" ca="1" si="38"/>
        <v>8.5593160911570241</v>
      </c>
      <c r="L129" s="56">
        <f t="shared" ca="1" si="39"/>
        <v>0</v>
      </c>
      <c r="M129" s="74">
        <f t="shared" ca="1" si="41"/>
        <v>0</v>
      </c>
      <c r="O129" s="55">
        <f t="shared" si="42"/>
        <v>52</v>
      </c>
      <c r="P129" s="67">
        <f t="shared" si="43"/>
        <v>3.880597014925373E-2</v>
      </c>
      <c r="Q129" s="55">
        <f t="shared" si="44"/>
        <v>52</v>
      </c>
      <c r="R129" s="67">
        <f t="shared" si="45"/>
        <v>4.3538933854312005E-2</v>
      </c>
      <c r="S129" s="55">
        <f t="shared" si="46"/>
        <v>52</v>
      </c>
      <c r="T129" s="67">
        <f t="shared" si="47"/>
        <v>4.3538933854312033E-2</v>
      </c>
    </row>
    <row r="130" spans="1:20" ht="14.1" customHeight="1" x14ac:dyDescent="0.2">
      <c r="A130" s="32" t="s">
        <v>483</v>
      </c>
      <c r="B130" s="32" t="s">
        <v>622</v>
      </c>
      <c r="C130" s="32">
        <f t="shared" si="33"/>
        <v>164</v>
      </c>
      <c r="D130" s="65">
        <v>164</v>
      </c>
      <c r="E130" s="39"/>
      <c r="F130" s="68">
        <f t="shared" si="40"/>
        <v>0.12238805970149254</v>
      </c>
      <c r="G130" s="69">
        <f t="shared" ca="1" si="34"/>
        <v>8.8059444481162981</v>
      </c>
      <c r="H130" s="76">
        <f t="shared" ca="1" si="35"/>
        <v>0</v>
      </c>
      <c r="I130" s="76">
        <f t="shared" ca="1" si="36"/>
        <v>0</v>
      </c>
      <c r="J130" s="68">
        <f t="shared" si="37"/>
        <v>0.13731509907898412</v>
      </c>
      <c r="K130" s="69">
        <f t="shared" ca="1" si="38"/>
        <v>8.6966311902360083</v>
      </c>
      <c r="L130" s="56">
        <f t="shared" ca="1" si="39"/>
        <v>0</v>
      </c>
      <c r="M130" s="74">
        <f t="shared" ca="1" si="41"/>
        <v>0</v>
      </c>
      <c r="O130" s="55">
        <f t="shared" si="42"/>
        <v>164</v>
      </c>
      <c r="P130" s="67">
        <f t="shared" si="43"/>
        <v>0.12238805970149254</v>
      </c>
      <c r="Q130" s="55">
        <f t="shared" si="44"/>
        <v>164</v>
      </c>
      <c r="R130" s="67">
        <f t="shared" si="45"/>
        <v>0.13731509907898401</v>
      </c>
      <c r="S130" s="55">
        <f t="shared" si="46"/>
        <v>164</v>
      </c>
      <c r="T130" s="67">
        <f t="shared" si="47"/>
        <v>0.13731509907898412</v>
      </c>
    </row>
    <row r="131" spans="1:20" ht="14.1" customHeight="1" x14ac:dyDescent="0.2">
      <c r="A131" s="32" t="s">
        <v>483</v>
      </c>
      <c r="B131" s="32" t="s">
        <v>623</v>
      </c>
      <c r="C131" s="32">
        <f t="shared" si="33"/>
        <v>81</v>
      </c>
      <c r="D131" s="65">
        <v>81</v>
      </c>
      <c r="E131" s="39"/>
      <c r="F131" s="68">
        <f t="shared" si="40"/>
        <v>6.044776119402985E-2</v>
      </c>
      <c r="G131" s="69">
        <f t="shared" ca="1" si="34"/>
        <v>8.8663922093103285</v>
      </c>
      <c r="H131" s="76">
        <f t="shared" ca="1" si="35"/>
        <v>0</v>
      </c>
      <c r="I131" s="76">
        <f t="shared" ca="1" si="36"/>
        <v>0</v>
      </c>
      <c r="J131" s="68">
        <f t="shared" si="37"/>
        <v>6.782026234998606E-2</v>
      </c>
      <c r="K131" s="69">
        <f t="shared" ca="1" si="38"/>
        <v>8.7644514525859947</v>
      </c>
      <c r="L131" s="56">
        <f t="shared" ca="1" si="39"/>
        <v>0</v>
      </c>
      <c r="M131" s="74">
        <f t="shared" ca="1" si="41"/>
        <v>0</v>
      </c>
      <c r="O131" s="55">
        <f t="shared" si="42"/>
        <v>81</v>
      </c>
      <c r="P131" s="67">
        <f t="shared" si="43"/>
        <v>6.044776119402985E-2</v>
      </c>
      <c r="Q131" s="55">
        <f t="shared" si="44"/>
        <v>81</v>
      </c>
      <c r="R131" s="67">
        <f t="shared" si="45"/>
        <v>6.7820262349986005E-2</v>
      </c>
      <c r="S131" s="55">
        <f t="shared" si="46"/>
        <v>81</v>
      </c>
      <c r="T131" s="67">
        <f t="shared" si="47"/>
        <v>6.782026234998606E-2</v>
      </c>
    </row>
    <row r="132" spans="1:20" ht="14.1" customHeight="1" x14ac:dyDescent="0.2">
      <c r="A132" s="32" t="s">
        <v>483</v>
      </c>
      <c r="B132" s="32" t="s">
        <v>453</v>
      </c>
      <c r="C132" s="32">
        <f t="shared" si="33"/>
        <v>119</v>
      </c>
      <c r="D132" s="65">
        <v>119</v>
      </c>
      <c r="E132" s="39"/>
      <c r="F132" s="68">
        <f t="shared" si="40"/>
        <v>8.8805970149253732E-2</v>
      </c>
      <c r="G132" s="69">
        <f t="shared" ca="1" si="34"/>
        <v>8.9551981794595825</v>
      </c>
      <c r="H132" s="76">
        <f t="shared" ca="1" si="35"/>
        <v>0</v>
      </c>
      <c r="I132" s="76">
        <f t="shared" ca="1" si="36"/>
        <v>0</v>
      </c>
      <c r="J132" s="68">
        <f t="shared" si="37"/>
        <v>9.9637175551214083E-2</v>
      </c>
      <c r="K132" s="69">
        <f t="shared" ca="1" si="38"/>
        <v>8.8640886281372087</v>
      </c>
      <c r="L132" s="56">
        <f t="shared" ca="1" si="39"/>
        <v>0</v>
      </c>
      <c r="M132" s="74">
        <f t="shared" ca="1" si="41"/>
        <v>0</v>
      </c>
      <c r="O132" s="55">
        <f t="shared" si="42"/>
        <v>119</v>
      </c>
      <c r="P132" s="67">
        <f t="shared" si="43"/>
        <v>8.8805970149253732E-2</v>
      </c>
      <c r="Q132" s="55">
        <f t="shared" si="44"/>
        <v>119</v>
      </c>
      <c r="R132" s="67">
        <f t="shared" si="45"/>
        <v>9.9637175551214013E-2</v>
      </c>
      <c r="S132" s="55">
        <f t="shared" si="46"/>
        <v>119</v>
      </c>
      <c r="T132" s="67">
        <f t="shared" si="47"/>
        <v>9.9637175551214083E-2</v>
      </c>
    </row>
    <row r="133" spans="1:20" ht="14.1" customHeight="1" x14ac:dyDescent="0.2">
      <c r="A133" s="32" t="s">
        <v>483</v>
      </c>
      <c r="B133" s="32" t="s">
        <v>454</v>
      </c>
      <c r="C133" s="32">
        <f t="shared" si="33"/>
        <v>152</v>
      </c>
      <c r="D133" s="65">
        <v>152</v>
      </c>
      <c r="E133" s="39"/>
      <c r="F133" s="68">
        <f t="shared" si="40"/>
        <v>0.11343283582089553</v>
      </c>
      <c r="G133" s="69">
        <f t="shared" ca="1" si="34"/>
        <v>9.0686310152804772</v>
      </c>
      <c r="H133" s="76">
        <f t="shared" ca="1" si="35"/>
        <v>1</v>
      </c>
      <c r="I133" s="76">
        <f t="shared" ca="1" si="36"/>
        <v>16</v>
      </c>
      <c r="J133" s="68">
        <f t="shared" si="37"/>
        <v>0.12726765280491209</v>
      </c>
      <c r="K133" s="69">
        <f t="shared" ca="1" si="38"/>
        <v>8.9913562809421208</v>
      </c>
      <c r="L133" s="56">
        <f t="shared" ca="1" si="39"/>
        <v>0</v>
      </c>
      <c r="M133" s="74">
        <f t="shared" ca="1" si="41"/>
        <v>0</v>
      </c>
      <c r="O133" s="55">
        <f t="shared" si="42"/>
        <v>152</v>
      </c>
      <c r="P133" s="67">
        <f t="shared" si="43"/>
        <v>0.11343283582089553</v>
      </c>
      <c r="Q133" s="55">
        <f t="shared" si="44"/>
        <v>152</v>
      </c>
      <c r="R133" s="67">
        <f t="shared" si="45"/>
        <v>0.12726765280491201</v>
      </c>
      <c r="S133" s="55">
        <f t="shared" si="46"/>
        <v>152</v>
      </c>
      <c r="T133" s="67">
        <f t="shared" si="47"/>
        <v>0.12726765280491209</v>
      </c>
    </row>
    <row r="134" spans="1:20" ht="14.1" customHeight="1" x14ac:dyDescent="0.2">
      <c r="A134" s="32" t="s">
        <v>483</v>
      </c>
      <c r="B134" s="32" t="s">
        <v>455</v>
      </c>
      <c r="C134" s="32">
        <f t="shared" si="33"/>
        <v>81</v>
      </c>
      <c r="D134" s="65">
        <v>81</v>
      </c>
      <c r="E134" s="39"/>
      <c r="F134" s="68">
        <f t="shared" si="40"/>
        <v>6.044776119402985E-2</v>
      </c>
      <c r="G134" s="69">
        <f t="shared" ca="1" si="34"/>
        <v>9.1290787764745076</v>
      </c>
      <c r="H134" s="76">
        <f t="shared" ca="1" si="35"/>
        <v>0</v>
      </c>
      <c r="I134" s="76">
        <f t="shared" ca="1" si="36"/>
        <v>0</v>
      </c>
      <c r="J134" s="68">
        <f t="shared" si="37"/>
        <v>6.782026234998606E-2</v>
      </c>
      <c r="K134" s="69">
        <f t="shared" ca="1" si="38"/>
        <v>9.0591765432921072</v>
      </c>
      <c r="L134" s="56">
        <f t="shared" ca="1" si="39"/>
        <v>1</v>
      </c>
      <c r="M134" s="74">
        <f t="shared" ca="1" si="41"/>
        <v>16</v>
      </c>
      <c r="O134" s="55">
        <f t="shared" si="42"/>
        <v>81</v>
      </c>
      <c r="P134" s="67">
        <f t="shared" si="43"/>
        <v>6.044776119402985E-2</v>
      </c>
      <c r="Q134" s="55">
        <f t="shared" si="44"/>
        <v>81</v>
      </c>
      <c r="R134" s="67">
        <f t="shared" si="45"/>
        <v>6.7820262349986005E-2</v>
      </c>
      <c r="S134" s="55">
        <f t="shared" si="46"/>
        <v>81</v>
      </c>
      <c r="T134" s="67">
        <f t="shared" si="47"/>
        <v>6.782026234998606E-2</v>
      </c>
    </row>
    <row r="135" spans="1:20" ht="14.1" customHeight="1" x14ac:dyDescent="0.2">
      <c r="A135" s="32" t="s">
        <v>483</v>
      </c>
      <c r="B135" s="32" t="s">
        <v>634</v>
      </c>
      <c r="C135" s="32">
        <f t="shared" si="33"/>
        <v>40</v>
      </c>
      <c r="D135" s="65">
        <v>40</v>
      </c>
      <c r="E135" s="39"/>
      <c r="F135" s="68">
        <f t="shared" si="40"/>
        <v>2.9850746268656716E-2</v>
      </c>
      <c r="G135" s="69">
        <f t="shared" ca="1" si="34"/>
        <v>9.1589295227431649</v>
      </c>
      <c r="H135" s="76">
        <f t="shared" ca="1" si="35"/>
        <v>0</v>
      </c>
      <c r="I135" s="76">
        <f t="shared" ca="1" si="36"/>
        <v>0</v>
      </c>
      <c r="J135" s="68">
        <f t="shared" si="37"/>
        <v>3.3491487580240023E-2</v>
      </c>
      <c r="K135" s="69">
        <f t="shared" ca="1" si="38"/>
        <v>9.092668030872348</v>
      </c>
      <c r="L135" s="56">
        <f t="shared" ca="1" si="39"/>
        <v>0</v>
      </c>
      <c r="M135" s="74">
        <f t="shared" ca="1" si="41"/>
        <v>0</v>
      </c>
      <c r="O135" s="55">
        <f t="shared" si="42"/>
        <v>40</v>
      </c>
      <c r="P135" s="67">
        <f t="shared" si="43"/>
        <v>2.9850746268656716E-2</v>
      </c>
      <c r="Q135" s="55">
        <f t="shared" si="44"/>
        <v>40</v>
      </c>
      <c r="R135" s="67">
        <f t="shared" si="45"/>
        <v>3.3491487580240002E-2</v>
      </c>
      <c r="S135" s="55">
        <f t="shared" si="46"/>
        <v>40</v>
      </c>
      <c r="T135" s="67">
        <f t="shared" si="47"/>
        <v>3.3491487580240023E-2</v>
      </c>
    </row>
    <row r="136" spans="1:20" ht="14.1" customHeight="1" x14ac:dyDescent="0.2">
      <c r="A136" s="32" t="s">
        <v>483</v>
      </c>
      <c r="B136" s="32" t="s">
        <v>355</v>
      </c>
      <c r="C136" s="32">
        <f t="shared" si="33"/>
        <v>122</v>
      </c>
      <c r="D136" s="65">
        <v>122</v>
      </c>
      <c r="E136" s="39"/>
      <c r="F136" s="68">
        <f t="shared" si="40"/>
        <v>9.1044776119402981E-2</v>
      </c>
      <c r="G136" s="69">
        <f t="shared" ca="1" si="34"/>
        <v>9.2499742988625684</v>
      </c>
      <c r="H136" s="76">
        <f t="shared" ca="1" si="35"/>
        <v>0</v>
      </c>
      <c r="I136" s="76">
        <f t="shared" ca="1" si="36"/>
        <v>0</v>
      </c>
      <c r="J136" s="68">
        <f t="shared" si="37"/>
        <v>0.10214903711973208</v>
      </c>
      <c r="K136" s="69">
        <f t="shared" ca="1" si="38"/>
        <v>9.19481706799208</v>
      </c>
      <c r="L136" s="56">
        <f t="shared" ca="1" si="39"/>
        <v>0</v>
      </c>
      <c r="M136" s="74">
        <f t="shared" ca="1" si="41"/>
        <v>0</v>
      </c>
      <c r="O136" s="55">
        <f t="shared" si="42"/>
        <v>122</v>
      </c>
      <c r="P136" s="67">
        <f t="shared" si="43"/>
        <v>9.1044776119402981E-2</v>
      </c>
      <c r="Q136" s="55">
        <f t="shared" si="44"/>
        <v>122</v>
      </c>
      <c r="R136" s="67">
        <f t="shared" si="45"/>
        <v>0.10214903711973201</v>
      </c>
      <c r="S136" s="55">
        <f t="shared" si="46"/>
        <v>122</v>
      </c>
      <c r="T136" s="67">
        <f t="shared" si="47"/>
        <v>0.10214903711973208</v>
      </c>
    </row>
    <row r="137" spans="1:20" ht="14.1" customHeight="1" x14ac:dyDescent="0.2">
      <c r="A137" s="32" t="s">
        <v>483</v>
      </c>
      <c r="B137" s="32" t="s">
        <v>356</v>
      </c>
      <c r="C137" s="32">
        <f t="shared" si="33"/>
        <v>78</v>
      </c>
      <c r="D137" s="65">
        <v>78</v>
      </c>
      <c r="E137" s="39"/>
      <c r="F137" s="68">
        <f t="shared" si="40"/>
        <v>5.8208955223880594E-2</v>
      </c>
      <c r="G137" s="69">
        <f t="shared" ca="1" si="34"/>
        <v>9.3081832540864493</v>
      </c>
      <c r="H137" s="76">
        <f t="shared" ca="1" si="35"/>
        <v>0</v>
      </c>
      <c r="I137" s="76">
        <f t="shared" ca="1" si="36"/>
        <v>0</v>
      </c>
      <c r="J137" s="68">
        <f t="shared" si="37"/>
        <v>6.5308400781468046E-2</v>
      </c>
      <c r="K137" s="69">
        <f t="shared" ca="1" si="38"/>
        <v>9.2601254687735484</v>
      </c>
      <c r="L137" s="56">
        <f t="shared" ca="1" si="39"/>
        <v>0</v>
      </c>
      <c r="M137" s="74">
        <f t="shared" ca="1" si="41"/>
        <v>0</v>
      </c>
      <c r="O137" s="55">
        <f t="shared" si="42"/>
        <v>78</v>
      </c>
      <c r="P137" s="67">
        <f t="shared" si="43"/>
        <v>5.8208955223880594E-2</v>
      </c>
      <c r="Q137" s="55">
        <f t="shared" si="44"/>
        <v>78</v>
      </c>
      <c r="R137" s="67">
        <f t="shared" si="45"/>
        <v>6.5308400781468004E-2</v>
      </c>
      <c r="S137" s="55">
        <f t="shared" si="46"/>
        <v>78</v>
      </c>
      <c r="T137" s="67">
        <f t="shared" si="47"/>
        <v>6.5308400781468046E-2</v>
      </c>
    </row>
    <row r="138" spans="1:20" ht="14.1" customHeight="1" x14ac:dyDescent="0.2">
      <c r="A138" s="32" t="s">
        <v>483</v>
      </c>
      <c r="B138" s="32" t="s">
        <v>303</v>
      </c>
      <c r="C138" s="32">
        <f t="shared" si="33"/>
        <v>102</v>
      </c>
      <c r="D138" s="65">
        <v>102</v>
      </c>
      <c r="E138" s="39"/>
      <c r="F138" s="68">
        <f t="shared" ref="F138:F143" si="48">+I$5*D138/D$9</f>
        <v>7.6119402985074622E-2</v>
      </c>
      <c r="G138" s="69">
        <f t="shared" ca="1" si="34"/>
        <v>9.3843026570715242</v>
      </c>
      <c r="H138" s="76">
        <f t="shared" ca="1" si="35"/>
        <v>0</v>
      </c>
      <c r="I138" s="76">
        <f t="shared" ca="1" si="36"/>
        <v>0</v>
      </c>
      <c r="J138" s="68">
        <f t="shared" si="37"/>
        <v>8.5403293329612065E-2</v>
      </c>
      <c r="K138" s="69">
        <f t="shared" ca="1" si="38"/>
        <v>9.3455287621031609</v>
      </c>
      <c r="L138" s="56">
        <f t="shared" ca="1" si="39"/>
        <v>0</v>
      </c>
      <c r="M138" s="74">
        <f t="shared" ref="M138:M143" ca="1" si="49">MIN(C138,L138*C$6)</f>
        <v>0</v>
      </c>
      <c r="O138" s="55">
        <f t="shared" ref="O138:O143" si="50">+($D138/2)*(SIGN(1-P$6*$D138)+1)</f>
        <v>102</v>
      </c>
      <c r="P138" s="67">
        <f t="shared" ref="P138:P143" si="51">MIN(1,P$6*$D138)</f>
        <v>7.6119402985074622E-2</v>
      </c>
      <c r="Q138" s="55">
        <f t="shared" ref="Q138:Q143" si="52">+($D138/2)*(SIGN(1-R$6*$D138)+1)</f>
        <v>102</v>
      </c>
      <c r="R138" s="67">
        <f t="shared" ref="R138:R143" si="53">MIN(1,R$6*$D138)</f>
        <v>8.5403293329612009E-2</v>
      </c>
      <c r="S138" s="55">
        <f t="shared" ref="S138:S143" si="54">+($D138/2)*(SIGN(1-T$6*$D138)+1)</f>
        <v>102</v>
      </c>
      <c r="T138" s="67">
        <f t="shared" ref="T138:T143" si="55">MIN(1,T$6*$D138)</f>
        <v>8.5403293329612065E-2</v>
      </c>
    </row>
    <row r="139" spans="1:20" ht="14.1" customHeight="1" x14ac:dyDescent="0.2">
      <c r="A139" s="32" t="s">
        <v>483</v>
      </c>
      <c r="B139" s="32" t="s">
        <v>304</v>
      </c>
      <c r="C139" s="32">
        <f t="shared" ref="C139:C143" si="56">+D139</f>
        <v>49</v>
      </c>
      <c r="D139" s="65">
        <v>49</v>
      </c>
      <c r="E139" s="39"/>
      <c r="F139" s="68">
        <f t="shared" si="48"/>
        <v>3.656716417910448E-2</v>
      </c>
      <c r="G139" s="69">
        <f t="shared" ref="G139:G143" ca="1" si="57">+F139+G138</f>
        <v>9.4208698212506281</v>
      </c>
      <c r="H139" s="76">
        <f t="shared" ref="H139:H143" ca="1" si="58">+INT(G139)-INT(G138)</f>
        <v>0</v>
      </c>
      <c r="I139" s="76">
        <f t="shared" ref="I139:I143" ca="1" si="59">MIN(C139,H139*C$6)</f>
        <v>0</v>
      </c>
      <c r="J139" s="68">
        <f t="shared" ref="J139:J143" si="60">+T139</f>
        <v>4.1027072285794032E-2</v>
      </c>
      <c r="K139" s="69">
        <f t="shared" ref="K139:K143" ca="1" si="61">+J139+K138</f>
        <v>9.3865558343889557</v>
      </c>
      <c r="L139" s="56">
        <f t="shared" ref="L139:L143" ca="1" si="62">+INT(K139)-INT(K138)</f>
        <v>0</v>
      </c>
      <c r="M139" s="74">
        <f t="shared" ca="1" si="49"/>
        <v>0</v>
      </c>
      <c r="O139" s="55">
        <f t="shared" si="50"/>
        <v>49</v>
      </c>
      <c r="P139" s="67">
        <f t="shared" si="51"/>
        <v>3.656716417910448E-2</v>
      </c>
      <c r="Q139" s="55">
        <f t="shared" si="52"/>
        <v>49</v>
      </c>
      <c r="R139" s="67">
        <f t="shared" si="53"/>
        <v>4.1027072285794004E-2</v>
      </c>
      <c r="S139" s="55">
        <f t="shared" si="54"/>
        <v>49</v>
      </c>
      <c r="T139" s="67">
        <f t="shared" si="55"/>
        <v>4.1027072285794032E-2</v>
      </c>
    </row>
    <row r="140" spans="1:20" ht="14.1" customHeight="1" x14ac:dyDescent="0.2">
      <c r="A140" s="32" t="s">
        <v>483</v>
      </c>
      <c r="B140" s="32" t="s">
        <v>305</v>
      </c>
      <c r="C140" s="32">
        <f t="shared" si="56"/>
        <v>110</v>
      </c>
      <c r="D140" s="65">
        <v>110</v>
      </c>
      <c r="E140" s="39"/>
      <c r="F140" s="68">
        <f t="shared" si="48"/>
        <v>8.2089552238805971E-2</v>
      </c>
      <c r="G140" s="69">
        <f t="shared" ca="1" si="57"/>
        <v>9.5029593734894338</v>
      </c>
      <c r="H140" s="76">
        <f t="shared" ca="1" si="58"/>
        <v>0</v>
      </c>
      <c r="I140" s="76">
        <f t="shared" ca="1" si="59"/>
        <v>0</v>
      </c>
      <c r="J140" s="68">
        <f t="shared" si="60"/>
        <v>9.2101590845660067E-2</v>
      </c>
      <c r="K140" s="69">
        <f t="shared" ca="1" si="61"/>
        <v>9.4786574252346156</v>
      </c>
      <c r="L140" s="56">
        <f t="shared" ca="1" si="62"/>
        <v>0</v>
      </c>
      <c r="M140" s="74">
        <f t="shared" ca="1" si="49"/>
        <v>0</v>
      </c>
      <c r="O140" s="55">
        <f t="shared" si="50"/>
        <v>110</v>
      </c>
      <c r="P140" s="67">
        <f t="shared" si="51"/>
        <v>8.2089552238805971E-2</v>
      </c>
      <c r="Q140" s="55">
        <f t="shared" si="52"/>
        <v>110</v>
      </c>
      <c r="R140" s="67">
        <f t="shared" si="53"/>
        <v>9.2101590845660011E-2</v>
      </c>
      <c r="S140" s="55">
        <f t="shared" si="54"/>
        <v>110</v>
      </c>
      <c r="T140" s="67">
        <f t="shared" si="55"/>
        <v>9.2101590845660067E-2</v>
      </c>
    </row>
    <row r="141" spans="1:20" ht="14.1" customHeight="1" x14ac:dyDescent="0.2">
      <c r="A141" s="32" t="s">
        <v>483</v>
      </c>
      <c r="B141" s="32" t="s">
        <v>306</v>
      </c>
      <c r="C141" s="32">
        <f t="shared" si="56"/>
        <v>166</v>
      </c>
      <c r="D141" s="65">
        <v>166</v>
      </c>
      <c r="E141" s="39"/>
      <c r="F141" s="68">
        <f t="shared" si="48"/>
        <v>0.12388059701492538</v>
      </c>
      <c r="G141" s="69">
        <f t="shared" ca="1" si="57"/>
        <v>9.6268399705043599</v>
      </c>
      <c r="H141" s="76">
        <f t="shared" ca="1" si="58"/>
        <v>0</v>
      </c>
      <c r="I141" s="76">
        <f t="shared" ca="1" si="59"/>
        <v>0</v>
      </c>
      <c r="J141" s="68">
        <f t="shared" si="60"/>
        <v>0.13898967345799612</v>
      </c>
      <c r="K141" s="69">
        <f t="shared" ca="1" si="61"/>
        <v>9.6176470986926113</v>
      </c>
      <c r="L141" s="56">
        <f t="shared" ca="1" si="62"/>
        <v>0</v>
      </c>
      <c r="M141" s="74">
        <f t="shared" ca="1" si="49"/>
        <v>0</v>
      </c>
      <c r="O141" s="55">
        <f t="shared" si="50"/>
        <v>166</v>
      </c>
      <c r="P141" s="67">
        <f t="shared" si="51"/>
        <v>0.12388059701492538</v>
      </c>
      <c r="Q141" s="55">
        <f t="shared" si="52"/>
        <v>166</v>
      </c>
      <c r="R141" s="67">
        <f t="shared" si="53"/>
        <v>0.13898967345799601</v>
      </c>
      <c r="S141" s="55">
        <f t="shared" si="54"/>
        <v>166</v>
      </c>
      <c r="T141" s="67">
        <f t="shared" si="55"/>
        <v>0.13898967345799612</v>
      </c>
    </row>
    <row r="142" spans="1:20" ht="14.1" customHeight="1" x14ac:dyDescent="0.2">
      <c r="A142" s="217" t="s">
        <v>483</v>
      </c>
      <c r="B142" s="217" t="s">
        <v>596</v>
      </c>
      <c r="C142" s="217">
        <f t="shared" si="56"/>
        <v>41</v>
      </c>
      <c r="D142" s="218">
        <v>41</v>
      </c>
      <c r="E142" s="214"/>
      <c r="F142" s="219">
        <f t="shared" si="48"/>
        <v>3.0597014925373135E-2</v>
      </c>
      <c r="G142" s="220">
        <f t="shared" ca="1" si="57"/>
        <v>9.6574369854297331</v>
      </c>
      <c r="H142" s="221">
        <f t="shared" ca="1" si="58"/>
        <v>0</v>
      </c>
      <c r="I142" s="221">
        <f t="shared" ca="1" si="59"/>
        <v>0</v>
      </c>
      <c r="J142" s="219">
        <f t="shared" si="60"/>
        <v>3.432877476974603E-2</v>
      </c>
      <c r="K142" s="220">
        <f t="shared" ca="1" si="61"/>
        <v>9.6519758734623569</v>
      </c>
      <c r="L142" s="215">
        <f t="shared" ca="1" si="62"/>
        <v>0</v>
      </c>
      <c r="M142" s="222">
        <f t="shared" ca="1" si="49"/>
        <v>0</v>
      </c>
      <c r="O142" s="55">
        <f t="shared" si="50"/>
        <v>41</v>
      </c>
      <c r="P142" s="67">
        <f t="shared" si="51"/>
        <v>3.0597014925373135E-2</v>
      </c>
      <c r="Q142" s="55">
        <f t="shared" si="52"/>
        <v>41</v>
      </c>
      <c r="R142" s="67">
        <f t="shared" si="53"/>
        <v>3.4328774769746002E-2</v>
      </c>
      <c r="S142" s="55">
        <f t="shared" si="54"/>
        <v>41</v>
      </c>
      <c r="T142" s="67">
        <f t="shared" si="55"/>
        <v>3.432877476974603E-2</v>
      </c>
    </row>
    <row r="143" spans="1:20" ht="14.1" customHeight="1" x14ac:dyDescent="0.2">
      <c r="A143" s="217" t="s">
        <v>483</v>
      </c>
      <c r="B143" s="217" t="s">
        <v>597</v>
      </c>
      <c r="C143" s="217">
        <f t="shared" si="56"/>
        <v>60</v>
      </c>
      <c r="D143" s="218">
        <v>60</v>
      </c>
      <c r="E143" s="214"/>
      <c r="F143" s="219">
        <f t="shared" si="48"/>
        <v>4.4776119402985072E-2</v>
      </c>
      <c r="G143" s="220">
        <f t="shared" ca="1" si="57"/>
        <v>9.7022131048327189</v>
      </c>
      <c r="H143" s="221">
        <f t="shared" ca="1" si="58"/>
        <v>0</v>
      </c>
      <c r="I143" s="221">
        <f t="shared" ca="1" si="59"/>
        <v>0</v>
      </c>
      <c r="J143" s="219">
        <f t="shared" si="60"/>
        <v>5.0237231370360041E-2</v>
      </c>
      <c r="K143" s="220">
        <f t="shared" ca="1" si="61"/>
        <v>9.7022131048327171</v>
      </c>
      <c r="L143" s="215">
        <f t="shared" ca="1" si="62"/>
        <v>0</v>
      </c>
      <c r="M143" s="222">
        <f t="shared" ca="1" si="49"/>
        <v>0</v>
      </c>
      <c r="N143" s="39"/>
      <c r="O143" s="55">
        <f t="shared" si="50"/>
        <v>60</v>
      </c>
      <c r="P143" s="67">
        <f t="shared" si="51"/>
        <v>4.4776119402985072E-2</v>
      </c>
      <c r="Q143" s="55">
        <f t="shared" si="52"/>
        <v>60</v>
      </c>
      <c r="R143" s="67">
        <f t="shared" si="53"/>
        <v>5.0237231370360007E-2</v>
      </c>
      <c r="S143" s="55">
        <f t="shared" si="54"/>
        <v>60</v>
      </c>
      <c r="T143" s="67">
        <f t="shared" si="55"/>
        <v>5.0237231370360041E-2</v>
      </c>
    </row>
    <row r="145" spans="1:21" s="7" customFormat="1" ht="14.1" customHeight="1" x14ac:dyDescent="0.25">
      <c r="A145" s="43"/>
      <c r="B145" s="43"/>
      <c r="C145" s="43"/>
      <c r="D145" s="52"/>
      <c r="E145" s="40"/>
      <c r="F145" s="40"/>
      <c r="G145" s="40"/>
      <c r="H145" s="40"/>
      <c r="I145" s="40"/>
      <c r="J145" s="40"/>
      <c r="K145" s="40"/>
      <c r="L145" s="40"/>
      <c r="M145" s="44"/>
      <c r="N145" s="40"/>
      <c r="O145" s="40"/>
      <c r="P145" s="40"/>
      <c r="Q145" s="40"/>
      <c r="R145" s="40"/>
      <c r="S145" s="40"/>
      <c r="T145" s="40"/>
      <c r="U145" s="43"/>
    </row>
    <row r="146" spans="1:21" x14ac:dyDescent="0.2">
      <c r="D146" s="51"/>
      <c r="M146" s="30"/>
    </row>
  </sheetData>
  <mergeCells count="16">
    <mergeCell ref="O1:T1"/>
    <mergeCell ref="O3:T3"/>
    <mergeCell ref="E4:E7"/>
    <mergeCell ref="O4:T4"/>
    <mergeCell ref="O5:P5"/>
    <mergeCell ref="Q5:R5"/>
    <mergeCell ref="S5:T5"/>
    <mergeCell ref="A1:M1"/>
    <mergeCell ref="A4:B4"/>
    <mergeCell ref="A5:B5"/>
    <mergeCell ref="F6:I6"/>
    <mergeCell ref="J6:M6"/>
    <mergeCell ref="A3:D3"/>
    <mergeCell ref="A6:B6"/>
    <mergeCell ref="F3:I3"/>
    <mergeCell ref="J3:M3"/>
  </mergeCells>
  <phoneticPr fontId="18" type="noConversion"/>
  <pageMargins left="0.75" right="0.75" top="1" bottom="1" header="0.5" footer="0.5"/>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279"/>
  <sheetViews>
    <sheetView zoomScale="85" zoomScaleNormal="85" zoomScalePageLayoutView="85" workbookViewId="0">
      <selection activeCell="J7" sqref="J7:J35"/>
    </sheetView>
  </sheetViews>
  <sheetFormatPr defaultColWidth="8.875" defaultRowHeight="12.75" x14ac:dyDescent="0.2"/>
  <cols>
    <col min="1" max="1" width="9.5" style="3" customWidth="1"/>
    <col min="2" max="2" width="9.5" style="4" customWidth="1"/>
    <col min="3" max="9" width="9.5" style="3" customWidth="1"/>
    <col min="10" max="10" width="9.5" style="31" customWidth="1"/>
    <col min="11" max="11" width="1.625" style="4" customWidth="1"/>
    <col min="12" max="20" width="9.5" style="4" customWidth="1"/>
    <col min="21" max="21" width="1.625" style="4" customWidth="1"/>
    <col min="22" max="36" width="9.5" style="4" customWidth="1"/>
    <col min="37" max="37" width="1.5" style="3" customWidth="1"/>
    <col min="38" max="38" width="8.875" style="3"/>
    <col min="39" max="39" width="8.875" style="3" customWidth="1"/>
    <col min="40" max="40" width="8.875" style="3"/>
    <col min="41" max="41" width="9.5" style="3" customWidth="1"/>
    <col min="42" max="42" width="8.875" style="3"/>
    <col min="43" max="43" width="9.5" style="3" customWidth="1"/>
    <col min="44" max="44" width="8.875" style="3"/>
    <col min="45" max="45" width="9.5" style="3" customWidth="1"/>
    <col min="46" max="46" width="8.875" style="3"/>
    <col min="47" max="48" width="9.5" style="3" customWidth="1"/>
    <col min="49" max="49" width="8.875" style="3"/>
    <col min="50" max="50" width="10" style="3" customWidth="1"/>
    <col min="51" max="55" width="5.875" style="3" customWidth="1"/>
    <col min="56" max="56" width="2.375" style="3" customWidth="1"/>
    <col min="57" max="61" width="5.875" style="3" customWidth="1"/>
    <col min="62" max="16384" width="8.875" style="3"/>
  </cols>
  <sheetData>
    <row r="1" spans="1:50" ht="27.95" customHeight="1" x14ac:dyDescent="0.25">
      <c r="A1" s="338" t="s">
        <v>461</v>
      </c>
      <c r="B1" s="356"/>
      <c r="C1" s="356"/>
      <c r="D1" s="356"/>
      <c r="E1" s="356"/>
      <c r="F1" s="356"/>
      <c r="G1" s="356"/>
      <c r="H1" s="356"/>
      <c r="I1" s="356"/>
      <c r="J1" s="356"/>
      <c r="K1" s="356"/>
      <c r="L1" s="356"/>
      <c r="M1" s="356"/>
      <c r="N1" s="356"/>
      <c r="O1" s="356"/>
      <c r="P1" s="356"/>
      <c r="Q1" s="356"/>
      <c r="R1" s="356"/>
      <c r="S1" s="356"/>
      <c r="T1" s="356"/>
      <c r="V1" s="335"/>
      <c r="W1" s="335"/>
      <c r="X1" s="335"/>
      <c r="Y1" s="335"/>
      <c r="Z1" s="335"/>
      <c r="AA1" s="335"/>
      <c r="AB1" s="335"/>
      <c r="AC1" s="335"/>
      <c r="AD1" s="335"/>
      <c r="AE1" s="230"/>
      <c r="AF1" s="230"/>
      <c r="AG1" s="230"/>
      <c r="AH1" s="230"/>
      <c r="AI1" s="230"/>
      <c r="AJ1" s="230"/>
      <c r="AN1" s="32" t="s">
        <v>81</v>
      </c>
      <c r="AO1" s="3">
        <v>1</v>
      </c>
      <c r="AX1" s="32"/>
    </row>
    <row r="2" spans="1:50" x14ac:dyDescent="0.2">
      <c r="L2" s="242"/>
      <c r="M2" s="242"/>
      <c r="V2" s="216"/>
      <c r="AN2" s="32" t="s">
        <v>64</v>
      </c>
      <c r="AO2" s="3">
        <v>0.2</v>
      </c>
    </row>
    <row r="3" spans="1:50" s="7" customFormat="1" ht="16.5" customHeight="1" x14ac:dyDescent="0.2">
      <c r="A3" s="332" t="s">
        <v>282</v>
      </c>
      <c r="B3" s="357"/>
      <c r="C3" s="357"/>
      <c r="D3" s="357"/>
      <c r="E3" s="357"/>
      <c r="F3" s="357"/>
      <c r="G3" s="357"/>
      <c r="H3" s="357"/>
      <c r="I3" s="357"/>
      <c r="J3" s="357"/>
      <c r="K3" s="37"/>
      <c r="L3" s="332" t="s">
        <v>70</v>
      </c>
      <c r="M3" s="332"/>
      <c r="N3" s="332"/>
      <c r="O3" s="332"/>
      <c r="P3" s="332"/>
      <c r="Q3" s="357"/>
      <c r="R3" s="357"/>
      <c r="S3" s="357"/>
      <c r="T3" s="357"/>
      <c r="U3" s="40"/>
      <c r="V3" s="382" t="s">
        <v>599</v>
      </c>
      <c r="W3" s="383"/>
      <c r="X3" s="383"/>
      <c r="Y3" s="383"/>
      <c r="Z3" s="383"/>
      <c r="AA3" s="383"/>
      <c r="AB3" s="383"/>
      <c r="AC3" s="383"/>
      <c r="AD3" s="383"/>
      <c r="AE3" s="383"/>
      <c r="AF3" s="383"/>
      <c r="AG3" s="383"/>
      <c r="AH3" s="383"/>
      <c r="AI3" s="383"/>
      <c r="AJ3" s="383"/>
      <c r="AN3" s="254" t="s">
        <v>82</v>
      </c>
      <c r="AO3" s="3">
        <v>0</v>
      </c>
    </row>
    <row r="4" spans="1:50" ht="16.5" customHeight="1" x14ac:dyDescent="0.25">
      <c r="A4" s="353" t="s">
        <v>536</v>
      </c>
      <c r="B4" s="354"/>
      <c r="C4" s="354"/>
      <c r="D4" s="354"/>
      <c r="E4" s="354"/>
      <c r="F4" s="354"/>
      <c r="G4" s="354"/>
      <c r="H4" s="354"/>
      <c r="I4" s="354"/>
      <c r="J4" s="355"/>
      <c r="K4" s="334"/>
      <c r="L4" s="350" t="s">
        <v>574</v>
      </c>
      <c r="M4" s="351"/>
      <c r="N4" s="352"/>
      <c r="O4" s="343" t="s">
        <v>575</v>
      </c>
      <c r="P4" s="344"/>
      <c r="Q4" s="345"/>
      <c r="R4" s="343" t="s">
        <v>576</v>
      </c>
      <c r="S4" s="344"/>
      <c r="T4" s="345"/>
      <c r="V4" s="380" t="s">
        <v>66</v>
      </c>
      <c r="W4" s="359"/>
      <c r="X4" s="359"/>
      <c r="Y4" s="381"/>
      <c r="Z4" s="380" t="s">
        <v>67</v>
      </c>
      <c r="AA4" s="359"/>
      <c r="AB4" s="359"/>
      <c r="AC4" s="359"/>
      <c r="AD4" s="381"/>
      <c r="AE4" s="380" t="s">
        <v>68</v>
      </c>
      <c r="AF4" s="359"/>
      <c r="AG4" s="359"/>
      <c r="AH4" s="359"/>
      <c r="AI4" s="359"/>
      <c r="AJ4" s="381"/>
      <c r="AL4" s="32"/>
      <c r="AM4" s="237"/>
      <c r="AN4" s="239" t="s">
        <v>65</v>
      </c>
      <c r="AO4" s="237">
        <f>+AO1*AO2+AO1*(AO1-1)*AO3*AO2</f>
        <v>0.2</v>
      </c>
      <c r="AP4" s="307"/>
      <c r="AQ4" s="307"/>
      <c r="AR4" s="308"/>
      <c r="AS4" s="309"/>
      <c r="AT4" s="308"/>
      <c r="AU4" s="310"/>
      <c r="AV4" s="311"/>
      <c r="AW4" s="310"/>
      <c r="AX4" s="237"/>
    </row>
    <row r="5" spans="1:50" ht="16.5" customHeight="1" x14ac:dyDescent="0.25">
      <c r="A5" s="358"/>
      <c r="B5" s="359"/>
      <c r="C5" s="279" t="s">
        <v>538</v>
      </c>
      <c r="D5" s="281">
        <v>15</v>
      </c>
      <c r="E5" s="278" t="s">
        <v>539</v>
      </c>
      <c r="F5" s="281">
        <v>-1</v>
      </c>
      <c r="G5" s="279" t="s">
        <v>537</v>
      </c>
      <c r="H5" s="280">
        <v>0.31838300000000003</v>
      </c>
      <c r="J5" s="277"/>
      <c r="K5" s="334"/>
      <c r="L5" s="350" t="s">
        <v>577</v>
      </c>
      <c r="M5" s="351"/>
      <c r="N5" s="352"/>
      <c r="O5" s="346" t="s">
        <v>578</v>
      </c>
      <c r="P5" s="347"/>
      <c r="Q5" s="348"/>
      <c r="R5" s="346" t="s">
        <v>579</v>
      </c>
      <c r="S5" s="347"/>
      <c r="T5" s="348"/>
      <c r="V5" s="360"/>
      <c r="W5" s="361"/>
      <c r="X5" s="53"/>
      <c r="Y5" s="53"/>
      <c r="Z5" s="235"/>
      <c r="AA5" s="234"/>
      <c r="AB5" s="234"/>
      <c r="AC5" s="53"/>
      <c r="AD5" s="53"/>
      <c r="AE5" s="235"/>
      <c r="AF5" s="234"/>
      <c r="AG5" s="234"/>
      <c r="AH5" s="234"/>
      <c r="AI5" s="53"/>
      <c r="AJ5" s="241"/>
      <c r="AM5" s="237"/>
      <c r="AN5" s="248" t="s">
        <v>42</v>
      </c>
      <c r="AO5" s="306">
        <f>IF(AO4=0,1,1-EXP(-AO4))</f>
        <v>0.18126924692201818</v>
      </c>
      <c r="AP5" s="310"/>
      <c r="AQ5" s="310"/>
      <c r="AR5" s="308"/>
      <c r="AS5" s="311"/>
      <c r="AT5" s="310"/>
      <c r="AU5" s="311"/>
      <c r="AV5" s="311"/>
      <c r="AW5" s="310"/>
      <c r="AX5" s="237"/>
    </row>
    <row r="6" spans="1:50" ht="15.95" customHeight="1" x14ac:dyDescent="0.25">
      <c r="A6" s="353" t="s">
        <v>627</v>
      </c>
      <c r="B6" s="354"/>
      <c r="C6" s="354"/>
      <c r="D6" s="354"/>
      <c r="E6" s="354"/>
      <c r="F6" s="354"/>
      <c r="G6" s="354"/>
      <c r="H6" s="354"/>
      <c r="I6" s="354"/>
      <c r="J6" s="355"/>
      <c r="K6" s="334"/>
      <c r="L6" s="349"/>
      <c r="M6" s="347"/>
      <c r="N6" s="348"/>
      <c r="O6" s="349"/>
      <c r="P6" s="347"/>
      <c r="Q6" s="348"/>
      <c r="R6" s="349"/>
      <c r="S6" s="347"/>
      <c r="T6" s="348"/>
      <c r="V6" s="360" t="s">
        <v>229</v>
      </c>
      <c r="W6" s="361" t="s">
        <v>231</v>
      </c>
      <c r="X6" s="361" t="s">
        <v>227</v>
      </c>
      <c r="Y6" s="364" t="s">
        <v>228</v>
      </c>
      <c r="Z6" s="360" t="s">
        <v>233</v>
      </c>
      <c r="AA6" s="361" t="s">
        <v>230</v>
      </c>
      <c r="AB6" s="361" t="s">
        <v>232</v>
      </c>
      <c r="AC6" s="53"/>
      <c r="AD6" s="53"/>
      <c r="AE6" s="360" t="s">
        <v>234</v>
      </c>
      <c r="AF6" s="361" t="s">
        <v>131</v>
      </c>
      <c r="AG6" s="361" t="s">
        <v>132</v>
      </c>
      <c r="AH6" s="361" t="s">
        <v>133</v>
      </c>
      <c r="AI6" s="53"/>
      <c r="AJ6" s="241"/>
      <c r="AM6" s="237"/>
      <c r="AN6" s="239" t="s">
        <v>80</v>
      </c>
      <c r="AO6" s="306">
        <f>+(AO5*(AO4+AO4^2)-AO4^2)/(AO5^2)</f>
        <v>0.10665779045928063</v>
      </c>
      <c r="AP6" s="308"/>
      <c r="AQ6" s="308"/>
      <c r="AR6" s="308"/>
      <c r="AS6" s="311"/>
      <c r="AT6" s="310"/>
      <c r="AU6" s="310"/>
      <c r="AV6" s="311"/>
      <c r="AW6" s="310"/>
      <c r="AX6" s="237"/>
    </row>
    <row r="7" spans="1:50" ht="27.95" customHeight="1" x14ac:dyDescent="0.2">
      <c r="A7" s="34" t="s">
        <v>496</v>
      </c>
      <c r="B7" s="34" t="s">
        <v>516</v>
      </c>
      <c r="C7" s="34" t="s">
        <v>514</v>
      </c>
      <c r="D7" s="34" t="s">
        <v>515</v>
      </c>
      <c r="E7" s="34" t="s">
        <v>491</v>
      </c>
      <c r="F7" s="34" t="s">
        <v>492</v>
      </c>
      <c r="G7" s="34" t="s">
        <v>326</v>
      </c>
      <c r="H7" s="34" t="s">
        <v>327</v>
      </c>
      <c r="I7" s="34" t="s">
        <v>328</v>
      </c>
      <c r="J7" s="286" t="s">
        <v>329</v>
      </c>
      <c r="K7" s="334"/>
      <c r="L7" s="293" t="s">
        <v>580</v>
      </c>
      <c r="M7" s="294" t="s">
        <v>581</v>
      </c>
      <c r="N7" s="295" t="s">
        <v>582</v>
      </c>
      <c r="O7" s="296" t="s">
        <v>583</v>
      </c>
      <c r="P7" s="296" t="s">
        <v>581</v>
      </c>
      <c r="Q7" s="296" t="s">
        <v>584</v>
      </c>
      <c r="R7" s="297" t="s">
        <v>585</v>
      </c>
      <c r="S7" s="296" t="s">
        <v>581</v>
      </c>
      <c r="T7" s="298" t="s">
        <v>586</v>
      </c>
      <c r="V7" s="362"/>
      <c r="W7" s="363"/>
      <c r="X7" s="363"/>
      <c r="Y7" s="365"/>
      <c r="Z7" s="362"/>
      <c r="AA7" s="363"/>
      <c r="AB7" s="363"/>
      <c r="AC7" s="54" t="s">
        <v>227</v>
      </c>
      <c r="AD7" s="299" t="s">
        <v>83</v>
      </c>
      <c r="AE7" s="362"/>
      <c r="AF7" s="363"/>
      <c r="AG7" s="363"/>
      <c r="AH7" s="363"/>
      <c r="AI7" s="54" t="s">
        <v>135</v>
      </c>
      <c r="AJ7" s="299" t="s">
        <v>134</v>
      </c>
      <c r="AM7" s="237"/>
      <c r="AN7" s="248" t="s">
        <v>606</v>
      </c>
      <c r="AO7" s="248" t="s">
        <v>607</v>
      </c>
      <c r="AP7" s="248" t="s">
        <v>608</v>
      </c>
      <c r="AQ7" s="248" t="s">
        <v>40</v>
      </c>
      <c r="AR7" s="248" t="s">
        <v>41</v>
      </c>
      <c r="AS7" s="248" t="s">
        <v>43</v>
      </c>
      <c r="AT7" s="248" t="s">
        <v>151</v>
      </c>
      <c r="AU7" s="248" t="s">
        <v>78</v>
      </c>
      <c r="AV7" s="248" t="s">
        <v>79</v>
      </c>
      <c r="AW7" s="237"/>
      <c r="AX7" s="237"/>
    </row>
    <row r="8" spans="1:50" s="7" customFormat="1" ht="17.100000000000001" customHeight="1" x14ac:dyDescent="0.2">
      <c r="A8" s="287"/>
      <c r="B8" s="288"/>
      <c r="C8" s="289"/>
      <c r="D8" s="289"/>
      <c r="E8" s="289">
        <f>COUNT(H9:H99999)</f>
        <v>208</v>
      </c>
      <c r="F8" s="289"/>
      <c r="G8" s="289"/>
      <c r="H8" s="289">
        <f>+SUM(H9:H99999)</f>
        <v>847</v>
      </c>
      <c r="I8" s="289">
        <f>+SUM(I9:I99999)</f>
        <v>149</v>
      </c>
      <c r="J8" s="290">
        <f>+SUM(J9:J99999)</f>
        <v>17</v>
      </c>
      <c r="K8" s="40"/>
      <c r="L8" s="284">
        <f>SUMPRODUCT($N9:$N9999,I9:I9999)</f>
        <v>29</v>
      </c>
      <c r="M8" s="285">
        <f>SUMPRODUCT($N9:$N9999,J9:J9999)</f>
        <v>3</v>
      </c>
      <c r="N8" s="285">
        <f>SUM(N9:N99999)</f>
        <v>42</v>
      </c>
      <c r="O8" s="291">
        <f>SUMPRODUCT($Q9:$Q9999,I9:I9999)</f>
        <v>37</v>
      </c>
      <c r="P8" s="292">
        <f>SUMPRODUCT($Q9:$Q9999,J9:J9999)</f>
        <v>4</v>
      </c>
      <c r="Q8" s="292">
        <f>SUM(Q9:Q99999)</f>
        <v>37</v>
      </c>
      <c r="R8" s="291">
        <f>+SUMPRODUCT($T9:$T9999,I9:I9999)</f>
        <v>37</v>
      </c>
      <c r="S8" s="292">
        <f>+SUMPRODUCT($T9:$T9999,J9:J9999)</f>
        <v>17</v>
      </c>
      <c r="T8" s="305">
        <f>+SUM(T9:T99999)</f>
        <v>37</v>
      </c>
      <c r="U8" s="40"/>
      <c r="V8" s="300"/>
      <c r="W8" s="289">
        <f>SUM(W9:W99999)</f>
        <v>42.000000000000185</v>
      </c>
      <c r="X8" s="301">
        <f>-$H$5</f>
        <v>-0.31838300000000003</v>
      </c>
      <c r="Y8" s="289">
        <f>SUM(Y9:Y99999)</f>
        <v>42</v>
      </c>
      <c r="Z8" s="289"/>
      <c r="AA8" s="289"/>
      <c r="AB8" s="289">
        <f>SUM(AB9:AB99999)</f>
        <v>37.000000000000071</v>
      </c>
      <c r="AC8" s="302">
        <f>-$H$5</f>
        <v>-0.31838300000000003</v>
      </c>
      <c r="AD8" s="289">
        <f>SUM(AD9:AD99999)</f>
        <v>37</v>
      </c>
      <c r="AE8" s="289"/>
      <c r="AF8" s="289"/>
      <c r="AG8" s="289"/>
      <c r="AH8" s="289"/>
      <c r="AI8" s="302">
        <f>-$H$5</f>
        <v>-0.31838300000000003</v>
      </c>
      <c r="AJ8" s="290">
        <f>SUM(AJ9:AJ99999)</f>
        <v>37</v>
      </c>
      <c r="AK8" s="43"/>
      <c r="AM8" s="238"/>
      <c r="AN8" s="3">
        <f>+SUM(AN9:AN9999)</f>
        <v>42.576803359950347</v>
      </c>
      <c r="AO8" s="3">
        <f>+SUM(AO9:AO9999)</f>
        <v>213.80083889204712</v>
      </c>
      <c r="AP8" s="3">
        <f>+SUM(AP9:AP9999)</f>
        <v>155.09583195736724</v>
      </c>
      <c r="AS8" s="251">
        <f>+SUM(AS9:AS11)</f>
        <v>235.28761904761905</v>
      </c>
      <c r="AT8" s="251">
        <f>+SUM(AT9:AT11)</f>
        <v>62.23126547330827</v>
      </c>
      <c r="AU8" s="252">
        <f>IF(AS8=0,0,1-AT8/AS8)</f>
        <v>0.73550981677147442</v>
      </c>
      <c r="AV8" s="253">
        <f>IF(AS8=0,0,1-SQRT(AT8)/SQRT(AS8))</f>
        <v>0.48571390916288093</v>
      </c>
    </row>
    <row r="9" spans="1:50" ht="14.1" customHeight="1" x14ac:dyDescent="0.2">
      <c r="A9" s="240" t="s">
        <v>462</v>
      </c>
      <c r="B9" s="282" t="s">
        <v>330</v>
      </c>
      <c r="C9" s="32">
        <v>1</v>
      </c>
      <c r="D9" s="32">
        <v>1</v>
      </c>
      <c r="E9" s="32">
        <v>1</v>
      </c>
      <c r="F9" s="283" t="s">
        <v>44</v>
      </c>
      <c r="G9" s="283" t="s">
        <v>45</v>
      </c>
      <c r="H9" s="32">
        <v>2</v>
      </c>
      <c r="I9" s="32">
        <v>1</v>
      </c>
      <c r="J9" s="65">
        <v>1</v>
      </c>
      <c r="K9" s="229"/>
      <c r="L9" s="303">
        <v>1</v>
      </c>
      <c r="M9" s="304">
        <f t="shared" ref="M9:M72" si="0">+W9</f>
        <v>0.20547945205479451</v>
      </c>
      <c r="N9" s="303" t="str">
        <f t="shared" ref="N9:N72" si="1">+IF(Y9=1,Y9,"")</f>
        <v/>
      </c>
      <c r="O9" s="303">
        <f>+Z9</f>
        <v>1</v>
      </c>
      <c r="P9" s="304">
        <f>+AB9</f>
        <v>0.29411764705882354</v>
      </c>
      <c r="Q9" s="303" t="str">
        <f>IF(AD9=1,AD9,"")</f>
        <v/>
      </c>
      <c r="R9" s="303">
        <f>+AE9</f>
        <v>2</v>
      </c>
      <c r="S9" s="304">
        <f>+AH9</f>
        <v>1</v>
      </c>
      <c r="T9" s="74">
        <f>IF(AJ9=1,AJ9,"")</f>
        <v>1</v>
      </c>
      <c r="V9" s="55">
        <f>IF(B9=B8,V8,COUNTIFS(B:B,B9,H:H,"&gt;0"))</f>
        <v>73</v>
      </c>
      <c r="W9" s="233">
        <f t="shared" ref="W9:W72" si="2">+MIN(1,$D$5/V9)</f>
        <v>0.20547945205479451</v>
      </c>
      <c r="X9" s="231">
        <f>+W9+X8</f>
        <v>-0.11290354794520552</v>
      </c>
      <c r="Y9" s="232">
        <f>+INT(X9)-INT(X8)</f>
        <v>0</v>
      </c>
      <c r="Z9" s="232">
        <f>1*(I9&gt;0)</f>
        <v>1</v>
      </c>
      <c r="AA9" s="232">
        <f t="shared" ref="AA9:AA72" si="3">IF(B9=B8,AA8,COUNTIFS(B:B,B9,I:I,"&gt;0"))</f>
        <v>51</v>
      </c>
      <c r="AB9" s="233">
        <f t="shared" ref="AB9:AB72" si="4">+I9*MIN(1,$D$5/AA9)</f>
        <v>0.29411764705882354</v>
      </c>
      <c r="AC9" s="231">
        <f>+AB9+AC8</f>
        <v>-2.4265352941176488E-2</v>
      </c>
      <c r="AD9" s="232">
        <f>+INT(AC9)-INT(AC8)</f>
        <v>0</v>
      </c>
      <c r="AE9" s="232">
        <f>+(J9&gt;0)+(I9&gt;0)</f>
        <v>2</v>
      </c>
      <c r="AF9" s="232">
        <f t="shared" ref="AF9:AF72" si="5">+COUNTIFS(B:B,B9,AE:AE,AE9)</f>
        <v>6</v>
      </c>
      <c r="AG9" s="232">
        <f t="shared" ref="AG9:AG72" si="6">IF(OR(AF9=0,AE9=0),0,IF(AE9=2,ROUND(MIN($D$5*(AF9^$F$5)/(AF9^$F$5+(AA9-AF9)^$F$5),AF9),0),IF(AF9=0,0,MIN($D$5,AA9)-IF(AA9=AF9,0,ROUND(MIN((AE9&gt;0)*$D$5*((AA9-AF9)^$F$5)/((AA9-AF9)^$F$5+AF9^$F$5),AA9-AF9),0)))))</f>
        <v>6</v>
      </c>
      <c r="AH9" s="236">
        <f>+MIN(1,AG9/AF9)</f>
        <v>1</v>
      </c>
      <c r="AI9" s="231">
        <f>+AH9+AI8</f>
        <v>0.68161699999999992</v>
      </c>
      <c r="AJ9" s="232">
        <f>+INT(AI9)-INT(AI8)</f>
        <v>1</v>
      </c>
      <c r="AL9" s="3" t="str">
        <f t="shared" ref="AL9:AL14" si="7">IF(AE9=1,IF(AF9=0,0,MIN($D$5,AA9)-IF(AA9=AF9,0,ROUND(MIN((AE9&gt;0)*$D$5*((AA9-AF9)^$F$5)/((AA9-AF9)^$F$5+AF9^$F$5),AA9-AF9),0))),"")</f>
        <v/>
      </c>
      <c r="AM9" s="239" t="s">
        <v>603</v>
      </c>
      <c r="AN9" s="3">
        <f>+SUMIF($B:$B,$AM9,Q:Q)</f>
        <v>15</v>
      </c>
      <c r="AO9" s="3">
        <f>+COUNTIF($B:$B,$AM9)</f>
        <v>73</v>
      </c>
      <c r="AP9" s="3">
        <f>+COUNTIFS($B:$B,$AM9,I:I,"&gt;0")</f>
        <v>51</v>
      </c>
      <c r="AQ9" s="249">
        <f>+(1-$AN9/AO9)</f>
        <v>0.79452054794520555</v>
      </c>
      <c r="AR9" s="249">
        <f>+(1-$AN9/AP9)</f>
        <v>0.70588235294117641</v>
      </c>
      <c r="AS9" s="250">
        <f>+(AO9^2)*AQ9*$AO$4/$AN9</f>
        <v>56.45333333333334</v>
      </c>
      <c r="AT9" s="250">
        <f>+(AP9^2)*AR9*$AO$6/$AN9</f>
        <v>13.054913552215947</v>
      </c>
      <c r="AU9" s="252">
        <f t="shared" ref="AU9:AU11" si="8">IF(AS9=0,0,1-AT9/AS9)</f>
        <v>0.76874857902309968</v>
      </c>
      <c r="AV9" s="253">
        <f t="shared" ref="AV9:AV11" si="9">IF(AS9=0,0,1-SQRT(AT9)/SQRT(AS9))</f>
        <v>0.51911392099905784</v>
      </c>
    </row>
    <row r="10" spans="1:50" ht="14.1" customHeight="1" x14ac:dyDescent="0.2">
      <c r="A10" s="240" t="s">
        <v>462</v>
      </c>
      <c r="B10" s="282" t="s">
        <v>330</v>
      </c>
      <c r="C10" s="32">
        <f>+C9+1</f>
        <v>2</v>
      </c>
      <c r="D10" s="32">
        <f>1+D9</f>
        <v>2</v>
      </c>
      <c r="E10" s="32">
        <f>1+E9</f>
        <v>2</v>
      </c>
      <c r="F10" s="283" t="s">
        <v>44</v>
      </c>
      <c r="G10" s="283" t="s">
        <v>45</v>
      </c>
      <c r="H10" s="32">
        <v>4</v>
      </c>
      <c r="I10" s="32">
        <v>1</v>
      </c>
      <c r="J10" s="65">
        <v>1</v>
      </c>
      <c r="K10" s="229"/>
      <c r="L10" s="303">
        <v>1</v>
      </c>
      <c r="M10" s="304">
        <f t="shared" si="0"/>
        <v>0.20547945205479451</v>
      </c>
      <c r="N10" s="303">
        <f t="shared" si="1"/>
        <v>1</v>
      </c>
      <c r="O10" s="303">
        <f t="shared" ref="O10:O73" si="10">+Z10</f>
        <v>1</v>
      </c>
      <c r="P10" s="304">
        <f t="shared" ref="P10:P73" si="11">+AB10</f>
        <v>0.29411764705882354</v>
      </c>
      <c r="Q10" s="303">
        <f t="shared" ref="Q10:Q73" si="12">IF(AD10=1,AD10,"")</f>
        <v>1</v>
      </c>
      <c r="R10" s="303">
        <f t="shared" ref="R10:R73" si="13">+AE10</f>
        <v>2</v>
      </c>
      <c r="S10" s="304">
        <f t="shared" ref="S10:S73" si="14">+AH10</f>
        <v>1</v>
      </c>
      <c r="T10" s="74">
        <f t="shared" ref="T10:T73" si="15">IF(AJ10=1,AJ10,"")</f>
        <v>1</v>
      </c>
      <c r="V10" s="55">
        <f t="shared" ref="V10:V73" si="16">+IF(B10=B9,V9,COUNTIFS(B:B,B10,H:H,"&gt;0"))</f>
        <v>73</v>
      </c>
      <c r="W10" s="233">
        <f t="shared" si="2"/>
        <v>0.20547945205479451</v>
      </c>
      <c r="X10" s="231">
        <f t="shared" ref="X10:X73" si="17">+W10+X9</f>
        <v>9.2575904109588991E-2</v>
      </c>
      <c r="Y10" s="232">
        <f t="shared" ref="Y10:Y73" si="18">+INT(X10)-INT(X9)</f>
        <v>1</v>
      </c>
      <c r="Z10" s="232">
        <f t="shared" ref="Z10:Z73" si="19">1*(I10&gt;0)</f>
        <v>1</v>
      </c>
      <c r="AA10" s="232">
        <f t="shared" si="3"/>
        <v>51</v>
      </c>
      <c r="AB10" s="233">
        <f t="shared" si="4"/>
        <v>0.29411764705882354</v>
      </c>
      <c r="AC10" s="231">
        <f t="shared" ref="AC10:AC73" si="20">+AB10+AC9</f>
        <v>0.26985229411764705</v>
      </c>
      <c r="AD10" s="232">
        <f t="shared" ref="AD10:AD73" si="21">+INT(AC10)-INT(AC9)</f>
        <v>1</v>
      </c>
      <c r="AE10" s="232">
        <f t="shared" ref="AE10:AE73" si="22">+(J10&gt;0)+(I10&gt;0)</f>
        <v>2</v>
      </c>
      <c r="AF10" s="232">
        <f t="shared" si="5"/>
        <v>6</v>
      </c>
      <c r="AG10" s="232">
        <f t="shared" si="6"/>
        <v>6</v>
      </c>
      <c r="AH10" s="236">
        <f t="shared" ref="AH10:AH73" si="23">+MIN(1,AG10/AF10)</f>
        <v>1</v>
      </c>
      <c r="AI10" s="231">
        <f t="shared" ref="AI10:AI73" si="24">+AH10+AI9</f>
        <v>1.6816169999999999</v>
      </c>
      <c r="AJ10" s="232">
        <f t="shared" ref="AJ10:AJ73" si="25">+INT(AI10)-INT(AI9)</f>
        <v>1</v>
      </c>
      <c r="AL10" s="3" t="str">
        <f t="shared" si="7"/>
        <v/>
      </c>
      <c r="AM10" s="239" t="s">
        <v>604</v>
      </c>
      <c r="AN10" s="3">
        <f>+SUMIF($B:$B,$AM10,Q:Q)</f>
        <v>7</v>
      </c>
      <c r="AO10" s="3">
        <f>+COUNTIF($B:$B,$AM10)</f>
        <v>12</v>
      </c>
      <c r="AP10" s="3">
        <f>+COUNTIFS($B:$B,$AM10,I:I,"&gt;0")</f>
        <v>7</v>
      </c>
      <c r="AQ10" s="249">
        <f t="shared" ref="AQ10:AQ11" si="26">+(1-$AN10/AO10)</f>
        <v>0.41666666666666663</v>
      </c>
      <c r="AR10" s="249">
        <f t="shared" ref="AR10:AR11" si="27">+(1-$AN10/AP10)</f>
        <v>0</v>
      </c>
      <c r="AS10" s="250">
        <f t="shared" ref="AS10:AS11" si="28">+(AO10^2)*AQ10*$AO$4/$AN10</f>
        <v>1.7142857142857142</v>
      </c>
      <c r="AT10" s="250">
        <f t="shared" ref="AT10:AT11" si="29">+(AP10^2)*AR10*$AO$6/$AN10</f>
        <v>0</v>
      </c>
      <c r="AU10" s="252">
        <f t="shared" si="8"/>
        <v>1</v>
      </c>
      <c r="AV10" s="253">
        <f t="shared" si="9"/>
        <v>1</v>
      </c>
    </row>
    <row r="11" spans="1:50" ht="14.1" customHeight="1" x14ac:dyDescent="0.2">
      <c r="A11" s="240" t="s">
        <v>462</v>
      </c>
      <c r="B11" s="282" t="s">
        <v>330</v>
      </c>
      <c r="C11" s="32">
        <f t="shared" ref="C11:C74" si="30">+C10+1</f>
        <v>3</v>
      </c>
      <c r="D11" s="32">
        <f t="shared" ref="D11:D74" si="31">1+D10</f>
        <v>3</v>
      </c>
      <c r="E11" s="32">
        <f t="shared" ref="E11:E74" si="32">1+E10</f>
        <v>3</v>
      </c>
      <c r="F11" s="283" t="s">
        <v>44</v>
      </c>
      <c r="G11" s="283" t="s">
        <v>45</v>
      </c>
      <c r="H11" s="32">
        <v>7</v>
      </c>
      <c r="I11" s="32">
        <v>1</v>
      </c>
      <c r="J11" s="65">
        <v>1</v>
      </c>
      <c r="K11" s="229"/>
      <c r="L11" s="303">
        <v>1</v>
      </c>
      <c r="M11" s="304">
        <f t="shared" si="0"/>
        <v>0.20547945205479451</v>
      </c>
      <c r="N11" s="303" t="str">
        <f t="shared" si="1"/>
        <v/>
      </c>
      <c r="O11" s="303">
        <f t="shared" si="10"/>
        <v>1</v>
      </c>
      <c r="P11" s="304">
        <f t="shared" si="11"/>
        <v>0.29411764705882354</v>
      </c>
      <c r="Q11" s="303" t="str">
        <f t="shared" si="12"/>
        <v/>
      </c>
      <c r="R11" s="303">
        <f t="shared" si="13"/>
        <v>2</v>
      </c>
      <c r="S11" s="304">
        <f t="shared" si="14"/>
        <v>1</v>
      </c>
      <c r="T11" s="74">
        <f t="shared" si="15"/>
        <v>1</v>
      </c>
      <c r="V11" s="55">
        <f t="shared" si="16"/>
        <v>73</v>
      </c>
      <c r="W11" s="233">
        <f t="shared" si="2"/>
        <v>0.20547945205479451</v>
      </c>
      <c r="X11" s="231">
        <f t="shared" si="17"/>
        <v>0.2980553561643835</v>
      </c>
      <c r="Y11" s="232">
        <f t="shared" si="18"/>
        <v>0</v>
      </c>
      <c r="Z11" s="232">
        <f t="shared" si="19"/>
        <v>1</v>
      </c>
      <c r="AA11" s="232">
        <f t="shared" si="3"/>
        <v>51</v>
      </c>
      <c r="AB11" s="233">
        <f t="shared" si="4"/>
        <v>0.29411764705882354</v>
      </c>
      <c r="AC11" s="231">
        <f t="shared" si="20"/>
        <v>0.56396994117647059</v>
      </c>
      <c r="AD11" s="232">
        <f t="shared" si="21"/>
        <v>0</v>
      </c>
      <c r="AE11" s="232">
        <f t="shared" si="22"/>
        <v>2</v>
      </c>
      <c r="AF11" s="232">
        <f t="shared" si="5"/>
        <v>6</v>
      </c>
      <c r="AG11" s="232">
        <f t="shared" si="6"/>
        <v>6</v>
      </c>
      <c r="AH11" s="236">
        <f t="shared" si="23"/>
        <v>1</v>
      </c>
      <c r="AI11" s="231">
        <f t="shared" si="24"/>
        <v>2.6816170000000001</v>
      </c>
      <c r="AJ11" s="232">
        <f t="shared" si="25"/>
        <v>1</v>
      </c>
      <c r="AL11" s="3" t="str">
        <f t="shared" si="7"/>
        <v/>
      </c>
      <c r="AM11" s="239" t="s">
        <v>605</v>
      </c>
      <c r="AN11" s="3">
        <f>+SUMIF($B:$B,$AM11,Q:Q)</f>
        <v>15</v>
      </c>
      <c r="AO11" s="3">
        <f>+COUNTIF($B:$B,$AM11)</f>
        <v>123</v>
      </c>
      <c r="AP11" s="3">
        <f>+COUNTIFS($B:$B,$AM11,I:I,"&gt;0")</f>
        <v>91</v>
      </c>
      <c r="AQ11" s="249">
        <f t="shared" si="26"/>
        <v>0.87804878048780488</v>
      </c>
      <c r="AR11" s="249">
        <f t="shared" si="27"/>
        <v>0.8351648351648352</v>
      </c>
      <c r="AS11" s="250">
        <f t="shared" si="28"/>
        <v>177.12</v>
      </c>
      <c r="AT11" s="250">
        <f t="shared" si="29"/>
        <v>49.176351921092319</v>
      </c>
      <c r="AU11" s="252">
        <f t="shared" si="8"/>
        <v>0.72235573666953301</v>
      </c>
      <c r="AV11" s="253">
        <f t="shared" si="9"/>
        <v>0.47308040145533869</v>
      </c>
    </row>
    <row r="12" spans="1:50" ht="14.1" customHeight="1" x14ac:dyDescent="0.2">
      <c r="A12" s="240" t="s">
        <v>462</v>
      </c>
      <c r="B12" s="282" t="s">
        <v>330</v>
      </c>
      <c r="C12" s="32">
        <v>3</v>
      </c>
      <c r="D12" s="32">
        <v>3</v>
      </c>
      <c r="E12" s="32">
        <f t="shared" si="32"/>
        <v>4</v>
      </c>
      <c r="F12" s="283" t="s">
        <v>44</v>
      </c>
      <c r="G12" s="283" t="s">
        <v>45</v>
      </c>
      <c r="H12" s="32">
        <v>2</v>
      </c>
      <c r="I12" s="32">
        <v>1</v>
      </c>
      <c r="J12" s="65">
        <v>1</v>
      </c>
      <c r="K12" s="229"/>
      <c r="L12" s="303">
        <v>1</v>
      </c>
      <c r="M12" s="304">
        <f t="shared" si="0"/>
        <v>0.20547945205479451</v>
      </c>
      <c r="N12" s="303" t="str">
        <f t="shared" si="1"/>
        <v/>
      </c>
      <c r="O12" s="303">
        <f t="shared" si="10"/>
        <v>1</v>
      </c>
      <c r="P12" s="304">
        <f t="shared" si="11"/>
        <v>0.29411764705882354</v>
      </c>
      <c r="Q12" s="303" t="str">
        <f t="shared" si="12"/>
        <v/>
      </c>
      <c r="R12" s="303">
        <f t="shared" si="13"/>
        <v>2</v>
      </c>
      <c r="S12" s="304">
        <f t="shared" si="14"/>
        <v>1</v>
      </c>
      <c r="T12" s="74">
        <f t="shared" si="15"/>
        <v>1</v>
      </c>
      <c r="V12" s="55">
        <f t="shared" si="16"/>
        <v>73</v>
      </c>
      <c r="W12" s="233">
        <f t="shared" si="2"/>
        <v>0.20547945205479451</v>
      </c>
      <c r="X12" s="231">
        <f t="shared" si="17"/>
        <v>0.50353480821917795</v>
      </c>
      <c r="Y12" s="232">
        <f t="shared" si="18"/>
        <v>0</v>
      </c>
      <c r="Z12" s="232">
        <f t="shared" si="19"/>
        <v>1</v>
      </c>
      <c r="AA12" s="232">
        <f t="shared" si="3"/>
        <v>51</v>
      </c>
      <c r="AB12" s="233">
        <f t="shared" si="4"/>
        <v>0.29411764705882354</v>
      </c>
      <c r="AC12" s="231">
        <f t="shared" si="20"/>
        <v>0.85808758823529407</v>
      </c>
      <c r="AD12" s="232">
        <f t="shared" si="21"/>
        <v>0</v>
      </c>
      <c r="AE12" s="232">
        <f t="shared" si="22"/>
        <v>2</v>
      </c>
      <c r="AF12" s="232">
        <f t="shared" si="5"/>
        <v>6</v>
      </c>
      <c r="AG12" s="232">
        <f t="shared" si="6"/>
        <v>6</v>
      </c>
      <c r="AH12" s="236">
        <f t="shared" si="23"/>
        <v>1</v>
      </c>
      <c r="AI12" s="231">
        <f t="shared" si="24"/>
        <v>3.6816170000000001</v>
      </c>
      <c r="AJ12" s="232">
        <f t="shared" si="25"/>
        <v>1</v>
      </c>
      <c r="AL12" s="3" t="str">
        <f t="shared" si="7"/>
        <v/>
      </c>
    </row>
    <row r="13" spans="1:50" ht="14.1" customHeight="1" x14ac:dyDescent="0.2">
      <c r="A13" s="240" t="s">
        <v>462</v>
      </c>
      <c r="B13" s="282" t="s">
        <v>330</v>
      </c>
      <c r="C13" s="32">
        <f t="shared" si="30"/>
        <v>4</v>
      </c>
      <c r="D13" s="32">
        <f t="shared" si="31"/>
        <v>4</v>
      </c>
      <c r="E13" s="32">
        <f t="shared" si="32"/>
        <v>5</v>
      </c>
      <c r="F13" s="283" t="s">
        <v>44</v>
      </c>
      <c r="G13" s="283" t="s">
        <v>45</v>
      </c>
      <c r="H13" s="32">
        <v>5</v>
      </c>
      <c r="I13" s="32">
        <v>1</v>
      </c>
      <c r="J13" s="65">
        <v>1</v>
      </c>
      <c r="K13" s="229"/>
      <c r="L13" s="303">
        <v>1</v>
      </c>
      <c r="M13" s="304">
        <f t="shared" si="0"/>
        <v>0.20547945205479451</v>
      </c>
      <c r="N13" s="303" t="str">
        <f t="shared" si="1"/>
        <v/>
      </c>
      <c r="O13" s="303">
        <f t="shared" si="10"/>
        <v>1</v>
      </c>
      <c r="P13" s="304">
        <f t="shared" si="11"/>
        <v>0.29411764705882354</v>
      </c>
      <c r="Q13" s="303">
        <f t="shared" si="12"/>
        <v>1</v>
      </c>
      <c r="R13" s="303">
        <f t="shared" si="13"/>
        <v>2</v>
      </c>
      <c r="S13" s="304">
        <f t="shared" si="14"/>
        <v>1</v>
      </c>
      <c r="T13" s="74">
        <f t="shared" si="15"/>
        <v>1</v>
      </c>
      <c r="V13" s="55">
        <f t="shared" si="16"/>
        <v>73</v>
      </c>
      <c r="W13" s="233">
        <f t="shared" si="2"/>
        <v>0.20547945205479451</v>
      </c>
      <c r="X13" s="231">
        <f t="shared" si="17"/>
        <v>0.70901426027397241</v>
      </c>
      <c r="Y13" s="232">
        <f t="shared" si="18"/>
        <v>0</v>
      </c>
      <c r="Z13" s="232">
        <f t="shared" si="19"/>
        <v>1</v>
      </c>
      <c r="AA13" s="232">
        <f t="shared" si="3"/>
        <v>51</v>
      </c>
      <c r="AB13" s="233">
        <f t="shared" si="4"/>
        <v>0.29411764705882354</v>
      </c>
      <c r="AC13" s="231">
        <f t="shared" si="20"/>
        <v>1.1522052352941177</v>
      </c>
      <c r="AD13" s="232">
        <f t="shared" si="21"/>
        <v>1</v>
      </c>
      <c r="AE13" s="232">
        <f t="shared" si="22"/>
        <v>2</v>
      </c>
      <c r="AF13" s="232">
        <f t="shared" si="5"/>
        <v>6</v>
      </c>
      <c r="AG13" s="232">
        <f t="shared" si="6"/>
        <v>6</v>
      </c>
      <c r="AH13" s="236">
        <f t="shared" si="23"/>
        <v>1</v>
      </c>
      <c r="AI13" s="231">
        <f t="shared" si="24"/>
        <v>4.6816170000000001</v>
      </c>
      <c r="AJ13" s="232">
        <f t="shared" si="25"/>
        <v>1</v>
      </c>
      <c r="AL13" s="3" t="str">
        <f t="shared" si="7"/>
        <v/>
      </c>
    </row>
    <row r="14" spans="1:50" ht="14.1" customHeight="1" x14ac:dyDescent="0.25">
      <c r="A14" s="240" t="s">
        <v>462</v>
      </c>
      <c r="B14" s="282" t="s">
        <v>330</v>
      </c>
      <c r="C14" s="32">
        <v>5</v>
      </c>
      <c r="D14" s="32">
        <f t="shared" si="31"/>
        <v>5</v>
      </c>
      <c r="E14" s="32">
        <f t="shared" si="32"/>
        <v>6</v>
      </c>
      <c r="F14" s="283" t="s">
        <v>44</v>
      </c>
      <c r="G14" s="283" t="s">
        <v>45</v>
      </c>
      <c r="H14" s="32">
        <v>6</v>
      </c>
      <c r="I14" s="32">
        <v>1</v>
      </c>
      <c r="J14" s="65">
        <v>1</v>
      </c>
      <c r="K14" s="229"/>
      <c r="L14" s="303">
        <v>1</v>
      </c>
      <c r="M14" s="304">
        <f t="shared" si="0"/>
        <v>0.20547945205479451</v>
      </c>
      <c r="N14" s="303" t="str">
        <f t="shared" si="1"/>
        <v/>
      </c>
      <c r="O14" s="303">
        <f t="shared" si="10"/>
        <v>1</v>
      </c>
      <c r="P14" s="304">
        <f t="shared" si="11"/>
        <v>0.29411764705882354</v>
      </c>
      <c r="Q14" s="303" t="str">
        <f t="shared" si="12"/>
        <v/>
      </c>
      <c r="R14" s="303">
        <f t="shared" si="13"/>
        <v>2</v>
      </c>
      <c r="S14" s="304">
        <f t="shared" si="14"/>
        <v>1</v>
      </c>
      <c r="T14" s="74">
        <f t="shared" si="15"/>
        <v>1</v>
      </c>
      <c r="V14" s="55">
        <f t="shared" si="16"/>
        <v>73</v>
      </c>
      <c r="W14" s="233">
        <f t="shared" si="2"/>
        <v>0.20547945205479451</v>
      </c>
      <c r="X14" s="231">
        <f t="shared" si="17"/>
        <v>0.91449371232876686</v>
      </c>
      <c r="Y14" s="232">
        <f t="shared" si="18"/>
        <v>0</v>
      </c>
      <c r="Z14" s="232">
        <f t="shared" si="19"/>
        <v>1</v>
      </c>
      <c r="AA14" s="232">
        <f t="shared" si="3"/>
        <v>51</v>
      </c>
      <c r="AB14" s="233">
        <f t="shared" si="4"/>
        <v>0.29411764705882354</v>
      </c>
      <c r="AC14" s="231">
        <f t="shared" si="20"/>
        <v>1.4463228823529413</v>
      </c>
      <c r="AD14" s="232">
        <f t="shared" si="21"/>
        <v>0</v>
      </c>
      <c r="AE14" s="232">
        <f t="shared" si="22"/>
        <v>2</v>
      </c>
      <c r="AF14" s="232">
        <f t="shared" si="5"/>
        <v>6</v>
      </c>
      <c r="AG14" s="232">
        <f t="shared" si="6"/>
        <v>6</v>
      </c>
      <c r="AH14" s="236">
        <f t="shared" si="23"/>
        <v>1</v>
      </c>
      <c r="AI14" s="231">
        <f t="shared" si="24"/>
        <v>5.6816170000000001</v>
      </c>
      <c r="AJ14" s="232">
        <f t="shared" si="25"/>
        <v>1</v>
      </c>
      <c r="AL14" s="3" t="str">
        <f t="shared" si="7"/>
        <v/>
      </c>
      <c r="AM14" s="384" t="s">
        <v>570</v>
      </c>
      <c r="AN14" s="385"/>
      <c r="AO14" s="385"/>
      <c r="AP14" s="385"/>
      <c r="AQ14" s="385"/>
      <c r="AR14" s="385"/>
      <c r="AS14" s="385"/>
      <c r="AT14" s="385"/>
      <c r="AU14" s="385"/>
      <c r="AV14" s="385"/>
      <c r="AW14" s="385"/>
      <c r="AX14" s="385"/>
    </row>
    <row r="15" spans="1:50" ht="14.1" customHeight="1" x14ac:dyDescent="0.2">
      <c r="A15" s="240" t="s">
        <v>462</v>
      </c>
      <c r="B15" s="282" t="s">
        <v>330</v>
      </c>
      <c r="C15" s="32">
        <v>5</v>
      </c>
      <c r="D15" s="32">
        <f t="shared" si="31"/>
        <v>6</v>
      </c>
      <c r="E15" s="32">
        <f t="shared" si="32"/>
        <v>7</v>
      </c>
      <c r="F15" s="283" t="s">
        <v>44</v>
      </c>
      <c r="G15" s="283" t="s">
        <v>45</v>
      </c>
      <c r="H15" s="32">
        <v>5</v>
      </c>
      <c r="I15" s="32">
        <v>1</v>
      </c>
      <c r="J15" s="65">
        <v>0</v>
      </c>
      <c r="K15" s="229"/>
      <c r="L15" s="303">
        <v>1</v>
      </c>
      <c r="M15" s="304">
        <f t="shared" si="0"/>
        <v>0.20547945205479451</v>
      </c>
      <c r="N15" s="303">
        <f t="shared" si="1"/>
        <v>1</v>
      </c>
      <c r="O15" s="303">
        <f t="shared" si="10"/>
        <v>1</v>
      </c>
      <c r="P15" s="304">
        <f t="shared" si="11"/>
        <v>0.29411764705882354</v>
      </c>
      <c r="Q15" s="303" t="str">
        <f t="shared" si="12"/>
        <v/>
      </c>
      <c r="R15" s="303">
        <f t="shared" si="13"/>
        <v>1</v>
      </c>
      <c r="S15" s="304">
        <f t="shared" si="14"/>
        <v>0.2</v>
      </c>
      <c r="T15" s="74" t="str">
        <f t="shared" si="15"/>
        <v/>
      </c>
      <c r="V15" s="55">
        <f t="shared" si="16"/>
        <v>73</v>
      </c>
      <c r="W15" s="233">
        <f t="shared" si="2"/>
        <v>0.20547945205479451</v>
      </c>
      <c r="X15" s="231">
        <f t="shared" si="17"/>
        <v>1.1199731643835613</v>
      </c>
      <c r="Y15" s="232">
        <f t="shared" si="18"/>
        <v>1</v>
      </c>
      <c r="Z15" s="232">
        <f t="shared" si="19"/>
        <v>1</v>
      </c>
      <c r="AA15" s="232">
        <f t="shared" si="3"/>
        <v>51</v>
      </c>
      <c r="AB15" s="233">
        <f t="shared" si="4"/>
        <v>0.29411764705882354</v>
      </c>
      <c r="AC15" s="231">
        <f t="shared" si="20"/>
        <v>1.7404405294117649</v>
      </c>
      <c r="AD15" s="232">
        <f t="shared" si="21"/>
        <v>0</v>
      </c>
      <c r="AE15" s="232">
        <f t="shared" si="22"/>
        <v>1</v>
      </c>
      <c r="AF15" s="232">
        <f t="shared" si="5"/>
        <v>45</v>
      </c>
      <c r="AG15" s="232">
        <f t="shared" si="6"/>
        <v>9</v>
      </c>
      <c r="AH15" s="236">
        <f t="shared" si="23"/>
        <v>0.2</v>
      </c>
      <c r="AI15" s="231">
        <f t="shared" si="24"/>
        <v>5.8816170000000003</v>
      </c>
      <c r="AJ15" s="232">
        <f t="shared" si="25"/>
        <v>0</v>
      </c>
      <c r="AM15" s="370" t="s">
        <v>567</v>
      </c>
      <c r="AN15" s="370"/>
      <c r="AO15" s="370"/>
      <c r="AP15" s="370"/>
      <c r="AQ15" s="370"/>
      <c r="AR15" s="370"/>
      <c r="AS15" s="370"/>
      <c r="AT15" s="370"/>
      <c r="AU15" s="370"/>
      <c r="AV15" s="370"/>
      <c r="AW15" s="370"/>
      <c r="AX15" s="370"/>
    </row>
    <row r="16" spans="1:50" ht="14.1" customHeight="1" x14ac:dyDescent="0.2">
      <c r="A16" s="240" t="s">
        <v>147</v>
      </c>
      <c r="B16" s="282" t="s">
        <v>330</v>
      </c>
      <c r="C16" s="32">
        <f t="shared" si="30"/>
        <v>6</v>
      </c>
      <c r="D16" s="32">
        <f t="shared" si="31"/>
        <v>7</v>
      </c>
      <c r="E16" s="32">
        <f t="shared" si="32"/>
        <v>8</v>
      </c>
      <c r="F16" s="283" t="s">
        <v>44</v>
      </c>
      <c r="G16" s="283" t="s">
        <v>45</v>
      </c>
      <c r="H16" s="32">
        <v>3</v>
      </c>
      <c r="I16" s="32">
        <v>1</v>
      </c>
      <c r="J16" s="65">
        <v>0</v>
      </c>
      <c r="K16" s="229"/>
      <c r="L16" s="303">
        <v>1</v>
      </c>
      <c r="M16" s="304">
        <f t="shared" si="0"/>
        <v>0.20547945205479451</v>
      </c>
      <c r="N16" s="303" t="str">
        <f t="shared" si="1"/>
        <v/>
      </c>
      <c r="O16" s="303">
        <f t="shared" si="10"/>
        <v>1</v>
      </c>
      <c r="P16" s="304">
        <f t="shared" si="11"/>
        <v>0.29411764705882354</v>
      </c>
      <c r="Q16" s="303">
        <f t="shared" si="12"/>
        <v>1</v>
      </c>
      <c r="R16" s="303">
        <f t="shared" si="13"/>
        <v>1</v>
      </c>
      <c r="S16" s="304">
        <f t="shared" si="14"/>
        <v>0.2</v>
      </c>
      <c r="T16" s="74">
        <f t="shared" si="15"/>
        <v>1</v>
      </c>
      <c r="V16" s="55">
        <f t="shared" si="16"/>
        <v>73</v>
      </c>
      <c r="W16" s="233">
        <f t="shared" si="2"/>
        <v>0.20547945205479451</v>
      </c>
      <c r="X16" s="231">
        <f t="shared" si="17"/>
        <v>1.3254526164383558</v>
      </c>
      <c r="Y16" s="232">
        <f t="shared" si="18"/>
        <v>0</v>
      </c>
      <c r="Z16" s="232">
        <f t="shared" si="19"/>
        <v>1</v>
      </c>
      <c r="AA16" s="232">
        <f t="shared" si="3"/>
        <v>51</v>
      </c>
      <c r="AB16" s="233">
        <f t="shared" si="4"/>
        <v>0.29411764705882354</v>
      </c>
      <c r="AC16" s="231">
        <f t="shared" si="20"/>
        <v>2.0345581764705885</v>
      </c>
      <c r="AD16" s="232">
        <f t="shared" si="21"/>
        <v>1</v>
      </c>
      <c r="AE16" s="232">
        <f t="shared" si="22"/>
        <v>1</v>
      </c>
      <c r="AF16" s="232">
        <f t="shared" si="5"/>
        <v>45</v>
      </c>
      <c r="AG16" s="232">
        <f t="shared" si="6"/>
        <v>9</v>
      </c>
      <c r="AH16" s="236">
        <f t="shared" si="23"/>
        <v>0.2</v>
      </c>
      <c r="AI16" s="231">
        <f t="shared" si="24"/>
        <v>6.0816170000000005</v>
      </c>
      <c r="AJ16" s="232">
        <f t="shared" si="25"/>
        <v>1</v>
      </c>
      <c r="AM16" s="366" t="s">
        <v>569</v>
      </c>
      <c r="AN16" s="366"/>
      <c r="AO16" s="366"/>
      <c r="AP16" s="366"/>
      <c r="AQ16" s="366"/>
      <c r="AR16" s="366"/>
      <c r="AS16" s="366"/>
      <c r="AT16" s="366"/>
      <c r="AU16" s="366"/>
      <c r="AV16" s="366"/>
      <c r="AW16" s="366"/>
      <c r="AX16" s="366"/>
    </row>
    <row r="17" spans="1:50" ht="14.1" customHeight="1" x14ac:dyDescent="0.2">
      <c r="A17" s="240" t="s">
        <v>462</v>
      </c>
      <c r="B17" s="282" t="s">
        <v>330</v>
      </c>
      <c r="C17" s="32">
        <f t="shared" si="30"/>
        <v>7</v>
      </c>
      <c r="D17" s="32">
        <f t="shared" si="31"/>
        <v>8</v>
      </c>
      <c r="E17" s="32">
        <f t="shared" si="32"/>
        <v>9</v>
      </c>
      <c r="F17" s="283" t="s">
        <v>44</v>
      </c>
      <c r="G17" s="283" t="s">
        <v>45</v>
      </c>
      <c r="H17" s="32">
        <v>1</v>
      </c>
      <c r="I17" s="32">
        <v>1</v>
      </c>
      <c r="J17" s="65">
        <v>0</v>
      </c>
      <c r="K17" s="229"/>
      <c r="L17" s="303">
        <v>1</v>
      </c>
      <c r="M17" s="304">
        <f t="shared" si="0"/>
        <v>0.20547945205479451</v>
      </c>
      <c r="N17" s="303" t="str">
        <f t="shared" si="1"/>
        <v/>
      </c>
      <c r="O17" s="303">
        <f t="shared" si="10"/>
        <v>1</v>
      </c>
      <c r="P17" s="304">
        <f t="shared" si="11"/>
        <v>0.29411764705882354</v>
      </c>
      <c r="Q17" s="303" t="str">
        <f t="shared" si="12"/>
        <v/>
      </c>
      <c r="R17" s="303">
        <f t="shared" si="13"/>
        <v>1</v>
      </c>
      <c r="S17" s="304">
        <f t="shared" si="14"/>
        <v>0.2</v>
      </c>
      <c r="T17" s="74" t="str">
        <f t="shared" si="15"/>
        <v/>
      </c>
      <c r="V17" s="55">
        <f t="shared" si="16"/>
        <v>73</v>
      </c>
      <c r="W17" s="233">
        <f t="shared" si="2"/>
        <v>0.20547945205479451</v>
      </c>
      <c r="X17" s="231">
        <f t="shared" si="17"/>
        <v>1.5309320684931502</v>
      </c>
      <c r="Y17" s="232">
        <f t="shared" si="18"/>
        <v>0</v>
      </c>
      <c r="Z17" s="232">
        <f t="shared" si="19"/>
        <v>1</v>
      </c>
      <c r="AA17" s="232">
        <f t="shared" si="3"/>
        <v>51</v>
      </c>
      <c r="AB17" s="233">
        <f t="shared" si="4"/>
        <v>0.29411764705882354</v>
      </c>
      <c r="AC17" s="231">
        <f t="shared" si="20"/>
        <v>2.3286758235294118</v>
      </c>
      <c r="AD17" s="232">
        <f t="shared" si="21"/>
        <v>0</v>
      </c>
      <c r="AE17" s="232">
        <f t="shared" si="22"/>
        <v>1</v>
      </c>
      <c r="AF17" s="232">
        <f t="shared" si="5"/>
        <v>45</v>
      </c>
      <c r="AG17" s="232">
        <f t="shared" si="6"/>
        <v>9</v>
      </c>
      <c r="AH17" s="236">
        <f t="shared" si="23"/>
        <v>0.2</v>
      </c>
      <c r="AI17" s="231">
        <f t="shared" si="24"/>
        <v>6.2816170000000007</v>
      </c>
      <c r="AJ17" s="232">
        <f t="shared" si="25"/>
        <v>0</v>
      </c>
      <c r="AM17" s="377" t="s">
        <v>568</v>
      </c>
      <c r="AN17" s="374" t="s">
        <v>571</v>
      </c>
      <c r="AO17" s="375"/>
      <c r="AP17" s="375"/>
      <c r="AQ17" s="375"/>
      <c r="AR17" s="376"/>
      <c r="AS17" s="367"/>
      <c r="AT17" s="374" t="s">
        <v>572</v>
      </c>
      <c r="AU17" s="375"/>
      <c r="AV17" s="375"/>
      <c r="AW17" s="375"/>
      <c r="AX17" s="376"/>
    </row>
    <row r="18" spans="1:50" ht="14.1" customHeight="1" x14ac:dyDescent="0.2">
      <c r="A18" s="240" t="s">
        <v>462</v>
      </c>
      <c r="B18" s="282" t="s">
        <v>330</v>
      </c>
      <c r="C18" s="32">
        <v>7</v>
      </c>
      <c r="D18" s="32">
        <v>8</v>
      </c>
      <c r="E18" s="32">
        <f t="shared" si="32"/>
        <v>10</v>
      </c>
      <c r="F18" s="283" t="s">
        <v>44</v>
      </c>
      <c r="G18" s="283" t="s">
        <v>45</v>
      </c>
      <c r="H18" s="32">
        <v>7</v>
      </c>
      <c r="I18" s="32">
        <v>1</v>
      </c>
      <c r="J18" s="65">
        <v>0</v>
      </c>
      <c r="K18" s="229"/>
      <c r="L18" s="303">
        <v>1</v>
      </c>
      <c r="M18" s="304">
        <f t="shared" si="0"/>
        <v>0.20547945205479451</v>
      </c>
      <c r="N18" s="303" t="str">
        <f t="shared" si="1"/>
        <v/>
      </c>
      <c r="O18" s="303">
        <f t="shared" si="10"/>
        <v>1</v>
      </c>
      <c r="P18" s="304">
        <f t="shared" si="11"/>
        <v>0.29411764705882354</v>
      </c>
      <c r="Q18" s="303" t="str">
        <f t="shared" si="12"/>
        <v/>
      </c>
      <c r="R18" s="303">
        <f t="shared" si="13"/>
        <v>1</v>
      </c>
      <c r="S18" s="304">
        <f t="shared" si="14"/>
        <v>0.2</v>
      </c>
      <c r="T18" s="74" t="str">
        <f t="shared" si="15"/>
        <v/>
      </c>
      <c r="V18" s="55">
        <f t="shared" si="16"/>
        <v>73</v>
      </c>
      <c r="W18" s="233">
        <f t="shared" si="2"/>
        <v>0.20547945205479451</v>
      </c>
      <c r="X18" s="231">
        <f t="shared" si="17"/>
        <v>1.7364115205479447</v>
      </c>
      <c r="Y18" s="232">
        <f t="shared" si="18"/>
        <v>0</v>
      </c>
      <c r="Z18" s="232">
        <f t="shared" si="19"/>
        <v>1</v>
      </c>
      <c r="AA18" s="232">
        <f t="shared" si="3"/>
        <v>51</v>
      </c>
      <c r="AB18" s="233">
        <f t="shared" si="4"/>
        <v>0.29411764705882354</v>
      </c>
      <c r="AC18" s="231">
        <f t="shared" si="20"/>
        <v>2.6227934705882352</v>
      </c>
      <c r="AD18" s="232">
        <f t="shared" si="21"/>
        <v>0</v>
      </c>
      <c r="AE18" s="232">
        <f t="shared" si="22"/>
        <v>1</v>
      </c>
      <c r="AF18" s="232">
        <f t="shared" si="5"/>
        <v>45</v>
      </c>
      <c r="AG18" s="232">
        <f t="shared" si="6"/>
        <v>9</v>
      </c>
      <c r="AH18" s="236">
        <f t="shared" si="23"/>
        <v>0.2</v>
      </c>
      <c r="AI18" s="231">
        <f t="shared" si="24"/>
        <v>6.4816170000000008</v>
      </c>
      <c r="AJ18" s="232">
        <f t="shared" si="25"/>
        <v>0</v>
      </c>
      <c r="AM18" s="378"/>
      <c r="AN18" s="371" t="s">
        <v>573</v>
      </c>
      <c r="AO18" s="372"/>
      <c r="AP18" s="372"/>
      <c r="AQ18" s="372"/>
      <c r="AR18" s="373"/>
      <c r="AS18" s="368"/>
      <c r="AT18" s="371" t="s">
        <v>573</v>
      </c>
      <c r="AU18" s="372"/>
      <c r="AV18" s="372"/>
      <c r="AW18" s="372"/>
      <c r="AX18" s="373"/>
    </row>
    <row r="19" spans="1:50" ht="14.1" customHeight="1" x14ac:dyDescent="0.2">
      <c r="A19" s="240" t="s">
        <v>462</v>
      </c>
      <c r="B19" s="282" t="s">
        <v>330</v>
      </c>
      <c r="C19" s="32">
        <f t="shared" si="30"/>
        <v>8</v>
      </c>
      <c r="D19" s="32">
        <f t="shared" si="31"/>
        <v>9</v>
      </c>
      <c r="E19" s="32">
        <f t="shared" si="32"/>
        <v>11</v>
      </c>
      <c r="F19" s="283" t="s">
        <v>44</v>
      </c>
      <c r="G19" s="283" t="s">
        <v>45</v>
      </c>
      <c r="H19" s="32">
        <v>7</v>
      </c>
      <c r="I19" s="32">
        <v>1</v>
      </c>
      <c r="J19" s="65">
        <v>0</v>
      </c>
      <c r="K19" s="229"/>
      <c r="L19" s="303">
        <v>1</v>
      </c>
      <c r="M19" s="304">
        <f t="shared" si="0"/>
        <v>0.20547945205479451</v>
      </c>
      <c r="N19" s="303" t="str">
        <f t="shared" si="1"/>
        <v/>
      </c>
      <c r="O19" s="303">
        <f t="shared" si="10"/>
        <v>1</v>
      </c>
      <c r="P19" s="304">
        <f t="shared" si="11"/>
        <v>0.29411764705882354</v>
      </c>
      <c r="Q19" s="303" t="str">
        <f t="shared" si="12"/>
        <v/>
      </c>
      <c r="R19" s="303">
        <f t="shared" si="13"/>
        <v>1</v>
      </c>
      <c r="S19" s="304">
        <f t="shared" si="14"/>
        <v>0.2</v>
      </c>
      <c r="T19" s="74" t="str">
        <f t="shared" si="15"/>
        <v/>
      </c>
      <c r="V19" s="55">
        <f t="shared" si="16"/>
        <v>73</v>
      </c>
      <c r="W19" s="233">
        <f t="shared" si="2"/>
        <v>0.20547945205479451</v>
      </c>
      <c r="X19" s="231">
        <f t="shared" si="17"/>
        <v>1.9418909726027391</v>
      </c>
      <c r="Y19" s="232">
        <f t="shared" si="18"/>
        <v>0</v>
      </c>
      <c r="Z19" s="232">
        <f t="shared" si="19"/>
        <v>1</v>
      </c>
      <c r="AA19" s="232">
        <f t="shared" si="3"/>
        <v>51</v>
      </c>
      <c r="AB19" s="233">
        <f t="shared" si="4"/>
        <v>0.29411764705882354</v>
      </c>
      <c r="AC19" s="231">
        <f t="shared" si="20"/>
        <v>2.9169111176470586</v>
      </c>
      <c r="AD19" s="232">
        <f t="shared" si="21"/>
        <v>0</v>
      </c>
      <c r="AE19" s="232">
        <f t="shared" si="22"/>
        <v>1</v>
      </c>
      <c r="AF19" s="232">
        <f t="shared" si="5"/>
        <v>45</v>
      </c>
      <c r="AG19" s="232">
        <f t="shared" si="6"/>
        <v>9</v>
      </c>
      <c r="AH19" s="236">
        <f t="shared" si="23"/>
        <v>0.2</v>
      </c>
      <c r="AI19" s="231">
        <f t="shared" si="24"/>
        <v>6.681617000000001</v>
      </c>
      <c r="AJ19" s="232">
        <f t="shared" si="25"/>
        <v>0</v>
      </c>
      <c r="AM19" s="379"/>
      <c r="AN19" s="255">
        <v>0.1</v>
      </c>
      <c r="AO19" s="256">
        <v>0.5</v>
      </c>
      <c r="AP19" s="256">
        <v>1</v>
      </c>
      <c r="AQ19" s="256">
        <v>1.5</v>
      </c>
      <c r="AR19" s="257">
        <v>2</v>
      </c>
      <c r="AS19" s="369"/>
      <c r="AT19" s="255">
        <v>0.1</v>
      </c>
      <c r="AU19" s="256">
        <v>0.5</v>
      </c>
      <c r="AV19" s="256">
        <v>1</v>
      </c>
      <c r="AW19" s="256">
        <v>1.5</v>
      </c>
      <c r="AX19" s="257">
        <v>2</v>
      </c>
    </row>
    <row r="20" spans="1:50" ht="14.1" customHeight="1" x14ac:dyDescent="0.2">
      <c r="A20" s="240" t="s">
        <v>462</v>
      </c>
      <c r="B20" s="282" t="s">
        <v>330</v>
      </c>
      <c r="C20" s="32">
        <f t="shared" si="30"/>
        <v>9</v>
      </c>
      <c r="D20" s="32">
        <f t="shared" si="31"/>
        <v>10</v>
      </c>
      <c r="E20" s="32">
        <f t="shared" si="32"/>
        <v>12</v>
      </c>
      <c r="F20" s="283" t="s">
        <v>44</v>
      </c>
      <c r="G20" s="283" t="s">
        <v>45</v>
      </c>
      <c r="H20" s="32">
        <v>1</v>
      </c>
      <c r="I20" s="32">
        <v>1</v>
      </c>
      <c r="J20" s="65">
        <v>0</v>
      </c>
      <c r="K20" s="229"/>
      <c r="L20" s="303">
        <v>1</v>
      </c>
      <c r="M20" s="304">
        <f t="shared" si="0"/>
        <v>0.20547945205479451</v>
      </c>
      <c r="N20" s="303">
        <f t="shared" si="1"/>
        <v>1</v>
      </c>
      <c r="O20" s="303">
        <f t="shared" si="10"/>
        <v>1</v>
      </c>
      <c r="P20" s="304">
        <f t="shared" si="11"/>
        <v>0.29411764705882354</v>
      </c>
      <c r="Q20" s="303">
        <f t="shared" si="12"/>
        <v>1</v>
      </c>
      <c r="R20" s="303">
        <f t="shared" si="13"/>
        <v>1</v>
      </c>
      <c r="S20" s="304">
        <f t="shared" si="14"/>
        <v>0.2</v>
      </c>
      <c r="T20" s="74" t="str">
        <f t="shared" si="15"/>
        <v/>
      </c>
      <c r="V20" s="55">
        <f t="shared" si="16"/>
        <v>73</v>
      </c>
      <c r="W20" s="233">
        <f t="shared" si="2"/>
        <v>0.20547945205479451</v>
      </c>
      <c r="X20" s="231">
        <f t="shared" si="17"/>
        <v>2.1473704246575336</v>
      </c>
      <c r="Y20" s="232">
        <f t="shared" si="18"/>
        <v>1</v>
      </c>
      <c r="Z20" s="232">
        <f t="shared" si="19"/>
        <v>1</v>
      </c>
      <c r="AA20" s="232">
        <f t="shared" si="3"/>
        <v>51</v>
      </c>
      <c r="AB20" s="233">
        <f t="shared" si="4"/>
        <v>0.29411764705882354</v>
      </c>
      <c r="AC20" s="231">
        <f t="shared" si="20"/>
        <v>3.2110287647058819</v>
      </c>
      <c r="AD20" s="232">
        <f t="shared" si="21"/>
        <v>1</v>
      </c>
      <c r="AE20" s="232">
        <f t="shared" si="22"/>
        <v>1</v>
      </c>
      <c r="AF20" s="232">
        <f t="shared" si="5"/>
        <v>45</v>
      </c>
      <c r="AG20" s="232">
        <f t="shared" si="6"/>
        <v>9</v>
      </c>
      <c r="AH20" s="236">
        <f t="shared" si="23"/>
        <v>0.2</v>
      </c>
      <c r="AI20" s="231">
        <f t="shared" si="24"/>
        <v>6.8816170000000012</v>
      </c>
      <c r="AJ20" s="232">
        <f t="shared" si="25"/>
        <v>0</v>
      </c>
      <c r="AM20" s="258">
        <v>0.01</v>
      </c>
      <c r="AN20" s="262">
        <v>0.5019409248364588</v>
      </c>
      <c r="AO20" s="263">
        <v>0.50160910695609751</v>
      </c>
      <c r="AP20" s="263">
        <v>0.50119464701959804</v>
      </c>
      <c r="AQ20" s="263">
        <v>0.50078053531318201</v>
      </c>
      <c r="AR20" s="264">
        <v>0.50036677303957211</v>
      </c>
      <c r="AS20" s="275"/>
      <c r="AT20" s="262">
        <v>0.50202090892161344</v>
      </c>
      <c r="AU20" s="263">
        <v>0.50181646713101746</v>
      </c>
      <c r="AV20" s="263">
        <v>0.50119464701959804</v>
      </c>
      <c r="AW20" s="263">
        <v>0.50016002331474529</v>
      </c>
      <c r="AX20" s="264">
        <v>0.49871524219340457</v>
      </c>
    </row>
    <row r="21" spans="1:50" ht="14.1" customHeight="1" x14ac:dyDescent="0.2">
      <c r="A21" s="240" t="s">
        <v>462</v>
      </c>
      <c r="B21" s="282" t="s">
        <v>330</v>
      </c>
      <c r="C21" s="32">
        <v>10</v>
      </c>
      <c r="D21" s="32">
        <f t="shared" si="31"/>
        <v>11</v>
      </c>
      <c r="E21" s="32">
        <f t="shared" si="32"/>
        <v>13</v>
      </c>
      <c r="F21" s="283" t="s">
        <v>44</v>
      </c>
      <c r="G21" s="283" t="s">
        <v>45</v>
      </c>
      <c r="H21" s="32">
        <v>4</v>
      </c>
      <c r="I21" s="32">
        <v>1</v>
      </c>
      <c r="J21" s="65">
        <v>0</v>
      </c>
      <c r="K21" s="229"/>
      <c r="L21" s="303">
        <v>1</v>
      </c>
      <c r="M21" s="304">
        <f t="shared" si="0"/>
        <v>0.20547945205479451</v>
      </c>
      <c r="N21" s="303" t="str">
        <f t="shared" si="1"/>
        <v/>
      </c>
      <c r="O21" s="303">
        <f t="shared" si="10"/>
        <v>1</v>
      </c>
      <c r="P21" s="304">
        <f t="shared" si="11"/>
        <v>0.29411764705882354</v>
      </c>
      <c r="Q21" s="303" t="str">
        <f t="shared" si="12"/>
        <v/>
      </c>
      <c r="R21" s="303">
        <f t="shared" si="13"/>
        <v>1</v>
      </c>
      <c r="S21" s="304">
        <f t="shared" si="14"/>
        <v>0.2</v>
      </c>
      <c r="T21" s="74">
        <f t="shared" si="15"/>
        <v>1</v>
      </c>
      <c r="V21" s="55">
        <f t="shared" si="16"/>
        <v>73</v>
      </c>
      <c r="W21" s="233">
        <f t="shared" si="2"/>
        <v>0.20547945205479451</v>
      </c>
      <c r="X21" s="231">
        <f t="shared" si="17"/>
        <v>2.352849876712328</v>
      </c>
      <c r="Y21" s="232">
        <f t="shared" si="18"/>
        <v>0</v>
      </c>
      <c r="Z21" s="232">
        <f t="shared" si="19"/>
        <v>1</v>
      </c>
      <c r="AA21" s="232">
        <f t="shared" si="3"/>
        <v>51</v>
      </c>
      <c r="AB21" s="233">
        <f t="shared" si="4"/>
        <v>0.29411764705882354</v>
      </c>
      <c r="AC21" s="231">
        <f t="shared" si="20"/>
        <v>3.5051464117647053</v>
      </c>
      <c r="AD21" s="232">
        <f t="shared" si="21"/>
        <v>0</v>
      </c>
      <c r="AE21" s="232">
        <f t="shared" si="22"/>
        <v>1</v>
      </c>
      <c r="AF21" s="232">
        <f t="shared" si="5"/>
        <v>45</v>
      </c>
      <c r="AG21" s="232">
        <f t="shared" si="6"/>
        <v>9</v>
      </c>
      <c r="AH21" s="236">
        <f t="shared" si="23"/>
        <v>0.2</v>
      </c>
      <c r="AI21" s="231">
        <f t="shared" si="24"/>
        <v>7.0816170000000014</v>
      </c>
      <c r="AJ21" s="232">
        <f t="shared" si="25"/>
        <v>1</v>
      </c>
      <c r="AM21" s="259">
        <v>0.1</v>
      </c>
      <c r="AN21" s="265">
        <v>0.50119464701961158</v>
      </c>
      <c r="AO21" s="266">
        <v>0.49789160437001234</v>
      </c>
      <c r="AP21" s="266">
        <v>0.49379506715643873</v>
      </c>
      <c r="AQ21" s="266">
        <v>0.48973546112289301</v>
      </c>
      <c r="AR21" s="267">
        <v>0.48571390916288093</v>
      </c>
      <c r="AS21" s="274"/>
      <c r="AT21" s="265">
        <v>0.5019409248369866</v>
      </c>
      <c r="AU21" s="266">
        <v>0.49995336139722502</v>
      </c>
      <c r="AV21" s="266">
        <v>0.49379506715643873</v>
      </c>
      <c r="AW21" s="266">
        <v>0.48371774421273261</v>
      </c>
      <c r="AX21" s="267">
        <v>0.47002937112223675</v>
      </c>
    </row>
    <row r="22" spans="1:50" ht="14.1" customHeight="1" x14ac:dyDescent="0.2">
      <c r="A22" s="240" t="s">
        <v>462</v>
      </c>
      <c r="B22" s="282" t="s">
        <v>330</v>
      </c>
      <c r="C22" s="32">
        <v>10</v>
      </c>
      <c r="D22" s="32">
        <f t="shared" si="31"/>
        <v>12</v>
      </c>
      <c r="E22" s="32">
        <f t="shared" si="32"/>
        <v>14</v>
      </c>
      <c r="F22" s="283" t="s">
        <v>44</v>
      </c>
      <c r="G22" s="283" t="s">
        <v>45</v>
      </c>
      <c r="H22" s="32">
        <v>6</v>
      </c>
      <c r="I22" s="32">
        <v>1</v>
      </c>
      <c r="J22" s="65">
        <v>0</v>
      </c>
      <c r="K22" s="229"/>
      <c r="L22" s="303">
        <v>1</v>
      </c>
      <c r="M22" s="304">
        <f t="shared" si="0"/>
        <v>0.20547945205479451</v>
      </c>
      <c r="N22" s="303" t="str">
        <f t="shared" si="1"/>
        <v/>
      </c>
      <c r="O22" s="303">
        <f t="shared" si="10"/>
        <v>1</v>
      </c>
      <c r="P22" s="304">
        <f t="shared" si="11"/>
        <v>0.29411764705882354</v>
      </c>
      <c r="Q22" s="303" t="str">
        <f t="shared" si="12"/>
        <v/>
      </c>
      <c r="R22" s="303">
        <f t="shared" si="13"/>
        <v>1</v>
      </c>
      <c r="S22" s="304">
        <f t="shared" si="14"/>
        <v>0.2</v>
      </c>
      <c r="T22" s="74" t="str">
        <f t="shared" si="15"/>
        <v/>
      </c>
      <c r="V22" s="55">
        <f t="shared" si="16"/>
        <v>73</v>
      </c>
      <c r="W22" s="233">
        <f t="shared" si="2"/>
        <v>0.20547945205479451</v>
      </c>
      <c r="X22" s="231">
        <f t="shared" si="17"/>
        <v>2.5583293287671225</v>
      </c>
      <c r="Y22" s="232">
        <f t="shared" si="18"/>
        <v>0</v>
      </c>
      <c r="Z22" s="232">
        <f t="shared" si="19"/>
        <v>1</v>
      </c>
      <c r="AA22" s="232">
        <f t="shared" si="3"/>
        <v>51</v>
      </c>
      <c r="AB22" s="233">
        <f t="shared" si="4"/>
        <v>0.29411764705882354</v>
      </c>
      <c r="AC22" s="231">
        <f t="shared" si="20"/>
        <v>3.7992640588235287</v>
      </c>
      <c r="AD22" s="232">
        <f t="shared" si="21"/>
        <v>0</v>
      </c>
      <c r="AE22" s="232">
        <f t="shared" si="22"/>
        <v>1</v>
      </c>
      <c r="AF22" s="232">
        <f t="shared" si="5"/>
        <v>45</v>
      </c>
      <c r="AG22" s="232">
        <f t="shared" si="6"/>
        <v>9</v>
      </c>
      <c r="AH22" s="236">
        <f t="shared" si="23"/>
        <v>0.2</v>
      </c>
      <c r="AI22" s="231">
        <f t="shared" si="24"/>
        <v>7.2816170000000016</v>
      </c>
      <c r="AJ22" s="232">
        <f t="shared" si="25"/>
        <v>0</v>
      </c>
      <c r="AM22" s="259">
        <v>0.2</v>
      </c>
      <c r="AN22" s="265">
        <v>0.50036677303957888</v>
      </c>
      <c r="AO22" s="266">
        <v>0.49379506715643873</v>
      </c>
      <c r="AP22" s="266">
        <v>0.48571390916288093</v>
      </c>
      <c r="AQ22" s="266">
        <v>0.47778927156320128</v>
      </c>
      <c r="AR22" s="267">
        <v>0.47002937112223675</v>
      </c>
      <c r="AS22" s="274"/>
      <c r="AT22" s="265">
        <v>0.50185794956902741</v>
      </c>
      <c r="AU22" s="266">
        <v>0.49789160437001234</v>
      </c>
      <c r="AV22" s="266">
        <v>0.48571390916288093</v>
      </c>
      <c r="AW22" s="266">
        <v>0.46621358823163994</v>
      </c>
      <c r="AX22" s="267">
        <v>0.44077815649761443</v>
      </c>
    </row>
    <row r="23" spans="1:50" ht="14.1" customHeight="1" x14ac:dyDescent="0.2">
      <c r="A23" s="240" t="s">
        <v>462</v>
      </c>
      <c r="B23" s="282" t="s">
        <v>330</v>
      </c>
      <c r="C23" s="32">
        <v>10</v>
      </c>
      <c r="D23" s="32">
        <f t="shared" si="31"/>
        <v>13</v>
      </c>
      <c r="E23" s="32">
        <f t="shared" si="32"/>
        <v>15</v>
      </c>
      <c r="F23" s="283" t="s">
        <v>44</v>
      </c>
      <c r="G23" s="283" t="s">
        <v>45</v>
      </c>
      <c r="H23" s="32">
        <v>2</v>
      </c>
      <c r="I23" s="32">
        <v>1</v>
      </c>
      <c r="J23" s="65">
        <v>0</v>
      </c>
      <c r="K23" s="229"/>
      <c r="L23" s="303">
        <v>1</v>
      </c>
      <c r="M23" s="304">
        <f t="shared" si="0"/>
        <v>0.20547945205479451</v>
      </c>
      <c r="N23" s="303" t="str">
        <f t="shared" si="1"/>
        <v/>
      </c>
      <c r="O23" s="303">
        <f t="shared" si="10"/>
        <v>1</v>
      </c>
      <c r="P23" s="304">
        <f t="shared" si="11"/>
        <v>0.29411764705882354</v>
      </c>
      <c r="Q23" s="303">
        <f t="shared" si="12"/>
        <v>1</v>
      </c>
      <c r="R23" s="303">
        <f t="shared" si="13"/>
        <v>1</v>
      </c>
      <c r="S23" s="304">
        <f t="shared" si="14"/>
        <v>0.2</v>
      </c>
      <c r="T23" s="74" t="str">
        <f t="shared" si="15"/>
        <v/>
      </c>
      <c r="V23" s="55">
        <f t="shared" si="16"/>
        <v>73</v>
      </c>
      <c r="W23" s="233">
        <f t="shared" si="2"/>
        <v>0.20547945205479451</v>
      </c>
      <c r="X23" s="231">
        <f t="shared" si="17"/>
        <v>2.7638087808219169</v>
      </c>
      <c r="Y23" s="232">
        <f t="shared" si="18"/>
        <v>0</v>
      </c>
      <c r="Z23" s="232">
        <f t="shared" si="19"/>
        <v>1</v>
      </c>
      <c r="AA23" s="232">
        <f t="shared" si="3"/>
        <v>51</v>
      </c>
      <c r="AB23" s="233">
        <f t="shared" si="4"/>
        <v>0.29411764705882354</v>
      </c>
      <c r="AC23" s="231">
        <f t="shared" si="20"/>
        <v>4.0933817058823525</v>
      </c>
      <c r="AD23" s="232">
        <f t="shared" si="21"/>
        <v>1</v>
      </c>
      <c r="AE23" s="232">
        <f t="shared" si="22"/>
        <v>1</v>
      </c>
      <c r="AF23" s="232">
        <f t="shared" si="5"/>
        <v>45</v>
      </c>
      <c r="AG23" s="232">
        <f t="shared" si="6"/>
        <v>9</v>
      </c>
      <c r="AH23" s="236">
        <f t="shared" si="23"/>
        <v>0.2</v>
      </c>
      <c r="AI23" s="231">
        <f t="shared" si="24"/>
        <v>7.4816170000000017</v>
      </c>
      <c r="AJ23" s="232">
        <f t="shared" si="25"/>
        <v>0</v>
      </c>
      <c r="AM23" s="259">
        <v>0.3</v>
      </c>
      <c r="AN23" s="265">
        <v>0.49954030158139062</v>
      </c>
      <c r="AO23" s="266">
        <v>0.4897354611228929</v>
      </c>
      <c r="AP23" s="266">
        <v>0.47778927156320095</v>
      </c>
      <c r="AQ23" s="266">
        <v>0.46621358823164005</v>
      </c>
      <c r="AR23" s="267">
        <v>0.45503337028514768</v>
      </c>
      <c r="AS23" s="274"/>
      <c r="AT23" s="265">
        <v>0.50177498816642385</v>
      </c>
      <c r="AU23" s="266">
        <v>0.49583879096670247</v>
      </c>
      <c r="AV23" s="266">
        <v>0.47778927156320095</v>
      </c>
      <c r="AW23" s="266">
        <v>0.44959840917778149</v>
      </c>
      <c r="AX23" s="267">
        <v>0.41464142880320332</v>
      </c>
    </row>
    <row r="24" spans="1:50" ht="14.1" customHeight="1" x14ac:dyDescent="0.2">
      <c r="A24" s="240" t="s">
        <v>462</v>
      </c>
      <c r="B24" s="282" t="s">
        <v>330</v>
      </c>
      <c r="C24" s="32">
        <v>10</v>
      </c>
      <c r="D24" s="32">
        <f t="shared" si="31"/>
        <v>14</v>
      </c>
      <c r="E24" s="32">
        <f t="shared" si="32"/>
        <v>16</v>
      </c>
      <c r="F24" s="283" t="s">
        <v>44</v>
      </c>
      <c r="G24" s="283" t="s">
        <v>45</v>
      </c>
      <c r="H24" s="32">
        <v>1</v>
      </c>
      <c r="I24" s="32">
        <v>1</v>
      </c>
      <c r="J24" s="65">
        <v>0</v>
      </c>
      <c r="K24" s="229"/>
      <c r="L24" s="303">
        <v>1</v>
      </c>
      <c r="M24" s="304">
        <f t="shared" si="0"/>
        <v>0.20547945205479451</v>
      </c>
      <c r="N24" s="303" t="str">
        <f t="shared" si="1"/>
        <v/>
      </c>
      <c r="O24" s="303">
        <f t="shared" si="10"/>
        <v>1</v>
      </c>
      <c r="P24" s="304">
        <f t="shared" si="11"/>
        <v>0.29411764705882354</v>
      </c>
      <c r="Q24" s="303" t="str">
        <f t="shared" si="12"/>
        <v/>
      </c>
      <c r="R24" s="303">
        <f t="shared" si="13"/>
        <v>1</v>
      </c>
      <c r="S24" s="304">
        <f t="shared" si="14"/>
        <v>0.2</v>
      </c>
      <c r="T24" s="74" t="str">
        <f t="shared" si="15"/>
        <v/>
      </c>
      <c r="V24" s="55">
        <f t="shared" si="16"/>
        <v>73</v>
      </c>
      <c r="W24" s="233">
        <f t="shared" si="2"/>
        <v>0.20547945205479451</v>
      </c>
      <c r="X24" s="231">
        <f t="shared" si="17"/>
        <v>2.9692882328767114</v>
      </c>
      <c r="Y24" s="232">
        <f t="shared" si="18"/>
        <v>0</v>
      </c>
      <c r="Z24" s="232">
        <f t="shared" si="19"/>
        <v>1</v>
      </c>
      <c r="AA24" s="232">
        <f t="shared" si="3"/>
        <v>51</v>
      </c>
      <c r="AB24" s="233">
        <f t="shared" si="4"/>
        <v>0.29411764705882354</v>
      </c>
      <c r="AC24" s="231">
        <f t="shared" si="20"/>
        <v>4.3874993529411759</v>
      </c>
      <c r="AD24" s="232">
        <f t="shared" si="21"/>
        <v>0</v>
      </c>
      <c r="AE24" s="232">
        <f t="shared" si="22"/>
        <v>1</v>
      </c>
      <c r="AF24" s="232">
        <f t="shared" si="5"/>
        <v>45</v>
      </c>
      <c r="AG24" s="232">
        <f t="shared" si="6"/>
        <v>9</v>
      </c>
      <c r="AH24" s="236">
        <f t="shared" si="23"/>
        <v>0.2</v>
      </c>
      <c r="AI24" s="231">
        <f t="shared" si="24"/>
        <v>7.6816170000000019</v>
      </c>
      <c r="AJ24" s="232">
        <f t="shared" si="25"/>
        <v>0</v>
      </c>
      <c r="AM24" s="259">
        <v>0.4</v>
      </c>
      <c r="AN24" s="265">
        <v>0.49871524219340624</v>
      </c>
      <c r="AO24" s="266">
        <v>0.48571390916288093</v>
      </c>
      <c r="AP24" s="266">
        <v>0.47002937112223675</v>
      </c>
      <c r="AQ24" s="266">
        <v>0.45503337028514779</v>
      </c>
      <c r="AR24" s="267">
        <v>0.44077815649761443</v>
      </c>
      <c r="AS24" s="274"/>
      <c r="AT24" s="265">
        <v>0.50169204062543904</v>
      </c>
      <c r="AU24" s="266">
        <v>0.49379506715643873</v>
      </c>
      <c r="AV24" s="266">
        <v>0.47002937112223675</v>
      </c>
      <c r="AW24" s="266">
        <v>0.43394154466560531</v>
      </c>
      <c r="AX24" s="267">
        <v>0.39180527363599671</v>
      </c>
    </row>
    <row r="25" spans="1:50" ht="14.1" customHeight="1" x14ac:dyDescent="0.2">
      <c r="A25" s="240" t="s">
        <v>462</v>
      </c>
      <c r="B25" s="282" t="s">
        <v>330</v>
      </c>
      <c r="C25" s="32">
        <v>10</v>
      </c>
      <c r="D25" s="32">
        <f t="shared" si="31"/>
        <v>15</v>
      </c>
      <c r="E25" s="32">
        <f t="shared" si="32"/>
        <v>17</v>
      </c>
      <c r="F25" s="283" t="s">
        <v>44</v>
      </c>
      <c r="G25" s="283" t="s">
        <v>45</v>
      </c>
      <c r="H25" s="32">
        <v>6</v>
      </c>
      <c r="I25" s="32">
        <v>1</v>
      </c>
      <c r="J25" s="65">
        <v>0</v>
      </c>
      <c r="K25" s="229"/>
      <c r="L25" s="303">
        <v>1</v>
      </c>
      <c r="M25" s="304">
        <f t="shared" si="0"/>
        <v>0.20547945205479451</v>
      </c>
      <c r="N25" s="303">
        <f t="shared" si="1"/>
        <v>1</v>
      </c>
      <c r="O25" s="303">
        <f t="shared" si="10"/>
        <v>1</v>
      </c>
      <c r="P25" s="304">
        <f t="shared" si="11"/>
        <v>0.29411764705882354</v>
      </c>
      <c r="Q25" s="303" t="str">
        <f t="shared" si="12"/>
        <v/>
      </c>
      <c r="R25" s="303">
        <f t="shared" si="13"/>
        <v>1</v>
      </c>
      <c r="S25" s="304">
        <f t="shared" si="14"/>
        <v>0.2</v>
      </c>
      <c r="T25" s="74" t="str">
        <f t="shared" si="15"/>
        <v/>
      </c>
      <c r="V25" s="55">
        <f t="shared" si="16"/>
        <v>73</v>
      </c>
      <c r="W25" s="233">
        <f t="shared" si="2"/>
        <v>0.20547945205479451</v>
      </c>
      <c r="X25" s="231">
        <f t="shared" si="17"/>
        <v>3.1747676849315059</v>
      </c>
      <c r="Y25" s="232">
        <f t="shared" si="18"/>
        <v>1</v>
      </c>
      <c r="Z25" s="232">
        <f t="shared" si="19"/>
        <v>1</v>
      </c>
      <c r="AA25" s="232">
        <f t="shared" si="3"/>
        <v>51</v>
      </c>
      <c r="AB25" s="233">
        <f t="shared" si="4"/>
        <v>0.29411764705882354</v>
      </c>
      <c r="AC25" s="231">
        <f t="shared" si="20"/>
        <v>4.6816169999999993</v>
      </c>
      <c r="AD25" s="232">
        <f t="shared" si="21"/>
        <v>0</v>
      </c>
      <c r="AE25" s="232">
        <f t="shared" si="22"/>
        <v>1</v>
      </c>
      <c r="AF25" s="232">
        <f t="shared" si="5"/>
        <v>45</v>
      </c>
      <c r="AG25" s="232">
        <f t="shared" si="6"/>
        <v>9</v>
      </c>
      <c r="AH25" s="236">
        <f t="shared" si="23"/>
        <v>0.2</v>
      </c>
      <c r="AI25" s="231">
        <f t="shared" si="24"/>
        <v>7.8816170000000021</v>
      </c>
      <c r="AJ25" s="232">
        <f t="shared" si="25"/>
        <v>0</v>
      </c>
      <c r="AM25" s="259">
        <v>0.5</v>
      </c>
      <c r="AN25" s="265">
        <v>0.49789160437001234</v>
      </c>
      <c r="AO25" s="266">
        <v>0.48173149691886974</v>
      </c>
      <c r="AP25" s="266">
        <v>0.4624417747811842</v>
      </c>
      <c r="AQ25" s="266">
        <v>0.44427008132897916</v>
      </c>
      <c r="AR25" s="267">
        <v>0.42730450247999407</v>
      </c>
      <c r="AS25" s="274"/>
      <c r="AT25" s="265">
        <v>0.5016091069560431</v>
      </c>
      <c r="AU25" s="266">
        <v>0.49176057670308804</v>
      </c>
      <c r="AV25" s="266">
        <v>0.4624417747811842</v>
      </c>
      <c r="AW25" s="266">
        <v>0.4192937384998735</v>
      </c>
      <c r="AX25" s="267">
        <v>0.37227874888836388</v>
      </c>
    </row>
    <row r="26" spans="1:50" ht="14.1" customHeight="1" x14ac:dyDescent="0.2">
      <c r="A26" s="240" t="s">
        <v>462</v>
      </c>
      <c r="B26" s="282" t="s">
        <v>330</v>
      </c>
      <c r="C26" s="32">
        <f t="shared" si="30"/>
        <v>11</v>
      </c>
      <c r="D26" s="32">
        <f t="shared" si="31"/>
        <v>16</v>
      </c>
      <c r="E26" s="32">
        <f t="shared" si="32"/>
        <v>18</v>
      </c>
      <c r="F26" s="283" t="s">
        <v>44</v>
      </c>
      <c r="G26" s="283" t="s">
        <v>45</v>
      </c>
      <c r="H26" s="32">
        <v>3</v>
      </c>
      <c r="I26" s="32">
        <v>1</v>
      </c>
      <c r="J26" s="65">
        <v>0</v>
      </c>
      <c r="K26" s="229"/>
      <c r="L26" s="303">
        <v>1</v>
      </c>
      <c r="M26" s="304">
        <f t="shared" si="0"/>
        <v>0.20547945205479451</v>
      </c>
      <c r="N26" s="303" t="str">
        <f t="shared" si="1"/>
        <v/>
      </c>
      <c r="O26" s="303">
        <f t="shared" si="10"/>
        <v>1</v>
      </c>
      <c r="P26" s="304">
        <f t="shared" si="11"/>
        <v>0.29411764705882354</v>
      </c>
      <c r="Q26" s="303" t="str">
        <f t="shared" si="12"/>
        <v/>
      </c>
      <c r="R26" s="303">
        <f t="shared" si="13"/>
        <v>1</v>
      </c>
      <c r="S26" s="304">
        <f t="shared" si="14"/>
        <v>0.2</v>
      </c>
      <c r="T26" s="74">
        <f t="shared" si="15"/>
        <v>1</v>
      </c>
      <c r="V26" s="55">
        <f t="shared" si="16"/>
        <v>73</v>
      </c>
      <c r="W26" s="233">
        <f t="shared" si="2"/>
        <v>0.20547945205479451</v>
      </c>
      <c r="X26" s="231">
        <f t="shared" si="17"/>
        <v>3.3802471369863003</v>
      </c>
      <c r="Y26" s="232">
        <f t="shared" si="18"/>
        <v>0</v>
      </c>
      <c r="Z26" s="232">
        <f t="shared" si="19"/>
        <v>1</v>
      </c>
      <c r="AA26" s="232">
        <f t="shared" si="3"/>
        <v>51</v>
      </c>
      <c r="AB26" s="233">
        <f t="shared" si="4"/>
        <v>0.29411764705882354</v>
      </c>
      <c r="AC26" s="231">
        <f t="shared" si="20"/>
        <v>4.9757346470588226</v>
      </c>
      <c r="AD26" s="232">
        <f t="shared" si="21"/>
        <v>0</v>
      </c>
      <c r="AE26" s="232">
        <f t="shared" si="22"/>
        <v>1</v>
      </c>
      <c r="AF26" s="232">
        <f t="shared" si="5"/>
        <v>45</v>
      </c>
      <c r="AG26" s="232">
        <f t="shared" si="6"/>
        <v>9</v>
      </c>
      <c r="AH26" s="236">
        <f t="shared" si="23"/>
        <v>0.2</v>
      </c>
      <c r="AI26" s="231">
        <f t="shared" si="24"/>
        <v>8.0816170000000014</v>
      </c>
      <c r="AJ26" s="232">
        <f t="shared" si="25"/>
        <v>1</v>
      </c>
      <c r="AM26" s="260">
        <v>0.6</v>
      </c>
      <c r="AN26" s="268">
        <v>0.49706939755065127</v>
      </c>
      <c r="AO26" s="269">
        <v>0.47778927156320095</v>
      </c>
      <c r="AP26" s="269">
        <v>0.45503337028514768</v>
      </c>
      <c r="AQ26" s="269">
        <v>0.43394154466560531</v>
      </c>
      <c r="AR26" s="270">
        <v>0.41464142880320332</v>
      </c>
      <c r="AS26" s="274"/>
      <c r="AT26" s="268">
        <v>0.50152618716806519</v>
      </c>
      <c r="AU26" s="269">
        <v>0.4897354611228929</v>
      </c>
      <c r="AV26" s="269">
        <v>0.45503337028514768</v>
      </c>
      <c r="AW26" s="269">
        <v>0.40568694123632065</v>
      </c>
      <c r="AX26" s="270">
        <v>0.35592050230840688</v>
      </c>
    </row>
    <row r="27" spans="1:50" ht="14.1" customHeight="1" x14ac:dyDescent="0.2">
      <c r="A27" s="240" t="s">
        <v>462</v>
      </c>
      <c r="B27" s="282" t="s">
        <v>330</v>
      </c>
      <c r="C27" s="32">
        <f t="shared" si="30"/>
        <v>12</v>
      </c>
      <c r="D27" s="32">
        <f t="shared" si="31"/>
        <v>17</v>
      </c>
      <c r="E27" s="32">
        <f t="shared" si="32"/>
        <v>19</v>
      </c>
      <c r="F27" s="283" t="s">
        <v>44</v>
      </c>
      <c r="G27" s="283" t="s">
        <v>45</v>
      </c>
      <c r="H27" s="32">
        <v>3</v>
      </c>
      <c r="I27" s="32">
        <v>1</v>
      </c>
      <c r="J27" s="65">
        <v>0</v>
      </c>
      <c r="K27" s="229"/>
      <c r="L27" s="303">
        <v>1</v>
      </c>
      <c r="M27" s="304">
        <f t="shared" si="0"/>
        <v>0.20547945205479451</v>
      </c>
      <c r="N27" s="303" t="str">
        <f t="shared" si="1"/>
        <v/>
      </c>
      <c r="O27" s="303">
        <f t="shared" si="10"/>
        <v>1</v>
      </c>
      <c r="P27" s="304">
        <f t="shared" si="11"/>
        <v>0.29411764705882354</v>
      </c>
      <c r="Q27" s="303">
        <f t="shared" si="12"/>
        <v>1</v>
      </c>
      <c r="R27" s="303">
        <f t="shared" si="13"/>
        <v>1</v>
      </c>
      <c r="S27" s="304">
        <f t="shared" si="14"/>
        <v>0.2</v>
      </c>
      <c r="T27" s="74" t="str">
        <f t="shared" si="15"/>
        <v/>
      </c>
      <c r="V27" s="55">
        <f t="shared" si="16"/>
        <v>73</v>
      </c>
      <c r="W27" s="233">
        <f t="shared" si="2"/>
        <v>0.20547945205479451</v>
      </c>
      <c r="X27" s="231">
        <f t="shared" si="17"/>
        <v>3.5857265890410948</v>
      </c>
      <c r="Y27" s="232">
        <f t="shared" si="18"/>
        <v>0</v>
      </c>
      <c r="Z27" s="232">
        <f t="shared" si="19"/>
        <v>1</v>
      </c>
      <c r="AA27" s="232">
        <f t="shared" si="3"/>
        <v>51</v>
      </c>
      <c r="AB27" s="233">
        <f t="shared" si="4"/>
        <v>0.29411764705882354</v>
      </c>
      <c r="AC27" s="231">
        <f t="shared" si="20"/>
        <v>5.269852294117646</v>
      </c>
      <c r="AD27" s="232">
        <f t="shared" si="21"/>
        <v>1</v>
      </c>
      <c r="AE27" s="232">
        <f t="shared" si="22"/>
        <v>1</v>
      </c>
      <c r="AF27" s="232">
        <f t="shared" si="5"/>
        <v>45</v>
      </c>
      <c r="AG27" s="232">
        <f t="shared" si="6"/>
        <v>9</v>
      </c>
      <c r="AH27" s="236">
        <f t="shared" si="23"/>
        <v>0.2</v>
      </c>
      <c r="AI27" s="231">
        <f t="shared" si="24"/>
        <v>8.2816170000000007</v>
      </c>
      <c r="AJ27" s="232">
        <f t="shared" si="25"/>
        <v>0</v>
      </c>
      <c r="AM27" s="259">
        <v>0.7</v>
      </c>
      <c r="AN27" s="265">
        <v>0.49624863111945516</v>
      </c>
      <c r="AO27" s="266">
        <v>0.47388824066164936</v>
      </c>
      <c r="AP27" s="266">
        <v>0.44781034263338071</v>
      </c>
      <c r="AQ27" s="266">
        <v>0.42406186686510472</v>
      </c>
      <c r="AR27" s="267">
        <v>0.40280630149964836</v>
      </c>
      <c r="AS27" s="274"/>
      <c r="AT27" s="265">
        <v>0.50144328127066751</v>
      </c>
      <c r="AU27" s="266">
        <v>0.48771985964328657</v>
      </c>
      <c r="AV27" s="266">
        <v>0.44781034263338071</v>
      </c>
      <c r="AW27" s="266">
        <v>0.39313483929373294</v>
      </c>
      <c r="AX27" s="267">
        <v>0.34247672479973224</v>
      </c>
    </row>
    <row r="28" spans="1:50" ht="14.1" customHeight="1" x14ac:dyDescent="0.2">
      <c r="A28" s="240" t="s">
        <v>462</v>
      </c>
      <c r="B28" s="282" t="s">
        <v>330</v>
      </c>
      <c r="C28" s="32">
        <f t="shared" si="30"/>
        <v>13</v>
      </c>
      <c r="D28" s="32">
        <f t="shared" si="31"/>
        <v>18</v>
      </c>
      <c r="E28" s="32">
        <f t="shared" si="32"/>
        <v>20</v>
      </c>
      <c r="F28" s="283" t="s">
        <v>44</v>
      </c>
      <c r="G28" s="283" t="s">
        <v>45</v>
      </c>
      <c r="H28" s="32">
        <v>5</v>
      </c>
      <c r="I28" s="32">
        <v>1</v>
      </c>
      <c r="J28" s="65">
        <v>0</v>
      </c>
      <c r="K28" s="229"/>
      <c r="L28" s="303">
        <v>1</v>
      </c>
      <c r="M28" s="304">
        <f t="shared" si="0"/>
        <v>0.20547945205479451</v>
      </c>
      <c r="N28" s="303" t="str">
        <f t="shared" si="1"/>
        <v/>
      </c>
      <c r="O28" s="303">
        <f t="shared" si="10"/>
        <v>1</v>
      </c>
      <c r="P28" s="304">
        <f t="shared" si="11"/>
        <v>0.29411764705882354</v>
      </c>
      <c r="Q28" s="303" t="str">
        <f t="shared" si="12"/>
        <v/>
      </c>
      <c r="R28" s="303">
        <f t="shared" si="13"/>
        <v>1</v>
      </c>
      <c r="S28" s="304">
        <f t="shared" si="14"/>
        <v>0.2</v>
      </c>
      <c r="T28" s="74" t="str">
        <f t="shared" si="15"/>
        <v/>
      </c>
      <c r="V28" s="55">
        <f t="shared" si="16"/>
        <v>73</v>
      </c>
      <c r="W28" s="233">
        <f t="shared" si="2"/>
        <v>0.20547945205479451</v>
      </c>
      <c r="X28" s="231">
        <f t="shared" si="17"/>
        <v>3.7912060410958892</v>
      </c>
      <c r="Y28" s="232">
        <f t="shared" si="18"/>
        <v>0</v>
      </c>
      <c r="Z28" s="232">
        <f t="shared" si="19"/>
        <v>1</v>
      </c>
      <c r="AA28" s="232">
        <f t="shared" si="3"/>
        <v>51</v>
      </c>
      <c r="AB28" s="233">
        <f t="shared" si="4"/>
        <v>0.29411764705882354</v>
      </c>
      <c r="AC28" s="231">
        <f t="shared" si="20"/>
        <v>5.5639699411764694</v>
      </c>
      <c r="AD28" s="232">
        <f t="shared" si="21"/>
        <v>0</v>
      </c>
      <c r="AE28" s="232">
        <f t="shared" si="22"/>
        <v>1</v>
      </c>
      <c r="AF28" s="232">
        <f t="shared" si="5"/>
        <v>45</v>
      </c>
      <c r="AG28" s="232">
        <f t="shared" si="6"/>
        <v>9</v>
      </c>
      <c r="AH28" s="236">
        <f t="shared" si="23"/>
        <v>0.2</v>
      </c>
      <c r="AI28" s="231">
        <f t="shared" si="24"/>
        <v>8.481617</v>
      </c>
      <c r="AJ28" s="232">
        <f t="shared" si="25"/>
        <v>0</v>
      </c>
      <c r="AM28" s="259">
        <v>0.8</v>
      </c>
      <c r="AN28" s="265">
        <v>0.49542931440473781</v>
      </c>
      <c r="AO28" s="266">
        <v>0.47002937112223675</v>
      </c>
      <c r="AP28" s="266">
        <v>0.44077815649761443</v>
      </c>
      <c r="AQ28" s="266">
        <v>0.41464142880320287</v>
      </c>
      <c r="AR28" s="267">
        <v>0.39180527363599671</v>
      </c>
      <c r="AS28" s="274"/>
      <c r="AT28" s="265">
        <v>0.5013603892740246</v>
      </c>
      <c r="AU28" s="266">
        <v>0.48571390916288093</v>
      </c>
      <c r="AV28" s="266">
        <v>0.44077815649761443</v>
      </c>
      <c r="AW28" s="266">
        <v>0.38163402582831529</v>
      </c>
      <c r="AX28" s="267">
        <v>0.33162261828717132</v>
      </c>
    </row>
    <row r="29" spans="1:50" ht="14.1" customHeight="1" x14ac:dyDescent="0.2">
      <c r="A29" s="240" t="s">
        <v>462</v>
      </c>
      <c r="B29" s="282" t="s">
        <v>330</v>
      </c>
      <c r="C29" s="32">
        <f t="shared" si="30"/>
        <v>14</v>
      </c>
      <c r="D29" s="32">
        <f t="shared" si="31"/>
        <v>19</v>
      </c>
      <c r="E29" s="32">
        <f t="shared" si="32"/>
        <v>21</v>
      </c>
      <c r="F29" s="283" t="s">
        <v>44</v>
      </c>
      <c r="G29" s="283" t="s">
        <v>45</v>
      </c>
      <c r="H29" s="32">
        <v>1</v>
      </c>
      <c r="I29" s="32">
        <v>1</v>
      </c>
      <c r="J29" s="65">
        <v>0</v>
      </c>
      <c r="K29" s="229"/>
      <c r="L29" s="303">
        <v>1</v>
      </c>
      <c r="M29" s="304">
        <f t="shared" si="0"/>
        <v>0.20547945205479451</v>
      </c>
      <c r="N29" s="303" t="str">
        <f t="shared" si="1"/>
        <v/>
      </c>
      <c r="O29" s="303">
        <f t="shared" si="10"/>
        <v>1</v>
      </c>
      <c r="P29" s="304">
        <f t="shared" si="11"/>
        <v>0.29411764705882354</v>
      </c>
      <c r="Q29" s="303" t="str">
        <f t="shared" si="12"/>
        <v/>
      </c>
      <c r="R29" s="303">
        <f t="shared" si="13"/>
        <v>1</v>
      </c>
      <c r="S29" s="304">
        <f t="shared" si="14"/>
        <v>0.2</v>
      </c>
      <c r="T29" s="74" t="str">
        <f t="shared" si="15"/>
        <v/>
      </c>
      <c r="V29" s="55">
        <f t="shared" si="16"/>
        <v>73</v>
      </c>
      <c r="W29" s="233">
        <f t="shared" si="2"/>
        <v>0.20547945205479451</v>
      </c>
      <c r="X29" s="231">
        <f t="shared" si="17"/>
        <v>3.9966854931506837</v>
      </c>
      <c r="Y29" s="232">
        <f t="shared" si="18"/>
        <v>0</v>
      </c>
      <c r="Z29" s="232">
        <f t="shared" si="19"/>
        <v>1</v>
      </c>
      <c r="AA29" s="232">
        <f t="shared" si="3"/>
        <v>51</v>
      </c>
      <c r="AB29" s="233">
        <f t="shared" si="4"/>
        <v>0.29411764705882354</v>
      </c>
      <c r="AC29" s="231">
        <f t="shared" si="20"/>
        <v>5.8580875882352927</v>
      </c>
      <c r="AD29" s="232">
        <f t="shared" si="21"/>
        <v>0</v>
      </c>
      <c r="AE29" s="232">
        <f t="shared" si="22"/>
        <v>1</v>
      </c>
      <c r="AF29" s="232">
        <f t="shared" si="5"/>
        <v>45</v>
      </c>
      <c r="AG29" s="232">
        <f t="shared" si="6"/>
        <v>9</v>
      </c>
      <c r="AH29" s="236">
        <f t="shared" si="23"/>
        <v>0.2</v>
      </c>
      <c r="AI29" s="231">
        <f t="shared" si="24"/>
        <v>8.6816169999999993</v>
      </c>
      <c r="AJ29" s="232">
        <f t="shared" si="25"/>
        <v>0</v>
      </c>
      <c r="AM29" s="259">
        <v>0.9</v>
      </c>
      <c r="AN29" s="265">
        <v>0.4946114566785984</v>
      </c>
      <c r="AO29" s="266">
        <v>0.46621358823163983</v>
      </c>
      <c r="AP29" s="266">
        <v>0.43394154466560553</v>
      </c>
      <c r="AQ29" s="266">
        <v>0.40568694123632065</v>
      </c>
      <c r="AR29" s="267">
        <v>0.38163402582831507</v>
      </c>
      <c r="AS29" s="274"/>
      <c r="AT29" s="265">
        <v>0.50127751118660058</v>
      </c>
      <c r="AU29" s="266">
        <v>0.48371774421273261</v>
      </c>
      <c r="AV29" s="266">
        <v>0.43394154466560553</v>
      </c>
      <c r="AW29" s="266">
        <v>0.3711656918775994</v>
      </c>
      <c r="AX29" s="267">
        <v>0.323000883622511</v>
      </c>
    </row>
    <row r="30" spans="1:50" ht="14.1" customHeight="1" x14ac:dyDescent="0.2">
      <c r="A30" s="240" t="s">
        <v>462</v>
      </c>
      <c r="B30" s="282" t="s">
        <v>330</v>
      </c>
      <c r="C30" s="32">
        <f t="shared" si="30"/>
        <v>15</v>
      </c>
      <c r="D30" s="32">
        <f t="shared" si="31"/>
        <v>20</v>
      </c>
      <c r="E30" s="32">
        <f t="shared" si="32"/>
        <v>22</v>
      </c>
      <c r="F30" s="283" t="s">
        <v>44</v>
      </c>
      <c r="G30" s="283" t="s">
        <v>45</v>
      </c>
      <c r="H30" s="32">
        <v>2</v>
      </c>
      <c r="I30" s="32">
        <v>1</v>
      </c>
      <c r="J30" s="65">
        <v>0</v>
      </c>
      <c r="K30" s="229"/>
      <c r="L30" s="303">
        <v>1</v>
      </c>
      <c r="M30" s="304">
        <f t="shared" si="0"/>
        <v>0.20547945205479451</v>
      </c>
      <c r="N30" s="303">
        <f t="shared" si="1"/>
        <v>1</v>
      </c>
      <c r="O30" s="303">
        <f t="shared" si="10"/>
        <v>1</v>
      </c>
      <c r="P30" s="304">
        <f t="shared" si="11"/>
        <v>0.29411764705882354</v>
      </c>
      <c r="Q30" s="303">
        <f t="shared" si="12"/>
        <v>1</v>
      </c>
      <c r="R30" s="303">
        <f t="shared" si="13"/>
        <v>1</v>
      </c>
      <c r="S30" s="304">
        <f t="shared" si="14"/>
        <v>0.2</v>
      </c>
      <c r="T30" s="74" t="str">
        <f t="shared" si="15"/>
        <v/>
      </c>
      <c r="V30" s="55">
        <f t="shared" si="16"/>
        <v>73</v>
      </c>
      <c r="W30" s="233">
        <f t="shared" si="2"/>
        <v>0.20547945205479451</v>
      </c>
      <c r="X30" s="231">
        <f t="shared" si="17"/>
        <v>4.2021649452054781</v>
      </c>
      <c r="Y30" s="232">
        <f t="shared" si="18"/>
        <v>1</v>
      </c>
      <c r="Z30" s="232">
        <f t="shared" si="19"/>
        <v>1</v>
      </c>
      <c r="AA30" s="232">
        <f t="shared" si="3"/>
        <v>51</v>
      </c>
      <c r="AB30" s="233">
        <f t="shared" si="4"/>
        <v>0.29411764705882354</v>
      </c>
      <c r="AC30" s="231">
        <f t="shared" si="20"/>
        <v>6.1522052352941161</v>
      </c>
      <c r="AD30" s="232">
        <f t="shared" si="21"/>
        <v>1</v>
      </c>
      <c r="AE30" s="232">
        <f t="shared" si="22"/>
        <v>1</v>
      </c>
      <c r="AF30" s="232">
        <f t="shared" si="5"/>
        <v>45</v>
      </c>
      <c r="AG30" s="232">
        <f t="shared" si="6"/>
        <v>9</v>
      </c>
      <c r="AH30" s="236">
        <f t="shared" si="23"/>
        <v>0.2</v>
      </c>
      <c r="AI30" s="231">
        <f t="shared" si="24"/>
        <v>8.8816169999999985</v>
      </c>
      <c r="AJ30" s="232">
        <f t="shared" si="25"/>
        <v>0</v>
      </c>
      <c r="AM30" s="261">
        <v>1</v>
      </c>
      <c r="AN30" s="271">
        <v>0.49379506715643873</v>
      </c>
      <c r="AO30" s="272">
        <v>0.4624417747811842</v>
      </c>
      <c r="AP30" s="272">
        <v>0.42730450247999407</v>
      </c>
      <c r="AQ30" s="272">
        <v>0.39720156013508179</v>
      </c>
      <c r="AR30" s="273">
        <v>0.37227874888836388</v>
      </c>
      <c r="AS30" s="276"/>
      <c r="AT30" s="271">
        <v>0.50119464701957051</v>
      </c>
      <c r="AU30" s="272">
        <v>0.48173149691886974</v>
      </c>
      <c r="AV30" s="272">
        <v>0.42730450247999407</v>
      </c>
      <c r="AW30" s="272">
        <v>0.36169769569514065</v>
      </c>
      <c r="AX30" s="273">
        <v>0.31625307209252318</v>
      </c>
    </row>
    <row r="31" spans="1:50" ht="14.1" customHeight="1" x14ac:dyDescent="0.2">
      <c r="A31" s="240" t="s">
        <v>462</v>
      </c>
      <c r="B31" s="282" t="s">
        <v>330</v>
      </c>
      <c r="C31" s="32">
        <f t="shared" si="30"/>
        <v>16</v>
      </c>
      <c r="D31" s="32">
        <f t="shared" si="31"/>
        <v>21</v>
      </c>
      <c r="E31" s="32">
        <f t="shared" si="32"/>
        <v>23</v>
      </c>
      <c r="F31" s="283" t="s">
        <v>44</v>
      </c>
      <c r="G31" s="283" t="s">
        <v>45</v>
      </c>
      <c r="H31" s="32">
        <v>7</v>
      </c>
      <c r="I31" s="32">
        <v>1</v>
      </c>
      <c r="J31" s="65">
        <v>0</v>
      </c>
      <c r="K31" s="229"/>
      <c r="L31" s="303">
        <v>1</v>
      </c>
      <c r="M31" s="304">
        <f t="shared" si="0"/>
        <v>0.20547945205479451</v>
      </c>
      <c r="N31" s="303" t="str">
        <f t="shared" si="1"/>
        <v/>
      </c>
      <c r="O31" s="303">
        <f t="shared" si="10"/>
        <v>1</v>
      </c>
      <c r="P31" s="304">
        <f t="shared" si="11"/>
        <v>0.29411764705882354</v>
      </c>
      <c r="Q31" s="303" t="str">
        <f t="shared" si="12"/>
        <v/>
      </c>
      <c r="R31" s="303">
        <f t="shared" si="13"/>
        <v>1</v>
      </c>
      <c r="S31" s="304">
        <f t="shared" si="14"/>
        <v>0.2</v>
      </c>
      <c r="T31" s="74">
        <f t="shared" si="15"/>
        <v>1</v>
      </c>
      <c r="V31" s="55">
        <f t="shared" si="16"/>
        <v>73</v>
      </c>
      <c r="W31" s="233">
        <f t="shared" si="2"/>
        <v>0.20547945205479451</v>
      </c>
      <c r="X31" s="231">
        <f t="shared" si="17"/>
        <v>4.407644397260273</v>
      </c>
      <c r="Y31" s="232">
        <f t="shared" si="18"/>
        <v>0</v>
      </c>
      <c r="Z31" s="232">
        <f t="shared" si="19"/>
        <v>1</v>
      </c>
      <c r="AA31" s="232">
        <f t="shared" si="3"/>
        <v>51</v>
      </c>
      <c r="AB31" s="233">
        <f t="shared" si="4"/>
        <v>0.29411764705882354</v>
      </c>
      <c r="AC31" s="231">
        <f t="shared" si="20"/>
        <v>6.4463228823529395</v>
      </c>
      <c r="AD31" s="232">
        <f t="shared" si="21"/>
        <v>0</v>
      </c>
      <c r="AE31" s="232">
        <f t="shared" si="22"/>
        <v>1</v>
      </c>
      <c r="AF31" s="232">
        <f t="shared" si="5"/>
        <v>45</v>
      </c>
      <c r="AG31" s="232">
        <f t="shared" si="6"/>
        <v>9</v>
      </c>
      <c r="AH31" s="236">
        <f t="shared" si="23"/>
        <v>0.2</v>
      </c>
      <c r="AI31" s="231">
        <f t="shared" si="24"/>
        <v>9.0816169999999978</v>
      </c>
      <c r="AJ31" s="232">
        <f t="shared" si="25"/>
        <v>1</v>
      </c>
    </row>
    <row r="32" spans="1:50" ht="14.1" customHeight="1" x14ac:dyDescent="0.2">
      <c r="A32" s="240" t="s">
        <v>462</v>
      </c>
      <c r="B32" s="282" t="s">
        <v>330</v>
      </c>
      <c r="C32" s="32">
        <f t="shared" si="30"/>
        <v>17</v>
      </c>
      <c r="D32" s="32">
        <f t="shared" si="31"/>
        <v>22</v>
      </c>
      <c r="E32" s="32">
        <f t="shared" si="32"/>
        <v>24</v>
      </c>
      <c r="F32" s="283" t="s">
        <v>44</v>
      </c>
      <c r="G32" s="283" t="s">
        <v>45</v>
      </c>
      <c r="H32" s="32">
        <v>4</v>
      </c>
      <c r="I32" s="32">
        <v>1</v>
      </c>
      <c r="J32" s="65">
        <v>0</v>
      </c>
      <c r="K32" s="229"/>
      <c r="L32" s="303">
        <v>1</v>
      </c>
      <c r="M32" s="304">
        <f t="shared" si="0"/>
        <v>0.20547945205479451</v>
      </c>
      <c r="N32" s="303" t="str">
        <f t="shared" si="1"/>
        <v/>
      </c>
      <c r="O32" s="303">
        <f t="shared" si="10"/>
        <v>1</v>
      </c>
      <c r="P32" s="304">
        <f t="shared" si="11"/>
        <v>0.29411764705882354</v>
      </c>
      <c r="Q32" s="303" t="str">
        <f t="shared" si="12"/>
        <v/>
      </c>
      <c r="R32" s="303">
        <f t="shared" si="13"/>
        <v>1</v>
      </c>
      <c r="S32" s="304">
        <f t="shared" si="14"/>
        <v>0.2</v>
      </c>
      <c r="T32" s="74" t="str">
        <f t="shared" si="15"/>
        <v/>
      </c>
      <c r="V32" s="55">
        <f t="shared" si="16"/>
        <v>73</v>
      </c>
      <c r="W32" s="233">
        <f t="shared" si="2"/>
        <v>0.20547945205479451</v>
      </c>
      <c r="X32" s="231">
        <f t="shared" si="17"/>
        <v>4.6131238493150679</v>
      </c>
      <c r="Y32" s="232">
        <f t="shared" si="18"/>
        <v>0</v>
      </c>
      <c r="Z32" s="232">
        <f t="shared" si="19"/>
        <v>1</v>
      </c>
      <c r="AA32" s="232">
        <f t="shared" si="3"/>
        <v>51</v>
      </c>
      <c r="AB32" s="233">
        <f t="shared" si="4"/>
        <v>0.29411764705882354</v>
      </c>
      <c r="AC32" s="231">
        <f t="shared" si="20"/>
        <v>6.7404405294117629</v>
      </c>
      <c r="AD32" s="232">
        <f t="shared" si="21"/>
        <v>0</v>
      </c>
      <c r="AE32" s="232">
        <f t="shared" si="22"/>
        <v>1</v>
      </c>
      <c r="AF32" s="232">
        <f t="shared" si="5"/>
        <v>45</v>
      </c>
      <c r="AG32" s="232">
        <f t="shared" si="6"/>
        <v>9</v>
      </c>
      <c r="AH32" s="236">
        <f t="shared" si="23"/>
        <v>0.2</v>
      </c>
      <c r="AI32" s="231">
        <f t="shared" si="24"/>
        <v>9.2816169999999971</v>
      </c>
      <c r="AJ32" s="232">
        <f t="shared" si="25"/>
        <v>0</v>
      </c>
    </row>
    <row r="33" spans="1:36" ht="14.1" customHeight="1" x14ac:dyDescent="0.2">
      <c r="A33" s="240" t="s">
        <v>462</v>
      </c>
      <c r="B33" s="282" t="s">
        <v>330</v>
      </c>
      <c r="C33" s="32">
        <f t="shared" si="30"/>
        <v>18</v>
      </c>
      <c r="D33" s="32">
        <f t="shared" si="31"/>
        <v>23</v>
      </c>
      <c r="E33" s="32">
        <f t="shared" si="32"/>
        <v>25</v>
      </c>
      <c r="F33" s="283" t="s">
        <v>44</v>
      </c>
      <c r="G33" s="283" t="s">
        <v>45</v>
      </c>
      <c r="H33" s="32">
        <v>2</v>
      </c>
      <c r="I33" s="32">
        <v>1</v>
      </c>
      <c r="J33" s="65">
        <v>0</v>
      </c>
      <c r="K33" s="229"/>
      <c r="L33" s="303">
        <v>1</v>
      </c>
      <c r="M33" s="304">
        <f t="shared" si="0"/>
        <v>0.20547945205479451</v>
      </c>
      <c r="N33" s="303" t="str">
        <f t="shared" si="1"/>
        <v/>
      </c>
      <c r="O33" s="303">
        <f t="shared" si="10"/>
        <v>1</v>
      </c>
      <c r="P33" s="304">
        <f t="shared" si="11"/>
        <v>0.29411764705882354</v>
      </c>
      <c r="Q33" s="303">
        <f t="shared" si="12"/>
        <v>1</v>
      </c>
      <c r="R33" s="303">
        <f t="shared" si="13"/>
        <v>1</v>
      </c>
      <c r="S33" s="304">
        <f t="shared" si="14"/>
        <v>0.2</v>
      </c>
      <c r="T33" s="74" t="str">
        <f t="shared" si="15"/>
        <v/>
      </c>
      <c r="V33" s="55">
        <f t="shared" si="16"/>
        <v>73</v>
      </c>
      <c r="W33" s="233">
        <f t="shared" si="2"/>
        <v>0.20547945205479451</v>
      </c>
      <c r="X33" s="231">
        <f t="shared" si="17"/>
        <v>4.8186033013698628</v>
      </c>
      <c r="Y33" s="232">
        <f t="shared" si="18"/>
        <v>0</v>
      </c>
      <c r="Z33" s="232">
        <f t="shared" si="19"/>
        <v>1</v>
      </c>
      <c r="AA33" s="232">
        <f t="shared" si="3"/>
        <v>51</v>
      </c>
      <c r="AB33" s="233">
        <f t="shared" si="4"/>
        <v>0.29411764705882354</v>
      </c>
      <c r="AC33" s="231">
        <f t="shared" si="20"/>
        <v>7.0345581764705862</v>
      </c>
      <c r="AD33" s="232">
        <f t="shared" si="21"/>
        <v>1</v>
      </c>
      <c r="AE33" s="232">
        <f t="shared" si="22"/>
        <v>1</v>
      </c>
      <c r="AF33" s="232">
        <f t="shared" si="5"/>
        <v>45</v>
      </c>
      <c r="AG33" s="232">
        <f t="shared" si="6"/>
        <v>9</v>
      </c>
      <c r="AH33" s="236">
        <f t="shared" si="23"/>
        <v>0.2</v>
      </c>
      <c r="AI33" s="231">
        <f t="shared" si="24"/>
        <v>9.4816169999999964</v>
      </c>
      <c r="AJ33" s="232">
        <f t="shared" si="25"/>
        <v>0</v>
      </c>
    </row>
    <row r="34" spans="1:36" ht="14.1" customHeight="1" x14ac:dyDescent="0.2">
      <c r="A34" s="240" t="s">
        <v>462</v>
      </c>
      <c r="B34" s="282" t="s">
        <v>330</v>
      </c>
      <c r="C34" s="32">
        <f t="shared" si="30"/>
        <v>19</v>
      </c>
      <c r="D34" s="32">
        <f t="shared" si="31"/>
        <v>24</v>
      </c>
      <c r="E34" s="32">
        <f t="shared" si="32"/>
        <v>26</v>
      </c>
      <c r="F34" s="283" t="s">
        <v>44</v>
      </c>
      <c r="G34" s="283" t="s">
        <v>45</v>
      </c>
      <c r="H34" s="32">
        <v>3</v>
      </c>
      <c r="I34" s="32">
        <v>1</v>
      </c>
      <c r="J34" s="65">
        <v>0</v>
      </c>
      <c r="K34" s="229"/>
      <c r="L34" s="303">
        <v>1</v>
      </c>
      <c r="M34" s="304">
        <f t="shared" si="0"/>
        <v>0.20547945205479451</v>
      </c>
      <c r="N34" s="303">
        <f t="shared" si="1"/>
        <v>1</v>
      </c>
      <c r="O34" s="303">
        <f t="shared" si="10"/>
        <v>1</v>
      </c>
      <c r="P34" s="304">
        <f t="shared" si="11"/>
        <v>0.29411764705882354</v>
      </c>
      <c r="Q34" s="303" t="str">
        <f t="shared" si="12"/>
        <v/>
      </c>
      <c r="R34" s="303">
        <f t="shared" si="13"/>
        <v>1</v>
      </c>
      <c r="S34" s="304">
        <f t="shared" si="14"/>
        <v>0.2</v>
      </c>
      <c r="T34" s="74" t="str">
        <f t="shared" si="15"/>
        <v/>
      </c>
      <c r="V34" s="55">
        <f t="shared" si="16"/>
        <v>73</v>
      </c>
      <c r="W34" s="233">
        <f t="shared" si="2"/>
        <v>0.20547945205479451</v>
      </c>
      <c r="X34" s="231">
        <f t="shared" si="17"/>
        <v>5.0240827534246577</v>
      </c>
      <c r="Y34" s="232">
        <f t="shared" si="18"/>
        <v>1</v>
      </c>
      <c r="Z34" s="232">
        <f t="shared" si="19"/>
        <v>1</v>
      </c>
      <c r="AA34" s="232">
        <f t="shared" si="3"/>
        <v>51</v>
      </c>
      <c r="AB34" s="233">
        <f t="shared" si="4"/>
        <v>0.29411764705882354</v>
      </c>
      <c r="AC34" s="231">
        <f t="shared" si="20"/>
        <v>7.3286758235294096</v>
      </c>
      <c r="AD34" s="232">
        <f t="shared" si="21"/>
        <v>0</v>
      </c>
      <c r="AE34" s="232">
        <f t="shared" si="22"/>
        <v>1</v>
      </c>
      <c r="AF34" s="232">
        <f t="shared" si="5"/>
        <v>45</v>
      </c>
      <c r="AG34" s="232">
        <f t="shared" si="6"/>
        <v>9</v>
      </c>
      <c r="AH34" s="236">
        <f t="shared" si="23"/>
        <v>0.2</v>
      </c>
      <c r="AI34" s="231">
        <f t="shared" si="24"/>
        <v>9.6816169999999957</v>
      </c>
      <c r="AJ34" s="232">
        <f t="shared" si="25"/>
        <v>0</v>
      </c>
    </row>
    <row r="35" spans="1:36" ht="14.1" customHeight="1" x14ac:dyDescent="0.2">
      <c r="A35" s="240" t="s">
        <v>462</v>
      </c>
      <c r="B35" s="282" t="s">
        <v>330</v>
      </c>
      <c r="C35" s="32">
        <f t="shared" si="30"/>
        <v>20</v>
      </c>
      <c r="D35" s="32">
        <f t="shared" si="31"/>
        <v>25</v>
      </c>
      <c r="E35" s="32">
        <f t="shared" si="32"/>
        <v>27</v>
      </c>
      <c r="F35" s="283" t="s">
        <v>44</v>
      </c>
      <c r="G35" s="283" t="s">
        <v>45</v>
      </c>
      <c r="H35" s="32">
        <v>3</v>
      </c>
      <c r="I35" s="32">
        <v>1</v>
      </c>
      <c r="J35" s="65">
        <v>0</v>
      </c>
      <c r="K35" s="229"/>
      <c r="L35" s="303">
        <v>1</v>
      </c>
      <c r="M35" s="304">
        <f t="shared" si="0"/>
        <v>0.20547945205479451</v>
      </c>
      <c r="N35" s="303" t="str">
        <f t="shared" si="1"/>
        <v/>
      </c>
      <c r="O35" s="303">
        <f t="shared" si="10"/>
        <v>1</v>
      </c>
      <c r="P35" s="304">
        <f t="shared" si="11"/>
        <v>0.29411764705882354</v>
      </c>
      <c r="Q35" s="303" t="str">
        <f t="shared" si="12"/>
        <v/>
      </c>
      <c r="R35" s="303">
        <f t="shared" si="13"/>
        <v>1</v>
      </c>
      <c r="S35" s="304">
        <f t="shared" si="14"/>
        <v>0.2</v>
      </c>
      <c r="T35" s="74" t="str">
        <f t="shared" si="15"/>
        <v/>
      </c>
      <c r="V35" s="55">
        <f t="shared" si="16"/>
        <v>73</v>
      </c>
      <c r="W35" s="233">
        <f t="shared" si="2"/>
        <v>0.20547945205479451</v>
      </c>
      <c r="X35" s="231">
        <f t="shared" si="17"/>
        <v>5.2295622054794526</v>
      </c>
      <c r="Y35" s="232">
        <f t="shared" si="18"/>
        <v>0</v>
      </c>
      <c r="Z35" s="232">
        <f t="shared" si="19"/>
        <v>1</v>
      </c>
      <c r="AA35" s="232">
        <f t="shared" si="3"/>
        <v>51</v>
      </c>
      <c r="AB35" s="233">
        <f t="shared" si="4"/>
        <v>0.29411764705882354</v>
      </c>
      <c r="AC35" s="231">
        <f t="shared" si="20"/>
        <v>7.622793470588233</v>
      </c>
      <c r="AD35" s="232">
        <f t="shared" si="21"/>
        <v>0</v>
      </c>
      <c r="AE35" s="232">
        <f t="shared" si="22"/>
        <v>1</v>
      </c>
      <c r="AF35" s="232">
        <f t="shared" si="5"/>
        <v>45</v>
      </c>
      <c r="AG35" s="232">
        <f t="shared" si="6"/>
        <v>9</v>
      </c>
      <c r="AH35" s="236">
        <f t="shared" si="23"/>
        <v>0.2</v>
      </c>
      <c r="AI35" s="231">
        <f t="shared" si="24"/>
        <v>9.881616999999995</v>
      </c>
      <c r="AJ35" s="232">
        <f t="shared" si="25"/>
        <v>0</v>
      </c>
    </row>
    <row r="36" spans="1:36" ht="14.1" customHeight="1" x14ac:dyDescent="0.2">
      <c r="A36" s="240" t="s">
        <v>462</v>
      </c>
      <c r="B36" s="282" t="s">
        <v>330</v>
      </c>
      <c r="C36" s="32">
        <v>20</v>
      </c>
      <c r="D36" s="32">
        <v>25</v>
      </c>
      <c r="E36" s="32">
        <f t="shared" si="32"/>
        <v>28</v>
      </c>
      <c r="F36" s="283" t="s">
        <v>44</v>
      </c>
      <c r="G36" s="283" t="s">
        <v>45</v>
      </c>
      <c r="H36" s="32">
        <v>1</v>
      </c>
      <c r="I36" s="32">
        <v>1</v>
      </c>
      <c r="J36" s="65">
        <v>0</v>
      </c>
      <c r="K36" s="229"/>
      <c r="L36" s="303">
        <v>1</v>
      </c>
      <c r="M36" s="304">
        <f t="shared" si="0"/>
        <v>0.20547945205479451</v>
      </c>
      <c r="N36" s="303" t="str">
        <f t="shared" si="1"/>
        <v/>
      </c>
      <c r="O36" s="303">
        <f t="shared" si="10"/>
        <v>1</v>
      </c>
      <c r="P36" s="304">
        <f t="shared" si="11"/>
        <v>0.29411764705882354</v>
      </c>
      <c r="Q36" s="303" t="str">
        <f t="shared" si="12"/>
        <v/>
      </c>
      <c r="R36" s="303">
        <f t="shared" si="13"/>
        <v>1</v>
      </c>
      <c r="S36" s="304">
        <f t="shared" si="14"/>
        <v>0.2</v>
      </c>
      <c r="T36" s="74">
        <f t="shared" si="15"/>
        <v>1</v>
      </c>
      <c r="V36" s="55">
        <f t="shared" si="16"/>
        <v>73</v>
      </c>
      <c r="W36" s="233">
        <f t="shared" si="2"/>
        <v>0.20547945205479451</v>
      </c>
      <c r="X36" s="231">
        <f t="shared" si="17"/>
        <v>5.4350416575342475</v>
      </c>
      <c r="Y36" s="232">
        <f t="shared" si="18"/>
        <v>0</v>
      </c>
      <c r="Z36" s="232">
        <f t="shared" si="19"/>
        <v>1</v>
      </c>
      <c r="AA36" s="232">
        <f t="shared" si="3"/>
        <v>51</v>
      </c>
      <c r="AB36" s="233">
        <f t="shared" si="4"/>
        <v>0.29411764705882354</v>
      </c>
      <c r="AC36" s="231">
        <f t="shared" si="20"/>
        <v>7.9169111176470564</v>
      </c>
      <c r="AD36" s="232">
        <f t="shared" si="21"/>
        <v>0</v>
      </c>
      <c r="AE36" s="232">
        <f t="shared" si="22"/>
        <v>1</v>
      </c>
      <c r="AF36" s="232">
        <f t="shared" si="5"/>
        <v>45</v>
      </c>
      <c r="AG36" s="232">
        <f t="shared" si="6"/>
        <v>9</v>
      </c>
      <c r="AH36" s="236">
        <f t="shared" si="23"/>
        <v>0.2</v>
      </c>
      <c r="AI36" s="231">
        <f t="shared" si="24"/>
        <v>10.081616999999994</v>
      </c>
      <c r="AJ36" s="232">
        <f t="shared" si="25"/>
        <v>1</v>
      </c>
    </row>
    <row r="37" spans="1:36" ht="14.1" customHeight="1" x14ac:dyDescent="0.2">
      <c r="A37" s="240" t="s">
        <v>462</v>
      </c>
      <c r="B37" s="282" t="s">
        <v>330</v>
      </c>
      <c r="C37" s="32">
        <v>20</v>
      </c>
      <c r="D37" s="32">
        <v>25</v>
      </c>
      <c r="E37" s="32">
        <f t="shared" si="32"/>
        <v>29</v>
      </c>
      <c r="F37" s="283" t="s">
        <v>44</v>
      </c>
      <c r="G37" s="283" t="s">
        <v>45</v>
      </c>
      <c r="H37" s="32">
        <v>5</v>
      </c>
      <c r="I37" s="32">
        <v>1</v>
      </c>
      <c r="J37" s="65">
        <v>0</v>
      </c>
      <c r="K37" s="229"/>
      <c r="L37" s="303">
        <v>1</v>
      </c>
      <c r="M37" s="304">
        <f t="shared" si="0"/>
        <v>0.20547945205479451</v>
      </c>
      <c r="N37" s="303" t="str">
        <f t="shared" si="1"/>
        <v/>
      </c>
      <c r="O37" s="303">
        <f t="shared" si="10"/>
        <v>1</v>
      </c>
      <c r="P37" s="304">
        <f t="shared" si="11"/>
        <v>0.29411764705882354</v>
      </c>
      <c r="Q37" s="303">
        <f t="shared" si="12"/>
        <v>1</v>
      </c>
      <c r="R37" s="303">
        <f t="shared" si="13"/>
        <v>1</v>
      </c>
      <c r="S37" s="304">
        <f t="shared" si="14"/>
        <v>0.2</v>
      </c>
      <c r="T37" s="74" t="str">
        <f t="shared" si="15"/>
        <v/>
      </c>
      <c r="V37" s="55">
        <f t="shared" si="16"/>
        <v>73</v>
      </c>
      <c r="W37" s="233">
        <f t="shared" si="2"/>
        <v>0.20547945205479451</v>
      </c>
      <c r="X37" s="231">
        <f t="shared" si="17"/>
        <v>5.6405211095890424</v>
      </c>
      <c r="Y37" s="232">
        <f t="shared" si="18"/>
        <v>0</v>
      </c>
      <c r="Z37" s="232">
        <f t="shared" si="19"/>
        <v>1</v>
      </c>
      <c r="AA37" s="232">
        <f t="shared" si="3"/>
        <v>51</v>
      </c>
      <c r="AB37" s="233">
        <f t="shared" si="4"/>
        <v>0.29411764705882354</v>
      </c>
      <c r="AC37" s="231">
        <f t="shared" si="20"/>
        <v>8.2110287647058797</v>
      </c>
      <c r="AD37" s="232">
        <f t="shared" si="21"/>
        <v>1</v>
      </c>
      <c r="AE37" s="232">
        <f t="shared" si="22"/>
        <v>1</v>
      </c>
      <c r="AF37" s="232">
        <f t="shared" si="5"/>
        <v>45</v>
      </c>
      <c r="AG37" s="232">
        <f t="shared" si="6"/>
        <v>9</v>
      </c>
      <c r="AH37" s="236">
        <f t="shared" si="23"/>
        <v>0.2</v>
      </c>
      <c r="AI37" s="231">
        <f t="shared" si="24"/>
        <v>10.281616999999994</v>
      </c>
      <c r="AJ37" s="232">
        <f t="shared" si="25"/>
        <v>0</v>
      </c>
    </row>
    <row r="38" spans="1:36" ht="14.1" customHeight="1" x14ac:dyDescent="0.2">
      <c r="A38" s="240" t="s">
        <v>462</v>
      </c>
      <c r="B38" s="282" t="s">
        <v>330</v>
      </c>
      <c r="C38" s="32">
        <v>20</v>
      </c>
      <c r="D38" s="32">
        <f t="shared" si="31"/>
        <v>26</v>
      </c>
      <c r="E38" s="32">
        <f t="shared" si="32"/>
        <v>30</v>
      </c>
      <c r="F38" s="283" t="s">
        <v>44</v>
      </c>
      <c r="G38" s="283" t="s">
        <v>45</v>
      </c>
      <c r="H38" s="32">
        <v>3</v>
      </c>
      <c r="I38" s="32">
        <v>1</v>
      </c>
      <c r="J38" s="65">
        <v>0</v>
      </c>
      <c r="K38" s="229"/>
      <c r="L38" s="303">
        <v>1</v>
      </c>
      <c r="M38" s="304">
        <f t="shared" si="0"/>
        <v>0.20547945205479451</v>
      </c>
      <c r="N38" s="303" t="str">
        <f t="shared" si="1"/>
        <v/>
      </c>
      <c r="O38" s="303">
        <f t="shared" si="10"/>
        <v>1</v>
      </c>
      <c r="P38" s="304">
        <f t="shared" si="11"/>
        <v>0.29411764705882354</v>
      </c>
      <c r="Q38" s="303" t="str">
        <f t="shared" si="12"/>
        <v/>
      </c>
      <c r="R38" s="303">
        <f t="shared" si="13"/>
        <v>1</v>
      </c>
      <c r="S38" s="304">
        <f t="shared" si="14"/>
        <v>0.2</v>
      </c>
      <c r="T38" s="74" t="str">
        <f t="shared" si="15"/>
        <v/>
      </c>
      <c r="V38" s="55">
        <f t="shared" si="16"/>
        <v>73</v>
      </c>
      <c r="W38" s="233">
        <f t="shared" si="2"/>
        <v>0.20547945205479451</v>
      </c>
      <c r="X38" s="231">
        <f t="shared" si="17"/>
        <v>5.8460005616438373</v>
      </c>
      <c r="Y38" s="232">
        <f t="shared" si="18"/>
        <v>0</v>
      </c>
      <c r="Z38" s="232">
        <f t="shared" si="19"/>
        <v>1</v>
      </c>
      <c r="AA38" s="232">
        <f t="shared" si="3"/>
        <v>51</v>
      </c>
      <c r="AB38" s="233">
        <f t="shared" si="4"/>
        <v>0.29411764705882354</v>
      </c>
      <c r="AC38" s="231">
        <f t="shared" si="20"/>
        <v>8.505146411764704</v>
      </c>
      <c r="AD38" s="232">
        <f t="shared" si="21"/>
        <v>0</v>
      </c>
      <c r="AE38" s="232">
        <f t="shared" si="22"/>
        <v>1</v>
      </c>
      <c r="AF38" s="232">
        <f t="shared" si="5"/>
        <v>45</v>
      </c>
      <c r="AG38" s="232">
        <f t="shared" si="6"/>
        <v>9</v>
      </c>
      <c r="AH38" s="236">
        <f t="shared" si="23"/>
        <v>0.2</v>
      </c>
      <c r="AI38" s="231">
        <f t="shared" si="24"/>
        <v>10.481616999999993</v>
      </c>
      <c r="AJ38" s="232">
        <f t="shared" si="25"/>
        <v>0</v>
      </c>
    </row>
    <row r="39" spans="1:36" ht="14.1" customHeight="1" x14ac:dyDescent="0.2">
      <c r="A39" s="240" t="s">
        <v>462</v>
      </c>
      <c r="B39" s="282" t="s">
        <v>330</v>
      </c>
      <c r="C39" s="32">
        <v>20</v>
      </c>
      <c r="D39" s="32">
        <f t="shared" si="31"/>
        <v>27</v>
      </c>
      <c r="E39" s="32">
        <f t="shared" si="32"/>
        <v>31</v>
      </c>
      <c r="F39" s="283" t="s">
        <v>44</v>
      </c>
      <c r="G39" s="283" t="s">
        <v>45</v>
      </c>
      <c r="H39" s="32">
        <v>2</v>
      </c>
      <c r="I39" s="32">
        <v>1</v>
      </c>
      <c r="J39" s="65">
        <v>0</v>
      </c>
      <c r="K39" s="229"/>
      <c r="L39" s="303">
        <v>1</v>
      </c>
      <c r="M39" s="304">
        <f t="shared" si="0"/>
        <v>0.20547945205479451</v>
      </c>
      <c r="N39" s="303">
        <f t="shared" si="1"/>
        <v>1</v>
      </c>
      <c r="O39" s="303">
        <f t="shared" si="10"/>
        <v>1</v>
      </c>
      <c r="P39" s="304">
        <f t="shared" si="11"/>
        <v>0.29411764705882354</v>
      </c>
      <c r="Q39" s="303" t="str">
        <f t="shared" si="12"/>
        <v/>
      </c>
      <c r="R39" s="303">
        <f t="shared" si="13"/>
        <v>1</v>
      </c>
      <c r="S39" s="304">
        <f t="shared" si="14"/>
        <v>0.2</v>
      </c>
      <c r="T39" s="74" t="str">
        <f t="shared" si="15"/>
        <v/>
      </c>
      <c r="V39" s="55">
        <f t="shared" si="16"/>
        <v>73</v>
      </c>
      <c r="W39" s="233">
        <f t="shared" si="2"/>
        <v>0.20547945205479451</v>
      </c>
      <c r="X39" s="231">
        <f t="shared" si="17"/>
        <v>6.0514800136986322</v>
      </c>
      <c r="Y39" s="232">
        <f t="shared" si="18"/>
        <v>1</v>
      </c>
      <c r="Z39" s="232">
        <f t="shared" si="19"/>
        <v>1</v>
      </c>
      <c r="AA39" s="232">
        <f t="shared" si="3"/>
        <v>51</v>
      </c>
      <c r="AB39" s="233">
        <f t="shared" si="4"/>
        <v>0.29411764705882354</v>
      </c>
      <c r="AC39" s="231">
        <f t="shared" si="20"/>
        <v>8.7992640588235282</v>
      </c>
      <c r="AD39" s="232">
        <f t="shared" si="21"/>
        <v>0</v>
      </c>
      <c r="AE39" s="232">
        <f t="shared" si="22"/>
        <v>1</v>
      </c>
      <c r="AF39" s="232">
        <f t="shared" si="5"/>
        <v>45</v>
      </c>
      <c r="AG39" s="232">
        <f t="shared" si="6"/>
        <v>9</v>
      </c>
      <c r="AH39" s="236">
        <f t="shared" si="23"/>
        <v>0.2</v>
      </c>
      <c r="AI39" s="231">
        <f t="shared" si="24"/>
        <v>10.681616999999992</v>
      </c>
      <c r="AJ39" s="232">
        <f t="shared" si="25"/>
        <v>0</v>
      </c>
    </row>
    <row r="40" spans="1:36" ht="14.1" customHeight="1" x14ac:dyDescent="0.2">
      <c r="A40" s="240" t="s">
        <v>462</v>
      </c>
      <c r="B40" s="282" t="s">
        <v>330</v>
      </c>
      <c r="C40" s="32">
        <f t="shared" si="30"/>
        <v>21</v>
      </c>
      <c r="D40" s="32">
        <f t="shared" si="31"/>
        <v>28</v>
      </c>
      <c r="E40" s="32">
        <f t="shared" si="32"/>
        <v>32</v>
      </c>
      <c r="F40" s="283" t="s">
        <v>44</v>
      </c>
      <c r="G40" s="283" t="s">
        <v>45</v>
      </c>
      <c r="H40" s="32">
        <v>5</v>
      </c>
      <c r="I40" s="32">
        <v>1</v>
      </c>
      <c r="J40" s="65">
        <v>0</v>
      </c>
      <c r="K40" s="229"/>
      <c r="L40" s="303">
        <v>1</v>
      </c>
      <c r="M40" s="304">
        <f t="shared" si="0"/>
        <v>0.20547945205479451</v>
      </c>
      <c r="N40" s="303" t="str">
        <f t="shared" si="1"/>
        <v/>
      </c>
      <c r="O40" s="303">
        <f t="shared" si="10"/>
        <v>1</v>
      </c>
      <c r="P40" s="304">
        <f t="shared" si="11"/>
        <v>0.29411764705882354</v>
      </c>
      <c r="Q40" s="303">
        <f t="shared" si="12"/>
        <v>1</v>
      </c>
      <c r="R40" s="303">
        <f t="shared" si="13"/>
        <v>1</v>
      </c>
      <c r="S40" s="304">
        <f t="shared" si="14"/>
        <v>0.2</v>
      </c>
      <c r="T40" s="74" t="str">
        <f t="shared" si="15"/>
        <v/>
      </c>
      <c r="V40" s="55">
        <f t="shared" si="16"/>
        <v>73</v>
      </c>
      <c r="W40" s="233">
        <f t="shared" si="2"/>
        <v>0.20547945205479451</v>
      </c>
      <c r="X40" s="231">
        <f t="shared" si="17"/>
        <v>6.2569594657534271</v>
      </c>
      <c r="Y40" s="232">
        <f t="shared" si="18"/>
        <v>0</v>
      </c>
      <c r="Z40" s="232">
        <f t="shared" si="19"/>
        <v>1</v>
      </c>
      <c r="AA40" s="232">
        <f t="shared" si="3"/>
        <v>51</v>
      </c>
      <c r="AB40" s="233">
        <f t="shared" si="4"/>
        <v>0.29411764705882354</v>
      </c>
      <c r="AC40" s="231">
        <f t="shared" si="20"/>
        <v>9.0933817058823525</v>
      </c>
      <c r="AD40" s="232">
        <f t="shared" si="21"/>
        <v>1</v>
      </c>
      <c r="AE40" s="232">
        <f t="shared" si="22"/>
        <v>1</v>
      </c>
      <c r="AF40" s="232">
        <f t="shared" si="5"/>
        <v>45</v>
      </c>
      <c r="AG40" s="232">
        <f t="shared" si="6"/>
        <v>9</v>
      </c>
      <c r="AH40" s="236">
        <f t="shared" si="23"/>
        <v>0.2</v>
      </c>
      <c r="AI40" s="231">
        <f t="shared" si="24"/>
        <v>10.881616999999991</v>
      </c>
      <c r="AJ40" s="232">
        <f t="shared" si="25"/>
        <v>0</v>
      </c>
    </row>
    <row r="41" spans="1:36" ht="14.1" customHeight="1" x14ac:dyDescent="0.2">
      <c r="A41" s="240" t="s">
        <v>462</v>
      </c>
      <c r="B41" s="282" t="s">
        <v>330</v>
      </c>
      <c r="C41" s="32">
        <f t="shared" si="30"/>
        <v>22</v>
      </c>
      <c r="D41" s="32">
        <f t="shared" si="31"/>
        <v>29</v>
      </c>
      <c r="E41" s="32">
        <f t="shared" si="32"/>
        <v>33</v>
      </c>
      <c r="F41" s="283" t="s">
        <v>44</v>
      </c>
      <c r="G41" s="283" t="s">
        <v>45</v>
      </c>
      <c r="H41" s="32">
        <v>7</v>
      </c>
      <c r="I41" s="32">
        <v>1</v>
      </c>
      <c r="J41" s="65">
        <v>0</v>
      </c>
      <c r="K41" s="229"/>
      <c r="L41" s="303">
        <v>1</v>
      </c>
      <c r="M41" s="304">
        <f t="shared" si="0"/>
        <v>0.20547945205479451</v>
      </c>
      <c r="N41" s="303" t="str">
        <f t="shared" si="1"/>
        <v/>
      </c>
      <c r="O41" s="303">
        <f t="shared" si="10"/>
        <v>1</v>
      </c>
      <c r="P41" s="304">
        <f t="shared" si="11"/>
        <v>0.29411764705882354</v>
      </c>
      <c r="Q41" s="303" t="str">
        <f t="shared" si="12"/>
        <v/>
      </c>
      <c r="R41" s="303">
        <f t="shared" si="13"/>
        <v>1</v>
      </c>
      <c r="S41" s="304">
        <f t="shared" si="14"/>
        <v>0.2</v>
      </c>
      <c r="T41" s="74">
        <f t="shared" si="15"/>
        <v>1</v>
      </c>
      <c r="V41" s="55">
        <f t="shared" si="16"/>
        <v>73</v>
      </c>
      <c r="W41" s="233">
        <f t="shared" si="2"/>
        <v>0.20547945205479451</v>
      </c>
      <c r="X41" s="231">
        <f t="shared" si="17"/>
        <v>6.462438917808222</v>
      </c>
      <c r="Y41" s="232">
        <f t="shared" si="18"/>
        <v>0</v>
      </c>
      <c r="Z41" s="232">
        <f t="shared" si="19"/>
        <v>1</v>
      </c>
      <c r="AA41" s="232">
        <f t="shared" si="3"/>
        <v>51</v>
      </c>
      <c r="AB41" s="233">
        <f t="shared" si="4"/>
        <v>0.29411764705882354</v>
      </c>
      <c r="AC41" s="231">
        <f t="shared" si="20"/>
        <v>9.3874993529411768</v>
      </c>
      <c r="AD41" s="232">
        <f t="shared" si="21"/>
        <v>0</v>
      </c>
      <c r="AE41" s="232">
        <f t="shared" si="22"/>
        <v>1</v>
      </c>
      <c r="AF41" s="232">
        <f t="shared" si="5"/>
        <v>45</v>
      </c>
      <c r="AG41" s="232">
        <f t="shared" si="6"/>
        <v>9</v>
      </c>
      <c r="AH41" s="236">
        <f t="shared" si="23"/>
        <v>0.2</v>
      </c>
      <c r="AI41" s="231">
        <f t="shared" si="24"/>
        <v>11.081616999999991</v>
      </c>
      <c r="AJ41" s="232">
        <f t="shared" si="25"/>
        <v>1</v>
      </c>
    </row>
    <row r="42" spans="1:36" ht="14.1" customHeight="1" x14ac:dyDescent="0.2">
      <c r="A42" s="240" t="s">
        <v>462</v>
      </c>
      <c r="B42" s="282" t="s">
        <v>330</v>
      </c>
      <c r="C42" s="32">
        <f t="shared" si="30"/>
        <v>23</v>
      </c>
      <c r="D42" s="32">
        <f t="shared" si="31"/>
        <v>30</v>
      </c>
      <c r="E42" s="32">
        <f t="shared" si="32"/>
        <v>34</v>
      </c>
      <c r="F42" s="283" t="s">
        <v>44</v>
      </c>
      <c r="G42" s="283" t="s">
        <v>45</v>
      </c>
      <c r="H42" s="32">
        <v>3</v>
      </c>
      <c r="I42" s="32">
        <v>1</v>
      </c>
      <c r="J42" s="65">
        <v>0</v>
      </c>
      <c r="K42" s="229"/>
      <c r="L42" s="303">
        <v>1</v>
      </c>
      <c r="M42" s="304">
        <f t="shared" si="0"/>
        <v>0.20547945205479451</v>
      </c>
      <c r="N42" s="303" t="str">
        <f t="shared" si="1"/>
        <v/>
      </c>
      <c r="O42" s="303">
        <f t="shared" si="10"/>
        <v>1</v>
      </c>
      <c r="P42" s="304">
        <f t="shared" si="11"/>
        <v>0.29411764705882354</v>
      </c>
      <c r="Q42" s="303" t="str">
        <f t="shared" si="12"/>
        <v/>
      </c>
      <c r="R42" s="303">
        <f t="shared" si="13"/>
        <v>1</v>
      </c>
      <c r="S42" s="304">
        <f t="shared" si="14"/>
        <v>0.2</v>
      </c>
      <c r="T42" s="74" t="str">
        <f t="shared" si="15"/>
        <v/>
      </c>
      <c r="V42" s="55">
        <f t="shared" si="16"/>
        <v>73</v>
      </c>
      <c r="W42" s="233">
        <f t="shared" si="2"/>
        <v>0.20547945205479451</v>
      </c>
      <c r="X42" s="231">
        <f t="shared" si="17"/>
        <v>6.6679183698630169</v>
      </c>
      <c r="Y42" s="232">
        <f t="shared" si="18"/>
        <v>0</v>
      </c>
      <c r="Z42" s="232">
        <f t="shared" si="19"/>
        <v>1</v>
      </c>
      <c r="AA42" s="232">
        <f t="shared" si="3"/>
        <v>51</v>
      </c>
      <c r="AB42" s="233">
        <f t="shared" si="4"/>
        <v>0.29411764705882354</v>
      </c>
      <c r="AC42" s="231">
        <f t="shared" si="20"/>
        <v>9.681617000000001</v>
      </c>
      <c r="AD42" s="232">
        <f t="shared" si="21"/>
        <v>0</v>
      </c>
      <c r="AE42" s="232">
        <f t="shared" si="22"/>
        <v>1</v>
      </c>
      <c r="AF42" s="232">
        <f t="shared" si="5"/>
        <v>45</v>
      </c>
      <c r="AG42" s="232">
        <f t="shared" si="6"/>
        <v>9</v>
      </c>
      <c r="AH42" s="236">
        <f t="shared" si="23"/>
        <v>0.2</v>
      </c>
      <c r="AI42" s="231">
        <f t="shared" si="24"/>
        <v>11.28161699999999</v>
      </c>
      <c r="AJ42" s="232">
        <f t="shared" si="25"/>
        <v>0</v>
      </c>
    </row>
    <row r="43" spans="1:36" ht="14.1" customHeight="1" x14ac:dyDescent="0.2">
      <c r="A43" s="240" t="s">
        <v>462</v>
      </c>
      <c r="B43" s="282" t="s">
        <v>330</v>
      </c>
      <c r="C43" s="32">
        <f t="shared" si="30"/>
        <v>24</v>
      </c>
      <c r="D43" s="32">
        <f t="shared" si="31"/>
        <v>31</v>
      </c>
      <c r="E43" s="32">
        <f t="shared" si="32"/>
        <v>35</v>
      </c>
      <c r="F43" s="283" t="s">
        <v>44</v>
      </c>
      <c r="G43" s="283" t="s">
        <v>45</v>
      </c>
      <c r="H43" s="32">
        <v>7</v>
      </c>
      <c r="I43" s="32">
        <v>1</v>
      </c>
      <c r="J43" s="65">
        <v>0</v>
      </c>
      <c r="K43" s="229"/>
      <c r="L43" s="303">
        <v>1</v>
      </c>
      <c r="M43" s="304">
        <f t="shared" si="0"/>
        <v>0.20547945205479451</v>
      </c>
      <c r="N43" s="303" t="str">
        <f t="shared" si="1"/>
        <v/>
      </c>
      <c r="O43" s="303">
        <f t="shared" si="10"/>
        <v>1</v>
      </c>
      <c r="P43" s="304">
        <f t="shared" si="11"/>
        <v>0.29411764705882354</v>
      </c>
      <c r="Q43" s="303" t="str">
        <f t="shared" si="12"/>
        <v/>
      </c>
      <c r="R43" s="303">
        <f t="shared" si="13"/>
        <v>1</v>
      </c>
      <c r="S43" s="304">
        <f t="shared" si="14"/>
        <v>0.2</v>
      </c>
      <c r="T43" s="74" t="str">
        <f t="shared" si="15"/>
        <v/>
      </c>
      <c r="V43" s="55">
        <f t="shared" si="16"/>
        <v>73</v>
      </c>
      <c r="W43" s="233">
        <f t="shared" si="2"/>
        <v>0.20547945205479451</v>
      </c>
      <c r="X43" s="231">
        <f t="shared" si="17"/>
        <v>6.8733978219178118</v>
      </c>
      <c r="Y43" s="232">
        <f t="shared" si="18"/>
        <v>0</v>
      </c>
      <c r="Z43" s="232">
        <f t="shared" si="19"/>
        <v>1</v>
      </c>
      <c r="AA43" s="232">
        <f t="shared" si="3"/>
        <v>51</v>
      </c>
      <c r="AB43" s="233">
        <f t="shared" si="4"/>
        <v>0.29411764705882354</v>
      </c>
      <c r="AC43" s="231">
        <f t="shared" si="20"/>
        <v>9.9757346470588253</v>
      </c>
      <c r="AD43" s="232">
        <f t="shared" si="21"/>
        <v>0</v>
      </c>
      <c r="AE43" s="232">
        <f t="shared" si="22"/>
        <v>1</v>
      </c>
      <c r="AF43" s="232">
        <f t="shared" si="5"/>
        <v>45</v>
      </c>
      <c r="AG43" s="232">
        <f t="shared" si="6"/>
        <v>9</v>
      </c>
      <c r="AH43" s="236">
        <f t="shared" si="23"/>
        <v>0.2</v>
      </c>
      <c r="AI43" s="231">
        <f t="shared" si="24"/>
        <v>11.481616999999989</v>
      </c>
      <c r="AJ43" s="232">
        <f t="shared" si="25"/>
        <v>0</v>
      </c>
    </row>
    <row r="44" spans="1:36" ht="14.1" customHeight="1" x14ac:dyDescent="0.2">
      <c r="A44" s="240" t="s">
        <v>462</v>
      </c>
      <c r="B44" s="282" t="s">
        <v>330</v>
      </c>
      <c r="C44" s="32">
        <f t="shared" si="30"/>
        <v>25</v>
      </c>
      <c r="D44" s="32">
        <f t="shared" si="31"/>
        <v>32</v>
      </c>
      <c r="E44" s="32">
        <f t="shared" si="32"/>
        <v>36</v>
      </c>
      <c r="F44" s="283" t="s">
        <v>44</v>
      </c>
      <c r="G44" s="283" t="s">
        <v>45</v>
      </c>
      <c r="H44" s="32">
        <v>7</v>
      </c>
      <c r="I44" s="32">
        <v>1</v>
      </c>
      <c r="J44" s="65">
        <v>0</v>
      </c>
      <c r="K44" s="229"/>
      <c r="L44" s="303">
        <v>1</v>
      </c>
      <c r="M44" s="304">
        <f t="shared" si="0"/>
        <v>0.20547945205479451</v>
      </c>
      <c r="N44" s="303">
        <f t="shared" si="1"/>
        <v>1</v>
      </c>
      <c r="O44" s="303">
        <f t="shared" si="10"/>
        <v>1</v>
      </c>
      <c r="P44" s="304">
        <f t="shared" si="11"/>
        <v>0.29411764705882354</v>
      </c>
      <c r="Q44" s="303">
        <f t="shared" si="12"/>
        <v>1</v>
      </c>
      <c r="R44" s="303">
        <f t="shared" si="13"/>
        <v>1</v>
      </c>
      <c r="S44" s="304">
        <f t="shared" si="14"/>
        <v>0.2</v>
      </c>
      <c r="T44" s="74" t="str">
        <f t="shared" si="15"/>
        <v/>
      </c>
      <c r="V44" s="55">
        <f t="shared" si="16"/>
        <v>73</v>
      </c>
      <c r="W44" s="233">
        <f t="shared" si="2"/>
        <v>0.20547945205479451</v>
      </c>
      <c r="X44" s="231">
        <f t="shared" si="17"/>
        <v>7.0788772739726067</v>
      </c>
      <c r="Y44" s="232">
        <f t="shared" si="18"/>
        <v>1</v>
      </c>
      <c r="Z44" s="232">
        <f t="shared" si="19"/>
        <v>1</v>
      </c>
      <c r="AA44" s="232">
        <f t="shared" si="3"/>
        <v>51</v>
      </c>
      <c r="AB44" s="233">
        <f t="shared" si="4"/>
        <v>0.29411764705882354</v>
      </c>
      <c r="AC44" s="231">
        <f t="shared" si="20"/>
        <v>10.26985229411765</v>
      </c>
      <c r="AD44" s="232">
        <f t="shared" si="21"/>
        <v>1</v>
      </c>
      <c r="AE44" s="232">
        <f t="shared" si="22"/>
        <v>1</v>
      </c>
      <c r="AF44" s="232">
        <f t="shared" si="5"/>
        <v>45</v>
      </c>
      <c r="AG44" s="232">
        <f t="shared" si="6"/>
        <v>9</v>
      </c>
      <c r="AH44" s="236">
        <f t="shared" si="23"/>
        <v>0.2</v>
      </c>
      <c r="AI44" s="231">
        <f t="shared" si="24"/>
        <v>11.681616999999989</v>
      </c>
      <c r="AJ44" s="232">
        <f t="shared" si="25"/>
        <v>0</v>
      </c>
    </row>
    <row r="45" spans="1:36" ht="14.1" customHeight="1" x14ac:dyDescent="0.2">
      <c r="A45" s="240" t="s">
        <v>462</v>
      </c>
      <c r="B45" s="282" t="s">
        <v>330</v>
      </c>
      <c r="C45" s="32">
        <f t="shared" si="30"/>
        <v>26</v>
      </c>
      <c r="D45" s="32">
        <f t="shared" si="31"/>
        <v>33</v>
      </c>
      <c r="E45" s="32">
        <f t="shared" si="32"/>
        <v>37</v>
      </c>
      <c r="F45" s="283" t="s">
        <v>44</v>
      </c>
      <c r="G45" s="283" t="s">
        <v>45</v>
      </c>
      <c r="H45" s="32">
        <v>2</v>
      </c>
      <c r="I45" s="32">
        <v>1</v>
      </c>
      <c r="J45" s="65">
        <v>0</v>
      </c>
      <c r="K45" s="229"/>
      <c r="L45" s="303">
        <v>1</v>
      </c>
      <c r="M45" s="304">
        <f t="shared" si="0"/>
        <v>0.20547945205479451</v>
      </c>
      <c r="N45" s="303" t="str">
        <f t="shared" si="1"/>
        <v/>
      </c>
      <c r="O45" s="303">
        <f t="shared" si="10"/>
        <v>1</v>
      </c>
      <c r="P45" s="304">
        <f t="shared" si="11"/>
        <v>0.29411764705882354</v>
      </c>
      <c r="Q45" s="303" t="str">
        <f t="shared" si="12"/>
        <v/>
      </c>
      <c r="R45" s="303">
        <f t="shared" si="13"/>
        <v>1</v>
      </c>
      <c r="S45" s="304">
        <f t="shared" si="14"/>
        <v>0.2</v>
      </c>
      <c r="T45" s="74" t="str">
        <f t="shared" si="15"/>
        <v/>
      </c>
      <c r="V45" s="55">
        <f t="shared" si="16"/>
        <v>73</v>
      </c>
      <c r="W45" s="233">
        <f t="shared" si="2"/>
        <v>0.20547945205479451</v>
      </c>
      <c r="X45" s="231">
        <f t="shared" si="17"/>
        <v>7.2843567260274016</v>
      </c>
      <c r="Y45" s="232">
        <f t="shared" si="18"/>
        <v>0</v>
      </c>
      <c r="Z45" s="232">
        <f t="shared" si="19"/>
        <v>1</v>
      </c>
      <c r="AA45" s="232">
        <f t="shared" si="3"/>
        <v>51</v>
      </c>
      <c r="AB45" s="233">
        <f t="shared" si="4"/>
        <v>0.29411764705882354</v>
      </c>
      <c r="AC45" s="231">
        <f t="shared" si="20"/>
        <v>10.563969941176474</v>
      </c>
      <c r="AD45" s="232">
        <f t="shared" si="21"/>
        <v>0</v>
      </c>
      <c r="AE45" s="232">
        <f t="shared" si="22"/>
        <v>1</v>
      </c>
      <c r="AF45" s="232">
        <f t="shared" si="5"/>
        <v>45</v>
      </c>
      <c r="AG45" s="232">
        <f t="shared" si="6"/>
        <v>9</v>
      </c>
      <c r="AH45" s="236">
        <f t="shared" si="23"/>
        <v>0.2</v>
      </c>
      <c r="AI45" s="231">
        <f t="shared" si="24"/>
        <v>11.881616999999988</v>
      </c>
      <c r="AJ45" s="232">
        <f t="shared" si="25"/>
        <v>0</v>
      </c>
    </row>
    <row r="46" spans="1:36" ht="14.1" customHeight="1" x14ac:dyDescent="0.2">
      <c r="A46" s="240" t="s">
        <v>462</v>
      </c>
      <c r="B46" s="282" t="s">
        <v>330</v>
      </c>
      <c r="C46" s="32">
        <f t="shared" si="30"/>
        <v>27</v>
      </c>
      <c r="D46" s="32">
        <f t="shared" si="31"/>
        <v>34</v>
      </c>
      <c r="E46" s="32">
        <f t="shared" si="32"/>
        <v>38</v>
      </c>
      <c r="F46" s="283" t="s">
        <v>44</v>
      </c>
      <c r="G46" s="283" t="s">
        <v>45</v>
      </c>
      <c r="H46" s="32">
        <v>4</v>
      </c>
      <c r="I46" s="32">
        <v>1</v>
      </c>
      <c r="J46" s="65">
        <v>0</v>
      </c>
      <c r="K46" s="229"/>
      <c r="L46" s="303">
        <v>1</v>
      </c>
      <c r="M46" s="304">
        <f t="shared" si="0"/>
        <v>0.20547945205479451</v>
      </c>
      <c r="N46" s="303" t="str">
        <f t="shared" si="1"/>
        <v/>
      </c>
      <c r="O46" s="303">
        <f t="shared" si="10"/>
        <v>1</v>
      </c>
      <c r="P46" s="304">
        <f t="shared" si="11"/>
        <v>0.29411764705882354</v>
      </c>
      <c r="Q46" s="303" t="str">
        <f t="shared" si="12"/>
        <v/>
      </c>
      <c r="R46" s="303">
        <f t="shared" si="13"/>
        <v>1</v>
      </c>
      <c r="S46" s="304">
        <f t="shared" si="14"/>
        <v>0.2</v>
      </c>
      <c r="T46" s="74">
        <f t="shared" si="15"/>
        <v>1</v>
      </c>
      <c r="V46" s="55">
        <f t="shared" si="16"/>
        <v>73</v>
      </c>
      <c r="W46" s="233">
        <f t="shared" si="2"/>
        <v>0.20547945205479451</v>
      </c>
      <c r="X46" s="231">
        <f t="shared" si="17"/>
        <v>7.4898361780821965</v>
      </c>
      <c r="Y46" s="232">
        <f t="shared" si="18"/>
        <v>0</v>
      </c>
      <c r="Z46" s="232">
        <f t="shared" si="19"/>
        <v>1</v>
      </c>
      <c r="AA46" s="232">
        <f t="shared" si="3"/>
        <v>51</v>
      </c>
      <c r="AB46" s="233">
        <f t="shared" si="4"/>
        <v>0.29411764705882354</v>
      </c>
      <c r="AC46" s="231">
        <f t="shared" si="20"/>
        <v>10.858087588235298</v>
      </c>
      <c r="AD46" s="232">
        <f t="shared" si="21"/>
        <v>0</v>
      </c>
      <c r="AE46" s="232">
        <f t="shared" si="22"/>
        <v>1</v>
      </c>
      <c r="AF46" s="232">
        <f t="shared" si="5"/>
        <v>45</v>
      </c>
      <c r="AG46" s="232">
        <f t="shared" si="6"/>
        <v>9</v>
      </c>
      <c r="AH46" s="236">
        <f t="shared" si="23"/>
        <v>0.2</v>
      </c>
      <c r="AI46" s="231">
        <f t="shared" si="24"/>
        <v>12.081616999999987</v>
      </c>
      <c r="AJ46" s="232">
        <f t="shared" si="25"/>
        <v>1</v>
      </c>
    </row>
    <row r="47" spans="1:36" ht="14.1" customHeight="1" x14ac:dyDescent="0.2">
      <c r="A47" s="240" t="s">
        <v>462</v>
      </c>
      <c r="B47" s="282" t="s">
        <v>330</v>
      </c>
      <c r="C47" s="32">
        <f t="shared" si="30"/>
        <v>28</v>
      </c>
      <c r="D47" s="32">
        <f t="shared" si="31"/>
        <v>35</v>
      </c>
      <c r="E47" s="32">
        <f t="shared" si="32"/>
        <v>39</v>
      </c>
      <c r="F47" s="283" t="s">
        <v>44</v>
      </c>
      <c r="G47" s="283" t="s">
        <v>45</v>
      </c>
      <c r="H47" s="32">
        <v>3</v>
      </c>
      <c r="I47" s="32">
        <v>1</v>
      </c>
      <c r="J47" s="65">
        <v>0</v>
      </c>
      <c r="K47" s="229"/>
      <c r="L47" s="303">
        <v>1</v>
      </c>
      <c r="M47" s="304">
        <f t="shared" si="0"/>
        <v>0.20547945205479451</v>
      </c>
      <c r="N47" s="303" t="str">
        <f t="shared" si="1"/>
        <v/>
      </c>
      <c r="O47" s="303">
        <f t="shared" si="10"/>
        <v>1</v>
      </c>
      <c r="P47" s="304">
        <f t="shared" si="11"/>
        <v>0.29411764705882354</v>
      </c>
      <c r="Q47" s="303">
        <f t="shared" si="12"/>
        <v>1</v>
      </c>
      <c r="R47" s="303">
        <f t="shared" si="13"/>
        <v>1</v>
      </c>
      <c r="S47" s="304">
        <f t="shared" si="14"/>
        <v>0.2</v>
      </c>
      <c r="T47" s="74" t="str">
        <f t="shared" si="15"/>
        <v/>
      </c>
      <c r="V47" s="55">
        <f t="shared" si="16"/>
        <v>73</v>
      </c>
      <c r="W47" s="233">
        <f t="shared" si="2"/>
        <v>0.20547945205479451</v>
      </c>
      <c r="X47" s="231">
        <f t="shared" si="17"/>
        <v>7.6953156301369914</v>
      </c>
      <c r="Y47" s="232">
        <f t="shared" si="18"/>
        <v>0</v>
      </c>
      <c r="Z47" s="232">
        <f t="shared" si="19"/>
        <v>1</v>
      </c>
      <c r="AA47" s="232">
        <f t="shared" si="3"/>
        <v>51</v>
      </c>
      <c r="AB47" s="233">
        <f t="shared" si="4"/>
        <v>0.29411764705882354</v>
      </c>
      <c r="AC47" s="231">
        <f t="shared" si="20"/>
        <v>11.152205235294122</v>
      </c>
      <c r="AD47" s="232">
        <f t="shared" si="21"/>
        <v>1</v>
      </c>
      <c r="AE47" s="232">
        <f t="shared" si="22"/>
        <v>1</v>
      </c>
      <c r="AF47" s="232">
        <f t="shared" si="5"/>
        <v>45</v>
      </c>
      <c r="AG47" s="232">
        <f t="shared" si="6"/>
        <v>9</v>
      </c>
      <c r="AH47" s="236">
        <f t="shared" si="23"/>
        <v>0.2</v>
      </c>
      <c r="AI47" s="231">
        <f t="shared" si="24"/>
        <v>12.281616999999986</v>
      </c>
      <c r="AJ47" s="232">
        <f t="shared" si="25"/>
        <v>0</v>
      </c>
    </row>
    <row r="48" spans="1:36" ht="14.1" customHeight="1" x14ac:dyDescent="0.2">
      <c r="A48" s="240" t="s">
        <v>462</v>
      </c>
      <c r="B48" s="282" t="s">
        <v>330</v>
      </c>
      <c r="C48" s="32">
        <f t="shared" si="30"/>
        <v>29</v>
      </c>
      <c r="D48" s="32">
        <f t="shared" si="31"/>
        <v>36</v>
      </c>
      <c r="E48" s="32">
        <f t="shared" si="32"/>
        <v>40</v>
      </c>
      <c r="F48" s="283" t="s">
        <v>44</v>
      </c>
      <c r="G48" s="283" t="s">
        <v>45</v>
      </c>
      <c r="H48" s="32">
        <v>7</v>
      </c>
      <c r="I48" s="32">
        <v>1</v>
      </c>
      <c r="J48" s="65">
        <v>0</v>
      </c>
      <c r="K48" s="229"/>
      <c r="L48" s="303">
        <v>1</v>
      </c>
      <c r="M48" s="304">
        <f t="shared" si="0"/>
        <v>0.20547945205479451</v>
      </c>
      <c r="N48" s="303" t="str">
        <f t="shared" si="1"/>
        <v/>
      </c>
      <c r="O48" s="303">
        <f t="shared" si="10"/>
        <v>1</v>
      </c>
      <c r="P48" s="304">
        <f t="shared" si="11"/>
        <v>0.29411764705882354</v>
      </c>
      <c r="Q48" s="303" t="str">
        <f t="shared" si="12"/>
        <v/>
      </c>
      <c r="R48" s="303">
        <f t="shared" si="13"/>
        <v>1</v>
      </c>
      <c r="S48" s="304">
        <f t="shared" si="14"/>
        <v>0.2</v>
      </c>
      <c r="T48" s="74" t="str">
        <f t="shared" si="15"/>
        <v/>
      </c>
      <c r="V48" s="55">
        <f t="shared" si="16"/>
        <v>73</v>
      </c>
      <c r="W48" s="233">
        <f t="shared" si="2"/>
        <v>0.20547945205479451</v>
      </c>
      <c r="X48" s="231">
        <f t="shared" si="17"/>
        <v>7.9007950821917863</v>
      </c>
      <c r="Y48" s="232">
        <f t="shared" si="18"/>
        <v>0</v>
      </c>
      <c r="Z48" s="232">
        <f t="shared" si="19"/>
        <v>1</v>
      </c>
      <c r="AA48" s="232">
        <f t="shared" si="3"/>
        <v>51</v>
      </c>
      <c r="AB48" s="233">
        <f t="shared" si="4"/>
        <v>0.29411764705882354</v>
      </c>
      <c r="AC48" s="231">
        <f t="shared" si="20"/>
        <v>11.446322882352947</v>
      </c>
      <c r="AD48" s="232">
        <f t="shared" si="21"/>
        <v>0</v>
      </c>
      <c r="AE48" s="232">
        <f t="shared" si="22"/>
        <v>1</v>
      </c>
      <c r="AF48" s="232">
        <f t="shared" si="5"/>
        <v>45</v>
      </c>
      <c r="AG48" s="232">
        <f t="shared" si="6"/>
        <v>9</v>
      </c>
      <c r="AH48" s="236">
        <f t="shared" si="23"/>
        <v>0.2</v>
      </c>
      <c r="AI48" s="231">
        <f t="shared" si="24"/>
        <v>12.481616999999986</v>
      </c>
      <c r="AJ48" s="232">
        <f t="shared" si="25"/>
        <v>0</v>
      </c>
    </row>
    <row r="49" spans="1:38" ht="14.1" customHeight="1" x14ac:dyDescent="0.2">
      <c r="A49" s="240" t="s">
        <v>462</v>
      </c>
      <c r="B49" s="282" t="s">
        <v>330</v>
      </c>
      <c r="C49" s="32">
        <f t="shared" si="30"/>
        <v>30</v>
      </c>
      <c r="D49" s="32">
        <f t="shared" si="31"/>
        <v>37</v>
      </c>
      <c r="E49" s="32">
        <f t="shared" si="32"/>
        <v>41</v>
      </c>
      <c r="F49" s="283" t="s">
        <v>44</v>
      </c>
      <c r="G49" s="283" t="s">
        <v>45</v>
      </c>
      <c r="H49" s="32">
        <v>7</v>
      </c>
      <c r="I49" s="32">
        <v>1</v>
      </c>
      <c r="J49" s="65">
        <v>0</v>
      </c>
      <c r="K49" s="229"/>
      <c r="L49" s="303">
        <v>1</v>
      </c>
      <c r="M49" s="304">
        <f t="shared" si="0"/>
        <v>0.20547945205479451</v>
      </c>
      <c r="N49" s="303">
        <f t="shared" si="1"/>
        <v>1</v>
      </c>
      <c r="O49" s="303">
        <f t="shared" si="10"/>
        <v>1</v>
      </c>
      <c r="P49" s="304">
        <f t="shared" si="11"/>
        <v>0.29411764705882354</v>
      </c>
      <c r="Q49" s="303" t="str">
        <f t="shared" si="12"/>
        <v/>
      </c>
      <c r="R49" s="303">
        <f t="shared" si="13"/>
        <v>1</v>
      </c>
      <c r="S49" s="304">
        <f t="shared" si="14"/>
        <v>0.2</v>
      </c>
      <c r="T49" s="74" t="str">
        <f t="shared" si="15"/>
        <v/>
      </c>
      <c r="V49" s="55">
        <f t="shared" si="16"/>
        <v>73</v>
      </c>
      <c r="W49" s="233">
        <f t="shared" si="2"/>
        <v>0.20547945205479451</v>
      </c>
      <c r="X49" s="231">
        <f t="shared" si="17"/>
        <v>8.1062745342465803</v>
      </c>
      <c r="Y49" s="232">
        <f t="shared" si="18"/>
        <v>1</v>
      </c>
      <c r="Z49" s="232">
        <f t="shared" si="19"/>
        <v>1</v>
      </c>
      <c r="AA49" s="232">
        <f t="shared" si="3"/>
        <v>51</v>
      </c>
      <c r="AB49" s="233">
        <f t="shared" si="4"/>
        <v>0.29411764705882354</v>
      </c>
      <c r="AC49" s="231">
        <f t="shared" si="20"/>
        <v>11.740440529411771</v>
      </c>
      <c r="AD49" s="232">
        <f t="shared" si="21"/>
        <v>0</v>
      </c>
      <c r="AE49" s="232">
        <f t="shared" si="22"/>
        <v>1</v>
      </c>
      <c r="AF49" s="232">
        <f t="shared" si="5"/>
        <v>45</v>
      </c>
      <c r="AG49" s="232">
        <f t="shared" si="6"/>
        <v>9</v>
      </c>
      <c r="AH49" s="236">
        <f t="shared" si="23"/>
        <v>0.2</v>
      </c>
      <c r="AI49" s="231">
        <f t="shared" si="24"/>
        <v>12.681616999999985</v>
      </c>
      <c r="AJ49" s="232">
        <f t="shared" si="25"/>
        <v>0</v>
      </c>
    </row>
    <row r="50" spans="1:38" ht="14.1" customHeight="1" x14ac:dyDescent="0.2">
      <c r="A50" s="240" t="s">
        <v>462</v>
      </c>
      <c r="B50" s="282" t="s">
        <v>330</v>
      </c>
      <c r="C50" s="32">
        <f t="shared" si="30"/>
        <v>31</v>
      </c>
      <c r="D50" s="32">
        <f t="shared" si="31"/>
        <v>38</v>
      </c>
      <c r="E50" s="32">
        <f t="shared" si="32"/>
        <v>42</v>
      </c>
      <c r="F50" s="283" t="s">
        <v>44</v>
      </c>
      <c r="G50" s="283" t="s">
        <v>45</v>
      </c>
      <c r="H50" s="32">
        <v>6</v>
      </c>
      <c r="I50" s="32">
        <v>1</v>
      </c>
      <c r="J50" s="65">
        <v>0</v>
      </c>
      <c r="K50" s="229"/>
      <c r="L50" s="303">
        <v>1</v>
      </c>
      <c r="M50" s="304">
        <f t="shared" si="0"/>
        <v>0.20547945205479451</v>
      </c>
      <c r="N50" s="303" t="str">
        <f t="shared" si="1"/>
        <v/>
      </c>
      <c r="O50" s="303">
        <f t="shared" si="10"/>
        <v>1</v>
      </c>
      <c r="P50" s="304">
        <f t="shared" si="11"/>
        <v>0.29411764705882354</v>
      </c>
      <c r="Q50" s="303">
        <f t="shared" si="12"/>
        <v>1</v>
      </c>
      <c r="R50" s="303">
        <f t="shared" si="13"/>
        <v>1</v>
      </c>
      <c r="S50" s="304">
        <f t="shared" si="14"/>
        <v>0.2</v>
      </c>
      <c r="T50" s="74" t="str">
        <f t="shared" si="15"/>
        <v/>
      </c>
      <c r="V50" s="55">
        <f t="shared" si="16"/>
        <v>73</v>
      </c>
      <c r="W50" s="233">
        <f t="shared" si="2"/>
        <v>0.20547945205479451</v>
      </c>
      <c r="X50" s="231">
        <f t="shared" si="17"/>
        <v>8.3117539863013743</v>
      </c>
      <c r="Y50" s="232">
        <f t="shared" si="18"/>
        <v>0</v>
      </c>
      <c r="Z50" s="232">
        <f t="shared" si="19"/>
        <v>1</v>
      </c>
      <c r="AA50" s="232">
        <f t="shared" si="3"/>
        <v>51</v>
      </c>
      <c r="AB50" s="233">
        <f t="shared" si="4"/>
        <v>0.29411764705882354</v>
      </c>
      <c r="AC50" s="231">
        <f t="shared" si="20"/>
        <v>12.034558176470595</v>
      </c>
      <c r="AD50" s="232">
        <f t="shared" si="21"/>
        <v>1</v>
      </c>
      <c r="AE50" s="232">
        <f t="shared" si="22"/>
        <v>1</v>
      </c>
      <c r="AF50" s="232">
        <f t="shared" si="5"/>
        <v>45</v>
      </c>
      <c r="AG50" s="232">
        <f t="shared" si="6"/>
        <v>9</v>
      </c>
      <c r="AH50" s="236">
        <f t="shared" si="23"/>
        <v>0.2</v>
      </c>
      <c r="AI50" s="231">
        <f t="shared" si="24"/>
        <v>12.881616999999984</v>
      </c>
      <c r="AJ50" s="232">
        <f t="shared" si="25"/>
        <v>0</v>
      </c>
    </row>
    <row r="51" spans="1:38" ht="14.1" customHeight="1" x14ac:dyDescent="0.2">
      <c r="A51" s="240" t="s">
        <v>462</v>
      </c>
      <c r="B51" s="282" t="s">
        <v>330</v>
      </c>
      <c r="C51" s="32">
        <f t="shared" si="30"/>
        <v>32</v>
      </c>
      <c r="D51" s="32">
        <f t="shared" si="31"/>
        <v>39</v>
      </c>
      <c r="E51" s="32">
        <f t="shared" si="32"/>
        <v>43</v>
      </c>
      <c r="F51" s="283" t="s">
        <v>44</v>
      </c>
      <c r="G51" s="283" t="s">
        <v>45</v>
      </c>
      <c r="H51" s="32">
        <v>6</v>
      </c>
      <c r="I51" s="32">
        <v>1</v>
      </c>
      <c r="J51" s="65">
        <v>0</v>
      </c>
      <c r="K51" s="229"/>
      <c r="L51" s="303">
        <v>1</v>
      </c>
      <c r="M51" s="304">
        <f t="shared" si="0"/>
        <v>0.20547945205479451</v>
      </c>
      <c r="N51" s="303" t="str">
        <f t="shared" si="1"/>
        <v/>
      </c>
      <c r="O51" s="303">
        <f t="shared" si="10"/>
        <v>1</v>
      </c>
      <c r="P51" s="304">
        <f t="shared" si="11"/>
        <v>0.29411764705882354</v>
      </c>
      <c r="Q51" s="303" t="str">
        <f t="shared" si="12"/>
        <v/>
      </c>
      <c r="R51" s="303">
        <f t="shared" si="13"/>
        <v>1</v>
      </c>
      <c r="S51" s="304">
        <f t="shared" si="14"/>
        <v>0.2</v>
      </c>
      <c r="T51" s="74">
        <f t="shared" si="15"/>
        <v>1</v>
      </c>
      <c r="V51" s="55">
        <f t="shared" si="16"/>
        <v>73</v>
      </c>
      <c r="W51" s="233">
        <f t="shared" si="2"/>
        <v>0.20547945205479451</v>
      </c>
      <c r="X51" s="231">
        <f t="shared" si="17"/>
        <v>8.5172334383561683</v>
      </c>
      <c r="Y51" s="232">
        <f t="shared" si="18"/>
        <v>0</v>
      </c>
      <c r="Z51" s="232">
        <f t="shared" si="19"/>
        <v>1</v>
      </c>
      <c r="AA51" s="232">
        <f t="shared" si="3"/>
        <v>51</v>
      </c>
      <c r="AB51" s="233">
        <f t="shared" si="4"/>
        <v>0.29411764705882354</v>
      </c>
      <c r="AC51" s="231">
        <f t="shared" si="20"/>
        <v>12.328675823529419</v>
      </c>
      <c r="AD51" s="232">
        <f t="shared" si="21"/>
        <v>0</v>
      </c>
      <c r="AE51" s="232">
        <f t="shared" si="22"/>
        <v>1</v>
      </c>
      <c r="AF51" s="232">
        <f t="shared" si="5"/>
        <v>45</v>
      </c>
      <c r="AG51" s="232">
        <f t="shared" si="6"/>
        <v>9</v>
      </c>
      <c r="AH51" s="236">
        <f t="shared" si="23"/>
        <v>0.2</v>
      </c>
      <c r="AI51" s="231">
        <f t="shared" si="24"/>
        <v>13.081616999999984</v>
      </c>
      <c r="AJ51" s="232">
        <f t="shared" si="25"/>
        <v>1</v>
      </c>
    </row>
    <row r="52" spans="1:38" ht="14.1" customHeight="1" x14ac:dyDescent="0.2">
      <c r="A52" s="240" t="s">
        <v>462</v>
      </c>
      <c r="B52" s="282" t="s">
        <v>330</v>
      </c>
      <c r="C52" s="32">
        <f t="shared" si="30"/>
        <v>33</v>
      </c>
      <c r="D52" s="32">
        <f t="shared" si="31"/>
        <v>40</v>
      </c>
      <c r="E52" s="32">
        <f t="shared" si="32"/>
        <v>44</v>
      </c>
      <c r="F52" s="283" t="s">
        <v>44</v>
      </c>
      <c r="G52" s="283" t="s">
        <v>45</v>
      </c>
      <c r="H52" s="32">
        <v>1</v>
      </c>
      <c r="I52" s="32">
        <v>1</v>
      </c>
      <c r="J52" s="65">
        <v>0</v>
      </c>
      <c r="K52" s="229"/>
      <c r="L52" s="303">
        <v>1</v>
      </c>
      <c r="M52" s="304">
        <f t="shared" si="0"/>
        <v>0.20547945205479451</v>
      </c>
      <c r="N52" s="303" t="str">
        <f t="shared" si="1"/>
        <v/>
      </c>
      <c r="O52" s="303">
        <f t="shared" si="10"/>
        <v>1</v>
      </c>
      <c r="P52" s="304">
        <f t="shared" si="11"/>
        <v>0.29411764705882354</v>
      </c>
      <c r="Q52" s="303" t="str">
        <f t="shared" si="12"/>
        <v/>
      </c>
      <c r="R52" s="303">
        <f t="shared" si="13"/>
        <v>1</v>
      </c>
      <c r="S52" s="304">
        <f t="shared" si="14"/>
        <v>0.2</v>
      </c>
      <c r="T52" s="74" t="str">
        <f t="shared" si="15"/>
        <v/>
      </c>
      <c r="V52" s="55">
        <f t="shared" si="16"/>
        <v>73</v>
      </c>
      <c r="W52" s="233">
        <f t="shared" si="2"/>
        <v>0.20547945205479451</v>
      </c>
      <c r="X52" s="231">
        <f t="shared" si="17"/>
        <v>8.7227128904109623</v>
      </c>
      <c r="Y52" s="232">
        <f t="shared" si="18"/>
        <v>0</v>
      </c>
      <c r="Z52" s="232">
        <f t="shared" si="19"/>
        <v>1</v>
      </c>
      <c r="AA52" s="232">
        <f t="shared" si="3"/>
        <v>51</v>
      </c>
      <c r="AB52" s="233">
        <f t="shared" si="4"/>
        <v>0.29411764705882354</v>
      </c>
      <c r="AC52" s="231">
        <f t="shared" si="20"/>
        <v>12.622793470588244</v>
      </c>
      <c r="AD52" s="232">
        <f t="shared" si="21"/>
        <v>0</v>
      </c>
      <c r="AE52" s="232">
        <f t="shared" si="22"/>
        <v>1</v>
      </c>
      <c r="AF52" s="232">
        <f t="shared" si="5"/>
        <v>45</v>
      </c>
      <c r="AG52" s="232">
        <f t="shared" si="6"/>
        <v>9</v>
      </c>
      <c r="AH52" s="236">
        <f t="shared" si="23"/>
        <v>0.2</v>
      </c>
      <c r="AI52" s="231">
        <f t="shared" si="24"/>
        <v>13.281616999999983</v>
      </c>
      <c r="AJ52" s="232">
        <f t="shared" si="25"/>
        <v>0</v>
      </c>
    </row>
    <row r="53" spans="1:38" ht="14.1" customHeight="1" x14ac:dyDescent="0.2">
      <c r="A53" s="240" t="s">
        <v>462</v>
      </c>
      <c r="B53" s="282" t="s">
        <v>330</v>
      </c>
      <c r="C53" s="32">
        <v>33</v>
      </c>
      <c r="D53" s="32">
        <f t="shared" si="31"/>
        <v>41</v>
      </c>
      <c r="E53" s="32">
        <f t="shared" si="32"/>
        <v>45</v>
      </c>
      <c r="F53" s="283" t="s">
        <v>44</v>
      </c>
      <c r="G53" s="283" t="s">
        <v>45</v>
      </c>
      <c r="H53" s="32">
        <v>6</v>
      </c>
      <c r="I53" s="32">
        <v>1</v>
      </c>
      <c r="J53" s="65">
        <v>0</v>
      </c>
      <c r="K53" s="229"/>
      <c r="L53" s="303">
        <v>1</v>
      </c>
      <c r="M53" s="304">
        <f t="shared" si="0"/>
        <v>0.20547945205479451</v>
      </c>
      <c r="N53" s="303" t="str">
        <f t="shared" si="1"/>
        <v/>
      </c>
      <c r="O53" s="303">
        <f t="shared" si="10"/>
        <v>1</v>
      </c>
      <c r="P53" s="304">
        <f t="shared" si="11"/>
        <v>0.29411764705882354</v>
      </c>
      <c r="Q53" s="303" t="str">
        <f t="shared" si="12"/>
        <v/>
      </c>
      <c r="R53" s="303">
        <f t="shared" si="13"/>
        <v>1</v>
      </c>
      <c r="S53" s="304">
        <f t="shared" si="14"/>
        <v>0.2</v>
      </c>
      <c r="T53" s="74" t="str">
        <f t="shared" si="15"/>
        <v/>
      </c>
      <c r="V53" s="55">
        <f t="shared" si="16"/>
        <v>73</v>
      </c>
      <c r="W53" s="233">
        <f t="shared" si="2"/>
        <v>0.20547945205479451</v>
      </c>
      <c r="X53" s="231">
        <f t="shared" si="17"/>
        <v>8.9281923424657563</v>
      </c>
      <c r="Y53" s="232">
        <f t="shared" si="18"/>
        <v>0</v>
      </c>
      <c r="Z53" s="232">
        <f t="shared" si="19"/>
        <v>1</v>
      </c>
      <c r="AA53" s="232">
        <f t="shared" si="3"/>
        <v>51</v>
      </c>
      <c r="AB53" s="233">
        <f t="shared" si="4"/>
        <v>0.29411764705882354</v>
      </c>
      <c r="AC53" s="231">
        <f t="shared" si="20"/>
        <v>12.916911117647068</v>
      </c>
      <c r="AD53" s="232">
        <f t="shared" si="21"/>
        <v>0</v>
      </c>
      <c r="AE53" s="232">
        <f t="shared" si="22"/>
        <v>1</v>
      </c>
      <c r="AF53" s="232">
        <f t="shared" si="5"/>
        <v>45</v>
      </c>
      <c r="AG53" s="232">
        <f t="shared" si="6"/>
        <v>9</v>
      </c>
      <c r="AH53" s="236">
        <f t="shared" si="23"/>
        <v>0.2</v>
      </c>
      <c r="AI53" s="231">
        <f t="shared" si="24"/>
        <v>13.481616999999982</v>
      </c>
      <c r="AJ53" s="232">
        <f t="shared" si="25"/>
        <v>0</v>
      </c>
    </row>
    <row r="54" spans="1:38" ht="14.1" customHeight="1" x14ac:dyDescent="0.2">
      <c r="A54" s="240" t="s">
        <v>462</v>
      </c>
      <c r="B54" s="282" t="s">
        <v>330</v>
      </c>
      <c r="C54" s="32">
        <v>33</v>
      </c>
      <c r="D54" s="32">
        <f t="shared" si="31"/>
        <v>42</v>
      </c>
      <c r="E54" s="32">
        <f t="shared" si="32"/>
        <v>46</v>
      </c>
      <c r="F54" s="283" t="s">
        <v>44</v>
      </c>
      <c r="G54" s="283" t="s">
        <v>45</v>
      </c>
      <c r="H54" s="32">
        <v>2</v>
      </c>
      <c r="I54" s="32">
        <v>1</v>
      </c>
      <c r="J54" s="65">
        <v>0</v>
      </c>
      <c r="K54" s="229"/>
      <c r="L54" s="303">
        <v>1</v>
      </c>
      <c r="M54" s="304">
        <f t="shared" si="0"/>
        <v>0.20547945205479451</v>
      </c>
      <c r="N54" s="303">
        <f t="shared" si="1"/>
        <v>1</v>
      </c>
      <c r="O54" s="303">
        <f t="shared" si="10"/>
        <v>1</v>
      </c>
      <c r="P54" s="304">
        <f t="shared" si="11"/>
        <v>0.29411764705882354</v>
      </c>
      <c r="Q54" s="303">
        <f t="shared" si="12"/>
        <v>1</v>
      </c>
      <c r="R54" s="303">
        <f t="shared" si="13"/>
        <v>1</v>
      </c>
      <c r="S54" s="304">
        <f t="shared" si="14"/>
        <v>0.2</v>
      </c>
      <c r="T54" s="74" t="str">
        <f t="shared" si="15"/>
        <v/>
      </c>
      <c r="V54" s="55">
        <f t="shared" si="16"/>
        <v>73</v>
      </c>
      <c r="W54" s="233">
        <f t="shared" si="2"/>
        <v>0.20547945205479451</v>
      </c>
      <c r="X54" s="231">
        <f t="shared" si="17"/>
        <v>9.1336717945205503</v>
      </c>
      <c r="Y54" s="232">
        <f t="shared" si="18"/>
        <v>1</v>
      </c>
      <c r="Z54" s="232">
        <f t="shared" si="19"/>
        <v>1</v>
      </c>
      <c r="AA54" s="232">
        <f t="shared" si="3"/>
        <v>51</v>
      </c>
      <c r="AB54" s="233">
        <f t="shared" si="4"/>
        <v>0.29411764705882354</v>
      </c>
      <c r="AC54" s="231">
        <f t="shared" si="20"/>
        <v>13.211028764705892</v>
      </c>
      <c r="AD54" s="232">
        <f t="shared" si="21"/>
        <v>1</v>
      </c>
      <c r="AE54" s="232">
        <f t="shared" si="22"/>
        <v>1</v>
      </c>
      <c r="AF54" s="232">
        <f t="shared" si="5"/>
        <v>45</v>
      </c>
      <c r="AG54" s="232">
        <f t="shared" si="6"/>
        <v>9</v>
      </c>
      <c r="AH54" s="236">
        <f t="shared" si="23"/>
        <v>0.2</v>
      </c>
      <c r="AI54" s="231">
        <f t="shared" si="24"/>
        <v>13.681616999999981</v>
      </c>
      <c r="AJ54" s="232">
        <f t="shared" si="25"/>
        <v>0</v>
      </c>
    </row>
    <row r="55" spans="1:38" ht="14.1" customHeight="1" x14ac:dyDescent="0.2">
      <c r="A55" s="240" t="s">
        <v>462</v>
      </c>
      <c r="B55" s="282" t="s">
        <v>330</v>
      </c>
      <c r="C55" s="32">
        <v>33</v>
      </c>
      <c r="D55" s="32">
        <f t="shared" si="31"/>
        <v>43</v>
      </c>
      <c r="E55" s="32">
        <f t="shared" si="32"/>
        <v>47</v>
      </c>
      <c r="F55" s="283" t="s">
        <v>44</v>
      </c>
      <c r="G55" s="283" t="s">
        <v>45</v>
      </c>
      <c r="H55" s="32">
        <v>6</v>
      </c>
      <c r="I55" s="32">
        <v>1</v>
      </c>
      <c r="J55" s="65">
        <v>0</v>
      </c>
      <c r="K55" s="229"/>
      <c r="L55" s="303">
        <v>1</v>
      </c>
      <c r="M55" s="304">
        <f t="shared" si="0"/>
        <v>0.20547945205479451</v>
      </c>
      <c r="N55" s="303" t="str">
        <f t="shared" si="1"/>
        <v/>
      </c>
      <c r="O55" s="303">
        <f t="shared" si="10"/>
        <v>1</v>
      </c>
      <c r="P55" s="304">
        <f t="shared" si="11"/>
        <v>0.29411764705882354</v>
      </c>
      <c r="Q55" s="303" t="str">
        <f t="shared" si="12"/>
        <v/>
      </c>
      <c r="R55" s="303">
        <f t="shared" si="13"/>
        <v>1</v>
      </c>
      <c r="S55" s="304">
        <f t="shared" si="14"/>
        <v>0.2</v>
      </c>
      <c r="T55" s="74" t="str">
        <f t="shared" si="15"/>
        <v/>
      </c>
      <c r="V55" s="55">
        <f t="shared" si="16"/>
        <v>73</v>
      </c>
      <c r="W55" s="233">
        <f t="shared" si="2"/>
        <v>0.20547945205479451</v>
      </c>
      <c r="X55" s="231">
        <f t="shared" si="17"/>
        <v>9.3391512465753443</v>
      </c>
      <c r="Y55" s="232">
        <f t="shared" si="18"/>
        <v>0</v>
      </c>
      <c r="Z55" s="232">
        <f t="shared" si="19"/>
        <v>1</v>
      </c>
      <c r="AA55" s="232">
        <f t="shared" si="3"/>
        <v>51</v>
      </c>
      <c r="AB55" s="233">
        <f t="shared" si="4"/>
        <v>0.29411764705882354</v>
      </c>
      <c r="AC55" s="231">
        <f t="shared" si="20"/>
        <v>13.505146411764716</v>
      </c>
      <c r="AD55" s="232">
        <f t="shared" si="21"/>
        <v>0</v>
      </c>
      <c r="AE55" s="232">
        <f t="shared" si="22"/>
        <v>1</v>
      </c>
      <c r="AF55" s="232">
        <f t="shared" si="5"/>
        <v>45</v>
      </c>
      <c r="AG55" s="232">
        <f t="shared" si="6"/>
        <v>9</v>
      </c>
      <c r="AH55" s="236">
        <f t="shared" si="23"/>
        <v>0.2</v>
      </c>
      <c r="AI55" s="231">
        <f t="shared" si="24"/>
        <v>13.881616999999981</v>
      </c>
      <c r="AJ55" s="232">
        <f t="shared" si="25"/>
        <v>0</v>
      </c>
    </row>
    <row r="56" spans="1:38" ht="14.1" customHeight="1" x14ac:dyDescent="0.2">
      <c r="A56" s="240" t="s">
        <v>462</v>
      </c>
      <c r="B56" s="282" t="s">
        <v>330</v>
      </c>
      <c r="C56" s="32">
        <v>33</v>
      </c>
      <c r="D56" s="32">
        <f t="shared" si="31"/>
        <v>44</v>
      </c>
      <c r="E56" s="32">
        <f t="shared" si="32"/>
        <v>48</v>
      </c>
      <c r="F56" s="283" t="s">
        <v>44</v>
      </c>
      <c r="G56" s="283" t="s">
        <v>45</v>
      </c>
      <c r="H56" s="32">
        <v>1</v>
      </c>
      <c r="I56" s="32">
        <v>1</v>
      </c>
      <c r="J56" s="65">
        <v>0</v>
      </c>
      <c r="K56" s="229"/>
      <c r="L56" s="303">
        <v>1</v>
      </c>
      <c r="M56" s="304">
        <f t="shared" si="0"/>
        <v>0.20547945205479451</v>
      </c>
      <c r="N56" s="303" t="str">
        <f t="shared" si="1"/>
        <v/>
      </c>
      <c r="O56" s="303">
        <f t="shared" si="10"/>
        <v>1</v>
      </c>
      <c r="P56" s="304">
        <f t="shared" si="11"/>
        <v>0.29411764705882354</v>
      </c>
      <c r="Q56" s="303" t="str">
        <f t="shared" si="12"/>
        <v/>
      </c>
      <c r="R56" s="303">
        <f t="shared" si="13"/>
        <v>1</v>
      </c>
      <c r="S56" s="304">
        <f t="shared" si="14"/>
        <v>0.2</v>
      </c>
      <c r="T56" s="74">
        <f t="shared" si="15"/>
        <v>1</v>
      </c>
      <c r="V56" s="55">
        <f t="shared" si="16"/>
        <v>73</v>
      </c>
      <c r="W56" s="233">
        <f t="shared" si="2"/>
        <v>0.20547945205479451</v>
      </c>
      <c r="X56" s="231">
        <f t="shared" si="17"/>
        <v>9.5446306986301384</v>
      </c>
      <c r="Y56" s="232">
        <f t="shared" si="18"/>
        <v>0</v>
      </c>
      <c r="Z56" s="232">
        <f t="shared" si="19"/>
        <v>1</v>
      </c>
      <c r="AA56" s="232">
        <f t="shared" si="3"/>
        <v>51</v>
      </c>
      <c r="AB56" s="233">
        <f t="shared" si="4"/>
        <v>0.29411764705882354</v>
      </c>
      <c r="AC56" s="231">
        <f t="shared" si="20"/>
        <v>13.799264058823541</v>
      </c>
      <c r="AD56" s="232">
        <f t="shared" si="21"/>
        <v>0</v>
      </c>
      <c r="AE56" s="232">
        <f t="shared" si="22"/>
        <v>1</v>
      </c>
      <c r="AF56" s="232">
        <f t="shared" si="5"/>
        <v>45</v>
      </c>
      <c r="AG56" s="232">
        <f t="shared" si="6"/>
        <v>9</v>
      </c>
      <c r="AH56" s="236">
        <f t="shared" si="23"/>
        <v>0.2</v>
      </c>
      <c r="AI56" s="231">
        <f t="shared" si="24"/>
        <v>14.08161699999998</v>
      </c>
      <c r="AJ56" s="232">
        <f t="shared" si="25"/>
        <v>1</v>
      </c>
    </row>
    <row r="57" spans="1:38" ht="14.1" customHeight="1" x14ac:dyDescent="0.2">
      <c r="A57" s="240" t="s">
        <v>462</v>
      </c>
      <c r="B57" s="282" t="s">
        <v>330</v>
      </c>
      <c r="C57" s="32">
        <v>33</v>
      </c>
      <c r="D57" s="32">
        <f t="shared" si="31"/>
        <v>45</v>
      </c>
      <c r="E57" s="32">
        <f t="shared" si="32"/>
        <v>49</v>
      </c>
      <c r="F57" s="283" t="s">
        <v>44</v>
      </c>
      <c r="G57" s="283" t="s">
        <v>45</v>
      </c>
      <c r="H57" s="32">
        <v>6</v>
      </c>
      <c r="I57" s="32">
        <v>1</v>
      </c>
      <c r="J57" s="65">
        <v>0</v>
      </c>
      <c r="K57" s="229"/>
      <c r="L57" s="303">
        <v>1</v>
      </c>
      <c r="M57" s="304">
        <f t="shared" si="0"/>
        <v>0.20547945205479451</v>
      </c>
      <c r="N57" s="303" t="str">
        <f t="shared" si="1"/>
        <v/>
      </c>
      <c r="O57" s="303">
        <f t="shared" si="10"/>
        <v>1</v>
      </c>
      <c r="P57" s="304">
        <f t="shared" si="11"/>
        <v>0.29411764705882354</v>
      </c>
      <c r="Q57" s="303">
        <f t="shared" si="12"/>
        <v>1</v>
      </c>
      <c r="R57" s="303">
        <f t="shared" si="13"/>
        <v>1</v>
      </c>
      <c r="S57" s="304">
        <f t="shared" si="14"/>
        <v>0.2</v>
      </c>
      <c r="T57" s="74" t="str">
        <f t="shared" si="15"/>
        <v/>
      </c>
      <c r="V57" s="55">
        <f t="shared" si="16"/>
        <v>73</v>
      </c>
      <c r="W57" s="233">
        <f t="shared" si="2"/>
        <v>0.20547945205479451</v>
      </c>
      <c r="X57" s="231">
        <f t="shared" si="17"/>
        <v>9.7501101506849324</v>
      </c>
      <c r="Y57" s="232">
        <f t="shared" si="18"/>
        <v>0</v>
      </c>
      <c r="Z57" s="232">
        <f t="shared" si="19"/>
        <v>1</v>
      </c>
      <c r="AA57" s="232">
        <f t="shared" si="3"/>
        <v>51</v>
      </c>
      <c r="AB57" s="233">
        <f t="shared" si="4"/>
        <v>0.29411764705882354</v>
      </c>
      <c r="AC57" s="231">
        <f t="shared" si="20"/>
        <v>14.093381705882365</v>
      </c>
      <c r="AD57" s="232">
        <f t="shared" si="21"/>
        <v>1</v>
      </c>
      <c r="AE57" s="232">
        <f t="shared" si="22"/>
        <v>1</v>
      </c>
      <c r="AF57" s="232">
        <f t="shared" si="5"/>
        <v>45</v>
      </c>
      <c r="AG57" s="232">
        <f t="shared" si="6"/>
        <v>9</v>
      </c>
      <c r="AH57" s="236">
        <f t="shared" si="23"/>
        <v>0.2</v>
      </c>
      <c r="AI57" s="231">
        <f t="shared" si="24"/>
        <v>14.281616999999979</v>
      </c>
      <c r="AJ57" s="232">
        <f t="shared" si="25"/>
        <v>0</v>
      </c>
    </row>
    <row r="58" spans="1:38" ht="14.1" customHeight="1" x14ac:dyDescent="0.2">
      <c r="A58" s="240" t="s">
        <v>462</v>
      </c>
      <c r="B58" s="282" t="s">
        <v>330</v>
      </c>
      <c r="C58" s="32">
        <v>33</v>
      </c>
      <c r="D58" s="32">
        <f t="shared" si="31"/>
        <v>46</v>
      </c>
      <c r="E58" s="32">
        <f t="shared" si="32"/>
        <v>50</v>
      </c>
      <c r="F58" s="283" t="s">
        <v>44</v>
      </c>
      <c r="G58" s="283" t="s">
        <v>45</v>
      </c>
      <c r="H58" s="32">
        <v>6</v>
      </c>
      <c r="I58" s="32">
        <v>1</v>
      </c>
      <c r="J58" s="65">
        <v>0</v>
      </c>
      <c r="K58" s="229"/>
      <c r="L58" s="303">
        <v>1</v>
      </c>
      <c r="M58" s="304">
        <f t="shared" si="0"/>
        <v>0.20547945205479451</v>
      </c>
      <c r="N58" s="303" t="str">
        <f t="shared" si="1"/>
        <v/>
      </c>
      <c r="O58" s="303">
        <f t="shared" si="10"/>
        <v>1</v>
      </c>
      <c r="P58" s="304">
        <f t="shared" si="11"/>
        <v>0.29411764705882354</v>
      </c>
      <c r="Q58" s="303" t="str">
        <f t="shared" si="12"/>
        <v/>
      </c>
      <c r="R58" s="303">
        <f t="shared" si="13"/>
        <v>1</v>
      </c>
      <c r="S58" s="304">
        <f t="shared" si="14"/>
        <v>0.2</v>
      </c>
      <c r="T58" s="74" t="str">
        <f t="shared" si="15"/>
        <v/>
      </c>
      <c r="V58" s="55">
        <f t="shared" si="16"/>
        <v>73</v>
      </c>
      <c r="W58" s="233">
        <f t="shared" si="2"/>
        <v>0.20547945205479451</v>
      </c>
      <c r="X58" s="231">
        <f t="shared" si="17"/>
        <v>9.9555896027397264</v>
      </c>
      <c r="Y58" s="232">
        <f t="shared" si="18"/>
        <v>0</v>
      </c>
      <c r="Z58" s="232">
        <f t="shared" si="19"/>
        <v>1</v>
      </c>
      <c r="AA58" s="232">
        <f t="shared" si="3"/>
        <v>51</v>
      </c>
      <c r="AB58" s="233">
        <f t="shared" si="4"/>
        <v>0.29411764705882354</v>
      </c>
      <c r="AC58" s="231">
        <f t="shared" si="20"/>
        <v>14.387499352941189</v>
      </c>
      <c r="AD58" s="232">
        <f t="shared" si="21"/>
        <v>0</v>
      </c>
      <c r="AE58" s="232">
        <f t="shared" si="22"/>
        <v>1</v>
      </c>
      <c r="AF58" s="232">
        <f t="shared" si="5"/>
        <v>45</v>
      </c>
      <c r="AG58" s="232">
        <f t="shared" si="6"/>
        <v>9</v>
      </c>
      <c r="AH58" s="236">
        <f t="shared" si="23"/>
        <v>0.2</v>
      </c>
      <c r="AI58" s="231">
        <f t="shared" si="24"/>
        <v>14.481616999999979</v>
      </c>
      <c r="AJ58" s="232">
        <f t="shared" si="25"/>
        <v>0</v>
      </c>
    </row>
    <row r="59" spans="1:38" ht="14.1" customHeight="1" x14ac:dyDescent="0.2">
      <c r="A59" s="240" t="s">
        <v>462</v>
      </c>
      <c r="B59" s="282" t="s">
        <v>330</v>
      </c>
      <c r="C59" s="32">
        <v>33</v>
      </c>
      <c r="D59" s="32">
        <f t="shared" si="31"/>
        <v>47</v>
      </c>
      <c r="E59" s="32">
        <f t="shared" si="32"/>
        <v>51</v>
      </c>
      <c r="F59" s="283" t="s">
        <v>44</v>
      </c>
      <c r="G59" s="283" t="s">
        <v>45</v>
      </c>
      <c r="H59" s="32">
        <v>2</v>
      </c>
      <c r="I59" s="32">
        <v>1</v>
      </c>
      <c r="J59" s="65">
        <v>0</v>
      </c>
      <c r="K59" s="229"/>
      <c r="L59" s="303">
        <v>1</v>
      </c>
      <c r="M59" s="304">
        <f t="shared" si="0"/>
        <v>0.20547945205479451</v>
      </c>
      <c r="N59" s="303">
        <f t="shared" si="1"/>
        <v>1</v>
      </c>
      <c r="O59" s="303">
        <f t="shared" si="10"/>
        <v>1</v>
      </c>
      <c r="P59" s="304">
        <f t="shared" si="11"/>
        <v>0.29411764705882354</v>
      </c>
      <c r="Q59" s="303" t="str">
        <f t="shared" si="12"/>
        <v/>
      </c>
      <c r="R59" s="303">
        <f t="shared" si="13"/>
        <v>1</v>
      </c>
      <c r="S59" s="304">
        <f t="shared" si="14"/>
        <v>0.2</v>
      </c>
      <c r="T59" s="74" t="str">
        <f t="shared" si="15"/>
        <v/>
      </c>
      <c r="V59" s="55">
        <f t="shared" si="16"/>
        <v>73</v>
      </c>
      <c r="W59" s="233">
        <f t="shared" si="2"/>
        <v>0.20547945205479451</v>
      </c>
      <c r="X59" s="231">
        <f t="shared" si="17"/>
        <v>10.16106905479452</v>
      </c>
      <c r="Y59" s="232">
        <f t="shared" si="18"/>
        <v>1</v>
      </c>
      <c r="Z59" s="232">
        <f t="shared" si="19"/>
        <v>1</v>
      </c>
      <c r="AA59" s="232">
        <f t="shared" si="3"/>
        <v>51</v>
      </c>
      <c r="AB59" s="233">
        <f t="shared" si="4"/>
        <v>0.29411764705882354</v>
      </c>
      <c r="AC59" s="231">
        <f t="shared" si="20"/>
        <v>14.681617000000013</v>
      </c>
      <c r="AD59" s="232">
        <f t="shared" si="21"/>
        <v>0</v>
      </c>
      <c r="AE59" s="232">
        <f t="shared" si="22"/>
        <v>1</v>
      </c>
      <c r="AF59" s="232">
        <f t="shared" si="5"/>
        <v>45</v>
      </c>
      <c r="AG59" s="232">
        <f t="shared" si="6"/>
        <v>9</v>
      </c>
      <c r="AH59" s="236">
        <f t="shared" si="23"/>
        <v>0.2</v>
      </c>
      <c r="AI59" s="231">
        <f t="shared" si="24"/>
        <v>14.681616999999978</v>
      </c>
      <c r="AJ59" s="232">
        <f t="shared" si="25"/>
        <v>0</v>
      </c>
    </row>
    <row r="60" spans="1:38" ht="14.1" customHeight="1" x14ac:dyDescent="0.2">
      <c r="A60" s="240" t="s">
        <v>462</v>
      </c>
      <c r="B60" s="282" t="s">
        <v>330</v>
      </c>
      <c r="C60" s="32">
        <v>33</v>
      </c>
      <c r="D60" s="32">
        <f t="shared" si="31"/>
        <v>48</v>
      </c>
      <c r="E60" s="32">
        <f t="shared" si="32"/>
        <v>52</v>
      </c>
      <c r="F60" s="283" t="s">
        <v>44</v>
      </c>
      <c r="G60" s="283" t="s">
        <v>45</v>
      </c>
      <c r="H60" s="32">
        <v>5</v>
      </c>
      <c r="I60" s="32">
        <v>0</v>
      </c>
      <c r="J60" s="65">
        <v>0</v>
      </c>
      <c r="K60" s="229"/>
      <c r="L60" s="303">
        <v>1</v>
      </c>
      <c r="M60" s="304">
        <f t="shared" si="0"/>
        <v>0.20547945205479451</v>
      </c>
      <c r="N60" s="303" t="str">
        <f t="shared" si="1"/>
        <v/>
      </c>
      <c r="O60" s="303">
        <f t="shared" si="10"/>
        <v>0</v>
      </c>
      <c r="P60" s="304">
        <f t="shared" si="11"/>
        <v>0</v>
      </c>
      <c r="Q60" s="303" t="str">
        <f t="shared" si="12"/>
        <v/>
      </c>
      <c r="R60" s="303">
        <f t="shared" si="13"/>
        <v>0</v>
      </c>
      <c r="S60" s="304">
        <f t="shared" si="14"/>
        <v>0</v>
      </c>
      <c r="T60" s="74" t="str">
        <f t="shared" si="15"/>
        <v/>
      </c>
      <c r="V60" s="55">
        <f t="shared" si="16"/>
        <v>73</v>
      </c>
      <c r="W60" s="233">
        <f t="shared" si="2"/>
        <v>0.20547945205479451</v>
      </c>
      <c r="X60" s="231">
        <f t="shared" si="17"/>
        <v>10.366548506849314</v>
      </c>
      <c r="Y60" s="232">
        <f t="shared" si="18"/>
        <v>0</v>
      </c>
      <c r="Z60" s="232">
        <f t="shared" si="19"/>
        <v>0</v>
      </c>
      <c r="AA60" s="232">
        <f t="shared" si="3"/>
        <v>51</v>
      </c>
      <c r="AB60" s="233">
        <f t="shared" si="4"/>
        <v>0</v>
      </c>
      <c r="AC60" s="231">
        <f t="shared" si="20"/>
        <v>14.681617000000013</v>
      </c>
      <c r="AD60" s="232">
        <f t="shared" si="21"/>
        <v>0</v>
      </c>
      <c r="AE60" s="232">
        <f t="shared" si="22"/>
        <v>0</v>
      </c>
      <c r="AF60" s="232">
        <f t="shared" si="5"/>
        <v>22</v>
      </c>
      <c r="AG60" s="232">
        <f t="shared" si="6"/>
        <v>0</v>
      </c>
      <c r="AH60" s="236">
        <f t="shared" si="23"/>
        <v>0</v>
      </c>
      <c r="AI60" s="231">
        <f t="shared" si="24"/>
        <v>14.681616999999978</v>
      </c>
      <c r="AJ60" s="232">
        <f t="shared" si="25"/>
        <v>0</v>
      </c>
      <c r="AL60" s="3" t="str">
        <f t="shared" ref="AL60:AL91" si="33">IF(AE60=1,IF(AF60=0,0,MIN($D$5,AA60)-IF(AA60=AF60,0,ROUND(MIN((AE60&gt;0)*$D$5*((AA60-AF60)^$F$5)/((AA60-AF60)^$F$5+AF60^$F$5),AA60-AF60),0))),"")</f>
        <v/>
      </c>
    </row>
    <row r="61" spans="1:38" ht="14.1" customHeight="1" x14ac:dyDescent="0.2">
      <c r="A61" s="240" t="s">
        <v>462</v>
      </c>
      <c r="B61" s="282" t="s">
        <v>330</v>
      </c>
      <c r="C61" s="32">
        <v>33</v>
      </c>
      <c r="D61" s="32">
        <f t="shared" si="31"/>
        <v>49</v>
      </c>
      <c r="E61" s="32">
        <f t="shared" si="32"/>
        <v>53</v>
      </c>
      <c r="F61" s="283" t="s">
        <v>44</v>
      </c>
      <c r="G61" s="283" t="s">
        <v>45</v>
      </c>
      <c r="H61" s="32">
        <v>3</v>
      </c>
      <c r="I61" s="32">
        <v>0</v>
      </c>
      <c r="J61" s="65">
        <v>0</v>
      </c>
      <c r="K61" s="229"/>
      <c r="L61" s="303">
        <v>1</v>
      </c>
      <c r="M61" s="304">
        <f t="shared" si="0"/>
        <v>0.20547945205479451</v>
      </c>
      <c r="N61" s="303" t="str">
        <f t="shared" si="1"/>
        <v/>
      </c>
      <c r="O61" s="303">
        <f t="shared" si="10"/>
        <v>0</v>
      </c>
      <c r="P61" s="304">
        <f t="shared" si="11"/>
        <v>0</v>
      </c>
      <c r="Q61" s="303" t="str">
        <f t="shared" si="12"/>
        <v/>
      </c>
      <c r="R61" s="303">
        <f t="shared" si="13"/>
        <v>0</v>
      </c>
      <c r="S61" s="304">
        <f t="shared" si="14"/>
        <v>0</v>
      </c>
      <c r="T61" s="74" t="str">
        <f t="shared" si="15"/>
        <v/>
      </c>
      <c r="V61" s="55">
        <f t="shared" si="16"/>
        <v>73</v>
      </c>
      <c r="W61" s="233">
        <f t="shared" si="2"/>
        <v>0.20547945205479451</v>
      </c>
      <c r="X61" s="231">
        <f t="shared" si="17"/>
        <v>10.572027958904108</v>
      </c>
      <c r="Y61" s="232">
        <f t="shared" si="18"/>
        <v>0</v>
      </c>
      <c r="Z61" s="232">
        <f t="shared" si="19"/>
        <v>0</v>
      </c>
      <c r="AA61" s="232">
        <f t="shared" si="3"/>
        <v>51</v>
      </c>
      <c r="AB61" s="233">
        <f t="shared" si="4"/>
        <v>0</v>
      </c>
      <c r="AC61" s="231">
        <f t="shared" si="20"/>
        <v>14.681617000000013</v>
      </c>
      <c r="AD61" s="232">
        <f t="shared" si="21"/>
        <v>0</v>
      </c>
      <c r="AE61" s="232">
        <f t="shared" si="22"/>
        <v>0</v>
      </c>
      <c r="AF61" s="232">
        <f t="shared" si="5"/>
        <v>22</v>
      </c>
      <c r="AG61" s="232">
        <f t="shared" si="6"/>
        <v>0</v>
      </c>
      <c r="AH61" s="236">
        <f t="shared" si="23"/>
        <v>0</v>
      </c>
      <c r="AI61" s="231">
        <f t="shared" si="24"/>
        <v>14.681616999999978</v>
      </c>
      <c r="AJ61" s="232">
        <f t="shared" si="25"/>
        <v>0</v>
      </c>
      <c r="AL61" s="3" t="str">
        <f t="shared" si="33"/>
        <v/>
      </c>
    </row>
    <row r="62" spans="1:38" ht="14.1" customHeight="1" x14ac:dyDescent="0.2">
      <c r="A62" s="240" t="s">
        <v>462</v>
      </c>
      <c r="B62" s="282" t="s">
        <v>330</v>
      </c>
      <c r="C62" s="32">
        <v>33</v>
      </c>
      <c r="D62" s="32">
        <f t="shared" si="31"/>
        <v>50</v>
      </c>
      <c r="E62" s="32">
        <f t="shared" si="32"/>
        <v>54</v>
      </c>
      <c r="F62" s="283" t="s">
        <v>44</v>
      </c>
      <c r="G62" s="283" t="s">
        <v>45</v>
      </c>
      <c r="H62" s="32">
        <v>6</v>
      </c>
      <c r="I62" s="32">
        <v>0</v>
      </c>
      <c r="J62" s="65">
        <v>0</v>
      </c>
      <c r="K62" s="229"/>
      <c r="L62" s="303">
        <v>1</v>
      </c>
      <c r="M62" s="304">
        <f t="shared" si="0"/>
        <v>0.20547945205479451</v>
      </c>
      <c r="N62" s="303" t="str">
        <f t="shared" si="1"/>
        <v/>
      </c>
      <c r="O62" s="303">
        <f t="shared" si="10"/>
        <v>0</v>
      </c>
      <c r="P62" s="304">
        <f t="shared" si="11"/>
        <v>0</v>
      </c>
      <c r="Q62" s="303" t="str">
        <f t="shared" si="12"/>
        <v/>
      </c>
      <c r="R62" s="303">
        <f t="shared" si="13"/>
        <v>0</v>
      </c>
      <c r="S62" s="304">
        <f t="shared" si="14"/>
        <v>0</v>
      </c>
      <c r="T62" s="74" t="str">
        <f t="shared" si="15"/>
        <v/>
      </c>
      <c r="V62" s="55">
        <f t="shared" si="16"/>
        <v>73</v>
      </c>
      <c r="W62" s="233">
        <f t="shared" si="2"/>
        <v>0.20547945205479451</v>
      </c>
      <c r="X62" s="231">
        <f t="shared" si="17"/>
        <v>10.777507410958902</v>
      </c>
      <c r="Y62" s="232">
        <f t="shared" si="18"/>
        <v>0</v>
      </c>
      <c r="Z62" s="232">
        <f t="shared" si="19"/>
        <v>0</v>
      </c>
      <c r="AA62" s="232">
        <f t="shared" si="3"/>
        <v>51</v>
      </c>
      <c r="AB62" s="233">
        <f t="shared" si="4"/>
        <v>0</v>
      </c>
      <c r="AC62" s="231">
        <f t="shared" si="20"/>
        <v>14.681617000000013</v>
      </c>
      <c r="AD62" s="232">
        <f t="shared" si="21"/>
        <v>0</v>
      </c>
      <c r="AE62" s="232">
        <f t="shared" si="22"/>
        <v>0</v>
      </c>
      <c r="AF62" s="232">
        <f t="shared" si="5"/>
        <v>22</v>
      </c>
      <c r="AG62" s="232">
        <f t="shared" si="6"/>
        <v>0</v>
      </c>
      <c r="AH62" s="236">
        <f t="shared" si="23"/>
        <v>0</v>
      </c>
      <c r="AI62" s="231">
        <f t="shared" si="24"/>
        <v>14.681616999999978</v>
      </c>
      <c r="AJ62" s="232">
        <f t="shared" si="25"/>
        <v>0</v>
      </c>
      <c r="AL62" s="3" t="str">
        <f t="shared" si="33"/>
        <v/>
      </c>
    </row>
    <row r="63" spans="1:38" ht="14.1" customHeight="1" x14ac:dyDescent="0.2">
      <c r="A63" s="240" t="s">
        <v>462</v>
      </c>
      <c r="B63" s="282" t="s">
        <v>330</v>
      </c>
      <c r="C63" s="32">
        <v>33</v>
      </c>
      <c r="D63" s="32">
        <f t="shared" si="31"/>
        <v>51</v>
      </c>
      <c r="E63" s="32">
        <f t="shared" si="32"/>
        <v>55</v>
      </c>
      <c r="F63" s="283" t="s">
        <v>44</v>
      </c>
      <c r="G63" s="283" t="s">
        <v>45</v>
      </c>
      <c r="H63" s="32">
        <v>1</v>
      </c>
      <c r="I63" s="32">
        <v>0</v>
      </c>
      <c r="J63" s="65">
        <v>0</v>
      </c>
      <c r="K63" s="229"/>
      <c r="L63" s="303">
        <v>1</v>
      </c>
      <c r="M63" s="304">
        <f t="shared" si="0"/>
        <v>0.20547945205479451</v>
      </c>
      <c r="N63" s="303" t="str">
        <f t="shared" si="1"/>
        <v/>
      </c>
      <c r="O63" s="303">
        <f t="shared" si="10"/>
        <v>0</v>
      </c>
      <c r="P63" s="304">
        <f t="shared" si="11"/>
        <v>0</v>
      </c>
      <c r="Q63" s="303" t="str">
        <f t="shared" si="12"/>
        <v/>
      </c>
      <c r="R63" s="303">
        <f t="shared" si="13"/>
        <v>0</v>
      </c>
      <c r="S63" s="304">
        <f t="shared" si="14"/>
        <v>0</v>
      </c>
      <c r="T63" s="74" t="str">
        <f t="shared" si="15"/>
        <v/>
      </c>
      <c r="V63" s="55">
        <f t="shared" si="16"/>
        <v>73</v>
      </c>
      <c r="W63" s="233">
        <f t="shared" si="2"/>
        <v>0.20547945205479451</v>
      </c>
      <c r="X63" s="231">
        <f t="shared" si="17"/>
        <v>10.982986863013696</v>
      </c>
      <c r="Y63" s="232">
        <f t="shared" si="18"/>
        <v>0</v>
      </c>
      <c r="Z63" s="232">
        <f t="shared" si="19"/>
        <v>0</v>
      </c>
      <c r="AA63" s="232">
        <f t="shared" si="3"/>
        <v>51</v>
      </c>
      <c r="AB63" s="233">
        <f t="shared" si="4"/>
        <v>0</v>
      </c>
      <c r="AC63" s="231">
        <f t="shared" si="20"/>
        <v>14.681617000000013</v>
      </c>
      <c r="AD63" s="232">
        <f t="shared" si="21"/>
        <v>0</v>
      </c>
      <c r="AE63" s="232">
        <f t="shared" si="22"/>
        <v>0</v>
      </c>
      <c r="AF63" s="232">
        <f t="shared" si="5"/>
        <v>22</v>
      </c>
      <c r="AG63" s="232">
        <f t="shared" si="6"/>
        <v>0</v>
      </c>
      <c r="AH63" s="236">
        <f t="shared" si="23"/>
        <v>0</v>
      </c>
      <c r="AI63" s="231">
        <f t="shared" si="24"/>
        <v>14.681616999999978</v>
      </c>
      <c r="AJ63" s="232">
        <f t="shared" si="25"/>
        <v>0</v>
      </c>
      <c r="AL63" s="3" t="str">
        <f t="shared" si="33"/>
        <v/>
      </c>
    </row>
    <row r="64" spans="1:38" ht="14.1" customHeight="1" x14ac:dyDescent="0.2">
      <c r="A64" s="240" t="s">
        <v>462</v>
      </c>
      <c r="B64" s="282" t="s">
        <v>330</v>
      </c>
      <c r="C64" s="32">
        <v>33</v>
      </c>
      <c r="D64" s="32">
        <f t="shared" si="31"/>
        <v>52</v>
      </c>
      <c r="E64" s="32">
        <f t="shared" si="32"/>
        <v>56</v>
      </c>
      <c r="F64" s="283" t="s">
        <v>44</v>
      </c>
      <c r="G64" s="283" t="s">
        <v>45</v>
      </c>
      <c r="H64" s="32">
        <v>3</v>
      </c>
      <c r="I64" s="32">
        <v>0</v>
      </c>
      <c r="J64" s="65">
        <v>0</v>
      </c>
      <c r="K64" s="229"/>
      <c r="L64" s="303">
        <v>1</v>
      </c>
      <c r="M64" s="304">
        <f t="shared" si="0"/>
        <v>0.20547945205479451</v>
      </c>
      <c r="N64" s="303">
        <f t="shared" si="1"/>
        <v>1</v>
      </c>
      <c r="O64" s="303">
        <f t="shared" si="10"/>
        <v>0</v>
      </c>
      <c r="P64" s="304">
        <f t="shared" si="11"/>
        <v>0</v>
      </c>
      <c r="Q64" s="303" t="str">
        <f t="shared" si="12"/>
        <v/>
      </c>
      <c r="R64" s="303">
        <f t="shared" si="13"/>
        <v>0</v>
      </c>
      <c r="S64" s="304">
        <f t="shared" si="14"/>
        <v>0</v>
      </c>
      <c r="T64" s="74" t="str">
        <f t="shared" si="15"/>
        <v/>
      </c>
      <c r="V64" s="55">
        <f t="shared" si="16"/>
        <v>73</v>
      </c>
      <c r="W64" s="233">
        <f t="shared" si="2"/>
        <v>0.20547945205479451</v>
      </c>
      <c r="X64" s="231">
        <f t="shared" si="17"/>
        <v>11.18846631506849</v>
      </c>
      <c r="Y64" s="232">
        <f t="shared" si="18"/>
        <v>1</v>
      </c>
      <c r="Z64" s="232">
        <f t="shared" si="19"/>
        <v>0</v>
      </c>
      <c r="AA64" s="232">
        <f t="shared" si="3"/>
        <v>51</v>
      </c>
      <c r="AB64" s="233">
        <f t="shared" si="4"/>
        <v>0</v>
      </c>
      <c r="AC64" s="231">
        <f t="shared" si="20"/>
        <v>14.681617000000013</v>
      </c>
      <c r="AD64" s="232">
        <f t="shared" si="21"/>
        <v>0</v>
      </c>
      <c r="AE64" s="232">
        <f t="shared" si="22"/>
        <v>0</v>
      </c>
      <c r="AF64" s="232">
        <f t="shared" si="5"/>
        <v>22</v>
      </c>
      <c r="AG64" s="232">
        <f t="shared" si="6"/>
        <v>0</v>
      </c>
      <c r="AH64" s="236">
        <f t="shared" si="23"/>
        <v>0</v>
      </c>
      <c r="AI64" s="231">
        <f t="shared" si="24"/>
        <v>14.681616999999978</v>
      </c>
      <c r="AJ64" s="232">
        <f t="shared" si="25"/>
        <v>0</v>
      </c>
      <c r="AL64" s="3" t="str">
        <f t="shared" si="33"/>
        <v/>
      </c>
    </row>
    <row r="65" spans="1:38" ht="14.1" customHeight="1" x14ac:dyDescent="0.2">
      <c r="A65" s="240" t="s">
        <v>462</v>
      </c>
      <c r="B65" s="282" t="s">
        <v>330</v>
      </c>
      <c r="C65" s="32">
        <v>33</v>
      </c>
      <c r="D65" s="32">
        <f t="shared" si="31"/>
        <v>53</v>
      </c>
      <c r="E65" s="32">
        <f t="shared" si="32"/>
        <v>57</v>
      </c>
      <c r="F65" s="283" t="s">
        <v>44</v>
      </c>
      <c r="G65" s="283" t="s">
        <v>45</v>
      </c>
      <c r="H65" s="32">
        <v>7</v>
      </c>
      <c r="I65" s="32">
        <v>0</v>
      </c>
      <c r="J65" s="65">
        <v>0</v>
      </c>
      <c r="K65" s="229"/>
      <c r="L65" s="303">
        <v>1</v>
      </c>
      <c r="M65" s="304">
        <f t="shared" si="0"/>
        <v>0.20547945205479451</v>
      </c>
      <c r="N65" s="303" t="str">
        <f t="shared" si="1"/>
        <v/>
      </c>
      <c r="O65" s="303">
        <f t="shared" si="10"/>
        <v>0</v>
      </c>
      <c r="P65" s="304">
        <f t="shared" si="11"/>
        <v>0</v>
      </c>
      <c r="Q65" s="303" t="str">
        <f t="shared" si="12"/>
        <v/>
      </c>
      <c r="R65" s="303">
        <f t="shared" si="13"/>
        <v>0</v>
      </c>
      <c r="S65" s="304">
        <f t="shared" si="14"/>
        <v>0</v>
      </c>
      <c r="T65" s="74" t="str">
        <f t="shared" si="15"/>
        <v/>
      </c>
      <c r="V65" s="55">
        <f t="shared" si="16"/>
        <v>73</v>
      </c>
      <c r="W65" s="233">
        <f t="shared" si="2"/>
        <v>0.20547945205479451</v>
      </c>
      <c r="X65" s="231">
        <f t="shared" si="17"/>
        <v>11.393945767123284</v>
      </c>
      <c r="Y65" s="232">
        <f t="shared" si="18"/>
        <v>0</v>
      </c>
      <c r="Z65" s="232">
        <f t="shared" si="19"/>
        <v>0</v>
      </c>
      <c r="AA65" s="232">
        <f t="shared" si="3"/>
        <v>51</v>
      </c>
      <c r="AB65" s="233">
        <f t="shared" si="4"/>
        <v>0</v>
      </c>
      <c r="AC65" s="231">
        <f t="shared" si="20"/>
        <v>14.681617000000013</v>
      </c>
      <c r="AD65" s="232">
        <f t="shared" si="21"/>
        <v>0</v>
      </c>
      <c r="AE65" s="232">
        <f t="shared" si="22"/>
        <v>0</v>
      </c>
      <c r="AF65" s="232">
        <f t="shared" si="5"/>
        <v>22</v>
      </c>
      <c r="AG65" s="232">
        <f t="shared" si="6"/>
        <v>0</v>
      </c>
      <c r="AH65" s="236">
        <f t="shared" si="23"/>
        <v>0</v>
      </c>
      <c r="AI65" s="231">
        <f t="shared" si="24"/>
        <v>14.681616999999978</v>
      </c>
      <c r="AJ65" s="232">
        <f t="shared" si="25"/>
        <v>0</v>
      </c>
      <c r="AL65" s="3" t="str">
        <f t="shared" si="33"/>
        <v/>
      </c>
    </row>
    <row r="66" spans="1:38" ht="14.1" customHeight="1" x14ac:dyDescent="0.2">
      <c r="A66" s="240" t="s">
        <v>462</v>
      </c>
      <c r="B66" s="282" t="s">
        <v>330</v>
      </c>
      <c r="C66" s="32">
        <v>33</v>
      </c>
      <c r="D66" s="32">
        <f t="shared" si="31"/>
        <v>54</v>
      </c>
      <c r="E66" s="32">
        <f t="shared" si="32"/>
        <v>58</v>
      </c>
      <c r="F66" s="283" t="s">
        <v>44</v>
      </c>
      <c r="G66" s="283" t="s">
        <v>45</v>
      </c>
      <c r="H66" s="32">
        <v>6</v>
      </c>
      <c r="I66" s="32">
        <v>0</v>
      </c>
      <c r="J66" s="65">
        <v>0</v>
      </c>
      <c r="K66" s="229"/>
      <c r="L66" s="303">
        <v>1</v>
      </c>
      <c r="M66" s="304">
        <f t="shared" si="0"/>
        <v>0.20547945205479451</v>
      </c>
      <c r="N66" s="303" t="str">
        <f t="shared" si="1"/>
        <v/>
      </c>
      <c r="O66" s="303">
        <f t="shared" si="10"/>
        <v>0</v>
      </c>
      <c r="P66" s="304">
        <f t="shared" si="11"/>
        <v>0</v>
      </c>
      <c r="Q66" s="303" t="str">
        <f t="shared" si="12"/>
        <v/>
      </c>
      <c r="R66" s="303">
        <f t="shared" si="13"/>
        <v>0</v>
      </c>
      <c r="S66" s="304">
        <f t="shared" si="14"/>
        <v>0</v>
      </c>
      <c r="T66" s="74" t="str">
        <f t="shared" si="15"/>
        <v/>
      </c>
      <c r="V66" s="55">
        <f t="shared" si="16"/>
        <v>73</v>
      </c>
      <c r="W66" s="233">
        <f t="shared" si="2"/>
        <v>0.20547945205479451</v>
      </c>
      <c r="X66" s="231">
        <f t="shared" si="17"/>
        <v>11.599425219178078</v>
      </c>
      <c r="Y66" s="232">
        <f t="shared" si="18"/>
        <v>0</v>
      </c>
      <c r="Z66" s="232">
        <f t="shared" si="19"/>
        <v>0</v>
      </c>
      <c r="AA66" s="232">
        <f t="shared" si="3"/>
        <v>51</v>
      </c>
      <c r="AB66" s="233">
        <f t="shared" si="4"/>
        <v>0</v>
      </c>
      <c r="AC66" s="231">
        <f t="shared" si="20"/>
        <v>14.681617000000013</v>
      </c>
      <c r="AD66" s="232">
        <f t="shared" si="21"/>
        <v>0</v>
      </c>
      <c r="AE66" s="232">
        <f t="shared" si="22"/>
        <v>0</v>
      </c>
      <c r="AF66" s="232">
        <f t="shared" si="5"/>
        <v>22</v>
      </c>
      <c r="AG66" s="232">
        <f t="shared" si="6"/>
        <v>0</v>
      </c>
      <c r="AH66" s="236">
        <f t="shared" si="23"/>
        <v>0</v>
      </c>
      <c r="AI66" s="231">
        <f t="shared" si="24"/>
        <v>14.681616999999978</v>
      </c>
      <c r="AJ66" s="232">
        <f t="shared" si="25"/>
        <v>0</v>
      </c>
      <c r="AL66" s="3" t="str">
        <f t="shared" si="33"/>
        <v/>
      </c>
    </row>
    <row r="67" spans="1:38" ht="14.1" customHeight="1" x14ac:dyDescent="0.2">
      <c r="A67" s="240" t="s">
        <v>462</v>
      </c>
      <c r="B67" s="282" t="s">
        <v>330</v>
      </c>
      <c r="C67" s="32">
        <v>33</v>
      </c>
      <c r="D67" s="32">
        <f t="shared" si="31"/>
        <v>55</v>
      </c>
      <c r="E67" s="32">
        <f t="shared" si="32"/>
        <v>59</v>
      </c>
      <c r="F67" s="283" t="s">
        <v>44</v>
      </c>
      <c r="G67" s="283" t="s">
        <v>45</v>
      </c>
      <c r="H67" s="32">
        <v>5</v>
      </c>
      <c r="I67" s="32">
        <v>0</v>
      </c>
      <c r="J67" s="65">
        <v>0</v>
      </c>
      <c r="K67" s="229"/>
      <c r="L67" s="303">
        <v>1</v>
      </c>
      <c r="M67" s="304">
        <f t="shared" si="0"/>
        <v>0.20547945205479451</v>
      </c>
      <c r="N67" s="303" t="str">
        <f t="shared" si="1"/>
        <v/>
      </c>
      <c r="O67" s="303">
        <f t="shared" si="10"/>
        <v>0</v>
      </c>
      <c r="P67" s="304">
        <f t="shared" si="11"/>
        <v>0</v>
      </c>
      <c r="Q67" s="303" t="str">
        <f t="shared" si="12"/>
        <v/>
      </c>
      <c r="R67" s="303">
        <f t="shared" si="13"/>
        <v>0</v>
      </c>
      <c r="S67" s="304">
        <f t="shared" si="14"/>
        <v>0</v>
      </c>
      <c r="T67" s="74" t="str">
        <f t="shared" si="15"/>
        <v/>
      </c>
      <c r="V67" s="55">
        <f t="shared" si="16"/>
        <v>73</v>
      </c>
      <c r="W67" s="233">
        <f t="shared" si="2"/>
        <v>0.20547945205479451</v>
      </c>
      <c r="X67" s="231">
        <f t="shared" si="17"/>
        <v>11.804904671232872</v>
      </c>
      <c r="Y67" s="232">
        <f t="shared" si="18"/>
        <v>0</v>
      </c>
      <c r="Z67" s="232">
        <f t="shared" si="19"/>
        <v>0</v>
      </c>
      <c r="AA67" s="232">
        <f t="shared" si="3"/>
        <v>51</v>
      </c>
      <c r="AB67" s="233">
        <f t="shared" si="4"/>
        <v>0</v>
      </c>
      <c r="AC67" s="231">
        <f t="shared" si="20"/>
        <v>14.681617000000013</v>
      </c>
      <c r="AD67" s="232">
        <f t="shared" si="21"/>
        <v>0</v>
      </c>
      <c r="AE67" s="232">
        <f t="shared" si="22"/>
        <v>0</v>
      </c>
      <c r="AF67" s="232">
        <f t="shared" si="5"/>
        <v>22</v>
      </c>
      <c r="AG67" s="232">
        <f t="shared" si="6"/>
        <v>0</v>
      </c>
      <c r="AH67" s="236">
        <f t="shared" si="23"/>
        <v>0</v>
      </c>
      <c r="AI67" s="231">
        <f t="shared" si="24"/>
        <v>14.681616999999978</v>
      </c>
      <c r="AJ67" s="232">
        <f t="shared" si="25"/>
        <v>0</v>
      </c>
      <c r="AL67" s="3" t="str">
        <f t="shared" si="33"/>
        <v/>
      </c>
    </row>
    <row r="68" spans="1:38" ht="14.1" customHeight="1" x14ac:dyDescent="0.2">
      <c r="A68" s="240" t="s">
        <v>462</v>
      </c>
      <c r="B68" s="282" t="s">
        <v>330</v>
      </c>
      <c r="C68" s="32">
        <v>33</v>
      </c>
      <c r="D68" s="32">
        <f t="shared" si="31"/>
        <v>56</v>
      </c>
      <c r="E68" s="32">
        <f t="shared" si="32"/>
        <v>60</v>
      </c>
      <c r="F68" s="283" t="s">
        <v>44</v>
      </c>
      <c r="G68" s="283" t="s">
        <v>45</v>
      </c>
      <c r="H68" s="32">
        <v>4</v>
      </c>
      <c r="I68" s="32">
        <v>0</v>
      </c>
      <c r="J68" s="65">
        <v>0</v>
      </c>
      <c r="K68" s="229"/>
      <c r="L68" s="303">
        <v>1</v>
      </c>
      <c r="M68" s="304">
        <f t="shared" si="0"/>
        <v>0.20547945205479451</v>
      </c>
      <c r="N68" s="303">
        <f t="shared" si="1"/>
        <v>1</v>
      </c>
      <c r="O68" s="303">
        <f t="shared" si="10"/>
        <v>0</v>
      </c>
      <c r="P68" s="304">
        <f t="shared" si="11"/>
        <v>0</v>
      </c>
      <c r="Q68" s="303" t="str">
        <f t="shared" si="12"/>
        <v/>
      </c>
      <c r="R68" s="303">
        <f t="shared" si="13"/>
        <v>0</v>
      </c>
      <c r="S68" s="304">
        <f t="shared" si="14"/>
        <v>0</v>
      </c>
      <c r="T68" s="74" t="str">
        <f t="shared" si="15"/>
        <v/>
      </c>
      <c r="V68" s="55">
        <f t="shared" si="16"/>
        <v>73</v>
      </c>
      <c r="W68" s="233">
        <f t="shared" si="2"/>
        <v>0.20547945205479451</v>
      </c>
      <c r="X68" s="231">
        <f t="shared" si="17"/>
        <v>12.010384123287666</v>
      </c>
      <c r="Y68" s="232">
        <f t="shared" si="18"/>
        <v>1</v>
      </c>
      <c r="Z68" s="232">
        <f t="shared" si="19"/>
        <v>0</v>
      </c>
      <c r="AA68" s="232">
        <f t="shared" si="3"/>
        <v>51</v>
      </c>
      <c r="AB68" s="233">
        <f t="shared" si="4"/>
        <v>0</v>
      </c>
      <c r="AC68" s="231">
        <f t="shared" si="20"/>
        <v>14.681617000000013</v>
      </c>
      <c r="AD68" s="232">
        <f t="shared" si="21"/>
        <v>0</v>
      </c>
      <c r="AE68" s="232">
        <f t="shared" si="22"/>
        <v>0</v>
      </c>
      <c r="AF68" s="232">
        <f t="shared" si="5"/>
        <v>22</v>
      </c>
      <c r="AG68" s="232">
        <f t="shared" si="6"/>
        <v>0</v>
      </c>
      <c r="AH68" s="236">
        <f t="shared" si="23"/>
        <v>0</v>
      </c>
      <c r="AI68" s="231">
        <f t="shared" si="24"/>
        <v>14.681616999999978</v>
      </c>
      <c r="AJ68" s="232">
        <f t="shared" si="25"/>
        <v>0</v>
      </c>
      <c r="AL68" s="3" t="str">
        <f t="shared" si="33"/>
        <v/>
      </c>
    </row>
    <row r="69" spans="1:38" ht="14.1" customHeight="1" x14ac:dyDescent="0.2">
      <c r="A69" s="240" t="s">
        <v>462</v>
      </c>
      <c r="B69" s="282" t="s">
        <v>330</v>
      </c>
      <c r="C69" s="32">
        <v>33</v>
      </c>
      <c r="D69" s="32">
        <f t="shared" si="31"/>
        <v>57</v>
      </c>
      <c r="E69" s="32">
        <f t="shared" si="32"/>
        <v>61</v>
      </c>
      <c r="F69" s="283" t="s">
        <v>44</v>
      </c>
      <c r="G69" s="283" t="s">
        <v>45</v>
      </c>
      <c r="H69" s="32">
        <v>5</v>
      </c>
      <c r="I69" s="32">
        <v>0</v>
      </c>
      <c r="J69" s="65">
        <v>0</v>
      </c>
      <c r="K69" s="229"/>
      <c r="L69" s="303">
        <v>1</v>
      </c>
      <c r="M69" s="304">
        <f t="shared" si="0"/>
        <v>0.20547945205479451</v>
      </c>
      <c r="N69" s="303" t="str">
        <f t="shared" si="1"/>
        <v/>
      </c>
      <c r="O69" s="303">
        <f t="shared" si="10"/>
        <v>0</v>
      </c>
      <c r="P69" s="304">
        <f t="shared" si="11"/>
        <v>0</v>
      </c>
      <c r="Q69" s="303" t="str">
        <f t="shared" si="12"/>
        <v/>
      </c>
      <c r="R69" s="303">
        <f t="shared" si="13"/>
        <v>0</v>
      </c>
      <c r="S69" s="304">
        <f t="shared" si="14"/>
        <v>0</v>
      </c>
      <c r="T69" s="74" t="str">
        <f t="shared" si="15"/>
        <v/>
      </c>
      <c r="V69" s="55">
        <f t="shared" si="16"/>
        <v>73</v>
      </c>
      <c r="W69" s="233">
        <f t="shared" si="2"/>
        <v>0.20547945205479451</v>
      </c>
      <c r="X69" s="231">
        <f t="shared" si="17"/>
        <v>12.21586357534246</v>
      </c>
      <c r="Y69" s="232">
        <f t="shared" si="18"/>
        <v>0</v>
      </c>
      <c r="Z69" s="232">
        <f t="shared" si="19"/>
        <v>0</v>
      </c>
      <c r="AA69" s="232">
        <f t="shared" si="3"/>
        <v>51</v>
      </c>
      <c r="AB69" s="233">
        <f t="shared" si="4"/>
        <v>0</v>
      </c>
      <c r="AC69" s="231">
        <f t="shared" si="20"/>
        <v>14.681617000000013</v>
      </c>
      <c r="AD69" s="232">
        <f t="shared" si="21"/>
        <v>0</v>
      </c>
      <c r="AE69" s="232">
        <f t="shared" si="22"/>
        <v>0</v>
      </c>
      <c r="AF69" s="232">
        <f t="shared" si="5"/>
        <v>22</v>
      </c>
      <c r="AG69" s="232">
        <f t="shared" si="6"/>
        <v>0</v>
      </c>
      <c r="AH69" s="236">
        <f t="shared" si="23"/>
        <v>0</v>
      </c>
      <c r="AI69" s="231">
        <f t="shared" si="24"/>
        <v>14.681616999999978</v>
      </c>
      <c r="AJ69" s="232">
        <f t="shared" si="25"/>
        <v>0</v>
      </c>
      <c r="AL69" s="3" t="str">
        <f t="shared" si="33"/>
        <v/>
      </c>
    </row>
    <row r="70" spans="1:38" ht="14.1" customHeight="1" x14ac:dyDescent="0.2">
      <c r="A70" s="240" t="s">
        <v>462</v>
      </c>
      <c r="B70" s="282" t="s">
        <v>330</v>
      </c>
      <c r="C70" s="32">
        <v>33</v>
      </c>
      <c r="D70" s="32">
        <v>57</v>
      </c>
      <c r="E70" s="32">
        <f t="shared" si="32"/>
        <v>62</v>
      </c>
      <c r="F70" s="283" t="s">
        <v>44</v>
      </c>
      <c r="G70" s="283" t="s">
        <v>45</v>
      </c>
      <c r="H70" s="32">
        <v>6</v>
      </c>
      <c r="I70" s="32">
        <v>0</v>
      </c>
      <c r="J70" s="65">
        <v>0</v>
      </c>
      <c r="K70" s="229"/>
      <c r="L70" s="303">
        <v>1</v>
      </c>
      <c r="M70" s="304">
        <f t="shared" si="0"/>
        <v>0.20547945205479451</v>
      </c>
      <c r="N70" s="303" t="str">
        <f t="shared" si="1"/>
        <v/>
      </c>
      <c r="O70" s="303">
        <f t="shared" si="10"/>
        <v>0</v>
      </c>
      <c r="P70" s="304">
        <f t="shared" si="11"/>
        <v>0</v>
      </c>
      <c r="Q70" s="303" t="str">
        <f t="shared" si="12"/>
        <v/>
      </c>
      <c r="R70" s="303">
        <f t="shared" si="13"/>
        <v>0</v>
      </c>
      <c r="S70" s="304">
        <f t="shared" si="14"/>
        <v>0</v>
      </c>
      <c r="T70" s="74" t="str">
        <f t="shared" si="15"/>
        <v/>
      </c>
      <c r="V70" s="55">
        <f t="shared" si="16"/>
        <v>73</v>
      </c>
      <c r="W70" s="233">
        <f t="shared" si="2"/>
        <v>0.20547945205479451</v>
      </c>
      <c r="X70" s="231">
        <f t="shared" si="17"/>
        <v>12.421343027397254</v>
      </c>
      <c r="Y70" s="232">
        <f t="shared" si="18"/>
        <v>0</v>
      </c>
      <c r="Z70" s="232">
        <f t="shared" si="19"/>
        <v>0</v>
      </c>
      <c r="AA70" s="232">
        <f t="shared" si="3"/>
        <v>51</v>
      </c>
      <c r="AB70" s="233">
        <f t="shared" si="4"/>
        <v>0</v>
      </c>
      <c r="AC70" s="231">
        <f t="shared" si="20"/>
        <v>14.681617000000013</v>
      </c>
      <c r="AD70" s="232">
        <f t="shared" si="21"/>
        <v>0</v>
      </c>
      <c r="AE70" s="232">
        <f t="shared" si="22"/>
        <v>0</v>
      </c>
      <c r="AF70" s="232">
        <f t="shared" si="5"/>
        <v>22</v>
      </c>
      <c r="AG70" s="232">
        <f t="shared" si="6"/>
        <v>0</v>
      </c>
      <c r="AH70" s="236">
        <f t="shared" si="23"/>
        <v>0</v>
      </c>
      <c r="AI70" s="231">
        <f t="shared" si="24"/>
        <v>14.681616999999978</v>
      </c>
      <c r="AJ70" s="232">
        <f t="shared" si="25"/>
        <v>0</v>
      </c>
      <c r="AL70" s="3" t="str">
        <f t="shared" si="33"/>
        <v/>
      </c>
    </row>
    <row r="71" spans="1:38" ht="14.1" customHeight="1" x14ac:dyDescent="0.2">
      <c r="A71" s="240" t="s">
        <v>462</v>
      </c>
      <c r="B71" s="282" t="s">
        <v>330</v>
      </c>
      <c r="C71" s="32">
        <f t="shared" si="30"/>
        <v>34</v>
      </c>
      <c r="D71" s="32">
        <f t="shared" si="31"/>
        <v>58</v>
      </c>
      <c r="E71" s="32">
        <f t="shared" si="32"/>
        <v>63</v>
      </c>
      <c r="F71" s="283" t="s">
        <v>44</v>
      </c>
      <c r="G71" s="283" t="s">
        <v>45</v>
      </c>
      <c r="H71" s="32">
        <v>4</v>
      </c>
      <c r="I71" s="32">
        <v>0</v>
      </c>
      <c r="J71" s="65">
        <v>0</v>
      </c>
      <c r="K71" s="229"/>
      <c r="L71" s="303">
        <v>1</v>
      </c>
      <c r="M71" s="304">
        <f t="shared" si="0"/>
        <v>0.20547945205479451</v>
      </c>
      <c r="N71" s="303" t="str">
        <f t="shared" si="1"/>
        <v/>
      </c>
      <c r="O71" s="303">
        <f t="shared" si="10"/>
        <v>0</v>
      </c>
      <c r="P71" s="304">
        <f t="shared" si="11"/>
        <v>0</v>
      </c>
      <c r="Q71" s="303" t="str">
        <f t="shared" si="12"/>
        <v/>
      </c>
      <c r="R71" s="303">
        <f t="shared" si="13"/>
        <v>0</v>
      </c>
      <c r="S71" s="304">
        <f t="shared" si="14"/>
        <v>0</v>
      </c>
      <c r="T71" s="74" t="str">
        <f t="shared" si="15"/>
        <v/>
      </c>
      <c r="V71" s="55">
        <f t="shared" si="16"/>
        <v>73</v>
      </c>
      <c r="W71" s="233">
        <f t="shared" si="2"/>
        <v>0.20547945205479451</v>
      </c>
      <c r="X71" s="231">
        <f t="shared" si="17"/>
        <v>12.626822479452048</v>
      </c>
      <c r="Y71" s="232">
        <f t="shared" si="18"/>
        <v>0</v>
      </c>
      <c r="Z71" s="232">
        <f t="shared" si="19"/>
        <v>0</v>
      </c>
      <c r="AA71" s="232">
        <f t="shared" si="3"/>
        <v>51</v>
      </c>
      <c r="AB71" s="233">
        <f t="shared" si="4"/>
        <v>0</v>
      </c>
      <c r="AC71" s="231">
        <f t="shared" si="20"/>
        <v>14.681617000000013</v>
      </c>
      <c r="AD71" s="232">
        <f t="shared" si="21"/>
        <v>0</v>
      </c>
      <c r="AE71" s="232">
        <f t="shared" si="22"/>
        <v>0</v>
      </c>
      <c r="AF71" s="232">
        <f t="shared" si="5"/>
        <v>22</v>
      </c>
      <c r="AG71" s="232">
        <f t="shared" si="6"/>
        <v>0</v>
      </c>
      <c r="AH71" s="236">
        <f t="shared" si="23"/>
        <v>0</v>
      </c>
      <c r="AI71" s="231">
        <f t="shared" si="24"/>
        <v>14.681616999999978</v>
      </c>
      <c r="AJ71" s="232">
        <f t="shared" si="25"/>
        <v>0</v>
      </c>
      <c r="AL71" s="3" t="str">
        <f t="shared" si="33"/>
        <v/>
      </c>
    </row>
    <row r="72" spans="1:38" ht="14.1" customHeight="1" x14ac:dyDescent="0.2">
      <c r="A72" s="240" t="s">
        <v>462</v>
      </c>
      <c r="B72" s="282" t="s">
        <v>330</v>
      </c>
      <c r="C72" s="32">
        <f t="shared" si="30"/>
        <v>35</v>
      </c>
      <c r="D72" s="32">
        <f t="shared" si="31"/>
        <v>59</v>
      </c>
      <c r="E72" s="32">
        <f t="shared" si="32"/>
        <v>64</v>
      </c>
      <c r="F72" s="283" t="s">
        <v>44</v>
      </c>
      <c r="G72" s="283" t="s">
        <v>45</v>
      </c>
      <c r="H72" s="32">
        <v>7</v>
      </c>
      <c r="I72" s="32">
        <v>0</v>
      </c>
      <c r="J72" s="65">
        <v>0</v>
      </c>
      <c r="K72" s="229"/>
      <c r="L72" s="303">
        <v>1</v>
      </c>
      <c r="M72" s="304">
        <f t="shared" si="0"/>
        <v>0.20547945205479451</v>
      </c>
      <c r="N72" s="303" t="str">
        <f t="shared" si="1"/>
        <v/>
      </c>
      <c r="O72" s="303">
        <f t="shared" si="10"/>
        <v>0</v>
      </c>
      <c r="P72" s="304">
        <f t="shared" si="11"/>
        <v>0</v>
      </c>
      <c r="Q72" s="303" t="str">
        <f t="shared" si="12"/>
        <v/>
      </c>
      <c r="R72" s="303">
        <f t="shared" si="13"/>
        <v>0</v>
      </c>
      <c r="S72" s="304">
        <f t="shared" si="14"/>
        <v>0</v>
      </c>
      <c r="T72" s="74" t="str">
        <f t="shared" si="15"/>
        <v/>
      </c>
      <c r="V72" s="55">
        <f t="shared" si="16"/>
        <v>73</v>
      </c>
      <c r="W72" s="233">
        <f t="shared" si="2"/>
        <v>0.20547945205479451</v>
      </c>
      <c r="X72" s="231">
        <f t="shared" si="17"/>
        <v>12.832301931506843</v>
      </c>
      <c r="Y72" s="232">
        <f t="shared" si="18"/>
        <v>0</v>
      </c>
      <c r="Z72" s="232">
        <f t="shared" si="19"/>
        <v>0</v>
      </c>
      <c r="AA72" s="232">
        <f t="shared" si="3"/>
        <v>51</v>
      </c>
      <c r="AB72" s="233">
        <f t="shared" si="4"/>
        <v>0</v>
      </c>
      <c r="AC72" s="231">
        <f t="shared" si="20"/>
        <v>14.681617000000013</v>
      </c>
      <c r="AD72" s="232">
        <f t="shared" si="21"/>
        <v>0</v>
      </c>
      <c r="AE72" s="232">
        <f t="shared" si="22"/>
        <v>0</v>
      </c>
      <c r="AF72" s="232">
        <f t="shared" si="5"/>
        <v>22</v>
      </c>
      <c r="AG72" s="232">
        <f t="shared" si="6"/>
        <v>0</v>
      </c>
      <c r="AH72" s="236">
        <f t="shared" si="23"/>
        <v>0</v>
      </c>
      <c r="AI72" s="231">
        <f t="shared" si="24"/>
        <v>14.681616999999978</v>
      </c>
      <c r="AJ72" s="232">
        <f t="shared" si="25"/>
        <v>0</v>
      </c>
      <c r="AL72" s="3" t="str">
        <f t="shared" si="33"/>
        <v/>
      </c>
    </row>
    <row r="73" spans="1:38" ht="14.1" customHeight="1" x14ac:dyDescent="0.2">
      <c r="A73" s="240" t="s">
        <v>462</v>
      </c>
      <c r="B73" s="282" t="s">
        <v>330</v>
      </c>
      <c r="C73" s="32">
        <f t="shared" si="30"/>
        <v>36</v>
      </c>
      <c r="D73" s="32">
        <f t="shared" si="31"/>
        <v>60</v>
      </c>
      <c r="E73" s="32">
        <f t="shared" si="32"/>
        <v>65</v>
      </c>
      <c r="F73" s="283" t="s">
        <v>44</v>
      </c>
      <c r="G73" s="283" t="s">
        <v>45</v>
      </c>
      <c r="H73" s="32">
        <v>3</v>
      </c>
      <c r="I73" s="32">
        <v>0</v>
      </c>
      <c r="J73" s="65">
        <v>0</v>
      </c>
      <c r="K73" s="229"/>
      <c r="L73" s="303">
        <v>1</v>
      </c>
      <c r="M73" s="304">
        <f t="shared" ref="M73:M136" si="34">+W73</f>
        <v>0.20547945205479451</v>
      </c>
      <c r="N73" s="303">
        <f t="shared" ref="N73:N136" si="35">+IF(Y73=1,Y73,"")</f>
        <v>1</v>
      </c>
      <c r="O73" s="303">
        <f t="shared" si="10"/>
        <v>0</v>
      </c>
      <c r="P73" s="304">
        <f t="shared" si="11"/>
        <v>0</v>
      </c>
      <c r="Q73" s="303" t="str">
        <f t="shared" si="12"/>
        <v/>
      </c>
      <c r="R73" s="303">
        <f t="shared" si="13"/>
        <v>0</v>
      </c>
      <c r="S73" s="304">
        <f t="shared" si="14"/>
        <v>0</v>
      </c>
      <c r="T73" s="74" t="str">
        <f t="shared" si="15"/>
        <v/>
      </c>
      <c r="V73" s="55">
        <f t="shared" si="16"/>
        <v>73</v>
      </c>
      <c r="W73" s="233">
        <f t="shared" ref="W73:W136" si="36">+MIN(1,$D$5/V73)</f>
        <v>0.20547945205479451</v>
      </c>
      <c r="X73" s="231">
        <f t="shared" si="17"/>
        <v>13.037781383561637</v>
      </c>
      <c r="Y73" s="232">
        <f t="shared" si="18"/>
        <v>1</v>
      </c>
      <c r="Z73" s="232">
        <f t="shared" si="19"/>
        <v>0</v>
      </c>
      <c r="AA73" s="232">
        <f t="shared" ref="AA73:AA136" si="37">IF(B73=B72,AA72,COUNTIFS(B:B,B73,I:I,"&gt;0"))</f>
        <v>51</v>
      </c>
      <c r="AB73" s="233">
        <f t="shared" ref="AB73:AB136" si="38">+I73*MIN(1,$D$5/AA73)</f>
        <v>0</v>
      </c>
      <c r="AC73" s="231">
        <f t="shared" si="20"/>
        <v>14.681617000000013</v>
      </c>
      <c r="AD73" s="232">
        <f t="shared" si="21"/>
        <v>0</v>
      </c>
      <c r="AE73" s="232">
        <f t="shared" si="22"/>
        <v>0</v>
      </c>
      <c r="AF73" s="232">
        <f t="shared" ref="AF73:AF136" si="39">+COUNTIFS(B:B,B73,AE:AE,AE73)</f>
        <v>22</v>
      </c>
      <c r="AG73" s="232">
        <f t="shared" ref="AG73:AG136" si="40">IF(OR(AF73=0,AE73=0),0,IF(AE73=2,ROUND(MIN($D$5*(AF73^$F$5)/(AF73^$F$5+(AA73-AF73)^$F$5),AF73),0),IF(AF73=0,0,MIN($D$5,AA73)-IF(AA73=AF73,0,ROUND(MIN((AE73&gt;0)*$D$5*((AA73-AF73)^$F$5)/((AA73-AF73)^$F$5+AF73^$F$5),AA73-AF73),0)))))</f>
        <v>0</v>
      </c>
      <c r="AH73" s="236">
        <f t="shared" si="23"/>
        <v>0</v>
      </c>
      <c r="AI73" s="231">
        <f t="shared" si="24"/>
        <v>14.681616999999978</v>
      </c>
      <c r="AJ73" s="232">
        <f t="shared" si="25"/>
        <v>0</v>
      </c>
      <c r="AL73" s="3" t="str">
        <f t="shared" si="33"/>
        <v/>
      </c>
    </row>
    <row r="74" spans="1:38" ht="14.1" customHeight="1" x14ac:dyDescent="0.2">
      <c r="A74" s="240" t="s">
        <v>462</v>
      </c>
      <c r="B74" s="282" t="s">
        <v>330</v>
      </c>
      <c r="C74" s="32">
        <f t="shared" si="30"/>
        <v>37</v>
      </c>
      <c r="D74" s="32">
        <f t="shared" si="31"/>
        <v>61</v>
      </c>
      <c r="E74" s="32">
        <f t="shared" si="32"/>
        <v>66</v>
      </c>
      <c r="F74" s="283" t="s">
        <v>44</v>
      </c>
      <c r="G74" s="283" t="s">
        <v>45</v>
      </c>
      <c r="H74" s="32">
        <v>3</v>
      </c>
      <c r="I74" s="32">
        <v>0</v>
      </c>
      <c r="J74" s="65">
        <v>0</v>
      </c>
      <c r="K74" s="229"/>
      <c r="L74" s="303">
        <v>1</v>
      </c>
      <c r="M74" s="304">
        <f t="shared" si="34"/>
        <v>0.20547945205479451</v>
      </c>
      <c r="N74" s="303" t="str">
        <f t="shared" si="35"/>
        <v/>
      </c>
      <c r="O74" s="303">
        <f t="shared" ref="O74:O137" si="41">+Z74</f>
        <v>0</v>
      </c>
      <c r="P74" s="304">
        <f t="shared" ref="P74:P137" si="42">+AB74</f>
        <v>0</v>
      </c>
      <c r="Q74" s="303" t="str">
        <f t="shared" ref="Q74:Q137" si="43">IF(AD74=1,AD74,"")</f>
        <v/>
      </c>
      <c r="R74" s="303">
        <f t="shared" ref="R74:R137" si="44">+AE74</f>
        <v>0</v>
      </c>
      <c r="S74" s="304">
        <f t="shared" ref="S74:S137" si="45">+AH74</f>
        <v>0</v>
      </c>
      <c r="T74" s="74" t="str">
        <f t="shared" ref="T74:T137" si="46">IF(AJ74=1,AJ74,"")</f>
        <v/>
      </c>
      <c r="V74" s="55">
        <f t="shared" ref="V74:V137" si="47">+IF(B74=B73,V73,COUNTIFS(B:B,B74,H:H,"&gt;0"))</f>
        <v>73</v>
      </c>
      <c r="W74" s="233">
        <f t="shared" si="36"/>
        <v>0.20547945205479451</v>
      </c>
      <c r="X74" s="231">
        <f t="shared" ref="X74:X137" si="48">+W74+X73</f>
        <v>13.243260835616431</v>
      </c>
      <c r="Y74" s="232">
        <f t="shared" ref="Y74:Y137" si="49">+INT(X74)-INT(X73)</f>
        <v>0</v>
      </c>
      <c r="Z74" s="232">
        <f t="shared" ref="Z74:Z137" si="50">1*(I74&gt;0)</f>
        <v>0</v>
      </c>
      <c r="AA74" s="232">
        <f t="shared" si="37"/>
        <v>51</v>
      </c>
      <c r="AB74" s="233">
        <f t="shared" si="38"/>
        <v>0</v>
      </c>
      <c r="AC74" s="231">
        <f t="shared" ref="AC74:AC137" si="51">+AB74+AC73</f>
        <v>14.681617000000013</v>
      </c>
      <c r="AD74" s="232">
        <f t="shared" ref="AD74:AD137" si="52">+INT(AC74)-INT(AC73)</f>
        <v>0</v>
      </c>
      <c r="AE74" s="232">
        <f t="shared" ref="AE74:AE137" si="53">+(J74&gt;0)+(I74&gt;0)</f>
        <v>0</v>
      </c>
      <c r="AF74" s="232">
        <f t="shared" si="39"/>
        <v>22</v>
      </c>
      <c r="AG74" s="232">
        <f t="shared" si="40"/>
        <v>0</v>
      </c>
      <c r="AH74" s="236">
        <f t="shared" ref="AH74:AH137" si="54">+MIN(1,AG74/AF74)</f>
        <v>0</v>
      </c>
      <c r="AI74" s="231">
        <f t="shared" ref="AI74:AI137" si="55">+AH74+AI73</f>
        <v>14.681616999999978</v>
      </c>
      <c r="AJ74" s="232">
        <f t="shared" ref="AJ74:AJ137" si="56">+INT(AI74)-INT(AI73)</f>
        <v>0</v>
      </c>
      <c r="AL74" s="3" t="str">
        <f t="shared" si="33"/>
        <v/>
      </c>
    </row>
    <row r="75" spans="1:38" ht="14.1" customHeight="1" x14ac:dyDescent="0.2">
      <c r="A75" s="240" t="s">
        <v>462</v>
      </c>
      <c r="B75" s="282" t="s">
        <v>330</v>
      </c>
      <c r="C75" s="32">
        <f t="shared" ref="C75:C91" si="57">+C74+1</f>
        <v>38</v>
      </c>
      <c r="D75" s="32">
        <f t="shared" ref="D75:D138" si="58">1+D74</f>
        <v>62</v>
      </c>
      <c r="E75" s="32">
        <f t="shared" ref="E75:E138" si="59">1+E74</f>
        <v>67</v>
      </c>
      <c r="F75" s="283" t="s">
        <v>44</v>
      </c>
      <c r="G75" s="283" t="s">
        <v>45</v>
      </c>
      <c r="H75" s="32">
        <v>7</v>
      </c>
      <c r="I75" s="32">
        <v>0</v>
      </c>
      <c r="J75" s="65">
        <v>0</v>
      </c>
      <c r="K75" s="229"/>
      <c r="L75" s="303">
        <v>1</v>
      </c>
      <c r="M75" s="304">
        <f t="shared" si="34"/>
        <v>0.20547945205479451</v>
      </c>
      <c r="N75" s="303" t="str">
        <f t="shared" si="35"/>
        <v/>
      </c>
      <c r="O75" s="303">
        <f t="shared" si="41"/>
        <v>0</v>
      </c>
      <c r="P75" s="304">
        <f t="shared" si="42"/>
        <v>0</v>
      </c>
      <c r="Q75" s="303" t="str">
        <f t="shared" si="43"/>
        <v/>
      </c>
      <c r="R75" s="303">
        <f t="shared" si="44"/>
        <v>0</v>
      </c>
      <c r="S75" s="304">
        <f t="shared" si="45"/>
        <v>0</v>
      </c>
      <c r="T75" s="74" t="str">
        <f t="shared" si="46"/>
        <v/>
      </c>
      <c r="V75" s="55">
        <f t="shared" si="47"/>
        <v>73</v>
      </c>
      <c r="W75" s="233">
        <f t="shared" si="36"/>
        <v>0.20547945205479451</v>
      </c>
      <c r="X75" s="231">
        <f t="shared" si="48"/>
        <v>13.448740287671225</v>
      </c>
      <c r="Y75" s="232">
        <f t="shared" si="49"/>
        <v>0</v>
      </c>
      <c r="Z75" s="232">
        <f t="shared" si="50"/>
        <v>0</v>
      </c>
      <c r="AA75" s="232">
        <f t="shared" si="37"/>
        <v>51</v>
      </c>
      <c r="AB75" s="233">
        <f t="shared" si="38"/>
        <v>0</v>
      </c>
      <c r="AC75" s="231">
        <f t="shared" si="51"/>
        <v>14.681617000000013</v>
      </c>
      <c r="AD75" s="232">
        <f t="shared" si="52"/>
        <v>0</v>
      </c>
      <c r="AE75" s="232">
        <f t="shared" si="53"/>
        <v>0</v>
      </c>
      <c r="AF75" s="232">
        <f t="shared" si="39"/>
        <v>22</v>
      </c>
      <c r="AG75" s="232">
        <f t="shared" si="40"/>
        <v>0</v>
      </c>
      <c r="AH75" s="236">
        <f t="shared" si="54"/>
        <v>0</v>
      </c>
      <c r="AI75" s="231">
        <f t="shared" si="55"/>
        <v>14.681616999999978</v>
      </c>
      <c r="AJ75" s="232">
        <f t="shared" si="56"/>
        <v>0</v>
      </c>
      <c r="AL75" s="3" t="str">
        <f t="shared" si="33"/>
        <v/>
      </c>
    </row>
    <row r="76" spans="1:38" ht="14.1" customHeight="1" x14ac:dyDescent="0.2">
      <c r="A76" s="240" t="s">
        <v>462</v>
      </c>
      <c r="B76" s="282" t="s">
        <v>330</v>
      </c>
      <c r="C76" s="32">
        <f t="shared" si="57"/>
        <v>39</v>
      </c>
      <c r="D76" s="32">
        <f t="shared" si="58"/>
        <v>63</v>
      </c>
      <c r="E76" s="32">
        <f t="shared" si="59"/>
        <v>68</v>
      </c>
      <c r="F76" s="283" t="s">
        <v>44</v>
      </c>
      <c r="G76" s="283" t="s">
        <v>45</v>
      </c>
      <c r="H76" s="32">
        <v>5</v>
      </c>
      <c r="I76" s="32">
        <v>0</v>
      </c>
      <c r="J76" s="65">
        <v>0</v>
      </c>
      <c r="K76" s="229"/>
      <c r="L76" s="303">
        <v>1</v>
      </c>
      <c r="M76" s="304">
        <f t="shared" si="34"/>
        <v>0.20547945205479451</v>
      </c>
      <c r="N76" s="303" t="str">
        <f t="shared" si="35"/>
        <v/>
      </c>
      <c r="O76" s="303">
        <f t="shared" si="41"/>
        <v>0</v>
      </c>
      <c r="P76" s="304">
        <f t="shared" si="42"/>
        <v>0</v>
      </c>
      <c r="Q76" s="303" t="str">
        <f t="shared" si="43"/>
        <v/>
      </c>
      <c r="R76" s="303">
        <f t="shared" si="44"/>
        <v>0</v>
      </c>
      <c r="S76" s="304">
        <f t="shared" si="45"/>
        <v>0</v>
      </c>
      <c r="T76" s="74" t="str">
        <f t="shared" si="46"/>
        <v/>
      </c>
      <c r="V76" s="55">
        <f t="shared" si="47"/>
        <v>73</v>
      </c>
      <c r="W76" s="233">
        <f t="shared" si="36"/>
        <v>0.20547945205479451</v>
      </c>
      <c r="X76" s="231">
        <f t="shared" si="48"/>
        <v>13.654219739726019</v>
      </c>
      <c r="Y76" s="232">
        <f t="shared" si="49"/>
        <v>0</v>
      </c>
      <c r="Z76" s="232">
        <f t="shared" si="50"/>
        <v>0</v>
      </c>
      <c r="AA76" s="232">
        <f t="shared" si="37"/>
        <v>51</v>
      </c>
      <c r="AB76" s="233">
        <f t="shared" si="38"/>
        <v>0</v>
      </c>
      <c r="AC76" s="231">
        <f t="shared" si="51"/>
        <v>14.681617000000013</v>
      </c>
      <c r="AD76" s="232">
        <f t="shared" si="52"/>
        <v>0</v>
      </c>
      <c r="AE76" s="232">
        <f t="shared" si="53"/>
        <v>0</v>
      </c>
      <c r="AF76" s="232">
        <f t="shared" si="39"/>
        <v>22</v>
      </c>
      <c r="AG76" s="232">
        <f t="shared" si="40"/>
        <v>0</v>
      </c>
      <c r="AH76" s="236">
        <f t="shared" si="54"/>
        <v>0</v>
      </c>
      <c r="AI76" s="231">
        <f t="shared" si="55"/>
        <v>14.681616999999978</v>
      </c>
      <c r="AJ76" s="232">
        <f t="shared" si="56"/>
        <v>0</v>
      </c>
      <c r="AL76" s="3" t="str">
        <f t="shared" si="33"/>
        <v/>
      </c>
    </row>
    <row r="77" spans="1:38" ht="14.1" customHeight="1" x14ac:dyDescent="0.2">
      <c r="A77" s="240" t="s">
        <v>462</v>
      </c>
      <c r="B77" s="282" t="s">
        <v>330</v>
      </c>
      <c r="C77" s="32">
        <f t="shared" si="57"/>
        <v>40</v>
      </c>
      <c r="D77" s="32">
        <f t="shared" si="58"/>
        <v>64</v>
      </c>
      <c r="E77" s="32">
        <f t="shared" si="59"/>
        <v>69</v>
      </c>
      <c r="F77" s="283" t="s">
        <v>44</v>
      </c>
      <c r="G77" s="283" t="s">
        <v>45</v>
      </c>
      <c r="H77" s="32">
        <v>5</v>
      </c>
      <c r="I77" s="32">
        <v>0</v>
      </c>
      <c r="J77" s="65">
        <v>0</v>
      </c>
      <c r="K77" s="229"/>
      <c r="L77" s="303">
        <v>1</v>
      </c>
      <c r="M77" s="304">
        <f t="shared" si="34"/>
        <v>0.20547945205479451</v>
      </c>
      <c r="N77" s="303" t="str">
        <f t="shared" si="35"/>
        <v/>
      </c>
      <c r="O77" s="303">
        <f t="shared" si="41"/>
        <v>0</v>
      </c>
      <c r="P77" s="304">
        <f t="shared" si="42"/>
        <v>0</v>
      </c>
      <c r="Q77" s="303" t="str">
        <f t="shared" si="43"/>
        <v/>
      </c>
      <c r="R77" s="303">
        <f t="shared" si="44"/>
        <v>0</v>
      </c>
      <c r="S77" s="304">
        <f t="shared" si="45"/>
        <v>0</v>
      </c>
      <c r="T77" s="74" t="str">
        <f t="shared" si="46"/>
        <v/>
      </c>
      <c r="V77" s="55">
        <f t="shared" si="47"/>
        <v>73</v>
      </c>
      <c r="W77" s="233">
        <f t="shared" si="36"/>
        <v>0.20547945205479451</v>
      </c>
      <c r="X77" s="231">
        <f t="shared" si="48"/>
        <v>13.859699191780813</v>
      </c>
      <c r="Y77" s="232">
        <f t="shared" si="49"/>
        <v>0</v>
      </c>
      <c r="Z77" s="232">
        <f t="shared" si="50"/>
        <v>0</v>
      </c>
      <c r="AA77" s="232">
        <f t="shared" si="37"/>
        <v>51</v>
      </c>
      <c r="AB77" s="233">
        <f t="shared" si="38"/>
        <v>0</v>
      </c>
      <c r="AC77" s="231">
        <f t="shared" si="51"/>
        <v>14.681617000000013</v>
      </c>
      <c r="AD77" s="232">
        <f t="shared" si="52"/>
        <v>0</v>
      </c>
      <c r="AE77" s="232">
        <f t="shared" si="53"/>
        <v>0</v>
      </c>
      <c r="AF77" s="232">
        <f t="shared" si="39"/>
        <v>22</v>
      </c>
      <c r="AG77" s="232">
        <f t="shared" si="40"/>
        <v>0</v>
      </c>
      <c r="AH77" s="236">
        <f t="shared" si="54"/>
        <v>0</v>
      </c>
      <c r="AI77" s="231">
        <f t="shared" si="55"/>
        <v>14.681616999999978</v>
      </c>
      <c r="AJ77" s="232">
        <f t="shared" si="56"/>
        <v>0</v>
      </c>
      <c r="AL77" s="3" t="str">
        <f t="shared" si="33"/>
        <v/>
      </c>
    </row>
    <row r="78" spans="1:38" ht="14.1" customHeight="1" x14ac:dyDescent="0.2">
      <c r="A78" s="240" t="s">
        <v>462</v>
      </c>
      <c r="B78" s="282" t="s">
        <v>330</v>
      </c>
      <c r="C78" s="32">
        <f t="shared" si="57"/>
        <v>41</v>
      </c>
      <c r="D78" s="32">
        <f t="shared" si="58"/>
        <v>65</v>
      </c>
      <c r="E78" s="32">
        <f t="shared" si="59"/>
        <v>70</v>
      </c>
      <c r="F78" s="283" t="s">
        <v>44</v>
      </c>
      <c r="G78" s="283" t="s">
        <v>45</v>
      </c>
      <c r="H78" s="32">
        <v>2</v>
      </c>
      <c r="I78" s="32">
        <v>0</v>
      </c>
      <c r="J78" s="65">
        <v>0</v>
      </c>
      <c r="K78" s="229"/>
      <c r="L78" s="303">
        <v>1</v>
      </c>
      <c r="M78" s="304">
        <f t="shared" si="34"/>
        <v>0.20547945205479451</v>
      </c>
      <c r="N78" s="303">
        <f t="shared" si="35"/>
        <v>1</v>
      </c>
      <c r="O78" s="303">
        <f t="shared" si="41"/>
        <v>0</v>
      </c>
      <c r="P78" s="304">
        <f t="shared" si="42"/>
        <v>0</v>
      </c>
      <c r="Q78" s="303" t="str">
        <f t="shared" si="43"/>
        <v/>
      </c>
      <c r="R78" s="303">
        <f t="shared" si="44"/>
        <v>0</v>
      </c>
      <c r="S78" s="304">
        <f t="shared" si="45"/>
        <v>0</v>
      </c>
      <c r="T78" s="74" t="str">
        <f t="shared" si="46"/>
        <v/>
      </c>
      <c r="V78" s="55">
        <f t="shared" si="47"/>
        <v>73</v>
      </c>
      <c r="W78" s="233">
        <f t="shared" si="36"/>
        <v>0.20547945205479451</v>
      </c>
      <c r="X78" s="231">
        <f t="shared" si="48"/>
        <v>14.065178643835607</v>
      </c>
      <c r="Y78" s="232">
        <f t="shared" si="49"/>
        <v>1</v>
      </c>
      <c r="Z78" s="232">
        <f t="shared" si="50"/>
        <v>0</v>
      </c>
      <c r="AA78" s="232">
        <f t="shared" si="37"/>
        <v>51</v>
      </c>
      <c r="AB78" s="233">
        <f t="shared" si="38"/>
        <v>0</v>
      </c>
      <c r="AC78" s="231">
        <f t="shared" si="51"/>
        <v>14.681617000000013</v>
      </c>
      <c r="AD78" s="232">
        <f t="shared" si="52"/>
        <v>0</v>
      </c>
      <c r="AE78" s="232">
        <f t="shared" si="53"/>
        <v>0</v>
      </c>
      <c r="AF78" s="232">
        <f t="shared" si="39"/>
        <v>22</v>
      </c>
      <c r="AG78" s="232">
        <f t="shared" si="40"/>
        <v>0</v>
      </c>
      <c r="AH78" s="236">
        <f t="shared" si="54"/>
        <v>0</v>
      </c>
      <c r="AI78" s="231">
        <f t="shared" si="55"/>
        <v>14.681616999999978</v>
      </c>
      <c r="AJ78" s="232">
        <f t="shared" si="56"/>
        <v>0</v>
      </c>
      <c r="AL78" s="3" t="str">
        <f t="shared" si="33"/>
        <v/>
      </c>
    </row>
    <row r="79" spans="1:38" ht="14.1" customHeight="1" x14ac:dyDescent="0.2">
      <c r="A79" s="240" t="s">
        <v>462</v>
      </c>
      <c r="B79" s="282" t="s">
        <v>330</v>
      </c>
      <c r="C79" s="32">
        <f t="shared" si="57"/>
        <v>42</v>
      </c>
      <c r="D79" s="32">
        <f t="shared" si="58"/>
        <v>66</v>
      </c>
      <c r="E79" s="32">
        <f t="shared" si="59"/>
        <v>71</v>
      </c>
      <c r="F79" s="283" t="s">
        <v>44</v>
      </c>
      <c r="G79" s="283" t="s">
        <v>45</v>
      </c>
      <c r="H79" s="32">
        <v>5</v>
      </c>
      <c r="I79" s="32">
        <v>0</v>
      </c>
      <c r="J79" s="65">
        <v>0</v>
      </c>
      <c r="K79" s="229"/>
      <c r="L79" s="303">
        <v>1</v>
      </c>
      <c r="M79" s="304">
        <f t="shared" si="34"/>
        <v>0.20547945205479451</v>
      </c>
      <c r="N79" s="303" t="str">
        <f t="shared" si="35"/>
        <v/>
      </c>
      <c r="O79" s="303">
        <f t="shared" si="41"/>
        <v>0</v>
      </c>
      <c r="P79" s="304">
        <f t="shared" si="42"/>
        <v>0</v>
      </c>
      <c r="Q79" s="303" t="str">
        <f t="shared" si="43"/>
        <v/>
      </c>
      <c r="R79" s="303">
        <f t="shared" si="44"/>
        <v>0</v>
      </c>
      <c r="S79" s="304">
        <f t="shared" si="45"/>
        <v>0</v>
      </c>
      <c r="T79" s="74" t="str">
        <f t="shared" si="46"/>
        <v/>
      </c>
      <c r="V79" s="55">
        <f t="shared" si="47"/>
        <v>73</v>
      </c>
      <c r="W79" s="233">
        <f t="shared" si="36"/>
        <v>0.20547945205479451</v>
      </c>
      <c r="X79" s="231">
        <f t="shared" si="48"/>
        <v>14.270658095890401</v>
      </c>
      <c r="Y79" s="232">
        <f t="shared" si="49"/>
        <v>0</v>
      </c>
      <c r="Z79" s="232">
        <f t="shared" si="50"/>
        <v>0</v>
      </c>
      <c r="AA79" s="232">
        <f t="shared" si="37"/>
        <v>51</v>
      </c>
      <c r="AB79" s="233">
        <f t="shared" si="38"/>
        <v>0</v>
      </c>
      <c r="AC79" s="231">
        <f t="shared" si="51"/>
        <v>14.681617000000013</v>
      </c>
      <c r="AD79" s="232">
        <f t="shared" si="52"/>
        <v>0</v>
      </c>
      <c r="AE79" s="232">
        <f t="shared" si="53"/>
        <v>0</v>
      </c>
      <c r="AF79" s="232">
        <f t="shared" si="39"/>
        <v>22</v>
      </c>
      <c r="AG79" s="232">
        <f t="shared" si="40"/>
        <v>0</v>
      </c>
      <c r="AH79" s="236">
        <f t="shared" si="54"/>
        <v>0</v>
      </c>
      <c r="AI79" s="231">
        <f t="shared" si="55"/>
        <v>14.681616999999978</v>
      </c>
      <c r="AJ79" s="232">
        <f t="shared" si="56"/>
        <v>0</v>
      </c>
      <c r="AL79" s="3" t="str">
        <f t="shared" si="33"/>
        <v/>
      </c>
    </row>
    <row r="80" spans="1:38" ht="14.1" customHeight="1" x14ac:dyDescent="0.2">
      <c r="A80" s="240" t="s">
        <v>462</v>
      </c>
      <c r="B80" s="282" t="s">
        <v>330</v>
      </c>
      <c r="C80" s="32">
        <f t="shared" si="57"/>
        <v>43</v>
      </c>
      <c r="D80" s="32">
        <f t="shared" si="58"/>
        <v>67</v>
      </c>
      <c r="E80" s="32">
        <f t="shared" si="59"/>
        <v>72</v>
      </c>
      <c r="F80" s="283" t="s">
        <v>44</v>
      </c>
      <c r="G80" s="283" t="s">
        <v>45</v>
      </c>
      <c r="H80" s="32">
        <v>1</v>
      </c>
      <c r="I80" s="32">
        <v>0</v>
      </c>
      <c r="J80" s="65">
        <v>0</v>
      </c>
      <c r="K80" s="229"/>
      <c r="L80" s="303">
        <v>1</v>
      </c>
      <c r="M80" s="304">
        <f t="shared" si="34"/>
        <v>0.20547945205479451</v>
      </c>
      <c r="N80" s="303" t="str">
        <f t="shared" si="35"/>
        <v/>
      </c>
      <c r="O80" s="303">
        <f t="shared" si="41"/>
        <v>0</v>
      </c>
      <c r="P80" s="304">
        <f t="shared" si="42"/>
        <v>0</v>
      </c>
      <c r="Q80" s="303" t="str">
        <f t="shared" si="43"/>
        <v/>
      </c>
      <c r="R80" s="303">
        <f t="shared" si="44"/>
        <v>0</v>
      </c>
      <c r="S80" s="304">
        <f t="shared" si="45"/>
        <v>0</v>
      </c>
      <c r="T80" s="74" t="str">
        <f t="shared" si="46"/>
        <v/>
      </c>
      <c r="V80" s="55">
        <f t="shared" si="47"/>
        <v>73</v>
      </c>
      <c r="W80" s="233">
        <f t="shared" si="36"/>
        <v>0.20547945205479451</v>
      </c>
      <c r="X80" s="231">
        <f t="shared" si="48"/>
        <v>14.476137547945195</v>
      </c>
      <c r="Y80" s="232">
        <f t="shared" si="49"/>
        <v>0</v>
      </c>
      <c r="Z80" s="232">
        <f t="shared" si="50"/>
        <v>0</v>
      </c>
      <c r="AA80" s="232">
        <f t="shared" si="37"/>
        <v>51</v>
      </c>
      <c r="AB80" s="233">
        <f t="shared" si="38"/>
        <v>0</v>
      </c>
      <c r="AC80" s="231">
        <f t="shared" si="51"/>
        <v>14.681617000000013</v>
      </c>
      <c r="AD80" s="232">
        <f t="shared" si="52"/>
        <v>0</v>
      </c>
      <c r="AE80" s="232">
        <f t="shared" si="53"/>
        <v>0</v>
      </c>
      <c r="AF80" s="232">
        <f t="shared" si="39"/>
        <v>22</v>
      </c>
      <c r="AG80" s="232">
        <f t="shared" si="40"/>
        <v>0</v>
      </c>
      <c r="AH80" s="236">
        <f t="shared" si="54"/>
        <v>0</v>
      </c>
      <c r="AI80" s="231">
        <f t="shared" si="55"/>
        <v>14.681616999999978</v>
      </c>
      <c r="AJ80" s="232">
        <f t="shared" si="56"/>
        <v>0</v>
      </c>
      <c r="AL80" s="3" t="str">
        <f t="shared" si="33"/>
        <v/>
      </c>
    </row>
    <row r="81" spans="1:38" ht="14.1" customHeight="1" x14ac:dyDescent="0.2">
      <c r="A81" s="240" t="s">
        <v>462</v>
      </c>
      <c r="B81" s="282" t="s">
        <v>330</v>
      </c>
      <c r="C81" s="32">
        <f t="shared" si="57"/>
        <v>44</v>
      </c>
      <c r="D81" s="32">
        <f t="shared" si="58"/>
        <v>68</v>
      </c>
      <c r="E81" s="32">
        <f t="shared" si="59"/>
        <v>73</v>
      </c>
      <c r="F81" s="283" t="s">
        <v>44</v>
      </c>
      <c r="G81" s="283" t="s">
        <v>45</v>
      </c>
      <c r="H81" s="32">
        <v>7</v>
      </c>
      <c r="I81" s="32">
        <v>0</v>
      </c>
      <c r="J81" s="65">
        <v>0</v>
      </c>
      <c r="K81" s="229"/>
      <c r="L81" s="303">
        <v>1</v>
      </c>
      <c r="M81" s="304">
        <f t="shared" si="34"/>
        <v>0.20547945205479451</v>
      </c>
      <c r="N81" s="303" t="str">
        <f t="shared" si="35"/>
        <v/>
      </c>
      <c r="O81" s="303">
        <f t="shared" si="41"/>
        <v>0</v>
      </c>
      <c r="P81" s="304">
        <f t="shared" si="42"/>
        <v>0</v>
      </c>
      <c r="Q81" s="303" t="str">
        <f t="shared" si="43"/>
        <v/>
      </c>
      <c r="R81" s="303">
        <f t="shared" si="44"/>
        <v>0</v>
      </c>
      <c r="S81" s="304">
        <f t="shared" si="45"/>
        <v>0</v>
      </c>
      <c r="T81" s="74" t="str">
        <f t="shared" si="46"/>
        <v/>
      </c>
      <c r="V81" s="55">
        <f t="shared" si="47"/>
        <v>73</v>
      </c>
      <c r="W81" s="233">
        <f t="shared" si="36"/>
        <v>0.20547945205479451</v>
      </c>
      <c r="X81" s="231">
        <f t="shared" si="48"/>
        <v>14.681616999999989</v>
      </c>
      <c r="Y81" s="232">
        <f t="shared" si="49"/>
        <v>0</v>
      </c>
      <c r="Z81" s="232">
        <f t="shared" si="50"/>
        <v>0</v>
      </c>
      <c r="AA81" s="232">
        <f t="shared" si="37"/>
        <v>51</v>
      </c>
      <c r="AB81" s="233">
        <f t="shared" si="38"/>
        <v>0</v>
      </c>
      <c r="AC81" s="231">
        <f t="shared" si="51"/>
        <v>14.681617000000013</v>
      </c>
      <c r="AD81" s="232">
        <f t="shared" si="52"/>
        <v>0</v>
      </c>
      <c r="AE81" s="232">
        <f t="shared" si="53"/>
        <v>0</v>
      </c>
      <c r="AF81" s="232">
        <f t="shared" si="39"/>
        <v>22</v>
      </c>
      <c r="AG81" s="232">
        <f t="shared" si="40"/>
        <v>0</v>
      </c>
      <c r="AH81" s="236">
        <f t="shared" si="54"/>
        <v>0</v>
      </c>
      <c r="AI81" s="231">
        <f t="shared" si="55"/>
        <v>14.681616999999978</v>
      </c>
      <c r="AJ81" s="232">
        <f t="shared" si="56"/>
        <v>0</v>
      </c>
      <c r="AL81" s="3" t="str">
        <f t="shared" si="33"/>
        <v/>
      </c>
    </row>
    <row r="82" spans="1:38" ht="14.1" customHeight="1" x14ac:dyDescent="0.2">
      <c r="A82" s="240" t="s">
        <v>462</v>
      </c>
      <c r="B82" s="282" t="s">
        <v>522</v>
      </c>
      <c r="C82" s="32">
        <v>1</v>
      </c>
      <c r="D82" s="32">
        <v>1</v>
      </c>
      <c r="E82" s="32">
        <v>1</v>
      </c>
      <c r="F82" s="283" t="s">
        <v>44</v>
      </c>
      <c r="G82" s="283" t="s">
        <v>45</v>
      </c>
      <c r="H82" s="32">
        <v>4</v>
      </c>
      <c r="I82" s="32">
        <v>1</v>
      </c>
      <c r="J82" s="65">
        <v>0</v>
      </c>
      <c r="K82" s="229"/>
      <c r="L82" s="303">
        <v>1</v>
      </c>
      <c r="M82" s="304">
        <f t="shared" si="34"/>
        <v>1</v>
      </c>
      <c r="N82" s="303">
        <f t="shared" si="35"/>
        <v>1</v>
      </c>
      <c r="O82" s="303">
        <f t="shared" si="41"/>
        <v>1</v>
      </c>
      <c r="P82" s="304">
        <f t="shared" si="42"/>
        <v>1</v>
      </c>
      <c r="Q82" s="303">
        <f t="shared" si="43"/>
        <v>1</v>
      </c>
      <c r="R82" s="303">
        <f t="shared" si="44"/>
        <v>1</v>
      </c>
      <c r="S82" s="304">
        <f t="shared" si="45"/>
        <v>1</v>
      </c>
      <c r="T82" s="74">
        <f t="shared" si="46"/>
        <v>1</v>
      </c>
      <c r="V82" s="55">
        <f t="shared" si="47"/>
        <v>12</v>
      </c>
      <c r="W82" s="233">
        <f t="shared" si="36"/>
        <v>1</v>
      </c>
      <c r="X82" s="231">
        <f t="shared" si="48"/>
        <v>15.681616999999989</v>
      </c>
      <c r="Y82" s="232">
        <f t="shared" si="49"/>
        <v>1</v>
      </c>
      <c r="Z82" s="232">
        <f t="shared" si="50"/>
        <v>1</v>
      </c>
      <c r="AA82" s="232">
        <f t="shared" si="37"/>
        <v>7</v>
      </c>
      <c r="AB82" s="233">
        <f t="shared" si="38"/>
        <v>1</v>
      </c>
      <c r="AC82" s="231">
        <f t="shared" si="51"/>
        <v>15.681617000000013</v>
      </c>
      <c r="AD82" s="232">
        <f t="shared" si="52"/>
        <v>1</v>
      </c>
      <c r="AE82" s="232">
        <f t="shared" si="53"/>
        <v>1</v>
      </c>
      <c r="AF82" s="232">
        <f t="shared" si="39"/>
        <v>7</v>
      </c>
      <c r="AG82" s="232">
        <f t="shared" si="40"/>
        <v>7</v>
      </c>
      <c r="AH82" s="236">
        <f t="shared" si="54"/>
        <v>1</v>
      </c>
      <c r="AI82" s="231">
        <f t="shared" si="55"/>
        <v>15.681616999999978</v>
      </c>
      <c r="AJ82" s="232">
        <f t="shared" si="56"/>
        <v>1</v>
      </c>
      <c r="AL82" s="3">
        <f t="shared" si="33"/>
        <v>7</v>
      </c>
    </row>
    <row r="83" spans="1:38" ht="14.1" customHeight="1" x14ac:dyDescent="0.2">
      <c r="A83" s="240" t="s">
        <v>462</v>
      </c>
      <c r="B83" s="282" t="s">
        <v>522</v>
      </c>
      <c r="C83" s="32">
        <f t="shared" si="57"/>
        <v>2</v>
      </c>
      <c r="D83" s="32">
        <f t="shared" si="58"/>
        <v>2</v>
      </c>
      <c r="E83" s="32">
        <f t="shared" si="59"/>
        <v>2</v>
      </c>
      <c r="F83" s="283" t="s">
        <v>44</v>
      </c>
      <c r="G83" s="283" t="s">
        <v>45</v>
      </c>
      <c r="H83" s="32">
        <v>5</v>
      </c>
      <c r="I83" s="32">
        <v>1</v>
      </c>
      <c r="J83" s="65">
        <v>0</v>
      </c>
      <c r="K83" s="229"/>
      <c r="L83" s="303">
        <v>1</v>
      </c>
      <c r="M83" s="304">
        <f t="shared" si="34"/>
        <v>1</v>
      </c>
      <c r="N83" s="303">
        <f t="shared" si="35"/>
        <v>1</v>
      </c>
      <c r="O83" s="303">
        <f t="shared" si="41"/>
        <v>1</v>
      </c>
      <c r="P83" s="304">
        <f t="shared" si="42"/>
        <v>1</v>
      </c>
      <c r="Q83" s="303">
        <f t="shared" si="43"/>
        <v>1</v>
      </c>
      <c r="R83" s="303">
        <f t="shared" si="44"/>
        <v>1</v>
      </c>
      <c r="S83" s="304">
        <f t="shared" si="45"/>
        <v>1</v>
      </c>
      <c r="T83" s="74">
        <f t="shared" si="46"/>
        <v>1</v>
      </c>
      <c r="V83" s="55">
        <f t="shared" si="47"/>
        <v>12</v>
      </c>
      <c r="W83" s="233">
        <f t="shared" si="36"/>
        <v>1</v>
      </c>
      <c r="X83" s="231">
        <f t="shared" si="48"/>
        <v>16.681616999999989</v>
      </c>
      <c r="Y83" s="232">
        <f t="shared" si="49"/>
        <v>1</v>
      </c>
      <c r="Z83" s="232">
        <f t="shared" si="50"/>
        <v>1</v>
      </c>
      <c r="AA83" s="232">
        <f t="shared" si="37"/>
        <v>7</v>
      </c>
      <c r="AB83" s="233">
        <f t="shared" si="38"/>
        <v>1</v>
      </c>
      <c r="AC83" s="231">
        <f t="shared" si="51"/>
        <v>16.681617000000013</v>
      </c>
      <c r="AD83" s="232">
        <f t="shared" si="52"/>
        <v>1</v>
      </c>
      <c r="AE83" s="232">
        <f t="shared" si="53"/>
        <v>1</v>
      </c>
      <c r="AF83" s="232">
        <f t="shared" si="39"/>
        <v>7</v>
      </c>
      <c r="AG83" s="232">
        <f t="shared" si="40"/>
        <v>7</v>
      </c>
      <c r="AH83" s="236">
        <f t="shared" si="54"/>
        <v>1</v>
      </c>
      <c r="AI83" s="231">
        <f t="shared" si="55"/>
        <v>16.681616999999978</v>
      </c>
      <c r="AJ83" s="232">
        <f t="shared" si="56"/>
        <v>1</v>
      </c>
      <c r="AL83" s="3">
        <f t="shared" si="33"/>
        <v>7</v>
      </c>
    </row>
    <row r="84" spans="1:38" ht="14.1" customHeight="1" x14ac:dyDescent="0.2">
      <c r="A84" s="240" t="s">
        <v>462</v>
      </c>
      <c r="B84" s="282" t="s">
        <v>522</v>
      </c>
      <c r="C84" s="32">
        <f t="shared" si="57"/>
        <v>3</v>
      </c>
      <c r="D84" s="32">
        <f t="shared" si="58"/>
        <v>3</v>
      </c>
      <c r="E84" s="32">
        <f t="shared" si="59"/>
        <v>3</v>
      </c>
      <c r="F84" s="283" t="s">
        <v>44</v>
      </c>
      <c r="G84" s="283" t="s">
        <v>45</v>
      </c>
      <c r="H84" s="32">
        <v>6</v>
      </c>
      <c r="I84" s="32">
        <v>1</v>
      </c>
      <c r="J84" s="65">
        <v>0</v>
      </c>
      <c r="K84" s="229"/>
      <c r="L84" s="303">
        <v>1</v>
      </c>
      <c r="M84" s="304">
        <f t="shared" si="34"/>
        <v>1</v>
      </c>
      <c r="N84" s="303">
        <f t="shared" si="35"/>
        <v>1</v>
      </c>
      <c r="O84" s="303">
        <f t="shared" si="41"/>
        <v>1</v>
      </c>
      <c r="P84" s="304">
        <f t="shared" si="42"/>
        <v>1</v>
      </c>
      <c r="Q84" s="303">
        <f t="shared" si="43"/>
        <v>1</v>
      </c>
      <c r="R84" s="303">
        <f t="shared" si="44"/>
        <v>1</v>
      </c>
      <c r="S84" s="304">
        <f t="shared" si="45"/>
        <v>1</v>
      </c>
      <c r="T84" s="74">
        <f t="shared" si="46"/>
        <v>1</v>
      </c>
      <c r="V84" s="55">
        <f t="shared" si="47"/>
        <v>12</v>
      </c>
      <c r="W84" s="233">
        <f t="shared" si="36"/>
        <v>1</v>
      </c>
      <c r="X84" s="231">
        <f t="shared" si="48"/>
        <v>17.681616999999989</v>
      </c>
      <c r="Y84" s="232">
        <f t="shared" si="49"/>
        <v>1</v>
      </c>
      <c r="Z84" s="232">
        <f t="shared" si="50"/>
        <v>1</v>
      </c>
      <c r="AA84" s="232">
        <f t="shared" si="37"/>
        <v>7</v>
      </c>
      <c r="AB84" s="233">
        <f t="shared" si="38"/>
        <v>1</v>
      </c>
      <c r="AC84" s="231">
        <f t="shared" si="51"/>
        <v>17.681617000000013</v>
      </c>
      <c r="AD84" s="232">
        <f t="shared" si="52"/>
        <v>1</v>
      </c>
      <c r="AE84" s="232">
        <f t="shared" si="53"/>
        <v>1</v>
      </c>
      <c r="AF84" s="232">
        <f t="shared" si="39"/>
        <v>7</v>
      </c>
      <c r="AG84" s="232">
        <f t="shared" si="40"/>
        <v>7</v>
      </c>
      <c r="AH84" s="236">
        <f t="shared" si="54"/>
        <v>1</v>
      </c>
      <c r="AI84" s="231">
        <f t="shared" si="55"/>
        <v>17.681616999999978</v>
      </c>
      <c r="AJ84" s="232">
        <f t="shared" si="56"/>
        <v>1</v>
      </c>
      <c r="AL84" s="3">
        <f t="shared" si="33"/>
        <v>7</v>
      </c>
    </row>
    <row r="85" spans="1:38" ht="14.1" customHeight="1" x14ac:dyDescent="0.2">
      <c r="A85" s="240" t="s">
        <v>462</v>
      </c>
      <c r="B85" s="282" t="s">
        <v>522</v>
      </c>
      <c r="C85" s="32">
        <f t="shared" si="57"/>
        <v>4</v>
      </c>
      <c r="D85" s="32">
        <f t="shared" si="58"/>
        <v>4</v>
      </c>
      <c r="E85" s="32">
        <f t="shared" si="59"/>
        <v>4</v>
      </c>
      <c r="F85" s="283" t="s">
        <v>44</v>
      </c>
      <c r="G85" s="283" t="s">
        <v>45</v>
      </c>
      <c r="H85" s="32">
        <v>3</v>
      </c>
      <c r="I85" s="32">
        <v>1</v>
      </c>
      <c r="J85" s="65">
        <v>0</v>
      </c>
      <c r="K85" s="229"/>
      <c r="L85" s="303">
        <v>1</v>
      </c>
      <c r="M85" s="304">
        <f t="shared" si="34"/>
        <v>1</v>
      </c>
      <c r="N85" s="303">
        <f t="shared" si="35"/>
        <v>1</v>
      </c>
      <c r="O85" s="303">
        <f t="shared" si="41"/>
        <v>1</v>
      </c>
      <c r="P85" s="304">
        <f t="shared" si="42"/>
        <v>1</v>
      </c>
      <c r="Q85" s="303">
        <f t="shared" si="43"/>
        <v>1</v>
      </c>
      <c r="R85" s="303">
        <f t="shared" si="44"/>
        <v>1</v>
      </c>
      <c r="S85" s="304">
        <f t="shared" si="45"/>
        <v>1</v>
      </c>
      <c r="T85" s="74">
        <f t="shared" si="46"/>
        <v>1</v>
      </c>
      <c r="V85" s="55">
        <f t="shared" si="47"/>
        <v>12</v>
      </c>
      <c r="W85" s="233">
        <f t="shared" si="36"/>
        <v>1</v>
      </c>
      <c r="X85" s="231">
        <f t="shared" si="48"/>
        <v>18.681616999999989</v>
      </c>
      <c r="Y85" s="232">
        <f t="shared" si="49"/>
        <v>1</v>
      </c>
      <c r="Z85" s="232">
        <f t="shared" si="50"/>
        <v>1</v>
      </c>
      <c r="AA85" s="232">
        <f t="shared" si="37"/>
        <v>7</v>
      </c>
      <c r="AB85" s="233">
        <f t="shared" si="38"/>
        <v>1</v>
      </c>
      <c r="AC85" s="231">
        <f t="shared" si="51"/>
        <v>18.681617000000013</v>
      </c>
      <c r="AD85" s="232">
        <f t="shared" si="52"/>
        <v>1</v>
      </c>
      <c r="AE85" s="232">
        <f t="shared" si="53"/>
        <v>1</v>
      </c>
      <c r="AF85" s="232">
        <f t="shared" si="39"/>
        <v>7</v>
      </c>
      <c r="AG85" s="232">
        <f t="shared" si="40"/>
        <v>7</v>
      </c>
      <c r="AH85" s="236">
        <f t="shared" si="54"/>
        <v>1</v>
      </c>
      <c r="AI85" s="231">
        <f t="shared" si="55"/>
        <v>18.681616999999978</v>
      </c>
      <c r="AJ85" s="232">
        <f t="shared" si="56"/>
        <v>1</v>
      </c>
      <c r="AL85" s="3">
        <f t="shared" si="33"/>
        <v>7</v>
      </c>
    </row>
    <row r="86" spans="1:38" ht="14.1" customHeight="1" x14ac:dyDescent="0.2">
      <c r="A86" s="240" t="s">
        <v>462</v>
      </c>
      <c r="B86" s="282" t="s">
        <v>522</v>
      </c>
      <c r="C86" s="32">
        <f t="shared" si="57"/>
        <v>5</v>
      </c>
      <c r="D86" s="32">
        <f t="shared" si="58"/>
        <v>5</v>
      </c>
      <c r="E86" s="32">
        <f t="shared" si="59"/>
        <v>5</v>
      </c>
      <c r="F86" s="283" t="s">
        <v>44</v>
      </c>
      <c r="G86" s="283" t="s">
        <v>45</v>
      </c>
      <c r="H86" s="32">
        <v>1</v>
      </c>
      <c r="I86" s="32">
        <v>1</v>
      </c>
      <c r="J86" s="65">
        <v>0</v>
      </c>
      <c r="K86" s="229"/>
      <c r="L86" s="303">
        <v>1</v>
      </c>
      <c r="M86" s="304">
        <f t="shared" si="34"/>
        <v>1</v>
      </c>
      <c r="N86" s="303">
        <f t="shared" si="35"/>
        <v>1</v>
      </c>
      <c r="O86" s="303">
        <f t="shared" si="41"/>
        <v>1</v>
      </c>
      <c r="P86" s="304">
        <f t="shared" si="42"/>
        <v>1</v>
      </c>
      <c r="Q86" s="303">
        <f t="shared" si="43"/>
        <v>1</v>
      </c>
      <c r="R86" s="303">
        <f t="shared" si="44"/>
        <v>1</v>
      </c>
      <c r="S86" s="304">
        <f t="shared" si="45"/>
        <v>1</v>
      </c>
      <c r="T86" s="74">
        <f t="shared" si="46"/>
        <v>1</v>
      </c>
      <c r="V86" s="55">
        <f t="shared" si="47"/>
        <v>12</v>
      </c>
      <c r="W86" s="233">
        <f t="shared" si="36"/>
        <v>1</v>
      </c>
      <c r="X86" s="231">
        <f t="shared" si="48"/>
        <v>19.681616999999989</v>
      </c>
      <c r="Y86" s="232">
        <f t="shared" si="49"/>
        <v>1</v>
      </c>
      <c r="Z86" s="232">
        <f t="shared" si="50"/>
        <v>1</v>
      </c>
      <c r="AA86" s="232">
        <f t="shared" si="37"/>
        <v>7</v>
      </c>
      <c r="AB86" s="233">
        <f t="shared" si="38"/>
        <v>1</v>
      </c>
      <c r="AC86" s="231">
        <f t="shared" si="51"/>
        <v>19.681617000000013</v>
      </c>
      <c r="AD86" s="232">
        <f t="shared" si="52"/>
        <v>1</v>
      </c>
      <c r="AE86" s="232">
        <f t="shared" si="53"/>
        <v>1</v>
      </c>
      <c r="AF86" s="232">
        <f t="shared" si="39"/>
        <v>7</v>
      </c>
      <c r="AG86" s="232">
        <f t="shared" si="40"/>
        <v>7</v>
      </c>
      <c r="AH86" s="236">
        <f t="shared" si="54"/>
        <v>1</v>
      </c>
      <c r="AI86" s="231">
        <f t="shared" si="55"/>
        <v>19.681616999999978</v>
      </c>
      <c r="AJ86" s="232">
        <f t="shared" si="56"/>
        <v>1</v>
      </c>
      <c r="AL86" s="3">
        <f t="shared" si="33"/>
        <v>7</v>
      </c>
    </row>
    <row r="87" spans="1:38" ht="14.1" customHeight="1" x14ac:dyDescent="0.2">
      <c r="A87" s="240" t="s">
        <v>462</v>
      </c>
      <c r="B87" s="282" t="s">
        <v>522</v>
      </c>
      <c r="C87" s="32">
        <f t="shared" si="57"/>
        <v>6</v>
      </c>
      <c r="D87" s="32">
        <f t="shared" si="58"/>
        <v>6</v>
      </c>
      <c r="E87" s="32">
        <f t="shared" si="59"/>
        <v>6</v>
      </c>
      <c r="F87" s="283" t="s">
        <v>44</v>
      </c>
      <c r="G87" s="283" t="s">
        <v>45</v>
      </c>
      <c r="H87" s="32">
        <v>1</v>
      </c>
      <c r="I87" s="32">
        <v>1</v>
      </c>
      <c r="J87" s="65">
        <v>0</v>
      </c>
      <c r="K87" s="229"/>
      <c r="L87" s="303">
        <v>1</v>
      </c>
      <c r="M87" s="304">
        <f t="shared" si="34"/>
        <v>1</v>
      </c>
      <c r="N87" s="303">
        <f t="shared" si="35"/>
        <v>1</v>
      </c>
      <c r="O87" s="303">
        <f t="shared" si="41"/>
        <v>1</v>
      </c>
      <c r="P87" s="304">
        <f t="shared" si="42"/>
        <v>1</v>
      </c>
      <c r="Q87" s="303">
        <f t="shared" si="43"/>
        <v>1</v>
      </c>
      <c r="R87" s="303">
        <f t="shared" si="44"/>
        <v>1</v>
      </c>
      <c r="S87" s="304">
        <f t="shared" si="45"/>
        <v>1</v>
      </c>
      <c r="T87" s="74">
        <f t="shared" si="46"/>
        <v>1</v>
      </c>
      <c r="V87" s="55">
        <f t="shared" si="47"/>
        <v>12</v>
      </c>
      <c r="W87" s="233">
        <f t="shared" si="36"/>
        <v>1</v>
      </c>
      <c r="X87" s="231">
        <f t="shared" si="48"/>
        <v>20.681616999999989</v>
      </c>
      <c r="Y87" s="232">
        <f t="shared" si="49"/>
        <v>1</v>
      </c>
      <c r="Z87" s="232">
        <f t="shared" si="50"/>
        <v>1</v>
      </c>
      <c r="AA87" s="232">
        <f t="shared" si="37"/>
        <v>7</v>
      </c>
      <c r="AB87" s="233">
        <f t="shared" si="38"/>
        <v>1</v>
      </c>
      <c r="AC87" s="231">
        <f t="shared" si="51"/>
        <v>20.681617000000013</v>
      </c>
      <c r="AD87" s="232">
        <f t="shared" si="52"/>
        <v>1</v>
      </c>
      <c r="AE87" s="232">
        <f t="shared" si="53"/>
        <v>1</v>
      </c>
      <c r="AF87" s="232">
        <f t="shared" si="39"/>
        <v>7</v>
      </c>
      <c r="AG87" s="232">
        <f t="shared" si="40"/>
        <v>7</v>
      </c>
      <c r="AH87" s="236">
        <f t="shared" si="54"/>
        <v>1</v>
      </c>
      <c r="AI87" s="231">
        <f t="shared" si="55"/>
        <v>20.681616999999978</v>
      </c>
      <c r="AJ87" s="232">
        <f t="shared" si="56"/>
        <v>1</v>
      </c>
      <c r="AL87" s="3">
        <f t="shared" si="33"/>
        <v>7</v>
      </c>
    </row>
    <row r="88" spans="1:38" ht="14.1" customHeight="1" x14ac:dyDescent="0.2">
      <c r="A88" s="240" t="s">
        <v>462</v>
      </c>
      <c r="B88" s="282" t="s">
        <v>522</v>
      </c>
      <c r="C88" s="32">
        <f t="shared" si="57"/>
        <v>7</v>
      </c>
      <c r="D88" s="32">
        <f t="shared" si="58"/>
        <v>7</v>
      </c>
      <c r="E88" s="32">
        <f t="shared" si="59"/>
        <v>7</v>
      </c>
      <c r="F88" s="283" t="s">
        <v>44</v>
      </c>
      <c r="G88" s="283" t="s">
        <v>45</v>
      </c>
      <c r="H88" s="32">
        <v>5</v>
      </c>
      <c r="I88" s="32">
        <v>1</v>
      </c>
      <c r="J88" s="65">
        <v>0</v>
      </c>
      <c r="K88" s="229"/>
      <c r="L88" s="303">
        <v>1</v>
      </c>
      <c r="M88" s="304">
        <f t="shared" si="34"/>
        <v>1</v>
      </c>
      <c r="N88" s="303">
        <f t="shared" si="35"/>
        <v>1</v>
      </c>
      <c r="O88" s="303">
        <f t="shared" si="41"/>
        <v>1</v>
      </c>
      <c r="P88" s="304">
        <f t="shared" si="42"/>
        <v>1</v>
      </c>
      <c r="Q88" s="303">
        <f t="shared" si="43"/>
        <v>1</v>
      </c>
      <c r="R88" s="303">
        <f t="shared" si="44"/>
        <v>1</v>
      </c>
      <c r="S88" s="304">
        <f t="shared" si="45"/>
        <v>1</v>
      </c>
      <c r="T88" s="74">
        <f t="shared" si="46"/>
        <v>1</v>
      </c>
      <c r="V88" s="55">
        <f t="shared" si="47"/>
        <v>12</v>
      </c>
      <c r="W88" s="233">
        <f t="shared" si="36"/>
        <v>1</v>
      </c>
      <c r="X88" s="231">
        <f t="shared" si="48"/>
        <v>21.681616999999989</v>
      </c>
      <c r="Y88" s="232">
        <f t="shared" si="49"/>
        <v>1</v>
      </c>
      <c r="Z88" s="232">
        <f t="shared" si="50"/>
        <v>1</v>
      </c>
      <c r="AA88" s="232">
        <f t="shared" si="37"/>
        <v>7</v>
      </c>
      <c r="AB88" s="233">
        <f t="shared" si="38"/>
        <v>1</v>
      </c>
      <c r="AC88" s="231">
        <f t="shared" si="51"/>
        <v>21.681617000000013</v>
      </c>
      <c r="AD88" s="232">
        <f t="shared" si="52"/>
        <v>1</v>
      </c>
      <c r="AE88" s="232">
        <f t="shared" si="53"/>
        <v>1</v>
      </c>
      <c r="AF88" s="232">
        <f t="shared" si="39"/>
        <v>7</v>
      </c>
      <c r="AG88" s="232">
        <f t="shared" si="40"/>
        <v>7</v>
      </c>
      <c r="AH88" s="236">
        <f t="shared" si="54"/>
        <v>1</v>
      </c>
      <c r="AI88" s="231">
        <f t="shared" si="55"/>
        <v>21.681616999999978</v>
      </c>
      <c r="AJ88" s="232">
        <f t="shared" si="56"/>
        <v>1</v>
      </c>
      <c r="AL88" s="3">
        <f t="shared" si="33"/>
        <v>7</v>
      </c>
    </row>
    <row r="89" spans="1:38" ht="14.1" customHeight="1" x14ac:dyDescent="0.2">
      <c r="A89" s="240" t="s">
        <v>462</v>
      </c>
      <c r="B89" s="282" t="s">
        <v>522</v>
      </c>
      <c r="C89" s="32">
        <f t="shared" si="57"/>
        <v>8</v>
      </c>
      <c r="D89" s="32">
        <f t="shared" si="58"/>
        <v>8</v>
      </c>
      <c r="E89" s="32">
        <f t="shared" si="59"/>
        <v>8</v>
      </c>
      <c r="F89" s="283" t="s">
        <v>44</v>
      </c>
      <c r="G89" s="283" t="s">
        <v>45</v>
      </c>
      <c r="H89" s="32">
        <v>3</v>
      </c>
      <c r="I89" s="32">
        <v>0</v>
      </c>
      <c r="J89" s="65">
        <v>0</v>
      </c>
      <c r="K89" s="229"/>
      <c r="L89" s="303">
        <v>1</v>
      </c>
      <c r="M89" s="304">
        <f t="shared" si="34"/>
        <v>1</v>
      </c>
      <c r="N89" s="303">
        <f t="shared" si="35"/>
        <v>1</v>
      </c>
      <c r="O89" s="303">
        <f t="shared" si="41"/>
        <v>0</v>
      </c>
      <c r="P89" s="304">
        <f t="shared" si="42"/>
        <v>0</v>
      </c>
      <c r="Q89" s="303" t="str">
        <f t="shared" si="43"/>
        <v/>
      </c>
      <c r="R89" s="303">
        <f t="shared" si="44"/>
        <v>0</v>
      </c>
      <c r="S89" s="304">
        <f t="shared" si="45"/>
        <v>0</v>
      </c>
      <c r="T89" s="74" t="str">
        <f t="shared" si="46"/>
        <v/>
      </c>
      <c r="V89" s="55">
        <f t="shared" si="47"/>
        <v>12</v>
      </c>
      <c r="W89" s="233">
        <f t="shared" si="36"/>
        <v>1</v>
      </c>
      <c r="X89" s="231">
        <f t="shared" si="48"/>
        <v>22.681616999999989</v>
      </c>
      <c r="Y89" s="232">
        <f t="shared" si="49"/>
        <v>1</v>
      </c>
      <c r="Z89" s="232">
        <f t="shared" si="50"/>
        <v>0</v>
      </c>
      <c r="AA89" s="232">
        <f t="shared" si="37"/>
        <v>7</v>
      </c>
      <c r="AB89" s="233">
        <f t="shared" si="38"/>
        <v>0</v>
      </c>
      <c r="AC89" s="231">
        <f t="shared" si="51"/>
        <v>21.681617000000013</v>
      </c>
      <c r="AD89" s="232">
        <f t="shared" si="52"/>
        <v>0</v>
      </c>
      <c r="AE89" s="232">
        <f t="shared" si="53"/>
        <v>0</v>
      </c>
      <c r="AF89" s="232">
        <f t="shared" si="39"/>
        <v>5</v>
      </c>
      <c r="AG89" s="232">
        <f t="shared" si="40"/>
        <v>0</v>
      </c>
      <c r="AH89" s="236">
        <f t="shared" si="54"/>
        <v>0</v>
      </c>
      <c r="AI89" s="231">
        <f t="shared" si="55"/>
        <v>21.681616999999978</v>
      </c>
      <c r="AJ89" s="232">
        <f t="shared" si="56"/>
        <v>0</v>
      </c>
      <c r="AL89" s="3" t="str">
        <f t="shared" si="33"/>
        <v/>
      </c>
    </row>
    <row r="90" spans="1:38" ht="14.1" customHeight="1" x14ac:dyDescent="0.2">
      <c r="A90" s="240" t="s">
        <v>462</v>
      </c>
      <c r="B90" s="282" t="s">
        <v>522</v>
      </c>
      <c r="C90" s="32">
        <f t="shared" si="57"/>
        <v>9</v>
      </c>
      <c r="D90" s="32">
        <f t="shared" si="58"/>
        <v>9</v>
      </c>
      <c r="E90" s="32">
        <f t="shared" si="59"/>
        <v>9</v>
      </c>
      <c r="F90" s="283" t="s">
        <v>44</v>
      </c>
      <c r="G90" s="283" t="s">
        <v>45</v>
      </c>
      <c r="H90" s="32">
        <v>4</v>
      </c>
      <c r="I90" s="32">
        <v>0</v>
      </c>
      <c r="J90" s="65">
        <v>0</v>
      </c>
      <c r="K90" s="229"/>
      <c r="L90" s="303">
        <v>1</v>
      </c>
      <c r="M90" s="304">
        <f t="shared" si="34"/>
        <v>1</v>
      </c>
      <c r="N90" s="303">
        <f t="shared" si="35"/>
        <v>1</v>
      </c>
      <c r="O90" s="303">
        <f t="shared" si="41"/>
        <v>0</v>
      </c>
      <c r="P90" s="304">
        <f t="shared" si="42"/>
        <v>0</v>
      </c>
      <c r="Q90" s="303" t="str">
        <f t="shared" si="43"/>
        <v/>
      </c>
      <c r="R90" s="303">
        <f t="shared" si="44"/>
        <v>0</v>
      </c>
      <c r="S90" s="304">
        <f t="shared" si="45"/>
        <v>0</v>
      </c>
      <c r="T90" s="74" t="str">
        <f t="shared" si="46"/>
        <v/>
      </c>
      <c r="V90" s="55">
        <f t="shared" si="47"/>
        <v>12</v>
      </c>
      <c r="W90" s="233">
        <f t="shared" si="36"/>
        <v>1</v>
      </c>
      <c r="X90" s="231">
        <f t="shared" si="48"/>
        <v>23.681616999999989</v>
      </c>
      <c r="Y90" s="232">
        <f t="shared" si="49"/>
        <v>1</v>
      </c>
      <c r="Z90" s="232">
        <f t="shared" si="50"/>
        <v>0</v>
      </c>
      <c r="AA90" s="232">
        <f t="shared" si="37"/>
        <v>7</v>
      </c>
      <c r="AB90" s="233">
        <f t="shared" si="38"/>
        <v>0</v>
      </c>
      <c r="AC90" s="231">
        <f t="shared" si="51"/>
        <v>21.681617000000013</v>
      </c>
      <c r="AD90" s="232">
        <f t="shared" si="52"/>
        <v>0</v>
      </c>
      <c r="AE90" s="232">
        <f t="shared" si="53"/>
        <v>0</v>
      </c>
      <c r="AF90" s="232">
        <f t="shared" si="39"/>
        <v>5</v>
      </c>
      <c r="AG90" s="232">
        <f t="shared" si="40"/>
        <v>0</v>
      </c>
      <c r="AH90" s="236">
        <f t="shared" si="54"/>
        <v>0</v>
      </c>
      <c r="AI90" s="231">
        <f t="shared" si="55"/>
        <v>21.681616999999978</v>
      </c>
      <c r="AJ90" s="232">
        <f t="shared" si="56"/>
        <v>0</v>
      </c>
      <c r="AL90" s="3" t="str">
        <f t="shared" si="33"/>
        <v/>
      </c>
    </row>
    <row r="91" spans="1:38" ht="14.1" customHeight="1" x14ac:dyDescent="0.2">
      <c r="A91" s="240" t="s">
        <v>462</v>
      </c>
      <c r="B91" s="282" t="s">
        <v>522</v>
      </c>
      <c r="C91" s="32">
        <f t="shared" si="57"/>
        <v>10</v>
      </c>
      <c r="D91" s="32">
        <f t="shared" si="58"/>
        <v>10</v>
      </c>
      <c r="E91" s="32">
        <f t="shared" si="59"/>
        <v>10</v>
      </c>
      <c r="F91" s="283" t="s">
        <v>44</v>
      </c>
      <c r="G91" s="283" t="s">
        <v>45</v>
      </c>
      <c r="H91" s="32">
        <v>5</v>
      </c>
      <c r="I91" s="32">
        <v>0</v>
      </c>
      <c r="J91" s="65">
        <v>0</v>
      </c>
      <c r="K91" s="229"/>
      <c r="L91" s="303">
        <v>1</v>
      </c>
      <c r="M91" s="304">
        <f t="shared" si="34"/>
        <v>1</v>
      </c>
      <c r="N91" s="303">
        <f t="shared" si="35"/>
        <v>1</v>
      </c>
      <c r="O91" s="303">
        <f t="shared" si="41"/>
        <v>0</v>
      </c>
      <c r="P91" s="304">
        <f t="shared" si="42"/>
        <v>0</v>
      </c>
      <c r="Q91" s="303" t="str">
        <f t="shared" si="43"/>
        <v/>
      </c>
      <c r="R91" s="303">
        <f t="shared" si="44"/>
        <v>0</v>
      </c>
      <c r="S91" s="304">
        <f t="shared" si="45"/>
        <v>0</v>
      </c>
      <c r="T91" s="74" t="str">
        <f t="shared" si="46"/>
        <v/>
      </c>
      <c r="V91" s="55">
        <f t="shared" si="47"/>
        <v>12</v>
      </c>
      <c r="W91" s="233">
        <f t="shared" si="36"/>
        <v>1</v>
      </c>
      <c r="X91" s="231">
        <f t="shared" si="48"/>
        <v>24.681616999999989</v>
      </c>
      <c r="Y91" s="232">
        <f t="shared" si="49"/>
        <v>1</v>
      </c>
      <c r="Z91" s="232">
        <f t="shared" si="50"/>
        <v>0</v>
      </c>
      <c r="AA91" s="232">
        <f t="shared" si="37"/>
        <v>7</v>
      </c>
      <c r="AB91" s="233">
        <f t="shared" si="38"/>
        <v>0</v>
      </c>
      <c r="AC91" s="231">
        <f t="shared" si="51"/>
        <v>21.681617000000013</v>
      </c>
      <c r="AD91" s="232">
        <f t="shared" si="52"/>
        <v>0</v>
      </c>
      <c r="AE91" s="232">
        <f t="shared" si="53"/>
        <v>0</v>
      </c>
      <c r="AF91" s="232">
        <f t="shared" si="39"/>
        <v>5</v>
      </c>
      <c r="AG91" s="232">
        <f t="shared" si="40"/>
        <v>0</v>
      </c>
      <c r="AH91" s="236">
        <f t="shared" si="54"/>
        <v>0</v>
      </c>
      <c r="AI91" s="231">
        <f t="shared" si="55"/>
        <v>21.681616999999978</v>
      </c>
      <c r="AJ91" s="232">
        <f t="shared" si="56"/>
        <v>0</v>
      </c>
      <c r="AL91" s="3" t="str">
        <f t="shared" si="33"/>
        <v/>
      </c>
    </row>
    <row r="92" spans="1:38" ht="14.1" customHeight="1" x14ac:dyDescent="0.2">
      <c r="A92" s="240" t="s">
        <v>462</v>
      </c>
      <c r="B92" s="282" t="s">
        <v>522</v>
      </c>
      <c r="C92" s="32">
        <v>10</v>
      </c>
      <c r="D92" s="32">
        <v>10</v>
      </c>
      <c r="E92" s="32">
        <f t="shared" si="59"/>
        <v>11</v>
      </c>
      <c r="F92" s="283" t="s">
        <v>44</v>
      </c>
      <c r="G92" s="283" t="s">
        <v>45</v>
      </c>
      <c r="H92" s="32">
        <v>3</v>
      </c>
      <c r="I92" s="32">
        <v>0</v>
      </c>
      <c r="J92" s="65">
        <v>0</v>
      </c>
      <c r="K92" s="229"/>
      <c r="L92" s="303">
        <v>1</v>
      </c>
      <c r="M92" s="304">
        <f t="shared" si="34"/>
        <v>1</v>
      </c>
      <c r="N92" s="303">
        <f t="shared" si="35"/>
        <v>1</v>
      </c>
      <c r="O92" s="303">
        <f t="shared" si="41"/>
        <v>0</v>
      </c>
      <c r="P92" s="304">
        <f t="shared" si="42"/>
        <v>0</v>
      </c>
      <c r="Q92" s="303" t="str">
        <f t="shared" si="43"/>
        <v/>
      </c>
      <c r="R92" s="303">
        <f t="shared" si="44"/>
        <v>0</v>
      </c>
      <c r="S92" s="304">
        <f t="shared" si="45"/>
        <v>0</v>
      </c>
      <c r="T92" s="74" t="str">
        <f t="shared" si="46"/>
        <v/>
      </c>
      <c r="V92" s="55">
        <f t="shared" si="47"/>
        <v>12</v>
      </c>
      <c r="W92" s="233">
        <f t="shared" si="36"/>
        <v>1</v>
      </c>
      <c r="X92" s="231">
        <f t="shared" si="48"/>
        <v>25.681616999999989</v>
      </c>
      <c r="Y92" s="232">
        <f t="shared" si="49"/>
        <v>1</v>
      </c>
      <c r="Z92" s="232">
        <f t="shared" si="50"/>
        <v>0</v>
      </c>
      <c r="AA92" s="232">
        <f t="shared" si="37"/>
        <v>7</v>
      </c>
      <c r="AB92" s="233">
        <f t="shared" si="38"/>
        <v>0</v>
      </c>
      <c r="AC92" s="231">
        <f t="shared" si="51"/>
        <v>21.681617000000013</v>
      </c>
      <c r="AD92" s="232">
        <f t="shared" si="52"/>
        <v>0</v>
      </c>
      <c r="AE92" s="232">
        <f t="shared" si="53"/>
        <v>0</v>
      </c>
      <c r="AF92" s="232">
        <f t="shared" si="39"/>
        <v>5</v>
      </c>
      <c r="AG92" s="232">
        <f t="shared" si="40"/>
        <v>0</v>
      </c>
      <c r="AH92" s="236">
        <f t="shared" si="54"/>
        <v>0</v>
      </c>
      <c r="AI92" s="231">
        <f t="shared" si="55"/>
        <v>21.681616999999978</v>
      </c>
      <c r="AJ92" s="232">
        <f t="shared" si="56"/>
        <v>0</v>
      </c>
      <c r="AL92" s="3" t="str">
        <f t="shared" ref="AL92:AL123" si="60">IF(AE92=1,IF(AF92=0,0,MIN($D$5,AA92)-IF(AA92=AF92,0,ROUND(MIN((AE92&gt;0)*$D$5*((AA92-AF92)^$F$5)/((AA92-AF92)^$F$5+AF92^$F$5),AA92-AF92),0))),"")</f>
        <v/>
      </c>
    </row>
    <row r="93" spans="1:38" ht="14.1" customHeight="1" x14ac:dyDescent="0.2">
      <c r="A93" s="240" t="s">
        <v>462</v>
      </c>
      <c r="B93" s="282" t="s">
        <v>522</v>
      </c>
      <c r="C93" s="32">
        <v>10</v>
      </c>
      <c r="D93" s="32">
        <v>10</v>
      </c>
      <c r="E93" s="32">
        <f t="shared" si="59"/>
        <v>12</v>
      </c>
      <c r="F93" s="283" t="s">
        <v>44</v>
      </c>
      <c r="G93" s="283" t="s">
        <v>45</v>
      </c>
      <c r="H93" s="32">
        <v>2</v>
      </c>
      <c r="I93" s="32">
        <v>0</v>
      </c>
      <c r="J93" s="65">
        <v>0</v>
      </c>
      <c r="K93" s="229"/>
      <c r="L93" s="303">
        <v>1</v>
      </c>
      <c r="M93" s="304">
        <f t="shared" si="34"/>
        <v>1</v>
      </c>
      <c r="N93" s="303">
        <f t="shared" si="35"/>
        <v>1</v>
      </c>
      <c r="O93" s="303">
        <f t="shared" si="41"/>
        <v>0</v>
      </c>
      <c r="P93" s="304">
        <f t="shared" si="42"/>
        <v>0</v>
      </c>
      <c r="Q93" s="303" t="str">
        <f t="shared" si="43"/>
        <v/>
      </c>
      <c r="R93" s="303">
        <f t="shared" si="44"/>
        <v>0</v>
      </c>
      <c r="S93" s="304">
        <f t="shared" si="45"/>
        <v>0</v>
      </c>
      <c r="T93" s="74" t="str">
        <f t="shared" si="46"/>
        <v/>
      </c>
      <c r="V93" s="55">
        <f t="shared" si="47"/>
        <v>12</v>
      </c>
      <c r="W93" s="233">
        <f t="shared" si="36"/>
        <v>1</v>
      </c>
      <c r="X93" s="231">
        <f t="shared" si="48"/>
        <v>26.681616999999989</v>
      </c>
      <c r="Y93" s="232">
        <f t="shared" si="49"/>
        <v>1</v>
      </c>
      <c r="Z93" s="232">
        <f t="shared" si="50"/>
        <v>0</v>
      </c>
      <c r="AA93" s="232">
        <f t="shared" si="37"/>
        <v>7</v>
      </c>
      <c r="AB93" s="233">
        <f t="shared" si="38"/>
        <v>0</v>
      </c>
      <c r="AC93" s="231">
        <f t="shared" si="51"/>
        <v>21.681617000000013</v>
      </c>
      <c r="AD93" s="232">
        <f t="shared" si="52"/>
        <v>0</v>
      </c>
      <c r="AE93" s="232">
        <f t="shared" si="53"/>
        <v>0</v>
      </c>
      <c r="AF93" s="232">
        <f t="shared" si="39"/>
        <v>5</v>
      </c>
      <c r="AG93" s="232">
        <f t="shared" si="40"/>
        <v>0</v>
      </c>
      <c r="AH93" s="236">
        <f t="shared" si="54"/>
        <v>0</v>
      </c>
      <c r="AI93" s="231">
        <f t="shared" si="55"/>
        <v>21.681616999999978</v>
      </c>
      <c r="AJ93" s="232">
        <f t="shared" si="56"/>
        <v>0</v>
      </c>
      <c r="AL93" s="3" t="str">
        <f t="shared" si="60"/>
        <v/>
      </c>
    </row>
    <row r="94" spans="1:38" ht="14.1" customHeight="1" x14ac:dyDescent="0.2">
      <c r="A94" s="240" t="s">
        <v>462</v>
      </c>
      <c r="B94" s="282" t="s">
        <v>523</v>
      </c>
      <c r="C94" s="32">
        <v>1</v>
      </c>
      <c r="D94" s="32">
        <v>1</v>
      </c>
      <c r="E94" s="32">
        <v>1</v>
      </c>
      <c r="F94" s="283" t="s">
        <v>44</v>
      </c>
      <c r="G94" s="283" t="s">
        <v>45</v>
      </c>
      <c r="H94" s="32">
        <v>3</v>
      </c>
      <c r="I94" s="32">
        <v>1</v>
      </c>
      <c r="J94" s="65">
        <v>1</v>
      </c>
      <c r="K94" s="229"/>
      <c r="L94" s="303">
        <v>1</v>
      </c>
      <c r="M94" s="304">
        <f t="shared" si="34"/>
        <v>0.12195121951219512</v>
      </c>
      <c r="N94" s="303" t="str">
        <f t="shared" si="35"/>
        <v/>
      </c>
      <c r="O94" s="303">
        <f t="shared" si="41"/>
        <v>1</v>
      </c>
      <c r="P94" s="304">
        <f t="shared" si="42"/>
        <v>0.16483516483516483</v>
      </c>
      <c r="Q94" s="303" t="str">
        <f t="shared" si="43"/>
        <v/>
      </c>
      <c r="R94" s="303">
        <f t="shared" si="44"/>
        <v>2</v>
      </c>
      <c r="S94" s="304">
        <f t="shared" si="45"/>
        <v>1</v>
      </c>
      <c r="T94" s="74">
        <f t="shared" si="46"/>
        <v>1</v>
      </c>
      <c r="V94" s="55">
        <f t="shared" si="47"/>
        <v>123</v>
      </c>
      <c r="W94" s="233">
        <f t="shared" si="36"/>
        <v>0.12195121951219512</v>
      </c>
      <c r="X94" s="231">
        <f t="shared" si="48"/>
        <v>26.803568219512183</v>
      </c>
      <c r="Y94" s="232">
        <f t="shared" si="49"/>
        <v>0</v>
      </c>
      <c r="Z94" s="232">
        <f t="shared" si="50"/>
        <v>1</v>
      </c>
      <c r="AA94" s="232">
        <f t="shared" si="37"/>
        <v>91</v>
      </c>
      <c r="AB94" s="233">
        <f t="shared" si="38"/>
        <v>0.16483516483516483</v>
      </c>
      <c r="AC94" s="231">
        <f t="shared" si="51"/>
        <v>21.846452164835178</v>
      </c>
      <c r="AD94" s="232">
        <f t="shared" si="52"/>
        <v>0</v>
      </c>
      <c r="AE94" s="232">
        <f t="shared" si="53"/>
        <v>2</v>
      </c>
      <c r="AF94" s="232">
        <f t="shared" si="39"/>
        <v>11</v>
      </c>
      <c r="AG94" s="232">
        <f t="shared" si="40"/>
        <v>11</v>
      </c>
      <c r="AH94" s="236">
        <f t="shared" si="54"/>
        <v>1</v>
      </c>
      <c r="AI94" s="231">
        <f t="shared" si="55"/>
        <v>22.681616999999978</v>
      </c>
      <c r="AJ94" s="232">
        <f t="shared" si="56"/>
        <v>1</v>
      </c>
      <c r="AL94" s="3" t="str">
        <f t="shared" si="60"/>
        <v/>
      </c>
    </row>
    <row r="95" spans="1:38" ht="14.1" customHeight="1" x14ac:dyDescent="0.2">
      <c r="A95" s="240" t="s">
        <v>462</v>
      </c>
      <c r="B95" s="282" t="s">
        <v>523</v>
      </c>
      <c r="C95" s="32">
        <f>+C94+1</f>
        <v>2</v>
      </c>
      <c r="D95" s="32">
        <f t="shared" si="58"/>
        <v>2</v>
      </c>
      <c r="E95" s="32">
        <f t="shared" si="59"/>
        <v>2</v>
      </c>
      <c r="F95" s="283" t="s">
        <v>44</v>
      </c>
      <c r="G95" s="283" t="s">
        <v>45</v>
      </c>
      <c r="H95" s="32">
        <v>6</v>
      </c>
      <c r="I95" s="32">
        <v>1</v>
      </c>
      <c r="J95" s="65">
        <v>1</v>
      </c>
      <c r="K95" s="229"/>
      <c r="L95" s="303">
        <v>1</v>
      </c>
      <c r="M95" s="304">
        <f t="shared" si="34"/>
        <v>0.12195121951219512</v>
      </c>
      <c r="N95" s="303" t="str">
        <f t="shared" si="35"/>
        <v/>
      </c>
      <c r="O95" s="303">
        <f t="shared" si="41"/>
        <v>1</v>
      </c>
      <c r="P95" s="304">
        <f t="shared" si="42"/>
        <v>0.16483516483516483</v>
      </c>
      <c r="Q95" s="303">
        <f t="shared" si="43"/>
        <v>1</v>
      </c>
      <c r="R95" s="303">
        <f t="shared" si="44"/>
        <v>2</v>
      </c>
      <c r="S95" s="304">
        <f t="shared" si="45"/>
        <v>1</v>
      </c>
      <c r="T95" s="74">
        <f t="shared" si="46"/>
        <v>1</v>
      </c>
      <c r="V95" s="55">
        <f t="shared" si="47"/>
        <v>123</v>
      </c>
      <c r="W95" s="233">
        <f t="shared" si="36"/>
        <v>0.12195121951219512</v>
      </c>
      <c r="X95" s="231">
        <f t="shared" si="48"/>
        <v>26.925519439024377</v>
      </c>
      <c r="Y95" s="232">
        <f t="shared" si="49"/>
        <v>0</v>
      </c>
      <c r="Z95" s="232">
        <f t="shared" si="50"/>
        <v>1</v>
      </c>
      <c r="AA95" s="232">
        <f t="shared" si="37"/>
        <v>91</v>
      </c>
      <c r="AB95" s="233">
        <f t="shared" si="38"/>
        <v>0.16483516483516483</v>
      </c>
      <c r="AC95" s="231">
        <f t="shared" si="51"/>
        <v>22.011287329670342</v>
      </c>
      <c r="AD95" s="232">
        <f t="shared" si="52"/>
        <v>1</v>
      </c>
      <c r="AE95" s="232">
        <f t="shared" si="53"/>
        <v>2</v>
      </c>
      <c r="AF95" s="232">
        <f t="shared" si="39"/>
        <v>11</v>
      </c>
      <c r="AG95" s="232">
        <f t="shared" si="40"/>
        <v>11</v>
      </c>
      <c r="AH95" s="236">
        <f t="shared" si="54"/>
        <v>1</v>
      </c>
      <c r="AI95" s="231">
        <f t="shared" si="55"/>
        <v>23.681616999999978</v>
      </c>
      <c r="AJ95" s="232">
        <f t="shared" si="56"/>
        <v>1</v>
      </c>
      <c r="AL95" s="3" t="str">
        <f t="shared" si="60"/>
        <v/>
      </c>
    </row>
    <row r="96" spans="1:38" ht="14.1" customHeight="1" x14ac:dyDescent="0.2">
      <c r="A96" s="240" t="s">
        <v>462</v>
      </c>
      <c r="B96" s="282" t="s">
        <v>523</v>
      </c>
      <c r="C96" s="32">
        <f t="shared" ref="C96:C159" si="61">+C95+1</f>
        <v>3</v>
      </c>
      <c r="D96" s="32">
        <f t="shared" si="58"/>
        <v>3</v>
      </c>
      <c r="E96" s="32">
        <f t="shared" si="59"/>
        <v>3</v>
      </c>
      <c r="F96" s="283" t="s">
        <v>44</v>
      </c>
      <c r="G96" s="283" t="s">
        <v>45</v>
      </c>
      <c r="H96" s="32">
        <v>1</v>
      </c>
      <c r="I96" s="32">
        <v>1</v>
      </c>
      <c r="J96" s="65">
        <v>1</v>
      </c>
      <c r="K96" s="229"/>
      <c r="L96" s="303">
        <v>1</v>
      </c>
      <c r="M96" s="304">
        <f t="shared" si="34"/>
        <v>0.12195121951219512</v>
      </c>
      <c r="N96" s="303">
        <f t="shared" si="35"/>
        <v>1</v>
      </c>
      <c r="O96" s="303">
        <f t="shared" si="41"/>
        <v>1</v>
      </c>
      <c r="P96" s="304">
        <f t="shared" si="42"/>
        <v>0.16483516483516483</v>
      </c>
      <c r="Q96" s="303" t="str">
        <f t="shared" si="43"/>
        <v/>
      </c>
      <c r="R96" s="303">
        <f t="shared" si="44"/>
        <v>2</v>
      </c>
      <c r="S96" s="304">
        <f t="shared" si="45"/>
        <v>1</v>
      </c>
      <c r="T96" s="74">
        <f t="shared" si="46"/>
        <v>1</v>
      </c>
      <c r="V96" s="55">
        <f t="shared" si="47"/>
        <v>123</v>
      </c>
      <c r="W96" s="233">
        <f t="shared" si="36"/>
        <v>0.12195121951219512</v>
      </c>
      <c r="X96" s="231">
        <f t="shared" si="48"/>
        <v>27.047470658536572</v>
      </c>
      <c r="Y96" s="232">
        <f t="shared" si="49"/>
        <v>1</v>
      </c>
      <c r="Z96" s="232">
        <f t="shared" si="50"/>
        <v>1</v>
      </c>
      <c r="AA96" s="232">
        <f t="shared" si="37"/>
        <v>91</v>
      </c>
      <c r="AB96" s="233">
        <f t="shared" si="38"/>
        <v>0.16483516483516483</v>
      </c>
      <c r="AC96" s="231">
        <f t="shared" si="51"/>
        <v>22.176122494505506</v>
      </c>
      <c r="AD96" s="232">
        <f t="shared" si="52"/>
        <v>0</v>
      </c>
      <c r="AE96" s="232">
        <f t="shared" si="53"/>
        <v>2</v>
      </c>
      <c r="AF96" s="232">
        <f t="shared" si="39"/>
        <v>11</v>
      </c>
      <c r="AG96" s="232">
        <f t="shared" si="40"/>
        <v>11</v>
      </c>
      <c r="AH96" s="236">
        <f t="shared" si="54"/>
        <v>1</v>
      </c>
      <c r="AI96" s="231">
        <f t="shared" si="55"/>
        <v>24.681616999999978</v>
      </c>
      <c r="AJ96" s="232">
        <f t="shared" si="56"/>
        <v>1</v>
      </c>
      <c r="AL96" s="3" t="str">
        <f t="shared" si="60"/>
        <v/>
      </c>
    </row>
    <row r="97" spans="1:38" ht="14.1" customHeight="1" x14ac:dyDescent="0.2">
      <c r="A97" s="240" t="s">
        <v>462</v>
      </c>
      <c r="B97" s="282" t="s">
        <v>523</v>
      </c>
      <c r="C97" s="32">
        <v>3</v>
      </c>
      <c r="D97" s="32">
        <f t="shared" si="58"/>
        <v>4</v>
      </c>
      <c r="E97" s="32">
        <f t="shared" si="59"/>
        <v>4</v>
      </c>
      <c r="F97" s="283" t="s">
        <v>44</v>
      </c>
      <c r="G97" s="283" t="s">
        <v>45</v>
      </c>
      <c r="H97" s="32">
        <v>3</v>
      </c>
      <c r="I97" s="32">
        <v>1</v>
      </c>
      <c r="J97" s="65">
        <v>1</v>
      </c>
      <c r="K97" s="229"/>
      <c r="L97" s="303">
        <v>1</v>
      </c>
      <c r="M97" s="304">
        <f t="shared" si="34"/>
        <v>0.12195121951219512</v>
      </c>
      <c r="N97" s="303" t="str">
        <f t="shared" si="35"/>
        <v/>
      </c>
      <c r="O97" s="303">
        <f t="shared" si="41"/>
        <v>1</v>
      </c>
      <c r="P97" s="304">
        <f t="shared" si="42"/>
        <v>0.16483516483516483</v>
      </c>
      <c r="Q97" s="303" t="str">
        <f t="shared" si="43"/>
        <v/>
      </c>
      <c r="R97" s="303">
        <f t="shared" si="44"/>
        <v>2</v>
      </c>
      <c r="S97" s="304">
        <f t="shared" si="45"/>
        <v>1</v>
      </c>
      <c r="T97" s="74">
        <f t="shared" si="46"/>
        <v>1</v>
      </c>
      <c r="V97" s="55">
        <f t="shared" si="47"/>
        <v>123</v>
      </c>
      <c r="W97" s="233">
        <f t="shared" si="36"/>
        <v>0.12195121951219512</v>
      </c>
      <c r="X97" s="231">
        <f t="shared" si="48"/>
        <v>27.169421878048766</v>
      </c>
      <c r="Y97" s="232">
        <f t="shared" si="49"/>
        <v>0</v>
      </c>
      <c r="Z97" s="232">
        <f t="shared" si="50"/>
        <v>1</v>
      </c>
      <c r="AA97" s="232">
        <f t="shared" si="37"/>
        <v>91</v>
      </c>
      <c r="AB97" s="233">
        <f t="shared" si="38"/>
        <v>0.16483516483516483</v>
      </c>
      <c r="AC97" s="231">
        <f t="shared" si="51"/>
        <v>22.34095765934067</v>
      </c>
      <c r="AD97" s="232">
        <f t="shared" si="52"/>
        <v>0</v>
      </c>
      <c r="AE97" s="232">
        <f t="shared" si="53"/>
        <v>2</v>
      </c>
      <c r="AF97" s="232">
        <f t="shared" si="39"/>
        <v>11</v>
      </c>
      <c r="AG97" s="232">
        <f t="shared" si="40"/>
        <v>11</v>
      </c>
      <c r="AH97" s="236">
        <f t="shared" si="54"/>
        <v>1</v>
      </c>
      <c r="AI97" s="231">
        <f t="shared" si="55"/>
        <v>25.681616999999978</v>
      </c>
      <c r="AJ97" s="232">
        <f t="shared" si="56"/>
        <v>1</v>
      </c>
      <c r="AL97" s="3" t="str">
        <f t="shared" si="60"/>
        <v/>
      </c>
    </row>
    <row r="98" spans="1:38" ht="14.1" customHeight="1" x14ac:dyDescent="0.2">
      <c r="A98" s="240" t="s">
        <v>462</v>
      </c>
      <c r="B98" s="282" t="s">
        <v>523</v>
      </c>
      <c r="C98" s="32">
        <f t="shared" si="61"/>
        <v>4</v>
      </c>
      <c r="D98" s="32">
        <f t="shared" si="58"/>
        <v>5</v>
      </c>
      <c r="E98" s="32">
        <f t="shared" si="59"/>
        <v>5</v>
      </c>
      <c r="F98" s="283" t="s">
        <v>44</v>
      </c>
      <c r="G98" s="283" t="s">
        <v>45</v>
      </c>
      <c r="H98" s="32">
        <v>6</v>
      </c>
      <c r="I98" s="32">
        <v>1</v>
      </c>
      <c r="J98" s="65">
        <v>1</v>
      </c>
      <c r="K98" s="229"/>
      <c r="L98" s="303">
        <v>1</v>
      </c>
      <c r="M98" s="304">
        <f t="shared" si="34"/>
        <v>0.12195121951219512</v>
      </c>
      <c r="N98" s="303" t="str">
        <f t="shared" si="35"/>
        <v/>
      </c>
      <c r="O98" s="303">
        <f t="shared" si="41"/>
        <v>1</v>
      </c>
      <c r="P98" s="304">
        <f t="shared" si="42"/>
        <v>0.16483516483516483</v>
      </c>
      <c r="Q98" s="303" t="str">
        <f t="shared" si="43"/>
        <v/>
      </c>
      <c r="R98" s="303">
        <f t="shared" si="44"/>
        <v>2</v>
      </c>
      <c r="S98" s="304">
        <f t="shared" si="45"/>
        <v>1</v>
      </c>
      <c r="T98" s="74">
        <f t="shared" si="46"/>
        <v>1</v>
      </c>
      <c r="V98" s="55">
        <f t="shared" si="47"/>
        <v>123</v>
      </c>
      <c r="W98" s="233">
        <f t="shared" si="36"/>
        <v>0.12195121951219512</v>
      </c>
      <c r="X98" s="231">
        <f t="shared" si="48"/>
        <v>27.29137309756096</v>
      </c>
      <c r="Y98" s="232">
        <f t="shared" si="49"/>
        <v>0</v>
      </c>
      <c r="Z98" s="232">
        <f t="shared" si="50"/>
        <v>1</v>
      </c>
      <c r="AA98" s="232">
        <f t="shared" si="37"/>
        <v>91</v>
      </c>
      <c r="AB98" s="233">
        <f t="shared" si="38"/>
        <v>0.16483516483516483</v>
      </c>
      <c r="AC98" s="231">
        <f t="shared" si="51"/>
        <v>22.505792824175835</v>
      </c>
      <c r="AD98" s="232">
        <f t="shared" si="52"/>
        <v>0</v>
      </c>
      <c r="AE98" s="232">
        <f t="shared" si="53"/>
        <v>2</v>
      </c>
      <c r="AF98" s="232">
        <f t="shared" si="39"/>
        <v>11</v>
      </c>
      <c r="AG98" s="232">
        <f t="shared" si="40"/>
        <v>11</v>
      </c>
      <c r="AH98" s="236">
        <f t="shared" si="54"/>
        <v>1</v>
      </c>
      <c r="AI98" s="231">
        <f t="shared" si="55"/>
        <v>26.681616999999978</v>
      </c>
      <c r="AJ98" s="232">
        <f t="shared" si="56"/>
        <v>1</v>
      </c>
      <c r="AL98" s="3" t="str">
        <f t="shared" si="60"/>
        <v/>
      </c>
    </row>
    <row r="99" spans="1:38" ht="14.1" customHeight="1" x14ac:dyDescent="0.2">
      <c r="A99" s="240" t="s">
        <v>462</v>
      </c>
      <c r="B99" s="282" t="s">
        <v>523</v>
      </c>
      <c r="C99" s="32">
        <v>4</v>
      </c>
      <c r="D99" s="32">
        <v>5</v>
      </c>
      <c r="E99" s="32">
        <f t="shared" si="59"/>
        <v>6</v>
      </c>
      <c r="F99" s="283" t="s">
        <v>44</v>
      </c>
      <c r="G99" s="283" t="s">
        <v>45</v>
      </c>
      <c r="H99" s="32">
        <v>2</v>
      </c>
      <c r="I99" s="32">
        <v>1</v>
      </c>
      <c r="J99" s="65">
        <v>1</v>
      </c>
      <c r="K99" s="229"/>
      <c r="L99" s="303">
        <v>1</v>
      </c>
      <c r="M99" s="304">
        <f t="shared" si="34"/>
        <v>0.12195121951219512</v>
      </c>
      <c r="N99" s="303" t="str">
        <f t="shared" si="35"/>
        <v/>
      </c>
      <c r="O99" s="303">
        <f t="shared" si="41"/>
        <v>1</v>
      </c>
      <c r="P99" s="304">
        <f t="shared" si="42"/>
        <v>0.16483516483516483</v>
      </c>
      <c r="Q99" s="303" t="str">
        <f t="shared" si="43"/>
        <v/>
      </c>
      <c r="R99" s="303">
        <f t="shared" si="44"/>
        <v>2</v>
      </c>
      <c r="S99" s="304">
        <f t="shared" si="45"/>
        <v>1</v>
      </c>
      <c r="T99" s="74">
        <f t="shared" si="46"/>
        <v>1</v>
      </c>
      <c r="V99" s="55">
        <f t="shared" si="47"/>
        <v>123</v>
      </c>
      <c r="W99" s="233">
        <f t="shared" si="36"/>
        <v>0.12195121951219512</v>
      </c>
      <c r="X99" s="231">
        <f t="shared" si="48"/>
        <v>27.413324317073155</v>
      </c>
      <c r="Y99" s="232">
        <f t="shared" si="49"/>
        <v>0</v>
      </c>
      <c r="Z99" s="232">
        <f t="shared" si="50"/>
        <v>1</v>
      </c>
      <c r="AA99" s="232">
        <f t="shared" si="37"/>
        <v>91</v>
      </c>
      <c r="AB99" s="233">
        <f t="shared" si="38"/>
        <v>0.16483516483516483</v>
      </c>
      <c r="AC99" s="231">
        <f t="shared" si="51"/>
        <v>22.670627989010999</v>
      </c>
      <c r="AD99" s="232">
        <f t="shared" si="52"/>
        <v>0</v>
      </c>
      <c r="AE99" s="232">
        <f t="shared" si="53"/>
        <v>2</v>
      </c>
      <c r="AF99" s="232">
        <f t="shared" si="39"/>
        <v>11</v>
      </c>
      <c r="AG99" s="232">
        <f t="shared" si="40"/>
        <v>11</v>
      </c>
      <c r="AH99" s="236">
        <f t="shared" si="54"/>
        <v>1</v>
      </c>
      <c r="AI99" s="231">
        <f t="shared" si="55"/>
        <v>27.681616999999978</v>
      </c>
      <c r="AJ99" s="232">
        <f t="shared" si="56"/>
        <v>1</v>
      </c>
      <c r="AL99" s="3" t="str">
        <f t="shared" si="60"/>
        <v/>
      </c>
    </row>
    <row r="100" spans="1:38" ht="14.1" customHeight="1" x14ac:dyDescent="0.2">
      <c r="A100" s="240" t="s">
        <v>462</v>
      </c>
      <c r="B100" s="282" t="s">
        <v>523</v>
      </c>
      <c r="C100" s="32">
        <v>5</v>
      </c>
      <c r="D100" s="32">
        <f t="shared" si="58"/>
        <v>6</v>
      </c>
      <c r="E100" s="32">
        <f t="shared" si="59"/>
        <v>7</v>
      </c>
      <c r="F100" s="283" t="s">
        <v>44</v>
      </c>
      <c r="G100" s="283" t="s">
        <v>45</v>
      </c>
      <c r="H100" s="32">
        <v>6</v>
      </c>
      <c r="I100" s="32">
        <v>1</v>
      </c>
      <c r="J100" s="65">
        <v>1</v>
      </c>
      <c r="K100" s="229"/>
      <c r="L100" s="303">
        <v>1</v>
      </c>
      <c r="M100" s="304">
        <f t="shared" si="34"/>
        <v>0.12195121951219512</v>
      </c>
      <c r="N100" s="303" t="str">
        <f t="shared" si="35"/>
        <v/>
      </c>
      <c r="O100" s="303">
        <f t="shared" si="41"/>
        <v>1</v>
      </c>
      <c r="P100" s="304">
        <f t="shared" si="42"/>
        <v>0.16483516483516483</v>
      </c>
      <c r="Q100" s="303" t="str">
        <f t="shared" si="43"/>
        <v/>
      </c>
      <c r="R100" s="303">
        <f t="shared" si="44"/>
        <v>2</v>
      </c>
      <c r="S100" s="304">
        <f t="shared" si="45"/>
        <v>1</v>
      </c>
      <c r="T100" s="74">
        <f t="shared" si="46"/>
        <v>1</v>
      </c>
      <c r="V100" s="55">
        <f t="shared" si="47"/>
        <v>123</v>
      </c>
      <c r="W100" s="233">
        <f t="shared" si="36"/>
        <v>0.12195121951219512</v>
      </c>
      <c r="X100" s="231">
        <f t="shared" si="48"/>
        <v>27.535275536585349</v>
      </c>
      <c r="Y100" s="232">
        <f t="shared" si="49"/>
        <v>0</v>
      </c>
      <c r="Z100" s="232">
        <f t="shared" si="50"/>
        <v>1</v>
      </c>
      <c r="AA100" s="232">
        <f t="shared" si="37"/>
        <v>91</v>
      </c>
      <c r="AB100" s="233">
        <f t="shared" si="38"/>
        <v>0.16483516483516483</v>
      </c>
      <c r="AC100" s="231">
        <f t="shared" si="51"/>
        <v>22.835463153846163</v>
      </c>
      <c r="AD100" s="232">
        <f t="shared" si="52"/>
        <v>0</v>
      </c>
      <c r="AE100" s="232">
        <f t="shared" si="53"/>
        <v>2</v>
      </c>
      <c r="AF100" s="232">
        <f t="shared" si="39"/>
        <v>11</v>
      </c>
      <c r="AG100" s="232">
        <f t="shared" si="40"/>
        <v>11</v>
      </c>
      <c r="AH100" s="236">
        <f t="shared" si="54"/>
        <v>1</v>
      </c>
      <c r="AI100" s="231">
        <f t="shared" si="55"/>
        <v>28.681616999999978</v>
      </c>
      <c r="AJ100" s="232">
        <f t="shared" si="56"/>
        <v>1</v>
      </c>
      <c r="AL100" s="3" t="str">
        <f t="shared" si="60"/>
        <v/>
      </c>
    </row>
    <row r="101" spans="1:38" ht="14.1" customHeight="1" x14ac:dyDescent="0.2">
      <c r="A101" s="240" t="s">
        <v>462</v>
      </c>
      <c r="B101" s="282" t="s">
        <v>523</v>
      </c>
      <c r="C101" s="32">
        <f t="shared" si="61"/>
        <v>6</v>
      </c>
      <c r="D101" s="32">
        <f t="shared" si="58"/>
        <v>7</v>
      </c>
      <c r="E101" s="32">
        <f t="shared" si="59"/>
        <v>8</v>
      </c>
      <c r="F101" s="283" t="s">
        <v>44</v>
      </c>
      <c r="G101" s="283" t="s">
        <v>45</v>
      </c>
      <c r="H101" s="32">
        <v>3</v>
      </c>
      <c r="I101" s="32">
        <v>1</v>
      </c>
      <c r="J101" s="65">
        <v>1</v>
      </c>
      <c r="K101" s="229"/>
      <c r="L101" s="303">
        <v>1</v>
      </c>
      <c r="M101" s="304">
        <f t="shared" si="34"/>
        <v>0.12195121951219512</v>
      </c>
      <c r="N101" s="303" t="str">
        <f t="shared" si="35"/>
        <v/>
      </c>
      <c r="O101" s="303">
        <f t="shared" si="41"/>
        <v>1</v>
      </c>
      <c r="P101" s="304">
        <f t="shared" si="42"/>
        <v>0.16483516483516483</v>
      </c>
      <c r="Q101" s="303">
        <f t="shared" si="43"/>
        <v>1</v>
      </c>
      <c r="R101" s="303">
        <f t="shared" si="44"/>
        <v>2</v>
      </c>
      <c r="S101" s="304">
        <f t="shared" si="45"/>
        <v>1</v>
      </c>
      <c r="T101" s="74">
        <f t="shared" si="46"/>
        <v>1</v>
      </c>
      <c r="V101" s="55">
        <f t="shared" si="47"/>
        <v>123</v>
      </c>
      <c r="W101" s="233">
        <f t="shared" si="36"/>
        <v>0.12195121951219512</v>
      </c>
      <c r="X101" s="231">
        <f t="shared" si="48"/>
        <v>27.657226756097543</v>
      </c>
      <c r="Y101" s="232">
        <f t="shared" si="49"/>
        <v>0</v>
      </c>
      <c r="Z101" s="232">
        <f t="shared" si="50"/>
        <v>1</v>
      </c>
      <c r="AA101" s="232">
        <f t="shared" si="37"/>
        <v>91</v>
      </c>
      <c r="AB101" s="233">
        <f t="shared" si="38"/>
        <v>0.16483516483516483</v>
      </c>
      <c r="AC101" s="231">
        <f t="shared" si="51"/>
        <v>23.000298318681327</v>
      </c>
      <c r="AD101" s="232">
        <f t="shared" si="52"/>
        <v>1</v>
      </c>
      <c r="AE101" s="232">
        <f t="shared" si="53"/>
        <v>2</v>
      </c>
      <c r="AF101" s="232">
        <f t="shared" si="39"/>
        <v>11</v>
      </c>
      <c r="AG101" s="232">
        <f t="shared" si="40"/>
        <v>11</v>
      </c>
      <c r="AH101" s="236">
        <f t="shared" si="54"/>
        <v>1</v>
      </c>
      <c r="AI101" s="231">
        <f t="shared" si="55"/>
        <v>29.681616999999978</v>
      </c>
      <c r="AJ101" s="232">
        <f t="shared" si="56"/>
        <v>1</v>
      </c>
      <c r="AL101" s="3" t="str">
        <f t="shared" si="60"/>
        <v/>
      </c>
    </row>
    <row r="102" spans="1:38" ht="14.1" customHeight="1" x14ac:dyDescent="0.2">
      <c r="A102" s="240" t="s">
        <v>462</v>
      </c>
      <c r="B102" s="282" t="s">
        <v>523</v>
      </c>
      <c r="C102" s="32">
        <f t="shared" si="61"/>
        <v>7</v>
      </c>
      <c r="D102" s="32">
        <f t="shared" si="58"/>
        <v>8</v>
      </c>
      <c r="E102" s="32">
        <f t="shared" si="59"/>
        <v>9</v>
      </c>
      <c r="F102" s="283" t="s">
        <v>44</v>
      </c>
      <c r="G102" s="283" t="s">
        <v>45</v>
      </c>
      <c r="H102" s="32">
        <v>3</v>
      </c>
      <c r="I102" s="32">
        <v>1</v>
      </c>
      <c r="J102" s="65">
        <v>1</v>
      </c>
      <c r="K102" s="229"/>
      <c r="L102" s="303">
        <v>1</v>
      </c>
      <c r="M102" s="304">
        <f t="shared" si="34"/>
        <v>0.12195121951219512</v>
      </c>
      <c r="N102" s="303" t="str">
        <f t="shared" si="35"/>
        <v/>
      </c>
      <c r="O102" s="303">
        <f t="shared" si="41"/>
        <v>1</v>
      </c>
      <c r="P102" s="304">
        <f t="shared" si="42"/>
        <v>0.16483516483516483</v>
      </c>
      <c r="Q102" s="303" t="str">
        <f t="shared" si="43"/>
        <v/>
      </c>
      <c r="R102" s="303">
        <f t="shared" si="44"/>
        <v>2</v>
      </c>
      <c r="S102" s="304">
        <f t="shared" si="45"/>
        <v>1</v>
      </c>
      <c r="T102" s="74">
        <f t="shared" si="46"/>
        <v>1</v>
      </c>
      <c r="V102" s="55">
        <f t="shared" si="47"/>
        <v>123</v>
      </c>
      <c r="W102" s="233">
        <f t="shared" si="36"/>
        <v>0.12195121951219512</v>
      </c>
      <c r="X102" s="231">
        <f t="shared" si="48"/>
        <v>27.779177975609738</v>
      </c>
      <c r="Y102" s="232">
        <f t="shared" si="49"/>
        <v>0</v>
      </c>
      <c r="Z102" s="232">
        <f t="shared" si="50"/>
        <v>1</v>
      </c>
      <c r="AA102" s="232">
        <f t="shared" si="37"/>
        <v>91</v>
      </c>
      <c r="AB102" s="233">
        <f t="shared" si="38"/>
        <v>0.16483516483516483</v>
      </c>
      <c r="AC102" s="231">
        <f t="shared" si="51"/>
        <v>23.165133483516492</v>
      </c>
      <c r="AD102" s="232">
        <f t="shared" si="52"/>
        <v>0</v>
      </c>
      <c r="AE102" s="232">
        <f t="shared" si="53"/>
        <v>2</v>
      </c>
      <c r="AF102" s="232">
        <f t="shared" si="39"/>
        <v>11</v>
      </c>
      <c r="AG102" s="232">
        <f t="shared" si="40"/>
        <v>11</v>
      </c>
      <c r="AH102" s="236">
        <f t="shared" si="54"/>
        <v>1</v>
      </c>
      <c r="AI102" s="231">
        <f t="shared" si="55"/>
        <v>30.681616999999978</v>
      </c>
      <c r="AJ102" s="232">
        <f t="shared" si="56"/>
        <v>1</v>
      </c>
      <c r="AL102" s="3" t="str">
        <f t="shared" si="60"/>
        <v/>
      </c>
    </row>
    <row r="103" spans="1:38" ht="14.1" customHeight="1" x14ac:dyDescent="0.2">
      <c r="A103" s="240" t="s">
        <v>462</v>
      </c>
      <c r="B103" s="282" t="s">
        <v>523</v>
      </c>
      <c r="C103" s="32">
        <v>7</v>
      </c>
      <c r="D103" s="32">
        <f t="shared" si="58"/>
        <v>9</v>
      </c>
      <c r="E103" s="32">
        <f t="shared" si="59"/>
        <v>10</v>
      </c>
      <c r="F103" s="283" t="s">
        <v>44</v>
      </c>
      <c r="G103" s="283" t="s">
        <v>45</v>
      </c>
      <c r="H103" s="32">
        <v>4</v>
      </c>
      <c r="I103" s="32">
        <v>1</v>
      </c>
      <c r="J103" s="65">
        <v>1</v>
      </c>
      <c r="K103" s="229"/>
      <c r="L103" s="303">
        <v>1</v>
      </c>
      <c r="M103" s="304">
        <f t="shared" si="34"/>
        <v>0.12195121951219512</v>
      </c>
      <c r="N103" s="303" t="str">
        <f t="shared" si="35"/>
        <v/>
      </c>
      <c r="O103" s="303">
        <f t="shared" si="41"/>
        <v>1</v>
      </c>
      <c r="P103" s="304">
        <f t="shared" si="42"/>
        <v>0.16483516483516483</v>
      </c>
      <c r="Q103" s="303" t="str">
        <f t="shared" si="43"/>
        <v/>
      </c>
      <c r="R103" s="303">
        <f t="shared" si="44"/>
        <v>2</v>
      </c>
      <c r="S103" s="304">
        <f t="shared" si="45"/>
        <v>1</v>
      </c>
      <c r="T103" s="74">
        <f t="shared" si="46"/>
        <v>1</v>
      </c>
      <c r="V103" s="55">
        <f t="shared" si="47"/>
        <v>123</v>
      </c>
      <c r="W103" s="233">
        <f t="shared" si="36"/>
        <v>0.12195121951219512</v>
      </c>
      <c r="X103" s="231">
        <f t="shared" si="48"/>
        <v>27.901129195121932</v>
      </c>
      <c r="Y103" s="232">
        <f t="shared" si="49"/>
        <v>0</v>
      </c>
      <c r="Z103" s="232">
        <f t="shared" si="50"/>
        <v>1</v>
      </c>
      <c r="AA103" s="232">
        <f t="shared" si="37"/>
        <v>91</v>
      </c>
      <c r="AB103" s="233">
        <f t="shared" si="38"/>
        <v>0.16483516483516483</v>
      </c>
      <c r="AC103" s="231">
        <f t="shared" si="51"/>
        <v>23.329968648351656</v>
      </c>
      <c r="AD103" s="232">
        <f t="shared" si="52"/>
        <v>0</v>
      </c>
      <c r="AE103" s="232">
        <f t="shared" si="53"/>
        <v>2</v>
      </c>
      <c r="AF103" s="232">
        <f t="shared" si="39"/>
        <v>11</v>
      </c>
      <c r="AG103" s="232">
        <f t="shared" si="40"/>
        <v>11</v>
      </c>
      <c r="AH103" s="236">
        <f t="shared" si="54"/>
        <v>1</v>
      </c>
      <c r="AI103" s="231">
        <f t="shared" si="55"/>
        <v>31.681616999999978</v>
      </c>
      <c r="AJ103" s="232">
        <f t="shared" si="56"/>
        <v>1</v>
      </c>
      <c r="AL103" s="3" t="str">
        <f t="shared" si="60"/>
        <v/>
      </c>
    </row>
    <row r="104" spans="1:38" ht="14.1" customHeight="1" x14ac:dyDescent="0.2">
      <c r="A104" s="240" t="s">
        <v>462</v>
      </c>
      <c r="B104" s="282" t="s">
        <v>523</v>
      </c>
      <c r="C104" s="32">
        <f t="shared" si="61"/>
        <v>8</v>
      </c>
      <c r="D104" s="32">
        <f t="shared" si="58"/>
        <v>10</v>
      </c>
      <c r="E104" s="32">
        <f t="shared" si="59"/>
        <v>11</v>
      </c>
      <c r="F104" s="283" t="s">
        <v>44</v>
      </c>
      <c r="G104" s="283" t="s">
        <v>45</v>
      </c>
      <c r="H104" s="32">
        <v>5</v>
      </c>
      <c r="I104" s="32">
        <v>1</v>
      </c>
      <c r="J104" s="65">
        <v>1</v>
      </c>
      <c r="K104" s="229"/>
      <c r="L104" s="303">
        <v>1</v>
      </c>
      <c r="M104" s="304">
        <f t="shared" si="34"/>
        <v>0.12195121951219512</v>
      </c>
      <c r="N104" s="303">
        <f t="shared" si="35"/>
        <v>1</v>
      </c>
      <c r="O104" s="303">
        <f t="shared" si="41"/>
        <v>1</v>
      </c>
      <c r="P104" s="304">
        <f t="shared" si="42"/>
        <v>0.16483516483516483</v>
      </c>
      <c r="Q104" s="303" t="str">
        <f t="shared" si="43"/>
        <v/>
      </c>
      <c r="R104" s="303">
        <f t="shared" si="44"/>
        <v>2</v>
      </c>
      <c r="S104" s="304">
        <f t="shared" si="45"/>
        <v>1</v>
      </c>
      <c r="T104" s="74">
        <f t="shared" si="46"/>
        <v>1</v>
      </c>
      <c r="V104" s="55">
        <f t="shared" si="47"/>
        <v>123</v>
      </c>
      <c r="W104" s="233">
        <f t="shared" si="36"/>
        <v>0.12195121951219512</v>
      </c>
      <c r="X104" s="231">
        <f t="shared" si="48"/>
        <v>28.023080414634126</v>
      </c>
      <c r="Y104" s="232">
        <f t="shared" si="49"/>
        <v>1</v>
      </c>
      <c r="Z104" s="232">
        <f t="shared" si="50"/>
        <v>1</v>
      </c>
      <c r="AA104" s="232">
        <f t="shared" si="37"/>
        <v>91</v>
      </c>
      <c r="AB104" s="233">
        <f t="shared" si="38"/>
        <v>0.16483516483516483</v>
      </c>
      <c r="AC104" s="231">
        <f t="shared" si="51"/>
        <v>23.49480381318682</v>
      </c>
      <c r="AD104" s="232">
        <f t="shared" si="52"/>
        <v>0</v>
      </c>
      <c r="AE104" s="232">
        <f t="shared" si="53"/>
        <v>2</v>
      </c>
      <c r="AF104" s="232">
        <f t="shared" si="39"/>
        <v>11</v>
      </c>
      <c r="AG104" s="232">
        <f t="shared" si="40"/>
        <v>11</v>
      </c>
      <c r="AH104" s="236">
        <f t="shared" si="54"/>
        <v>1</v>
      </c>
      <c r="AI104" s="231">
        <f t="shared" si="55"/>
        <v>32.681616999999974</v>
      </c>
      <c r="AJ104" s="232">
        <f t="shared" si="56"/>
        <v>1</v>
      </c>
      <c r="AL104" s="3" t="str">
        <f t="shared" si="60"/>
        <v/>
      </c>
    </row>
    <row r="105" spans="1:38" ht="14.1" customHeight="1" x14ac:dyDescent="0.2">
      <c r="A105" s="240" t="s">
        <v>462</v>
      </c>
      <c r="B105" s="282" t="s">
        <v>523</v>
      </c>
      <c r="C105" s="32">
        <f t="shared" si="61"/>
        <v>9</v>
      </c>
      <c r="D105" s="32">
        <f t="shared" si="58"/>
        <v>11</v>
      </c>
      <c r="E105" s="32">
        <f t="shared" si="59"/>
        <v>12</v>
      </c>
      <c r="F105" s="283" t="s">
        <v>44</v>
      </c>
      <c r="G105" s="283" t="s">
        <v>45</v>
      </c>
      <c r="H105" s="32">
        <v>6</v>
      </c>
      <c r="I105" s="32">
        <v>1</v>
      </c>
      <c r="J105" s="65">
        <v>0</v>
      </c>
      <c r="K105" s="229"/>
      <c r="L105" s="303">
        <v>1</v>
      </c>
      <c r="M105" s="304">
        <f t="shared" si="34"/>
        <v>0.12195121951219512</v>
      </c>
      <c r="N105" s="303" t="str">
        <f t="shared" si="35"/>
        <v/>
      </c>
      <c r="O105" s="303">
        <f t="shared" si="41"/>
        <v>1</v>
      </c>
      <c r="P105" s="304">
        <f t="shared" si="42"/>
        <v>0.16483516483516483</v>
      </c>
      <c r="Q105" s="303" t="str">
        <f t="shared" si="43"/>
        <v/>
      </c>
      <c r="R105" s="303">
        <f t="shared" si="44"/>
        <v>1</v>
      </c>
      <c r="S105" s="304">
        <f t="shared" si="45"/>
        <v>0.05</v>
      </c>
      <c r="T105" s="74" t="str">
        <f t="shared" si="46"/>
        <v/>
      </c>
      <c r="V105" s="55">
        <f t="shared" si="47"/>
        <v>123</v>
      </c>
      <c r="W105" s="233">
        <f t="shared" si="36"/>
        <v>0.12195121951219512</v>
      </c>
      <c r="X105" s="231">
        <f t="shared" si="48"/>
        <v>28.145031634146321</v>
      </c>
      <c r="Y105" s="232">
        <f t="shared" si="49"/>
        <v>0</v>
      </c>
      <c r="Z105" s="232">
        <f t="shared" si="50"/>
        <v>1</v>
      </c>
      <c r="AA105" s="232">
        <f t="shared" si="37"/>
        <v>91</v>
      </c>
      <c r="AB105" s="233">
        <f t="shared" si="38"/>
        <v>0.16483516483516483</v>
      </c>
      <c r="AC105" s="231">
        <f t="shared" si="51"/>
        <v>23.659638978021984</v>
      </c>
      <c r="AD105" s="232">
        <f t="shared" si="52"/>
        <v>0</v>
      </c>
      <c r="AE105" s="232">
        <f t="shared" si="53"/>
        <v>1</v>
      </c>
      <c r="AF105" s="232">
        <f t="shared" si="39"/>
        <v>80</v>
      </c>
      <c r="AG105" s="232">
        <f t="shared" si="40"/>
        <v>4</v>
      </c>
      <c r="AH105" s="236">
        <f t="shared" si="54"/>
        <v>0.05</v>
      </c>
      <c r="AI105" s="231">
        <f t="shared" si="55"/>
        <v>32.731616999999972</v>
      </c>
      <c r="AJ105" s="232">
        <f t="shared" si="56"/>
        <v>0</v>
      </c>
      <c r="AL105" s="3">
        <f t="shared" si="60"/>
        <v>4</v>
      </c>
    </row>
    <row r="106" spans="1:38" ht="14.1" customHeight="1" x14ac:dyDescent="0.2">
      <c r="A106" s="240" t="s">
        <v>462</v>
      </c>
      <c r="B106" s="282" t="s">
        <v>523</v>
      </c>
      <c r="C106" s="32">
        <v>10</v>
      </c>
      <c r="D106" s="32">
        <f t="shared" si="58"/>
        <v>12</v>
      </c>
      <c r="E106" s="32">
        <f t="shared" si="59"/>
        <v>13</v>
      </c>
      <c r="F106" s="283" t="s">
        <v>44</v>
      </c>
      <c r="G106" s="283" t="s">
        <v>45</v>
      </c>
      <c r="H106" s="32">
        <v>5</v>
      </c>
      <c r="I106" s="32">
        <v>1</v>
      </c>
      <c r="J106" s="65">
        <v>0</v>
      </c>
      <c r="K106" s="229"/>
      <c r="L106" s="303">
        <v>1</v>
      </c>
      <c r="M106" s="304">
        <f t="shared" si="34"/>
        <v>0.12195121951219512</v>
      </c>
      <c r="N106" s="303" t="str">
        <f t="shared" si="35"/>
        <v/>
      </c>
      <c r="O106" s="303">
        <f t="shared" si="41"/>
        <v>1</v>
      </c>
      <c r="P106" s="304">
        <f t="shared" si="42"/>
        <v>0.16483516483516483</v>
      </c>
      <c r="Q106" s="303" t="str">
        <f t="shared" si="43"/>
        <v/>
      </c>
      <c r="R106" s="303">
        <f t="shared" si="44"/>
        <v>1</v>
      </c>
      <c r="S106" s="304">
        <f t="shared" si="45"/>
        <v>0.05</v>
      </c>
      <c r="T106" s="74" t="str">
        <f t="shared" si="46"/>
        <v/>
      </c>
      <c r="V106" s="55">
        <f t="shared" si="47"/>
        <v>123</v>
      </c>
      <c r="W106" s="233">
        <f t="shared" si="36"/>
        <v>0.12195121951219512</v>
      </c>
      <c r="X106" s="231">
        <f t="shared" si="48"/>
        <v>28.266982853658515</v>
      </c>
      <c r="Y106" s="232">
        <f t="shared" si="49"/>
        <v>0</v>
      </c>
      <c r="Z106" s="232">
        <f t="shared" si="50"/>
        <v>1</v>
      </c>
      <c r="AA106" s="232">
        <f t="shared" si="37"/>
        <v>91</v>
      </c>
      <c r="AB106" s="233">
        <f t="shared" si="38"/>
        <v>0.16483516483516483</v>
      </c>
      <c r="AC106" s="231">
        <f t="shared" si="51"/>
        <v>23.824474142857149</v>
      </c>
      <c r="AD106" s="232">
        <f t="shared" si="52"/>
        <v>0</v>
      </c>
      <c r="AE106" s="232">
        <f t="shared" si="53"/>
        <v>1</v>
      </c>
      <c r="AF106" s="232">
        <f t="shared" si="39"/>
        <v>80</v>
      </c>
      <c r="AG106" s="232">
        <f t="shared" si="40"/>
        <v>4</v>
      </c>
      <c r="AH106" s="236">
        <f t="shared" si="54"/>
        <v>0.05</v>
      </c>
      <c r="AI106" s="231">
        <f t="shared" si="55"/>
        <v>32.781616999999969</v>
      </c>
      <c r="AJ106" s="232">
        <f t="shared" si="56"/>
        <v>0</v>
      </c>
      <c r="AL106" s="3">
        <f t="shared" si="60"/>
        <v>4</v>
      </c>
    </row>
    <row r="107" spans="1:38" ht="14.1" customHeight="1" x14ac:dyDescent="0.2">
      <c r="A107" s="240" t="s">
        <v>462</v>
      </c>
      <c r="B107" s="282" t="s">
        <v>523</v>
      </c>
      <c r="C107" s="32">
        <v>10</v>
      </c>
      <c r="D107" s="32">
        <f t="shared" si="58"/>
        <v>13</v>
      </c>
      <c r="E107" s="32">
        <f t="shared" si="59"/>
        <v>14</v>
      </c>
      <c r="F107" s="283" t="s">
        <v>44</v>
      </c>
      <c r="G107" s="283" t="s">
        <v>45</v>
      </c>
      <c r="H107" s="32">
        <v>1</v>
      </c>
      <c r="I107" s="32">
        <v>1</v>
      </c>
      <c r="J107" s="65">
        <v>0</v>
      </c>
      <c r="K107" s="229"/>
      <c r="L107" s="303">
        <v>1</v>
      </c>
      <c r="M107" s="304">
        <f t="shared" si="34"/>
        <v>0.12195121951219512</v>
      </c>
      <c r="N107" s="303" t="str">
        <f t="shared" si="35"/>
        <v/>
      </c>
      <c r="O107" s="303">
        <f t="shared" si="41"/>
        <v>1</v>
      </c>
      <c r="P107" s="304">
        <f t="shared" si="42"/>
        <v>0.16483516483516483</v>
      </c>
      <c r="Q107" s="303" t="str">
        <f t="shared" si="43"/>
        <v/>
      </c>
      <c r="R107" s="303">
        <f t="shared" si="44"/>
        <v>1</v>
      </c>
      <c r="S107" s="304">
        <f t="shared" si="45"/>
        <v>0.05</v>
      </c>
      <c r="T107" s="74" t="str">
        <f t="shared" si="46"/>
        <v/>
      </c>
      <c r="V107" s="55">
        <f t="shared" si="47"/>
        <v>123</v>
      </c>
      <c r="W107" s="233">
        <f t="shared" si="36"/>
        <v>0.12195121951219512</v>
      </c>
      <c r="X107" s="231">
        <f t="shared" si="48"/>
        <v>28.388934073170709</v>
      </c>
      <c r="Y107" s="232">
        <f t="shared" si="49"/>
        <v>0</v>
      </c>
      <c r="Z107" s="232">
        <f t="shared" si="50"/>
        <v>1</v>
      </c>
      <c r="AA107" s="232">
        <f t="shared" si="37"/>
        <v>91</v>
      </c>
      <c r="AB107" s="233">
        <f t="shared" si="38"/>
        <v>0.16483516483516483</v>
      </c>
      <c r="AC107" s="231">
        <f t="shared" si="51"/>
        <v>23.989309307692313</v>
      </c>
      <c r="AD107" s="232">
        <f t="shared" si="52"/>
        <v>0</v>
      </c>
      <c r="AE107" s="232">
        <f t="shared" si="53"/>
        <v>1</v>
      </c>
      <c r="AF107" s="232">
        <f t="shared" si="39"/>
        <v>80</v>
      </c>
      <c r="AG107" s="232">
        <f t="shared" si="40"/>
        <v>4</v>
      </c>
      <c r="AH107" s="236">
        <f t="shared" si="54"/>
        <v>0.05</v>
      </c>
      <c r="AI107" s="231">
        <f t="shared" si="55"/>
        <v>32.831616999999966</v>
      </c>
      <c r="AJ107" s="232">
        <f t="shared" si="56"/>
        <v>0</v>
      </c>
      <c r="AL107" s="3">
        <f t="shared" si="60"/>
        <v>4</v>
      </c>
    </row>
    <row r="108" spans="1:38" ht="14.1" customHeight="1" x14ac:dyDescent="0.2">
      <c r="A108" s="240" t="s">
        <v>462</v>
      </c>
      <c r="B108" s="282" t="s">
        <v>523</v>
      </c>
      <c r="C108" s="32">
        <v>10</v>
      </c>
      <c r="D108" s="32">
        <f t="shared" si="58"/>
        <v>14</v>
      </c>
      <c r="E108" s="32">
        <f t="shared" si="59"/>
        <v>15</v>
      </c>
      <c r="F108" s="283" t="s">
        <v>44</v>
      </c>
      <c r="G108" s="283" t="s">
        <v>45</v>
      </c>
      <c r="H108" s="32">
        <v>1</v>
      </c>
      <c r="I108" s="32">
        <v>1</v>
      </c>
      <c r="J108" s="65">
        <v>0</v>
      </c>
      <c r="K108" s="229"/>
      <c r="L108" s="303">
        <v>1</v>
      </c>
      <c r="M108" s="304">
        <f t="shared" si="34"/>
        <v>0.12195121951219512</v>
      </c>
      <c r="N108" s="303" t="str">
        <f t="shared" si="35"/>
        <v/>
      </c>
      <c r="O108" s="303">
        <f t="shared" si="41"/>
        <v>1</v>
      </c>
      <c r="P108" s="304">
        <f t="shared" si="42"/>
        <v>0.16483516483516483</v>
      </c>
      <c r="Q108" s="303">
        <f t="shared" si="43"/>
        <v>1</v>
      </c>
      <c r="R108" s="303">
        <f t="shared" si="44"/>
        <v>1</v>
      </c>
      <c r="S108" s="304">
        <f t="shared" si="45"/>
        <v>0.05</v>
      </c>
      <c r="T108" s="74" t="str">
        <f t="shared" si="46"/>
        <v/>
      </c>
      <c r="V108" s="55">
        <f t="shared" si="47"/>
        <v>123</v>
      </c>
      <c r="W108" s="233">
        <f t="shared" si="36"/>
        <v>0.12195121951219512</v>
      </c>
      <c r="X108" s="231">
        <f t="shared" si="48"/>
        <v>28.510885292682904</v>
      </c>
      <c r="Y108" s="232">
        <f t="shared" si="49"/>
        <v>0</v>
      </c>
      <c r="Z108" s="232">
        <f t="shared" si="50"/>
        <v>1</v>
      </c>
      <c r="AA108" s="232">
        <f t="shared" si="37"/>
        <v>91</v>
      </c>
      <c r="AB108" s="233">
        <f t="shared" si="38"/>
        <v>0.16483516483516483</v>
      </c>
      <c r="AC108" s="231">
        <f t="shared" si="51"/>
        <v>24.154144472527477</v>
      </c>
      <c r="AD108" s="232">
        <f t="shared" si="52"/>
        <v>1</v>
      </c>
      <c r="AE108" s="232">
        <f t="shared" si="53"/>
        <v>1</v>
      </c>
      <c r="AF108" s="232">
        <f t="shared" si="39"/>
        <v>80</v>
      </c>
      <c r="AG108" s="232">
        <f t="shared" si="40"/>
        <v>4</v>
      </c>
      <c r="AH108" s="236">
        <f t="shared" si="54"/>
        <v>0.05</v>
      </c>
      <c r="AI108" s="231">
        <f t="shared" si="55"/>
        <v>32.881616999999963</v>
      </c>
      <c r="AJ108" s="232">
        <f t="shared" si="56"/>
        <v>0</v>
      </c>
      <c r="AL108" s="3">
        <f t="shared" si="60"/>
        <v>4</v>
      </c>
    </row>
    <row r="109" spans="1:38" ht="14.1" customHeight="1" x14ac:dyDescent="0.2">
      <c r="A109" s="240" t="s">
        <v>462</v>
      </c>
      <c r="B109" s="282" t="s">
        <v>523</v>
      </c>
      <c r="C109" s="32">
        <v>10</v>
      </c>
      <c r="D109" s="32">
        <f t="shared" si="58"/>
        <v>15</v>
      </c>
      <c r="E109" s="32">
        <f t="shared" si="59"/>
        <v>16</v>
      </c>
      <c r="F109" s="283" t="s">
        <v>44</v>
      </c>
      <c r="G109" s="283" t="s">
        <v>45</v>
      </c>
      <c r="H109" s="32">
        <v>6</v>
      </c>
      <c r="I109" s="32">
        <v>1</v>
      </c>
      <c r="J109" s="65">
        <v>0</v>
      </c>
      <c r="K109" s="229"/>
      <c r="L109" s="303">
        <v>1</v>
      </c>
      <c r="M109" s="304">
        <f t="shared" si="34"/>
        <v>0.12195121951219512</v>
      </c>
      <c r="N109" s="303" t="str">
        <f t="shared" si="35"/>
        <v/>
      </c>
      <c r="O109" s="303">
        <f t="shared" si="41"/>
        <v>1</v>
      </c>
      <c r="P109" s="304">
        <f t="shared" si="42"/>
        <v>0.16483516483516483</v>
      </c>
      <c r="Q109" s="303" t="str">
        <f t="shared" si="43"/>
        <v/>
      </c>
      <c r="R109" s="303">
        <f t="shared" si="44"/>
        <v>1</v>
      </c>
      <c r="S109" s="304">
        <f t="shared" si="45"/>
        <v>0.05</v>
      </c>
      <c r="T109" s="74" t="str">
        <f t="shared" si="46"/>
        <v/>
      </c>
      <c r="V109" s="55">
        <f t="shared" si="47"/>
        <v>123</v>
      </c>
      <c r="W109" s="233">
        <f t="shared" si="36"/>
        <v>0.12195121951219512</v>
      </c>
      <c r="X109" s="231">
        <f t="shared" si="48"/>
        <v>28.632836512195098</v>
      </c>
      <c r="Y109" s="232">
        <f t="shared" si="49"/>
        <v>0</v>
      </c>
      <c r="Z109" s="232">
        <f t="shared" si="50"/>
        <v>1</v>
      </c>
      <c r="AA109" s="232">
        <f t="shared" si="37"/>
        <v>91</v>
      </c>
      <c r="AB109" s="233">
        <f t="shared" si="38"/>
        <v>0.16483516483516483</v>
      </c>
      <c r="AC109" s="231">
        <f t="shared" si="51"/>
        <v>24.318979637362641</v>
      </c>
      <c r="AD109" s="232">
        <f t="shared" si="52"/>
        <v>0</v>
      </c>
      <c r="AE109" s="232">
        <f t="shared" si="53"/>
        <v>1</v>
      </c>
      <c r="AF109" s="232">
        <f t="shared" si="39"/>
        <v>80</v>
      </c>
      <c r="AG109" s="232">
        <f t="shared" si="40"/>
        <v>4</v>
      </c>
      <c r="AH109" s="236">
        <f t="shared" si="54"/>
        <v>0.05</v>
      </c>
      <c r="AI109" s="231">
        <f t="shared" si="55"/>
        <v>32.93161699999996</v>
      </c>
      <c r="AJ109" s="232">
        <f t="shared" si="56"/>
        <v>0</v>
      </c>
      <c r="AL109" s="3">
        <f t="shared" si="60"/>
        <v>4</v>
      </c>
    </row>
    <row r="110" spans="1:38" ht="14.1" customHeight="1" x14ac:dyDescent="0.2">
      <c r="A110" s="240" t="s">
        <v>462</v>
      </c>
      <c r="B110" s="282" t="s">
        <v>523</v>
      </c>
      <c r="C110" s="32">
        <v>10</v>
      </c>
      <c r="D110" s="32">
        <f t="shared" si="58"/>
        <v>16</v>
      </c>
      <c r="E110" s="32">
        <f t="shared" si="59"/>
        <v>17</v>
      </c>
      <c r="F110" s="283" t="s">
        <v>44</v>
      </c>
      <c r="G110" s="283" t="s">
        <v>45</v>
      </c>
      <c r="H110" s="32">
        <v>5</v>
      </c>
      <c r="I110" s="32">
        <v>1</v>
      </c>
      <c r="J110" s="65">
        <v>0</v>
      </c>
      <c r="K110" s="229"/>
      <c r="L110" s="303">
        <v>1</v>
      </c>
      <c r="M110" s="304">
        <f t="shared" si="34"/>
        <v>0.12195121951219512</v>
      </c>
      <c r="N110" s="303" t="str">
        <f t="shared" si="35"/>
        <v/>
      </c>
      <c r="O110" s="303">
        <f t="shared" si="41"/>
        <v>1</v>
      </c>
      <c r="P110" s="304">
        <f t="shared" si="42"/>
        <v>0.16483516483516483</v>
      </c>
      <c r="Q110" s="303" t="str">
        <f t="shared" si="43"/>
        <v/>
      </c>
      <c r="R110" s="303">
        <f t="shared" si="44"/>
        <v>1</v>
      </c>
      <c r="S110" s="304">
        <f t="shared" si="45"/>
        <v>0.05</v>
      </c>
      <c r="T110" s="74" t="str">
        <f t="shared" si="46"/>
        <v/>
      </c>
      <c r="V110" s="55">
        <f t="shared" si="47"/>
        <v>123</v>
      </c>
      <c r="W110" s="233">
        <f t="shared" si="36"/>
        <v>0.12195121951219512</v>
      </c>
      <c r="X110" s="231">
        <f t="shared" si="48"/>
        <v>28.754787731707292</v>
      </c>
      <c r="Y110" s="232">
        <f t="shared" si="49"/>
        <v>0</v>
      </c>
      <c r="Z110" s="232">
        <f t="shared" si="50"/>
        <v>1</v>
      </c>
      <c r="AA110" s="232">
        <f t="shared" si="37"/>
        <v>91</v>
      </c>
      <c r="AB110" s="233">
        <f t="shared" si="38"/>
        <v>0.16483516483516483</v>
      </c>
      <c r="AC110" s="231">
        <f t="shared" si="51"/>
        <v>24.483814802197806</v>
      </c>
      <c r="AD110" s="232">
        <f t="shared" si="52"/>
        <v>0</v>
      </c>
      <c r="AE110" s="232">
        <f t="shared" si="53"/>
        <v>1</v>
      </c>
      <c r="AF110" s="232">
        <f t="shared" si="39"/>
        <v>80</v>
      </c>
      <c r="AG110" s="232">
        <f t="shared" si="40"/>
        <v>4</v>
      </c>
      <c r="AH110" s="236">
        <f t="shared" si="54"/>
        <v>0.05</v>
      </c>
      <c r="AI110" s="231">
        <f t="shared" si="55"/>
        <v>32.981616999999957</v>
      </c>
      <c r="AJ110" s="232">
        <f t="shared" si="56"/>
        <v>0</v>
      </c>
      <c r="AL110" s="3">
        <f t="shared" si="60"/>
        <v>4</v>
      </c>
    </row>
    <row r="111" spans="1:38" ht="14.1" customHeight="1" x14ac:dyDescent="0.2">
      <c r="A111" s="240" t="s">
        <v>462</v>
      </c>
      <c r="B111" s="282" t="s">
        <v>523</v>
      </c>
      <c r="C111" s="32">
        <f t="shared" si="61"/>
        <v>11</v>
      </c>
      <c r="D111" s="32">
        <f t="shared" si="58"/>
        <v>17</v>
      </c>
      <c r="E111" s="32">
        <f t="shared" si="59"/>
        <v>18</v>
      </c>
      <c r="F111" s="283" t="s">
        <v>44</v>
      </c>
      <c r="G111" s="283" t="s">
        <v>45</v>
      </c>
      <c r="H111" s="32">
        <v>3</v>
      </c>
      <c r="I111" s="32">
        <v>1</v>
      </c>
      <c r="J111" s="65">
        <v>0</v>
      </c>
      <c r="K111" s="229"/>
      <c r="L111" s="303">
        <v>1</v>
      </c>
      <c r="M111" s="304">
        <f t="shared" si="34"/>
        <v>0.12195121951219512</v>
      </c>
      <c r="N111" s="303" t="str">
        <f t="shared" si="35"/>
        <v/>
      </c>
      <c r="O111" s="303">
        <f t="shared" si="41"/>
        <v>1</v>
      </c>
      <c r="P111" s="304">
        <f t="shared" si="42"/>
        <v>0.16483516483516483</v>
      </c>
      <c r="Q111" s="303" t="str">
        <f t="shared" si="43"/>
        <v/>
      </c>
      <c r="R111" s="303">
        <f t="shared" si="44"/>
        <v>1</v>
      </c>
      <c r="S111" s="304">
        <f t="shared" si="45"/>
        <v>0.05</v>
      </c>
      <c r="T111" s="74">
        <f t="shared" si="46"/>
        <v>1</v>
      </c>
      <c r="V111" s="55">
        <f t="shared" si="47"/>
        <v>123</v>
      </c>
      <c r="W111" s="233">
        <f t="shared" si="36"/>
        <v>0.12195121951219512</v>
      </c>
      <c r="X111" s="231">
        <f t="shared" si="48"/>
        <v>28.876738951219487</v>
      </c>
      <c r="Y111" s="232">
        <f t="shared" si="49"/>
        <v>0</v>
      </c>
      <c r="Z111" s="232">
        <f t="shared" si="50"/>
        <v>1</v>
      </c>
      <c r="AA111" s="232">
        <f t="shared" si="37"/>
        <v>91</v>
      </c>
      <c r="AB111" s="233">
        <f t="shared" si="38"/>
        <v>0.16483516483516483</v>
      </c>
      <c r="AC111" s="231">
        <f t="shared" si="51"/>
        <v>24.64864996703297</v>
      </c>
      <c r="AD111" s="232">
        <f t="shared" si="52"/>
        <v>0</v>
      </c>
      <c r="AE111" s="232">
        <f t="shared" si="53"/>
        <v>1</v>
      </c>
      <c r="AF111" s="232">
        <f t="shared" si="39"/>
        <v>80</v>
      </c>
      <c r="AG111" s="232">
        <f t="shared" si="40"/>
        <v>4</v>
      </c>
      <c r="AH111" s="236">
        <f t="shared" si="54"/>
        <v>0.05</v>
      </c>
      <c r="AI111" s="231">
        <f t="shared" si="55"/>
        <v>33.031616999999954</v>
      </c>
      <c r="AJ111" s="232">
        <f t="shared" si="56"/>
        <v>1</v>
      </c>
      <c r="AL111" s="3">
        <f t="shared" si="60"/>
        <v>4</v>
      </c>
    </row>
    <row r="112" spans="1:38" ht="14.1" customHeight="1" x14ac:dyDescent="0.2">
      <c r="A112" s="240" t="s">
        <v>462</v>
      </c>
      <c r="B112" s="282" t="s">
        <v>523</v>
      </c>
      <c r="C112" s="32">
        <f t="shared" si="61"/>
        <v>12</v>
      </c>
      <c r="D112" s="32">
        <f t="shared" si="58"/>
        <v>18</v>
      </c>
      <c r="E112" s="32">
        <f t="shared" si="59"/>
        <v>19</v>
      </c>
      <c r="F112" s="283" t="s">
        <v>44</v>
      </c>
      <c r="G112" s="283" t="s">
        <v>45</v>
      </c>
      <c r="H112" s="32">
        <v>2</v>
      </c>
      <c r="I112" s="32">
        <v>1</v>
      </c>
      <c r="J112" s="65">
        <v>0</v>
      </c>
      <c r="K112" s="229"/>
      <c r="L112" s="303">
        <v>1</v>
      </c>
      <c r="M112" s="304">
        <f t="shared" si="34"/>
        <v>0.12195121951219512</v>
      </c>
      <c r="N112" s="303" t="str">
        <f t="shared" si="35"/>
        <v/>
      </c>
      <c r="O112" s="303">
        <f t="shared" si="41"/>
        <v>1</v>
      </c>
      <c r="P112" s="304">
        <f t="shared" si="42"/>
        <v>0.16483516483516483</v>
      </c>
      <c r="Q112" s="303" t="str">
        <f t="shared" si="43"/>
        <v/>
      </c>
      <c r="R112" s="303">
        <f t="shared" si="44"/>
        <v>1</v>
      </c>
      <c r="S112" s="304">
        <f t="shared" si="45"/>
        <v>0.05</v>
      </c>
      <c r="T112" s="74" t="str">
        <f t="shared" si="46"/>
        <v/>
      </c>
      <c r="V112" s="55">
        <f t="shared" si="47"/>
        <v>123</v>
      </c>
      <c r="W112" s="233">
        <f t="shared" si="36"/>
        <v>0.12195121951219512</v>
      </c>
      <c r="X112" s="231">
        <f t="shared" si="48"/>
        <v>28.998690170731681</v>
      </c>
      <c r="Y112" s="232">
        <f t="shared" si="49"/>
        <v>0</v>
      </c>
      <c r="Z112" s="232">
        <f t="shared" si="50"/>
        <v>1</v>
      </c>
      <c r="AA112" s="232">
        <f t="shared" si="37"/>
        <v>91</v>
      </c>
      <c r="AB112" s="233">
        <f t="shared" si="38"/>
        <v>0.16483516483516483</v>
      </c>
      <c r="AC112" s="231">
        <f t="shared" si="51"/>
        <v>24.813485131868134</v>
      </c>
      <c r="AD112" s="232">
        <f t="shared" si="52"/>
        <v>0</v>
      </c>
      <c r="AE112" s="232">
        <f t="shared" si="53"/>
        <v>1</v>
      </c>
      <c r="AF112" s="232">
        <f t="shared" si="39"/>
        <v>80</v>
      </c>
      <c r="AG112" s="232">
        <f t="shared" si="40"/>
        <v>4</v>
      </c>
      <c r="AH112" s="236">
        <f t="shared" si="54"/>
        <v>0.05</v>
      </c>
      <c r="AI112" s="231">
        <f t="shared" si="55"/>
        <v>33.081616999999952</v>
      </c>
      <c r="AJ112" s="232">
        <f t="shared" si="56"/>
        <v>0</v>
      </c>
      <c r="AL112" s="3">
        <f t="shared" si="60"/>
        <v>4</v>
      </c>
    </row>
    <row r="113" spans="1:38" ht="14.1" customHeight="1" x14ac:dyDescent="0.2">
      <c r="A113" s="240" t="s">
        <v>462</v>
      </c>
      <c r="B113" s="282" t="s">
        <v>523</v>
      </c>
      <c r="C113" s="32">
        <v>12</v>
      </c>
      <c r="D113" s="32">
        <v>18</v>
      </c>
      <c r="E113" s="32">
        <f t="shared" si="59"/>
        <v>20</v>
      </c>
      <c r="F113" s="283" t="s">
        <v>44</v>
      </c>
      <c r="G113" s="283" t="s">
        <v>45</v>
      </c>
      <c r="H113" s="32">
        <v>2</v>
      </c>
      <c r="I113" s="32">
        <v>1</v>
      </c>
      <c r="J113" s="65">
        <v>0</v>
      </c>
      <c r="K113" s="229"/>
      <c r="L113" s="303">
        <v>1</v>
      </c>
      <c r="M113" s="304">
        <f t="shared" si="34"/>
        <v>0.12195121951219512</v>
      </c>
      <c r="N113" s="303">
        <f t="shared" si="35"/>
        <v>1</v>
      </c>
      <c r="O113" s="303">
        <f t="shared" si="41"/>
        <v>1</v>
      </c>
      <c r="P113" s="304">
        <f t="shared" si="42"/>
        <v>0.16483516483516483</v>
      </c>
      <c r="Q113" s="303" t="str">
        <f t="shared" si="43"/>
        <v/>
      </c>
      <c r="R113" s="303">
        <f t="shared" si="44"/>
        <v>1</v>
      </c>
      <c r="S113" s="304">
        <f t="shared" si="45"/>
        <v>0.05</v>
      </c>
      <c r="T113" s="74" t="str">
        <f t="shared" si="46"/>
        <v/>
      </c>
      <c r="V113" s="55">
        <f t="shared" si="47"/>
        <v>123</v>
      </c>
      <c r="W113" s="233">
        <f t="shared" si="36"/>
        <v>0.12195121951219512</v>
      </c>
      <c r="X113" s="231">
        <f t="shared" si="48"/>
        <v>29.120641390243875</v>
      </c>
      <c r="Y113" s="232">
        <f t="shared" si="49"/>
        <v>1</v>
      </c>
      <c r="Z113" s="232">
        <f t="shared" si="50"/>
        <v>1</v>
      </c>
      <c r="AA113" s="232">
        <f t="shared" si="37"/>
        <v>91</v>
      </c>
      <c r="AB113" s="233">
        <f t="shared" si="38"/>
        <v>0.16483516483516483</v>
      </c>
      <c r="AC113" s="231">
        <f t="shared" si="51"/>
        <v>24.978320296703298</v>
      </c>
      <c r="AD113" s="232">
        <f t="shared" si="52"/>
        <v>0</v>
      </c>
      <c r="AE113" s="232">
        <f t="shared" si="53"/>
        <v>1</v>
      </c>
      <c r="AF113" s="232">
        <f t="shared" si="39"/>
        <v>80</v>
      </c>
      <c r="AG113" s="232">
        <f t="shared" si="40"/>
        <v>4</v>
      </c>
      <c r="AH113" s="236">
        <f t="shared" si="54"/>
        <v>0.05</v>
      </c>
      <c r="AI113" s="231">
        <f t="shared" si="55"/>
        <v>33.131616999999949</v>
      </c>
      <c r="AJ113" s="232">
        <f t="shared" si="56"/>
        <v>0</v>
      </c>
      <c r="AL113" s="3">
        <f t="shared" si="60"/>
        <v>4</v>
      </c>
    </row>
    <row r="114" spans="1:38" ht="14.1" customHeight="1" x14ac:dyDescent="0.2">
      <c r="A114" s="240" t="s">
        <v>462</v>
      </c>
      <c r="B114" s="282" t="s">
        <v>523</v>
      </c>
      <c r="C114" s="32">
        <v>12</v>
      </c>
      <c r="D114" s="32">
        <f t="shared" si="58"/>
        <v>19</v>
      </c>
      <c r="E114" s="32">
        <f t="shared" si="59"/>
        <v>21</v>
      </c>
      <c r="F114" s="283" t="s">
        <v>44</v>
      </c>
      <c r="G114" s="283" t="s">
        <v>45</v>
      </c>
      <c r="H114" s="32">
        <v>6</v>
      </c>
      <c r="I114" s="32">
        <v>1</v>
      </c>
      <c r="J114" s="65">
        <v>0</v>
      </c>
      <c r="K114" s="229"/>
      <c r="L114" s="303">
        <v>1</v>
      </c>
      <c r="M114" s="304">
        <f t="shared" si="34"/>
        <v>0.12195121951219512</v>
      </c>
      <c r="N114" s="303" t="str">
        <f t="shared" si="35"/>
        <v/>
      </c>
      <c r="O114" s="303">
        <f t="shared" si="41"/>
        <v>1</v>
      </c>
      <c r="P114" s="304">
        <f t="shared" si="42"/>
        <v>0.16483516483516483</v>
      </c>
      <c r="Q114" s="303">
        <f t="shared" si="43"/>
        <v>1</v>
      </c>
      <c r="R114" s="303">
        <f t="shared" si="44"/>
        <v>1</v>
      </c>
      <c r="S114" s="304">
        <f t="shared" si="45"/>
        <v>0.05</v>
      </c>
      <c r="T114" s="74" t="str">
        <f t="shared" si="46"/>
        <v/>
      </c>
      <c r="V114" s="55">
        <f t="shared" si="47"/>
        <v>123</v>
      </c>
      <c r="W114" s="233">
        <f t="shared" si="36"/>
        <v>0.12195121951219512</v>
      </c>
      <c r="X114" s="231">
        <f t="shared" si="48"/>
        <v>29.24259260975607</v>
      </c>
      <c r="Y114" s="232">
        <f t="shared" si="49"/>
        <v>0</v>
      </c>
      <c r="Z114" s="232">
        <f t="shared" si="50"/>
        <v>1</v>
      </c>
      <c r="AA114" s="232">
        <f t="shared" si="37"/>
        <v>91</v>
      </c>
      <c r="AB114" s="233">
        <f t="shared" si="38"/>
        <v>0.16483516483516483</v>
      </c>
      <c r="AC114" s="231">
        <f t="shared" si="51"/>
        <v>25.143155461538463</v>
      </c>
      <c r="AD114" s="232">
        <f t="shared" si="52"/>
        <v>1</v>
      </c>
      <c r="AE114" s="232">
        <f t="shared" si="53"/>
        <v>1</v>
      </c>
      <c r="AF114" s="232">
        <f t="shared" si="39"/>
        <v>80</v>
      </c>
      <c r="AG114" s="232">
        <f t="shared" si="40"/>
        <v>4</v>
      </c>
      <c r="AH114" s="236">
        <f t="shared" si="54"/>
        <v>0.05</v>
      </c>
      <c r="AI114" s="231">
        <f t="shared" si="55"/>
        <v>33.181616999999946</v>
      </c>
      <c r="AJ114" s="232">
        <f t="shared" si="56"/>
        <v>0</v>
      </c>
      <c r="AL114" s="3">
        <f t="shared" si="60"/>
        <v>4</v>
      </c>
    </row>
    <row r="115" spans="1:38" ht="14.1" customHeight="1" x14ac:dyDescent="0.2">
      <c r="A115" s="240" t="s">
        <v>462</v>
      </c>
      <c r="B115" s="282" t="s">
        <v>523</v>
      </c>
      <c r="C115" s="32">
        <f t="shared" si="61"/>
        <v>13</v>
      </c>
      <c r="D115" s="32">
        <f t="shared" si="58"/>
        <v>20</v>
      </c>
      <c r="E115" s="32">
        <f t="shared" si="59"/>
        <v>22</v>
      </c>
      <c r="F115" s="283" t="s">
        <v>44</v>
      </c>
      <c r="G115" s="283" t="s">
        <v>45</v>
      </c>
      <c r="H115" s="32">
        <v>7</v>
      </c>
      <c r="I115" s="32">
        <v>1</v>
      </c>
      <c r="J115" s="65">
        <v>0</v>
      </c>
      <c r="K115" s="229"/>
      <c r="L115" s="303">
        <v>1</v>
      </c>
      <c r="M115" s="304">
        <f t="shared" si="34"/>
        <v>0.12195121951219512</v>
      </c>
      <c r="N115" s="303" t="str">
        <f t="shared" si="35"/>
        <v/>
      </c>
      <c r="O115" s="303">
        <f t="shared" si="41"/>
        <v>1</v>
      </c>
      <c r="P115" s="304">
        <f t="shared" si="42"/>
        <v>0.16483516483516483</v>
      </c>
      <c r="Q115" s="303" t="str">
        <f t="shared" si="43"/>
        <v/>
      </c>
      <c r="R115" s="303">
        <f t="shared" si="44"/>
        <v>1</v>
      </c>
      <c r="S115" s="304">
        <f t="shared" si="45"/>
        <v>0.05</v>
      </c>
      <c r="T115" s="74" t="str">
        <f t="shared" si="46"/>
        <v/>
      </c>
      <c r="V115" s="55">
        <f t="shared" si="47"/>
        <v>123</v>
      </c>
      <c r="W115" s="233">
        <f t="shared" si="36"/>
        <v>0.12195121951219512</v>
      </c>
      <c r="X115" s="231">
        <f t="shared" si="48"/>
        <v>29.364543829268264</v>
      </c>
      <c r="Y115" s="232">
        <f t="shared" si="49"/>
        <v>0</v>
      </c>
      <c r="Z115" s="232">
        <f t="shared" si="50"/>
        <v>1</v>
      </c>
      <c r="AA115" s="232">
        <f t="shared" si="37"/>
        <v>91</v>
      </c>
      <c r="AB115" s="233">
        <f t="shared" si="38"/>
        <v>0.16483516483516483</v>
      </c>
      <c r="AC115" s="231">
        <f t="shared" si="51"/>
        <v>25.307990626373627</v>
      </c>
      <c r="AD115" s="232">
        <f t="shared" si="52"/>
        <v>0</v>
      </c>
      <c r="AE115" s="232">
        <f t="shared" si="53"/>
        <v>1</v>
      </c>
      <c r="AF115" s="232">
        <f t="shared" si="39"/>
        <v>80</v>
      </c>
      <c r="AG115" s="232">
        <f t="shared" si="40"/>
        <v>4</v>
      </c>
      <c r="AH115" s="236">
        <f t="shared" si="54"/>
        <v>0.05</v>
      </c>
      <c r="AI115" s="231">
        <f t="shared" si="55"/>
        <v>33.231616999999943</v>
      </c>
      <c r="AJ115" s="232">
        <f t="shared" si="56"/>
        <v>0</v>
      </c>
      <c r="AL115" s="3">
        <f t="shared" si="60"/>
        <v>4</v>
      </c>
    </row>
    <row r="116" spans="1:38" ht="14.1" customHeight="1" x14ac:dyDescent="0.2">
      <c r="A116" s="240" t="s">
        <v>462</v>
      </c>
      <c r="B116" s="282" t="s">
        <v>523</v>
      </c>
      <c r="C116" s="32">
        <f t="shared" si="61"/>
        <v>14</v>
      </c>
      <c r="D116" s="32">
        <f t="shared" si="58"/>
        <v>21</v>
      </c>
      <c r="E116" s="32">
        <f t="shared" si="59"/>
        <v>23</v>
      </c>
      <c r="F116" s="283" t="s">
        <v>44</v>
      </c>
      <c r="G116" s="283" t="s">
        <v>45</v>
      </c>
      <c r="H116" s="32">
        <v>7</v>
      </c>
      <c r="I116" s="32">
        <v>1</v>
      </c>
      <c r="J116" s="65">
        <v>0</v>
      </c>
      <c r="K116" s="229"/>
      <c r="L116" s="303">
        <v>1</v>
      </c>
      <c r="M116" s="304">
        <f t="shared" si="34"/>
        <v>0.12195121951219512</v>
      </c>
      <c r="N116" s="303" t="str">
        <f t="shared" si="35"/>
        <v/>
      </c>
      <c r="O116" s="303">
        <f t="shared" si="41"/>
        <v>1</v>
      </c>
      <c r="P116" s="304">
        <f t="shared" si="42"/>
        <v>0.16483516483516483</v>
      </c>
      <c r="Q116" s="303" t="str">
        <f t="shared" si="43"/>
        <v/>
      </c>
      <c r="R116" s="303">
        <f t="shared" si="44"/>
        <v>1</v>
      </c>
      <c r="S116" s="304">
        <f t="shared" si="45"/>
        <v>0.05</v>
      </c>
      <c r="T116" s="74" t="str">
        <f t="shared" si="46"/>
        <v/>
      </c>
      <c r="V116" s="55">
        <f t="shared" si="47"/>
        <v>123</v>
      </c>
      <c r="W116" s="233">
        <f t="shared" si="36"/>
        <v>0.12195121951219512</v>
      </c>
      <c r="X116" s="231">
        <f t="shared" si="48"/>
        <v>29.486495048780458</v>
      </c>
      <c r="Y116" s="232">
        <f t="shared" si="49"/>
        <v>0</v>
      </c>
      <c r="Z116" s="232">
        <f t="shared" si="50"/>
        <v>1</v>
      </c>
      <c r="AA116" s="232">
        <f t="shared" si="37"/>
        <v>91</v>
      </c>
      <c r="AB116" s="233">
        <f t="shared" si="38"/>
        <v>0.16483516483516483</v>
      </c>
      <c r="AC116" s="231">
        <f t="shared" si="51"/>
        <v>25.472825791208791</v>
      </c>
      <c r="AD116" s="232">
        <f t="shared" si="52"/>
        <v>0</v>
      </c>
      <c r="AE116" s="232">
        <f t="shared" si="53"/>
        <v>1</v>
      </c>
      <c r="AF116" s="232">
        <f t="shared" si="39"/>
        <v>80</v>
      </c>
      <c r="AG116" s="232">
        <f t="shared" si="40"/>
        <v>4</v>
      </c>
      <c r="AH116" s="236">
        <f t="shared" si="54"/>
        <v>0.05</v>
      </c>
      <c r="AI116" s="231">
        <f t="shared" si="55"/>
        <v>33.28161699999994</v>
      </c>
      <c r="AJ116" s="232">
        <f t="shared" si="56"/>
        <v>0</v>
      </c>
      <c r="AL116" s="3">
        <f t="shared" si="60"/>
        <v>4</v>
      </c>
    </row>
    <row r="117" spans="1:38" ht="14.1" customHeight="1" x14ac:dyDescent="0.2">
      <c r="A117" s="240" t="s">
        <v>462</v>
      </c>
      <c r="B117" s="282" t="s">
        <v>523</v>
      </c>
      <c r="C117" s="32">
        <f t="shared" si="61"/>
        <v>15</v>
      </c>
      <c r="D117" s="32">
        <f t="shared" si="58"/>
        <v>22</v>
      </c>
      <c r="E117" s="32">
        <f t="shared" si="59"/>
        <v>24</v>
      </c>
      <c r="F117" s="283" t="s">
        <v>44</v>
      </c>
      <c r="G117" s="283" t="s">
        <v>45</v>
      </c>
      <c r="H117" s="32">
        <v>3</v>
      </c>
      <c r="I117" s="32">
        <v>1</v>
      </c>
      <c r="J117" s="65">
        <v>0</v>
      </c>
      <c r="K117" s="229"/>
      <c r="L117" s="303">
        <v>1</v>
      </c>
      <c r="M117" s="304">
        <f t="shared" si="34"/>
        <v>0.12195121951219512</v>
      </c>
      <c r="N117" s="303" t="str">
        <f t="shared" si="35"/>
        <v/>
      </c>
      <c r="O117" s="303">
        <f t="shared" si="41"/>
        <v>1</v>
      </c>
      <c r="P117" s="304">
        <f t="shared" si="42"/>
        <v>0.16483516483516483</v>
      </c>
      <c r="Q117" s="303" t="str">
        <f t="shared" si="43"/>
        <v/>
      </c>
      <c r="R117" s="303">
        <f t="shared" si="44"/>
        <v>1</v>
      </c>
      <c r="S117" s="304">
        <f t="shared" si="45"/>
        <v>0.05</v>
      </c>
      <c r="T117" s="74" t="str">
        <f t="shared" si="46"/>
        <v/>
      </c>
      <c r="V117" s="55">
        <f t="shared" si="47"/>
        <v>123</v>
      </c>
      <c r="W117" s="233">
        <f t="shared" si="36"/>
        <v>0.12195121951219512</v>
      </c>
      <c r="X117" s="231">
        <f t="shared" si="48"/>
        <v>29.608446268292653</v>
      </c>
      <c r="Y117" s="232">
        <f t="shared" si="49"/>
        <v>0</v>
      </c>
      <c r="Z117" s="232">
        <f t="shared" si="50"/>
        <v>1</v>
      </c>
      <c r="AA117" s="232">
        <f t="shared" si="37"/>
        <v>91</v>
      </c>
      <c r="AB117" s="233">
        <f t="shared" si="38"/>
        <v>0.16483516483516483</v>
      </c>
      <c r="AC117" s="231">
        <f t="shared" si="51"/>
        <v>25.637660956043955</v>
      </c>
      <c r="AD117" s="232">
        <f t="shared" si="52"/>
        <v>0</v>
      </c>
      <c r="AE117" s="232">
        <f t="shared" si="53"/>
        <v>1</v>
      </c>
      <c r="AF117" s="232">
        <f t="shared" si="39"/>
        <v>80</v>
      </c>
      <c r="AG117" s="232">
        <f t="shared" si="40"/>
        <v>4</v>
      </c>
      <c r="AH117" s="236">
        <f t="shared" si="54"/>
        <v>0.05</v>
      </c>
      <c r="AI117" s="231">
        <f t="shared" si="55"/>
        <v>33.331616999999937</v>
      </c>
      <c r="AJ117" s="232">
        <f t="shared" si="56"/>
        <v>0</v>
      </c>
      <c r="AL117" s="3">
        <f t="shared" si="60"/>
        <v>4</v>
      </c>
    </row>
    <row r="118" spans="1:38" ht="14.1" customHeight="1" x14ac:dyDescent="0.2">
      <c r="A118" s="240" t="s">
        <v>462</v>
      </c>
      <c r="B118" s="282" t="s">
        <v>523</v>
      </c>
      <c r="C118" s="32">
        <f t="shared" si="61"/>
        <v>16</v>
      </c>
      <c r="D118" s="32">
        <f t="shared" si="58"/>
        <v>23</v>
      </c>
      <c r="E118" s="32">
        <f t="shared" si="59"/>
        <v>25</v>
      </c>
      <c r="F118" s="283" t="s">
        <v>44</v>
      </c>
      <c r="G118" s="283" t="s">
        <v>45</v>
      </c>
      <c r="H118" s="32">
        <v>6</v>
      </c>
      <c r="I118" s="32">
        <v>1</v>
      </c>
      <c r="J118" s="65">
        <v>0</v>
      </c>
      <c r="K118" s="229"/>
      <c r="L118" s="303">
        <v>1</v>
      </c>
      <c r="M118" s="304">
        <f t="shared" si="34"/>
        <v>0.12195121951219512</v>
      </c>
      <c r="N118" s="303" t="str">
        <f t="shared" si="35"/>
        <v/>
      </c>
      <c r="O118" s="303">
        <f t="shared" si="41"/>
        <v>1</v>
      </c>
      <c r="P118" s="304">
        <f t="shared" si="42"/>
        <v>0.16483516483516483</v>
      </c>
      <c r="Q118" s="303" t="str">
        <f t="shared" si="43"/>
        <v/>
      </c>
      <c r="R118" s="303">
        <f t="shared" si="44"/>
        <v>1</v>
      </c>
      <c r="S118" s="304">
        <f t="shared" si="45"/>
        <v>0.05</v>
      </c>
      <c r="T118" s="74" t="str">
        <f t="shared" si="46"/>
        <v/>
      </c>
      <c r="V118" s="55">
        <f t="shared" si="47"/>
        <v>123</v>
      </c>
      <c r="W118" s="233">
        <f t="shared" si="36"/>
        <v>0.12195121951219512</v>
      </c>
      <c r="X118" s="231">
        <f t="shared" si="48"/>
        <v>29.730397487804847</v>
      </c>
      <c r="Y118" s="232">
        <f t="shared" si="49"/>
        <v>0</v>
      </c>
      <c r="Z118" s="232">
        <f t="shared" si="50"/>
        <v>1</v>
      </c>
      <c r="AA118" s="232">
        <f t="shared" si="37"/>
        <v>91</v>
      </c>
      <c r="AB118" s="233">
        <f t="shared" si="38"/>
        <v>0.16483516483516483</v>
      </c>
      <c r="AC118" s="231">
        <f t="shared" si="51"/>
        <v>25.80249612087912</v>
      </c>
      <c r="AD118" s="232">
        <f t="shared" si="52"/>
        <v>0</v>
      </c>
      <c r="AE118" s="232">
        <f t="shared" si="53"/>
        <v>1</v>
      </c>
      <c r="AF118" s="232">
        <f t="shared" si="39"/>
        <v>80</v>
      </c>
      <c r="AG118" s="232">
        <f t="shared" si="40"/>
        <v>4</v>
      </c>
      <c r="AH118" s="236">
        <f t="shared" si="54"/>
        <v>0.05</v>
      </c>
      <c r="AI118" s="231">
        <f t="shared" si="55"/>
        <v>33.381616999999935</v>
      </c>
      <c r="AJ118" s="232">
        <f t="shared" si="56"/>
        <v>0</v>
      </c>
      <c r="AL118" s="3">
        <f t="shared" si="60"/>
        <v>4</v>
      </c>
    </row>
    <row r="119" spans="1:38" ht="14.1" customHeight="1" x14ac:dyDescent="0.2">
      <c r="A119" s="240" t="s">
        <v>462</v>
      </c>
      <c r="B119" s="282" t="s">
        <v>523</v>
      </c>
      <c r="C119" s="32">
        <f t="shared" si="61"/>
        <v>17</v>
      </c>
      <c r="D119" s="32">
        <f t="shared" si="58"/>
        <v>24</v>
      </c>
      <c r="E119" s="32">
        <f t="shared" si="59"/>
        <v>26</v>
      </c>
      <c r="F119" s="283" t="s">
        <v>44</v>
      </c>
      <c r="G119" s="283" t="s">
        <v>45</v>
      </c>
      <c r="H119" s="32">
        <v>5</v>
      </c>
      <c r="I119" s="32">
        <v>1</v>
      </c>
      <c r="J119" s="65">
        <v>0</v>
      </c>
      <c r="K119" s="229"/>
      <c r="L119" s="303">
        <v>1</v>
      </c>
      <c r="M119" s="304">
        <f t="shared" si="34"/>
        <v>0.12195121951219512</v>
      </c>
      <c r="N119" s="303" t="str">
        <f t="shared" si="35"/>
        <v/>
      </c>
      <c r="O119" s="303">
        <f t="shared" si="41"/>
        <v>1</v>
      </c>
      <c r="P119" s="304">
        <f t="shared" si="42"/>
        <v>0.16483516483516483</v>
      </c>
      <c r="Q119" s="303" t="str">
        <f t="shared" si="43"/>
        <v/>
      </c>
      <c r="R119" s="303">
        <f t="shared" si="44"/>
        <v>1</v>
      </c>
      <c r="S119" s="304">
        <f t="shared" si="45"/>
        <v>0.05</v>
      </c>
      <c r="T119" s="74" t="str">
        <f t="shared" si="46"/>
        <v/>
      </c>
      <c r="V119" s="55">
        <f t="shared" si="47"/>
        <v>123</v>
      </c>
      <c r="W119" s="233">
        <f t="shared" si="36"/>
        <v>0.12195121951219512</v>
      </c>
      <c r="X119" s="231">
        <f t="shared" si="48"/>
        <v>29.852348707317041</v>
      </c>
      <c r="Y119" s="232">
        <f t="shared" si="49"/>
        <v>0</v>
      </c>
      <c r="Z119" s="232">
        <f t="shared" si="50"/>
        <v>1</v>
      </c>
      <c r="AA119" s="232">
        <f t="shared" si="37"/>
        <v>91</v>
      </c>
      <c r="AB119" s="233">
        <f t="shared" si="38"/>
        <v>0.16483516483516483</v>
      </c>
      <c r="AC119" s="231">
        <f t="shared" si="51"/>
        <v>25.967331285714284</v>
      </c>
      <c r="AD119" s="232">
        <f t="shared" si="52"/>
        <v>0</v>
      </c>
      <c r="AE119" s="232">
        <f t="shared" si="53"/>
        <v>1</v>
      </c>
      <c r="AF119" s="232">
        <f t="shared" si="39"/>
        <v>80</v>
      </c>
      <c r="AG119" s="232">
        <f t="shared" si="40"/>
        <v>4</v>
      </c>
      <c r="AH119" s="236">
        <f t="shared" si="54"/>
        <v>0.05</v>
      </c>
      <c r="AI119" s="231">
        <f t="shared" si="55"/>
        <v>33.431616999999932</v>
      </c>
      <c r="AJ119" s="232">
        <f t="shared" si="56"/>
        <v>0</v>
      </c>
      <c r="AL119" s="3">
        <f t="shared" si="60"/>
        <v>4</v>
      </c>
    </row>
    <row r="120" spans="1:38" ht="14.1" customHeight="1" x14ac:dyDescent="0.2">
      <c r="A120" s="240" t="s">
        <v>462</v>
      </c>
      <c r="B120" s="282" t="s">
        <v>523</v>
      </c>
      <c r="C120" s="32">
        <f t="shared" si="61"/>
        <v>18</v>
      </c>
      <c r="D120" s="32">
        <f t="shared" si="58"/>
        <v>25</v>
      </c>
      <c r="E120" s="32">
        <f t="shared" si="59"/>
        <v>27</v>
      </c>
      <c r="F120" s="283" t="s">
        <v>44</v>
      </c>
      <c r="G120" s="283" t="s">
        <v>45</v>
      </c>
      <c r="H120" s="32">
        <v>3</v>
      </c>
      <c r="I120" s="32">
        <v>1</v>
      </c>
      <c r="J120" s="65">
        <v>0</v>
      </c>
      <c r="K120" s="229"/>
      <c r="L120" s="303">
        <v>1</v>
      </c>
      <c r="M120" s="304">
        <f t="shared" si="34"/>
        <v>0.12195121951219512</v>
      </c>
      <c r="N120" s="303" t="str">
        <f t="shared" si="35"/>
        <v/>
      </c>
      <c r="O120" s="303">
        <f t="shared" si="41"/>
        <v>1</v>
      </c>
      <c r="P120" s="304">
        <f t="shared" si="42"/>
        <v>0.16483516483516483</v>
      </c>
      <c r="Q120" s="303">
        <f t="shared" si="43"/>
        <v>1</v>
      </c>
      <c r="R120" s="303">
        <f t="shared" si="44"/>
        <v>1</v>
      </c>
      <c r="S120" s="304">
        <f t="shared" si="45"/>
        <v>0.05</v>
      </c>
      <c r="T120" s="74" t="str">
        <f t="shared" si="46"/>
        <v/>
      </c>
      <c r="V120" s="55">
        <f t="shared" si="47"/>
        <v>123</v>
      </c>
      <c r="W120" s="233">
        <f t="shared" si="36"/>
        <v>0.12195121951219512</v>
      </c>
      <c r="X120" s="231">
        <f t="shared" si="48"/>
        <v>29.974299926829236</v>
      </c>
      <c r="Y120" s="232">
        <f t="shared" si="49"/>
        <v>0</v>
      </c>
      <c r="Z120" s="232">
        <f t="shared" si="50"/>
        <v>1</v>
      </c>
      <c r="AA120" s="232">
        <f t="shared" si="37"/>
        <v>91</v>
      </c>
      <c r="AB120" s="233">
        <f t="shared" si="38"/>
        <v>0.16483516483516483</v>
      </c>
      <c r="AC120" s="231">
        <f t="shared" si="51"/>
        <v>26.132166450549448</v>
      </c>
      <c r="AD120" s="232">
        <f t="shared" si="52"/>
        <v>1</v>
      </c>
      <c r="AE120" s="232">
        <f t="shared" si="53"/>
        <v>1</v>
      </c>
      <c r="AF120" s="232">
        <f t="shared" si="39"/>
        <v>80</v>
      </c>
      <c r="AG120" s="232">
        <f t="shared" si="40"/>
        <v>4</v>
      </c>
      <c r="AH120" s="236">
        <f t="shared" si="54"/>
        <v>0.05</v>
      </c>
      <c r="AI120" s="231">
        <f t="shared" si="55"/>
        <v>33.481616999999929</v>
      </c>
      <c r="AJ120" s="232">
        <f t="shared" si="56"/>
        <v>0</v>
      </c>
      <c r="AL120" s="3">
        <f t="shared" si="60"/>
        <v>4</v>
      </c>
    </row>
    <row r="121" spans="1:38" ht="14.1" customHeight="1" x14ac:dyDescent="0.2">
      <c r="A121" s="240" t="s">
        <v>462</v>
      </c>
      <c r="B121" s="282" t="s">
        <v>523</v>
      </c>
      <c r="C121" s="32">
        <v>20</v>
      </c>
      <c r="D121" s="32">
        <f t="shared" si="58"/>
        <v>26</v>
      </c>
      <c r="E121" s="32">
        <f t="shared" si="59"/>
        <v>28</v>
      </c>
      <c r="F121" s="283" t="s">
        <v>44</v>
      </c>
      <c r="G121" s="283" t="s">
        <v>45</v>
      </c>
      <c r="H121" s="32">
        <v>2</v>
      </c>
      <c r="I121" s="32">
        <v>1</v>
      </c>
      <c r="J121" s="65">
        <v>0</v>
      </c>
      <c r="K121" s="229"/>
      <c r="L121" s="303">
        <v>1</v>
      </c>
      <c r="M121" s="304">
        <f t="shared" si="34"/>
        <v>0.12195121951219512</v>
      </c>
      <c r="N121" s="303">
        <f t="shared" si="35"/>
        <v>1</v>
      </c>
      <c r="O121" s="303">
        <f t="shared" si="41"/>
        <v>1</v>
      </c>
      <c r="P121" s="304">
        <f t="shared" si="42"/>
        <v>0.16483516483516483</v>
      </c>
      <c r="Q121" s="303" t="str">
        <f t="shared" si="43"/>
        <v/>
      </c>
      <c r="R121" s="303">
        <f t="shared" si="44"/>
        <v>1</v>
      </c>
      <c r="S121" s="304">
        <f t="shared" si="45"/>
        <v>0.05</v>
      </c>
      <c r="T121" s="74" t="str">
        <f t="shared" si="46"/>
        <v/>
      </c>
      <c r="V121" s="55">
        <f t="shared" si="47"/>
        <v>123</v>
      </c>
      <c r="W121" s="233">
        <f t="shared" si="36"/>
        <v>0.12195121951219512</v>
      </c>
      <c r="X121" s="231">
        <f t="shared" si="48"/>
        <v>30.09625114634143</v>
      </c>
      <c r="Y121" s="232">
        <f t="shared" si="49"/>
        <v>1</v>
      </c>
      <c r="Z121" s="232">
        <f t="shared" si="50"/>
        <v>1</v>
      </c>
      <c r="AA121" s="232">
        <f t="shared" si="37"/>
        <v>91</v>
      </c>
      <c r="AB121" s="233">
        <f t="shared" si="38"/>
        <v>0.16483516483516483</v>
      </c>
      <c r="AC121" s="231">
        <f t="shared" si="51"/>
        <v>26.297001615384612</v>
      </c>
      <c r="AD121" s="232">
        <f t="shared" si="52"/>
        <v>0</v>
      </c>
      <c r="AE121" s="232">
        <f t="shared" si="53"/>
        <v>1</v>
      </c>
      <c r="AF121" s="232">
        <f t="shared" si="39"/>
        <v>80</v>
      </c>
      <c r="AG121" s="232">
        <f t="shared" si="40"/>
        <v>4</v>
      </c>
      <c r="AH121" s="236">
        <f t="shared" si="54"/>
        <v>0.05</v>
      </c>
      <c r="AI121" s="231">
        <f t="shared" si="55"/>
        <v>33.531616999999926</v>
      </c>
      <c r="AJ121" s="232">
        <f t="shared" si="56"/>
        <v>0</v>
      </c>
      <c r="AL121" s="3">
        <f t="shared" si="60"/>
        <v>4</v>
      </c>
    </row>
    <row r="122" spans="1:38" ht="14.1" customHeight="1" x14ac:dyDescent="0.2">
      <c r="A122" s="240" t="s">
        <v>462</v>
      </c>
      <c r="B122" s="282" t="s">
        <v>523</v>
      </c>
      <c r="C122" s="32">
        <v>20</v>
      </c>
      <c r="D122" s="32">
        <f t="shared" si="58"/>
        <v>27</v>
      </c>
      <c r="E122" s="32">
        <f t="shared" si="59"/>
        <v>29</v>
      </c>
      <c r="F122" s="283" t="s">
        <v>44</v>
      </c>
      <c r="G122" s="283" t="s">
        <v>45</v>
      </c>
      <c r="H122" s="32">
        <v>4</v>
      </c>
      <c r="I122" s="32">
        <v>1</v>
      </c>
      <c r="J122" s="65">
        <v>0</v>
      </c>
      <c r="K122" s="229"/>
      <c r="L122" s="303">
        <v>1</v>
      </c>
      <c r="M122" s="304">
        <f t="shared" si="34"/>
        <v>0.12195121951219512</v>
      </c>
      <c r="N122" s="303" t="str">
        <f t="shared" si="35"/>
        <v/>
      </c>
      <c r="O122" s="303">
        <f t="shared" si="41"/>
        <v>1</v>
      </c>
      <c r="P122" s="304">
        <f t="shared" si="42"/>
        <v>0.16483516483516483</v>
      </c>
      <c r="Q122" s="303" t="str">
        <f t="shared" si="43"/>
        <v/>
      </c>
      <c r="R122" s="303">
        <f t="shared" si="44"/>
        <v>1</v>
      </c>
      <c r="S122" s="304">
        <f t="shared" si="45"/>
        <v>0.05</v>
      </c>
      <c r="T122" s="74" t="str">
        <f t="shared" si="46"/>
        <v/>
      </c>
      <c r="V122" s="55">
        <f t="shared" si="47"/>
        <v>123</v>
      </c>
      <c r="W122" s="233">
        <f t="shared" si="36"/>
        <v>0.12195121951219512</v>
      </c>
      <c r="X122" s="231">
        <f t="shared" si="48"/>
        <v>30.218202365853625</v>
      </c>
      <c r="Y122" s="232">
        <f t="shared" si="49"/>
        <v>0</v>
      </c>
      <c r="Z122" s="232">
        <f t="shared" si="50"/>
        <v>1</v>
      </c>
      <c r="AA122" s="232">
        <f t="shared" si="37"/>
        <v>91</v>
      </c>
      <c r="AB122" s="233">
        <f t="shared" si="38"/>
        <v>0.16483516483516483</v>
      </c>
      <c r="AC122" s="231">
        <f t="shared" si="51"/>
        <v>26.461836780219777</v>
      </c>
      <c r="AD122" s="232">
        <f t="shared" si="52"/>
        <v>0</v>
      </c>
      <c r="AE122" s="232">
        <f t="shared" si="53"/>
        <v>1</v>
      </c>
      <c r="AF122" s="232">
        <f t="shared" si="39"/>
        <v>80</v>
      </c>
      <c r="AG122" s="232">
        <f t="shared" si="40"/>
        <v>4</v>
      </c>
      <c r="AH122" s="236">
        <f t="shared" si="54"/>
        <v>0.05</v>
      </c>
      <c r="AI122" s="231">
        <f t="shared" si="55"/>
        <v>33.581616999999923</v>
      </c>
      <c r="AJ122" s="232">
        <f t="shared" si="56"/>
        <v>0</v>
      </c>
      <c r="AL122" s="3">
        <f t="shared" si="60"/>
        <v>4</v>
      </c>
    </row>
    <row r="123" spans="1:38" ht="14.1" customHeight="1" x14ac:dyDescent="0.2">
      <c r="A123" s="240" t="s">
        <v>462</v>
      </c>
      <c r="B123" s="282" t="s">
        <v>523</v>
      </c>
      <c r="C123" s="32">
        <v>20</v>
      </c>
      <c r="D123" s="32">
        <f t="shared" si="58"/>
        <v>28</v>
      </c>
      <c r="E123" s="32">
        <f t="shared" si="59"/>
        <v>30</v>
      </c>
      <c r="F123" s="283" t="s">
        <v>44</v>
      </c>
      <c r="G123" s="283" t="s">
        <v>45</v>
      </c>
      <c r="H123" s="32">
        <v>3</v>
      </c>
      <c r="I123" s="32">
        <v>1</v>
      </c>
      <c r="J123" s="65">
        <v>0</v>
      </c>
      <c r="K123" s="229"/>
      <c r="L123" s="303">
        <v>1</v>
      </c>
      <c r="M123" s="304">
        <f t="shared" si="34"/>
        <v>0.12195121951219512</v>
      </c>
      <c r="N123" s="303" t="str">
        <f t="shared" si="35"/>
        <v/>
      </c>
      <c r="O123" s="303">
        <f t="shared" si="41"/>
        <v>1</v>
      </c>
      <c r="P123" s="304">
        <f t="shared" si="42"/>
        <v>0.16483516483516483</v>
      </c>
      <c r="Q123" s="303" t="str">
        <f t="shared" si="43"/>
        <v/>
      </c>
      <c r="R123" s="303">
        <f t="shared" si="44"/>
        <v>1</v>
      </c>
      <c r="S123" s="304">
        <f t="shared" si="45"/>
        <v>0.05</v>
      </c>
      <c r="T123" s="74" t="str">
        <f t="shared" si="46"/>
        <v/>
      </c>
      <c r="V123" s="55">
        <f t="shared" si="47"/>
        <v>123</v>
      </c>
      <c r="W123" s="233">
        <f t="shared" si="36"/>
        <v>0.12195121951219512</v>
      </c>
      <c r="X123" s="231">
        <f t="shared" si="48"/>
        <v>30.340153585365819</v>
      </c>
      <c r="Y123" s="232">
        <f t="shared" si="49"/>
        <v>0</v>
      </c>
      <c r="Z123" s="232">
        <f t="shared" si="50"/>
        <v>1</v>
      </c>
      <c r="AA123" s="232">
        <f t="shared" si="37"/>
        <v>91</v>
      </c>
      <c r="AB123" s="233">
        <f t="shared" si="38"/>
        <v>0.16483516483516483</v>
      </c>
      <c r="AC123" s="231">
        <f t="shared" si="51"/>
        <v>26.626671945054941</v>
      </c>
      <c r="AD123" s="232">
        <f t="shared" si="52"/>
        <v>0</v>
      </c>
      <c r="AE123" s="232">
        <f t="shared" si="53"/>
        <v>1</v>
      </c>
      <c r="AF123" s="232">
        <f t="shared" si="39"/>
        <v>80</v>
      </c>
      <c r="AG123" s="232">
        <f t="shared" si="40"/>
        <v>4</v>
      </c>
      <c r="AH123" s="236">
        <f t="shared" si="54"/>
        <v>0.05</v>
      </c>
      <c r="AI123" s="231">
        <f t="shared" si="55"/>
        <v>33.63161699999992</v>
      </c>
      <c r="AJ123" s="232">
        <f t="shared" si="56"/>
        <v>0</v>
      </c>
      <c r="AL123" s="3">
        <f t="shared" si="60"/>
        <v>4</v>
      </c>
    </row>
    <row r="124" spans="1:38" ht="14.1" customHeight="1" x14ac:dyDescent="0.2">
      <c r="A124" s="240" t="s">
        <v>462</v>
      </c>
      <c r="B124" s="282" t="s">
        <v>523</v>
      </c>
      <c r="C124" s="32">
        <v>20</v>
      </c>
      <c r="D124" s="32">
        <f t="shared" si="58"/>
        <v>29</v>
      </c>
      <c r="E124" s="32">
        <f t="shared" si="59"/>
        <v>31</v>
      </c>
      <c r="F124" s="283" t="s">
        <v>44</v>
      </c>
      <c r="G124" s="283" t="s">
        <v>45</v>
      </c>
      <c r="H124" s="32">
        <v>6</v>
      </c>
      <c r="I124" s="32">
        <v>1</v>
      </c>
      <c r="J124" s="65">
        <v>0</v>
      </c>
      <c r="K124" s="229"/>
      <c r="L124" s="303">
        <v>1</v>
      </c>
      <c r="M124" s="304">
        <f t="shared" si="34"/>
        <v>0.12195121951219512</v>
      </c>
      <c r="N124" s="303" t="str">
        <f t="shared" si="35"/>
        <v/>
      </c>
      <c r="O124" s="303">
        <f t="shared" si="41"/>
        <v>1</v>
      </c>
      <c r="P124" s="304">
        <f t="shared" si="42"/>
        <v>0.16483516483516483</v>
      </c>
      <c r="Q124" s="303" t="str">
        <f t="shared" si="43"/>
        <v/>
      </c>
      <c r="R124" s="303">
        <f t="shared" si="44"/>
        <v>1</v>
      </c>
      <c r="S124" s="304">
        <f t="shared" si="45"/>
        <v>0.05</v>
      </c>
      <c r="T124" s="74" t="str">
        <f t="shared" si="46"/>
        <v/>
      </c>
      <c r="V124" s="55">
        <f t="shared" si="47"/>
        <v>123</v>
      </c>
      <c r="W124" s="233">
        <f t="shared" si="36"/>
        <v>0.12195121951219512</v>
      </c>
      <c r="X124" s="231">
        <f t="shared" si="48"/>
        <v>30.462104804878013</v>
      </c>
      <c r="Y124" s="232">
        <f t="shared" si="49"/>
        <v>0</v>
      </c>
      <c r="Z124" s="232">
        <f t="shared" si="50"/>
        <v>1</v>
      </c>
      <c r="AA124" s="232">
        <f t="shared" si="37"/>
        <v>91</v>
      </c>
      <c r="AB124" s="233">
        <f t="shared" si="38"/>
        <v>0.16483516483516483</v>
      </c>
      <c r="AC124" s="231">
        <f t="shared" si="51"/>
        <v>26.791507109890105</v>
      </c>
      <c r="AD124" s="232">
        <f t="shared" si="52"/>
        <v>0</v>
      </c>
      <c r="AE124" s="232">
        <f t="shared" si="53"/>
        <v>1</v>
      </c>
      <c r="AF124" s="232">
        <f t="shared" si="39"/>
        <v>80</v>
      </c>
      <c r="AG124" s="232">
        <f t="shared" si="40"/>
        <v>4</v>
      </c>
      <c r="AH124" s="236">
        <f t="shared" si="54"/>
        <v>0.05</v>
      </c>
      <c r="AI124" s="231">
        <f t="shared" si="55"/>
        <v>33.681616999999918</v>
      </c>
      <c r="AJ124" s="232">
        <f t="shared" si="56"/>
        <v>0</v>
      </c>
      <c r="AL124" s="3">
        <f t="shared" ref="AL124:AL155" si="62">IF(AE124=1,IF(AF124=0,0,MIN($D$5,AA124)-IF(AA124=AF124,0,ROUND(MIN((AE124&gt;0)*$D$5*((AA124-AF124)^$F$5)/((AA124-AF124)^$F$5+AF124^$F$5),AA124-AF124),0))),"")</f>
        <v>4</v>
      </c>
    </row>
    <row r="125" spans="1:38" ht="14.1" customHeight="1" x14ac:dyDescent="0.2">
      <c r="A125" s="240" t="s">
        <v>462</v>
      </c>
      <c r="B125" s="282" t="s">
        <v>523</v>
      </c>
      <c r="C125" s="32">
        <f t="shared" si="61"/>
        <v>21</v>
      </c>
      <c r="D125" s="32">
        <f t="shared" si="58"/>
        <v>30</v>
      </c>
      <c r="E125" s="32">
        <f t="shared" si="59"/>
        <v>32</v>
      </c>
      <c r="F125" s="283" t="s">
        <v>44</v>
      </c>
      <c r="G125" s="283" t="s">
        <v>45</v>
      </c>
      <c r="H125" s="32">
        <v>6</v>
      </c>
      <c r="I125" s="32">
        <v>1</v>
      </c>
      <c r="J125" s="65">
        <v>0</v>
      </c>
      <c r="K125" s="229"/>
      <c r="L125" s="303">
        <v>1</v>
      </c>
      <c r="M125" s="304">
        <f t="shared" si="34"/>
        <v>0.12195121951219512</v>
      </c>
      <c r="N125" s="303" t="str">
        <f t="shared" si="35"/>
        <v/>
      </c>
      <c r="O125" s="303">
        <f t="shared" si="41"/>
        <v>1</v>
      </c>
      <c r="P125" s="304">
        <f t="shared" si="42"/>
        <v>0.16483516483516483</v>
      </c>
      <c r="Q125" s="303" t="str">
        <f t="shared" si="43"/>
        <v/>
      </c>
      <c r="R125" s="303">
        <f t="shared" si="44"/>
        <v>1</v>
      </c>
      <c r="S125" s="304">
        <f t="shared" si="45"/>
        <v>0.05</v>
      </c>
      <c r="T125" s="74" t="str">
        <f t="shared" si="46"/>
        <v/>
      </c>
      <c r="V125" s="55">
        <f t="shared" si="47"/>
        <v>123</v>
      </c>
      <c r="W125" s="233">
        <f t="shared" si="36"/>
        <v>0.12195121951219512</v>
      </c>
      <c r="X125" s="231">
        <f t="shared" si="48"/>
        <v>30.584056024390208</v>
      </c>
      <c r="Y125" s="232">
        <f t="shared" si="49"/>
        <v>0</v>
      </c>
      <c r="Z125" s="232">
        <f t="shared" si="50"/>
        <v>1</v>
      </c>
      <c r="AA125" s="232">
        <f t="shared" si="37"/>
        <v>91</v>
      </c>
      <c r="AB125" s="233">
        <f t="shared" si="38"/>
        <v>0.16483516483516483</v>
      </c>
      <c r="AC125" s="231">
        <f t="shared" si="51"/>
        <v>26.956342274725269</v>
      </c>
      <c r="AD125" s="232">
        <f t="shared" si="52"/>
        <v>0</v>
      </c>
      <c r="AE125" s="232">
        <f t="shared" si="53"/>
        <v>1</v>
      </c>
      <c r="AF125" s="232">
        <f t="shared" si="39"/>
        <v>80</v>
      </c>
      <c r="AG125" s="232">
        <f t="shared" si="40"/>
        <v>4</v>
      </c>
      <c r="AH125" s="236">
        <f t="shared" si="54"/>
        <v>0.05</v>
      </c>
      <c r="AI125" s="231">
        <f t="shared" si="55"/>
        <v>33.731616999999915</v>
      </c>
      <c r="AJ125" s="232">
        <f t="shared" si="56"/>
        <v>0</v>
      </c>
      <c r="AL125" s="3">
        <f t="shared" si="62"/>
        <v>4</v>
      </c>
    </row>
    <row r="126" spans="1:38" ht="14.1" customHeight="1" x14ac:dyDescent="0.2">
      <c r="A126" s="240" t="s">
        <v>462</v>
      </c>
      <c r="B126" s="282" t="s">
        <v>523</v>
      </c>
      <c r="C126" s="32">
        <f t="shared" si="61"/>
        <v>22</v>
      </c>
      <c r="D126" s="32">
        <f t="shared" si="58"/>
        <v>31</v>
      </c>
      <c r="E126" s="32">
        <f t="shared" si="59"/>
        <v>33</v>
      </c>
      <c r="F126" s="283" t="s">
        <v>44</v>
      </c>
      <c r="G126" s="283" t="s">
        <v>45</v>
      </c>
      <c r="H126" s="32">
        <v>4</v>
      </c>
      <c r="I126" s="32">
        <v>1</v>
      </c>
      <c r="J126" s="65">
        <v>0</v>
      </c>
      <c r="K126" s="229"/>
      <c r="L126" s="303">
        <v>1</v>
      </c>
      <c r="M126" s="304">
        <f t="shared" si="34"/>
        <v>0.12195121951219512</v>
      </c>
      <c r="N126" s="303" t="str">
        <f t="shared" si="35"/>
        <v/>
      </c>
      <c r="O126" s="303">
        <f t="shared" si="41"/>
        <v>1</v>
      </c>
      <c r="P126" s="304">
        <f t="shared" si="42"/>
        <v>0.16483516483516483</v>
      </c>
      <c r="Q126" s="303">
        <f t="shared" si="43"/>
        <v>1</v>
      </c>
      <c r="R126" s="303">
        <f t="shared" si="44"/>
        <v>1</v>
      </c>
      <c r="S126" s="304">
        <f t="shared" si="45"/>
        <v>0.05</v>
      </c>
      <c r="T126" s="74" t="str">
        <f t="shared" si="46"/>
        <v/>
      </c>
      <c r="V126" s="55">
        <f t="shared" si="47"/>
        <v>123</v>
      </c>
      <c r="W126" s="233">
        <f t="shared" si="36"/>
        <v>0.12195121951219512</v>
      </c>
      <c r="X126" s="231">
        <f t="shared" si="48"/>
        <v>30.706007243902402</v>
      </c>
      <c r="Y126" s="232">
        <f t="shared" si="49"/>
        <v>0</v>
      </c>
      <c r="Z126" s="232">
        <f t="shared" si="50"/>
        <v>1</v>
      </c>
      <c r="AA126" s="232">
        <f t="shared" si="37"/>
        <v>91</v>
      </c>
      <c r="AB126" s="233">
        <f t="shared" si="38"/>
        <v>0.16483516483516483</v>
      </c>
      <c r="AC126" s="231">
        <f t="shared" si="51"/>
        <v>27.121177439560434</v>
      </c>
      <c r="AD126" s="232">
        <f t="shared" si="52"/>
        <v>1</v>
      </c>
      <c r="AE126" s="232">
        <f t="shared" si="53"/>
        <v>1</v>
      </c>
      <c r="AF126" s="232">
        <f t="shared" si="39"/>
        <v>80</v>
      </c>
      <c r="AG126" s="232">
        <f t="shared" si="40"/>
        <v>4</v>
      </c>
      <c r="AH126" s="236">
        <f t="shared" si="54"/>
        <v>0.05</v>
      </c>
      <c r="AI126" s="231">
        <f t="shared" si="55"/>
        <v>33.781616999999912</v>
      </c>
      <c r="AJ126" s="232">
        <f t="shared" si="56"/>
        <v>0</v>
      </c>
      <c r="AL126" s="3">
        <f t="shared" si="62"/>
        <v>4</v>
      </c>
    </row>
    <row r="127" spans="1:38" ht="14.1" customHeight="1" x14ac:dyDescent="0.2">
      <c r="A127" s="240" t="s">
        <v>462</v>
      </c>
      <c r="B127" s="282" t="s">
        <v>523</v>
      </c>
      <c r="C127" s="32">
        <f t="shared" si="61"/>
        <v>23</v>
      </c>
      <c r="D127" s="32">
        <f t="shared" si="58"/>
        <v>32</v>
      </c>
      <c r="E127" s="32">
        <f t="shared" si="59"/>
        <v>34</v>
      </c>
      <c r="F127" s="283" t="s">
        <v>44</v>
      </c>
      <c r="G127" s="283" t="s">
        <v>45</v>
      </c>
      <c r="H127" s="32">
        <v>1</v>
      </c>
      <c r="I127" s="32">
        <v>1</v>
      </c>
      <c r="J127" s="65">
        <v>0</v>
      </c>
      <c r="K127" s="229"/>
      <c r="L127" s="303">
        <v>1</v>
      </c>
      <c r="M127" s="304">
        <f t="shared" si="34"/>
        <v>0.12195121951219512</v>
      </c>
      <c r="N127" s="303" t="str">
        <f t="shared" si="35"/>
        <v/>
      </c>
      <c r="O127" s="303">
        <f t="shared" si="41"/>
        <v>1</v>
      </c>
      <c r="P127" s="304">
        <f t="shared" si="42"/>
        <v>0.16483516483516483</v>
      </c>
      <c r="Q127" s="303" t="str">
        <f t="shared" si="43"/>
        <v/>
      </c>
      <c r="R127" s="303">
        <f t="shared" si="44"/>
        <v>1</v>
      </c>
      <c r="S127" s="304">
        <f t="shared" si="45"/>
        <v>0.05</v>
      </c>
      <c r="T127" s="74" t="str">
        <f t="shared" si="46"/>
        <v/>
      </c>
      <c r="V127" s="55">
        <f t="shared" si="47"/>
        <v>123</v>
      </c>
      <c r="W127" s="233">
        <f t="shared" si="36"/>
        <v>0.12195121951219512</v>
      </c>
      <c r="X127" s="231">
        <f t="shared" si="48"/>
        <v>30.827958463414596</v>
      </c>
      <c r="Y127" s="232">
        <f t="shared" si="49"/>
        <v>0</v>
      </c>
      <c r="Z127" s="232">
        <f t="shared" si="50"/>
        <v>1</v>
      </c>
      <c r="AA127" s="232">
        <f t="shared" si="37"/>
        <v>91</v>
      </c>
      <c r="AB127" s="233">
        <f t="shared" si="38"/>
        <v>0.16483516483516483</v>
      </c>
      <c r="AC127" s="231">
        <f t="shared" si="51"/>
        <v>27.286012604395598</v>
      </c>
      <c r="AD127" s="232">
        <f t="shared" si="52"/>
        <v>0</v>
      </c>
      <c r="AE127" s="232">
        <f t="shared" si="53"/>
        <v>1</v>
      </c>
      <c r="AF127" s="232">
        <f t="shared" si="39"/>
        <v>80</v>
      </c>
      <c r="AG127" s="232">
        <f t="shared" si="40"/>
        <v>4</v>
      </c>
      <c r="AH127" s="236">
        <f t="shared" si="54"/>
        <v>0.05</v>
      </c>
      <c r="AI127" s="231">
        <f t="shared" si="55"/>
        <v>33.831616999999909</v>
      </c>
      <c r="AJ127" s="232">
        <f t="shared" si="56"/>
        <v>0</v>
      </c>
      <c r="AL127" s="3">
        <f t="shared" si="62"/>
        <v>4</v>
      </c>
    </row>
    <row r="128" spans="1:38" ht="14.1" customHeight="1" x14ac:dyDescent="0.2">
      <c r="A128" s="240" t="s">
        <v>462</v>
      </c>
      <c r="B128" s="282" t="s">
        <v>523</v>
      </c>
      <c r="C128" s="32">
        <f t="shared" si="61"/>
        <v>24</v>
      </c>
      <c r="D128" s="32">
        <f t="shared" si="58"/>
        <v>33</v>
      </c>
      <c r="E128" s="32">
        <f t="shared" si="59"/>
        <v>35</v>
      </c>
      <c r="F128" s="283" t="s">
        <v>44</v>
      </c>
      <c r="G128" s="283" t="s">
        <v>45</v>
      </c>
      <c r="H128" s="32">
        <v>6</v>
      </c>
      <c r="I128" s="32">
        <v>1</v>
      </c>
      <c r="J128" s="65">
        <v>0</v>
      </c>
      <c r="K128" s="229"/>
      <c r="L128" s="303">
        <v>1</v>
      </c>
      <c r="M128" s="304">
        <f t="shared" si="34"/>
        <v>0.12195121951219512</v>
      </c>
      <c r="N128" s="303" t="str">
        <f t="shared" si="35"/>
        <v/>
      </c>
      <c r="O128" s="303">
        <f t="shared" si="41"/>
        <v>1</v>
      </c>
      <c r="P128" s="304">
        <f t="shared" si="42"/>
        <v>0.16483516483516483</v>
      </c>
      <c r="Q128" s="303" t="str">
        <f t="shared" si="43"/>
        <v/>
      </c>
      <c r="R128" s="303">
        <f t="shared" si="44"/>
        <v>1</v>
      </c>
      <c r="S128" s="304">
        <f t="shared" si="45"/>
        <v>0.05</v>
      </c>
      <c r="T128" s="74" t="str">
        <f t="shared" si="46"/>
        <v/>
      </c>
      <c r="V128" s="55">
        <f t="shared" si="47"/>
        <v>123</v>
      </c>
      <c r="W128" s="233">
        <f t="shared" si="36"/>
        <v>0.12195121951219512</v>
      </c>
      <c r="X128" s="231">
        <f t="shared" si="48"/>
        <v>30.949909682926791</v>
      </c>
      <c r="Y128" s="232">
        <f t="shared" si="49"/>
        <v>0</v>
      </c>
      <c r="Z128" s="232">
        <f t="shared" si="50"/>
        <v>1</v>
      </c>
      <c r="AA128" s="232">
        <f t="shared" si="37"/>
        <v>91</v>
      </c>
      <c r="AB128" s="233">
        <f t="shared" si="38"/>
        <v>0.16483516483516483</v>
      </c>
      <c r="AC128" s="231">
        <f t="shared" si="51"/>
        <v>27.450847769230762</v>
      </c>
      <c r="AD128" s="232">
        <f t="shared" si="52"/>
        <v>0</v>
      </c>
      <c r="AE128" s="232">
        <f t="shared" si="53"/>
        <v>1</v>
      </c>
      <c r="AF128" s="232">
        <f t="shared" si="39"/>
        <v>80</v>
      </c>
      <c r="AG128" s="232">
        <f t="shared" si="40"/>
        <v>4</v>
      </c>
      <c r="AH128" s="236">
        <f t="shared" si="54"/>
        <v>0.05</v>
      </c>
      <c r="AI128" s="231">
        <f t="shared" si="55"/>
        <v>33.881616999999906</v>
      </c>
      <c r="AJ128" s="232">
        <f t="shared" si="56"/>
        <v>0</v>
      </c>
      <c r="AL128" s="3">
        <f t="shared" si="62"/>
        <v>4</v>
      </c>
    </row>
    <row r="129" spans="1:38" ht="14.1" customHeight="1" x14ac:dyDescent="0.2">
      <c r="A129" s="240" t="s">
        <v>462</v>
      </c>
      <c r="B129" s="282" t="s">
        <v>523</v>
      </c>
      <c r="C129" s="32">
        <f t="shared" si="61"/>
        <v>25</v>
      </c>
      <c r="D129" s="32">
        <f t="shared" si="58"/>
        <v>34</v>
      </c>
      <c r="E129" s="32">
        <f t="shared" si="59"/>
        <v>36</v>
      </c>
      <c r="F129" s="283" t="s">
        <v>44</v>
      </c>
      <c r="G129" s="283" t="s">
        <v>45</v>
      </c>
      <c r="H129" s="32">
        <v>7</v>
      </c>
      <c r="I129" s="32">
        <v>1</v>
      </c>
      <c r="J129" s="65">
        <v>0</v>
      </c>
      <c r="K129" s="229"/>
      <c r="L129" s="303">
        <v>1</v>
      </c>
      <c r="M129" s="304">
        <f t="shared" si="34"/>
        <v>0.12195121951219512</v>
      </c>
      <c r="N129" s="303">
        <f t="shared" si="35"/>
        <v>1</v>
      </c>
      <c r="O129" s="303">
        <f t="shared" si="41"/>
        <v>1</v>
      </c>
      <c r="P129" s="304">
        <f t="shared" si="42"/>
        <v>0.16483516483516483</v>
      </c>
      <c r="Q129" s="303" t="str">
        <f t="shared" si="43"/>
        <v/>
      </c>
      <c r="R129" s="303">
        <f t="shared" si="44"/>
        <v>1</v>
      </c>
      <c r="S129" s="304">
        <f t="shared" si="45"/>
        <v>0.05</v>
      </c>
      <c r="T129" s="74" t="str">
        <f t="shared" si="46"/>
        <v/>
      </c>
      <c r="V129" s="55">
        <f t="shared" si="47"/>
        <v>123</v>
      </c>
      <c r="W129" s="233">
        <f t="shared" si="36"/>
        <v>0.12195121951219512</v>
      </c>
      <c r="X129" s="231">
        <f t="shared" si="48"/>
        <v>31.071860902438985</v>
      </c>
      <c r="Y129" s="232">
        <f t="shared" si="49"/>
        <v>1</v>
      </c>
      <c r="Z129" s="232">
        <f t="shared" si="50"/>
        <v>1</v>
      </c>
      <c r="AA129" s="232">
        <f t="shared" si="37"/>
        <v>91</v>
      </c>
      <c r="AB129" s="233">
        <f t="shared" si="38"/>
        <v>0.16483516483516483</v>
      </c>
      <c r="AC129" s="231">
        <f t="shared" si="51"/>
        <v>27.615682934065926</v>
      </c>
      <c r="AD129" s="232">
        <f t="shared" si="52"/>
        <v>0</v>
      </c>
      <c r="AE129" s="232">
        <f t="shared" si="53"/>
        <v>1</v>
      </c>
      <c r="AF129" s="232">
        <f t="shared" si="39"/>
        <v>80</v>
      </c>
      <c r="AG129" s="232">
        <f t="shared" si="40"/>
        <v>4</v>
      </c>
      <c r="AH129" s="236">
        <f t="shared" si="54"/>
        <v>0.05</v>
      </c>
      <c r="AI129" s="231">
        <f t="shared" si="55"/>
        <v>33.931616999999903</v>
      </c>
      <c r="AJ129" s="232">
        <f t="shared" si="56"/>
        <v>0</v>
      </c>
      <c r="AL129" s="3">
        <f t="shared" si="62"/>
        <v>4</v>
      </c>
    </row>
    <row r="130" spans="1:38" ht="14.1" customHeight="1" x14ac:dyDescent="0.2">
      <c r="A130" s="240" t="s">
        <v>462</v>
      </c>
      <c r="B130" s="282" t="s">
        <v>523</v>
      </c>
      <c r="C130" s="32">
        <f t="shared" si="61"/>
        <v>26</v>
      </c>
      <c r="D130" s="32">
        <f t="shared" si="58"/>
        <v>35</v>
      </c>
      <c r="E130" s="32">
        <f t="shared" si="59"/>
        <v>37</v>
      </c>
      <c r="F130" s="283" t="s">
        <v>44</v>
      </c>
      <c r="G130" s="283" t="s">
        <v>45</v>
      </c>
      <c r="H130" s="32">
        <v>7</v>
      </c>
      <c r="I130" s="32">
        <v>1</v>
      </c>
      <c r="J130" s="65">
        <v>0</v>
      </c>
      <c r="K130" s="229"/>
      <c r="L130" s="303">
        <v>1</v>
      </c>
      <c r="M130" s="304">
        <f t="shared" si="34"/>
        <v>0.12195121951219512</v>
      </c>
      <c r="N130" s="303" t="str">
        <f t="shared" si="35"/>
        <v/>
      </c>
      <c r="O130" s="303">
        <f t="shared" si="41"/>
        <v>1</v>
      </c>
      <c r="P130" s="304">
        <f t="shared" si="42"/>
        <v>0.16483516483516483</v>
      </c>
      <c r="Q130" s="303" t="str">
        <f t="shared" si="43"/>
        <v/>
      </c>
      <c r="R130" s="303">
        <f t="shared" si="44"/>
        <v>1</v>
      </c>
      <c r="S130" s="304">
        <f t="shared" si="45"/>
        <v>0.05</v>
      </c>
      <c r="T130" s="74" t="str">
        <f t="shared" si="46"/>
        <v/>
      </c>
      <c r="V130" s="55">
        <f t="shared" si="47"/>
        <v>123</v>
      </c>
      <c r="W130" s="233">
        <f t="shared" si="36"/>
        <v>0.12195121951219512</v>
      </c>
      <c r="X130" s="231">
        <f t="shared" si="48"/>
        <v>31.193812121951179</v>
      </c>
      <c r="Y130" s="232">
        <f t="shared" si="49"/>
        <v>0</v>
      </c>
      <c r="Z130" s="232">
        <f t="shared" si="50"/>
        <v>1</v>
      </c>
      <c r="AA130" s="232">
        <f t="shared" si="37"/>
        <v>91</v>
      </c>
      <c r="AB130" s="233">
        <f t="shared" si="38"/>
        <v>0.16483516483516483</v>
      </c>
      <c r="AC130" s="231">
        <f t="shared" si="51"/>
        <v>27.780518098901091</v>
      </c>
      <c r="AD130" s="232">
        <f t="shared" si="52"/>
        <v>0</v>
      </c>
      <c r="AE130" s="232">
        <f t="shared" si="53"/>
        <v>1</v>
      </c>
      <c r="AF130" s="232">
        <f t="shared" si="39"/>
        <v>80</v>
      </c>
      <c r="AG130" s="232">
        <f t="shared" si="40"/>
        <v>4</v>
      </c>
      <c r="AH130" s="236">
        <f t="shared" si="54"/>
        <v>0.05</v>
      </c>
      <c r="AI130" s="231">
        <f t="shared" si="55"/>
        <v>33.9816169999999</v>
      </c>
      <c r="AJ130" s="232">
        <f t="shared" si="56"/>
        <v>0</v>
      </c>
      <c r="AL130" s="3">
        <f t="shared" si="62"/>
        <v>4</v>
      </c>
    </row>
    <row r="131" spans="1:38" ht="14.1" customHeight="1" x14ac:dyDescent="0.2">
      <c r="A131" s="240" t="s">
        <v>462</v>
      </c>
      <c r="B131" s="282" t="s">
        <v>523</v>
      </c>
      <c r="C131" s="32">
        <f t="shared" si="61"/>
        <v>27</v>
      </c>
      <c r="D131" s="32">
        <f t="shared" si="58"/>
        <v>36</v>
      </c>
      <c r="E131" s="32">
        <f t="shared" si="59"/>
        <v>38</v>
      </c>
      <c r="F131" s="283" t="s">
        <v>44</v>
      </c>
      <c r="G131" s="283" t="s">
        <v>45</v>
      </c>
      <c r="H131" s="32">
        <v>1</v>
      </c>
      <c r="I131" s="32">
        <v>1</v>
      </c>
      <c r="J131" s="65">
        <v>0</v>
      </c>
      <c r="K131" s="229"/>
      <c r="L131" s="303">
        <v>1</v>
      </c>
      <c r="M131" s="304">
        <f t="shared" si="34"/>
        <v>0.12195121951219512</v>
      </c>
      <c r="N131" s="303" t="str">
        <f t="shared" si="35"/>
        <v/>
      </c>
      <c r="O131" s="303">
        <f t="shared" si="41"/>
        <v>1</v>
      </c>
      <c r="P131" s="304">
        <f t="shared" si="42"/>
        <v>0.16483516483516483</v>
      </c>
      <c r="Q131" s="303" t="str">
        <f t="shared" si="43"/>
        <v/>
      </c>
      <c r="R131" s="303">
        <f t="shared" si="44"/>
        <v>1</v>
      </c>
      <c r="S131" s="304">
        <f t="shared" si="45"/>
        <v>0.05</v>
      </c>
      <c r="T131" s="74">
        <f t="shared" si="46"/>
        <v>1</v>
      </c>
      <c r="V131" s="55">
        <f t="shared" si="47"/>
        <v>123</v>
      </c>
      <c r="W131" s="233">
        <f t="shared" si="36"/>
        <v>0.12195121951219512</v>
      </c>
      <c r="X131" s="231">
        <f t="shared" si="48"/>
        <v>31.315763341463374</v>
      </c>
      <c r="Y131" s="232">
        <f t="shared" si="49"/>
        <v>0</v>
      </c>
      <c r="Z131" s="232">
        <f t="shared" si="50"/>
        <v>1</v>
      </c>
      <c r="AA131" s="232">
        <f t="shared" si="37"/>
        <v>91</v>
      </c>
      <c r="AB131" s="233">
        <f t="shared" si="38"/>
        <v>0.16483516483516483</v>
      </c>
      <c r="AC131" s="231">
        <f t="shared" si="51"/>
        <v>27.945353263736255</v>
      </c>
      <c r="AD131" s="232">
        <f t="shared" si="52"/>
        <v>0</v>
      </c>
      <c r="AE131" s="232">
        <f t="shared" si="53"/>
        <v>1</v>
      </c>
      <c r="AF131" s="232">
        <f t="shared" si="39"/>
        <v>80</v>
      </c>
      <c r="AG131" s="232">
        <f t="shared" si="40"/>
        <v>4</v>
      </c>
      <c r="AH131" s="236">
        <f t="shared" si="54"/>
        <v>0.05</v>
      </c>
      <c r="AI131" s="231">
        <f t="shared" si="55"/>
        <v>34.031616999999898</v>
      </c>
      <c r="AJ131" s="232">
        <f t="shared" si="56"/>
        <v>1</v>
      </c>
      <c r="AL131" s="3">
        <f t="shared" si="62"/>
        <v>4</v>
      </c>
    </row>
    <row r="132" spans="1:38" ht="14.1" customHeight="1" x14ac:dyDescent="0.2">
      <c r="A132" s="240" t="s">
        <v>462</v>
      </c>
      <c r="B132" s="282" t="s">
        <v>523</v>
      </c>
      <c r="C132" s="32">
        <f t="shared" si="61"/>
        <v>28</v>
      </c>
      <c r="D132" s="32">
        <f t="shared" si="58"/>
        <v>37</v>
      </c>
      <c r="E132" s="32">
        <f t="shared" si="59"/>
        <v>39</v>
      </c>
      <c r="F132" s="283" t="s">
        <v>44</v>
      </c>
      <c r="G132" s="283" t="s">
        <v>45</v>
      </c>
      <c r="H132" s="32">
        <v>5</v>
      </c>
      <c r="I132" s="32">
        <v>1</v>
      </c>
      <c r="J132" s="65">
        <v>0</v>
      </c>
      <c r="K132" s="229"/>
      <c r="L132" s="303">
        <v>1</v>
      </c>
      <c r="M132" s="304">
        <f t="shared" si="34"/>
        <v>0.12195121951219512</v>
      </c>
      <c r="N132" s="303" t="str">
        <f t="shared" si="35"/>
        <v/>
      </c>
      <c r="O132" s="303">
        <f t="shared" si="41"/>
        <v>1</v>
      </c>
      <c r="P132" s="304">
        <f t="shared" si="42"/>
        <v>0.16483516483516483</v>
      </c>
      <c r="Q132" s="303">
        <f t="shared" si="43"/>
        <v>1</v>
      </c>
      <c r="R132" s="303">
        <f t="shared" si="44"/>
        <v>1</v>
      </c>
      <c r="S132" s="304">
        <f t="shared" si="45"/>
        <v>0.05</v>
      </c>
      <c r="T132" s="74" t="str">
        <f t="shared" si="46"/>
        <v/>
      </c>
      <c r="V132" s="55">
        <f t="shared" si="47"/>
        <v>123</v>
      </c>
      <c r="W132" s="233">
        <f t="shared" si="36"/>
        <v>0.12195121951219512</v>
      </c>
      <c r="X132" s="231">
        <f t="shared" si="48"/>
        <v>31.437714560975568</v>
      </c>
      <c r="Y132" s="232">
        <f t="shared" si="49"/>
        <v>0</v>
      </c>
      <c r="Z132" s="232">
        <f t="shared" si="50"/>
        <v>1</v>
      </c>
      <c r="AA132" s="232">
        <f t="shared" si="37"/>
        <v>91</v>
      </c>
      <c r="AB132" s="233">
        <f t="shared" si="38"/>
        <v>0.16483516483516483</v>
      </c>
      <c r="AC132" s="231">
        <f t="shared" si="51"/>
        <v>28.110188428571419</v>
      </c>
      <c r="AD132" s="232">
        <f t="shared" si="52"/>
        <v>1</v>
      </c>
      <c r="AE132" s="232">
        <f t="shared" si="53"/>
        <v>1</v>
      </c>
      <c r="AF132" s="232">
        <f t="shared" si="39"/>
        <v>80</v>
      </c>
      <c r="AG132" s="232">
        <f t="shared" si="40"/>
        <v>4</v>
      </c>
      <c r="AH132" s="236">
        <f t="shared" si="54"/>
        <v>0.05</v>
      </c>
      <c r="AI132" s="231">
        <f t="shared" si="55"/>
        <v>34.081616999999895</v>
      </c>
      <c r="AJ132" s="232">
        <f t="shared" si="56"/>
        <v>0</v>
      </c>
      <c r="AL132" s="3">
        <f t="shared" si="62"/>
        <v>4</v>
      </c>
    </row>
    <row r="133" spans="1:38" ht="14.1" customHeight="1" x14ac:dyDescent="0.2">
      <c r="A133" s="240" t="s">
        <v>462</v>
      </c>
      <c r="B133" s="282" t="s">
        <v>523</v>
      </c>
      <c r="C133" s="32">
        <f t="shared" si="61"/>
        <v>29</v>
      </c>
      <c r="D133" s="32">
        <f t="shared" si="58"/>
        <v>38</v>
      </c>
      <c r="E133" s="32">
        <f t="shared" si="59"/>
        <v>40</v>
      </c>
      <c r="F133" s="283" t="s">
        <v>44</v>
      </c>
      <c r="G133" s="283" t="s">
        <v>45</v>
      </c>
      <c r="H133" s="32">
        <v>7</v>
      </c>
      <c r="I133" s="32">
        <v>1</v>
      </c>
      <c r="J133" s="65">
        <v>0</v>
      </c>
      <c r="K133" s="229"/>
      <c r="L133" s="303">
        <v>1</v>
      </c>
      <c r="M133" s="304">
        <f t="shared" si="34"/>
        <v>0.12195121951219512</v>
      </c>
      <c r="N133" s="303" t="str">
        <f t="shared" si="35"/>
        <v/>
      </c>
      <c r="O133" s="303">
        <f t="shared" si="41"/>
        <v>1</v>
      </c>
      <c r="P133" s="304">
        <f t="shared" si="42"/>
        <v>0.16483516483516483</v>
      </c>
      <c r="Q133" s="303" t="str">
        <f t="shared" si="43"/>
        <v/>
      </c>
      <c r="R133" s="303">
        <f t="shared" si="44"/>
        <v>1</v>
      </c>
      <c r="S133" s="304">
        <f t="shared" si="45"/>
        <v>0.05</v>
      </c>
      <c r="T133" s="74" t="str">
        <f t="shared" si="46"/>
        <v/>
      </c>
      <c r="V133" s="55">
        <f t="shared" si="47"/>
        <v>123</v>
      </c>
      <c r="W133" s="233">
        <f t="shared" si="36"/>
        <v>0.12195121951219512</v>
      </c>
      <c r="X133" s="231">
        <f t="shared" si="48"/>
        <v>31.559665780487762</v>
      </c>
      <c r="Y133" s="232">
        <f t="shared" si="49"/>
        <v>0</v>
      </c>
      <c r="Z133" s="232">
        <f t="shared" si="50"/>
        <v>1</v>
      </c>
      <c r="AA133" s="232">
        <f t="shared" si="37"/>
        <v>91</v>
      </c>
      <c r="AB133" s="233">
        <f t="shared" si="38"/>
        <v>0.16483516483516483</v>
      </c>
      <c r="AC133" s="231">
        <f t="shared" si="51"/>
        <v>28.275023593406583</v>
      </c>
      <c r="AD133" s="232">
        <f t="shared" si="52"/>
        <v>0</v>
      </c>
      <c r="AE133" s="232">
        <f t="shared" si="53"/>
        <v>1</v>
      </c>
      <c r="AF133" s="232">
        <f t="shared" si="39"/>
        <v>80</v>
      </c>
      <c r="AG133" s="232">
        <f t="shared" si="40"/>
        <v>4</v>
      </c>
      <c r="AH133" s="236">
        <f t="shared" si="54"/>
        <v>0.05</v>
      </c>
      <c r="AI133" s="231">
        <f t="shared" si="55"/>
        <v>34.131616999999892</v>
      </c>
      <c r="AJ133" s="232">
        <f t="shared" si="56"/>
        <v>0</v>
      </c>
      <c r="AL133" s="3">
        <f t="shared" si="62"/>
        <v>4</v>
      </c>
    </row>
    <row r="134" spans="1:38" ht="14.1" customHeight="1" x14ac:dyDescent="0.2">
      <c r="A134" s="240" t="s">
        <v>462</v>
      </c>
      <c r="B134" s="282" t="s">
        <v>523</v>
      </c>
      <c r="C134" s="32">
        <f t="shared" si="61"/>
        <v>30</v>
      </c>
      <c r="D134" s="32">
        <f t="shared" si="58"/>
        <v>39</v>
      </c>
      <c r="E134" s="32">
        <f t="shared" si="59"/>
        <v>41</v>
      </c>
      <c r="F134" s="283" t="s">
        <v>44</v>
      </c>
      <c r="G134" s="283" t="s">
        <v>45</v>
      </c>
      <c r="H134" s="32">
        <v>7</v>
      </c>
      <c r="I134" s="32">
        <v>1</v>
      </c>
      <c r="J134" s="65">
        <v>0</v>
      </c>
      <c r="K134" s="229"/>
      <c r="L134" s="303">
        <v>1</v>
      </c>
      <c r="M134" s="304">
        <f t="shared" si="34"/>
        <v>0.12195121951219512</v>
      </c>
      <c r="N134" s="303" t="str">
        <f t="shared" si="35"/>
        <v/>
      </c>
      <c r="O134" s="303">
        <f t="shared" si="41"/>
        <v>1</v>
      </c>
      <c r="P134" s="304">
        <f t="shared" si="42"/>
        <v>0.16483516483516483</v>
      </c>
      <c r="Q134" s="303" t="str">
        <f t="shared" si="43"/>
        <v/>
      </c>
      <c r="R134" s="303">
        <f t="shared" si="44"/>
        <v>1</v>
      </c>
      <c r="S134" s="304">
        <f t="shared" si="45"/>
        <v>0.05</v>
      </c>
      <c r="T134" s="74" t="str">
        <f t="shared" si="46"/>
        <v/>
      </c>
      <c r="V134" s="55">
        <f t="shared" si="47"/>
        <v>123</v>
      </c>
      <c r="W134" s="233">
        <f t="shared" si="36"/>
        <v>0.12195121951219512</v>
      </c>
      <c r="X134" s="231">
        <f t="shared" si="48"/>
        <v>31.681616999999957</v>
      </c>
      <c r="Y134" s="232">
        <f t="shared" si="49"/>
        <v>0</v>
      </c>
      <c r="Z134" s="232">
        <f t="shared" si="50"/>
        <v>1</v>
      </c>
      <c r="AA134" s="232">
        <f t="shared" si="37"/>
        <v>91</v>
      </c>
      <c r="AB134" s="233">
        <f t="shared" si="38"/>
        <v>0.16483516483516483</v>
      </c>
      <c r="AC134" s="231">
        <f t="shared" si="51"/>
        <v>28.439858758241748</v>
      </c>
      <c r="AD134" s="232">
        <f t="shared" si="52"/>
        <v>0</v>
      </c>
      <c r="AE134" s="232">
        <f t="shared" si="53"/>
        <v>1</v>
      </c>
      <c r="AF134" s="232">
        <f t="shared" si="39"/>
        <v>80</v>
      </c>
      <c r="AG134" s="232">
        <f t="shared" si="40"/>
        <v>4</v>
      </c>
      <c r="AH134" s="236">
        <f t="shared" si="54"/>
        <v>0.05</v>
      </c>
      <c r="AI134" s="231">
        <f t="shared" si="55"/>
        <v>34.181616999999889</v>
      </c>
      <c r="AJ134" s="232">
        <f t="shared" si="56"/>
        <v>0</v>
      </c>
      <c r="AL134" s="3">
        <f t="shared" si="62"/>
        <v>4</v>
      </c>
    </row>
    <row r="135" spans="1:38" ht="14.1" customHeight="1" x14ac:dyDescent="0.2">
      <c r="A135" s="240" t="s">
        <v>462</v>
      </c>
      <c r="B135" s="282" t="s">
        <v>523</v>
      </c>
      <c r="C135" s="32">
        <f t="shared" si="61"/>
        <v>31</v>
      </c>
      <c r="D135" s="32">
        <f t="shared" si="58"/>
        <v>40</v>
      </c>
      <c r="E135" s="32">
        <f t="shared" si="59"/>
        <v>42</v>
      </c>
      <c r="F135" s="283" t="s">
        <v>44</v>
      </c>
      <c r="G135" s="283" t="s">
        <v>45</v>
      </c>
      <c r="H135" s="32">
        <v>3</v>
      </c>
      <c r="I135" s="32">
        <v>1</v>
      </c>
      <c r="J135" s="65">
        <v>0</v>
      </c>
      <c r="K135" s="229"/>
      <c r="L135" s="303">
        <v>1</v>
      </c>
      <c r="M135" s="304">
        <f t="shared" si="34"/>
        <v>0.12195121951219512</v>
      </c>
      <c r="N135" s="303" t="str">
        <f t="shared" si="35"/>
        <v/>
      </c>
      <c r="O135" s="303">
        <f t="shared" si="41"/>
        <v>1</v>
      </c>
      <c r="P135" s="304">
        <f t="shared" si="42"/>
        <v>0.16483516483516483</v>
      </c>
      <c r="Q135" s="303" t="str">
        <f t="shared" si="43"/>
        <v/>
      </c>
      <c r="R135" s="303">
        <f t="shared" si="44"/>
        <v>1</v>
      </c>
      <c r="S135" s="304">
        <f t="shared" si="45"/>
        <v>0.05</v>
      </c>
      <c r="T135" s="74" t="str">
        <f t="shared" si="46"/>
        <v/>
      </c>
      <c r="V135" s="55">
        <f t="shared" si="47"/>
        <v>123</v>
      </c>
      <c r="W135" s="233">
        <f t="shared" si="36"/>
        <v>0.12195121951219512</v>
      </c>
      <c r="X135" s="231">
        <f t="shared" si="48"/>
        <v>31.803568219512151</v>
      </c>
      <c r="Y135" s="232">
        <f t="shared" si="49"/>
        <v>0</v>
      </c>
      <c r="Z135" s="232">
        <f t="shared" si="50"/>
        <v>1</v>
      </c>
      <c r="AA135" s="232">
        <f t="shared" si="37"/>
        <v>91</v>
      </c>
      <c r="AB135" s="233">
        <f t="shared" si="38"/>
        <v>0.16483516483516483</v>
      </c>
      <c r="AC135" s="231">
        <f t="shared" si="51"/>
        <v>28.604693923076912</v>
      </c>
      <c r="AD135" s="232">
        <f t="shared" si="52"/>
        <v>0</v>
      </c>
      <c r="AE135" s="232">
        <f t="shared" si="53"/>
        <v>1</v>
      </c>
      <c r="AF135" s="232">
        <f t="shared" si="39"/>
        <v>80</v>
      </c>
      <c r="AG135" s="232">
        <f t="shared" si="40"/>
        <v>4</v>
      </c>
      <c r="AH135" s="236">
        <f t="shared" si="54"/>
        <v>0.05</v>
      </c>
      <c r="AI135" s="231">
        <f t="shared" si="55"/>
        <v>34.231616999999886</v>
      </c>
      <c r="AJ135" s="232">
        <f t="shared" si="56"/>
        <v>0</v>
      </c>
      <c r="AL135" s="3">
        <f t="shared" si="62"/>
        <v>4</v>
      </c>
    </row>
    <row r="136" spans="1:38" ht="14.1" customHeight="1" x14ac:dyDescent="0.2">
      <c r="A136" s="240" t="s">
        <v>462</v>
      </c>
      <c r="B136" s="282" t="s">
        <v>523</v>
      </c>
      <c r="C136" s="32">
        <f t="shared" si="61"/>
        <v>32</v>
      </c>
      <c r="D136" s="32">
        <f t="shared" si="58"/>
        <v>41</v>
      </c>
      <c r="E136" s="32">
        <f t="shared" si="59"/>
        <v>43</v>
      </c>
      <c r="F136" s="283" t="s">
        <v>44</v>
      </c>
      <c r="G136" s="283" t="s">
        <v>45</v>
      </c>
      <c r="H136" s="32">
        <v>5</v>
      </c>
      <c r="I136" s="32">
        <v>1</v>
      </c>
      <c r="J136" s="65">
        <v>0</v>
      </c>
      <c r="K136" s="229"/>
      <c r="L136" s="303">
        <v>1</v>
      </c>
      <c r="M136" s="304">
        <f t="shared" si="34"/>
        <v>0.12195121951219512</v>
      </c>
      <c r="N136" s="303" t="str">
        <f t="shared" si="35"/>
        <v/>
      </c>
      <c r="O136" s="303">
        <f t="shared" si="41"/>
        <v>1</v>
      </c>
      <c r="P136" s="304">
        <f t="shared" si="42"/>
        <v>0.16483516483516483</v>
      </c>
      <c r="Q136" s="303" t="str">
        <f t="shared" si="43"/>
        <v/>
      </c>
      <c r="R136" s="303">
        <f t="shared" si="44"/>
        <v>1</v>
      </c>
      <c r="S136" s="304">
        <f t="shared" si="45"/>
        <v>0.05</v>
      </c>
      <c r="T136" s="74" t="str">
        <f t="shared" si="46"/>
        <v/>
      </c>
      <c r="V136" s="55">
        <f t="shared" si="47"/>
        <v>123</v>
      </c>
      <c r="W136" s="233">
        <f t="shared" si="36"/>
        <v>0.12195121951219512</v>
      </c>
      <c r="X136" s="231">
        <f t="shared" si="48"/>
        <v>31.925519439024345</v>
      </c>
      <c r="Y136" s="232">
        <f t="shared" si="49"/>
        <v>0</v>
      </c>
      <c r="Z136" s="232">
        <f t="shared" si="50"/>
        <v>1</v>
      </c>
      <c r="AA136" s="232">
        <f t="shared" si="37"/>
        <v>91</v>
      </c>
      <c r="AB136" s="233">
        <f t="shared" si="38"/>
        <v>0.16483516483516483</v>
      </c>
      <c r="AC136" s="231">
        <f t="shared" si="51"/>
        <v>28.769529087912076</v>
      </c>
      <c r="AD136" s="232">
        <f t="shared" si="52"/>
        <v>0</v>
      </c>
      <c r="AE136" s="232">
        <f t="shared" si="53"/>
        <v>1</v>
      </c>
      <c r="AF136" s="232">
        <f t="shared" si="39"/>
        <v>80</v>
      </c>
      <c r="AG136" s="232">
        <f t="shared" si="40"/>
        <v>4</v>
      </c>
      <c r="AH136" s="236">
        <f t="shared" si="54"/>
        <v>0.05</v>
      </c>
      <c r="AI136" s="231">
        <f t="shared" si="55"/>
        <v>34.281616999999883</v>
      </c>
      <c r="AJ136" s="232">
        <f t="shared" si="56"/>
        <v>0</v>
      </c>
      <c r="AL136" s="3">
        <f t="shared" si="62"/>
        <v>4</v>
      </c>
    </row>
    <row r="137" spans="1:38" ht="14.1" customHeight="1" x14ac:dyDescent="0.2">
      <c r="A137" s="240" t="s">
        <v>462</v>
      </c>
      <c r="B137" s="282" t="s">
        <v>523</v>
      </c>
      <c r="C137" s="32">
        <f t="shared" si="61"/>
        <v>33</v>
      </c>
      <c r="D137" s="32">
        <f t="shared" si="58"/>
        <v>42</v>
      </c>
      <c r="E137" s="32">
        <f t="shared" si="59"/>
        <v>44</v>
      </c>
      <c r="F137" s="283" t="s">
        <v>44</v>
      </c>
      <c r="G137" s="283" t="s">
        <v>45</v>
      </c>
      <c r="H137" s="32">
        <v>2</v>
      </c>
      <c r="I137" s="32">
        <v>1</v>
      </c>
      <c r="J137" s="65">
        <v>0</v>
      </c>
      <c r="K137" s="229"/>
      <c r="L137" s="303">
        <v>1</v>
      </c>
      <c r="M137" s="304">
        <f t="shared" ref="M137:M200" si="63">+W137</f>
        <v>0.12195121951219512</v>
      </c>
      <c r="N137" s="303">
        <f t="shared" ref="N137:N200" si="64">+IF(Y137=1,Y137,"")</f>
        <v>1</v>
      </c>
      <c r="O137" s="303">
        <f t="shared" si="41"/>
        <v>1</v>
      </c>
      <c r="P137" s="304">
        <f t="shared" si="42"/>
        <v>0.16483516483516483</v>
      </c>
      <c r="Q137" s="303" t="str">
        <f t="shared" si="43"/>
        <v/>
      </c>
      <c r="R137" s="303">
        <f t="shared" si="44"/>
        <v>1</v>
      </c>
      <c r="S137" s="304">
        <f t="shared" si="45"/>
        <v>0.05</v>
      </c>
      <c r="T137" s="74" t="str">
        <f t="shared" si="46"/>
        <v/>
      </c>
      <c r="V137" s="55">
        <f t="shared" si="47"/>
        <v>123</v>
      </c>
      <c r="W137" s="233">
        <f t="shared" ref="W137:W200" si="65">+MIN(1,$D$5/V137)</f>
        <v>0.12195121951219512</v>
      </c>
      <c r="X137" s="231">
        <f t="shared" si="48"/>
        <v>32.04747065853654</v>
      </c>
      <c r="Y137" s="232">
        <f t="shared" si="49"/>
        <v>1</v>
      </c>
      <c r="Z137" s="232">
        <f t="shared" si="50"/>
        <v>1</v>
      </c>
      <c r="AA137" s="232">
        <f t="shared" ref="AA137:AA200" si="66">IF(B137=B136,AA136,COUNTIFS(B:B,B137,I:I,"&gt;0"))</f>
        <v>91</v>
      </c>
      <c r="AB137" s="233">
        <f t="shared" ref="AB137:AB200" si="67">+I137*MIN(1,$D$5/AA137)</f>
        <v>0.16483516483516483</v>
      </c>
      <c r="AC137" s="231">
        <f t="shared" si="51"/>
        <v>28.93436425274724</v>
      </c>
      <c r="AD137" s="232">
        <f t="shared" si="52"/>
        <v>0</v>
      </c>
      <c r="AE137" s="232">
        <f t="shared" si="53"/>
        <v>1</v>
      </c>
      <c r="AF137" s="232">
        <f t="shared" ref="AF137:AF200" si="68">+COUNTIFS(B:B,B137,AE:AE,AE137)</f>
        <v>80</v>
      </c>
      <c r="AG137" s="232">
        <f t="shared" ref="AG137:AG200" si="69">IF(OR(AF137=0,AE137=0),0,IF(AE137=2,ROUND(MIN($D$5*(AF137^$F$5)/(AF137^$F$5+(AA137-AF137)^$F$5),AF137),0),IF(AF137=0,0,MIN($D$5,AA137)-IF(AA137=AF137,0,ROUND(MIN((AE137&gt;0)*$D$5*((AA137-AF137)^$F$5)/((AA137-AF137)^$F$5+AF137^$F$5),AA137-AF137),0)))))</f>
        <v>4</v>
      </c>
      <c r="AH137" s="236">
        <f t="shared" si="54"/>
        <v>0.05</v>
      </c>
      <c r="AI137" s="231">
        <f t="shared" si="55"/>
        <v>34.331616999999881</v>
      </c>
      <c r="AJ137" s="232">
        <f t="shared" si="56"/>
        <v>0</v>
      </c>
      <c r="AL137" s="3">
        <f t="shared" si="62"/>
        <v>4</v>
      </c>
    </row>
    <row r="138" spans="1:38" ht="14.1" customHeight="1" x14ac:dyDescent="0.2">
      <c r="A138" s="240" t="s">
        <v>462</v>
      </c>
      <c r="B138" s="282" t="s">
        <v>523</v>
      </c>
      <c r="C138" s="32">
        <v>33</v>
      </c>
      <c r="D138" s="32">
        <f t="shared" si="58"/>
        <v>43</v>
      </c>
      <c r="E138" s="32">
        <f t="shared" si="59"/>
        <v>45</v>
      </c>
      <c r="F138" s="283" t="s">
        <v>44</v>
      </c>
      <c r="G138" s="283" t="s">
        <v>45</v>
      </c>
      <c r="H138" s="32">
        <v>6</v>
      </c>
      <c r="I138" s="32">
        <v>1</v>
      </c>
      <c r="J138" s="65">
        <v>0</v>
      </c>
      <c r="K138" s="229"/>
      <c r="L138" s="303">
        <v>1</v>
      </c>
      <c r="M138" s="304">
        <f t="shared" si="63"/>
        <v>0.12195121951219512</v>
      </c>
      <c r="N138" s="303" t="str">
        <f t="shared" si="64"/>
        <v/>
      </c>
      <c r="O138" s="303">
        <f t="shared" ref="O138:O201" si="70">+Z138</f>
        <v>1</v>
      </c>
      <c r="P138" s="304">
        <f t="shared" ref="P138:P201" si="71">+AB138</f>
        <v>0.16483516483516483</v>
      </c>
      <c r="Q138" s="303">
        <f t="shared" ref="Q138:Q201" si="72">IF(AD138=1,AD138,"")</f>
        <v>1</v>
      </c>
      <c r="R138" s="303">
        <f t="shared" ref="R138:R201" si="73">+AE138</f>
        <v>1</v>
      </c>
      <c r="S138" s="304">
        <f t="shared" ref="S138:S201" si="74">+AH138</f>
        <v>0.05</v>
      </c>
      <c r="T138" s="74" t="str">
        <f t="shared" ref="T138:T201" si="75">IF(AJ138=1,AJ138,"")</f>
        <v/>
      </c>
      <c r="V138" s="55">
        <f t="shared" ref="V138:V201" si="76">+IF(B138=B137,V137,COUNTIFS(B:B,B138,H:H,"&gt;0"))</f>
        <v>123</v>
      </c>
      <c r="W138" s="233">
        <f t="shared" si="65"/>
        <v>0.12195121951219512</v>
      </c>
      <c r="X138" s="231">
        <f t="shared" ref="X138:X201" si="77">+W138+X137</f>
        <v>32.169421878048738</v>
      </c>
      <c r="Y138" s="232">
        <f t="shared" ref="Y138:Y201" si="78">+INT(X138)-INT(X137)</f>
        <v>0</v>
      </c>
      <c r="Z138" s="232">
        <f t="shared" ref="Z138:Z201" si="79">1*(I138&gt;0)</f>
        <v>1</v>
      </c>
      <c r="AA138" s="232">
        <f t="shared" si="66"/>
        <v>91</v>
      </c>
      <c r="AB138" s="233">
        <f t="shared" si="67"/>
        <v>0.16483516483516483</v>
      </c>
      <c r="AC138" s="231">
        <f t="shared" ref="AC138:AC201" si="80">+AB138+AC137</f>
        <v>29.099199417582405</v>
      </c>
      <c r="AD138" s="232">
        <f t="shared" ref="AD138:AD201" si="81">+INT(AC138)-INT(AC137)</f>
        <v>1</v>
      </c>
      <c r="AE138" s="232">
        <f t="shared" ref="AE138:AE201" si="82">+(J138&gt;0)+(I138&gt;0)</f>
        <v>1</v>
      </c>
      <c r="AF138" s="232">
        <f t="shared" si="68"/>
        <v>80</v>
      </c>
      <c r="AG138" s="232">
        <f t="shared" si="69"/>
        <v>4</v>
      </c>
      <c r="AH138" s="236">
        <f t="shared" ref="AH138:AH201" si="83">+MIN(1,AG138/AF138)</f>
        <v>0.05</v>
      </c>
      <c r="AI138" s="231">
        <f t="shared" ref="AI138:AI201" si="84">+AH138+AI137</f>
        <v>34.381616999999878</v>
      </c>
      <c r="AJ138" s="232">
        <f t="shared" ref="AJ138:AJ201" si="85">+INT(AI138)-INT(AI137)</f>
        <v>0</v>
      </c>
      <c r="AL138" s="3">
        <f t="shared" si="62"/>
        <v>4</v>
      </c>
    </row>
    <row r="139" spans="1:38" ht="14.1" customHeight="1" x14ac:dyDescent="0.2">
      <c r="A139" s="240" t="s">
        <v>462</v>
      </c>
      <c r="B139" s="282" t="s">
        <v>523</v>
      </c>
      <c r="C139" s="32">
        <v>33</v>
      </c>
      <c r="D139" s="32">
        <f t="shared" ref="D139:D202" si="86">1+D138</f>
        <v>44</v>
      </c>
      <c r="E139" s="32">
        <f t="shared" ref="E139:E202" si="87">1+E138</f>
        <v>46</v>
      </c>
      <c r="F139" s="283" t="s">
        <v>44</v>
      </c>
      <c r="G139" s="283" t="s">
        <v>45</v>
      </c>
      <c r="H139" s="32">
        <v>1</v>
      </c>
      <c r="I139" s="32">
        <v>1</v>
      </c>
      <c r="J139" s="65">
        <v>0</v>
      </c>
      <c r="K139" s="229"/>
      <c r="L139" s="303">
        <v>1</v>
      </c>
      <c r="M139" s="304">
        <f t="shared" si="63"/>
        <v>0.12195121951219512</v>
      </c>
      <c r="N139" s="303" t="str">
        <f t="shared" si="64"/>
        <v/>
      </c>
      <c r="O139" s="303">
        <f t="shared" si="70"/>
        <v>1</v>
      </c>
      <c r="P139" s="304">
        <f t="shared" si="71"/>
        <v>0.16483516483516483</v>
      </c>
      <c r="Q139" s="303" t="str">
        <f t="shared" si="72"/>
        <v/>
      </c>
      <c r="R139" s="303">
        <f t="shared" si="73"/>
        <v>1</v>
      </c>
      <c r="S139" s="304">
        <f t="shared" si="74"/>
        <v>0.05</v>
      </c>
      <c r="T139" s="74" t="str">
        <f t="shared" si="75"/>
        <v/>
      </c>
      <c r="V139" s="55">
        <f t="shared" si="76"/>
        <v>123</v>
      </c>
      <c r="W139" s="233">
        <f t="shared" si="65"/>
        <v>0.12195121951219512</v>
      </c>
      <c r="X139" s="231">
        <f t="shared" si="77"/>
        <v>32.291373097560935</v>
      </c>
      <c r="Y139" s="232">
        <f t="shared" si="78"/>
        <v>0</v>
      </c>
      <c r="Z139" s="232">
        <f t="shared" si="79"/>
        <v>1</v>
      </c>
      <c r="AA139" s="232">
        <f t="shared" si="66"/>
        <v>91</v>
      </c>
      <c r="AB139" s="233">
        <f t="shared" si="67"/>
        <v>0.16483516483516483</v>
      </c>
      <c r="AC139" s="231">
        <f t="shared" si="80"/>
        <v>29.264034582417569</v>
      </c>
      <c r="AD139" s="232">
        <f t="shared" si="81"/>
        <v>0</v>
      </c>
      <c r="AE139" s="232">
        <f t="shared" si="82"/>
        <v>1</v>
      </c>
      <c r="AF139" s="232">
        <f t="shared" si="68"/>
        <v>80</v>
      </c>
      <c r="AG139" s="232">
        <f t="shared" si="69"/>
        <v>4</v>
      </c>
      <c r="AH139" s="236">
        <f t="shared" si="83"/>
        <v>0.05</v>
      </c>
      <c r="AI139" s="231">
        <f t="shared" si="84"/>
        <v>34.431616999999875</v>
      </c>
      <c r="AJ139" s="232">
        <f t="shared" si="85"/>
        <v>0</v>
      </c>
      <c r="AL139" s="3">
        <f t="shared" si="62"/>
        <v>4</v>
      </c>
    </row>
    <row r="140" spans="1:38" ht="14.1" customHeight="1" x14ac:dyDescent="0.2">
      <c r="A140" s="240" t="s">
        <v>462</v>
      </c>
      <c r="B140" s="282" t="s">
        <v>523</v>
      </c>
      <c r="C140" s="32">
        <v>33</v>
      </c>
      <c r="D140" s="32">
        <f t="shared" si="86"/>
        <v>45</v>
      </c>
      <c r="E140" s="32">
        <f t="shared" si="87"/>
        <v>47</v>
      </c>
      <c r="F140" s="283" t="s">
        <v>44</v>
      </c>
      <c r="G140" s="283" t="s">
        <v>45</v>
      </c>
      <c r="H140" s="32">
        <v>4</v>
      </c>
      <c r="I140" s="32">
        <v>1</v>
      </c>
      <c r="J140" s="65">
        <v>0</v>
      </c>
      <c r="K140" s="229"/>
      <c r="L140" s="303">
        <v>1</v>
      </c>
      <c r="M140" s="304">
        <f t="shared" si="63"/>
        <v>0.12195121951219512</v>
      </c>
      <c r="N140" s="303" t="str">
        <f t="shared" si="64"/>
        <v/>
      </c>
      <c r="O140" s="303">
        <f t="shared" si="70"/>
        <v>1</v>
      </c>
      <c r="P140" s="304">
        <f t="shared" si="71"/>
        <v>0.16483516483516483</v>
      </c>
      <c r="Q140" s="303" t="str">
        <f t="shared" si="72"/>
        <v/>
      </c>
      <c r="R140" s="303">
        <f t="shared" si="73"/>
        <v>1</v>
      </c>
      <c r="S140" s="304">
        <f t="shared" si="74"/>
        <v>0.05</v>
      </c>
      <c r="T140" s="74" t="str">
        <f t="shared" si="75"/>
        <v/>
      </c>
      <c r="V140" s="55">
        <f t="shared" si="76"/>
        <v>123</v>
      </c>
      <c r="W140" s="233">
        <f t="shared" si="65"/>
        <v>0.12195121951219512</v>
      </c>
      <c r="X140" s="231">
        <f t="shared" si="77"/>
        <v>32.413324317073133</v>
      </c>
      <c r="Y140" s="232">
        <f t="shared" si="78"/>
        <v>0</v>
      </c>
      <c r="Z140" s="232">
        <f t="shared" si="79"/>
        <v>1</v>
      </c>
      <c r="AA140" s="232">
        <f t="shared" si="66"/>
        <v>91</v>
      </c>
      <c r="AB140" s="233">
        <f t="shared" si="67"/>
        <v>0.16483516483516483</v>
      </c>
      <c r="AC140" s="231">
        <f t="shared" si="80"/>
        <v>29.428869747252733</v>
      </c>
      <c r="AD140" s="232">
        <f t="shared" si="81"/>
        <v>0</v>
      </c>
      <c r="AE140" s="232">
        <f t="shared" si="82"/>
        <v>1</v>
      </c>
      <c r="AF140" s="232">
        <f t="shared" si="68"/>
        <v>80</v>
      </c>
      <c r="AG140" s="232">
        <f t="shared" si="69"/>
        <v>4</v>
      </c>
      <c r="AH140" s="236">
        <f t="shared" si="83"/>
        <v>0.05</v>
      </c>
      <c r="AI140" s="231">
        <f t="shared" si="84"/>
        <v>34.481616999999872</v>
      </c>
      <c r="AJ140" s="232">
        <f t="shared" si="85"/>
        <v>0</v>
      </c>
      <c r="AL140" s="3">
        <f t="shared" si="62"/>
        <v>4</v>
      </c>
    </row>
    <row r="141" spans="1:38" ht="14.1" customHeight="1" x14ac:dyDescent="0.2">
      <c r="A141" s="240" t="s">
        <v>462</v>
      </c>
      <c r="B141" s="282" t="s">
        <v>523</v>
      </c>
      <c r="C141" s="32">
        <v>33</v>
      </c>
      <c r="D141" s="32">
        <f t="shared" si="86"/>
        <v>46</v>
      </c>
      <c r="E141" s="32">
        <f t="shared" si="87"/>
        <v>48</v>
      </c>
      <c r="F141" s="283" t="s">
        <v>44</v>
      </c>
      <c r="G141" s="283" t="s">
        <v>45</v>
      </c>
      <c r="H141" s="32">
        <v>2</v>
      </c>
      <c r="I141" s="32">
        <v>1</v>
      </c>
      <c r="J141" s="65">
        <v>0</v>
      </c>
      <c r="K141" s="229"/>
      <c r="L141" s="303">
        <v>1</v>
      </c>
      <c r="M141" s="304">
        <f t="shared" si="63"/>
        <v>0.12195121951219512</v>
      </c>
      <c r="N141" s="303" t="str">
        <f t="shared" si="64"/>
        <v/>
      </c>
      <c r="O141" s="303">
        <f t="shared" si="70"/>
        <v>1</v>
      </c>
      <c r="P141" s="304">
        <f t="shared" si="71"/>
        <v>0.16483516483516483</v>
      </c>
      <c r="Q141" s="303" t="str">
        <f t="shared" si="72"/>
        <v/>
      </c>
      <c r="R141" s="303">
        <f t="shared" si="73"/>
        <v>1</v>
      </c>
      <c r="S141" s="304">
        <f t="shared" si="74"/>
        <v>0.05</v>
      </c>
      <c r="T141" s="74" t="str">
        <f t="shared" si="75"/>
        <v/>
      </c>
      <c r="V141" s="55">
        <f t="shared" si="76"/>
        <v>123</v>
      </c>
      <c r="W141" s="233">
        <f t="shared" si="65"/>
        <v>0.12195121951219512</v>
      </c>
      <c r="X141" s="231">
        <f t="shared" si="77"/>
        <v>32.535275536585331</v>
      </c>
      <c r="Y141" s="232">
        <f t="shared" si="78"/>
        <v>0</v>
      </c>
      <c r="Z141" s="232">
        <f t="shared" si="79"/>
        <v>1</v>
      </c>
      <c r="AA141" s="232">
        <f t="shared" si="66"/>
        <v>91</v>
      </c>
      <c r="AB141" s="233">
        <f t="shared" si="67"/>
        <v>0.16483516483516483</v>
      </c>
      <c r="AC141" s="231">
        <f t="shared" si="80"/>
        <v>29.593704912087897</v>
      </c>
      <c r="AD141" s="232">
        <f t="shared" si="81"/>
        <v>0</v>
      </c>
      <c r="AE141" s="232">
        <f t="shared" si="82"/>
        <v>1</v>
      </c>
      <c r="AF141" s="232">
        <f t="shared" si="68"/>
        <v>80</v>
      </c>
      <c r="AG141" s="232">
        <f t="shared" si="69"/>
        <v>4</v>
      </c>
      <c r="AH141" s="236">
        <f t="shared" si="83"/>
        <v>0.05</v>
      </c>
      <c r="AI141" s="231">
        <f t="shared" si="84"/>
        <v>34.531616999999869</v>
      </c>
      <c r="AJ141" s="232">
        <f t="shared" si="85"/>
        <v>0</v>
      </c>
      <c r="AL141" s="3">
        <f t="shared" si="62"/>
        <v>4</v>
      </c>
    </row>
    <row r="142" spans="1:38" ht="14.1" customHeight="1" x14ac:dyDescent="0.2">
      <c r="A142" s="240" t="s">
        <v>462</v>
      </c>
      <c r="B142" s="282" t="s">
        <v>523</v>
      </c>
      <c r="C142" s="32">
        <v>33</v>
      </c>
      <c r="D142" s="32">
        <f t="shared" si="86"/>
        <v>47</v>
      </c>
      <c r="E142" s="32">
        <f t="shared" si="87"/>
        <v>49</v>
      </c>
      <c r="F142" s="283" t="s">
        <v>44</v>
      </c>
      <c r="G142" s="283" t="s">
        <v>45</v>
      </c>
      <c r="H142" s="32">
        <v>7</v>
      </c>
      <c r="I142" s="32">
        <v>1</v>
      </c>
      <c r="J142" s="65">
        <v>0</v>
      </c>
      <c r="K142" s="229"/>
      <c r="L142" s="303">
        <v>1</v>
      </c>
      <c r="M142" s="304">
        <f t="shared" si="63"/>
        <v>0.12195121951219512</v>
      </c>
      <c r="N142" s="303" t="str">
        <f t="shared" si="64"/>
        <v/>
      </c>
      <c r="O142" s="303">
        <f t="shared" si="70"/>
        <v>1</v>
      </c>
      <c r="P142" s="304">
        <f t="shared" si="71"/>
        <v>0.16483516483516483</v>
      </c>
      <c r="Q142" s="303" t="str">
        <f t="shared" si="72"/>
        <v/>
      </c>
      <c r="R142" s="303">
        <f t="shared" si="73"/>
        <v>1</v>
      </c>
      <c r="S142" s="304">
        <f t="shared" si="74"/>
        <v>0.05</v>
      </c>
      <c r="T142" s="74" t="str">
        <f t="shared" si="75"/>
        <v/>
      </c>
      <c r="U142" s="229"/>
      <c r="V142" s="55">
        <f t="shared" si="76"/>
        <v>123</v>
      </c>
      <c r="W142" s="233">
        <f t="shared" si="65"/>
        <v>0.12195121951219512</v>
      </c>
      <c r="X142" s="231">
        <f t="shared" si="77"/>
        <v>32.657226756097529</v>
      </c>
      <c r="Y142" s="232">
        <f t="shared" si="78"/>
        <v>0</v>
      </c>
      <c r="Z142" s="232">
        <f t="shared" si="79"/>
        <v>1</v>
      </c>
      <c r="AA142" s="232">
        <f t="shared" si="66"/>
        <v>91</v>
      </c>
      <c r="AB142" s="233">
        <f t="shared" si="67"/>
        <v>0.16483516483516483</v>
      </c>
      <c r="AC142" s="231">
        <f t="shared" si="80"/>
        <v>29.758540076923062</v>
      </c>
      <c r="AD142" s="232">
        <f t="shared" si="81"/>
        <v>0</v>
      </c>
      <c r="AE142" s="232">
        <f t="shared" si="82"/>
        <v>1</v>
      </c>
      <c r="AF142" s="232">
        <f t="shared" si="68"/>
        <v>80</v>
      </c>
      <c r="AG142" s="232">
        <f t="shared" si="69"/>
        <v>4</v>
      </c>
      <c r="AH142" s="236">
        <f t="shared" si="83"/>
        <v>0.05</v>
      </c>
      <c r="AI142" s="231">
        <f t="shared" si="84"/>
        <v>34.581616999999866</v>
      </c>
      <c r="AJ142" s="232">
        <f t="shared" si="85"/>
        <v>0</v>
      </c>
      <c r="AL142" s="3">
        <f t="shared" si="62"/>
        <v>4</v>
      </c>
    </row>
    <row r="143" spans="1:38" ht="14.1" customHeight="1" x14ac:dyDescent="0.2">
      <c r="A143" s="240" t="s">
        <v>462</v>
      </c>
      <c r="B143" s="282" t="s">
        <v>523</v>
      </c>
      <c r="C143" s="32">
        <v>33</v>
      </c>
      <c r="D143" s="32">
        <f t="shared" si="86"/>
        <v>48</v>
      </c>
      <c r="E143" s="32">
        <f t="shared" si="87"/>
        <v>50</v>
      </c>
      <c r="F143" s="283" t="s">
        <v>44</v>
      </c>
      <c r="G143" s="283" t="s">
        <v>45</v>
      </c>
      <c r="H143" s="32">
        <v>2</v>
      </c>
      <c r="I143" s="32">
        <v>1</v>
      </c>
      <c r="J143" s="65">
        <v>0</v>
      </c>
      <c r="L143" s="303">
        <v>1</v>
      </c>
      <c r="M143" s="304">
        <f t="shared" si="63"/>
        <v>0.12195121951219512</v>
      </c>
      <c r="N143" s="303" t="str">
        <f t="shared" si="64"/>
        <v/>
      </c>
      <c r="O143" s="303">
        <f t="shared" si="70"/>
        <v>1</v>
      </c>
      <c r="P143" s="304">
        <f t="shared" si="71"/>
        <v>0.16483516483516483</v>
      </c>
      <c r="Q143" s="303" t="str">
        <f t="shared" si="72"/>
        <v/>
      </c>
      <c r="R143" s="303">
        <f t="shared" si="73"/>
        <v>1</v>
      </c>
      <c r="S143" s="304">
        <f t="shared" si="74"/>
        <v>0.05</v>
      </c>
      <c r="T143" s="74" t="str">
        <f t="shared" si="75"/>
        <v/>
      </c>
      <c r="V143" s="55">
        <f t="shared" si="76"/>
        <v>123</v>
      </c>
      <c r="W143" s="233">
        <f t="shared" si="65"/>
        <v>0.12195121951219512</v>
      </c>
      <c r="X143" s="231">
        <f t="shared" si="77"/>
        <v>32.779177975609727</v>
      </c>
      <c r="Y143" s="232">
        <f t="shared" si="78"/>
        <v>0</v>
      </c>
      <c r="Z143" s="232">
        <f t="shared" si="79"/>
        <v>1</v>
      </c>
      <c r="AA143" s="232">
        <f t="shared" si="66"/>
        <v>91</v>
      </c>
      <c r="AB143" s="233">
        <f t="shared" si="67"/>
        <v>0.16483516483516483</v>
      </c>
      <c r="AC143" s="231">
        <f t="shared" si="80"/>
        <v>29.923375241758226</v>
      </c>
      <c r="AD143" s="232">
        <f t="shared" si="81"/>
        <v>0</v>
      </c>
      <c r="AE143" s="232">
        <f t="shared" si="82"/>
        <v>1</v>
      </c>
      <c r="AF143" s="232">
        <f t="shared" si="68"/>
        <v>80</v>
      </c>
      <c r="AG143" s="232">
        <f t="shared" si="69"/>
        <v>4</v>
      </c>
      <c r="AH143" s="236">
        <f t="shared" si="83"/>
        <v>0.05</v>
      </c>
      <c r="AI143" s="231">
        <f t="shared" si="84"/>
        <v>34.631616999999864</v>
      </c>
      <c r="AJ143" s="232">
        <f t="shared" si="85"/>
        <v>0</v>
      </c>
      <c r="AL143" s="3">
        <f t="shared" si="62"/>
        <v>4</v>
      </c>
    </row>
    <row r="144" spans="1:38" s="7" customFormat="1" ht="14.1" customHeight="1" x14ac:dyDescent="0.2">
      <c r="A144" s="240" t="s">
        <v>462</v>
      </c>
      <c r="B144" s="282" t="s">
        <v>523</v>
      </c>
      <c r="C144" s="32">
        <v>33</v>
      </c>
      <c r="D144" s="32">
        <f t="shared" si="86"/>
        <v>49</v>
      </c>
      <c r="E144" s="32">
        <f t="shared" si="87"/>
        <v>51</v>
      </c>
      <c r="F144" s="283" t="s">
        <v>44</v>
      </c>
      <c r="G144" s="283" t="s">
        <v>45</v>
      </c>
      <c r="H144" s="32">
        <v>1</v>
      </c>
      <c r="I144" s="32">
        <v>1</v>
      </c>
      <c r="J144" s="65">
        <v>0</v>
      </c>
      <c r="K144" s="40"/>
      <c r="L144" s="303">
        <v>1</v>
      </c>
      <c r="M144" s="304">
        <f t="shared" si="63"/>
        <v>0.12195121951219512</v>
      </c>
      <c r="N144" s="303" t="str">
        <f t="shared" si="64"/>
        <v/>
      </c>
      <c r="O144" s="303">
        <f t="shared" si="70"/>
        <v>1</v>
      </c>
      <c r="P144" s="304">
        <f t="shared" si="71"/>
        <v>0.16483516483516483</v>
      </c>
      <c r="Q144" s="303">
        <f t="shared" si="72"/>
        <v>1</v>
      </c>
      <c r="R144" s="303">
        <f t="shared" si="73"/>
        <v>1</v>
      </c>
      <c r="S144" s="304">
        <f t="shared" si="74"/>
        <v>0.05</v>
      </c>
      <c r="T144" s="74" t="str">
        <f t="shared" si="75"/>
        <v/>
      </c>
      <c r="U144" s="40"/>
      <c r="V144" s="55">
        <f t="shared" si="76"/>
        <v>123</v>
      </c>
      <c r="W144" s="233">
        <f t="shared" si="65"/>
        <v>0.12195121951219512</v>
      </c>
      <c r="X144" s="231">
        <f t="shared" si="77"/>
        <v>32.901129195121925</v>
      </c>
      <c r="Y144" s="232">
        <f t="shared" si="78"/>
        <v>0</v>
      </c>
      <c r="Z144" s="232">
        <f t="shared" si="79"/>
        <v>1</v>
      </c>
      <c r="AA144" s="232">
        <f t="shared" si="66"/>
        <v>91</v>
      </c>
      <c r="AB144" s="233">
        <f t="shared" si="67"/>
        <v>0.16483516483516483</v>
      </c>
      <c r="AC144" s="231">
        <f t="shared" si="80"/>
        <v>30.08821040659339</v>
      </c>
      <c r="AD144" s="232">
        <f t="shared" si="81"/>
        <v>1</v>
      </c>
      <c r="AE144" s="232">
        <f t="shared" si="82"/>
        <v>1</v>
      </c>
      <c r="AF144" s="232">
        <f t="shared" si="68"/>
        <v>80</v>
      </c>
      <c r="AG144" s="232">
        <f t="shared" si="69"/>
        <v>4</v>
      </c>
      <c r="AH144" s="236">
        <f t="shared" si="83"/>
        <v>0.05</v>
      </c>
      <c r="AI144" s="231">
        <f t="shared" si="84"/>
        <v>34.681616999999861</v>
      </c>
      <c r="AJ144" s="232">
        <f t="shared" si="85"/>
        <v>0</v>
      </c>
      <c r="AK144" s="43"/>
      <c r="AL144" s="3">
        <f t="shared" si="62"/>
        <v>4</v>
      </c>
    </row>
    <row r="145" spans="1:38" ht="14.1" customHeight="1" x14ac:dyDescent="0.2">
      <c r="A145" s="240" t="s">
        <v>462</v>
      </c>
      <c r="B145" s="282" t="s">
        <v>523</v>
      </c>
      <c r="C145" s="32">
        <v>33</v>
      </c>
      <c r="D145" s="32">
        <v>49</v>
      </c>
      <c r="E145" s="32">
        <f t="shared" si="87"/>
        <v>52</v>
      </c>
      <c r="F145" s="283" t="s">
        <v>44</v>
      </c>
      <c r="G145" s="283" t="s">
        <v>45</v>
      </c>
      <c r="H145" s="32">
        <v>4</v>
      </c>
      <c r="I145" s="32">
        <v>1</v>
      </c>
      <c r="J145" s="65">
        <v>0</v>
      </c>
      <c r="L145" s="303">
        <v>1</v>
      </c>
      <c r="M145" s="304">
        <f t="shared" si="63"/>
        <v>0.12195121951219512</v>
      </c>
      <c r="N145" s="303">
        <f t="shared" si="64"/>
        <v>1</v>
      </c>
      <c r="O145" s="303">
        <f t="shared" si="70"/>
        <v>1</v>
      </c>
      <c r="P145" s="304">
        <f t="shared" si="71"/>
        <v>0.16483516483516483</v>
      </c>
      <c r="Q145" s="303" t="str">
        <f t="shared" si="72"/>
        <v/>
      </c>
      <c r="R145" s="303">
        <f t="shared" si="73"/>
        <v>1</v>
      </c>
      <c r="S145" s="304">
        <f t="shared" si="74"/>
        <v>0.05</v>
      </c>
      <c r="T145" s="74" t="str">
        <f t="shared" si="75"/>
        <v/>
      </c>
      <c r="V145" s="55">
        <f t="shared" si="76"/>
        <v>123</v>
      </c>
      <c r="W145" s="233">
        <f t="shared" si="65"/>
        <v>0.12195121951219512</v>
      </c>
      <c r="X145" s="231">
        <f t="shared" si="77"/>
        <v>33.023080414634123</v>
      </c>
      <c r="Y145" s="232">
        <f t="shared" si="78"/>
        <v>1</v>
      </c>
      <c r="Z145" s="232">
        <f t="shared" si="79"/>
        <v>1</v>
      </c>
      <c r="AA145" s="232">
        <f t="shared" si="66"/>
        <v>91</v>
      </c>
      <c r="AB145" s="233">
        <f t="shared" si="67"/>
        <v>0.16483516483516483</v>
      </c>
      <c r="AC145" s="231">
        <f t="shared" si="80"/>
        <v>30.253045571428554</v>
      </c>
      <c r="AD145" s="232">
        <f t="shared" si="81"/>
        <v>0</v>
      </c>
      <c r="AE145" s="232">
        <f t="shared" si="82"/>
        <v>1</v>
      </c>
      <c r="AF145" s="232">
        <f t="shared" si="68"/>
        <v>80</v>
      </c>
      <c r="AG145" s="232">
        <f t="shared" si="69"/>
        <v>4</v>
      </c>
      <c r="AH145" s="236">
        <f t="shared" si="83"/>
        <v>0.05</v>
      </c>
      <c r="AI145" s="231">
        <f t="shared" si="84"/>
        <v>34.731616999999858</v>
      </c>
      <c r="AJ145" s="232">
        <f t="shared" si="85"/>
        <v>0</v>
      </c>
      <c r="AL145" s="3">
        <f t="shared" si="62"/>
        <v>4</v>
      </c>
    </row>
    <row r="146" spans="1:38" ht="14.1" customHeight="1" x14ac:dyDescent="0.2">
      <c r="A146" s="240" t="s">
        <v>462</v>
      </c>
      <c r="B146" s="282" t="s">
        <v>523</v>
      </c>
      <c r="C146" s="32">
        <v>33</v>
      </c>
      <c r="D146" s="32">
        <v>49</v>
      </c>
      <c r="E146" s="32">
        <f t="shared" si="87"/>
        <v>53</v>
      </c>
      <c r="F146" s="283" t="s">
        <v>44</v>
      </c>
      <c r="G146" s="283" t="s">
        <v>45</v>
      </c>
      <c r="H146" s="32">
        <v>6</v>
      </c>
      <c r="I146" s="32">
        <v>1</v>
      </c>
      <c r="J146" s="65">
        <v>0</v>
      </c>
      <c r="L146" s="303">
        <v>1</v>
      </c>
      <c r="M146" s="304">
        <f t="shared" si="63"/>
        <v>0.12195121951219512</v>
      </c>
      <c r="N146" s="303" t="str">
        <f t="shared" si="64"/>
        <v/>
      </c>
      <c r="O146" s="303">
        <f t="shared" si="70"/>
        <v>1</v>
      </c>
      <c r="P146" s="304">
        <f t="shared" si="71"/>
        <v>0.16483516483516483</v>
      </c>
      <c r="Q146" s="303" t="str">
        <f t="shared" si="72"/>
        <v/>
      </c>
      <c r="R146" s="303">
        <f t="shared" si="73"/>
        <v>1</v>
      </c>
      <c r="S146" s="304">
        <f t="shared" si="74"/>
        <v>0.05</v>
      </c>
      <c r="T146" s="74" t="str">
        <f t="shared" si="75"/>
        <v/>
      </c>
      <c r="V146" s="55">
        <f t="shared" si="76"/>
        <v>123</v>
      </c>
      <c r="W146" s="233">
        <f t="shared" si="65"/>
        <v>0.12195121951219512</v>
      </c>
      <c r="X146" s="231">
        <f t="shared" si="77"/>
        <v>33.145031634146321</v>
      </c>
      <c r="Y146" s="232">
        <f t="shared" si="78"/>
        <v>0</v>
      </c>
      <c r="Z146" s="232">
        <f t="shared" si="79"/>
        <v>1</v>
      </c>
      <c r="AA146" s="232">
        <f t="shared" si="66"/>
        <v>91</v>
      </c>
      <c r="AB146" s="233">
        <f t="shared" si="67"/>
        <v>0.16483516483516483</v>
      </c>
      <c r="AC146" s="231">
        <f t="shared" si="80"/>
        <v>30.417880736263719</v>
      </c>
      <c r="AD146" s="232">
        <f t="shared" si="81"/>
        <v>0</v>
      </c>
      <c r="AE146" s="232">
        <f t="shared" si="82"/>
        <v>1</v>
      </c>
      <c r="AF146" s="232">
        <f t="shared" si="68"/>
        <v>80</v>
      </c>
      <c r="AG146" s="232">
        <f t="shared" si="69"/>
        <v>4</v>
      </c>
      <c r="AH146" s="236">
        <f t="shared" si="83"/>
        <v>0.05</v>
      </c>
      <c r="AI146" s="231">
        <f t="shared" si="84"/>
        <v>34.781616999999855</v>
      </c>
      <c r="AJ146" s="232">
        <f t="shared" si="85"/>
        <v>0</v>
      </c>
      <c r="AL146" s="3">
        <f t="shared" si="62"/>
        <v>4</v>
      </c>
    </row>
    <row r="147" spans="1:38" ht="14.1" customHeight="1" x14ac:dyDescent="0.2">
      <c r="A147" s="240" t="s">
        <v>462</v>
      </c>
      <c r="B147" s="282" t="s">
        <v>523</v>
      </c>
      <c r="C147" s="32">
        <v>33</v>
      </c>
      <c r="D147" s="32">
        <f t="shared" si="86"/>
        <v>50</v>
      </c>
      <c r="E147" s="32">
        <f t="shared" si="87"/>
        <v>54</v>
      </c>
      <c r="F147" s="283" t="s">
        <v>44</v>
      </c>
      <c r="G147" s="283" t="s">
        <v>45</v>
      </c>
      <c r="H147" s="32">
        <v>4</v>
      </c>
      <c r="I147" s="32">
        <v>1</v>
      </c>
      <c r="J147" s="65">
        <v>0</v>
      </c>
      <c r="L147" s="303">
        <v>1</v>
      </c>
      <c r="M147" s="304">
        <f t="shared" si="63"/>
        <v>0.12195121951219512</v>
      </c>
      <c r="N147" s="303" t="str">
        <f t="shared" si="64"/>
        <v/>
      </c>
      <c r="O147" s="303">
        <f t="shared" si="70"/>
        <v>1</v>
      </c>
      <c r="P147" s="304">
        <f t="shared" si="71"/>
        <v>0.16483516483516483</v>
      </c>
      <c r="Q147" s="303" t="str">
        <f t="shared" si="72"/>
        <v/>
      </c>
      <c r="R147" s="303">
        <f t="shared" si="73"/>
        <v>1</v>
      </c>
      <c r="S147" s="304">
        <f t="shared" si="74"/>
        <v>0.05</v>
      </c>
      <c r="T147" s="74" t="str">
        <f t="shared" si="75"/>
        <v/>
      </c>
      <c r="V147" s="55">
        <f t="shared" si="76"/>
        <v>123</v>
      </c>
      <c r="W147" s="233">
        <f t="shared" si="65"/>
        <v>0.12195121951219512</v>
      </c>
      <c r="X147" s="231">
        <f t="shared" si="77"/>
        <v>33.266982853658519</v>
      </c>
      <c r="Y147" s="232">
        <f t="shared" si="78"/>
        <v>0</v>
      </c>
      <c r="Z147" s="232">
        <f t="shared" si="79"/>
        <v>1</v>
      </c>
      <c r="AA147" s="232">
        <f t="shared" si="66"/>
        <v>91</v>
      </c>
      <c r="AB147" s="233">
        <f t="shared" si="67"/>
        <v>0.16483516483516483</v>
      </c>
      <c r="AC147" s="231">
        <f t="shared" si="80"/>
        <v>30.582715901098883</v>
      </c>
      <c r="AD147" s="232">
        <f t="shared" si="81"/>
        <v>0</v>
      </c>
      <c r="AE147" s="232">
        <f t="shared" si="82"/>
        <v>1</v>
      </c>
      <c r="AF147" s="232">
        <f t="shared" si="68"/>
        <v>80</v>
      </c>
      <c r="AG147" s="232">
        <f t="shared" si="69"/>
        <v>4</v>
      </c>
      <c r="AH147" s="236">
        <f t="shared" si="83"/>
        <v>0.05</v>
      </c>
      <c r="AI147" s="231">
        <f t="shared" si="84"/>
        <v>34.831616999999852</v>
      </c>
      <c r="AJ147" s="232">
        <f t="shared" si="85"/>
        <v>0</v>
      </c>
      <c r="AL147" s="3">
        <f t="shared" si="62"/>
        <v>4</v>
      </c>
    </row>
    <row r="148" spans="1:38" ht="14.1" customHeight="1" x14ac:dyDescent="0.2">
      <c r="A148" s="240" t="s">
        <v>462</v>
      </c>
      <c r="B148" s="282" t="s">
        <v>523</v>
      </c>
      <c r="C148" s="32">
        <v>33</v>
      </c>
      <c r="D148" s="32">
        <f t="shared" si="86"/>
        <v>51</v>
      </c>
      <c r="E148" s="32">
        <f t="shared" si="87"/>
        <v>55</v>
      </c>
      <c r="F148" s="283" t="s">
        <v>44</v>
      </c>
      <c r="G148" s="283" t="s">
        <v>45</v>
      </c>
      <c r="H148" s="32">
        <v>6</v>
      </c>
      <c r="I148" s="32">
        <v>1</v>
      </c>
      <c r="J148" s="65">
        <v>0</v>
      </c>
      <c r="L148" s="303">
        <v>1</v>
      </c>
      <c r="M148" s="304">
        <f t="shared" si="63"/>
        <v>0.12195121951219512</v>
      </c>
      <c r="N148" s="303" t="str">
        <f t="shared" si="64"/>
        <v/>
      </c>
      <c r="O148" s="303">
        <f t="shared" si="70"/>
        <v>1</v>
      </c>
      <c r="P148" s="304">
        <f t="shared" si="71"/>
        <v>0.16483516483516483</v>
      </c>
      <c r="Q148" s="303" t="str">
        <f t="shared" si="72"/>
        <v/>
      </c>
      <c r="R148" s="303">
        <f t="shared" si="73"/>
        <v>1</v>
      </c>
      <c r="S148" s="304">
        <f t="shared" si="74"/>
        <v>0.05</v>
      </c>
      <c r="T148" s="74" t="str">
        <f t="shared" si="75"/>
        <v/>
      </c>
      <c r="V148" s="55">
        <f t="shared" si="76"/>
        <v>123</v>
      </c>
      <c r="W148" s="233">
        <f t="shared" si="65"/>
        <v>0.12195121951219512</v>
      </c>
      <c r="X148" s="231">
        <f t="shared" si="77"/>
        <v>33.388934073170716</v>
      </c>
      <c r="Y148" s="232">
        <f t="shared" si="78"/>
        <v>0</v>
      </c>
      <c r="Z148" s="232">
        <f t="shared" si="79"/>
        <v>1</v>
      </c>
      <c r="AA148" s="232">
        <f t="shared" si="66"/>
        <v>91</v>
      </c>
      <c r="AB148" s="233">
        <f t="shared" si="67"/>
        <v>0.16483516483516483</v>
      </c>
      <c r="AC148" s="231">
        <f t="shared" si="80"/>
        <v>30.747551065934047</v>
      </c>
      <c r="AD148" s="232">
        <f t="shared" si="81"/>
        <v>0</v>
      </c>
      <c r="AE148" s="232">
        <f t="shared" si="82"/>
        <v>1</v>
      </c>
      <c r="AF148" s="232">
        <f t="shared" si="68"/>
        <v>80</v>
      </c>
      <c r="AG148" s="232">
        <f t="shared" si="69"/>
        <v>4</v>
      </c>
      <c r="AH148" s="236">
        <f t="shared" si="83"/>
        <v>0.05</v>
      </c>
      <c r="AI148" s="231">
        <f t="shared" si="84"/>
        <v>34.881616999999849</v>
      </c>
      <c r="AJ148" s="232">
        <f t="shared" si="85"/>
        <v>0</v>
      </c>
      <c r="AL148" s="3">
        <f t="shared" si="62"/>
        <v>4</v>
      </c>
    </row>
    <row r="149" spans="1:38" ht="14.1" customHeight="1" x14ac:dyDescent="0.2">
      <c r="A149" s="240" t="s">
        <v>462</v>
      </c>
      <c r="B149" s="282" t="s">
        <v>523</v>
      </c>
      <c r="C149" s="32">
        <v>33</v>
      </c>
      <c r="D149" s="32">
        <f t="shared" si="86"/>
        <v>52</v>
      </c>
      <c r="E149" s="32">
        <f t="shared" si="87"/>
        <v>56</v>
      </c>
      <c r="F149" s="283" t="s">
        <v>44</v>
      </c>
      <c r="G149" s="283" t="s">
        <v>45</v>
      </c>
      <c r="H149" s="32">
        <v>1</v>
      </c>
      <c r="I149" s="32">
        <v>1</v>
      </c>
      <c r="J149" s="65">
        <v>0</v>
      </c>
      <c r="L149" s="303">
        <v>1</v>
      </c>
      <c r="M149" s="304">
        <f t="shared" si="63"/>
        <v>0.12195121951219512</v>
      </c>
      <c r="N149" s="303" t="str">
        <f t="shared" si="64"/>
        <v/>
      </c>
      <c r="O149" s="303">
        <f t="shared" si="70"/>
        <v>1</v>
      </c>
      <c r="P149" s="304">
        <f t="shared" si="71"/>
        <v>0.16483516483516483</v>
      </c>
      <c r="Q149" s="303" t="str">
        <f t="shared" si="72"/>
        <v/>
      </c>
      <c r="R149" s="303">
        <f t="shared" si="73"/>
        <v>1</v>
      </c>
      <c r="S149" s="304">
        <f t="shared" si="74"/>
        <v>0.05</v>
      </c>
      <c r="T149" s="74" t="str">
        <f t="shared" si="75"/>
        <v/>
      </c>
      <c r="V149" s="55">
        <f t="shared" si="76"/>
        <v>123</v>
      </c>
      <c r="W149" s="233">
        <f t="shared" si="65"/>
        <v>0.12195121951219512</v>
      </c>
      <c r="X149" s="231">
        <f t="shared" si="77"/>
        <v>33.510885292682914</v>
      </c>
      <c r="Y149" s="232">
        <f t="shared" si="78"/>
        <v>0</v>
      </c>
      <c r="Z149" s="232">
        <f t="shared" si="79"/>
        <v>1</v>
      </c>
      <c r="AA149" s="232">
        <f t="shared" si="66"/>
        <v>91</v>
      </c>
      <c r="AB149" s="233">
        <f t="shared" si="67"/>
        <v>0.16483516483516483</v>
      </c>
      <c r="AC149" s="231">
        <f t="shared" si="80"/>
        <v>30.912386230769211</v>
      </c>
      <c r="AD149" s="232">
        <f t="shared" si="81"/>
        <v>0</v>
      </c>
      <c r="AE149" s="232">
        <f t="shared" si="82"/>
        <v>1</v>
      </c>
      <c r="AF149" s="232">
        <f t="shared" si="68"/>
        <v>80</v>
      </c>
      <c r="AG149" s="232">
        <f t="shared" si="69"/>
        <v>4</v>
      </c>
      <c r="AH149" s="236">
        <f t="shared" si="83"/>
        <v>0.05</v>
      </c>
      <c r="AI149" s="231">
        <f t="shared" si="84"/>
        <v>34.931616999999846</v>
      </c>
      <c r="AJ149" s="232">
        <f t="shared" si="85"/>
        <v>0</v>
      </c>
      <c r="AL149" s="3">
        <f t="shared" si="62"/>
        <v>4</v>
      </c>
    </row>
    <row r="150" spans="1:38" ht="14.1" customHeight="1" x14ac:dyDescent="0.2">
      <c r="A150" s="240" t="s">
        <v>462</v>
      </c>
      <c r="B150" s="282" t="s">
        <v>523</v>
      </c>
      <c r="C150" s="32">
        <v>33</v>
      </c>
      <c r="D150" s="32">
        <f t="shared" si="86"/>
        <v>53</v>
      </c>
      <c r="E150" s="32">
        <f t="shared" si="87"/>
        <v>57</v>
      </c>
      <c r="F150" s="283" t="s">
        <v>44</v>
      </c>
      <c r="G150" s="283" t="s">
        <v>45</v>
      </c>
      <c r="H150" s="32">
        <v>5</v>
      </c>
      <c r="I150" s="32">
        <v>1</v>
      </c>
      <c r="J150" s="65">
        <v>0</v>
      </c>
      <c r="L150" s="303">
        <v>1</v>
      </c>
      <c r="M150" s="304">
        <f t="shared" si="63"/>
        <v>0.12195121951219512</v>
      </c>
      <c r="N150" s="303" t="str">
        <f t="shared" si="64"/>
        <v/>
      </c>
      <c r="O150" s="303">
        <f t="shared" si="70"/>
        <v>1</v>
      </c>
      <c r="P150" s="304">
        <f t="shared" si="71"/>
        <v>0.16483516483516483</v>
      </c>
      <c r="Q150" s="303">
        <f t="shared" si="72"/>
        <v>1</v>
      </c>
      <c r="R150" s="303">
        <f t="shared" si="73"/>
        <v>1</v>
      </c>
      <c r="S150" s="304">
        <f t="shared" si="74"/>
        <v>0.05</v>
      </c>
      <c r="T150" s="74" t="str">
        <f t="shared" si="75"/>
        <v/>
      </c>
      <c r="V150" s="55">
        <f t="shared" si="76"/>
        <v>123</v>
      </c>
      <c r="W150" s="233">
        <f t="shared" si="65"/>
        <v>0.12195121951219512</v>
      </c>
      <c r="X150" s="231">
        <f t="shared" si="77"/>
        <v>33.632836512195112</v>
      </c>
      <c r="Y150" s="232">
        <f t="shared" si="78"/>
        <v>0</v>
      </c>
      <c r="Z150" s="232">
        <f t="shared" si="79"/>
        <v>1</v>
      </c>
      <c r="AA150" s="232">
        <f t="shared" si="66"/>
        <v>91</v>
      </c>
      <c r="AB150" s="233">
        <f t="shared" si="67"/>
        <v>0.16483516483516483</v>
      </c>
      <c r="AC150" s="231">
        <f t="shared" si="80"/>
        <v>31.077221395604376</v>
      </c>
      <c r="AD150" s="232">
        <f t="shared" si="81"/>
        <v>1</v>
      </c>
      <c r="AE150" s="232">
        <f t="shared" si="82"/>
        <v>1</v>
      </c>
      <c r="AF150" s="232">
        <f t="shared" si="68"/>
        <v>80</v>
      </c>
      <c r="AG150" s="232">
        <f t="shared" si="69"/>
        <v>4</v>
      </c>
      <c r="AH150" s="236">
        <f t="shared" si="83"/>
        <v>0.05</v>
      </c>
      <c r="AI150" s="231">
        <f t="shared" si="84"/>
        <v>34.981616999999844</v>
      </c>
      <c r="AJ150" s="232">
        <f t="shared" si="85"/>
        <v>0</v>
      </c>
      <c r="AL150" s="3">
        <f t="shared" si="62"/>
        <v>4</v>
      </c>
    </row>
    <row r="151" spans="1:38" ht="14.1" customHeight="1" x14ac:dyDescent="0.2">
      <c r="A151" s="240" t="s">
        <v>462</v>
      </c>
      <c r="B151" s="282" t="s">
        <v>523</v>
      </c>
      <c r="C151" s="32">
        <v>33</v>
      </c>
      <c r="D151" s="32">
        <f t="shared" si="86"/>
        <v>54</v>
      </c>
      <c r="E151" s="32">
        <f t="shared" si="87"/>
        <v>58</v>
      </c>
      <c r="F151" s="283" t="s">
        <v>44</v>
      </c>
      <c r="G151" s="283" t="s">
        <v>45</v>
      </c>
      <c r="H151" s="32">
        <v>4</v>
      </c>
      <c r="I151" s="32">
        <v>1</v>
      </c>
      <c r="J151" s="65">
        <v>0</v>
      </c>
      <c r="L151" s="303">
        <v>1</v>
      </c>
      <c r="M151" s="304">
        <f t="shared" si="63"/>
        <v>0.12195121951219512</v>
      </c>
      <c r="N151" s="303" t="str">
        <f t="shared" si="64"/>
        <v/>
      </c>
      <c r="O151" s="303">
        <f t="shared" si="70"/>
        <v>1</v>
      </c>
      <c r="P151" s="304">
        <f t="shared" si="71"/>
        <v>0.16483516483516483</v>
      </c>
      <c r="Q151" s="303" t="str">
        <f t="shared" si="72"/>
        <v/>
      </c>
      <c r="R151" s="303">
        <f t="shared" si="73"/>
        <v>1</v>
      </c>
      <c r="S151" s="304">
        <f t="shared" si="74"/>
        <v>0.05</v>
      </c>
      <c r="T151" s="74">
        <f t="shared" si="75"/>
        <v>1</v>
      </c>
      <c r="V151" s="55">
        <f t="shared" si="76"/>
        <v>123</v>
      </c>
      <c r="W151" s="233">
        <f t="shared" si="65"/>
        <v>0.12195121951219512</v>
      </c>
      <c r="X151" s="231">
        <f t="shared" si="77"/>
        <v>33.75478773170731</v>
      </c>
      <c r="Y151" s="232">
        <f t="shared" si="78"/>
        <v>0</v>
      </c>
      <c r="Z151" s="232">
        <f t="shared" si="79"/>
        <v>1</v>
      </c>
      <c r="AA151" s="232">
        <f t="shared" si="66"/>
        <v>91</v>
      </c>
      <c r="AB151" s="233">
        <f t="shared" si="67"/>
        <v>0.16483516483516483</v>
      </c>
      <c r="AC151" s="231">
        <f t="shared" si="80"/>
        <v>31.24205656043954</v>
      </c>
      <c r="AD151" s="232">
        <f t="shared" si="81"/>
        <v>0</v>
      </c>
      <c r="AE151" s="232">
        <f t="shared" si="82"/>
        <v>1</v>
      </c>
      <c r="AF151" s="232">
        <f t="shared" si="68"/>
        <v>80</v>
      </c>
      <c r="AG151" s="232">
        <f t="shared" si="69"/>
        <v>4</v>
      </c>
      <c r="AH151" s="236">
        <f t="shared" si="83"/>
        <v>0.05</v>
      </c>
      <c r="AI151" s="231">
        <f t="shared" si="84"/>
        <v>35.031616999999841</v>
      </c>
      <c r="AJ151" s="232">
        <f t="shared" si="85"/>
        <v>1</v>
      </c>
      <c r="AL151" s="3">
        <f t="shared" si="62"/>
        <v>4</v>
      </c>
    </row>
    <row r="152" spans="1:38" ht="14.1" customHeight="1" x14ac:dyDescent="0.2">
      <c r="A152" s="240" t="s">
        <v>462</v>
      </c>
      <c r="B152" s="282" t="s">
        <v>523</v>
      </c>
      <c r="C152" s="32">
        <v>33</v>
      </c>
      <c r="D152" s="32">
        <f t="shared" si="86"/>
        <v>55</v>
      </c>
      <c r="E152" s="32">
        <f t="shared" si="87"/>
        <v>59</v>
      </c>
      <c r="F152" s="283" t="s">
        <v>44</v>
      </c>
      <c r="G152" s="283" t="s">
        <v>45</v>
      </c>
      <c r="H152" s="32">
        <v>4</v>
      </c>
      <c r="I152" s="32">
        <v>1</v>
      </c>
      <c r="J152" s="65">
        <v>0</v>
      </c>
      <c r="L152" s="303">
        <v>1</v>
      </c>
      <c r="M152" s="304">
        <f t="shared" si="63"/>
        <v>0.12195121951219512</v>
      </c>
      <c r="N152" s="303" t="str">
        <f t="shared" si="64"/>
        <v/>
      </c>
      <c r="O152" s="303">
        <f t="shared" si="70"/>
        <v>1</v>
      </c>
      <c r="P152" s="304">
        <f t="shared" si="71"/>
        <v>0.16483516483516483</v>
      </c>
      <c r="Q152" s="303" t="str">
        <f t="shared" si="72"/>
        <v/>
      </c>
      <c r="R152" s="303">
        <f t="shared" si="73"/>
        <v>1</v>
      </c>
      <c r="S152" s="304">
        <f t="shared" si="74"/>
        <v>0.05</v>
      </c>
      <c r="T152" s="74" t="str">
        <f t="shared" si="75"/>
        <v/>
      </c>
      <c r="V152" s="55">
        <f t="shared" si="76"/>
        <v>123</v>
      </c>
      <c r="W152" s="233">
        <f t="shared" si="65"/>
        <v>0.12195121951219512</v>
      </c>
      <c r="X152" s="231">
        <f t="shared" si="77"/>
        <v>33.876738951219508</v>
      </c>
      <c r="Y152" s="232">
        <f t="shared" si="78"/>
        <v>0</v>
      </c>
      <c r="Z152" s="232">
        <f t="shared" si="79"/>
        <v>1</v>
      </c>
      <c r="AA152" s="232">
        <f t="shared" si="66"/>
        <v>91</v>
      </c>
      <c r="AB152" s="233">
        <f t="shared" si="67"/>
        <v>0.16483516483516483</v>
      </c>
      <c r="AC152" s="231">
        <f t="shared" si="80"/>
        <v>31.406891725274704</v>
      </c>
      <c r="AD152" s="232">
        <f t="shared" si="81"/>
        <v>0</v>
      </c>
      <c r="AE152" s="232">
        <f t="shared" si="82"/>
        <v>1</v>
      </c>
      <c r="AF152" s="232">
        <f t="shared" si="68"/>
        <v>80</v>
      </c>
      <c r="AG152" s="232">
        <f t="shared" si="69"/>
        <v>4</v>
      </c>
      <c r="AH152" s="236">
        <f t="shared" si="83"/>
        <v>0.05</v>
      </c>
      <c r="AI152" s="231">
        <f t="shared" si="84"/>
        <v>35.081616999999838</v>
      </c>
      <c r="AJ152" s="232">
        <f t="shared" si="85"/>
        <v>0</v>
      </c>
      <c r="AL152" s="3">
        <f t="shared" si="62"/>
        <v>4</v>
      </c>
    </row>
    <row r="153" spans="1:38" ht="14.1" customHeight="1" x14ac:dyDescent="0.2">
      <c r="A153" s="240" t="s">
        <v>462</v>
      </c>
      <c r="B153" s="282" t="s">
        <v>523</v>
      </c>
      <c r="C153" s="32">
        <v>33</v>
      </c>
      <c r="D153" s="32">
        <f t="shared" si="86"/>
        <v>56</v>
      </c>
      <c r="E153" s="32">
        <f t="shared" si="87"/>
        <v>60</v>
      </c>
      <c r="F153" s="283" t="s">
        <v>44</v>
      </c>
      <c r="G153" s="283" t="s">
        <v>45</v>
      </c>
      <c r="H153" s="32">
        <v>4</v>
      </c>
      <c r="I153" s="32">
        <v>1</v>
      </c>
      <c r="J153" s="65">
        <v>0</v>
      </c>
      <c r="L153" s="303">
        <v>1</v>
      </c>
      <c r="M153" s="304">
        <f t="shared" si="63"/>
        <v>0.12195121951219512</v>
      </c>
      <c r="N153" s="303" t="str">
        <f t="shared" si="64"/>
        <v/>
      </c>
      <c r="O153" s="303">
        <f t="shared" si="70"/>
        <v>1</v>
      </c>
      <c r="P153" s="304">
        <f t="shared" si="71"/>
        <v>0.16483516483516483</v>
      </c>
      <c r="Q153" s="303" t="str">
        <f t="shared" si="72"/>
        <v/>
      </c>
      <c r="R153" s="303">
        <f t="shared" si="73"/>
        <v>1</v>
      </c>
      <c r="S153" s="304">
        <f t="shared" si="74"/>
        <v>0.05</v>
      </c>
      <c r="T153" s="74" t="str">
        <f t="shared" si="75"/>
        <v/>
      </c>
      <c r="V153" s="55">
        <f t="shared" si="76"/>
        <v>123</v>
      </c>
      <c r="W153" s="233">
        <f t="shared" si="65"/>
        <v>0.12195121951219512</v>
      </c>
      <c r="X153" s="231">
        <f t="shared" si="77"/>
        <v>33.998690170731706</v>
      </c>
      <c r="Y153" s="232">
        <f t="shared" si="78"/>
        <v>0</v>
      </c>
      <c r="Z153" s="232">
        <f t="shared" si="79"/>
        <v>1</v>
      </c>
      <c r="AA153" s="232">
        <f t="shared" si="66"/>
        <v>91</v>
      </c>
      <c r="AB153" s="233">
        <f t="shared" si="67"/>
        <v>0.16483516483516483</v>
      </c>
      <c r="AC153" s="231">
        <f t="shared" si="80"/>
        <v>31.571726890109868</v>
      </c>
      <c r="AD153" s="232">
        <f t="shared" si="81"/>
        <v>0</v>
      </c>
      <c r="AE153" s="232">
        <f t="shared" si="82"/>
        <v>1</v>
      </c>
      <c r="AF153" s="232">
        <f t="shared" si="68"/>
        <v>80</v>
      </c>
      <c r="AG153" s="232">
        <f t="shared" si="69"/>
        <v>4</v>
      </c>
      <c r="AH153" s="236">
        <f t="shared" si="83"/>
        <v>0.05</v>
      </c>
      <c r="AI153" s="231">
        <f t="shared" si="84"/>
        <v>35.131616999999835</v>
      </c>
      <c r="AJ153" s="232">
        <f t="shared" si="85"/>
        <v>0</v>
      </c>
      <c r="AL153" s="3">
        <f t="shared" si="62"/>
        <v>4</v>
      </c>
    </row>
    <row r="154" spans="1:38" ht="14.1" customHeight="1" x14ac:dyDescent="0.2">
      <c r="A154" s="240" t="s">
        <v>462</v>
      </c>
      <c r="B154" s="282" t="s">
        <v>523</v>
      </c>
      <c r="C154" s="32">
        <v>33</v>
      </c>
      <c r="D154" s="32">
        <f t="shared" si="86"/>
        <v>57</v>
      </c>
      <c r="E154" s="32">
        <f t="shared" si="87"/>
        <v>61</v>
      </c>
      <c r="F154" s="283" t="s">
        <v>44</v>
      </c>
      <c r="G154" s="283" t="s">
        <v>45</v>
      </c>
      <c r="H154" s="32">
        <v>3</v>
      </c>
      <c r="I154" s="32">
        <v>1</v>
      </c>
      <c r="J154" s="65">
        <v>0</v>
      </c>
      <c r="L154" s="303">
        <v>1</v>
      </c>
      <c r="M154" s="304">
        <f t="shared" si="63"/>
        <v>0.12195121951219512</v>
      </c>
      <c r="N154" s="303">
        <f t="shared" si="64"/>
        <v>1</v>
      </c>
      <c r="O154" s="303">
        <f t="shared" si="70"/>
        <v>1</v>
      </c>
      <c r="P154" s="304">
        <f t="shared" si="71"/>
        <v>0.16483516483516483</v>
      </c>
      <c r="Q154" s="303" t="str">
        <f t="shared" si="72"/>
        <v/>
      </c>
      <c r="R154" s="303">
        <f t="shared" si="73"/>
        <v>1</v>
      </c>
      <c r="S154" s="304">
        <f t="shared" si="74"/>
        <v>0.05</v>
      </c>
      <c r="T154" s="74" t="str">
        <f t="shared" si="75"/>
        <v/>
      </c>
      <c r="V154" s="55">
        <f t="shared" si="76"/>
        <v>123</v>
      </c>
      <c r="W154" s="233">
        <f t="shared" si="65"/>
        <v>0.12195121951219512</v>
      </c>
      <c r="X154" s="231">
        <f t="shared" si="77"/>
        <v>34.120641390243904</v>
      </c>
      <c r="Y154" s="232">
        <f t="shared" si="78"/>
        <v>1</v>
      </c>
      <c r="Z154" s="232">
        <f t="shared" si="79"/>
        <v>1</v>
      </c>
      <c r="AA154" s="232">
        <f t="shared" si="66"/>
        <v>91</v>
      </c>
      <c r="AB154" s="233">
        <f t="shared" si="67"/>
        <v>0.16483516483516483</v>
      </c>
      <c r="AC154" s="231">
        <f t="shared" si="80"/>
        <v>31.736562054945033</v>
      </c>
      <c r="AD154" s="232">
        <f t="shared" si="81"/>
        <v>0</v>
      </c>
      <c r="AE154" s="232">
        <f t="shared" si="82"/>
        <v>1</v>
      </c>
      <c r="AF154" s="232">
        <f t="shared" si="68"/>
        <v>80</v>
      </c>
      <c r="AG154" s="232">
        <f t="shared" si="69"/>
        <v>4</v>
      </c>
      <c r="AH154" s="236">
        <f t="shared" si="83"/>
        <v>0.05</v>
      </c>
      <c r="AI154" s="231">
        <f t="shared" si="84"/>
        <v>35.181616999999832</v>
      </c>
      <c r="AJ154" s="232">
        <f t="shared" si="85"/>
        <v>0</v>
      </c>
      <c r="AL154" s="3">
        <f t="shared" si="62"/>
        <v>4</v>
      </c>
    </row>
    <row r="155" spans="1:38" ht="14.1" customHeight="1" x14ac:dyDescent="0.2">
      <c r="A155" s="240" t="s">
        <v>462</v>
      </c>
      <c r="B155" s="282" t="s">
        <v>523</v>
      </c>
      <c r="C155" s="32">
        <v>33</v>
      </c>
      <c r="D155" s="32">
        <f t="shared" si="86"/>
        <v>58</v>
      </c>
      <c r="E155" s="32">
        <f t="shared" si="87"/>
        <v>62</v>
      </c>
      <c r="F155" s="283" t="s">
        <v>44</v>
      </c>
      <c r="G155" s="283" t="s">
        <v>45</v>
      </c>
      <c r="H155" s="32">
        <v>3</v>
      </c>
      <c r="I155" s="32">
        <v>1</v>
      </c>
      <c r="J155" s="65">
        <v>0</v>
      </c>
      <c r="L155" s="303">
        <v>1</v>
      </c>
      <c r="M155" s="304">
        <f t="shared" si="63"/>
        <v>0.12195121951219512</v>
      </c>
      <c r="N155" s="303" t="str">
        <f t="shared" si="64"/>
        <v/>
      </c>
      <c r="O155" s="303">
        <f t="shared" si="70"/>
        <v>1</v>
      </c>
      <c r="P155" s="304">
        <f t="shared" si="71"/>
        <v>0.16483516483516483</v>
      </c>
      <c r="Q155" s="303" t="str">
        <f t="shared" si="72"/>
        <v/>
      </c>
      <c r="R155" s="303">
        <f t="shared" si="73"/>
        <v>1</v>
      </c>
      <c r="S155" s="304">
        <f t="shared" si="74"/>
        <v>0.05</v>
      </c>
      <c r="T155" s="74" t="str">
        <f t="shared" si="75"/>
        <v/>
      </c>
      <c r="V155" s="55">
        <f t="shared" si="76"/>
        <v>123</v>
      </c>
      <c r="W155" s="233">
        <f t="shared" si="65"/>
        <v>0.12195121951219512</v>
      </c>
      <c r="X155" s="231">
        <f t="shared" si="77"/>
        <v>34.242592609756102</v>
      </c>
      <c r="Y155" s="232">
        <f t="shared" si="78"/>
        <v>0</v>
      </c>
      <c r="Z155" s="232">
        <f t="shared" si="79"/>
        <v>1</v>
      </c>
      <c r="AA155" s="232">
        <f t="shared" si="66"/>
        <v>91</v>
      </c>
      <c r="AB155" s="233">
        <f t="shared" si="67"/>
        <v>0.16483516483516483</v>
      </c>
      <c r="AC155" s="231">
        <f t="shared" si="80"/>
        <v>31.901397219780197</v>
      </c>
      <c r="AD155" s="232">
        <f t="shared" si="81"/>
        <v>0</v>
      </c>
      <c r="AE155" s="232">
        <f t="shared" si="82"/>
        <v>1</v>
      </c>
      <c r="AF155" s="232">
        <f t="shared" si="68"/>
        <v>80</v>
      </c>
      <c r="AG155" s="232">
        <f t="shared" si="69"/>
        <v>4</v>
      </c>
      <c r="AH155" s="236">
        <f t="shared" si="83"/>
        <v>0.05</v>
      </c>
      <c r="AI155" s="231">
        <f t="shared" si="84"/>
        <v>35.231616999999829</v>
      </c>
      <c r="AJ155" s="232">
        <f t="shared" si="85"/>
        <v>0</v>
      </c>
      <c r="AL155" s="3">
        <f t="shared" si="62"/>
        <v>4</v>
      </c>
    </row>
    <row r="156" spans="1:38" ht="14.1" customHeight="1" x14ac:dyDescent="0.2">
      <c r="A156" s="240" t="s">
        <v>462</v>
      </c>
      <c r="B156" s="282" t="s">
        <v>523</v>
      </c>
      <c r="C156" s="32">
        <f t="shared" si="61"/>
        <v>34</v>
      </c>
      <c r="D156" s="32">
        <f t="shared" si="86"/>
        <v>59</v>
      </c>
      <c r="E156" s="32">
        <f t="shared" si="87"/>
        <v>63</v>
      </c>
      <c r="F156" s="283" t="s">
        <v>44</v>
      </c>
      <c r="G156" s="283" t="s">
        <v>45</v>
      </c>
      <c r="H156" s="32">
        <v>6</v>
      </c>
      <c r="I156" s="32">
        <v>1</v>
      </c>
      <c r="J156" s="65">
        <v>0</v>
      </c>
      <c r="L156" s="303">
        <v>1</v>
      </c>
      <c r="M156" s="304">
        <f t="shared" si="63"/>
        <v>0.12195121951219512</v>
      </c>
      <c r="N156" s="303" t="str">
        <f t="shared" si="64"/>
        <v/>
      </c>
      <c r="O156" s="303">
        <f t="shared" si="70"/>
        <v>1</v>
      </c>
      <c r="P156" s="304">
        <f t="shared" si="71"/>
        <v>0.16483516483516483</v>
      </c>
      <c r="Q156" s="303">
        <f t="shared" si="72"/>
        <v>1</v>
      </c>
      <c r="R156" s="303">
        <f t="shared" si="73"/>
        <v>1</v>
      </c>
      <c r="S156" s="304">
        <f t="shared" si="74"/>
        <v>0.05</v>
      </c>
      <c r="T156" s="74" t="str">
        <f t="shared" si="75"/>
        <v/>
      </c>
      <c r="V156" s="55">
        <f t="shared" si="76"/>
        <v>123</v>
      </c>
      <c r="W156" s="233">
        <f t="shared" si="65"/>
        <v>0.12195121951219512</v>
      </c>
      <c r="X156" s="231">
        <f t="shared" si="77"/>
        <v>34.3645438292683</v>
      </c>
      <c r="Y156" s="232">
        <f t="shared" si="78"/>
        <v>0</v>
      </c>
      <c r="Z156" s="232">
        <f t="shared" si="79"/>
        <v>1</v>
      </c>
      <c r="AA156" s="232">
        <f t="shared" si="66"/>
        <v>91</v>
      </c>
      <c r="AB156" s="233">
        <f t="shared" si="67"/>
        <v>0.16483516483516483</v>
      </c>
      <c r="AC156" s="231">
        <f t="shared" si="80"/>
        <v>32.066232384615361</v>
      </c>
      <c r="AD156" s="232">
        <f t="shared" si="81"/>
        <v>1</v>
      </c>
      <c r="AE156" s="232">
        <f t="shared" si="82"/>
        <v>1</v>
      </c>
      <c r="AF156" s="232">
        <f t="shared" si="68"/>
        <v>80</v>
      </c>
      <c r="AG156" s="232">
        <f t="shared" si="69"/>
        <v>4</v>
      </c>
      <c r="AH156" s="236">
        <f t="shared" si="83"/>
        <v>0.05</v>
      </c>
      <c r="AI156" s="231">
        <f t="shared" si="84"/>
        <v>35.281616999999827</v>
      </c>
      <c r="AJ156" s="232">
        <f t="shared" si="85"/>
        <v>0</v>
      </c>
      <c r="AL156" s="3">
        <f t="shared" ref="AL156:AL187" si="88">IF(AE156=1,IF(AF156=0,0,MIN($D$5,AA156)-IF(AA156=AF156,0,ROUND(MIN((AE156&gt;0)*$D$5*((AA156-AF156)^$F$5)/((AA156-AF156)^$F$5+AF156^$F$5),AA156-AF156),0))),"")</f>
        <v>4</v>
      </c>
    </row>
    <row r="157" spans="1:38" ht="14.1" customHeight="1" x14ac:dyDescent="0.2">
      <c r="A157" s="240" t="s">
        <v>462</v>
      </c>
      <c r="B157" s="282" t="s">
        <v>523</v>
      </c>
      <c r="C157" s="32">
        <f t="shared" si="61"/>
        <v>35</v>
      </c>
      <c r="D157" s="32">
        <f t="shared" si="86"/>
        <v>60</v>
      </c>
      <c r="E157" s="32">
        <f t="shared" si="87"/>
        <v>64</v>
      </c>
      <c r="F157" s="283" t="s">
        <v>44</v>
      </c>
      <c r="G157" s="283" t="s">
        <v>45</v>
      </c>
      <c r="H157" s="32">
        <v>4</v>
      </c>
      <c r="I157" s="32">
        <v>1</v>
      </c>
      <c r="J157" s="65">
        <v>0</v>
      </c>
      <c r="L157" s="303">
        <v>1</v>
      </c>
      <c r="M157" s="304">
        <f t="shared" si="63"/>
        <v>0.12195121951219512</v>
      </c>
      <c r="N157" s="303" t="str">
        <f t="shared" si="64"/>
        <v/>
      </c>
      <c r="O157" s="303">
        <f t="shared" si="70"/>
        <v>1</v>
      </c>
      <c r="P157" s="304">
        <f t="shared" si="71"/>
        <v>0.16483516483516483</v>
      </c>
      <c r="Q157" s="303" t="str">
        <f t="shared" si="72"/>
        <v/>
      </c>
      <c r="R157" s="303">
        <f t="shared" si="73"/>
        <v>1</v>
      </c>
      <c r="S157" s="304">
        <f t="shared" si="74"/>
        <v>0.05</v>
      </c>
      <c r="T157" s="74" t="str">
        <f t="shared" si="75"/>
        <v/>
      </c>
      <c r="V157" s="55">
        <f t="shared" si="76"/>
        <v>123</v>
      </c>
      <c r="W157" s="233">
        <f t="shared" si="65"/>
        <v>0.12195121951219512</v>
      </c>
      <c r="X157" s="231">
        <f t="shared" si="77"/>
        <v>34.486495048780498</v>
      </c>
      <c r="Y157" s="232">
        <f t="shared" si="78"/>
        <v>0</v>
      </c>
      <c r="Z157" s="232">
        <f t="shared" si="79"/>
        <v>1</v>
      </c>
      <c r="AA157" s="232">
        <f t="shared" si="66"/>
        <v>91</v>
      </c>
      <c r="AB157" s="233">
        <f t="shared" si="67"/>
        <v>0.16483516483516483</v>
      </c>
      <c r="AC157" s="231">
        <f t="shared" si="80"/>
        <v>32.231067549450529</v>
      </c>
      <c r="AD157" s="232">
        <f t="shared" si="81"/>
        <v>0</v>
      </c>
      <c r="AE157" s="232">
        <f t="shared" si="82"/>
        <v>1</v>
      </c>
      <c r="AF157" s="232">
        <f t="shared" si="68"/>
        <v>80</v>
      </c>
      <c r="AG157" s="232">
        <f t="shared" si="69"/>
        <v>4</v>
      </c>
      <c r="AH157" s="236">
        <f t="shared" si="83"/>
        <v>0.05</v>
      </c>
      <c r="AI157" s="231">
        <f t="shared" si="84"/>
        <v>35.331616999999824</v>
      </c>
      <c r="AJ157" s="232">
        <f t="shared" si="85"/>
        <v>0</v>
      </c>
      <c r="AL157" s="3">
        <f t="shared" si="88"/>
        <v>4</v>
      </c>
    </row>
    <row r="158" spans="1:38" ht="14.1" customHeight="1" x14ac:dyDescent="0.2">
      <c r="A158" s="240" t="s">
        <v>462</v>
      </c>
      <c r="B158" s="282" t="s">
        <v>523</v>
      </c>
      <c r="C158" s="32">
        <f t="shared" si="61"/>
        <v>36</v>
      </c>
      <c r="D158" s="32">
        <f t="shared" si="86"/>
        <v>61</v>
      </c>
      <c r="E158" s="32">
        <f t="shared" si="87"/>
        <v>65</v>
      </c>
      <c r="F158" s="283" t="s">
        <v>44</v>
      </c>
      <c r="G158" s="283" t="s">
        <v>45</v>
      </c>
      <c r="H158" s="32">
        <v>7</v>
      </c>
      <c r="I158" s="32">
        <v>1</v>
      </c>
      <c r="J158" s="65">
        <v>0</v>
      </c>
      <c r="L158" s="303">
        <v>1</v>
      </c>
      <c r="M158" s="304">
        <f t="shared" si="63"/>
        <v>0.12195121951219512</v>
      </c>
      <c r="N158" s="303" t="str">
        <f t="shared" si="64"/>
        <v/>
      </c>
      <c r="O158" s="303">
        <f t="shared" si="70"/>
        <v>1</v>
      </c>
      <c r="P158" s="304">
        <f t="shared" si="71"/>
        <v>0.16483516483516483</v>
      </c>
      <c r="Q158" s="303" t="str">
        <f t="shared" si="72"/>
        <v/>
      </c>
      <c r="R158" s="303">
        <f t="shared" si="73"/>
        <v>1</v>
      </c>
      <c r="S158" s="304">
        <f t="shared" si="74"/>
        <v>0.05</v>
      </c>
      <c r="T158" s="74" t="str">
        <f t="shared" si="75"/>
        <v/>
      </c>
      <c r="V158" s="55">
        <f t="shared" si="76"/>
        <v>123</v>
      </c>
      <c r="W158" s="233">
        <f t="shared" si="65"/>
        <v>0.12195121951219512</v>
      </c>
      <c r="X158" s="231">
        <f t="shared" si="77"/>
        <v>34.608446268292695</v>
      </c>
      <c r="Y158" s="232">
        <f t="shared" si="78"/>
        <v>0</v>
      </c>
      <c r="Z158" s="232">
        <f t="shared" si="79"/>
        <v>1</v>
      </c>
      <c r="AA158" s="232">
        <f t="shared" si="66"/>
        <v>91</v>
      </c>
      <c r="AB158" s="233">
        <f t="shared" si="67"/>
        <v>0.16483516483516483</v>
      </c>
      <c r="AC158" s="231">
        <f t="shared" si="80"/>
        <v>32.395902714285697</v>
      </c>
      <c r="AD158" s="232">
        <f t="shared" si="81"/>
        <v>0</v>
      </c>
      <c r="AE158" s="232">
        <f t="shared" si="82"/>
        <v>1</v>
      </c>
      <c r="AF158" s="232">
        <f t="shared" si="68"/>
        <v>80</v>
      </c>
      <c r="AG158" s="232">
        <f t="shared" si="69"/>
        <v>4</v>
      </c>
      <c r="AH158" s="236">
        <f t="shared" si="83"/>
        <v>0.05</v>
      </c>
      <c r="AI158" s="231">
        <f t="shared" si="84"/>
        <v>35.381616999999821</v>
      </c>
      <c r="AJ158" s="232">
        <f t="shared" si="85"/>
        <v>0</v>
      </c>
      <c r="AL158" s="3">
        <f t="shared" si="88"/>
        <v>4</v>
      </c>
    </row>
    <row r="159" spans="1:38" ht="14.1" customHeight="1" x14ac:dyDescent="0.2">
      <c r="A159" s="240" t="s">
        <v>462</v>
      </c>
      <c r="B159" s="282" t="s">
        <v>523</v>
      </c>
      <c r="C159" s="32">
        <f t="shared" si="61"/>
        <v>37</v>
      </c>
      <c r="D159" s="32">
        <f t="shared" si="86"/>
        <v>62</v>
      </c>
      <c r="E159" s="32">
        <f t="shared" si="87"/>
        <v>66</v>
      </c>
      <c r="F159" s="283" t="s">
        <v>44</v>
      </c>
      <c r="G159" s="283" t="s">
        <v>45</v>
      </c>
      <c r="H159" s="32">
        <v>2</v>
      </c>
      <c r="I159" s="32">
        <v>1</v>
      </c>
      <c r="J159" s="65">
        <v>0</v>
      </c>
      <c r="L159" s="303">
        <v>1</v>
      </c>
      <c r="M159" s="304">
        <f t="shared" si="63"/>
        <v>0.12195121951219512</v>
      </c>
      <c r="N159" s="303" t="str">
        <f t="shared" si="64"/>
        <v/>
      </c>
      <c r="O159" s="303">
        <f t="shared" si="70"/>
        <v>1</v>
      </c>
      <c r="P159" s="304">
        <f t="shared" si="71"/>
        <v>0.16483516483516483</v>
      </c>
      <c r="Q159" s="303" t="str">
        <f t="shared" si="72"/>
        <v/>
      </c>
      <c r="R159" s="303">
        <f t="shared" si="73"/>
        <v>1</v>
      </c>
      <c r="S159" s="304">
        <f t="shared" si="74"/>
        <v>0.05</v>
      </c>
      <c r="T159" s="74" t="str">
        <f t="shared" si="75"/>
        <v/>
      </c>
      <c r="V159" s="55">
        <f t="shared" si="76"/>
        <v>123</v>
      </c>
      <c r="W159" s="233">
        <f t="shared" si="65"/>
        <v>0.12195121951219512</v>
      </c>
      <c r="X159" s="231">
        <f t="shared" si="77"/>
        <v>34.730397487804893</v>
      </c>
      <c r="Y159" s="232">
        <f t="shared" si="78"/>
        <v>0</v>
      </c>
      <c r="Z159" s="232">
        <f t="shared" si="79"/>
        <v>1</v>
      </c>
      <c r="AA159" s="232">
        <f t="shared" si="66"/>
        <v>91</v>
      </c>
      <c r="AB159" s="233">
        <f t="shared" si="67"/>
        <v>0.16483516483516483</v>
      </c>
      <c r="AC159" s="231">
        <f t="shared" si="80"/>
        <v>32.560737879120865</v>
      </c>
      <c r="AD159" s="232">
        <f t="shared" si="81"/>
        <v>0</v>
      </c>
      <c r="AE159" s="232">
        <f t="shared" si="82"/>
        <v>1</v>
      </c>
      <c r="AF159" s="232">
        <f t="shared" si="68"/>
        <v>80</v>
      </c>
      <c r="AG159" s="232">
        <f t="shared" si="69"/>
        <v>4</v>
      </c>
      <c r="AH159" s="236">
        <f t="shared" si="83"/>
        <v>0.05</v>
      </c>
      <c r="AI159" s="231">
        <f t="shared" si="84"/>
        <v>35.431616999999818</v>
      </c>
      <c r="AJ159" s="232">
        <f t="shared" si="85"/>
        <v>0</v>
      </c>
      <c r="AL159" s="3">
        <f t="shared" si="88"/>
        <v>4</v>
      </c>
    </row>
    <row r="160" spans="1:38" ht="14.1" customHeight="1" x14ac:dyDescent="0.2">
      <c r="A160" s="240" t="s">
        <v>462</v>
      </c>
      <c r="B160" s="282" t="s">
        <v>523</v>
      </c>
      <c r="C160" s="32">
        <f t="shared" ref="C160:C166" si="89">+C159+1</f>
        <v>38</v>
      </c>
      <c r="D160" s="32">
        <f t="shared" si="86"/>
        <v>63</v>
      </c>
      <c r="E160" s="32">
        <f t="shared" si="87"/>
        <v>67</v>
      </c>
      <c r="F160" s="283" t="s">
        <v>44</v>
      </c>
      <c r="G160" s="283" t="s">
        <v>45</v>
      </c>
      <c r="H160" s="32">
        <v>2</v>
      </c>
      <c r="I160" s="32">
        <v>1</v>
      </c>
      <c r="J160" s="65">
        <v>0</v>
      </c>
      <c r="L160" s="303">
        <v>1</v>
      </c>
      <c r="M160" s="304">
        <f t="shared" si="63"/>
        <v>0.12195121951219512</v>
      </c>
      <c r="N160" s="303" t="str">
        <f t="shared" si="64"/>
        <v/>
      </c>
      <c r="O160" s="303">
        <f t="shared" si="70"/>
        <v>1</v>
      </c>
      <c r="P160" s="304">
        <f t="shared" si="71"/>
        <v>0.16483516483516483</v>
      </c>
      <c r="Q160" s="303" t="str">
        <f t="shared" si="72"/>
        <v/>
      </c>
      <c r="R160" s="303">
        <f t="shared" si="73"/>
        <v>1</v>
      </c>
      <c r="S160" s="304">
        <f t="shared" si="74"/>
        <v>0.05</v>
      </c>
      <c r="T160" s="74" t="str">
        <f t="shared" si="75"/>
        <v/>
      </c>
      <c r="V160" s="55">
        <f t="shared" si="76"/>
        <v>123</v>
      </c>
      <c r="W160" s="233">
        <f t="shared" si="65"/>
        <v>0.12195121951219512</v>
      </c>
      <c r="X160" s="231">
        <f t="shared" si="77"/>
        <v>34.852348707317091</v>
      </c>
      <c r="Y160" s="232">
        <f t="shared" si="78"/>
        <v>0</v>
      </c>
      <c r="Z160" s="232">
        <f t="shared" si="79"/>
        <v>1</v>
      </c>
      <c r="AA160" s="232">
        <f t="shared" si="66"/>
        <v>91</v>
      </c>
      <c r="AB160" s="233">
        <f t="shared" si="67"/>
        <v>0.16483516483516483</v>
      </c>
      <c r="AC160" s="231">
        <f t="shared" si="80"/>
        <v>32.725573043956032</v>
      </c>
      <c r="AD160" s="232">
        <f t="shared" si="81"/>
        <v>0</v>
      </c>
      <c r="AE160" s="232">
        <f t="shared" si="82"/>
        <v>1</v>
      </c>
      <c r="AF160" s="232">
        <f t="shared" si="68"/>
        <v>80</v>
      </c>
      <c r="AG160" s="232">
        <f t="shared" si="69"/>
        <v>4</v>
      </c>
      <c r="AH160" s="236">
        <f t="shared" si="83"/>
        <v>0.05</v>
      </c>
      <c r="AI160" s="231">
        <f t="shared" si="84"/>
        <v>35.481616999999815</v>
      </c>
      <c r="AJ160" s="232">
        <f t="shared" si="85"/>
        <v>0</v>
      </c>
      <c r="AL160" s="3">
        <f t="shared" si="88"/>
        <v>4</v>
      </c>
    </row>
    <row r="161" spans="1:38" ht="14.1" customHeight="1" x14ac:dyDescent="0.2">
      <c r="A161" s="240" t="s">
        <v>462</v>
      </c>
      <c r="B161" s="282" t="s">
        <v>523</v>
      </c>
      <c r="C161" s="32">
        <f t="shared" si="89"/>
        <v>39</v>
      </c>
      <c r="D161" s="32">
        <f t="shared" si="86"/>
        <v>64</v>
      </c>
      <c r="E161" s="32">
        <f t="shared" si="87"/>
        <v>68</v>
      </c>
      <c r="F161" s="283" t="s">
        <v>44</v>
      </c>
      <c r="G161" s="283" t="s">
        <v>45</v>
      </c>
      <c r="H161" s="32">
        <v>5</v>
      </c>
      <c r="I161" s="32">
        <v>1</v>
      </c>
      <c r="J161" s="65">
        <v>0</v>
      </c>
      <c r="L161" s="303">
        <v>1</v>
      </c>
      <c r="M161" s="304">
        <f t="shared" si="63"/>
        <v>0.12195121951219512</v>
      </c>
      <c r="N161" s="303" t="str">
        <f t="shared" si="64"/>
        <v/>
      </c>
      <c r="O161" s="303">
        <f t="shared" si="70"/>
        <v>1</v>
      </c>
      <c r="P161" s="304">
        <f t="shared" si="71"/>
        <v>0.16483516483516483</v>
      </c>
      <c r="Q161" s="303" t="str">
        <f t="shared" si="72"/>
        <v/>
      </c>
      <c r="R161" s="303">
        <f t="shared" si="73"/>
        <v>1</v>
      </c>
      <c r="S161" s="304">
        <f t="shared" si="74"/>
        <v>0.05</v>
      </c>
      <c r="T161" s="74" t="str">
        <f t="shared" si="75"/>
        <v/>
      </c>
      <c r="V161" s="55">
        <f t="shared" si="76"/>
        <v>123</v>
      </c>
      <c r="W161" s="233">
        <f t="shared" si="65"/>
        <v>0.12195121951219512</v>
      </c>
      <c r="X161" s="231">
        <f t="shared" si="77"/>
        <v>34.974299926829289</v>
      </c>
      <c r="Y161" s="232">
        <f t="shared" si="78"/>
        <v>0</v>
      </c>
      <c r="Z161" s="232">
        <f t="shared" si="79"/>
        <v>1</v>
      </c>
      <c r="AA161" s="232">
        <f t="shared" si="66"/>
        <v>91</v>
      </c>
      <c r="AB161" s="233">
        <f t="shared" si="67"/>
        <v>0.16483516483516483</v>
      </c>
      <c r="AC161" s="231">
        <f t="shared" si="80"/>
        <v>32.8904082087912</v>
      </c>
      <c r="AD161" s="232">
        <f t="shared" si="81"/>
        <v>0</v>
      </c>
      <c r="AE161" s="232">
        <f t="shared" si="82"/>
        <v>1</v>
      </c>
      <c r="AF161" s="232">
        <f t="shared" si="68"/>
        <v>80</v>
      </c>
      <c r="AG161" s="232">
        <f t="shared" si="69"/>
        <v>4</v>
      </c>
      <c r="AH161" s="236">
        <f t="shared" si="83"/>
        <v>0.05</v>
      </c>
      <c r="AI161" s="231">
        <f t="shared" si="84"/>
        <v>35.531616999999812</v>
      </c>
      <c r="AJ161" s="232">
        <f t="shared" si="85"/>
        <v>0</v>
      </c>
      <c r="AL161" s="3">
        <f t="shared" si="88"/>
        <v>4</v>
      </c>
    </row>
    <row r="162" spans="1:38" ht="14.1" customHeight="1" x14ac:dyDescent="0.2">
      <c r="A162" s="240" t="s">
        <v>462</v>
      </c>
      <c r="B162" s="282" t="s">
        <v>523</v>
      </c>
      <c r="C162" s="32">
        <f t="shared" si="89"/>
        <v>40</v>
      </c>
      <c r="D162" s="32">
        <f t="shared" si="86"/>
        <v>65</v>
      </c>
      <c r="E162" s="32">
        <f t="shared" si="87"/>
        <v>69</v>
      </c>
      <c r="F162" s="283" t="s">
        <v>44</v>
      </c>
      <c r="G162" s="283" t="s">
        <v>45</v>
      </c>
      <c r="H162" s="32">
        <v>6</v>
      </c>
      <c r="I162" s="32">
        <v>1</v>
      </c>
      <c r="J162" s="65">
        <v>0</v>
      </c>
      <c r="L162" s="303">
        <v>1</v>
      </c>
      <c r="M162" s="304">
        <f t="shared" si="63"/>
        <v>0.12195121951219512</v>
      </c>
      <c r="N162" s="303">
        <f t="shared" si="64"/>
        <v>1</v>
      </c>
      <c r="O162" s="303">
        <f t="shared" si="70"/>
        <v>1</v>
      </c>
      <c r="P162" s="304">
        <f t="shared" si="71"/>
        <v>0.16483516483516483</v>
      </c>
      <c r="Q162" s="303">
        <f t="shared" si="72"/>
        <v>1</v>
      </c>
      <c r="R162" s="303">
        <f t="shared" si="73"/>
        <v>1</v>
      </c>
      <c r="S162" s="304">
        <f t="shared" si="74"/>
        <v>0.05</v>
      </c>
      <c r="T162" s="74" t="str">
        <f t="shared" si="75"/>
        <v/>
      </c>
      <c r="V162" s="55">
        <f t="shared" si="76"/>
        <v>123</v>
      </c>
      <c r="W162" s="233">
        <f t="shared" si="65"/>
        <v>0.12195121951219512</v>
      </c>
      <c r="X162" s="231">
        <f t="shared" si="77"/>
        <v>35.096251146341487</v>
      </c>
      <c r="Y162" s="232">
        <f t="shared" si="78"/>
        <v>1</v>
      </c>
      <c r="Z162" s="232">
        <f t="shared" si="79"/>
        <v>1</v>
      </c>
      <c r="AA162" s="232">
        <f t="shared" si="66"/>
        <v>91</v>
      </c>
      <c r="AB162" s="233">
        <f t="shared" si="67"/>
        <v>0.16483516483516483</v>
      </c>
      <c r="AC162" s="231">
        <f t="shared" si="80"/>
        <v>33.055243373626368</v>
      </c>
      <c r="AD162" s="232">
        <f t="shared" si="81"/>
        <v>1</v>
      </c>
      <c r="AE162" s="232">
        <f t="shared" si="82"/>
        <v>1</v>
      </c>
      <c r="AF162" s="232">
        <f t="shared" si="68"/>
        <v>80</v>
      </c>
      <c r="AG162" s="232">
        <f t="shared" si="69"/>
        <v>4</v>
      </c>
      <c r="AH162" s="236">
        <f t="shared" si="83"/>
        <v>0.05</v>
      </c>
      <c r="AI162" s="231">
        <f t="shared" si="84"/>
        <v>35.58161699999981</v>
      </c>
      <c r="AJ162" s="232">
        <f t="shared" si="85"/>
        <v>0</v>
      </c>
      <c r="AL162" s="3">
        <f t="shared" si="88"/>
        <v>4</v>
      </c>
    </row>
    <row r="163" spans="1:38" ht="14.1" customHeight="1" x14ac:dyDescent="0.2">
      <c r="A163" s="240" t="s">
        <v>462</v>
      </c>
      <c r="B163" s="282" t="s">
        <v>523</v>
      </c>
      <c r="C163" s="32">
        <f t="shared" si="89"/>
        <v>41</v>
      </c>
      <c r="D163" s="32">
        <f t="shared" si="86"/>
        <v>66</v>
      </c>
      <c r="E163" s="32">
        <f t="shared" si="87"/>
        <v>70</v>
      </c>
      <c r="F163" s="283" t="s">
        <v>44</v>
      </c>
      <c r="G163" s="283" t="s">
        <v>45</v>
      </c>
      <c r="H163" s="32">
        <v>1</v>
      </c>
      <c r="I163" s="32">
        <v>1</v>
      </c>
      <c r="J163" s="65">
        <v>0</v>
      </c>
      <c r="L163" s="303">
        <v>1</v>
      </c>
      <c r="M163" s="304">
        <f t="shared" si="63"/>
        <v>0.12195121951219512</v>
      </c>
      <c r="N163" s="303" t="str">
        <f t="shared" si="64"/>
        <v/>
      </c>
      <c r="O163" s="303">
        <f t="shared" si="70"/>
        <v>1</v>
      </c>
      <c r="P163" s="304">
        <f t="shared" si="71"/>
        <v>0.16483516483516483</v>
      </c>
      <c r="Q163" s="303" t="str">
        <f t="shared" si="72"/>
        <v/>
      </c>
      <c r="R163" s="303">
        <f t="shared" si="73"/>
        <v>1</v>
      </c>
      <c r="S163" s="304">
        <f t="shared" si="74"/>
        <v>0.05</v>
      </c>
      <c r="T163" s="74" t="str">
        <f t="shared" si="75"/>
        <v/>
      </c>
      <c r="V163" s="55">
        <f t="shared" si="76"/>
        <v>123</v>
      </c>
      <c r="W163" s="233">
        <f t="shared" si="65"/>
        <v>0.12195121951219512</v>
      </c>
      <c r="X163" s="231">
        <f t="shared" si="77"/>
        <v>35.218202365853685</v>
      </c>
      <c r="Y163" s="232">
        <f t="shared" si="78"/>
        <v>0</v>
      </c>
      <c r="Z163" s="232">
        <f t="shared" si="79"/>
        <v>1</v>
      </c>
      <c r="AA163" s="232">
        <f t="shared" si="66"/>
        <v>91</v>
      </c>
      <c r="AB163" s="233">
        <f t="shared" si="67"/>
        <v>0.16483516483516483</v>
      </c>
      <c r="AC163" s="231">
        <f t="shared" si="80"/>
        <v>33.220078538461536</v>
      </c>
      <c r="AD163" s="232">
        <f t="shared" si="81"/>
        <v>0</v>
      </c>
      <c r="AE163" s="232">
        <f t="shared" si="82"/>
        <v>1</v>
      </c>
      <c r="AF163" s="232">
        <f t="shared" si="68"/>
        <v>80</v>
      </c>
      <c r="AG163" s="232">
        <f t="shared" si="69"/>
        <v>4</v>
      </c>
      <c r="AH163" s="236">
        <f t="shared" si="83"/>
        <v>0.05</v>
      </c>
      <c r="AI163" s="231">
        <f t="shared" si="84"/>
        <v>35.631616999999807</v>
      </c>
      <c r="AJ163" s="232">
        <f t="shared" si="85"/>
        <v>0</v>
      </c>
      <c r="AL163" s="3">
        <f t="shared" si="88"/>
        <v>4</v>
      </c>
    </row>
    <row r="164" spans="1:38" ht="14.1" customHeight="1" x14ac:dyDescent="0.2">
      <c r="A164" s="240" t="s">
        <v>462</v>
      </c>
      <c r="B164" s="282" t="s">
        <v>523</v>
      </c>
      <c r="C164" s="32">
        <f t="shared" si="89"/>
        <v>42</v>
      </c>
      <c r="D164" s="32">
        <f t="shared" si="86"/>
        <v>67</v>
      </c>
      <c r="E164" s="32">
        <f t="shared" si="87"/>
        <v>71</v>
      </c>
      <c r="F164" s="283" t="s">
        <v>44</v>
      </c>
      <c r="G164" s="283" t="s">
        <v>45</v>
      </c>
      <c r="H164" s="32">
        <v>6</v>
      </c>
      <c r="I164" s="32">
        <v>1</v>
      </c>
      <c r="J164" s="65">
        <v>0</v>
      </c>
      <c r="L164" s="303">
        <v>1</v>
      </c>
      <c r="M164" s="304">
        <f t="shared" si="63"/>
        <v>0.12195121951219512</v>
      </c>
      <c r="N164" s="303" t="str">
        <f t="shared" si="64"/>
        <v/>
      </c>
      <c r="O164" s="303">
        <f t="shared" si="70"/>
        <v>1</v>
      </c>
      <c r="P164" s="304">
        <f t="shared" si="71"/>
        <v>0.16483516483516483</v>
      </c>
      <c r="Q164" s="303" t="str">
        <f t="shared" si="72"/>
        <v/>
      </c>
      <c r="R164" s="303">
        <f t="shared" si="73"/>
        <v>1</v>
      </c>
      <c r="S164" s="304">
        <f t="shared" si="74"/>
        <v>0.05</v>
      </c>
      <c r="T164" s="74" t="str">
        <f t="shared" si="75"/>
        <v/>
      </c>
      <c r="V164" s="55">
        <f t="shared" si="76"/>
        <v>123</v>
      </c>
      <c r="W164" s="233">
        <f t="shared" si="65"/>
        <v>0.12195121951219512</v>
      </c>
      <c r="X164" s="231">
        <f t="shared" si="77"/>
        <v>35.340153585365883</v>
      </c>
      <c r="Y164" s="232">
        <f t="shared" si="78"/>
        <v>0</v>
      </c>
      <c r="Z164" s="232">
        <f t="shared" si="79"/>
        <v>1</v>
      </c>
      <c r="AA164" s="232">
        <f t="shared" si="66"/>
        <v>91</v>
      </c>
      <c r="AB164" s="233">
        <f t="shared" si="67"/>
        <v>0.16483516483516483</v>
      </c>
      <c r="AC164" s="231">
        <f t="shared" si="80"/>
        <v>33.384913703296704</v>
      </c>
      <c r="AD164" s="232">
        <f t="shared" si="81"/>
        <v>0</v>
      </c>
      <c r="AE164" s="232">
        <f t="shared" si="82"/>
        <v>1</v>
      </c>
      <c r="AF164" s="232">
        <f t="shared" si="68"/>
        <v>80</v>
      </c>
      <c r="AG164" s="232">
        <f t="shared" si="69"/>
        <v>4</v>
      </c>
      <c r="AH164" s="236">
        <f t="shared" si="83"/>
        <v>0.05</v>
      </c>
      <c r="AI164" s="231">
        <f t="shared" si="84"/>
        <v>35.681616999999804</v>
      </c>
      <c r="AJ164" s="232">
        <f t="shared" si="85"/>
        <v>0</v>
      </c>
      <c r="AL164" s="3">
        <f t="shared" si="88"/>
        <v>4</v>
      </c>
    </row>
    <row r="165" spans="1:38" ht="14.1" customHeight="1" x14ac:dyDescent="0.2">
      <c r="A165" s="240" t="s">
        <v>462</v>
      </c>
      <c r="B165" s="282" t="s">
        <v>523</v>
      </c>
      <c r="C165" s="32">
        <f t="shared" si="89"/>
        <v>43</v>
      </c>
      <c r="D165" s="32">
        <f t="shared" si="86"/>
        <v>68</v>
      </c>
      <c r="E165" s="32">
        <f t="shared" si="87"/>
        <v>72</v>
      </c>
      <c r="F165" s="283" t="s">
        <v>44</v>
      </c>
      <c r="G165" s="283" t="s">
        <v>45</v>
      </c>
      <c r="H165" s="32">
        <v>7</v>
      </c>
      <c r="I165" s="32">
        <v>1</v>
      </c>
      <c r="J165" s="65">
        <v>0</v>
      </c>
      <c r="L165" s="303">
        <v>1</v>
      </c>
      <c r="M165" s="304">
        <f t="shared" si="63"/>
        <v>0.12195121951219512</v>
      </c>
      <c r="N165" s="303" t="str">
        <f t="shared" si="64"/>
        <v/>
      </c>
      <c r="O165" s="303">
        <f t="shared" si="70"/>
        <v>1</v>
      </c>
      <c r="P165" s="304">
        <f t="shared" si="71"/>
        <v>0.16483516483516483</v>
      </c>
      <c r="Q165" s="303" t="str">
        <f t="shared" si="72"/>
        <v/>
      </c>
      <c r="R165" s="303">
        <f t="shared" si="73"/>
        <v>1</v>
      </c>
      <c r="S165" s="304">
        <f t="shared" si="74"/>
        <v>0.05</v>
      </c>
      <c r="T165" s="74" t="str">
        <f t="shared" si="75"/>
        <v/>
      </c>
      <c r="V165" s="55">
        <f t="shared" si="76"/>
        <v>123</v>
      </c>
      <c r="W165" s="233">
        <f t="shared" si="65"/>
        <v>0.12195121951219512</v>
      </c>
      <c r="X165" s="231">
        <f t="shared" si="77"/>
        <v>35.462104804878081</v>
      </c>
      <c r="Y165" s="232">
        <f t="shared" si="78"/>
        <v>0</v>
      </c>
      <c r="Z165" s="232">
        <f t="shared" si="79"/>
        <v>1</v>
      </c>
      <c r="AA165" s="232">
        <f t="shared" si="66"/>
        <v>91</v>
      </c>
      <c r="AB165" s="233">
        <f t="shared" si="67"/>
        <v>0.16483516483516483</v>
      </c>
      <c r="AC165" s="231">
        <f t="shared" si="80"/>
        <v>33.549748868131871</v>
      </c>
      <c r="AD165" s="232">
        <f t="shared" si="81"/>
        <v>0</v>
      </c>
      <c r="AE165" s="232">
        <f t="shared" si="82"/>
        <v>1</v>
      </c>
      <c r="AF165" s="232">
        <f t="shared" si="68"/>
        <v>80</v>
      </c>
      <c r="AG165" s="232">
        <f t="shared" si="69"/>
        <v>4</v>
      </c>
      <c r="AH165" s="236">
        <f t="shared" si="83"/>
        <v>0.05</v>
      </c>
      <c r="AI165" s="231">
        <f t="shared" si="84"/>
        <v>35.731616999999801</v>
      </c>
      <c r="AJ165" s="232">
        <f t="shared" si="85"/>
        <v>0</v>
      </c>
      <c r="AL165" s="3">
        <f t="shared" si="88"/>
        <v>4</v>
      </c>
    </row>
    <row r="166" spans="1:38" ht="14.1" customHeight="1" x14ac:dyDescent="0.2">
      <c r="A166" s="240" t="s">
        <v>462</v>
      </c>
      <c r="B166" s="282" t="s">
        <v>523</v>
      </c>
      <c r="C166" s="32">
        <f t="shared" si="89"/>
        <v>44</v>
      </c>
      <c r="D166" s="32">
        <f t="shared" si="86"/>
        <v>69</v>
      </c>
      <c r="E166" s="32">
        <f t="shared" si="87"/>
        <v>73</v>
      </c>
      <c r="F166" s="283" t="s">
        <v>44</v>
      </c>
      <c r="G166" s="283" t="s">
        <v>45</v>
      </c>
      <c r="H166" s="32">
        <v>4</v>
      </c>
      <c r="I166" s="32">
        <v>1</v>
      </c>
      <c r="J166" s="65">
        <v>0</v>
      </c>
      <c r="L166" s="303">
        <v>1</v>
      </c>
      <c r="M166" s="304">
        <f t="shared" si="63"/>
        <v>0.12195121951219512</v>
      </c>
      <c r="N166" s="303" t="str">
        <f t="shared" si="64"/>
        <v/>
      </c>
      <c r="O166" s="303">
        <f t="shared" si="70"/>
        <v>1</v>
      </c>
      <c r="P166" s="304">
        <f t="shared" si="71"/>
        <v>0.16483516483516483</v>
      </c>
      <c r="Q166" s="303" t="str">
        <f t="shared" si="72"/>
        <v/>
      </c>
      <c r="R166" s="303">
        <f t="shared" si="73"/>
        <v>1</v>
      </c>
      <c r="S166" s="304">
        <f t="shared" si="74"/>
        <v>0.05</v>
      </c>
      <c r="T166" s="74" t="str">
        <f t="shared" si="75"/>
        <v/>
      </c>
      <c r="V166" s="55">
        <f t="shared" si="76"/>
        <v>123</v>
      </c>
      <c r="W166" s="233">
        <f t="shared" si="65"/>
        <v>0.12195121951219512</v>
      </c>
      <c r="X166" s="231">
        <f t="shared" si="77"/>
        <v>35.584056024390279</v>
      </c>
      <c r="Y166" s="232">
        <f t="shared" si="78"/>
        <v>0</v>
      </c>
      <c r="Z166" s="232">
        <f t="shared" si="79"/>
        <v>1</v>
      </c>
      <c r="AA166" s="232">
        <f t="shared" si="66"/>
        <v>91</v>
      </c>
      <c r="AB166" s="233">
        <f t="shared" si="67"/>
        <v>0.16483516483516483</v>
      </c>
      <c r="AC166" s="231">
        <f t="shared" si="80"/>
        <v>33.714584032967039</v>
      </c>
      <c r="AD166" s="232">
        <f t="shared" si="81"/>
        <v>0</v>
      </c>
      <c r="AE166" s="232">
        <f t="shared" si="82"/>
        <v>1</v>
      </c>
      <c r="AF166" s="232">
        <f t="shared" si="68"/>
        <v>80</v>
      </c>
      <c r="AG166" s="232">
        <f t="shared" si="69"/>
        <v>4</v>
      </c>
      <c r="AH166" s="236">
        <f t="shared" si="83"/>
        <v>0.05</v>
      </c>
      <c r="AI166" s="231">
        <f t="shared" si="84"/>
        <v>35.781616999999798</v>
      </c>
      <c r="AJ166" s="232">
        <f t="shared" si="85"/>
        <v>0</v>
      </c>
      <c r="AL166" s="3">
        <f t="shared" si="88"/>
        <v>4</v>
      </c>
    </row>
    <row r="167" spans="1:38" ht="14.1" customHeight="1" x14ac:dyDescent="0.2">
      <c r="A167" s="240" t="s">
        <v>462</v>
      </c>
      <c r="B167" s="282" t="s">
        <v>523</v>
      </c>
      <c r="C167" s="32">
        <f t="shared" ref="C167:C201" si="90">+C166+1</f>
        <v>45</v>
      </c>
      <c r="D167" s="32">
        <f t="shared" si="86"/>
        <v>70</v>
      </c>
      <c r="E167" s="32">
        <f t="shared" si="87"/>
        <v>74</v>
      </c>
      <c r="F167" s="283" t="s">
        <v>44</v>
      </c>
      <c r="G167" s="283" t="s">
        <v>45</v>
      </c>
      <c r="H167" s="32">
        <v>7</v>
      </c>
      <c r="I167" s="32">
        <v>1</v>
      </c>
      <c r="J167" s="65">
        <v>0</v>
      </c>
      <c r="L167" s="303">
        <v>1</v>
      </c>
      <c r="M167" s="304">
        <f t="shared" si="63"/>
        <v>0.12195121951219512</v>
      </c>
      <c r="N167" s="303" t="str">
        <f t="shared" si="64"/>
        <v/>
      </c>
      <c r="O167" s="303">
        <f t="shared" si="70"/>
        <v>1</v>
      </c>
      <c r="P167" s="304">
        <f t="shared" si="71"/>
        <v>0.16483516483516483</v>
      </c>
      <c r="Q167" s="303" t="str">
        <f t="shared" si="72"/>
        <v/>
      </c>
      <c r="R167" s="303">
        <f t="shared" si="73"/>
        <v>1</v>
      </c>
      <c r="S167" s="304">
        <f t="shared" si="74"/>
        <v>0.05</v>
      </c>
      <c r="T167" s="74" t="str">
        <f t="shared" si="75"/>
        <v/>
      </c>
      <c r="V167" s="55">
        <f t="shared" si="76"/>
        <v>123</v>
      </c>
      <c r="W167" s="233">
        <f t="shared" si="65"/>
        <v>0.12195121951219512</v>
      </c>
      <c r="X167" s="231">
        <f t="shared" si="77"/>
        <v>35.706007243902476</v>
      </c>
      <c r="Y167" s="232">
        <f t="shared" si="78"/>
        <v>0</v>
      </c>
      <c r="Z167" s="232">
        <f t="shared" si="79"/>
        <v>1</v>
      </c>
      <c r="AA167" s="232">
        <f t="shared" si="66"/>
        <v>91</v>
      </c>
      <c r="AB167" s="233">
        <f t="shared" si="67"/>
        <v>0.16483516483516483</v>
      </c>
      <c r="AC167" s="231">
        <f t="shared" si="80"/>
        <v>33.879419197802207</v>
      </c>
      <c r="AD167" s="232">
        <f t="shared" si="81"/>
        <v>0</v>
      </c>
      <c r="AE167" s="232">
        <f t="shared" si="82"/>
        <v>1</v>
      </c>
      <c r="AF167" s="232">
        <f t="shared" si="68"/>
        <v>80</v>
      </c>
      <c r="AG167" s="232">
        <f t="shared" si="69"/>
        <v>4</v>
      </c>
      <c r="AH167" s="236">
        <f t="shared" si="83"/>
        <v>0.05</v>
      </c>
      <c r="AI167" s="231">
        <f t="shared" si="84"/>
        <v>35.831616999999795</v>
      </c>
      <c r="AJ167" s="232">
        <f t="shared" si="85"/>
        <v>0</v>
      </c>
      <c r="AL167" s="3">
        <f t="shared" si="88"/>
        <v>4</v>
      </c>
    </row>
    <row r="168" spans="1:38" ht="14.1" customHeight="1" x14ac:dyDescent="0.2">
      <c r="A168" s="240" t="s">
        <v>462</v>
      </c>
      <c r="B168" s="282" t="s">
        <v>523</v>
      </c>
      <c r="C168" s="32">
        <f t="shared" si="90"/>
        <v>46</v>
      </c>
      <c r="D168" s="32">
        <f t="shared" si="86"/>
        <v>71</v>
      </c>
      <c r="E168" s="32">
        <f t="shared" si="87"/>
        <v>75</v>
      </c>
      <c r="F168" s="283" t="s">
        <v>44</v>
      </c>
      <c r="G168" s="283" t="s">
        <v>45</v>
      </c>
      <c r="H168" s="32">
        <v>1</v>
      </c>
      <c r="I168" s="32">
        <v>1</v>
      </c>
      <c r="J168" s="65">
        <v>0</v>
      </c>
      <c r="L168" s="303">
        <v>1</v>
      </c>
      <c r="M168" s="304">
        <f t="shared" si="63"/>
        <v>0.12195121951219512</v>
      </c>
      <c r="N168" s="303" t="str">
        <f t="shared" si="64"/>
        <v/>
      </c>
      <c r="O168" s="303">
        <f t="shared" si="70"/>
        <v>1</v>
      </c>
      <c r="P168" s="304">
        <f t="shared" si="71"/>
        <v>0.16483516483516483</v>
      </c>
      <c r="Q168" s="303">
        <f t="shared" si="72"/>
        <v>1</v>
      </c>
      <c r="R168" s="303">
        <f t="shared" si="73"/>
        <v>1</v>
      </c>
      <c r="S168" s="304">
        <f t="shared" si="74"/>
        <v>0.05</v>
      </c>
      <c r="T168" s="74" t="str">
        <f t="shared" si="75"/>
        <v/>
      </c>
      <c r="V168" s="55">
        <f t="shared" si="76"/>
        <v>123</v>
      </c>
      <c r="W168" s="233">
        <f t="shared" si="65"/>
        <v>0.12195121951219512</v>
      </c>
      <c r="X168" s="231">
        <f t="shared" si="77"/>
        <v>35.827958463414674</v>
      </c>
      <c r="Y168" s="232">
        <f t="shared" si="78"/>
        <v>0</v>
      </c>
      <c r="Z168" s="232">
        <f t="shared" si="79"/>
        <v>1</v>
      </c>
      <c r="AA168" s="232">
        <f t="shared" si="66"/>
        <v>91</v>
      </c>
      <c r="AB168" s="233">
        <f t="shared" si="67"/>
        <v>0.16483516483516483</v>
      </c>
      <c r="AC168" s="231">
        <f t="shared" si="80"/>
        <v>34.044254362637375</v>
      </c>
      <c r="AD168" s="232">
        <f t="shared" si="81"/>
        <v>1</v>
      </c>
      <c r="AE168" s="232">
        <f t="shared" si="82"/>
        <v>1</v>
      </c>
      <c r="AF168" s="232">
        <f t="shared" si="68"/>
        <v>80</v>
      </c>
      <c r="AG168" s="232">
        <f t="shared" si="69"/>
        <v>4</v>
      </c>
      <c r="AH168" s="236">
        <f t="shared" si="83"/>
        <v>0.05</v>
      </c>
      <c r="AI168" s="231">
        <f t="shared" si="84"/>
        <v>35.881616999999792</v>
      </c>
      <c r="AJ168" s="232">
        <f t="shared" si="85"/>
        <v>0</v>
      </c>
      <c r="AL168" s="3">
        <f t="shared" si="88"/>
        <v>4</v>
      </c>
    </row>
    <row r="169" spans="1:38" ht="14.1" customHeight="1" x14ac:dyDescent="0.2">
      <c r="A169" s="240" t="s">
        <v>462</v>
      </c>
      <c r="B169" s="282" t="s">
        <v>523</v>
      </c>
      <c r="C169" s="32">
        <f t="shared" si="90"/>
        <v>47</v>
      </c>
      <c r="D169" s="32">
        <f t="shared" si="86"/>
        <v>72</v>
      </c>
      <c r="E169" s="32">
        <f t="shared" si="87"/>
        <v>76</v>
      </c>
      <c r="F169" s="283" t="s">
        <v>44</v>
      </c>
      <c r="G169" s="283" t="s">
        <v>45</v>
      </c>
      <c r="H169" s="32">
        <v>4</v>
      </c>
      <c r="I169" s="32">
        <v>1</v>
      </c>
      <c r="J169" s="65">
        <v>0</v>
      </c>
      <c r="L169" s="303">
        <v>1</v>
      </c>
      <c r="M169" s="304">
        <f t="shared" si="63"/>
        <v>0.12195121951219512</v>
      </c>
      <c r="N169" s="303" t="str">
        <f t="shared" si="64"/>
        <v/>
      </c>
      <c r="O169" s="303">
        <f t="shared" si="70"/>
        <v>1</v>
      </c>
      <c r="P169" s="304">
        <f t="shared" si="71"/>
        <v>0.16483516483516483</v>
      </c>
      <c r="Q169" s="303" t="str">
        <f t="shared" si="72"/>
        <v/>
      </c>
      <c r="R169" s="303">
        <f t="shared" si="73"/>
        <v>1</v>
      </c>
      <c r="S169" s="304">
        <f t="shared" si="74"/>
        <v>0.05</v>
      </c>
      <c r="T169" s="74" t="str">
        <f t="shared" si="75"/>
        <v/>
      </c>
      <c r="V169" s="55">
        <f t="shared" si="76"/>
        <v>123</v>
      </c>
      <c r="W169" s="233">
        <f t="shared" si="65"/>
        <v>0.12195121951219512</v>
      </c>
      <c r="X169" s="231">
        <f t="shared" si="77"/>
        <v>35.949909682926872</v>
      </c>
      <c r="Y169" s="232">
        <f t="shared" si="78"/>
        <v>0</v>
      </c>
      <c r="Z169" s="232">
        <f t="shared" si="79"/>
        <v>1</v>
      </c>
      <c r="AA169" s="232">
        <f t="shared" si="66"/>
        <v>91</v>
      </c>
      <c r="AB169" s="233">
        <f t="shared" si="67"/>
        <v>0.16483516483516483</v>
      </c>
      <c r="AC169" s="231">
        <f t="shared" si="80"/>
        <v>34.209089527472543</v>
      </c>
      <c r="AD169" s="232">
        <f t="shared" si="81"/>
        <v>0</v>
      </c>
      <c r="AE169" s="232">
        <f t="shared" si="82"/>
        <v>1</v>
      </c>
      <c r="AF169" s="232">
        <f t="shared" si="68"/>
        <v>80</v>
      </c>
      <c r="AG169" s="232">
        <f t="shared" si="69"/>
        <v>4</v>
      </c>
      <c r="AH169" s="236">
        <f t="shared" si="83"/>
        <v>0.05</v>
      </c>
      <c r="AI169" s="231">
        <f t="shared" si="84"/>
        <v>35.93161699999979</v>
      </c>
      <c r="AJ169" s="232">
        <f t="shared" si="85"/>
        <v>0</v>
      </c>
      <c r="AL169" s="3">
        <f t="shared" si="88"/>
        <v>4</v>
      </c>
    </row>
    <row r="170" spans="1:38" ht="14.1" customHeight="1" x14ac:dyDescent="0.2">
      <c r="A170" s="240" t="s">
        <v>462</v>
      </c>
      <c r="B170" s="282" t="s">
        <v>523</v>
      </c>
      <c r="C170" s="32">
        <f t="shared" si="90"/>
        <v>48</v>
      </c>
      <c r="D170" s="32">
        <f t="shared" si="86"/>
        <v>73</v>
      </c>
      <c r="E170" s="32">
        <f t="shared" si="87"/>
        <v>77</v>
      </c>
      <c r="F170" s="283" t="s">
        <v>44</v>
      </c>
      <c r="G170" s="283" t="s">
        <v>45</v>
      </c>
      <c r="H170" s="32">
        <v>2</v>
      </c>
      <c r="I170" s="32">
        <v>1</v>
      </c>
      <c r="J170" s="65">
        <v>0</v>
      </c>
      <c r="L170" s="303">
        <v>1</v>
      </c>
      <c r="M170" s="304">
        <f t="shared" si="63"/>
        <v>0.12195121951219512</v>
      </c>
      <c r="N170" s="303">
        <f t="shared" si="64"/>
        <v>1</v>
      </c>
      <c r="O170" s="303">
        <f t="shared" si="70"/>
        <v>1</v>
      </c>
      <c r="P170" s="304">
        <f t="shared" si="71"/>
        <v>0.16483516483516483</v>
      </c>
      <c r="Q170" s="303" t="str">
        <f t="shared" si="72"/>
        <v/>
      </c>
      <c r="R170" s="303">
        <f t="shared" si="73"/>
        <v>1</v>
      </c>
      <c r="S170" s="304">
        <f t="shared" si="74"/>
        <v>0.05</v>
      </c>
      <c r="T170" s="74" t="str">
        <f t="shared" si="75"/>
        <v/>
      </c>
      <c r="V170" s="55">
        <f t="shared" si="76"/>
        <v>123</v>
      </c>
      <c r="W170" s="233">
        <f t="shared" si="65"/>
        <v>0.12195121951219512</v>
      </c>
      <c r="X170" s="231">
        <f t="shared" si="77"/>
        <v>36.07186090243907</v>
      </c>
      <c r="Y170" s="232">
        <f t="shared" si="78"/>
        <v>1</v>
      </c>
      <c r="Z170" s="232">
        <f t="shared" si="79"/>
        <v>1</v>
      </c>
      <c r="AA170" s="232">
        <f t="shared" si="66"/>
        <v>91</v>
      </c>
      <c r="AB170" s="233">
        <f t="shared" si="67"/>
        <v>0.16483516483516483</v>
      </c>
      <c r="AC170" s="231">
        <f t="shared" si="80"/>
        <v>34.37392469230771</v>
      </c>
      <c r="AD170" s="232">
        <f t="shared" si="81"/>
        <v>0</v>
      </c>
      <c r="AE170" s="232">
        <f t="shared" si="82"/>
        <v>1</v>
      </c>
      <c r="AF170" s="232">
        <f t="shared" si="68"/>
        <v>80</v>
      </c>
      <c r="AG170" s="232">
        <f t="shared" si="69"/>
        <v>4</v>
      </c>
      <c r="AH170" s="236">
        <f t="shared" si="83"/>
        <v>0.05</v>
      </c>
      <c r="AI170" s="231">
        <f t="shared" si="84"/>
        <v>35.981616999999787</v>
      </c>
      <c r="AJ170" s="232">
        <f t="shared" si="85"/>
        <v>0</v>
      </c>
      <c r="AL170" s="3">
        <f t="shared" si="88"/>
        <v>4</v>
      </c>
    </row>
    <row r="171" spans="1:38" ht="14.1" customHeight="1" x14ac:dyDescent="0.2">
      <c r="A171" s="240" t="s">
        <v>462</v>
      </c>
      <c r="B171" s="282" t="s">
        <v>523</v>
      </c>
      <c r="C171" s="32">
        <f t="shared" si="90"/>
        <v>49</v>
      </c>
      <c r="D171" s="32">
        <f t="shared" si="86"/>
        <v>74</v>
      </c>
      <c r="E171" s="32">
        <f t="shared" si="87"/>
        <v>78</v>
      </c>
      <c r="F171" s="283" t="s">
        <v>44</v>
      </c>
      <c r="G171" s="283" t="s">
        <v>45</v>
      </c>
      <c r="H171" s="32">
        <v>6</v>
      </c>
      <c r="I171" s="32">
        <v>1</v>
      </c>
      <c r="J171" s="65">
        <v>0</v>
      </c>
      <c r="L171" s="303">
        <v>1</v>
      </c>
      <c r="M171" s="304">
        <f t="shared" si="63"/>
        <v>0.12195121951219512</v>
      </c>
      <c r="N171" s="303" t="str">
        <f t="shared" si="64"/>
        <v/>
      </c>
      <c r="O171" s="303">
        <f t="shared" si="70"/>
        <v>1</v>
      </c>
      <c r="P171" s="304">
        <f t="shared" si="71"/>
        <v>0.16483516483516483</v>
      </c>
      <c r="Q171" s="303" t="str">
        <f t="shared" si="72"/>
        <v/>
      </c>
      <c r="R171" s="303">
        <f t="shared" si="73"/>
        <v>1</v>
      </c>
      <c r="S171" s="304">
        <f t="shared" si="74"/>
        <v>0.05</v>
      </c>
      <c r="T171" s="74">
        <f t="shared" si="75"/>
        <v>1</v>
      </c>
      <c r="V171" s="55">
        <f t="shared" si="76"/>
        <v>123</v>
      </c>
      <c r="W171" s="233">
        <f t="shared" si="65"/>
        <v>0.12195121951219512</v>
      </c>
      <c r="X171" s="231">
        <f t="shared" si="77"/>
        <v>36.193812121951268</v>
      </c>
      <c r="Y171" s="232">
        <f t="shared" si="78"/>
        <v>0</v>
      </c>
      <c r="Z171" s="232">
        <f t="shared" si="79"/>
        <v>1</v>
      </c>
      <c r="AA171" s="232">
        <f t="shared" si="66"/>
        <v>91</v>
      </c>
      <c r="AB171" s="233">
        <f t="shared" si="67"/>
        <v>0.16483516483516483</v>
      </c>
      <c r="AC171" s="231">
        <f t="shared" si="80"/>
        <v>34.538759857142878</v>
      </c>
      <c r="AD171" s="232">
        <f t="shared" si="81"/>
        <v>0</v>
      </c>
      <c r="AE171" s="232">
        <f t="shared" si="82"/>
        <v>1</v>
      </c>
      <c r="AF171" s="232">
        <f t="shared" si="68"/>
        <v>80</v>
      </c>
      <c r="AG171" s="232">
        <f t="shared" si="69"/>
        <v>4</v>
      </c>
      <c r="AH171" s="236">
        <f t="shared" si="83"/>
        <v>0.05</v>
      </c>
      <c r="AI171" s="231">
        <f t="shared" si="84"/>
        <v>36.031616999999784</v>
      </c>
      <c r="AJ171" s="232">
        <f t="shared" si="85"/>
        <v>1</v>
      </c>
      <c r="AL171" s="3">
        <f t="shared" si="88"/>
        <v>4</v>
      </c>
    </row>
    <row r="172" spans="1:38" ht="14.1" customHeight="1" x14ac:dyDescent="0.2">
      <c r="A172" s="240" t="s">
        <v>462</v>
      </c>
      <c r="B172" s="282" t="s">
        <v>523</v>
      </c>
      <c r="C172" s="32">
        <v>49</v>
      </c>
      <c r="D172" s="32">
        <v>74</v>
      </c>
      <c r="E172" s="32">
        <f t="shared" si="87"/>
        <v>79</v>
      </c>
      <c r="F172" s="283" t="s">
        <v>44</v>
      </c>
      <c r="G172" s="283" t="s">
        <v>45</v>
      </c>
      <c r="H172" s="32">
        <v>5</v>
      </c>
      <c r="I172" s="32">
        <v>1</v>
      </c>
      <c r="J172" s="65">
        <v>0</v>
      </c>
      <c r="L172" s="303">
        <v>1</v>
      </c>
      <c r="M172" s="304">
        <f t="shared" si="63"/>
        <v>0.12195121951219512</v>
      </c>
      <c r="N172" s="303" t="str">
        <f t="shared" si="64"/>
        <v/>
      </c>
      <c r="O172" s="303">
        <f t="shared" si="70"/>
        <v>1</v>
      </c>
      <c r="P172" s="304">
        <f t="shared" si="71"/>
        <v>0.16483516483516483</v>
      </c>
      <c r="Q172" s="303" t="str">
        <f t="shared" si="72"/>
        <v/>
      </c>
      <c r="R172" s="303">
        <f t="shared" si="73"/>
        <v>1</v>
      </c>
      <c r="S172" s="304">
        <f t="shared" si="74"/>
        <v>0.05</v>
      </c>
      <c r="T172" s="74" t="str">
        <f t="shared" si="75"/>
        <v/>
      </c>
      <c r="V172" s="55">
        <f t="shared" si="76"/>
        <v>123</v>
      </c>
      <c r="W172" s="233">
        <f t="shared" si="65"/>
        <v>0.12195121951219512</v>
      </c>
      <c r="X172" s="231">
        <f t="shared" si="77"/>
        <v>36.315763341463466</v>
      </c>
      <c r="Y172" s="232">
        <f t="shared" si="78"/>
        <v>0</v>
      </c>
      <c r="Z172" s="232">
        <f t="shared" si="79"/>
        <v>1</v>
      </c>
      <c r="AA172" s="232">
        <f t="shared" si="66"/>
        <v>91</v>
      </c>
      <c r="AB172" s="233">
        <f t="shared" si="67"/>
        <v>0.16483516483516483</v>
      </c>
      <c r="AC172" s="231">
        <f t="shared" si="80"/>
        <v>34.703595021978046</v>
      </c>
      <c r="AD172" s="232">
        <f t="shared" si="81"/>
        <v>0</v>
      </c>
      <c r="AE172" s="232">
        <f t="shared" si="82"/>
        <v>1</v>
      </c>
      <c r="AF172" s="232">
        <f t="shared" si="68"/>
        <v>80</v>
      </c>
      <c r="AG172" s="232">
        <f t="shared" si="69"/>
        <v>4</v>
      </c>
      <c r="AH172" s="236">
        <f t="shared" si="83"/>
        <v>0.05</v>
      </c>
      <c r="AI172" s="231">
        <f t="shared" si="84"/>
        <v>36.081616999999781</v>
      </c>
      <c r="AJ172" s="232">
        <f t="shared" si="85"/>
        <v>0</v>
      </c>
      <c r="AL172" s="3">
        <f t="shared" si="88"/>
        <v>4</v>
      </c>
    </row>
    <row r="173" spans="1:38" ht="14.1" customHeight="1" x14ac:dyDescent="0.2">
      <c r="A173" s="240" t="s">
        <v>462</v>
      </c>
      <c r="B173" s="282" t="s">
        <v>523</v>
      </c>
      <c r="C173" s="32">
        <v>49</v>
      </c>
      <c r="D173" s="32">
        <f t="shared" si="86"/>
        <v>75</v>
      </c>
      <c r="E173" s="32">
        <f t="shared" si="87"/>
        <v>80</v>
      </c>
      <c r="F173" s="283" t="s">
        <v>44</v>
      </c>
      <c r="G173" s="283" t="s">
        <v>45</v>
      </c>
      <c r="H173" s="32">
        <v>1</v>
      </c>
      <c r="I173" s="32">
        <v>1</v>
      </c>
      <c r="J173" s="65">
        <v>0</v>
      </c>
      <c r="L173" s="303">
        <v>1</v>
      </c>
      <c r="M173" s="304">
        <f t="shared" si="63"/>
        <v>0.12195121951219512</v>
      </c>
      <c r="N173" s="303" t="str">
        <f t="shared" si="64"/>
        <v/>
      </c>
      <c r="O173" s="303">
        <f t="shared" si="70"/>
        <v>1</v>
      </c>
      <c r="P173" s="304">
        <f t="shared" si="71"/>
        <v>0.16483516483516483</v>
      </c>
      <c r="Q173" s="303" t="str">
        <f t="shared" si="72"/>
        <v/>
      </c>
      <c r="R173" s="303">
        <f t="shared" si="73"/>
        <v>1</v>
      </c>
      <c r="S173" s="304">
        <f t="shared" si="74"/>
        <v>0.05</v>
      </c>
      <c r="T173" s="74" t="str">
        <f t="shared" si="75"/>
        <v/>
      </c>
      <c r="V173" s="55">
        <f t="shared" si="76"/>
        <v>123</v>
      </c>
      <c r="W173" s="233">
        <f t="shared" si="65"/>
        <v>0.12195121951219512</v>
      </c>
      <c r="X173" s="231">
        <f t="shared" si="77"/>
        <v>36.437714560975664</v>
      </c>
      <c r="Y173" s="232">
        <f t="shared" si="78"/>
        <v>0</v>
      </c>
      <c r="Z173" s="232">
        <f t="shared" si="79"/>
        <v>1</v>
      </c>
      <c r="AA173" s="232">
        <f t="shared" si="66"/>
        <v>91</v>
      </c>
      <c r="AB173" s="233">
        <f t="shared" si="67"/>
        <v>0.16483516483516483</v>
      </c>
      <c r="AC173" s="231">
        <f t="shared" si="80"/>
        <v>34.868430186813214</v>
      </c>
      <c r="AD173" s="232">
        <f t="shared" si="81"/>
        <v>0</v>
      </c>
      <c r="AE173" s="232">
        <f t="shared" si="82"/>
        <v>1</v>
      </c>
      <c r="AF173" s="232">
        <f t="shared" si="68"/>
        <v>80</v>
      </c>
      <c r="AG173" s="232">
        <f t="shared" si="69"/>
        <v>4</v>
      </c>
      <c r="AH173" s="236">
        <f t="shared" si="83"/>
        <v>0.05</v>
      </c>
      <c r="AI173" s="231">
        <f t="shared" si="84"/>
        <v>36.131616999999778</v>
      </c>
      <c r="AJ173" s="232">
        <f t="shared" si="85"/>
        <v>0</v>
      </c>
      <c r="AL173" s="3">
        <f t="shared" si="88"/>
        <v>4</v>
      </c>
    </row>
    <row r="174" spans="1:38" ht="14.1" customHeight="1" x14ac:dyDescent="0.2">
      <c r="A174" s="240" t="s">
        <v>462</v>
      </c>
      <c r="B174" s="282" t="s">
        <v>523</v>
      </c>
      <c r="C174" s="32">
        <v>49</v>
      </c>
      <c r="D174" s="32">
        <f t="shared" si="86"/>
        <v>76</v>
      </c>
      <c r="E174" s="32">
        <f t="shared" si="87"/>
        <v>81</v>
      </c>
      <c r="F174" s="283" t="s">
        <v>44</v>
      </c>
      <c r="G174" s="283" t="s">
        <v>45</v>
      </c>
      <c r="H174" s="32">
        <v>4</v>
      </c>
      <c r="I174" s="32">
        <v>1</v>
      </c>
      <c r="J174" s="65">
        <v>0</v>
      </c>
      <c r="L174" s="303">
        <v>1</v>
      </c>
      <c r="M174" s="304">
        <f t="shared" si="63"/>
        <v>0.12195121951219512</v>
      </c>
      <c r="N174" s="303" t="str">
        <f t="shared" si="64"/>
        <v/>
      </c>
      <c r="O174" s="303">
        <f t="shared" si="70"/>
        <v>1</v>
      </c>
      <c r="P174" s="304">
        <f t="shared" si="71"/>
        <v>0.16483516483516483</v>
      </c>
      <c r="Q174" s="303">
        <f t="shared" si="72"/>
        <v>1</v>
      </c>
      <c r="R174" s="303">
        <f t="shared" si="73"/>
        <v>1</v>
      </c>
      <c r="S174" s="304">
        <f t="shared" si="74"/>
        <v>0.05</v>
      </c>
      <c r="T174" s="74" t="str">
        <f t="shared" si="75"/>
        <v/>
      </c>
      <c r="V174" s="55">
        <f t="shared" si="76"/>
        <v>123</v>
      </c>
      <c r="W174" s="233">
        <f t="shared" si="65"/>
        <v>0.12195121951219512</v>
      </c>
      <c r="X174" s="231">
        <f t="shared" si="77"/>
        <v>36.559665780487862</v>
      </c>
      <c r="Y174" s="232">
        <f t="shared" si="78"/>
        <v>0</v>
      </c>
      <c r="Z174" s="232">
        <f t="shared" si="79"/>
        <v>1</v>
      </c>
      <c r="AA174" s="232">
        <f t="shared" si="66"/>
        <v>91</v>
      </c>
      <c r="AB174" s="233">
        <f t="shared" si="67"/>
        <v>0.16483516483516483</v>
      </c>
      <c r="AC174" s="231">
        <f t="shared" si="80"/>
        <v>35.033265351648382</v>
      </c>
      <c r="AD174" s="232">
        <f t="shared" si="81"/>
        <v>1</v>
      </c>
      <c r="AE174" s="232">
        <f t="shared" si="82"/>
        <v>1</v>
      </c>
      <c r="AF174" s="232">
        <f t="shared" si="68"/>
        <v>80</v>
      </c>
      <c r="AG174" s="232">
        <f t="shared" si="69"/>
        <v>4</v>
      </c>
      <c r="AH174" s="236">
        <f t="shared" si="83"/>
        <v>0.05</v>
      </c>
      <c r="AI174" s="231">
        <f t="shared" si="84"/>
        <v>36.181616999999775</v>
      </c>
      <c r="AJ174" s="232">
        <f t="shared" si="85"/>
        <v>0</v>
      </c>
      <c r="AL174" s="3">
        <f t="shared" si="88"/>
        <v>4</v>
      </c>
    </row>
    <row r="175" spans="1:38" ht="14.1" customHeight="1" x14ac:dyDescent="0.2">
      <c r="A175" s="240" t="s">
        <v>462</v>
      </c>
      <c r="B175" s="282" t="s">
        <v>523</v>
      </c>
      <c r="C175" s="32">
        <v>49</v>
      </c>
      <c r="D175" s="32">
        <f t="shared" si="86"/>
        <v>77</v>
      </c>
      <c r="E175" s="32">
        <f t="shared" si="87"/>
        <v>82</v>
      </c>
      <c r="F175" s="283" t="s">
        <v>44</v>
      </c>
      <c r="G175" s="283" t="s">
        <v>45</v>
      </c>
      <c r="H175" s="32">
        <v>2</v>
      </c>
      <c r="I175" s="32">
        <v>1</v>
      </c>
      <c r="J175" s="65">
        <v>0</v>
      </c>
      <c r="L175" s="303">
        <v>1</v>
      </c>
      <c r="M175" s="304">
        <f t="shared" si="63"/>
        <v>0.12195121951219512</v>
      </c>
      <c r="N175" s="303" t="str">
        <f t="shared" si="64"/>
        <v/>
      </c>
      <c r="O175" s="303">
        <f t="shared" si="70"/>
        <v>1</v>
      </c>
      <c r="P175" s="304">
        <f t="shared" si="71"/>
        <v>0.16483516483516483</v>
      </c>
      <c r="Q175" s="303" t="str">
        <f t="shared" si="72"/>
        <v/>
      </c>
      <c r="R175" s="303">
        <f t="shared" si="73"/>
        <v>1</v>
      </c>
      <c r="S175" s="304">
        <f t="shared" si="74"/>
        <v>0.05</v>
      </c>
      <c r="T175" s="74" t="str">
        <f t="shared" si="75"/>
        <v/>
      </c>
      <c r="V175" s="55">
        <f t="shared" si="76"/>
        <v>123</v>
      </c>
      <c r="W175" s="233">
        <f t="shared" si="65"/>
        <v>0.12195121951219512</v>
      </c>
      <c r="X175" s="231">
        <f t="shared" si="77"/>
        <v>36.68161700000006</v>
      </c>
      <c r="Y175" s="232">
        <f t="shared" si="78"/>
        <v>0</v>
      </c>
      <c r="Z175" s="232">
        <f t="shared" si="79"/>
        <v>1</v>
      </c>
      <c r="AA175" s="232">
        <f t="shared" si="66"/>
        <v>91</v>
      </c>
      <c r="AB175" s="233">
        <f t="shared" si="67"/>
        <v>0.16483516483516483</v>
      </c>
      <c r="AC175" s="231">
        <f t="shared" si="80"/>
        <v>35.198100516483549</v>
      </c>
      <c r="AD175" s="232">
        <f t="shared" si="81"/>
        <v>0</v>
      </c>
      <c r="AE175" s="232">
        <f t="shared" si="82"/>
        <v>1</v>
      </c>
      <c r="AF175" s="232">
        <f t="shared" si="68"/>
        <v>80</v>
      </c>
      <c r="AG175" s="232">
        <f t="shared" si="69"/>
        <v>4</v>
      </c>
      <c r="AH175" s="236">
        <f t="shared" si="83"/>
        <v>0.05</v>
      </c>
      <c r="AI175" s="231">
        <f t="shared" si="84"/>
        <v>36.231616999999773</v>
      </c>
      <c r="AJ175" s="232">
        <f t="shared" si="85"/>
        <v>0</v>
      </c>
      <c r="AL175" s="3">
        <f t="shared" si="88"/>
        <v>4</v>
      </c>
    </row>
    <row r="176" spans="1:38" ht="14.1" customHeight="1" x14ac:dyDescent="0.2">
      <c r="A176" s="240" t="s">
        <v>462</v>
      </c>
      <c r="B176" s="282" t="s">
        <v>523</v>
      </c>
      <c r="C176" s="32">
        <f t="shared" si="90"/>
        <v>50</v>
      </c>
      <c r="D176" s="32">
        <f t="shared" si="86"/>
        <v>78</v>
      </c>
      <c r="E176" s="32">
        <f t="shared" si="87"/>
        <v>83</v>
      </c>
      <c r="F176" s="283" t="s">
        <v>44</v>
      </c>
      <c r="G176" s="283" t="s">
        <v>45</v>
      </c>
      <c r="H176" s="32">
        <v>4</v>
      </c>
      <c r="I176" s="32">
        <v>1</v>
      </c>
      <c r="J176" s="65">
        <v>0</v>
      </c>
      <c r="L176" s="303">
        <v>1</v>
      </c>
      <c r="M176" s="304">
        <f t="shared" si="63"/>
        <v>0.12195121951219512</v>
      </c>
      <c r="N176" s="303" t="str">
        <f t="shared" si="64"/>
        <v/>
      </c>
      <c r="O176" s="303">
        <f t="shared" si="70"/>
        <v>1</v>
      </c>
      <c r="P176" s="304">
        <f t="shared" si="71"/>
        <v>0.16483516483516483</v>
      </c>
      <c r="Q176" s="303" t="str">
        <f t="shared" si="72"/>
        <v/>
      </c>
      <c r="R176" s="303">
        <f t="shared" si="73"/>
        <v>1</v>
      </c>
      <c r="S176" s="304">
        <f t="shared" si="74"/>
        <v>0.05</v>
      </c>
      <c r="T176" s="74" t="str">
        <f t="shared" si="75"/>
        <v/>
      </c>
      <c r="V176" s="55">
        <f t="shared" si="76"/>
        <v>123</v>
      </c>
      <c r="W176" s="233">
        <f t="shared" si="65"/>
        <v>0.12195121951219512</v>
      </c>
      <c r="X176" s="231">
        <f t="shared" si="77"/>
        <v>36.803568219512258</v>
      </c>
      <c r="Y176" s="232">
        <f t="shared" si="78"/>
        <v>0</v>
      </c>
      <c r="Z176" s="232">
        <f t="shared" si="79"/>
        <v>1</v>
      </c>
      <c r="AA176" s="232">
        <f t="shared" si="66"/>
        <v>91</v>
      </c>
      <c r="AB176" s="233">
        <f t="shared" si="67"/>
        <v>0.16483516483516483</v>
      </c>
      <c r="AC176" s="231">
        <f t="shared" si="80"/>
        <v>35.362935681318717</v>
      </c>
      <c r="AD176" s="232">
        <f t="shared" si="81"/>
        <v>0</v>
      </c>
      <c r="AE176" s="232">
        <f t="shared" si="82"/>
        <v>1</v>
      </c>
      <c r="AF176" s="232">
        <f t="shared" si="68"/>
        <v>80</v>
      </c>
      <c r="AG176" s="232">
        <f t="shared" si="69"/>
        <v>4</v>
      </c>
      <c r="AH176" s="236">
        <f t="shared" si="83"/>
        <v>0.05</v>
      </c>
      <c r="AI176" s="231">
        <f t="shared" si="84"/>
        <v>36.28161699999977</v>
      </c>
      <c r="AJ176" s="232">
        <f t="shared" si="85"/>
        <v>0</v>
      </c>
      <c r="AL176" s="3">
        <f t="shared" si="88"/>
        <v>4</v>
      </c>
    </row>
    <row r="177" spans="1:38" ht="14.1" customHeight="1" x14ac:dyDescent="0.2">
      <c r="A177" s="240" t="s">
        <v>462</v>
      </c>
      <c r="B177" s="282" t="s">
        <v>523</v>
      </c>
      <c r="C177" s="32">
        <v>50</v>
      </c>
      <c r="D177" s="32">
        <f t="shared" si="86"/>
        <v>79</v>
      </c>
      <c r="E177" s="32">
        <f t="shared" si="87"/>
        <v>84</v>
      </c>
      <c r="F177" s="283" t="s">
        <v>44</v>
      </c>
      <c r="G177" s="283" t="s">
        <v>45</v>
      </c>
      <c r="H177" s="32">
        <v>6</v>
      </c>
      <c r="I177" s="32">
        <v>1</v>
      </c>
      <c r="J177" s="65">
        <v>0</v>
      </c>
      <c r="L177" s="303">
        <v>1</v>
      </c>
      <c r="M177" s="304">
        <f t="shared" si="63"/>
        <v>0.12195121951219512</v>
      </c>
      <c r="N177" s="303" t="str">
        <f t="shared" si="64"/>
        <v/>
      </c>
      <c r="O177" s="303">
        <f t="shared" si="70"/>
        <v>1</v>
      </c>
      <c r="P177" s="304">
        <f t="shared" si="71"/>
        <v>0.16483516483516483</v>
      </c>
      <c r="Q177" s="303" t="str">
        <f t="shared" si="72"/>
        <v/>
      </c>
      <c r="R177" s="303">
        <f t="shared" si="73"/>
        <v>1</v>
      </c>
      <c r="S177" s="304">
        <f t="shared" si="74"/>
        <v>0.05</v>
      </c>
      <c r="T177" s="74" t="str">
        <f t="shared" si="75"/>
        <v/>
      </c>
      <c r="V177" s="55">
        <f t="shared" si="76"/>
        <v>123</v>
      </c>
      <c r="W177" s="233">
        <f t="shared" si="65"/>
        <v>0.12195121951219512</v>
      </c>
      <c r="X177" s="231">
        <f t="shared" si="77"/>
        <v>36.925519439024455</v>
      </c>
      <c r="Y177" s="232">
        <f t="shared" si="78"/>
        <v>0</v>
      </c>
      <c r="Z177" s="232">
        <f t="shared" si="79"/>
        <v>1</v>
      </c>
      <c r="AA177" s="232">
        <f t="shared" si="66"/>
        <v>91</v>
      </c>
      <c r="AB177" s="233">
        <f t="shared" si="67"/>
        <v>0.16483516483516483</v>
      </c>
      <c r="AC177" s="231">
        <f t="shared" si="80"/>
        <v>35.527770846153885</v>
      </c>
      <c r="AD177" s="232">
        <f t="shared" si="81"/>
        <v>0</v>
      </c>
      <c r="AE177" s="232">
        <f t="shared" si="82"/>
        <v>1</v>
      </c>
      <c r="AF177" s="232">
        <f t="shared" si="68"/>
        <v>80</v>
      </c>
      <c r="AG177" s="232">
        <f t="shared" si="69"/>
        <v>4</v>
      </c>
      <c r="AH177" s="236">
        <f t="shared" si="83"/>
        <v>0.05</v>
      </c>
      <c r="AI177" s="231">
        <f t="shared" si="84"/>
        <v>36.331616999999767</v>
      </c>
      <c r="AJ177" s="232">
        <f t="shared" si="85"/>
        <v>0</v>
      </c>
      <c r="AL177" s="3">
        <f t="shared" si="88"/>
        <v>4</v>
      </c>
    </row>
    <row r="178" spans="1:38" ht="14.1" customHeight="1" x14ac:dyDescent="0.2">
      <c r="A178" s="240" t="s">
        <v>462</v>
      </c>
      <c r="B178" s="282" t="s">
        <v>523</v>
      </c>
      <c r="C178" s="32">
        <v>50</v>
      </c>
      <c r="D178" s="32">
        <f t="shared" si="86"/>
        <v>80</v>
      </c>
      <c r="E178" s="32">
        <f t="shared" si="87"/>
        <v>85</v>
      </c>
      <c r="F178" s="283" t="s">
        <v>44</v>
      </c>
      <c r="G178" s="283" t="s">
        <v>45</v>
      </c>
      <c r="H178" s="32">
        <v>6</v>
      </c>
      <c r="I178" s="32">
        <v>1</v>
      </c>
      <c r="J178" s="65">
        <v>0</v>
      </c>
      <c r="L178" s="303">
        <v>1</v>
      </c>
      <c r="M178" s="304">
        <f t="shared" si="63"/>
        <v>0.12195121951219512</v>
      </c>
      <c r="N178" s="303">
        <f t="shared" si="64"/>
        <v>1</v>
      </c>
      <c r="O178" s="303">
        <f t="shared" si="70"/>
        <v>1</v>
      </c>
      <c r="P178" s="304">
        <f t="shared" si="71"/>
        <v>0.16483516483516483</v>
      </c>
      <c r="Q178" s="303" t="str">
        <f t="shared" si="72"/>
        <v/>
      </c>
      <c r="R178" s="303">
        <f t="shared" si="73"/>
        <v>1</v>
      </c>
      <c r="S178" s="304">
        <f t="shared" si="74"/>
        <v>0.05</v>
      </c>
      <c r="T178" s="74" t="str">
        <f t="shared" si="75"/>
        <v/>
      </c>
      <c r="V178" s="55">
        <f t="shared" si="76"/>
        <v>123</v>
      </c>
      <c r="W178" s="233">
        <f t="shared" si="65"/>
        <v>0.12195121951219512</v>
      </c>
      <c r="X178" s="231">
        <f t="shared" si="77"/>
        <v>37.047470658536653</v>
      </c>
      <c r="Y178" s="232">
        <f t="shared" si="78"/>
        <v>1</v>
      </c>
      <c r="Z178" s="232">
        <f t="shared" si="79"/>
        <v>1</v>
      </c>
      <c r="AA178" s="232">
        <f t="shared" si="66"/>
        <v>91</v>
      </c>
      <c r="AB178" s="233">
        <f t="shared" si="67"/>
        <v>0.16483516483516483</v>
      </c>
      <c r="AC178" s="231">
        <f t="shared" si="80"/>
        <v>35.692606010989053</v>
      </c>
      <c r="AD178" s="232">
        <f t="shared" si="81"/>
        <v>0</v>
      </c>
      <c r="AE178" s="232">
        <f t="shared" si="82"/>
        <v>1</v>
      </c>
      <c r="AF178" s="232">
        <f t="shared" si="68"/>
        <v>80</v>
      </c>
      <c r="AG178" s="232">
        <f t="shared" si="69"/>
        <v>4</v>
      </c>
      <c r="AH178" s="236">
        <f t="shared" si="83"/>
        <v>0.05</v>
      </c>
      <c r="AI178" s="231">
        <f t="shared" si="84"/>
        <v>36.381616999999764</v>
      </c>
      <c r="AJ178" s="232">
        <f t="shared" si="85"/>
        <v>0</v>
      </c>
      <c r="AL178" s="3">
        <f t="shared" si="88"/>
        <v>4</v>
      </c>
    </row>
    <row r="179" spans="1:38" ht="14.1" customHeight="1" x14ac:dyDescent="0.2">
      <c r="A179" s="240" t="s">
        <v>462</v>
      </c>
      <c r="B179" s="282" t="s">
        <v>523</v>
      </c>
      <c r="C179" s="32">
        <v>50</v>
      </c>
      <c r="D179" s="32">
        <f t="shared" si="86"/>
        <v>81</v>
      </c>
      <c r="E179" s="32">
        <f t="shared" si="87"/>
        <v>86</v>
      </c>
      <c r="F179" s="283" t="s">
        <v>44</v>
      </c>
      <c r="G179" s="283" t="s">
        <v>45</v>
      </c>
      <c r="H179" s="32">
        <v>4</v>
      </c>
      <c r="I179" s="32">
        <v>1</v>
      </c>
      <c r="J179" s="65">
        <v>0</v>
      </c>
      <c r="L179" s="303">
        <v>1</v>
      </c>
      <c r="M179" s="304">
        <f t="shared" si="63"/>
        <v>0.12195121951219512</v>
      </c>
      <c r="N179" s="303" t="str">
        <f t="shared" si="64"/>
        <v/>
      </c>
      <c r="O179" s="303">
        <f t="shared" si="70"/>
        <v>1</v>
      </c>
      <c r="P179" s="304">
        <f t="shared" si="71"/>
        <v>0.16483516483516483</v>
      </c>
      <c r="Q179" s="303" t="str">
        <f t="shared" si="72"/>
        <v/>
      </c>
      <c r="R179" s="303">
        <f t="shared" si="73"/>
        <v>1</v>
      </c>
      <c r="S179" s="304">
        <f t="shared" si="74"/>
        <v>0.05</v>
      </c>
      <c r="T179" s="74" t="str">
        <f t="shared" si="75"/>
        <v/>
      </c>
      <c r="V179" s="55">
        <f t="shared" si="76"/>
        <v>123</v>
      </c>
      <c r="W179" s="233">
        <f t="shared" si="65"/>
        <v>0.12195121951219512</v>
      </c>
      <c r="X179" s="231">
        <f t="shared" si="77"/>
        <v>37.169421878048851</v>
      </c>
      <c r="Y179" s="232">
        <f t="shared" si="78"/>
        <v>0</v>
      </c>
      <c r="Z179" s="232">
        <f t="shared" si="79"/>
        <v>1</v>
      </c>
      <c r="AA179" s="232">
        <f t="shared" si="66"/>
        <v>91</v>
      </c>
      <c r="AB179" s="233">
        <f t="shared" si="67"/>
        <v>0.16483516483516483</v>
      </c>
      <c r="AC179" s="231">
        <f t="shared" si="80"/>
        <v>35.857441175824221</v>
      </c>
      <c r="AD179" s="232">
        <f t="shared" si="81"/>
        <v>0</v>
      </c>
      <c r="AE179" s="232">
        <f t="shared" si="82"/>
        <v>1</v>
      </c>
      <c r="AF179" s="232">
        <f t="shared" si="68"/>
        <v>80</v>
      </c>
      <c r="AG179" s="232">
        <f t="shared" si="69"/>
        <v>4</v>
      </c>
      <c r="AH179" s="236">
        <f t="shared" si="83"/>
        <v>0.05</v>
      </c>
      <c r="AI179" s="231">
        <f t="shared" si="84"/>
        <v>36.431616999999761</v>
      </c>
      <c r="AJ179" s="232">
        <f t="shared" si="85"/>
        <v>0</v>
      </c>
      <c r="AL179" s="3">
        <f t="shared" si="88"/>
        <v>4</v>
      </c>
    </row>
    <row r="180" spans="1:38" ht="14.1" customHeight="1" x14ac:dyDescent="0.2">
      <c r="A180" s="240" t="s">
        <v>462</v>
      </c>
      <c r="B180" s="282" t="s">
        <v>523</v>
      </c>
      <c r="C180" s="32">
        <f t="shared" si="90"/>
        <v>51</v>
      </c>
      <c r="D180" s="32">
        <f t="shared" si="86"/>
        <v>82</v>
      </c>
      <c r="E180" s="32">
        <f t="shared" si="87"/>
        <v>87</v>
      </c>
      <c r="F180" s="283" t="s">
        <v>44</v>
      </c>
      <c r="G180" s="283" t="s">
        <v>45</v>
      </c>
      <c r="H180" s="32">
        <v>6</v>
      </c>
      <c r="I180" s="32">
        <v>1</v>
      </c>
      <c r="J180" s="65">
        <v>0</v>
      </c>
      <c r="L180" s="303">
        <v>1</v>
      </c>
      <c r="M180" s="304">
        <f t="shared" si="63"/>
        <v>0.12195121951219512</v>
      </c>
      <c r="N180" s="303" t="str">
        <f t="shared" si="64"/>
        <v/>
      </c>
      <c r="O180" s="303">
        <f t="shared" si="70"/>
        <v>1</v>
      </c>
      <c r="P180" s="304">
        <f t="shared" si="71"/>
        <v>0.16483516483516483</v>
      </c>
      <c r="Q180" s="303">
        <f t="shared" si="72"/>
        <v>1</v>
      </c>
      <c r="R180" s="303">
        <f t="shared" si="73"/>
        <v>1</v>
      </c>
      <c r="S180" s="304">
        <f t="shared" si="74"/>
        <v>0.05</v>
      </c>
      <c r="T180" s="74" t="str">
        <f t="shared" si="75"/>
        <v/>
      </c>
      <c r="V180" s="55">
        <f t="shared" si="76"/>
        <v>123</v>
      </c>
      <c r="W180" s="233">
        <f t="shared" si="65"/>
        <v>0.12195121951219512</v>
      </c>
      <c r="X180" s="231">
        <f t="shared" si="77"/>
        <v>37.291373097561049</v>
      </c>
      <c r="Y180" s="232">
        <f t="shared" si="78"/>
        <v>0</v>
      </c>
      <c r="Z180" s="232">
        <f t="shared" si="79"/>
        <v>1</v>
      </c>
      <c r="AA180" s="232">
        <f t="shared" si="66"/>
        <v>91</v>
      </c>
      <c r="AB180" s="233">
        <f t="shared" si="67"/>
        <v>0.16483516483516483</v>
      </c>
      <c r="AC180" s="231">
        <f t="shared" si="80"/>
        <v>36.022276340659388</v>
      </c>
      <c r="AD180" s="232">
        <f t="shared" si="81"/>
        <v>1</v>
      </c>
      <c r="AE180" s="232">
        <f t="shared" si="82"/>
        <v>1</v>
      </c>
      <c r="AF180" s="232">
        <f t="shared" si="68"/>
        <v>80</v>
      </c>
      <c r="AG180" s="232">
        <f t="shared" si="69"/>
        <v>4</v>
      </c>
      <c r="AH180" s="236">
        <f t="shared" si="83"/>
        <v>0.05</v>
      </c>
      <c r="AI180" s="231">
        <f t="shared" si="84"/>
        <v>36.481616999999758</v>
      </c>
      <c r="AJ180" s="232">
        <f t="shared" si="85"/>
        <v>0</v>
      </c>
      <c r="AL180" s="3">
        <f t="shared" si="88"/>
        <v>4</v>
      </c>
    </row>
    <row r="181" spans="1:38" ht="14.1" customHeight="1" x14ac:dyDescent="0.2">
      <c r="A181" s="240" t="s">
        <v>462</v>
      </c>
      <c r="B181" s="282" t="s">
        <v>523</v>
      </c>
      <c r="C181" s="32">
        <v>51</v>
      </c>
      <c r="D181" s="32">
        <f t="shared" si="86"/>
        <v>83</v>
      </c>
      <c r="E181" s="32">
        <f t="shared" si="87"/>
        <v>88</v>
      </c>
      <c r="F181" s="283" t="s">
        <v>44</v>
      </c>
      <c r="G181" s="283" t="s">
        <v>45</v>
      </c>
      <c r="H181" s="32">
        <v>1</v>
      </c>
      <c r="I181" s="32">
        <v>1</v>
      </c>
      <c r="J181" s="65">
        <v>0</v>
      </c>
      <c r="L181" s="303">
        <v>1</v>
      </c>
      <c r="M181" s="304">
        <f t="shared" si="63"/>
        <v>0.12195121951219512</v>
      </c>
      <c r="N181" s="303" t="str">
        <f t="shared" si="64"/>
        <v/>
      </c>
      <c r="O181" s="303">
        <f t="shared" si="70"/>
        <v>1</v>
      </c>
      <c r="P181" s="304">
        <f t="shared" si="71"/>
        <v>0.16483516483516483</v>
      </c>
      <c r="Q181" s="303" t="str">
        <f t="shared" si="72"/>
        <v/>
      </c>
      <c r="R181" s="303">
        <f t="shared" si="73"/>
        <v>1</v>
      </c>
      <c r="S181" s="304">
        <f t="shared" si="74"/>
        <v>0.05</v>
      </c>
      <c r="T181" s="74" t="str">
        <f t="shared" si="75"/>
        <v/>
      </c>
      <c r="V181" s="55">
        <f t="shared" si="76"/>
        <v>123</v>
      </c>
      <c r="W181" s="233">
        <f t="shared" si="65"/>
        <v>0.12195121951219512</v>
      </c>
      <c r="X181" s="231">
        <f t="shared" si="77"/>
        <v>37.413324317073247</v>
      </c>
      <c r="Y181" s="232">
        <f t="shared" si="78"/>
        <v>0</v>
      </c>
      <c r="Z181" s="232">
        <f t="shared" si="79"/>
        <v>1</v>
      </c>
      <c r="AA181" s="232">
        <f t="shared" si="66"/>
        <v>91</v>
      </c>
      <c r="AB181" s="233">
        <f t="shared" si="67"/>
        <v>0.16483516483516483</v>
      </c>
      <c r="AC181" s="231">
        <f t="shared" si="80"/>
        <v>36.187111505494556</v>
      </c>
      <c r="AD181" s="232">
        <f t="shared" si="81"/>
        <v>0</v>
      </c>
      <c r="AE181" s="232">
        <f t="shared" si="82"/>
        <v>1</v>
      </c>
      <c r="AF181" s="232">
        <f t="shared" si="68"/>
        <v>80</v>
      </c>
      <c r="AG181" s="232">
        <f t="shared" si="69"/>
        <v>4</v>
      </c>
      <c r="AH181" s="236">
        <f t="shared" si="83"/>
        <v>0.05</v>
      </c>
      <c r="AI181" s="231">
        <f t="shared" si="84"/>
        <v>36.531616999999756</v>
      </c>
      <c r="AJ181" s="232">
        <f t="shared" si="85"/>
        <v>0</v>
      </c>
      <c r="AL181" s="3">
        <f t="shared" si="88"/>
        <v>4</v>
      </c>
    </row>
    <row r="182" spans="1:38" ht="14.1" customHeight="1" x14ac:dyDescent="0.2">
      <c r="A182" s="240" t="s">
        <v>462</v>
      </c>
      <c r="B182" s="282" t="s">
        <v>523</v>
      </c>
      <c r="C182" s="32">
        <v>51</v>
      </c>
      <c r="D182" s="32">
        <f t="shared" si="86"/>
        <v>84</v>
      </c>
      <c r="E182" s="32">
        <f t="shared" si="87"/>
        <v>89</v>
      </c>
      <c r="F182" s="283" t="s">
        <v>44</v>
      </c>
      <c r="G182" s="283" t="s">
        <v>45</v>
      </c>
      <c r="H182" s="32">
        <v>4</v>
      </c>
      <c r="I182" s="32">
        <v>1</v>
      </c>
      <c r="J182" s="65">
        <v>0</v>
      </c>
      <c r="L182" s="303">
        <v>1</v>
      </c>
      <c r="M182" s="304">
        <f t="shared" si="63"/>
        <v>0.12195121951219512</v>
      </c>
      <c r="N182" s="303" t="str">
        <f t="shared" si="64"/>
        <v/>
      </c>
      <c r="O182" s="303">
        <f t="shared" si="70"/>
        <v>1</v>
      </c>
      <c r="P182" s="304">
        <f t="shared" si="71"/>
        <v>0.16483516483516483</v>
      </c>
      <c r="Q182" s="303" t="str">
        <f t="shared" si="72"/>
        <v/>
      </c>
      <c r="R182" s="303">
        <f t="shared" si="73"/>
        <v>1</v>
      </c>
      <c r="S182" s="304">
        <f t="shared" si="74"/>
        <v>0.05</v>
      </c>
      <c r="T182" s="74" t="str">
        <f t="shared" si="75"/>
        <v/>
      </c>
      <c r="V182" s="55">
        <f t="shared" si="76"/>
        <v>123</v>
      </c>
      <c r="W182" s="233">
        <f t="shared" si="65"/>
        <v>0.12195121951219512</v>
      </c>
      <c r="X182" s="231">
        <f t="shared" si="77"/>
        <v>37.535275536585445</v>
      </c>
      <c r="Y182" s="232">
        <f t="shared" si="78"/>
        <v>0</v>
      </c>
      <c r="Z182" s="232">
        <f t="shared" si="79"/>
        <v>1</v>
      </c>
      <c r="AA182" s="232">
        <f t="shared" si="66"/>
        <v>91</v>
      </c>
      <c r="AB182" s="233">
        <f t="shared" si="67"/>
        <v>0.16483516483516483</v>
      </c>
      <c r="AC182" s="231">
        <f t="shared" si="80"/>
        <v>36.351946670329724</v>
      </c>
      <c r="AD182" s="232">
        <f t="shared" si="81"/>
        <v>0</v>
      </c>
      <c r="AE182" s="232">
        <f t="shared" si="82"/>
        <v>1</v>
      </c>
      <c r="AF182" s="232">
        <f t="shared" si="68"/>
        <v>80</v>
      </c>
      <c r="AG182" s="232">
        <f t="shared" si="69"/>
        <v>4</v>
      </c>
      <c r="AH182" s="236">
        <f t="shared" si="83"/>
        <v>0.05</v>
      </c>
      <c r="AI182" s="231">
        <f t="shared" si="84"/>
        <v>36.581616999999753</v>
      </c>
      <c r="AJ182" s="232">
        <f t="shared" si="85"/>
        <v>0</v>
      </c>
      <c r="AL182" s="3">
        <f t="shared" si="88"/>
        <v>4</v>
      </c>
    </row>
    <row r="183" spans="1:38" ht="14.1" customHeight="1" x14ac:dyDescent="0.2">
      <c r="A183" s="240" t="s">
        <v>462</v>
      </c>
      <c r="B183" s="282" t="s">
        <v>523</v>
      </c>
      <c r="C183" s="32">
        <v>51</v>
      </c>
      <c r="D183" s="32">
        <f t="shared" si="86"/>
        <v>85</v>
      </c>
      <c r="E183" s="32">
        <f t="shared" si="87"/>
        <v>90</v>
      </c>
      <c r="F183" s="283" t="s">
        <v>44</v>
      </c>
      <c r="G183" s="283" t="s">
        <v>45</v>
      </c>
      <c r="H183" s="32">
        <v>7</v>
      </c>
      <c r="I183" s="32">
        <v>1</v>
      </c>
      <c r="J183" s="65">
        <v>0</v>
      </c>
      <c r="L183" s="303">
        <v>1</v>
      </c>
      <c r="M183" s="304">
        <f t="shared" si="63"/>
        <v>0.12195121951219512</v>
      </c>
      <c r="N183" s="303" t="str">
        <f t="shared" si="64"/>
        <v/>
      </c>
      <c r="O183" s="303">
        <f t="shared" si="70"/>
        <v>1</v>
      </c>
      <c r="P183" s="304">
        <f t="shared" si="71"/>
        <v>0.16483516483516483</v>
      </c>
      <c r="Q183" s="303" t="str">
        <f t="shared" si="72"/>
        <v/>
      </c>
      <c r="R183" s="303">
        <f t="shared" si="73"/>
        <v>1</v>
      </c>
      <c r="S183" s="304">
        <f t="shared" si="74"/>
        <v>0.05</v>
      </c>
      <c r="T183" s="74" t="str">
        <f t="shared" si="75"/>
        <v/>
      </c>
      <c r="V183" s="55">
        <f t="shared" si="76"/>
        <v>123</v>
      </c>
      <c r="W183" s="233">
        <f t="shared" si="65"/>
        <v>0.12195121951219512</v>
      </c>
      <c r="X183" s="231">
        <f t="shared" si="77"/>
        <v>37.657226756097643</v>
      </c>
      <c r="Y183" s="232">
        <f t="shared" si="78"/>
        <v>0</v>
      </c>
      <c r="Z183" s="232">
        <f t="shared" si="79"/>
        <v>1</v>
      </c>
      <c r="AA183" s="232">
        <f t="shared" si="66"/>
        <v>91</v>
      </c>
      <c r="AB183" s="233">
        <f t="shared" si="67"/>
        <v>0.16483516483516483</v>
      </c>
      <c r="AC183" s="231">
        <f t="shared" si="80"/>
        <v>36.516781835164892</v>
      </c>
      <c r="AD183" s="232">
        <f t="shared" si="81"/>
        <v>0</v>
      </c>
      <c r="AE183" s="232">
        <f t="shared" si="82"/>
        <v>1</v>
      </c>
      <c r="AF183" s="232">
        <f t="shared" si="68"/>
        <v>80</v>
      </c>
      <c r="AG183" s="232">
        <f t="shared" si="69"/>
        <v>4</v>
      </c>
      <c r="AH183" s="236">
        <f t="shared" si="83"/>
        <v>0.05</v>
      </c>
      <c r="AI183" s="231">
        <f t="shared" si="84"/>
        <v>36.63161699999975</v>
      </c>
      <c r="AJ183" s="232">
        <f t="shared" si="85"/>
        <v>0</v>
      </c>
      <c r="AL183" s="3">
        <f t="shared" si="88"/>
        <v>4</v>
      </c>
    </row>
    <row r="184" spans="1:38" ht="14.1" customHeight="1" x14ac:dyDescent="0.2">
      <c r="A184" s="240" t="s">
        <v>462</v>
      </c>
      <c r="B184" s="282" t="s">
        <v>523</v>
      </c>
      <c r="C184" s="32">
        <f t="shared" si="90"/>
        <v>52</v>
      </c>
      <c r="D184" s="32">
        <f t="shared" si="86"/>
        <v>86</v>
      </c>
      <c r="E184" s="32">
        <f t="shared" si="87"/>
        <v>91</v>
      </c>
      <c r="F184" s="283" t="s">
        <v>44</v>
      </c>
      <c r="G184" s="283" t="s">
        <v>45</v>
      </c>
      <c r="H184" s="32">
        <v>2</v>
      </c>
      <c r="I184" s="32">
        <v>1</v>
      </c>
      <c r="J184" s="65">
        <v>0</v>
      </c>
      <c r="L184" s="303">
        <v>1</v>
      </c>
      <c r="M184" s="304">
        <f t="shared" si="63"/>
        <v>0.12195121951219512</v>
      </c>
      <c r="N184" s="303" t="str">
        <f t="shared" si="64"/>
        <v/>
      </c>
      <c r="O184" s="303">
        <f t="shared" si="70"/>
        <v>1</v>
      </c>
      <c r="P184" s="304">
        <f t="shared" si="71"/>
        <v>0.16483516483516483</v>
      </c>
      <c r="Q184" s="303" t="str">
        <f t="shared" si="72"/>
        <v/>
      </c>
      <c r="R184" s="303">
        <f t="shared" si="73"/>
        <v>1</v>
      </c>
      <c r="S184" s="304">
        <f t="shared" si="74"/>
        <v>0.05</v>
      </c>
      <c r="T184" s="74" t="str">
        <f t="shared" si="75"/>
        <v/>
      </c>
      <c r="V184" s="55">
        <f t="shared" si="76"/>
        <v>123</v>
      </c>
      <c r="W184" s="233">
        <f t="shared" si="65"/>
        <v>0.12195121951219512</v>
      </c>
      <c r="X184" s="231">
        <f t="shared" si="77"/>
        <v>37.779177975609841</v>
      </c>
      <c r="Y184" s="232">
        <f t="shared" si="78"/>
        <v>0</v>
      </c>
      <c r="Z184" s="232">
        <f t="shared" si="79"/>
        <v>1</v>
      </c>
      <c r="AA184" s="232">
        <f t="shared" si="66"/>
        <v>91</v>
      </c>
      <c r="AB184" s="233">
        <f t="shared" si="67"/>
        <v>0.16483516483516483</v>
      </c>
      <c r="AC184" s="231">
        <f t="shared" si="80"/>
        <v>36.68161700000006</v>
      </c>
      <c r="AD184" s="232">
        <f t="shared" si="81"/>
        <v>0</v>
      </c>
      <c r="AE184" s="232">
        <f t="shared" si="82"/>
        <v>1</v>
      </c>
      <c r="AF184" s="232">
        <f t="shared" si="68"/>
        <v>80</v>
      </c>
      <c r="AG184" s="232">
        <f t="shared" si="69"/>
        <v>4</v>
      </c>
      <c r="AH184" s="236">
        <f t="shared" si="83"/>
        <v>0.05</v>
      </c>
      <c r="AI184" s="231">
        <f t="shared" si="84"/>
        <v>36.681616999999747</v>
      </c>
      <c r="AJ184" s="232">
        <f t="shared" si="85"/>
        <v>0</v>
      </c>
      <c r="AL184" s="3">
        <f t="shared" si="88"/>
        <v>4</v>
      </c>
    </row>
    <row r="185" spans="1:38" ht="14.1" customHeight="1" x14ac:dyDescent="0.2">
      <c r="A185" s="240" t="s">
        <v>462</v>
      </c>
      <c r="B185" s="282" t="s">
        <v>523</v>
      </c>
      <c r="C185" s="32">
        <v>52</v>
      </c>
      <c r="D185" s="32">
        <f t="shared" si="86"/>
        <v>87</v>
      </c>
      <c r="E185" s="32">
        <f t="shared" si="87"/>
        <v>92</v>
      </c>
      <c r="F185" s="283" t="s">
        <v>44</v>
      </c>
      <c r="G185" s="283" t="s">
        <v>45</v>
      </c>
      <c r="H185" s="32">
        <v>4</v>
      </c>
      <c r="I185" s="32">
        <v>0</v>
      </c>
      <c r="J185" s="65">
        <v>0</v>
      </c>
      <c r="L185" s="303">
        <v>1</v>
      </c>
      <c r="M185" s="304">
        <f t="shared" si="63"/>
        <v>0.12195121951219512</v>
      </c>
      <c r="N185" s="303" t="str">
        <f t="shared" si="64"/>
        <v/>
      </c>
      <c r="O185" s="303">
        <f t="shared" si="70"/>
        <v>0</v>
      </c>
      <c r="P185" s="304">
        <f t="shared" si="71"/>
        <v>0</v>
      </c>
      <c r="Q185" s="303" t="str">
        <f t="shared" si="72"/>
        <v/>
      </c>
      <c r="R185" s="303">
        <f t="shared" si="73"/>
        <v>0</v>
      </c>
      <c r="S185" s="304">
        <f t="shared" si="74"/>
        <v>0</v>
      </c>
      <c r="T185" s="74" t="str">
        <f t="shared" si="75"/>
        <v/>
      </c>
      <c r="V185" s="55">
        <f t="shared" si="76"/>
        <v>123</v>
      </c>
      <c r="W185" s="233">
        <f t="shared" si="65"/>
        <v>0.12195121951219512</v>
      </c>
      <c r="X185" s="231">
        <f t="shared" si="77"/>
        <v>37.901129195122039</v>
      </c>
      <c r="Y185" s="232">
        <f t="shared" si="78"/>
        <v>0</v>
      </c>
      <c r="Z185" s="232">
        <f t="shared" si="79"/>
        <v>0</v>
      </c>
      <c r="AA185" s="232">
        <f t="shared" si="66"/>
        <v>91</v>
      </c>
      <c r="AB185" s="233">
        <f t="shared" si="67"/>
        <v>0</v>
      </c>
      <c r="AC185" s="231">
        <f t="shared" si="80"/>
        <v>36.68161700000006</v>
      </c>
      <c r="AD185" s="232">
        <f t="shared" si="81"/>
        <v>0</v>
      </c>
      <c r="AE185" s="232">
        <f t="shared" si="82"/>
        <v>0</v>
      </c>
      <c r="AF185" s="232">
        <f t="shared" si="68"/>
        <v>32</v>
      </c>
      <c r="AG185" s="232">
        <f t="shared" si="69"/>
        <v>0</v>
      </c>
      <c r="AH185" s="236">
        <f t="shared" si="83"/>
        <v>0</v>
      </c>
      <c r="AI185" s="231">
        <f t="shared" si="84"/>
        <v>36.681616999999747</v>
      </c>
      <c r="AJ185" s="232">
        <f t="shared" si="85"/>
        <v>0</v>
      </c>
      <c r="AL185" s="3" t="str">
        <f t="shared" si="88"/>
        <v/>
      </c>
    </row>
    <row r="186" spans="1:38" ht="14.1" customHeight="1" x14ac:dyDescent="0.2">
      <c r="A186" s="240" t="s">
        <v>462</v>
      </c>
      <c r="B186" s="282" t="s">
        <v>523</v>
      </c>
      <c r="C186" s="32">
        <v>52</v>
      </c>
      <c r="D186" s="32">
        <f t="shared" si="86"/>
        <v>88</v>
      </c>
      <c r="E186" s="32">
        <f t="shared" si="87"/>
        <v>93</v>
      </c>
      <c r="F186" s="283" t="s">
        <v>44</v>
      </c>
      <c r="G186" s="283" t="s">
        <v>45</v>
      </c>
      <c r="H186" s="32">
        <v>3</v>
      </c>
      <c r="I186" s="32">
        <v>0</v>
      </c>
      <c r="J186" s="65">
        <v>0</v>
      </c>
      <c r="L186" s="303">
        <v>1</v>
      </c>
      <c r="M186" s="304">
        <f t="shared" si="63"/>
        <v>0.12195121951219512</v>
      </c>
      <c r="N186" s="303">
        <f t="shared" si="64"/>
        <v>1</v>
      </c>
      <c r="O186" s="303">
        <f t="shared" si="70"/>
        <v>0</v>
      </c>
      <c r="P186" s="304">
        <f t="shared" si="71"/>
        <v>0</v>
      </c>
      <c r="Q186" s="303" t="str">
        <f t="shared" si="72"/>
        <v/>
      </c>
      <c r="R186" s="303">
        <f t="shared" si="73"/>
        <v>0</v>
      </c>
      <c r="S186" s="304">
        <f t="shared" si="74"/>
        <v>0</v>
      </c>
      <c r="T186" s="74" t="str">
        <f t="shared" si="75"/>
        <v/>
      </c>
      <c r="V186" s="55">
        <f t="shared" si="76"/>
        <v>123</v>
      </c>
      <c r="W186" s="233">
        <f t="shared" si="65"/>
        <v>0.12195121951219512</v>
      </c>
      <c r="X186" s="231">
        <f t="shared" si="77"/>
        <v>38.023080414634236</v>
      </c>
      <c r="Y186" s="232">
        <f t="shared" si="78"/>
        <v>1</v>
      </c>
      <c r="Z186" s="232">
        <f t="shared" si="79"/>
        <v>0</v>
      </c>
      <c r="AA186" s="232">
        <f t="shared" si="66"/>
        <v>91</v>
      </c>
      <c r="AB186" s="233">
        <f t="shared" si="67"/>
        <v>0</v>
      </c>
      <c r="AC186" s="231">
        <f t="shared" si="80"/>
        <v>36.68161700000006</v>
      </c>
      <c r="AD186" s="232">
        <f t="shared" si="81"/>
        <v>0</v>
      </c>
      <c r="AE186" s="232">
        <f t="shared" si="82"/>
        <v>0</v>
      </c>
      <c r="AF186" s="232">
        <f t="shared" si="68"/>
        <v>32</v>
      </c>
      <c r="AG186" s="232">
        <f t="shared" si="69"/>
        <v>0</v>
      </c>
      <c r="AH186" s="236">
        <f t="shared" si="83"/>
        <v>0</v>
      </c>
      <c r="AI186" s="231">
        <f t="shared" si="84"/>
        <v>36.681616999999747</v>
      </c>
      <c r="AJ186" s="232">
        <f t="shared" si="85"/>
        <v>0</v>
      </c>
      <c r="AL186" s="3" t="str">
        <f t="shared" si="88"/>
        <v/>
      </c>
    </row>
    <row r="187" spans="1:38" ht="14.1" customHeight="1" x14ac:dyDescent="0.2">
      <c r="A187" s="240" t="s">
        <v>462</v>
      </c>
      <c r="B187" s="282" t="s">
        <v>523</v>
      </c>
      <c r="C187" s="32">
        <v>52</v>
      </c>
      <c r="D187" s="32">
        <f t="shared" si="86"/>
        <v>89</v>
      </c>
      <c r="E187" s="32">
        <f t="shared" si="87"/>
        <v>94</v>
      </c>
      <c r="F187" s="283" t="s">
        <v>44</v>
      </c>
      <c r="G187" s="283" t="s">
        <v>45</v>
      </c>
      <c r="H187" s="32">
        <v>6</v>
      </c>
      <c r="I187" s="32">
        <v>0</v>
      </c>
      <c r="J187" s="65">
        <v>0</v>
      </c>
      <c r="L187" s="303">
        <v>1</v>
      </c>
      <c r="M187" s="304">
        <f t="shared" si="63"/>
        <v>0.12195121951219512</v>
      </c>
      <c r="N187" s="303" t="str">
        <f t="shared" si="64"/>
        <v/>
      </c>
      <c r="O187" s="303">
        <f t="shared" si="70"/>
        <v>0</v>
      </c>
      <c r="P187" s="304">
        <f t="shared" si="71"/>
        <v>0</v>
      </c>
      <c r="Q187" s="303" t="str">
        <f t="shared" si="72"/>
        <v/>
      </c>
      <c r="R187" s="303">
        <f t="shared" si="73"/>
        <v>0</v>
      </c>
      <c r="S187" s="304">
        <f t="shared" si="74"/>
        <v>0</v>
      </c>
      <c r="T187" s="74" t="str">
        <f t="shared" si="75"/>
        <v/>
      </c>
      <c r="V187" s="55">
        <f t="shared" si="76"/>
        <v>123</v>
      </c>
      <c r="W187" s="233">
        <f t="shared" si="65"/>
        <v>0.12195121951219512</v>
      </c>
      <c r="X187" s="231">
        <f t="shared" si="77"/>
        <v>38.145031634146434</v>
      </c>
      <c r="Y187" s="232">
        <f t="shared" si="78"/>
        <v>0</v>
      </c>
      <c r="Z187" s="232">
        <f t="shared" si="79"/>
        <v>0</v>
      </c>
      <c r="AA187" s="232">
        <f t="shared" si="66"/>
        <v>91</v>
      </c>
      <c r="AB187" s="233">
        <f t="shared" si="67"/>
        <v>0</v>
      </c>
      <c r="AC187" s="231">
        <f t="shared" si="80"/>
        <v>36.68161700000006</v>
      </c>
      <c r="AD187" s="232">
        <f t="shared" si="81"/>
        <v>0</v>
      </c>
      <c r="AE187" s="232">
        <f t="shared" si="82"/>
        <v>0</v>
      </c>
      <c r="AF187" s="232">
        <f t="shared" si="68"/>
        <v>32</v>
      </c>
      <c r="AG187" s="232">
        <f t="shared" si="69"/>
        <v>0</v>
      </c>
      <c r="AH187" s="236">
        <f t="shared" si="83"/>
        <v>0</v>
      </c>
      <c r="AI187" s="231">
        <f t="shared" si="84"/>
        <v>36.681616999999747</v>
      </c>
      <c r="AJ187" s="232">
        <f t="shared" si="85"/>
        <v>0</v>
      </c>
      <c r="AL187" s="3" t="str">
        <f t="shared" si="88"/>
        <v/>
      </c>
    </row>
    <row r="188" spans="1:38" ht="14.1" customHeight="1" x14ac:dyDescent="0.2">
      <c r="A188" s="240" t="s">
        <v>462</v>
      </c>
      <c r="B188" s="282" t="s">
        <v>523</v>
      </c>
      <c r="C188" s="32">
        <v>52</v>
      </c>
      <c r="D188" s="32">
        <f t="shared" si="86"/>
        <v>90</v>
      </c>
      <c r="E188" s="32">
        <f t="shared" si="87"/>
        <v>95</v>
      </c>
      <c r="F188" s="283" t="s">
        <v>44</v>
      </c>
      <c r="G188" s="283" t="s">
        <v>45</v>
      </c>
      <c r="H188" s="32">
        <v>4</v>
      </c>
      <c r="I188" s="32">
        <v>0</v>
      </c>
      <c r="J188" s="65">
        <v>0</v>
      </c>
      <c r="L188" s="303">
        <v>1</v>
      </c>
      <c r="M188" s="304">
        <f t="shared" si="63"/>
        <v>0.12195121951219512</v>
      </c>
      <c r="N188" s="303" t="str">
        <f t="shared" si="64"/>
        <v/>
      </c>
      <c r="O188" s="303">
        <f t="shared" si="70"/>
        <v>0</v>
      </c>
      <c r="P188" s="304">
        <f t="shared" si="71"/>
        <v>0</v>
      </c>
      <c r="Q188" s="303" t="str">
        <f t="shared" si="72"/>
        <v/>
      </c>
      <c r="R188" s="303">
        <f t="shared" si="73"/>
        <v>0</v>
      </c>
      <c r="S188" s="304">
        <f t="shared" si="74"/>
        <v>0</v>
      </c>
      <c r="T188" s="74" t="str">
        <f t="shared" si="75"/>
        <v/>
      </c>
      <c r="V188" s="55">
        <f t="shared" si="76"/>
        <v>123</v>
      </c>
      <c r="W188" s="233">
        <f t="shared" si="65"/>
        <v>0.12195121951219512</v>
      </c>
      <c r="X188" s="231">
        <f t="shared" si="77"/>
        <v>38.266982853658632</v>
      </c>
      <c r="Y188" s="232">
        <f t="shared" si="78"/>
        <v>0</v>
      </c>
      <c r="Z188" s="232">
        <f t="shared" si="79"/>
        <v>0</v>
      </c>
      <c r="AA188" s="232">
        <f t="shared" si="66"/>
        <v>91</v>
      </c>
      <c r="AB188" s="233">
        <f t="shared" si="67"/>
        <v>0</v>
      </c>
      <c r="AC188" s="231">
        <f t="shared" si="80"/>
        <v>36.68161700000006</v>
      </c>
      <c r="AD188" s="232">
        <f t="shared" si="81"/>
        <v>0</v>
      </c>
      <c r="AE188" s="232">
        <f t="shared" si="82"/>
        <v>0</v>
      </c>
      <c r="AF188" s="232">
        <f t="shared" si="68"/>
        <v>32</v>
      </c>
      <c r="AG188" s="232">
        <f t="shared" si="69"/>
        <v>0</v>
      </c>
      <c r="AH188" s="236">
        <f t="shared" si="83"/>
        <v>0</v>
      </c>
      <c r="AI188" s="231">
        <f t="shared" si="84"/>
        <v>36.681616999999747</v>
      </c>
      <c r="AJ188" s="232">
        <f t="shared" si="85"/>
        <v>0</v>
      </c>
      <c r="AL188" s="3" t="str">
        <f t="shared" ref="AL188:AL216" si="91">IF(AE188=1,IF(AF188=0,0,MIN($D$5,AA188)-IF(AA188=AF188,0,ROUND(MIN((AE188&gt;0)*$D$5*((AA188-AF188)^$F$5)/((AA188-AF188)^$F$5+AF188^$F$5),AA188-AF188),0))),"")</f>
        <v/>
      </c>
    </row>
    <row r="189" spans="1:38" ht="14.1" customHeight="1" x14ac:dyDescent="0.2">
      <c r="A189" s="240" t="s">
        <v>462</v>
      </c>
      <c r="B189" s="282" t="s">
        <v>523</v>
      </c>
      <c r="C189" s="32">
        <f t="shared" si="90"/>
        <v>53</v>
      </c>
      <c r="D189" s="32">
        <f t="shared" si="86"/>
        <v>91</v>
      </c>
      <c r="E189" s="32">
        <f t="shared" si="87"/>
        <v>96</v>
      </c>
      <c r="F189" s="283" t="s">
        <v>44</v>
      </c>
      <c r="G189" s="283" t="s">
        <v>45</v>
      </c>
      <c r="H189" s="32">
        <v>1</v>
      </c>
      <c r="I189" s="32">
        <v>0</v>
      </c>
      <c r="J189" s="65">
        <v>0</v>
      </c>
      <c r="L189" s="303">
        <v>1</v>
      </c>
      <c r="M189" s="304">
        <f t="shared" si="63"/>
        <v>0.12195121951219512</v>
      </c>
      <c r="N189" s="303" t="str">
        <f t="shared" si="64"/>
        <v/>
      </c>
      <c r="O189" s="303">
        <f t="shared" si="70"/>
        <v>0</v>
      </c>
      <c r="P189" s="304">
        <f t="shared" si="71"/>
        <v>0</v>
      </c>
      <c r="Q189" s="303" t="str">
        <f t="shared" si="72"/>
        <v/>
      </c>
      <c r="R189" s="303">
        <f t="shared" si="73"/>
        <v>0</v>
      </c>
      <c r="S189" s="304">
        <f t="shared" si="74"/>
        <v>0</v>
      </c>
      <c r="T189" s="74" t="str">
        <f t="shared" si="75"/>
        <v/>
      </c>
      <c r="V189" s="55">
        <f t="shared" si="76"/>
        <v>123</v>
      </c>
      <c r="W189" s="233">
        <f t="shared" si="65"/>
        <v>0.12195121951219512</v>
      </c>
      <c r="X189" s="231">
        <f t="shared" si="77"/>
        <v>38.38893407317083</v>
      </c>
      <c r="Y189" s="232">
        <f t="shared" si="78"/>
        <v>0</v>
      </c>
      <c r="Z189" s="232">
        <f t="shared" si="79"/>
        <v>0</v>
      </c>
      <c r="AA189" s="232">
        <f t="shared" si="66"/>
        <v>91</v>
      </c>
      <c r="AB189" s="233">
        <f t="shared" si="67"/>
        <v>0</v>
      </c>
      <c r="AC189" s="231">
        <f t="shared" si="80"/>
        <v>36.68161700000006</v>
      </c>
      <c r="AD189" s="232">
        <f t="shared" si="81"/>
        <v>0</v>
      </c>
      <c r="AE189" s="232">
        <f t="shared" si="82"/>
        <v>0</v>
      </c>
      <c r="AF189" s="232">
        <f t="shared" si="68"/>
        <v>32</v>
      </c>
      <c r="AG189" s="232">
        <f t="shared" si="69"/>
        <v>0</v>
      </c>
      <c r="AH189" s="236">
        <f t="shared" si="83"/>
        <v>0</v>
      </c>
      <c r="AI189" s="231">
        <f t="shared" si="84"/>
        <v>36.681616999999747</v>
      </c>
      <c r="AJ189" s="232">
        <f t="shared" si="85"/>
        <v>0</v>
      </c>
      <c r="AL189" s="3" t="str">
        <f t="shared" si="91"/>
        <v/>
      </c>
    </row>
    <row r="190" spans="1:38" ht="14.1" customHeight="1" x14ac:dyDescent="0.2">
      <c r="A190" s="240" t="s">
        <v>462</v>
      </c>
      <c r="B190" s="282" t="s">
        <v>523</v>
      </c>
      <c r="C190" s="32">
        <v>53</v>
      </c>
      <c r="D190" s="32">
        <f t="shared" si="86"/>
        <v>92</v>
      </c>
      <c r="E190" s="32">
        <f t="shared" si="87"/>
        <v>97</v>
      </c>
      <c r="F190" s="283" t="s">
        <v>44</v>
      </c>
      <c r="G190" s="283" t="s">
        <v>45</v>
      </c>
      <c r="H190" s="32">
        <v>4</v>
      </c>
      <c r="I190" s="32">
        <v>0</v>
      </c>
      <c r="J190" s="65">
        <v>0</v>
      </c>
      <c r="L190" s="303">
        <v>1</v>
      </c>
      <c r="M190" s="304">
        <f t="shared" si="63"/>
        <v>0.12195121951219512</v>
      </c>
      <c r="N190" s="303" t="str">
        <f t="shared" si="64"/>
        <v/>
      </c>
      <c r="O190" s="303">
        <f t="shared" si="70"/>
        <v>0</v>
      </c>
      <c r="P190" s="304">
        <f t="shared" si="71"/>
        <v>0</v>
      </c>
      <c r="Q190" s="303" t="str">
        <f t="shared" si="72"/>
        <v/>
      </c>
      <c r="R190" s="303">
        <f t="shared" si="73"/>
        <v>0</v>
      </c>
      <c r="S190" s="304">
        <f t="shared" si="74"/>
        <v>0</v>
      </c>
      <c r="T190" s="74" t="str">
        <f t="shared" si="75"/>
        <v/>
      </c>
      <c r="V190" s="55">
        <f t="shared" si="76"/>
        <v>123</v>
      </c>
      <c r="W190" s="233">
        <f t="shared" si="65"/>
        <v>0.12195121951219512</v>
      </c>
      <c r="X190" s="231">
        <f t="shared" si="77"/>
        <v>38.510885292683028</v>
      </c>
      <c r="Y190" s="232">
        <f t="shared" si="78"/>
        <v>0</v>
      </c>
      <c r="Z190" s="232">
        <f t="shared" si="79"/>
        <v>0</v>
      </c>
      <c r="AA190" s="232">
        <f t="shared" si="66"/>
        <v>91</v>
      </c>
      <c r="AB190" s="233">
        <f t="shared" si="67"/>
        <v>0</v>
      </c>
      <c r="AC190" s="231">
        <f t="shared" si="80"/>
        <v>36.68161700000006</v>
      </c>
      <c r="AD190" s="232">
        <f t="shared" si="81"/>
        <v>0</v>
      </c>
      <c r="AE190" s="232">
        <f t="shared" si="82"/>
        <v>0</v>
      </c>
      <c r="AF190" s="232">
        <f t="shared" si="68"/>
        <v>32</v>
      </c>
      <c r="AG190" s="232">
        <f t="shared" si="69"/>
        <v>0</v>
      </c>
      <c r="AH190" s="236">
        <f t="shared" si="83"/>
        <v>0</v>
      </c>
      <c r="AI190" s="231">
        <f t="shared" si="84"/>
        <v>36.681616999999747</v>
      </c>
      <c r="AJ190" s="232">
        <f t="shared" si="85"/>
        <v>0</v>
      </c>
      <c r="AL190" s="3" t="str">
        <f t="shared" si="91"/>
        <v/>
      </c>
    </row>
    <row r="191" spans="1:38" ht="14.1" customHeight="1" x14ac:dyDescent="0.2">
      <c r="A191" s="240" t="s">
        <v>462</v>
      </c>
      <c r="B191" s="282" t="s">
        <v>523</v>
      </c>
      <c r="C191" s="32">
        <v>53</v>
      </c>
      <c r="D191" s="32">
        <f t="shared" si="86"/>
        <v>93</v>
      </c>
      <c r="E191" s="32">
        <f t="shared" si="87"/>
        <v>98</v>
      </c>
      <c r="F191" s="283" t="s">
        <v>44</v>
      </c>
      <c r="G191" s="283" t="s">
        <v>45</v>
      </c>
      <c r="H191" s="32">
        <v>7</v>
      </c>
      <c r="I191" s="32">
        <v>0</v>
      </c>
      <c r="J191" s="65">
        <v>0</v>
      </c>
      <c r="L191" s="303">
        <v>1</v>
      </c>
      <c r="M191" s="304">
        <f t="shared" si="63"/>
        <v>0.12195121951219512</v>
      </c>
      <c r="N191" s="303" t="str">
        <f t="shared" si="64"/>
        <v/>
      </c>
      <c r="O191" s="303">
        <f t="shared" si="70"/>
        <v>0</v>
      </c>
      <c r="P191" s="304">
        <f t="shared" si="71"/>
        <v>0</v>
      </c>
      <c r="Q191" s="303" t="str">
        <f t="shared" si="72"/>
        <v/>
      </c>
      <c r="R191" s="303">
        <f t="shared" si="73"/>
        <v>0</v>
      </c>
      <c r="S191" s="304">
        <f t="shared" si="74"/>
        <v>0</v>
      </c>
      <c r="T191" s="74" t="str">
        <f t="shared" si="75"/>
        <v/>
      </c>
      <c r="V191" s="55">
        <f t="shared" si="76"/>
        <v>123</v>
      </c>
      <c r="W191" s="233">
        <f t="shared" si="65"/>
        <v>0.12195121951219512</v>
      </c>
      <c r="X191" s="231">
        <f t="shared" si="77"/>
        <v>38.632836512195226</v>
      </c>
      <c r="Y191" s="232">
        <f t="shared" si="78"/>
        <v>0</v>
      </c>
      <c r="Z191" s="232">
        <f t="shared" si="79"/>
        <v>0</v>
      </c>
      <c r="AA191" s="232">
        <f t="shared" si="66"/>
        <v>91</v>
      </c>
      <c r="AB191" s="233">
        <f t="shared" si="67"/>
        <v>0</v>
      </c>
      <c r="AC191" s="231">
        <f t="shared" si="80"/>
        <v>36.68161700000006</v>
      </c>
      <c r="AD191" s="232">
        <f t="shared" si="81"/>
        <v>0</v>
      </c>
      <c r="AE191" s="232">
        <f t="shared" si="82"/>
        <v>0</v>
      </c>
      <c r="AF191" s="232">
        <f t="shared" si="68"/>
        <v>32</v>
      </c>
      <c r="AG191" s="232">
        <f t="shared" si="69"/>
        <v>0</v>
      </c>
      <c r="AH191" s="236">
        <f t="shared" si="83"/>
        <v>0</v>
      </c>
      <c r="AI191" s="231">
        <f t="shared" si="84"/>
        <v>36.681616999999747</v>
      </c>
      <c r="AJ191" s="232">
        <f t="shared" si="85"/>
        <v>0</v>
      </c>
      <c r="AL191" s="3" t="str">
        <f t="shared" si="91"/>
        <v/>
      </c>
    </row>
    <row r="192" spans="1:38" ht="14.1" customHeight="1" x14ac:dyDescent="0.2">
      <c r="A192" s="240" t="s">
        <v>462</v>
      </c>
      <c r="B192" s="282" t="s">
        <v>523</v>
      </c>
      <c r="C192" s="32">
        <v>53</v>
      </c>
      <c r="D192" s="32">
        <v>93</v>
      </c>
      <c r="E192" s="32">
        <f t="shared" si="87"/>
        <v>99</v>
      </c>
      <c r="F192" s="283" t="s">
        <v>44</v>
      </c>
      <c r="G192" s="283" t="s">
        <v>45</v>
      </c>
      <c r="H192" s="32">
        <v>3</v>
      </c>
      <c r="I192" s="32">
        <v>0</v>
      </c>
      <c r="J192" s="65">
        <v>0</v>
      </c>
      <c r="L192" s="303">
        <v>1</v>
      </c>
      <c r="M192" s="304">
        <f t="shared" si="63"/>
        <v>0.12195121951219512</v>
      </c>
      <c r="N192" s="303" t="str">
        <f t="shared" si="64"/>
        <v/>
      </c>
      <c r="O192" s="303">
        <f t="shared" si="70"/>
        <v>0</v>
      </c>
      <c r="P192" s="304">
        <f t="shared" si="71"/>
        <v>0</v>
      </c>
      <c r="Q192" s="303" t="str">
        <f t="shared" si="72"/>
        <v/>
      </c>
      <c r="R192" s="303">
        <f t="shared" si="73"/>
        <v>0</v>
      </c>
      <c r="S192" s="304">
        <f t="shared" si="74"/>
        <v>0</v>
      </c>
      <c r="T192" s="74" t="str">
        <f t="shared" si="75"/>
        <v/>
      </c>
      <c r="V192" s="55">
        <f t="shared" si="76"/>
        <v>123</v>
      </c>
      <c r="W192" s="233">
        <f t="shared" si="65"/>
        <v>0.12195121951219512</v>
      </c>
      <c r="X192" s="231">
        <f t="shared" si="77"/>
        <v>38.754787731707424</v>
      </c>
      <c r="Y192" s="232">
        <f t="shared" si="78"/>
        <v>0</v>
      </c>
      <c r="Z192" s="232">
        <f t="shared" si="79"/>
        <v>0</v>
      </c>
      <c r="AA192" s="232">
        <f t="shared" si="66"/>
        <v>91</v>
      </c>
      <c r="AB192" s="233">
        <f t="shared" si="67"/>
        <v>0</v>
      </c>
      <c r="AC192" s="231">
        <f t="shared" si="80"/>
        <v>36.68161700000006</v>
      </c>
      <c r="AD192" s="232">
        <f t="shared" si="81"/>
        <v>0</v>
      </c>
      <c r="AE192" s="232">
        <f t="shared" si="82"/>
        <v>0</v>
      </c>
      <c r="AF192" s="232">
        <f t="shared" si="68"/>
        <v>32</v>
      </c>
      <c r="AG192" s="232">
        <f t="shared" si="69"/>
        <v>0</v>
      </c>
      <c r="AH192" s="236">
        <f t="shared" si="83"/>
        <v>0</v>
      </c>
      <c r="AI192" s="231">
        <f t="shared" si="84"/>
        <v>36.681616999999747</v>
      </c>
      <c r="AJ192" s="232">
        <f t="shared" si="85"/>
        <v>0</v>
      </c>
      <c r="AL192" s="3" t="str">
        <f t="shared" si="91"/>
        <v/>
      </c>
    </row>
    <row r="193" spans="1:38" ht="14.1" customHeight="1" x14ac:dyDescent="0.2">
      <c r="A193" s="240" t="s">
        <v>462</v>
      </c>
      <c r="B193" s="282" t="s">
        <v>523</v>
      </c>
      <c r="C193" s="32">
        <v>53</v>
      </c>
      <c r="D193" s="32">
        <v>93</v>
      </c>
      <c r="E193" s="32">
        <f t="shared" si="87"/>
        <v>100</v>
      </c>
      <c r="F193" s="283" t="s">
        <v>44</v>
      </c>
      <c r="G193" s="283" t="s">
        <v>45</v>
      </c>
      <c r="H193" s="32">
        <v>3</v>
      </c>
      <c r="I193" s="32">
        <v>0</v>
      </c>
      <c r="J193" s="65">
        <v>0</v>
      </c>
      <c r="L193" s="303">
        <v>1</v>
      </c>
      <c r="M193" s="304">
        <f t="shared" si="63"/>
        <v>0.12195121951219512</v>
      </c>
      <c r="N193" s="303" t="str">
        <f t="shared" si="64"/>
        <v/>
      </c>
      <c r="O193" s="303">
        <f t="shared" si="70"/>
        <v>0</v>
      </c>
      <c r="P193" s="304">
        <f t="shared" si="71"/>
        <v>0</v>
      </c>
      <c r="Q193" s="303" t="str">
        <f t="shared" si="72"/>
        <v/>
      </c>
      <c r="R193" s="303">
        <f t="shared" si="73"/>
        <v>0</v>
      </c>
      <c r="S193" s="304">
        <f t="shared" si="74"/>
        <v>0</v>
      </c>
      <c r="T193" s="74" t="str">
        <f t="shared" si="75"/>
        <v/>
      </c>
      <c r="V193" s="55">
        <f t="shared" si="76"/>
        <v>123</v>
      </c>
      <c r="W193" s="233">
        <f t="shared" si="65"/>
        <v>0.12195121951219512</v>
      </c>
      <c r="X193" s="231">
        <f t="shared" si="77"/>
        <v>38.876738951219622</v>
      </c>
      <c r="Y193" s="232">
        <f t="shared" si="78"/>
        <v>0</v>
      </c>
      <c r="Z193" s="232">
        <f t="shared" si="79"/>
        <v>0</v>
      </c>
      <c r="AA193" s="232">
        <f t="shared" si="66"/>
        <v>91</v>
      </c>
      <c r="AB193" s="233">
        <f t="shared" si="67"/>
        <v>0</v>
      </c>
      <c r="AC193" s="231">
        <f t="shared" si="80"/>
        <v>36.68161700000006</v>
      </c>
      <c r="AD193" s="232">
        <f t="shared" si="81"/>
        <v>0</v>
      </c>
      <c r="AE193" s="232">
        <f t="shared" si="82"/>
        <v>0</v>
      </c>
      <c r="AF193" s="232">
        <f t="shared" si="68"/>
        <v>32</v>
      </c>
      <c r="AG193" s="232">
        <f t="shared" si="69"/>
        <v>0</v>
      </c>
      <c r="AH193" s="236">
        <f t="shared" si="83"/>
        <v>0</v>
      </c>
      <c r="AI193" s="231">
        <f t="shared" si="84"/>
        <v>36.681616999999747</v>
      </c>
      <c r="AJ193" s="232">
        <f t="shared" si="85"/>
        <v>0</v>
      </c>
      <c r="AL193" s="3" t="str">
        <f t="shared" si="91"/>
        <v/>
      </c>
    </row>
    <row r="194" spans="1:38" ht="14.1" customHeight="1" x14ac:dyDescent="0.2">
      <c r="A194" s="240" t="s">
        <v>462</v>
      </c>
      <c r="B194" s="282" t="s">
        <v>523</v>
      </c>
      <c r="C194" s="32">
        <f t="shared" si="90"/>
        <v>54</v>
      </c>
      <c r="D194" s="32">
        <f t="shared" si="86"/>
        <v>94</v>
      </c>
      <c r="E194" s="32">
        <f t="shared" si="87"/>
        <v>101</v>
      </c>
      <c r="F194" s="283" t="s">
        <v>44</v>
      </c>
      <c r="G194" s="283" t="s">
        <v>45</v>
      </c>
      <c r="H194" s="32">
        <v>2</v>
      </c>
      <c r="I194" s="32">
        <v>0</v>
      </c>
      <c r="J194" s="65">
        <v>0</v>
      </c>
      <c r="L194" s="303">
        <v>1</v>
      </c>
      <c r="M194" s="304">
        <f t="shared" si="63"/>
        <v>0.12195121951219512</v>
      </c>
      <c r="N194" s="303" t="str">
        <f t="shared" si="64"/>
        <v/>
      </c>
      <c r="O194" s="303">
        <f t="shared" si="70"/>
        <v>0</v>
      </c>
      <c r="P194" s="304">
        <f t="shared" si="71"/>
        <v>0</v>
      </c>
      <c r="Q194" s="303" t="str">
        <f t="shared" si="72"/>
        <v/>
      </c>
      <c r="R194" s="303">
        <f t="shared" si="73"/>
        <v>0</v>
      </c>
      <c r="S194" s="304">
        <f t="shared" si="74"/>
        <v>0</v>
      </c>
      <c r="T194" s="74" t="str">
        <f t="shared" si="75"/>
        <v/>
      </c>
      <c r="V194" s="55">
        <f t="shared" si="76"/>
        <v>123</v>
      </c>
      <c r="W194" s="233">
        <f t="shared" si="65"/>
        <v>0.12195121951219512</v>
      </c>
      <c r="X194" s="231">
        <f t="shared" si="77"/>
        <v>38.99869017073182</v>
      </c>
      <c r="Y194" s="232">
        <f t="shared" si="78"/>
        <v>0</v>
      </c>
      <c r="Z194" s="232">
        <f t="shared" si="79"/>
        <v>0</v>
      </c>
      <c r="AA194" s="232">
        <f t="shared" si="66"/>
        <v>91</v>
      </c>
      <c r="AB194" s="233">
        <f t="shared" si="67"/>
        <v>0</v>
      </c>
      <c r="AC194" s="231">
        <f t="shared" si="80"/>
        <v>36.68161700000006</v>
      </c>
      <c r="AD194" s="232">
        <f t="shared" si="81"/>
        <v>0</v>
      </c>
      <c r="AE194" s="232">
        <f t="shared" si="82"/>
        <v>0</v>
      </c>
      <c r="AF194" s="232">
        <f t="shared" si="68"/>
        <v>32</v>
      </c>
      <c r="AG194" s="232">
        <f t="shared" si="69"/>
        <v>0</v>
      </c>
      <c r="AH194" s="236">
        <f t="shared" si="83"/>
        <v>0</v>
      </c>
      <c r="AI194" s="231">
        <f t="shared" si="84"/>
        <v>36.681616999999747</v>
      </c>
      <c r="AJ194" s="232">
        <f t="shared" si="85"/>
        <v>0</v>
      </c>
      <c r="AL194" s="3" t="str">
        <f t="shared" si="91"/>
        <v/>
      </c>
    </row>
    <row r="195" spans="1:38" ht="14.1" customHeight="1" x14ac:dyDescent="0.2">
      <c r="A195" s="240" t="s">
        <v>462</v>
      </c>
      <c r="B195" s="282" t="s">
        <v>523</v>
      </c>
      <c r="C195" s="32">
        <v>54</v>
      </c>
      <c r="D195" s="32">
        <f t="shared" si="86"/>
        <v>95</v>
      </c>
      <c r="E195" s="32">
        <f t="shared" si="87"/>
        <v>102</v>
      </c>
      <c r="F195" s="283" t="s">
        <v>44</v>
      </c>
      <c r="G195" s="283" t="s">
        <v>45</v>
      </c>
      <c r="H195" s="32">
        <v>2</v>
      </c>
      <c r="I195" s="32">
        <v>0</v>
      </c>
      <c r="J195" s="65">
        <v>0</v>
      </c>
      <c r="L195" s="303">
        <v>1</v>
      </c>
      <c r="M195" s="304">
        <f t="shared" si="63"/>
        <v>0.12195121951219512</v>
      </c>
      <c r="N195" s="303">
        <f t="shared" si="64"/>
        <v>1</v>
      </c>
      <c r="O195" s="303">
        <f t="shared" si="70"/>
        <v>0</v>
      </c>
      <c r="P195" s="304">
        <f t="shared" si="71"/>
        <v>0</v>
      </c>
      <c r="Q195" s="303" t="str">
        <f t="shared" si="72"/>
        <v/>
      </c>
      <c r="R195" s="303">
        <f t="shared" si="73"/>
        <v>0</v>
      </c>
      <c r="S195" s="304">
        <f t="shared" si="74"/>
        <v>0</v>
      </c>
      <c r="T195" s="74" t="str">
        <f t="shared" si="75"/>
        <v/>
      </c>
      <c r="V195" s="55">
        <f t="shared" si="76"/>
        <v>123</v>
      </c>
      <c r="W195" s="233">
        <f t="shared" si="65"/>
        <v>0.12195121951219512</v>
      </c>
      <c r="X195" s="231">
        <f t="shared" si="77"/>
        <v>39.120641390244018</v>
      </c>
      <c r="Y195" s="232">
        <f t="shared" si="78"/>
        <v>1</v>
      </c>
      <c r="Z195" s="232">
        <f t="shared" si="79"/>
        <v>0</v>
      </c>
      <c r="AA195" s="232">
        <f t="shared" si="66"/>
        <v>91</v>
      </c>
      <c r="AB195" s="233">
        <f t="shared" si="67"/>
        <v>0</v>
      </c>
      <c r="AC195" s="231">
        <f t="shared" si="80"/>
        <v>36.68161700000006</v>
      </c>
      <c r="AD195" s="232">
        <f t="shared" si="81"/>
        <v>0</v>
      </c>
      <c r="AE195" s="232">
        <f t="shared" si="82"/>
        <v>0</v>
      </c>
      <c r="AF195" s="232">
        <f t="shared" si="68"/>
        <v>32</v>
      </c>
      <c r="AG195" s="232">
        <f t="shared" si="69"/>
        <v>0</v>
      </c>
      <c r="AH195" s="236">
        <f t="shared" si="83"/>
        <v>0</v>
      </c>
      <c r="AI195" s="231">
        <f t="shared" si="84"/>
        <v>36.681616999999747</v>
      </c>
      <c r="AJ195" s="232">
        <f t="shared" si="85"/>
        <v>0</v>
      </c>
      <c r="AL195" s="3" t="str">
        <f t="shared" si="91"/>
        <v/>
      </c>
    </row>
    <row r="196" spans="1:38" ht="14.1" customHeight="1" x14ac:dyDescent="0.2">
      <c r="A196" s="240" t="s">
        <v>462</v>
      </c>
      <c r="B196" s="282" t="s">
        <v>523</v>
      </c>
      <c r="C196" s="32">
        <v>54</v>
      </c>
      <c r="D196" s="32">
        <f t="shared" si="86"/>
        <v>96</v>
      </c>
      <c r="E196" s="32">
        <f t="shared" si="87"/>
        <v>103</v>
      </c>
      <c r="F196" s="283" t="s">
        <v>44</v>
      </c>
      <c r="G196" s="283" t="s">
        <v>45</v>
      </c>
      <c r="H196" s="32">
        <v>2</v>
      </c>
      <c r="I196" s="32">
        <v>0</v>
      </c>
      <c r="J196" s="65">
        <v>0</v>
      </c>
      <c r="L196" s="303">
        <v>1</v>
      </c>
      <c r="M196" s="304">
        <f t="shared" si="63"/>
        <v>0.12195121951219512</v>
      </c>
      <c r="N196" s="303" t="str">
        <f t="shared" si="64"/>
        <v/>
      </c>
      <c r="O196" s="303">
        <f t="shared" si="70"/>
        <v>0</v>
      </c>
      <c r="P196" s="304">
        <f t="shared" si="71"/>
        <v>0</v>
      </c>
      <c r="Q196" s="303" t="str">
        <f t="shared" si="72"/>
        <v/>
      </c>
      <c r="R196" s="303">
        <f t="shared" si="73"/>
        <v>0</v>
      </c>
      <c r="S196" s="304">
        <f t="shared" si="74"/>
        <v>0</v>
      </c>
      <c r="T196" s="74" t="str">
        <f t="shared" si="75"/>
        <v/>
      </c>
      <c r="V196" s="55">
        <f t="shared" si="76"/>
        <v>123</v>
      </c>
      <c r="W196" s="233">
        <f t="shared" si="65"/>
        <v>0.12195121951219512</v>
      </c>
      <c r="X196" s="231">
        <f t="shared" si="77"/>
        <v>39.242592609756215</v>
      </c>
      <c r="Y196" s="232">
        <f t="shared" si="78"/>
        <v>0</v>
      </c>
      <c r="Z196" s="232">
        <f t="shared" si="79"/>
        <v>0</v>
      </c>
      <c r="AA196" s="232">
        <f t="shared" si="66"/>
        <v>91</v>
      </c>
      <c r="AB196" s="233">
        <f t="shared" si="67"/>
        <v>0</v>
      </c>
      <c r="AC196" s="231">
        <f t="shared" si="80"/>
        <v>36.68161700000006</v>
      </c>
      <c r="AD196" s="232">
        <f t="shared" si="81"/>
        <v>0</v>
      </c>
      <c r="AE196" s="232">
        <f t="shared" si="82"/>
        <v>0</v>
      </c>
      <c r="AF196" s="232">
        <f t="shared" si="68"/>
        <v>32</v>
      </c>
      <c r="AG196" s="232">
        <f t="shared" si="69"/>
        <v>0</v>
      </c>
      <c r="AH196" s="236">
        <f t="shared" si="83"/>
        <v>0</v>
      </c>
      <c r="AI196" s="231">
        <f t="shared" si="84"/>
        <v>36.681616999999747</v>
      </c>
      <c r="AJ196" s="232">
        <f t="shared" si="85"/>
        <v>0</v>
      </c>
      <c r="AL196" s="3" t="str">
        <f t="shared" si="91"/>
        <v/>
      </c>
    </row>
    <row r="197" spans="1:38" ht="14.1" customHeight="1" x14ac:dyDescent="0.2">
      <c r="A197" s="240" t="s">
        <v>462</v>
      </c>
      <c r="B197" s="282" t="s">
        <v>523</v>
      </c>
      <c r="C197" s="32">
        <v>54</v>
      </c>
      <c r="D197" s="32">
        <f t="shared" si="86"/>
        <v>97</v>
      </c>
      <c r="E197" s="32">
        <f t="shared" si="87"/>
        <v>104</v>
      </c>
      <c r="F197" s="283" t="s">
        <v>44</v>
      </c>
      <c r="G197" s="283" t="s">
        <v>45</v>
      </c>
      <c r="H197" s="32">
        <v>7</v>
      </c>
      <c r="I197" s="32">
        <v>0</v>
      </c>
      <c r="J197" s="65">
        <v>0</v>
      </c>
      <c r="L197" s="303">
        <v>1</v>
      </c>
      <c r="M197" s="304">
        <f t="shared" si="63"/>
        <v>0.12195121951219512</v>
      </c>
      <c r="N197" s="303" t="str">
        <f t="shared" si="64"/>
        <v/>
      </c>
      <c r="O197" s="303">
        <f t="shared" si="70"/>
        <v>0</v>
      </c>
      <c r="P197" s="304">
        <f t="shared" si="71"/>
        <v>0</v>
      </c>
      <c r="Q197" s="303" t="str">
        <f t="shared" si="72"/>
        <v/>
      </c>
      <c r="R197" s="303">
        <f t="shared" si="73"/>
        <v>0</v>
      </c>
      <c r="S197" s="304">
        <f t="shared" si="74"/>
        <v>0</v>
      </c>
      <c r="T197" s="74" t="str">
        <f t="shared" si="75"/>
        <v/>
      </c>
      <c r="V197" s="55">
        <f t="shared" si="76"/>
        <v>123</v>
      </c>
      <c r="W197" s="233">
        <f t="shared" si="65"/>
        <v>0.12195121951219512</v>
      </c>
      <c r="X197" s="231">
        <f t="shared" si="77"/>
        <v>39.364543829268413</v>
      </c>
      <c r="Y197" s="232">
        <f t="shared" si="78"/>
        <v>0</v>
      </c>
      <c r="Z197" s="232">
        <f t="shared" si="79"/>
        <v>0</v>
      </c>
      <c r="AA197" s="232">
        <f t="shared" si="66"/>
        <v>91</v>
      </c>
      <c r="AB197" s="233">
        <f t="shared" si="67"/>
        <v>0</v>
      </c>
      <c r="AC197" s="231">
        <f t="shared" si="80"/>
        <v>36.68161700000006</v>
      </c>
      <c r="AD197" s="232">
        <f t="shared" si="81"/>
        <v>0</v>
      </c>
      <c r="AE197" s="232">
        <f t="shared" si="82"/>
        <v>0</v>
      </c>
      <c r="AF197" s="232">
        <f t="shared" si="68"/>
        <v>32</v>
      </c>
      <c r="AG197" s="232">
        <f t="shared" si="69"/>
        <v>0</v>
      </c>
      <c r="AH197" s="236">
        <f t="shared" si="83"/>
        <v>0</v>
      </c>
      <c r="AI197" s="231">
        <f t="shared" si="84"/>
        <v>36.681616999999747</v>
      </c>
      <c r="AJ197" s="232">
        <f t="shared" si="85"/>
        <v>0</v>
      </c>
      <c r="AL197" s="3" t="str">
        <f t="shared" si="91"/>
        <v/>
      </c>
    </row>
    <row r="198" spans="1:38" ht="14.1" customHeight="1" x14ac:dyDescent="0.2">
      <c r="A198" s="240" t="s">
        <v>462</v>
      </c>
      <c r="B198" s="282" t="s">
        <v>523</v>
      </c>
      <c r="C198" s="32">
        <v>54</v>
      </c>
      <c r="D198" s="32">
        <f t="shared" si="86"/>
        <v>98</v>
      </c>
      <c r="E198" s="32">
        <f t="shared" si="87"/>
        <v>105</v>
      </c>
      <c r="F198" s="283" t="s">
        <v>44</v>
      </c>
      <c r="G198" s="283" t="s">
        <v>45</v>
      </c>
      <c r="H198" s="32">
        <v>6</v>
      </c>
      <c r="I198" s="32">
        <v>0</v>
      </c>
      <c r="J198" s="65">
        <v>0</v>
      </c>
      <c r="L198" s="303">
        <v>1</v>
      </c>
      <c r="M198" s="304">
        <f t="shared" si="63"/>
        <v>0.12195121951219512</v>
      </c>
      <c r="N198" s="303" t="str">
        <f t="shared" si="64"/>
        <v/>
      </c>
      <c r="O198" s="303">
        <f t="shared" si="70"/>
        <v>0</v>
      </c>
      <c r="P198" s="304">
        <f t="shared" si="71"/>
        <v>0</v>
      </c>
      <c r="Q198" s="303" t="str">
        <f t="shared" si="72"/>
        <v/>
      </c>
      <c r="R198" s="303">
        <f t="shared" si="73"/>
        <v>0</v>
      </c>
      <c r="S198" s="304">
        <f t="shared" si="74"/>
        <v>0</v>
      </c>
      <c r="T198" s="74" t="str">
        <f t="shared" si="75"/>
        <v/>
      </c>
      <c r="V198" s="55">
        <f t="shared" si="76"/>
        <v>123</v>
      </c>
      <c r="W198" s="233">
        <f t="shared" si="65"/>
        <v>0.12195121951219512</v>
      </c>
      <c r="X198" s="231">
        <f t="shared" si="77"/>
        <v>39.486495048780611</v>
      </c>
      <c r="Y198" s="232">
        <f t="shared" si="78"/>
        <v>0</v>
      </c>
      <c r="Z198" s="232">
        <f t="shared" si="79"/>
        <v>0</v>
      </c>
      <c r="AA198" s="232">
        <f t="shared" si="66"/>
        <v>91</v>
      </c>
      <c r="AB198" s="233">
        <f t="shared" si="67"/>
        <v>0</v>
      </c>
      <c r="AC198" s="231">
        <f t="shared" si="80"/>
        <v>36.68161700000006</v>
      </c>
      <c r="AD198" s="232">
        <f t="shared" si="81"/>
        <v>0</v>
      </c>
      <c r="AE198" s="232">
        <f t="shared" si="82"/>
        <v>0</v>
      </c>
      <c r="AF198" s="232">
        <f t="shared" si="68"/>
        <v>32</v>
      </c>
      <c r="AG198" s="232">
        <f t="shared" si="69"/>
        <v>0</v>
      </c>
      <c r="AH198" s="236">
        <f t="shared" si="83"/>
        <v>0</v>
      </c>
      <c r="AI198" s="231">
        <f t="shared" si="84"/>
        <v>36.681616999999747</v>
      </c>
      <c r="AJ198" s="232">
        <f t="shared" si="85"/>
        <v>0</v>
      </c>
      <c r="AL198" s="3" t="str">
        <f t="shared" si="91"/>
        <v/>
      </c>
    </row>
    <row r="199" spans="1:38" ht="14.1" customHeight="1" x14ac:dyDescent="0.2">
      <c r="A199" s="240" t="s">
        <v>462</v>
      </c>
      <c r="B199" s="282" t="s">
        <v>523</v>
      </c>
      <c r="C199" s="32">
        <f t="shared" si="90"/>
        <v>55</v>
      </c>
      <c r="D199" s="32">
        <f t="shared" si="86"/>
        <v>99</v>
      </c>
      <c r="E199" s="32">
        <f t="shared" si="87"/>
        <v>106</v>
      </c>
      <c r="F199" s="283" t="s">
        <v>44</v>
      </c>
      <c r="G199" s="283" t="s">
        <v>45</v>
      </c>
      <c r="H199" s="32">
        <v>2</v>
      </c>
      <c r="I199" s="32">
        <v>0</v>
      </c>
      <c r="J199" s="65">
        <v>0</v>
      </c>
      <c r="L199" s="303">
        <v>1</v>
      </c>
      <c r="M199" s="304">
        <f t="shared" si="63"/>
        <v>0.12195121951219512</v>
      </c>
      <c r="N199" s="303" t="str">
        <f t="shared" si="64"/>
        <v/>
      </c>
      <c r="O199" s="303">
        <f t="shared" si="70"/>
        <v>0</v>
      </c>
      <c r="P199" s="304">
        <f t="shared" si="71"/>
        <v>0</v>
      </c>
      <c r="Q199" s="303" t="str">
        <f t="shared" si="72"/>
        <v/>
      </c>
      <c r="R199" s="303">
        <f t="shared" si="73"/>
        <v>0</v>
      </c>
      <c r="S199" s="304">
        <f t="shared" si="74"/>
        <v>0</v>
      </c>
      <c r="T199" s="74" t="str">
        <f t="shared" si="75"/>
        <v/>
      </c>
      <c r="V199" s="55">
        <f t="shared" si="76"/>
        <v>123</v>
      </c>
      <c r="W199" s="233">
        <f t="shared" si="65"/>
        <v>0.12195121951219512</v>
      </c>
      <c r="X199" s="231">
        <f t="shared" si="77"/>
        <v>39.608446268292809</v>
      </c>
      <c r="Y199" s="232">
        <f t="shared" si="78"/>
        <v>0</v>
      </c>
      <c r="Z199" s="232">
        <f t="shared" si="79"/>
        <v>0</v>
      </c>
      <c r="AA199" s="232">
        <f t="shared" si="66"/>
        <v>91</v>
      </c>
      <c r="AB199" s="233">
        <f t="shared" si="67"/>
        <v>0</v>
      </c>
      <c r="AC199" s="231">
        <f t="shared" si="80"/>
        <v>36.68161700000006</v>
      </c>
      <c r="AD199" s="232">
        <f t="shared" si="81"/>
        <v>0</v>
      </c>
      <c r="AE199" s="232">
        <f t="shared" si="82"/>
        <v>0</v>
      </c>
      <c r="AF199" s="232">
        <f t="shared" si="68"/>
        <v>32</v>
      </c>
      <c r="AG199" s="232">
        <f t="shared" si="69"/>
        <v>0</v>
      </c>
      <c r="AH199" s="236">
        <f t="shared" si="83"/>
        <v>0</v>
      </c>
      <c r="AI199" s="231">
        <f t="shared" si="84"/>
        <v>36.681616999999747</v>
      </c>
      <c r="AJ199" s="232">
        <f t="shared" si="85"/>
        <v>0</v>
      </c>
      <c r="AL199" s="3" t="str">
        <f t="shared" si="91"/>
        <v/>
      </c>
    </row>
    <row r="200" spans="1:38" ht="14.1" customHeight="1" x14ac:dyDescent="0.2">
      <c r="A200" s="240" t="s">
        <v>462</v>
      </c>
      <c r="B200" s="282" t="s">
        <v>523</v>
      </c>
      <c r="C200" s="32">
        <f t="shared" si="90"/>
        <v>56</v>
      </c>
      <c r="D200" s="32">
        <f t="shared" si="86"/>
        <v>100</v>
      </c>
      <c r="E200" s="32">
        <f t="shared" si="87"/>
        <v>107</v>
      </c>
      <c r="F200" s="283" t="s">
        <v>44</v>
      </c>
      <c r="G200" s="283" t="s">
        <v>45</v>
      </c>
      <c r="H200" s="32">
        <v>1</v>
      </c>
      <c r="I200" s="32">
        <v>0</v>
      </c>
      <c r="J200" s="65">
        <v>0</v>
      </c>
      <c r="L200" s="303">
        <v>1</v>
      </c>
      <c r="M200" s="304">
        <f t="shared" si="63"/>
        <v>0.12195121951219512</v>
      </c>
      <c r="N200" s="303" t="str">
        <f t="shared" si="64"/>
        <v/>
      </c>
      <c r="O200" s="303">
        <f t="shared" si="70"/>
        <v>0</v>
      </c>
      <c r="P200" s="304">
        <f t="shared" si="71"/>
        <v>0</v>
      </c>
      <c r="Q200" s="303" t="str">
        <f t="shared" si="72"/>
        <v/>
      </c>
      <c r="R200" s="303">
        <f t="shared" si="73"/>
        <v>0</v>
      </c>
      <c r="S200" s="304">
        <f t="shared" si="74"/>
        <v>0</v>
      </c>
      <c r="T200" s="74" t="str">
        <f t="shared" si="75"/>
        <v/>
      </c>
      <c r="V200" s="55">
        <f t="shared" si="76"/>
        <v>123</v>
      </c>
      <c r="W200" s="233">
        <f t="shared" si="65"/>
        <v>0.12195121951219512</v>
      </c>
      <c r="X200" s="231">
        <f t="shared" si="77"/>
        <v>39.730397487805007</v>
      </c>
      <c r="Y200" s="232">
        <f t="shared" si="78"/>
        <v>0</v>
      </c>
      <c r="Z200" s="232">
        <f t="shared" si="79"/>
        <v>0</v>
      </c>
      <c r="AA200" s="232">
        <f t="shared" si="66"/>
        <v>91</v>
      </c>
      <c r="AB200" s="233">
        <f t="shared" si="67"/>
        <v>0</v>
      </c>
      <c r="AC200" s="231">
        <f t="shared" si="80"/>
        <v>36.68161700000006</v>
      </c>
      <c r="AD200" s="232">
        <f t="shared" si="81"/>
        <v>0</v>
      </c>
      <c r="AE200" s="232">
        <f t="shared" si="82"/>
        <v>0</v>
      </c>
      <c r="AF200" s="232">
        <f t="shared" si="68"/>
        <v>32</v>
      </c>
      <c r="AG200" s="232">
        <f t="shared" si="69"/>
        <v>0</v>
      </c>
      <c r="AH200" s="236">
        <f t="shared" si="83"/>
        <v>0</v>
      </c>
      <c r="AI200" s="231">
        <f t="shared" si="84"/>
        <v>36.681616999999747</v>
      </c>
      <c r="AJ200" s="232">
        <f t="shared" si="85"/>
        <v>0</v>
      </c>
      <c r="AL200" s="3" t="str">
        <f t="shared" si="91"/>
        <v/>
      </c>
    </row>
    <row r="201" spans="1:38" ht="14.1" customHeight="1" x14ac:dyDescent="0.2">
      <c r="A201" s="240" t="s">
        <v>462</v>
      </c>
      <c r="B201" s="282" t="s">
        <v>523</v>
      </c>
      <c r="C201" s="32">
        <f t="shared" si="90"/>
        <v>57</v>
      </c>
      <c r="D201" s="32">
        <f t="shared" si="86"/>
        <v>101</v>
      </c>
      <c r="E201" s="32">
        <f t="shared" si="87"/>
        <v>108</v>
      </c>
      <c r="F201" s="283" t="s">
        <v>44</v>
      </c>
      <c r="G201" s="283" t="s">
        <v>45</v>
      </c>
      <c r="H201" s="32">
        <v>6</v>
      </c>
      <c r="I201" s="32">
        <v>0</v>
      </c>
      <c r="J201" s="65">
        <v>0</v>
      </c>
      <c r="L201" s="303">
        <v>1</v>
      </c>
      <c r="M201" s="304">
        <f t="shared" ref="M201:M216" si="92">+W201</f>
        <v>0.12195121951219512</v>
      </c>
      <c r="N201" s="303" t="str">
        <f t="shared" ref="N201:N216" si="93">+IF(Y201=1,Y201,"")</f>
        <v/>
      </c>
      <c r="O201" s="303">
        <f t="shared" si="70"/>
        <v>0</v>
      </c>
      <c r="P201" s="304">
        <f t="shared" si="71"/>
        <v>0</v>
      </c>
      <c r="Q201" s="303" t="str">
        <f t="shared" si="72"/>
        <v/>
      </c>
      <c r="R201" s="303">
        <f t="shared" si="73"/>
        <v>0</v>
      </c>
      <c r="S201" s="304">
        <f t="shared" si="74"/>
        <v>0</v>
      </c>
      <c r="T201" s="74" t="str">
        <f t="shared" si="75"/>
        <v/>
      </c>
      <c r="V201" s="55">
        <f t="shared" si="76"/>
        <v>123</v>
      </c>
      <c r="W201" s="233">
        <f t="shared" ref="W201:W216" si="94">+MIN(1,$D$5/V201)</f>
        <v>0.12195121951219512</v>
      </c>
      <c r="X201" s="231">
        <f t="shared" si="77"/>
        <v>39.852348707317205</v>
      </c>
      <c r="Y201" s="232">
        <f t="shared" si="78"/>
        <v>0</v>
      </c>
      <c r="Z201" s="232">
        <f t="shared" si="79"/>
        <v>0</v>
      </c>
      <c r="AA201" s="232">
        <f t="shared" ref="AA201:AA216" si="95">IF(B201=B200,AA200,COUNTIFS(B:B,B201,I:I,"&gt;0"))</f>
        <v>91</v>
      </c>
      <c r="AB201" s="233">
        <f t="shared" ref="AB201:AB216" si="96">+I201*MIN(1,$D$5/AA201)</f>
        <v>0</v>
      </c>
      <c r="AC201" s="231">
        <f t="shared" si="80"/>
        <v>36.68161700000006</v>
      </c>
      <c r="AD201" s="232">
        <f t="shared" si="81"/>
        <v>0</v>
      </c>
      <c r="AE201" s="232">
        <f t="shared" si="82"/>
        <v>0</v>
      </c>
      <c r="AF201" s="232">
        <f t="shared" ref="AF201:AF216" si="97">+COUNTIFS(B:B,B201,AE:AE,AE201)</f>
        <v>32</v>
      </c>
      <c r="AG201" s="232">
        <f t="shared" ref="AG201:AG216" si="98">IF(OR(AF201=0,AE201=0),0,IF(AE201=2,ROUND(MIN($D$5*(AF201^$F$5)/(AF201^$F$5+(AA201-AF201)^$F$5),AF201),0),IF(AF201=0,0,MIN($D$5,AA201)-IF(AA201=AF201,0,ROUND(MIN((AE201&gt;0)*$D$5*((AA201-AF201)^$F$5)/((AA201-AF201)^$F$5+AF201^$F$5),AA201-AF201),0)))))</f>
        <v>0</v>
      </c>
      <c r="AH201" s="236">
        <f t="shared" si="83"/>
        <v>0</v>
      </c>
      <c r="AI201" s="231">
        <f t="shared" si="84"/>
        <v>36.681616999999747</v>
      </c>
      <c r="AJ201" s="232">
        <f t="shared" si="85"/>
        <v>0</v>
      </c>
      <c r="AL201" s="3" t="str">
        <f t="shared" si="91"/>
        <v/>
      </c>
    </row>
    <row r="202" spans="1:38" ht="14.1" customHeight="1" x14ac:dyDescent="0.2">
      <c r="A202" s="240" t="s">
        <v>462</v>
      </c>
      <c r="B202" s="282" t="s">
        <v>523</v>
      </c>
      <c r="C202" s="32">
        <v>57</v>
      </c>
      <c r="D202" s="32">
        <f t="shared" si="86"/>
        <v>102</v>
      </c>
      <c r="E202" s="32">
        <f t="shared" si="87"/>
        <v>109</v>
      </c>
      <c r="F202" s="283" t="s">
        <v>44</v>
      </c>
      <c r="G202" s="283" t="s">
        <v>45</v>
      </c>
      <c r="H202" s="32">
        <v>6</v>
      </c>
      <c r="I202" s="32">
        <v>0</v>
      </c>
      <c r="J202" s="65">
        <v>0</v>
      </c>
      <c r="L202" s="303">
        <v>1</v>
      </c>
      <c r="M202" s="304">
        <f t="shared" si="92"/>
        <v>0.12195121951219512</v>
      </c>
      <c r="N202" s="303" t="str">
        <f t="shared" si="93"/>
        <v/>
      </c>
      <c r="O202" s="303">
        <f t="shared" ref="O202:O216" si="99">+Z202</f>
        <v>0</v>
      </c>
      <c r="P202" s="304">
        <f t="shared" ref="P202:P216" si="100">+AB202</f>
        <v>0</v>
      </c>
      <c r="Q202" s="303" t="str">
        <f t="shared" ref="Q202:Q216" si="101">IF(AD202=1,AD202,"")</f>
        <v/>
      </c>
      <c r="R202" s="303">
        <f t="shared" ref="R202:R216" si="102">+AE202</f>
        <v>0</v>
      </c>
      <c r="S202" s="304">
        <f t="shared" ref="S202:S216" si="103">+AH202</f>
        <v>0</v>
      </c>
      <c r="T202" s="74" t="str">
        <f t="shared" ref="T202:T216" si="104">IF(AJ202=1,AJ202,"")</f>
        <v/>
      </c>
      <c r="V202" s="55">
        <f t="shared" ref="V202:V216" si="105">+IF(B202=B201,V201,COUNTIFS(B:B,B202,H:H,"&gt;0"))</f>
        <v>123</v>
      </c>
      <c r="W202" s="233">
        <f t="shared" si="94"/>
        <v>0.12195121951219512</v>
      </c>
      <c r="X202" s="231">
        <f t="shared" ref="X202:X216" si="106">+W202+X201</f>
        <v>39.974299926829403</v>
      </c>
      <c r="Y202" s="232">
        <f t="shared" ref="Y202:Y216" si="107">+INT(X202)-INT(X201)</f>
        <v>0</v>
      </c>
      <c r="Z202" s="232">
        <f t="shared" ref="Z202:Z216" si="108">1*(I202&gt;0)</f>
        <v>0</v>
      </c>
      <c r="AA202" s="232">
        <f t="shared" si="95"/>
        <v>91</v>
      </c>
      <c r="AB202" s="233">
        <f t="shared" si="96"/>
        <v>0</v>
      </c>
      <c r="AC202" s="231">
        <f t="shared" ref="AC202:AC216" si="109">+AB202+AC201</f>
        <v>36.68161700000006</v>
      </c>
      <c r="AD202" s="232">
        <f t="shared" ref="AD202:AD216" si="110">+INT(AC202)-INT(AC201)</f>
        <v>0</v>
      </c>
      <c r="AE202" s="232">
        <f t="shared" ref="AE202:AE216" si="111">+(J202&gt;0)+(I202&gt;0)</f>
        <v>0</v>
      </c>
      <c r="AF202" s="232">
        <f t="shared" si="97"/>
        <v>32</v>
      </c>
      <c r="AG202" s="232">
        <f t="shared" si="98"/>
        <v>0</v>
      </c>
      <c r="AH202" s="236">
        <f t="shared" ref="AH202:AH216" si="112">+MIN(1,AG202/AF202)</f>
        <v>0</v>
      </c>
      <c r="AI202" s="231">
        <f t="shared" ref="AI202:AI216" si="113">+AH202+AI201</f>
        <v>36.681616999999747</v>
      </c>
      <c r="AJ202" s="232">
        <f t="shared" ref="AJ202:AJ216" si="114">+INT(AI202)-INT(AI201)</f>
        <v>0</v>
      </c>
      <c r="AL202" s="3" t="str">
        <f t="shared" si="91"/>
        <v/>
      </c>
    </row>
    <row r="203" spans="1:38" ht="14.1" customHeight="1" x14ac:dyDescent="0.2">
      <c r="A203" s="240" t="s">
        <v>462</v>
      </c>
      <c r="B203" s="282" t="s">
        <v>523</v>
      </c>
      <c r="C203" s="32">
        <v>57</v>
      </c>
      <c r="D203" s="32">
        <f t="shared" ref="D203:D216" si="115">1+D202</f>
        <v>103</v>
      </c>
      <c r="E203" s="32">
        <f t="shared" ref="E203:E216" si="116">1+E202</f>
        <v>110</v>
      </c>
      <c r="F203" s="283" t="s">
        <v>44</v>
      </c>
      <c r="G203" s="283" t="s">
        <v>45</v>
      </c>
      <c r="H203" s="32">
        <v>3</v>
      </c>
      <c r="I203" s="32">
        <v>0</v>
      </c>
      <c r="J203" s="65">
        <v>0</v>
      </c>
      <c r="L203" s="303">
        <v>1</v>
      </c>
      <c r="M203" s="304">
        <f t="shared" si="92"/>
        <v>0.12195121951219512</v>
      </c>
      <c r="N203" s="303">
        <f t="shared" si="93"/>
        <v>1</v>
      </c>
      <c r="O203" s="303">
        <f t="shared" si="99"/>
        <v>0</v>
      </c>
      <c r="P203" s="304">
        <f t="shared" si="100"/>
        <v>0</v>
      </c>
      <c r="Q203" s="303" t="str">
        <f t="shared" si="101"/>
        <v/>
      </c>
      <c r="R203" s="303">
        <f t="shared" si="102"/>
        <v>0</v>
      </c>
      <c r="S203" s="304">
        <f t="shared" si="103"/>
        <v>0</v>
      </c>
      <c r="T203" s="74" t="str">
        <f t="shared" si="104"/>
        <v/>
      </c>
      <c r="V203" s="55">
        <f t="shared" si="105"/>
        <v>123</v>
      </c>
      <c r="W203" s="233">
        <f t="shared" si="94"/>
        <v>0.12195121951219512</v>
      </c>
      <c r="X203" s="231">
        <f t="shared" si="106"/>
        <v>40.096251146341601</v>
      </c>
      <c r="Y203" s="232">
        <f t="shared" si="107"/>
        <v>1</v>
      </c>
      <c r="Z203" s="232">
        <f t="shared" si="108"/>
        <v>0</v>
      </c>
      <c r="AA203" s="232">
        <f t="shared" si="95"/>
        <v>91</v>
      </c>
      <c r="AB203" s="233">
        <f t="shared" si="96"/>
        <v>0</v>
      </c>
      <c r="AC203" s="231">
        <f t="shared" si="109"/>
        <v>36.68161700000006</v>
      </c>
      <c r="AD203" s="232">
        <f t="shared" si="110"/>
        <v>0</v>
      </c>
      <c r="AE203" s="232">
        <f t="shared" si="111"/>
        <v>0</v>
      </c>
      <c r="AF203" s="232">
        <f t="shared" si="97"/>
        <v>32</v>
      </c>
      <c r="AG203" s="232">
        <f t="shared" si="98"/>
        <v>0</v>
      </c>
      <c r="AH203" s="236">
        <f t="shared" si="112"/>
        <v>0</v>
      </c>
      <c r="AI203" s="231">
        <f t="shared" si="113"/>
        <v>36.681616999999747</v>
      </c>
      <c r="AJ203" s="232">
        <f t="shared" si="114"/>
        <v>0</v>
      </c>
      <c r="AL203" s="3" t="str">
        <f t="shared" si="91"/>
        <v/>
      </c>
    </row>
    <row r="204" spans="1:38" ht="14.1" customHeight="1" x14ac:dyDescent="0.2">
      <c r="A204" s="240" t="s">
        <v>462</v>
      </c>
      <c r="B204" s="282" t="s">
        <v>523</v>
      </c>
      <c r="C204" s="32">
        <v>57</v>
      </c>
      <c r="D204" s="32">
        <f t="shared" si="115"/>
        <v>104</v>
      </c>
      <c r="E204" s="32">
        <f t="shared" si="116"/>
        <v>111</v>
      </c>
      <c r="F204" s="283" t="s">
        <v>44</v>
      </c>
      <c r="G204" s="283" t="s">
        <v>45</v>
      </c>
      <c r="H204" s="32">
        <v>2</v>
      </c>
      <c r="I204" s="32">
        <v>0</v>
      </c>
      <c r="J204" s="65">
        <v>0</v>
      </c>
      <c r="L204" s="303">
        <v>1</v>
      </c>
      <c r="M204" s="304">
        <f t="shared" si="92"/>
        <v>0.12195121951219512</v>
      </c>
      <c r="N204" s="303" t="str">
        <f t="shared" si="93"/>
        <v/>
      </c>
      <c r="O204" s="303">
        <f t="shared" si="99"/>
        <v>0</v>
      </c>
      <c r="P204" s="304">
        <f t="shared" si="100"/>
        <v>0</v>
      </c>
      <c r="Q204" s="303" t="str">
        <f t="shared" si="101"/>
        <v/>
      </c>
      <c r="R204" s="303">
        <f t="shared" si="102"/>
        <v>0</v>
      </c>
      <c r="S204" s="304">
        <f t="shared" si="103"/>
        <v>0</v>
      </c>
      <c r="T204" s="74" t="str">
        <f t="shared" si="104"/>
        <v/>
      </c>
      <c r="V204" s="55">
        <f t="shared" si="105"/>
        <v>123</v>
      </c>
      <c r="W204" s="233">
        <f t="shared" si="94"/>
        <v>0.12195121951219512</v>
      </c>
      <c r="X204" s="231">
        <f t="shared" si="106"/>
        <v>40.218202365853799</v>
      </c>
      <c r="Y204" s="232">
        <f t="shared" si="107"/>
        <v>0</v>
      </c>
      <c r="Z204" s="232">
        <f t="shared" si="108"/>
        <v>0</v>
      </c>
      <c r="AA204" s="232">
        <f t="shared" si="95"/>
        <v>91</v>
      </c>
      <c r="AB204" s="233">
        <f t="shared" si="96"/>
        <v>0</v>
      </c>
      <c r="AC204" s="231">
        <f t="shared" si="109"/>
        <v>36.68161700000006</v>
      </c>
      <c r="AD204" s="232">
        <f t="shared" si="110"/>
        <v>0</v>
      </c>
      <c r="AE204" s="232">
        <f t="shared" si="111"/>
        <v>0</v>
      </c>
      <c r="AF204" s="232">
        <f t="shared" si="97"/>
        <v>32</v>
      </c>
      <c r="AG204" s="232">
        <f t="shared" si="98"/>
        <v>0</v>
      </c>
      <c r="AH204" s="236">
        <f t="shared" si="112"/>
        <v>0</v>
      </c>
      <c r="AI204" s="231">
        <f t="shared" si="113"/>
        <v>36.681616999999747</v>
      </c>
      <c r="AJ204" s="232">
        <f t="shared" si="114"/>
        <v>0</v>
      </c>
      <c r="AL204" s="3" t="str">
        <f t="shared" si="91"/>
        <v/>
      </c>
    </row>
    <row r="205" spans="1:38" ht="14.1" customHeight="1" x14ac:dyDescent="0.2">
      <c r="A205" s="240" t="s">
        <v>462</v>
      </c>
      <c r="B205" s="282" t="s">
        <v>523</v>
      </c>
      <c r="C205" s="32">
        <v>57</v>
      </c>
      <c r="D205" s="32">
        <f t="shared" si="115"/>
        <v>105</v>
      </c>
      <c r="E205" s="32">
        <f t="shared" si="116"/>
        <v>112</v>
      </c>
      <c r="F205" s="283" t="s">
        <v>44</v>
      </c>
      <c r="G205" s="283" t="s">
        <v>45</v>
      </c>
      <c r="H205" s="32">
        <v>6</v>
      </c>
      <c r="I205" s="32">
        <v>0</v>
      </c>
      <c r="J205" s="65">
        <v>0</v>
      </c>
      <c r="L205" s="303">
        <v>1</v>
      </c>
      <c r="M205" s="304">
        <f t="shared" si="92"/>
        <v>0.12195121951219512</v>
      </c>
      <c r="N205" s="303" t="str">
        <f t="shared" si="93"/>
        <v/>
      </c>
      <c r="O205" s="303">
        <f t="shared" si="99"/>
        <v>0</v>
      </c>
      <c r="P205" s="304">
        <f t="shared" si="100"/>
        <v>0</v>
      </c>
      <c r="Q205" s="303" t="str">
        <f t="shared" si="101"/>
        <v/>
      </c>
      <c r="R205" s="303">
        <f t="shared" si="102"/>
        <v>0</v>
      </c>
      <c r="S205" s="304">
        <f t="shared" si="103"/>
        <v>0</v>
      </c>
      <c r="T205" s="74" t="str">
        <f t="shared" si="104"/>
        <v/>
      </c>
      <c r="V205" s="55">
        <f t="shared" si="105"/>
        <v>123</v>
      </c>
      <c r="W205" s="233">
        <f t="shared" si="94"/>
        <v>0.12195121951219512</v>
      </c>
      <c r="X205" s="231">
        <f t="shared" si="106"/>
        <v>40.340153585365996</v>
      </c>
      <c r="Y205" s="232">
        <f t="shared" si="107"/>
        <v>0</v>
      </c>
      <c r="Z205" s="232">
        <f t="shared" si="108"/>
        <v>0</v>
      </c>
      <c r="AA205" s="232">
        <f t="shared" si="95"/>
        <v>91</v>
      </c>
      <c r="AB205" s="233">
        <f t="shared" si="96"/>
        <v>0</v>
      </c>
      <c r="AC205" s="231">
        <f t="shared" si="109"/>
        <v>36.68161700000006</v>
      </c>
      <c r="AD205" s="232">
        <f t="shared" si="110"/>
        <v>0</v>
      </c>
      <c r="AE205" s="232">
        <f t="shared" si="111"/>
        <v>0</v>
      </c>
      <c r="AF205" s="232">
        <f t="shared" si="97"/>
        <v>32</v>
      </c>
      <c r="AG205" s="232">
        <f t="shared" si="98"/>
        <v>0</v>
      </c>
      <c r="AH205" s="236">
        <f t="shared" si="112"/>
        <v>0</v>
      </c>
      <c r="AI205" s="231">
        <f t="shared" si="113"/>
        <v>36.681616999999747</v>
      </c>
      <c r="AJ205" s="232">
        <f t="shared" si="114"/>
        <v>0</v>
      </c>
      <c r="AL205" s="3" t="str">
        <f t="shared" si="91"/>
        <v/>
      </c>
    </row>
    <row r="206" spans="1:38" ht="14.1" customHeight="1" x14ac:dyDescent="0.2">
      <c r="A206" s="240" t="s">
        <v>462</v>
      </c>
      <c r="B206" s="282" t="s">
        <v>523</v>
      </c>
      <c r="C206" s="32">
        <f t="shared" ref="C206:C210" si="117">+C205+1</f>
        <v>58</v>
      </c>
      <c r="D206" s="32">
        <f t="shared" si="115"/>
        <v>106</v>
      </c>
      <c r="E206" s="32">
        <f t="shared" si="116"/>
        <v>113</v>
      </c>
      <c r="F206" s="283" t="s">
        <v>44</v>
      </c>
      <c r="G206" s="283" t="s">
        <v>45</v>
      </c>
      <c r="H206" s="32">
        <v>1</v>
      </c>
      <c r="I206" s="32">
        <v>0</v>
      </c>
      <c r="J206" s="65">
        <v>0</v>
      </c>
      <c r="L206" s="303">
        <v>1</v>
      </c>
      <c r="M206" s="304">
        <f t="shared" si="92"/>
        <v>0.12195121951219512</v>
      </c>
      <c r="N206" s="303" t="str">
        <f t="shared" si="93"/>
        <v/>
      </c>
      <c r="O206" s="303">
        <f t="shared" si="99"/>
        <v>0</v>
      </c>
      <c r="P206" s="304">
        <f t="shared" si="100"/>
        <v>0</v>
      </c>
      <c r="Q206" s="303" t="str">
        <f t="shared" si="101"/>
        <v/>
      </c>
      <c r="R206" s="303">
        <f t="shared" si="102"/>
        <v>0</v>
      </c>
      <c r="S206" s="304">
        <f t="shared" si="103"/>
        <v>0</v>
      </c>
      <c r="T206" s="74" t="str">
        <f t="shared" si="104"/>
        <v/>
      </c>
      <c r="V206" s="55">
        <f t="shared" si="105"/>
        <v>123</v>
      </c>
      <c r="W206" s="233">
        <f t="shared" si="94"/>
        <v>0.12195121951219512</v>
      </c>
      <c r="X206" s="231">
        <f t="shared" si="106"/>
        <v>40.462104804878194</v>
      </c>
      <c r="Y206" s="232">
        <f t="shared" si="107"/>
        <v>0</v>
      </c>
      <c r="Z206" s="232">
        <f t="shared" si="108"/>
        <v>0</v>
      </c>
      <c r="AA206" s="232">
        <f t="shared" si="95"/>
        <v>91</v>
      </c>
      <c r="AB206" s="233">
        <f t="shared" si="96"/>
        <v>0</v>
      </c>
      <c r="AC206" s="231">
        <f t="shared" si="109"/>
        <v>36.68161700000006</v>
      </c>
      <c r="AD206" s="232">
        <f t="shared" si="110"/>
        <v>0</v>
      </c>
      <c r="AE206" s="232">
        <f t="shared" si="111"/>
        <v>0</v>
      </c>
      <c r="AF206" s="232">
        <f t="shared" si="97"/>
        <v>32</v>
      </c>
      <c r="AG206" s="232">
        <f t="shared" si="98"/>
        <v>0</v>
      </c>
      <c r="AH206" s="236">
        <f t="shared" si="112"/>
        <v>0</v>
      </c>
      <c r="AI206" s="231">
        <f t="shared" si="113"/>
        <v>36.681616999999747</v>
      </c>
      <c r="AJ206" s="232">
        <f t="shared" si="114"/>
        <v>0</v>
      </c>
      <c r="AL206" s="3" t="str">
        <f t="shared" si="91"/>
        <v/>
      </c>
    </row>
    <row r="207" spans="1:38" ht="14.1" customHeight="1" x14ac:dyDescent="0.2">
      <c r="A207" s="240" t="s">
        <v>462</v>
      </c>
      <c r="B207" s="282" t="s">
        <v>523</v>
      </c>
      <c r="C207" s="32">
        <v>58</v>
      </c>
      <c r="D207" s="32">
        <f t="shared" si="115"/>
        <v>107</v>
      </c>
      <c r="E207" s="32">
        <f t="shared" si="116"/>
        <v>114</v>
      </c>
      <c r="F207" s="283" t="s">
        <v>44</v>
      </c>
      <c r="G207" s="283" t="s">
        <v>45</v>
      </c>
      <c r="H207" s="32">
        <v>3</v>
      </c>
      <c r="I207" s="32">
        <v>0</v>
      </c>
      <c r="J207" s="65">
        <v>0</v>
      </c>
      <c r="L207" s="303">
        <v>1</v>
      </c>
      <c r="M207" s="304">
        <f t="shared" si="92"/>
        <v>0.12195121951219512</v>
      </c>
      <c r="N207" s="303" t="str">
        <f t="shared" si="93"/>
        <v/>
      </c>
      <c r="O207" s="303">
        <f t="shared" si="99"/>
        <v>0</v>
      </c>
      <c r="P207" s="304">
        <f t="shared" si="100"/>
        <v>0</v>
      </c>
      <c r="Q207" s="303" t="str">
        <f t="shared" si="101"/>
        <v/>
      </c>
      <c r="R207" s="303">
        <f t="shared" si="102"/>
        <v>0</v>
      </c>
      <c r="S207" s="304">
        <f t="shared" si="103"/>
        <v>0</v>
      </c>
      <c r="T207" s="74" t="str">
        <f t="shared" si="104"/>
        <v/>
      </c>
      <c r="V207" s="55">
        <f t="shared" si="105"/>
        <v>123</v>
      </c>
      <c r="W207" s="233">
        <f t="shared" si="94"/>
        <v>0.12195121951219512</v>
      </c>
      <c r="X207" s="231">
        <f t="shared" si="106"/>
        <v>40.584056024390392</v>
      </c>
      <c r="Y207" s="232">
        <f t="shared" si="107"/>
        <v>0</v>
      </c>
      <c r="Z207" s="232">
        <f t="shared" si="108"/>
        <v>0</v>
      </c>
      <c r="AA207" s="232">
        <f t="shared" si="95"/>
        <v>91</v>
      </c>
      <c r="AB207" s="233">
        <f t="shared" si="96"/>
        <v>0</v>
      </c>
      <c r="AC207" s="231">
        <f t="shared" si="109"/>
        <v>36.68161700000006</v>
      </c>
      <c r="AD207" s="232">
        <f t="shared" si="110"/>
        <v>0</v>
      </c>
      <c r="AE207" s="232">
        <f t="shared" si="111"/>
        <v>0</v>
      </c>
      <c r="AF207" s="232">
        <f t="shared" si="97"/>
        <v>32</v>
      </c>
      <c r="AG207" s="232">
        <f t="shared" si="98"/>
        <v>0</v>
      </c>
      <c r="AH207" s="236">
        <f t="shared" si="112"/>
        <v>0</v>
      </c>
      <c r="AI207" s="231">
        <f t="shared" si="113"/>
        <v>36.681616999999747</v>
      </c>
      <c r="AJ207" s="232">
        <f t="shared" si="114"/>
        <v>0</v>
      </c>
      <c r="AL207" s="3" t="str">
        <f t="shared" si="91"/>
        <v/>
      </c>
    </row>
    <row r="208" spans="1:38" ht="14.1" customHeight="1" x14ac:dyDescent="0.2">
      <c r="A208" s="240" t="s">
        <v>462</v>
      </c>
      <c r="B208" s="282" t="s">
        <v>523</v>
      </c>
      <c r="C208" s="32">
        <v>58</v>
      </c>
      <c r="D208" s="32">
        <f t="shared" si="115"/>
        <v>108</v>
      </c>
      <c r="E208" s="32">
        <f t="shared" si="116"/>
        <v>115</v>
      </c>
      <c r="F208" s="283" t="s">
        <v>44</v>
      </c>
      <c r="G208" s="283" t="s">
        <v>45</v>
      </c>
      <c r="H208" s="32">
        <v>4</v>
      </c>
      <c r="I208" s="32">
        <v>0</v>
      </c>
      <c r="J208" s="65">
        <v>0</v>
      </c>
      <c r="L208" s="303">
        <v>1</v>
      </c>
      <c r="M208" s="304">
        <f t="shared" si="92"/>
        <v>0.12195121951219512</v>
      </c>
      <c r="N208" s="303" t="str">
        <f t="shared" si="93"/>
        <v/>
      </c>
      <c r="O208" s="303">
        <f t="shared" si="99"/>
        <v>0</v>
      </c>
      <c r="P208" s="304">
        <f t="shared" si="100"/>
        <v>0</v>
      </c>
      <c r="Q208" s="303" t="str">
        <f t="shared" si="101"/>
        <v/>
      </c>
      <c r="R208" s="303">
        <f t="shared" si="102"/>
        <v>0</v>
      </c>
      <c r="S208" s="304">
        <f t="shared" si="103"/>
        <v>0</v>
      </c>
      <c r="T208" s="74" t="str">
        <f t="shared" si="104"/>
        <v/>
      </c>
      <c r="V208" s="55">
        <f t="shared" si="105"/>
        <v>123</v>
      </c>
      <c r="W208" s="233">
        <f t="shared" si="94"/>
        <v>0.12195121951219512</v>
      </c>
      <c r="X208" s="231">
        <f t="shared" si="106"/>
        <v>40.70600724390259</v>
      </c>
      <c r="Y208" s="232">
        <f t="shared" si="107"/>
        <v>0</v>
      </c>
      <c r="Z208" s="232">
        <f t="shared" si="108"/>
        <v>0</v>
      </c>
      <c r="AA208" s="232">
        <f t="shared" si="95"/>
        <v>91</v>
      </c>
      <c r="AB208" s="233">
        <f t="shared" si="96"/>
        <v>0</v>
      </c>
      <c r="AC208" s="231">
        <f t="shared" si="109"/>
        <v>36.68161700000006</v>
      </c>
      <c r="AD208" s="232">
        <f t="shared" si="110"/>
        <v>0</v>
      </c>
      <c r="AE208" s="232">
        <f t="shared" si="111"/>
        <v>0</v>
      </c>
      <c r="AF208" s="232">
        <f t="shared" si="97"/>
        <v>32</v>
      </c>
      <c r="AG208" s="232">
        <f t="shared" si="98"/>
        <v>0</v>
      </c>
      <c r="AH208" s="236">
        <f t="shared" si="112"/>
        <v>0</v>
      </c>
      <c r="AI208" s="231">
        <f t="shared" si="113"/>
        <v>36.681616999999747</v>
      </c>
      <c r="AJ208" s="232">
        <f t="shared" si="114"/>
        <v>0</v>
      </c>
      <c r="AL208" s="3" t="str">
        <f t="shared" si="91"/>
        <v/>
      </c>
    </row>
    <row r="209" spans="1:38" ht="14.1" customHeight="1" x14ac:dyDescent="0.2">
      <c r="A209" s="240" t="s">
        <v>462</v>
      </c>
      <c r="B209" s="282" t="s">
        <v>523</v>
      </c>
      <c r="C209" s="32">
        <f t="shared" si="117"/>
        <v>59</v>
      </c>
      <c r="D209" s="32">
        <f t="shared" si="115"/>
        <v>109</v>
      </c>
      <c r="E209" s="32">
        <f t="shared" si="116"/>
        <v>116</v>
      </c>
      <c r="F209" s="283" t="s">
        <v>44</v>
      </c>
      <c r="G209" s="283" t="s">
        <v>45</v>
      </c>
      <c r="H209" s="32">
        <v>5</v>
      </c>
      <c r="I209" s="32">
        <v>0</v>
      </c>
      <c r="J209" s="65">
        <v>0</v>
      </c>
      <c r="L209" s="303">
        <v>1</v>
      </c>
      <c r="M209" s="304">
        <f t="shared" si="92"/>
        <v>0.12195121951219512</v>
      </c>
      <c r="N209" s="303" t="str">
        <f t="shared" si="93"/>
        <v/>
      </c>
      <c r="O209" s="303">
        <f t="shared" si="99"/>
        <v>0</v>
      </c>
      <c r="P209" s="304">
        <f t="shared" si="100"/>
        <v>0</v>
      </c>
      <c r="Q209" s="303" t="str">
        <f t="shared" si="101"/>
        <v/>
      </c>
      <c r="R209" s="303">
        <f t="shared" si="102"/>
        <v>0</v>
      </c>
      <c r="S209" s="304">
        <f t="shared" si="103"/>
        <v>0</v>
      </c>
      <c r="T209" s="74" t="str">
        <f t="shared" si="104"/>
        <v/>
      </c>
      <c r="V209" s="55">
        <f t="shared" si="105"/>
        <v>123</v>
      </c>
      <c r="W209" s="233">
        <f t="shared" si="94"/>
        <v>0.12195121951219512</v>
      </c>
      <c r="X209" s="231">
        <f t="shared" si="106"/>
        <v>40.827958463414788</v>
      </c>
      <c r="Y209" s="232">
        <f t="shared" si="107"/>
        <v>0</v>
      </c>
      <c r="Z209" s="232">
        <f t="shared" si="108"/>
        <v>0</v>
      </c>
      <c r="AA209" s="232">
        <f t="shared" si="95"/>
        <v>91</v>
      </c>
      <c r="AB209" s="233">
        <f t="shared" si="96"/>
        <v>0</v>
      </c>
      <c r="AC209" s="231">
        <f t="shared" si="109"/>
        <v>36.68161700000006</v>
      </c>
      <c r="AD209" s="232">
        <f t="shared" si="110"/>
        <v>0</v>
      </c>
      <c r="AE209" s="232">
        <f t="shared" si="111"/>
        <v>0</v>
      </c>
      <c r="AF209" s="232">
        <f t="shared" si="97"/>
        <v>32</v>
      </c>
      <c r="AG209" s="232">
        <f t="shared" si="98"/>
        <v>0</v>
      </c>
      <c r="AH209" s="236">
        <f t="shared" si="112"/>
        <v>0</v>
      </c>
      <c r="AI209" s="231">
        <f t="shared" si="113"/>
        <v>36.681616999999747</v>
      </c>
      <c r="AJ209" s="232">
        <f t="shared" si="114"/>
        <v>0</v>
      </c>
      <c r="AL209" s="3" t="str">
        <f t="shared" si="91"/>
        <v/>
      </c>
    </row>
    <row r="210" spans="1:38" ht="14.1" customHeight="1" x14ac:dyDescent="0.2">
      <c r="A210" s="240" t="s">
        <v>462</v>
      </c>
      <c r="B210" s="282" t="s">
        <v>523</v>
      </c>
      <c r="C210" s="32">
        <f t="shared" si="117"/>
        <v>60</v>
      </c>
      <c r="D210" s="32">
        <f t="shared" si="115"/>
        <v>110</v>
      </c>
      <c r="E210" s="32">
        <f t="shared" si="116"/>
        <v>117</v>
      </c>
      <c r="F210" s="283" t="s">
        <v>44</v>
      </c>
      <c r="G210" s="283" t="s">
        <v>45</v>
      </c>
      <c r="H210" s="32">
        <v>6</v>
      </c>
      <c r="I210" s="32">
        <v>0</v>
      </c>
      <c r="J210" s="65">
        <v>0</v>
      </c>
      <c r="L210" s="303">
        <v>1</v>
      </c>
      <c r="M210" s="304">
        <f t="shared" si="92"/>
        <v>0.12195121951219512</v>
      </c>
      <c r="N210" s="303" t="str">
        <f t="shared" si="93"/>
        <v/>
      </c>
      <c r="O210" s="303">
        <f t="shared" si="99"/>
        <v>0</v>
      </c>
      <c r="P210" s="304">
        <f t="shared" si="100"/>
        <v>0</v>
      </c>
      <c r="Q210" s="303" t="str">
        <f t="shared" si="101"/>
        <v/>
      </c>
      <c r="R210" s="303">
        <f t="shared" si="102"/>
        <v>0</v>
      </c>
      <c r="S210" s="304">
        <f t="shared" si="103"/>
        <v>0</v>
      </c>
      <c r="T210" s="74" t="str">
        <f t="shared" si="104"/>
        <v/>
      </c>
      <c r="V210" s="55">
        <f t="shared" si="105"/>
        <v>123</v>
      </c>
      <c r="W210" s="233">
        <f t="shared" si="94"/>
        <v>0.12195121951219512</v>
      </c>
      <c r="X210" s="231">
        <f t="shared" si="106"/>
        <v>40.949909682926986</v>
      </c>
      <c r="Y210" s="232">
        <f t="shared" si="107"/>
        <v>0</v>
      </c>
      <c r="Z210" s="232">
        <f t="shared" si="108"/>
        <v>0</v>
      </c>
      <c r="AA210" s="232">
        <f t="shared" si="95"/>
        <v>91</v>
      </c>
      <c r="AB210" s="233">
        <f t="shared" si="96"/>
        <v>0</v>
      </c>
      <c r="AC210" s="231">
        <f t="shared" si="109"/>
        <v>36.68161700000006</v>
      </c>
      <c r="AD210" s="232">
        <f t="shared" si="110"/>
        <v>0</v>
      </c>
      <c r="AE210" s="232">
        <f t="shared" si="111"/>
        <v>0</v>
      </c>
      <c r="AF210" s="232">
        <f t="shared" si="97"/>
        <v>32</v>
      </c>
      <c r="AG210" s="232">
        <f t="shared" si="98"/>
        <v>0</v>
      </c>
      <c r="AH210" s="236">
        <f t="shared" si="112"/>
        <v>0</v>
      </c>
      <c r="AI210" s="231">
        <f t="shared" si="113"/>
        <v>36.681616999999747</v>
      </c>
      <c r="AJ210" s="232">
        <f t="shared" si="114"/>
        <v>0</v>
      </c>
      <c r="AL210" s="3" t="str">
        <f t="shared" si="91"/>
        <v/>
      </c>
    </row>
    <row r="211" spans="1:38" ht="14.1" customHeight="1" x14ac:dyDescent="0.2">
      <c r="A211" s="240" t="s">
        <v>462</v>
      </c>
      <c r="B211" s="282" t="s">
        <v>523</v>
      </c>
      <c r="C211" s="32">
        <v>60</v>
      </c>
      <c r="D211" s="32">
        <f t="shared" si="115"/>
        <v>111</v>
      </c>
      <c r="E211" s="32">
        <f t="shared" si="116"/>
        <v>118</v>
      </c>
      <c r="F211" s="283" t="s">
        <v>44</v>
      </c>
      <c r="G211" s="283" t="s">
        <v>45</v>
      </c>
      <c r="H211" s="32">
        <v>7</v>
      </c>
      <c r="I211" s="32">
        <v>0</v>
      </c>
      <c r="J211" s="65">
        <v>0</v>
      </c>
      <c r="L211" s="303">
        <v>1</v>
      </c>
      <c r="M211" s="304">
        <f t="shared" si="92"/>
        <v>0.12195121951219512</v>
      </c>
      <c r="N211" s="303">
        <f t="shared" si="93"/>
        <v>1</v>
      </c>
      <c r="O211" s="303">
        <f t="shared" si="99"/>
        <v>0</v>
      </c>
      <c r="P211" s="304">
        <f t="shared" si="100"/>
        <v>0</v>
      </c>
      <c r="Q211" s="303" t="str">
        <f t="shared" si="101"/>
        <v/>
      </c>
      <c r="R211" s="303">
        <f t="shared" si="102"/>
        <v>0</v>
      </c>
      <c r="S211" s="304">
        <f t="shared" si="103"/>
        <v>0</v>
      </c>
      <c r="T211" s="74" t="str">
        <f t="shared" si="104"/>
        <v/>
      </c>
      <c r="V211" s="55">
        <f t="shared" si="105"/>
        <v>123</v>
      </c>
      <c r="W211" s="233">
        <f t="shared" si="94"/>
        <v>0.12195121951219512</v>
      </c>
      <c r="X211" s="231">
        <f t="shared" si="106"/>
        <v>41.071860902439184</v>
      </c>
      <c r="Y211" s="232">
        <f t="shared" si="107"/>
        <v>1</v>
      </c>
      <c r="Z211" s="232">
        <f t="shared" si="108"/>
        <v>0</v>
      </c>
      <c r="AA211" s="232">
        <f t="shared" si="95"/>
        <v>91</v>
      </c>
      <c r="AB211" s="233">
        <f t="shared" si="96"/>
        <v>0</v>
      </c>
      <c r="AC211" s="231">
        <f t="shared" si="109"/>
        <v>36.68161700000006</v>
      </c>
      <c r="AD211" s="232">
        <f t="shared" si="110"/>
        <v>0</v>
      </c>
      <c r="AE211" s="232">
        <f t="shared" si="111"/>
        <v>0</v>
      </c>
      <c r="AF211" s="232">
        <f t="shared" si="97"/>
        <v>32</v>
      </c>
      <c r="AG211" s="232">
        <f t="shared" si="98"/>
        <v>0</v>
      </c>
      <c r="AH211" s="236">
        <f t="shared" si="112"/>
        <v>0</v>
      </c>
      <c r="AI211" s="231">
        <f t="shared" si="113"/>
        <v>36.681616999999747</v>
      </c>
      <c r="AJ211" s="232">
        <f t="shared" si="114"/>
        <v>0</v>
      </c>
      <c r="AL211" s="3" t="str">
        <f t="shared" si="91"/>
        <v/>
      </c>
    </row>
    <row r="212" spans="1:38" ht="14.1" customHeight="1" x14ac:dyDescent="0.2">
      <c r="A212" s="240" t="s">
        <v>462</v>
      </c>
      <c r="B212" s="282" t="s">
        <v>523</v>
      </c>
      <c r="C212" s="32">
        <v>60</v>
      </c>
      <c r="D212" s="32">
        <f t="shared" si="115"/>
        <v>112</v>
      </c>
      <c r="E212" s="32">
        <f t="shared" si="116"/>
        <v>119</v>
      </c>
      <c r="F212" s="283" t="s">
        <v>44</v>
      </c>
      <c r="G212" s="283" t="s">
        <v>45</v>
      </c>
      <c r="H212" s="32">
        <v>1</v>
      </c>
      <c r="I212" s="32">
        <v>0</v>
      </c>
      <c r="J212" s="65">
        <v>0</v>
      </c>
      <c r="L212" s="303">
        <v>1</v>
      </c>
      <c r="M212" s="304">
        <f t="shared" si="92"/>
        <v>0.12195121951219512</v>
      </c>
      <c r="N212" s="303" t="str">
        <f t="shared" si="93"/>
        <v/>
      </c>
      <c r="O212" s="303">
        <f t="shared" si="99"/>
        <v>0</v>
      </c>
      <c r="P212" s="304">
        <f t="shared" si="100"/>
        <v>0</v>
      </c>
      <c r="Q212" s="303" t="str">
        <f t="shared" si="101"/>
        <v/>
      </c>
      <c r="R212" s="303">
        <f t="shared" si="102"/>
        <v>0</v>
      </c>
      <c r="S212" s="304">
        <f t="shared" si="103"/>
        <v>0</v>
      </c>
      <c r="T212" s="74" t="str">
        <f t="shared" si="104"/>
        <v/>
      </c>
      <c r="V212" s="55">
        <f t="shared" si="105"/>
        <v>123</v>
      </c>
      <c r="W212" s="233">
        <f t="shared" si="94"/>
        <v>0.12195121951219512</v>
      </c>
      <c r="X212" s="231">
        <f t="shared" si="106"/>
        <v>41.193812121951382</v>
      </c>
      <c r="Y212" s="232">
        <f t="shared" si="107"/>
        <v>0</v>
      </c>
      <c r="Z212" s="232">
        <f t="shared" si="108"/>
        <v>0</v>
      </c>
      <c r="AA212" s="232">
        <f t="shared" si="95"/>
        <v>91</v>
      </c>
      <c r="AB212" s="233">
        <f t="shared" si="96"/>
        <v>0</v>
      </c>
      <c r="AC212" s="231">
        <f t="shared" si="109"/>
        <v>36.68161700000006</v>
      </c>
      <c r="AD212" s="232">
        <f t="shared" si="110"/>
        <v>0</v>
      </c>
      <c r="AE212" s="232">
        <f t="shared" si="111"/>
        <v>0</v>
      </c>
      <c r="AF212" s="232">
        <f t="shared" si="97"/>
        <v>32</v>
      </c>
      <c r="AG212" s="232">
        <f t="shared" si="98"/>
        <v>0</v>
      </c>
      <c r="AH212" s="236">
        <f t="shared" si="112"/>
        <v>0</v>
      </c>
      <c r="AI212" s="231">
        <f t="shared" si="113"/>
        <v>36.681616999999747</v>
      </c>
      <c r="AJ212" s="232">
        <f t="shared" si="114"/>
        <v>0</v>
      </c>
      <c r="AL212" s="3" t="str">
        <f t="shared" si="91"/>
        <v/>
      </c>
    </row>
    <row r="213" spans="1:38" ht="14.1" customHeight="1" x14ac:dyDescent="0.2">
      <c r="A213" s="240" t="s">
        <v>462</v>
      </c>
      <c r="B213" s="282" t="s">
        <v>523</v>
      </c>
      <c r="C213" s="32">
        <v>60</v>
      </c>
      <c r="D213" s="32">
        <f t="shared" si="115"/>
        <v>113</v>
      </c>
      <c r="E213" s="32">
        <f t="shared" si="116"/>
        <v>120</v>
      </c>
      <c r="F213" s="283" t="s">
        <v>44</v>
      </c>
      <c r="G213" s="283" t="s">
        <v>45</v>
      </c>
      <c r="H213" s="32">
        <v>2</v>
      </c>
      <c r="I213" s="32">
        <v>0</v>
      </c>
      <c r="J213" s="65">
        <v>0</v>
      </c>
      <c r="L213" s="303">
        <v>1</v>
      </c>
      <c r="M213" s="304">
        <f t="shared" si="92"/>
        <v>0.12195121951219512</v>
      </c>
      <c r="N213" s="303" t="str">
        <f t="shared" si="93"/>
        <v/>
      </c>
      <c r="O213" s="303">
        <f t="shared" si="99"/>
        <v>0</v>
      </c>
      <c r="P213" s="304">
        <f t="shared" si="100"/>
        <v>0</v>
      </c>
      <c r="Q213" s="303" t="str">
        <f t="shared" si="101"/>
        <v/>
      </c>
      <c r="R213" s="303">
        <f t="shared" si="102"/>
        <v>0</v>
      </c>
      <c r="S213" s="304">
        <f t="shared" si="103"/>
        <v>0</v>
      </c>
      <c r="T213" s="74" t="str">
        <f t="shared" si="104"/>
        <v/>
      </c>
      <c r="V213" s="55">
        <f t="shared" si="105"/>
        <v>123</v>
      </c>
      <c r="W213" s="233">
        <f t="shared" si="94"/>
        <v>0.12195121951219512</v>
      </c>
      <c r="X213" s="231">
        <f t="shared" si="106"/>
        <v>41.31576334146358</v>
      </c>
      <c r="Y213" s="232">
        <f t="shared" si="107"/>
        <v>0</v>
      </c>
      <c r="Z213" s="232">
        <f t="shared" si="108"/>
        <v>0</v>
      </c>
      <c r="AA213" s="232">
        <f t="shared" si="95"/>
        <v>91</v>
      </c>
      <c r="AB213" s="233">
        <f t="shared" si="96"/>
        <v>0</v>
      </c>
      <c r="AC213" s="231">
        <f t="shared" si="109"/>
        <v>36.68161700000006</v>
      </c>
      <c r="AD213" s="232">
        <f t="shared" si="110"/>
        <v>0</v>
      </c>
      <c r="AE213" s="232">
        <f t="shared" si="111"/>
        <v>0</v>
      </c>
      <c r="AF213" s="232">
        <f t="shared" si="97"/>
        <v>32</v>
      </c>
      <c r="AG213" s="232">
        <f t="shared" si="98"/>
        <v>0</v>
      </c>
      <c r="AH213" s="236">
        <f t="shared" si="112"/>
        <v>0</v>
      </c>
      <c r="AI213" s="231">
        <f t="shared" si="113"/>
        <v>36.681616999999747</v>
      </c>
      <c r="AJ213" s="232">
        <f t="shared" si="114"/>
        <v>0</v>
      </c>
      <c r="AL213" s="3" t="str">
        <f t="shared" si="91"/>
        <v/>
      </c>
    </row>
    <row r="214" spans="1:38" ht="14.1" customHeight="1" x14ac:dyDescent="0.2">
      <c r="A214" s="240" t="s">
        <v>462</v>
      </c>
      <c r="B214" s="282" t="s">
        <v>523</v>
      </c>
      <c r="C214" s="32">
        <v>60</v>
      </c>
      <c r="D214" s="32">
        <f t="shared" si="115"/>
        <v>114</v>
      </c>
      <c r="E214" s="32">
        <f t="shared" si="116"/>
        <v>121</v>
      </c>
      <c r="F214" s="283" t="s">
        <v>44</v>
      </c>
      <c r="G214" s="283" t="s">
        <v>45</v>
      </c>
      <c r="H214" s="32">
        <v>5</v>
      </c>
      <c r="I214" s="32">
        <v>0</v>
      </c>
      <c r="J214" s="65">
        <v>0</v>
      </c>
      <c r="L214" s="303">
        <v>1</v>
      </c>
      <c r="M214" s="304">
        <f t="shared" si="92"/>
        <v>0.12195121951219512</v>
      </c>
      <c r="N214" s="303" t="str">
        <f t="shared" si="93"/>
        <v/>
      </c>
      <c r="O214" s="303">
        <f t="shared" si="99"/>
        <v>0</v>
      </c>
      <c r="P214" s="304">
        <f t="shared" si="100"/>
        <v>0</v>
      </c>
      <c r="Q214" s="303" t="str">
        <f t="shared" si="101"/>
        <v/>
      </c>
      <c r="R214" s="303">
        <f t="shared" si="102"/>
        <v>0</v>
      </c>
      <c r="S214" s="304">
        <f t="shared" si="103"/>
        <v>0</v>
      </c>
      <c r="T214" s="74" t="str">
        <f t="shared" si="104"/>
        <v/>
      </c>
      <c r="V214" s="55">
        <f t="shared" si="105"/>
        <v>123</v>
      </c>
      <c r="W214" s="233">
        <f t="shared" si="94"/>
        <v>0.12195121951219512</v>
      </c>
      <c r="X214" s="231">
        <f t="shared" si="106"/>
        <v>41.437714560975778</v>
      </c>
      <c r="Y214" s="232">
        <f t="shared" si="107"/>
        <v>0</v>
      </c>
      <c r="Z214" s="232">
        <f t="shared" si="108"/>
        <v>0</v>
      </c>
      <c r="AA214" s="232">
        <f t="shared" si="95"/>
        <v>91</v>
      </c>
      <c r="AB214" s="233">
        <f t="shared" si="96"/>
        <v>0</v>
      </c>
      <c r="AC214" s="231">
        <f t="shared" si="109"/>
        <v>36.68161700000006</v>
      </c>
      <c r="AD214" s="232">
        <f t="shared" si="110"/>
        <v>0</v>
      </c>
      <c r="AE214" s="232">
        <f t="shared" si="111"/>
        <v>0</v>
      </c>
      <c r="AF214" s="232">
        <f t="shared" si="97"/>
        <v>32</v>
      </c>
      <c r="AG214" s="232">
        <f t="shared" si="98"/>
        <v>0</v>
      </c>
      <c r="AH214" s="236">
        <f t="shared" si="112"/>
        <v>0</v>
      </c>
      <c r="AI214" s="231">
        <f t="shared" si="113"/>
        <v>36.681616999999747</v>
      </c>
      <c r="AJ214" s="232">
        <f t="shared" si="114"/>
        <v>0</v>
      </c>
      <c r="AL214" s="3" t="str">
        <f t="shared" si="91"/>
        <v/>
      </c>
    </row>
    <row r="215" spans="1:38" ht="14.1" customHeight="1" x14ac:dyDescent="0.2">
      <c r="A215" s="240" t="s">
        <v>462</v>
      </c>
      <c r="B215" s="282" t="s">
        <v>523</v>
      </c>
      <c r="C215" s="32">
        <v>60</v>
      </c>
      <c r="D215" s="32">
        <f t="shared" si="115"/>
        <v>115</v>
      </c>
      <c r="E215" s="32">
        <f t="shared" si="116"/>
        <v>122</v>
      </c>
      <c r="F215" s="283" t="s">
        <v>44</v>
      </c>
      <c r="G215" s="283" t="s">
        <v>45</v>
      </c>
      <c r="H215" s="32">
        <v>6</v>
      </c>
      <c r="I215" s="32">
        <v>0</v>
      </c>
      <c r="J215" s="65">
        <v>0</v>
      </c>
      <c r="L215" s="303">
        <v>1</v>
      </c>
      <c r="M215" s="304">
        <f t="shared" si="92"/>
        <v>0.12195121951219512</v>
      </c>
      <c r="N215" s="303" t="str">
        <f t="shared" si="93"/>
        <v/>
      </c>
      <c r="O215" s="303">
        <f t="shared" si="99"/>
        <v>0</v>
      </c>
      <c r="P215" s="304">
        <f t="shared" si="100"/>
        <v>0</v>
      </c>
      <c r="Q215" s="303" t="str">
        <f t="shared" si="101"/>
        <v/>
      </c>
      <c r="R215" s="303">
        <f t="shared" si="102"/>
        <v>0</v>
      </c>
      <c r="S215" s="304">
        <f t="shared" si="103"/>
        <v>0</v>
      </c>
      <c r="T215" s="74" t="str">
        <f t="shared" si="104"/>
        <v/>
      </c>
      <c r="V215" s="55">
        <f t="shared" si="105"/>
        <v>123</v>
      </c>
      <c r="W215" s="233">
        <f t="shared" si="94"/>
        <v>0.12195121951219512</v>
      </c>
      <c r="X215" s="231">
        <f t="shared" si="106"/>
        <v>41.559665780487975</v>
      </c>
      <c r="Y215" s="232">
        <f t="shared" si="107"/>
        <v>0</v>
      </c>
      <c r="Z215" s="232">
        <f t="shared" si="108"/>
        <v>0</v>
      </c>
      <c r="AA215" s="232">
        <f t="shared" si="95"/>
        <v>91</v>
      </c>
      <c r="AB215" s="233">
        <f t="shared" si="96"/>
        <v>0</v>
      </c>
      <c r="AC215" s="231">
        <f t="shared" si="109"/>
        <v>36.68161700000006</v>
      </c>
      <c r="AD215" s="232">
        <f t="shared" si="110"/>
        <v>0</v>
      </c>
      <c r="AE215" s="232">
        <f t="shared" si="111"/>
        <v>0</v>
      </c>
      <c r="AF215" s="232">
        <f t="shared" si="97"/>
        <v>32</v>
      </c>
      <c r="AG215" s="232">
        <f t="shared" si="98"/>
        <v>0</v>
      </c>
      <c r="AH215" s="236">
        <f t="shared" si="112"/>
        <v>0</v>
      </c>
      <c r="AI215" s="231">
        <f t="shared" si="113"/>
        <v>36.681616999999747</v>
      </c>
      <c r="AJ215" s="232">
        <f t="shared" si="114"/>
        <v>0</v>
      </c>
      <c r="AL215" s="3" t="str">
        <f t="shared" si="91"/>
        <v/>
      </c>
    </row>
    <row r="216" spans="1:38" ht="14.1" customHeight="1" x14ac:dyDescent="0.2">
      <c r="A216" s="240" t="s">
        <v>462</v>
      </c>
      <c r="B216" s="282" t="s">
        <v>523</v>
      </c>
      <c r="C216" s="32">
        <v>60</v>
      </c>
      <c r="D216" s="32">
        <f t="shared" si="115"/>
        <v>116</v>
      </c>
      <c r="E216" s="32">
        <f t="shared" si="116"/>
        <v>123</v>
      </c>
      <c r="F216" s="283" t="s">
        <v>44</v>
      </c>
      <c r="G216" s="283" t="s">
        <v>45</v>
      </c>
      <c r="H216" s="32">
        <v>3</v>
      </c>
      <c r="I216" s="32">
        <v>0</v>
      </c>
      <c r="J216" s="65">
        <v>0</v>
      </c>
      <c r="L216" s="303">
        <v>1</v>
      </c>
      <c r="M216" s="304">
        <f t="shared" si="92"/>
        <v>0.12195121951219512</v>
      </c>
      <c r="N216" s="303" t="str">
        <f t="shared" si="93"/>
        <v/>
      </c>
      <c r="O216" s="303">
        <f t="shared" si="99"/>
        <v>0</v>
      </c>
      <c r="P216" s="304">
        <f t="shared" si="100"/>
        <v>0</v>
      </c>
      <c r="Q216" s="303" t="str">
        <f t="shared" si="101"/>
        <v/>
      </c>
      <c r="R216" s="303">
        <f t="shared" si="102"/>
        <v>0</v>
      </c>
      <c r="S216" s="304">
        <f t="shared" si="103"/>
        <v>0</v>
      </c>
      <c r="T216" s="74" t="str">
        <f t="shared" si="104"/>
        <v/>
      </c>
      <c r="V216" s="55">
        <f t="shared" si="105"/>
        <v>123</v>
      </c>
      <c r="W216" s="233">
        <f t="shared" si="94"/>
        <v>0.12195121951219512</v>
      </c>
      <c r="X216" s="231">
        <f t="shared" si="106"/>
        <v>41.681617000000173</v>
      </c>
      <c r="Y216" s="232">
        <f t="shared" si="107"/>
        <v>0</v>
      </c>
      <c r="Z216" s="232">
        <f t="shared" si="108"/>
        <v>0</v>
      </c>
      <c r="AA216" s="232">
        <f t="shared" si="95"/>
        <v>91</v>
      </c>
      <c r="AB216" s="233">
        <f t="shared" si="96"/>
        <v>0</v>
      </c>
      <c r="AC216" s="231">
        <f t="shared" si="109"/>
        <v>36.68161700000006</v>
      </c>
      <c r="AD216" s="232">
        <f t="shared" si="110"/>
        <v>0</v>
      </c>
      <c r="AE216" s="232">
        <f t="shared" si="111"/>
        <v>0</v>
      </c>
      <c r="AF216" s="232">
        <f t="shared" si="97"/>
        <v>32</v>
      </c>
      <c r="AG216" s="232">
        <f t="shared" si="98"/>
        <v>0</v>
      </c>
      <c r="AH216" s="236">
        <f t="shared" si="112"/>
        <v>0</v>
      </c>
      <c r="AI216" s="231">
        <f t="shared" si="113"/>
        <v>36.681616999999747</v>
      </c>
      <c r="AJ216" s="232">
        <f t="shared" si="114"/>
        <v>0</v>
      </c>
      <c r="AL216" s="3" t="str">
        <f t="shared" si="91"/>
        <v/>
      </c>
    </row>
    <row r="217" spans="1:38" ht="14.1" customHeight="1" x14ac:dyDescent="0.2"/>
    <row r="218" spans="1:38" ht="14.1" customHeight="1" x14ac:dyDescent="0.2"/>
    <row r="219" spans="1:38" ht="14.1" customHeight="1" x14ac:dyDescent="0.2"/>
    <row r="220" spans="1:38" ht="14.1" customHeight="1" x14ac:dyDescent="0.2"/>
    <row r="221" spans="1:38" ht="14.1" customHeight="1" x14ac:dyDescent="0.2"/>
    <row r="222" spans="1:38" ht="14.1" customHeight="1" x14ac:dyDescent="0.2"/>
    <row r="223" spans="1:38" ht="14.1" customHeight="1" x14ac:dyDescent="0.2"/>
    <row r="224" spans="1:38" ht="14.1" customHeight="1" x14ac:dyDescent="0.2"/>
    <row r="225" ht="14.1" customHeight="1" x14ac:dyDescent="0.2"/>
    <row r="226" ht="14.1" customHeight="1" x14ac:dyDescent="0.2"/>
    <row r="227" ht="14.1" customHeight="1" x14ac:dyDescent="0.2"/>
    <row r="228" ht="14.1" customHeight="1" x14ac:dyDescent="0.2"/>
    <row r="229" ht="14.1" customHeight="1" x14ac:dyDescent="0.2"/>
    <row r="230" ht="14.1" customHeight="1" x14ac:dyDescent="0.2"/>
    <row r="231" ht="14.1" customHeight="1" x14ac:dyDescent="0.2"/>
    <row r="232" ht="14.1" customHeight="1" x14ac:dyDescent="0.2"/>
    <row r="233" ht="14.1" customHeight="1" x14ac:dyDescent="0.2"/>
    <row r="234" ht="14.1" customHeight="1" x14ac:dyDescent="0.2"/>
    <row r="235" ht="14.1" customHeight="1" x14ac:dyDescent="0.2"/>
    <row r="236" ht="14.1" customHeight="1" x14ac:dyDescent="0.2"/>
    <row r="237" ht="14.1" customHeight="1" x14ac:dyDescent="0.2"/>
    <row r="238" ht="14.1" customHeight="1" x14ac:dyDescent="0.2"/>
    <row r="239" ht="14.1" customHeight="1" x14ac:dyDescent="0.2"/>
    <row r="240" ht="14.1" customHeight="1" x14ac:dyDescent="0.2"/>
    <row r="241" ht="14.1" customHeight="1" x14ac:dyDescent="0.2"/>
    <row r="242" ht="14.1" customHeight="1" x14ac:dyDescent="0.2"/>
    <row r="243" ht="14.1" customHeight="1" x14ac:dyDescent="0.2"/>
    <row r="244" ht="14.1" customHeight="1" x14ac:dyDescent="0.2"/>
    <row r="245" ht="14.1" customHeight="1" x14ac:dyDescent="0.2"/>
    <row r="246" ht="14.1" customHeight="1" x14ac:dyDescent="0.2"/>
    <row r="247" ht="14.1" customHeight="1" x14ac:dyDescent="0.2"/>
    <row r="248" ht="14.1" customHeight="1" x14ac:dyDescent="0.2"/>
    <row r="249" ht="14.1" customHeight="1" x14ac:dyDescent="0.2"/>
    <row r="250" ht="14.1" customHeight="1" x14ac:dyDescent="0.2"/>
    <row r="251" ht="14.1" customHeight="1" x14ac:dyDescent="0.2"/>
    <row r="252" ht="14.1" customHeight="1" x14ac:dyDescent="0.2"/>
    <row r="253" ht="14.1" customHeight="1" x14ac:dyDescent="0.2"/>
    <row r="254" ht="14.1" customHeight="1" x14ac:dyDescent="0.2"/>
    <row r="255" ht="14.1" customHeight="1" x14ac:dyDescent="0.2"/>
    <row r="256" ht="14.1" customHeight="1" x14ac:dyDescent="0.2"/>
    <row r="257" ht="14.1" customHeight="1" x14ac:dyDescent="0.2"/>
    <row r="258" ht="14.1" customHeight="1" x14ac:dyDescent="0.2"/>
    <row r="259" ht="14.1" customHeight="1" x14ac:dyDescent="0.2"/>
    <row r="260" ht="14.1" customHeight="1" x14ac:dyDescent="0.2"/>
    <row r="261" ht="14.1" customHeight="1" x14ac:dyDescent="0.2"/>
    <row r="262" ht="14.1" customHeight="1" x14ac:dyDescent="0.2"/>
    <row r="263" ht="14.1" customHeight="1" x14ac:dyDescent="0.2"/>
    <row r="264" ht="14.1" customHeight="1" x14ac:dyDescent="0.2"/>
    <row r="265" ht="14.1" customHeight="1" x14ac:dyDescent="0.2"/>
    <row r="266" ht="14.1" customHeight="1" x14ac:dyDescent="0.2"/>
    <row r="267" ht="14.1" customHeight="1" x14ac:dyDescent="0.2"/>
    <row r="268" ht="14.1" customHeight="1" x14ac:dyDescent="0.2"/>
    <row r="269" ht="14.1" customHeight="1" x14ac:dyDescent="0.2"/>
    <row r="270" ht="14.1" customHeight="1" x14ac:dyDescent="0.2"/>
    <row r="271" ht="14.1" customHeight="1" x14ac:dyDescent="0.2"/>
    <row r="272" ht="14.1" customHeight="1" x14ac:dyDescent="0.2"/>
    <row r="273" ht="14.1" customHeight="1" x14ac:dyDescent="0.2"/>
    <row r="274" ht="14.1" customHeight="1" x14ac:dyDescent="0.2"/>
    <row r="275" ht="14.1" customHeight="1" x14ac:dyDescent="0.2"/>
    <row r="276" ht="14.1" customHeight="1" x14ac:dyDescent="0.2"/>
    <row r="277" ht="14.1" customHeight="1" x14ac:dyDescent="0.2"/>
    <row r="278" ht="14.1" customHeight="1" x14ac:dyDescent="0.2"/>
    <row r="279" ht="14.1" customHeight="1" x14ac:dyDescent="0.2"/>
  </sheetData>
  <sortState xmlns:xlrd2="http://schemas.microsoft.com/office/spreadsheetml/2017/richdata2" ref="A10:K217">
    <sortCondition ref="B10:B217"/>
    <sortCondition descending="1" ref="J10:J217"/>
    <sortCondition descending="1" ref="K10:K217"/>
  </sortState>
  <mergeCells count="39">
    <mergeCell ref="V4:Y4"/>
    <mergeCell ref="Z4:AD4"/>
    <mergeCell ref="AE4:AJ4"/>
    <mergeCell ref="V3:AJ3"/>
    <mergeCell ref="AM14:AX14"/>
    <mergeCell ref="AM16:AX16"/>
    <mergeCell ref="AS17:AS19"/>
    <mergeCell ref="Z6:Z7"/>
    <mergeCell ref="AE6:AE7"/>
    <mergeCell ref="AF6:AF7"/>
    <mergeCell ref="AG6:AG7"/>
    <mergeCell ref="AH6:AH7"/>
    <mergeCell ref="AM15:AX15"/>
    <mergeCell ref="AN18:AR18"/>
    <mergeCell ref="AT18:AX18"/>
    <mergeCell ref="AN17:AR17"/>
    <mergeCell ref="AT17:AX17"/>
    <mergeCell ref="AM17:AM19"/>
    <mergeCell ref="A6:J6"/>
    <mergeCell ref="A4:J4"/>
    <mergeCell ref="A1:T1"/>
    <mergeCell ref="V1:AD1"/>
    <mergeCell ref="A3:J3"/>
    <mergeCell ref="L3:T3"/>
    <mergeCell ref="K4:K7"/>
    <mergeCell ref="A5:B5"/>
    <mergeCell ref="V5:W5"/>
    <mergeCell ref="V6:V7"/>
    <mergeCell ref="W6:W7"/>
    <mergeCell ref="X6:X7"/>
    <mergeCell ref="Y6:Y7"/>
    <mergeCell ref="AA6:AA7"/>
    <mergeCell ref="AB6:AB7"/>
    <mergeCell ref="O4:Q4"/>
    <mergeCell ref="R4:T4"/>
    <mergeCell ref="O5:Q6"/>
    <mergeCell ref="R5:T6"/>
    <mergeCell ref="L4:N4"/>
    <mergeCell ref="L5:N6"/>
  </mergeCells>
  <phoneticPr fontId="18" type="noConversion"/>
  <pageMargins left="0.75" right="0.75" top="1" bottom="1" header="0.5" footer="0.5"/>
  <drawing r:id="rId1"/>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405"/>
  <sheetViews>
    <sheetView workbookViewId="0">
      <selection activeCell="AJ7" sqref="AJ7:AZ9"/>
    </sheetView>
  </sheetViews>
  <sheetFormatPr defaultColWidth="8.875" defaultRowHeight="15.75" x14ac:dyDescent="0.25"/>
  <cols>
    <col min="2" max="3" width="8" customWidth="1"/>
    <col min="4" max="4" width="11.375" customWidth="1"/>
    <col min="5" max="5" width="12.125" style="105" customWidth="1"/>
    <col min="6" max="6" width="1.875" style="105" customWidth="1"/>
    <col min="7" max="7" width="4.625" style="106" customWidth="1"/>
    <col min="8" max="31" width="4.625" customWidth="1"/>
    <col min="32" max="32" width="1.875" customWidth="1"/>
  </cols>
  <sheetData>
    <row r="1" spans="1:52" ht="26.1" customHeight="1" x14ac:dyDescent="0.25">
      <c r="A1" s="338" t="s">
        <v>274</v>
      </c>
      <c r="B1" s="339"/>
      <c r="C1" s="339"/>
      <c r="D1" s="339"/>
      <c r="E1" s="339"/>
      <c r="F1" s="339"/>
      <c r="G1" s="339"/>
      <c r="H1" s="339"/>
      <c r="I1" s="339"/>
      <c r="J1" s="339"/>
      <c r="K1" s="339"/>
      <c r="L1" s="339"/>
      <c r="M1" s="339"/>
      <c r="N1" s="339"/>
      <c r="O1" s="339"/>
      <c r="P1" s="339"/>
      <c r="Q1" s="339"/>
      <c r="R1" s="339"/>
      <c r="S1" s="339"/>
      <c r="T1" s="339"/>
      <c r="U1" s="339"/>
      <c r="V1" s="339"/>
      <c r="W1" s="339"/>
      <c r="X1" s="339"/>
      <c r="Y1" s="339"/>
      <c r="Z1" s="339"/>
      <c r="AA1" s="339"/>
      <c r="AB1" s="339"/>
      <c r="AC1" s="339"/>
      <c r="AD1" s="339"/>
      <c r="AE1" s="339"/>
      <c r="AG1" s="388"/>
      <c r="AH1" s="388"/>
      <c r="AM1" s="104"/>
    </row>
    <row r="2" spans="1:52" x14ac:dyDescent="0.25">
      <c r="AM2" s="107"/>
    </row>
    <row r="3" spans="1:52" ht="15" customHeight="1" x14ac:dyDescent="0.25">
      <c r="A3" s="332" t="s">
        <v>282</v>
      </c>
      <c r="B3" s="339"/>
      <c r="C3" s="339"/>
      <c r="D3" s="339"/>
      <c r="E3" s="339"/>
      <c r="F3" s="103"/>
      <c r="G3" s="331" t="s">
        <v>610</v>
      </c>
      <c r="H3" s="328"/>
      <c r="I3" s="328"/>
      <c r="J3" s="339"/>
      <c r="K3" s="339"/>
      <c r="L3" s="339"/>
      <c r="M3" s="339"/>
      <c r="N3" s="339"/>
      <c r="O3" s="339"/>
      <c r="P3" s="339"/>
      <c r="Q3" s="339"/>
      <c r="R3" s="339"/>
      <c r="S3" s="339"/>
      <c r="T3" s="339"/>
      <c r="U3" s="339"/>
      <c r="V3" s="339"/>
      <c r="W3" s="339"/>
      <c r="X3" s="339"/>
      <c r="Y3" s="339"/>
      <c r="Z3" s="339"/>
      <c r="AA3" s="339"/>
      <c r="AB3" s="339"/>
      <c r="AC3" s="339"/>
      <c r="AD3" s="339"/>
      <c r="AE3" s="339"/>
      <c r="AG3" s="331" t="s">
        <v>334</v>
      </c>
      <c r="AH3" s="357"/>
      <c r="AM3" s="108"/>
    </row>
    <row r="4" spans="1:52" x14ac:dyDescent="0.25">
      <c r="E4" s="113"/>
      <c r="F4" s="113"/>
      <c r="G4" s="389" t="s">
        <v>473</v>
      </c>
      <c r="H4" s="356"/>
      <c r="I4" s="356"/>
      <c r="J4" s="356"/>
      <c r="K4" s="356"/>
      <c r="L4" s="356"/>
      <c r="M4" s="356"/>
      <c r="N4" s="356"/>
      <c r="O4" s="356"/>
      <c r="P4" s="356"/>
      <c r="Q4" s="356">
        <f ca="1">+'PSU Selection'!D6</f>
        <v>0.2977868951672844</v>
      </c>
      <c r="R4" s="356"/>
      <c r="S4" s="356"/>
      <c r="T4" s="356"/>
      <c r="U4" s="356"/>
      <c r="V4" s="356"/>
      <c r="W4" s="356"/>
      <c r="X4" s="356"/>
      <c r="Y4" s="356"/>
      <c r="Z4" s="356"/>
      <c r="AA4" s="356"/>
      <c r="AB4" s="356"/>
      <c r="AC4" s="356"/>
      <c r="AD4" s="356"/>
      <c r="AE4" s="356"/>
      <c r="AG4" s="130"/>
      <c r="AH4" s="130">
        <f ca="1">+Q4</f>
        <v>0.2977868951672844</v>
      </c>
      <c r="AM4" s="109"/>
    </row>
    <row r="5" spans="1:52" s="112" customFormat="1" ht="38.25" x14ac:dyDescent="0.25">
      <c r="A5" s="112" t="s">
        <v>332</v>
      </c>
      <c r="B5" s="119" t="s">
        <v>155</v>
      </c>
      <c r="C5" s="119" t="s">
        <v>143</v>
      </c>
      <c r="D5" s="120" t="s">
        <v>637</v>
      </c>
      <c r="E5" s="120" t="s">
        <v>625</v>
      </c>
      <c r="F5" s="120"/>
      <c r="G5" s="110">
        <v>1</v>
      </c>
      <c r="H5" s="111">
        <f t="shared" ref="H5:AE5" si="0">+G5+1</f>
        <v>2</v>
      </c>
      <c r="I5" s="111">
        <f t="shared" si="0"/>
        <v>3</v>
      </c>
      <c r="J5" s="111">
        <f t="shared" si="0"/>
        <v>4</v>
      </c>
      <c r="K5" s="111">
        <f t="shared" si="0"/>
        <v>5</v>
      </c>
      <c r="L5" s="111">
        <f t="shared" si="0"/>
        <v>6</v>
      </c>
      <c r="M5" s="111">
        <f t="shared" si="0"/>
        <v>7</v>
      </c>
      <c r="N5" s="111">
        <f t="shared" si="0"/>
        <v>8</v>
      </c>
      <c r="O5" s="111">
        <f t="shared" si="0"/>
        <v>9</v>
      </c>
      <c r="P5" s="111">
        <f t="shared" si="0"/>
        <v>10</v>
      </c>
      <c r="Q5" s="111">
        <f t="shared" si="0"/>
        <v>11</v>
      </c>
      <c r="R5" s="111">
        <f t="shared" si="0"/>
        <v>12</v>
      </c>
      <c r="S5" s="111">
        <f t="shared" si="0"/>
        <v>13</v>
      </c>
      <c r="T5" s="111">
        <f t="shared" si="0"/>
        <v>14</v>
      </c>
      <c r="U5" s="111">
        <f t="shared" si="0"/>
        <v>15</v>
      </c>
      <c r="V5" s="111">
        <f t="shared" si="0"/>
        <v>16</v>
      </c>
      <c r="W5" s="111">
        <f t="shared" si="0"/>
        <v>17</v>
      </c>
      <c r="X5" s="111">
        <f t="shared" si="0"/>
        <v>18</v>
      </c>
      <c r="Y5" s="111">
        <f t="shared" si="0"/>
        <v>19</v>
      </c>
      <c r="Z5" s="111">
        <f t="shared" si="0"/>
        <v>20</v>
      </c>
      <c r="AA5" s="111">
        <f t="shared" si="0"/>
        <v>21</v>
      </c>
      <c r="AB5" s="111">
        <f t="shared" si="0"/>
        <v>22</v>
      </c>
      <c r="AC5" s="111">
        <f t="shared" si="0"/>
        <v>23</v>
      </c>
      <c r="AD5" s="111">
        <f t="shared" si="0"/>
        <v>24</v>
      </c>
      <c r="AE5" s="111">
        <f t="shared" si="0"/>
        <v>25</v>
      </c>
      <c r="AG5" s="131" t="s">
        <v>414</v>
      </c>
      <c r="AH5" s="131" t="s">
        <v>415</v>
      </c>
    </row>
    <row r="6" spans="1:52" ht="18.75" x14ac:dyDescent="0.35">
      <c r="A6" s="134" t="s">
        <v>333</v>
      </c>
      <c r="B6" s="134" t="s">
        <v>469</v>
      </c>
      <c r="C6" s="134" t="s">
        <v>472</v>
      </c>
      <c r="D6" s="134" t="s">
        <v>470</v>
      </c>
      <c r="E6" s="135" t="s">
        <v>471</v>
      </c>
      <c r="G6" s="386" t="s">
        <v>416</v>
      </c>
      <c r="H6" s="387"/>
      <c r="I6" s="387"/>
      <c r="J6" s="387"/>
      <c r="K6" s="387"/>
      <c r="L6" s="387"/>
      <c r="M6" s="387"/>
      <c r="N6" s="387"/>
      <c r="O6" s="387"/>
      <c r="P6" s="387"/>
      <c r="Q6" s="387"/>
      <c r="R6" s="387"/>
      <c r="S6" s="387"/>
      <c r="T6" s="387"/>
      <c r="U6" s="387"/>
      <c r="V6" s="387"/>
      <c r="W6" s="387"/>
      <c r="X6" s="387"/>
      <c r="Y6" s="387"/>
      <c r="Z6" s="387"/>
      <c r="AA6" s="387"/>
      <c r="AB6" s="387"/>
      <c r="AC6" s="387"/>
      <c r="AD6" s="387"/>
      <c r="AE6" s="387"/>
      <c r="AG6" s="134" t="s">
        <v>518</v>
      </c>
      <c r="AH6" s="134" t="s">
        <v>519</v>
      </c>
    </row>
    <row r="7" spans="1:52" x14ac:dyDescent="0.25">
      <c r="A7" s="136">
        <v>1</v>
      </c>
      <c r="B7" s="121" t="s">
        <v>417</v>
      </c>
      <c r="C7" s="121" t="s">
        <v>39</v>
      </c>
      <c r="D7" s="122">
        <v>163</v>
      </c>
      <c r="E7" s="117">
        <v>16</v>
      </c>
      <c r="F7" s="117"/>
      <c r="G7" s="128">
        <f ca="1">(D7&lt;E7)*(G$5*(E7&gt;=G$5))+(D7&gt;=E7)*(AH7+(C7-1)*1)</f>
        <v>3.7359170993494253</v>
      </c>
      <c r="H7" s="129">
        <f t="shared" ref="H7" ca="1" si="1">($D7&lt;$E7)*(H$5*(H$5&lt;=$D7)*($E7&gt;=H$5))+($D7&gt;=$E7)*(IF(AND(H$5&lt;=$D7,H$5&lt;=$E7),G7+$AG7,0))</f>
        <v>13.923417099349425</v>
      </c>
      <c r="I7" s="129">
        <f t="shared" ref="I7" ca="1" si="2">($D7&lt;$E7)*(I$5*(I$5&lt;=$D7)*($E7&gt;=I$5))+($D7&gt;=$E7)*(IF(AND(I$5&lt;=$D7,I$5&lt;=$E7),H7+$AG7,0))</f>
        <v>24.110917099349425</v>
      </c>
      <c r="J7" s="129">
        <f t="shared" ref="J7" ca="1" si="3">($D7&lt;$E7)*(J$5*(J$5&lt;=$D7)*($E7&gt;=J$5))+($D7&gt;=$E7)*(IF(AND(J$5&lt;=$D7,J$5&lt;=$E7),I7+$AG7,0))</f>
        <v>34.298417099349422</v>
      </c>
      <c r="K7" s="129">
        <f t="shared" ref="K7" ca="1" si="4">($D7&lt;$E7)*(K$5*(K$5&lt;=$D7)*($E7&gt;=K$5))+($D7&gt;=$E7)*(IF(AND(K$5&lt;=$D7,K$5&lt;=$E7),J7+$AG7,0))</f>
        <v>44.485917099349422</v>
      </c>
      <c r="L7" s="129">
        <f t="shared" ref="L7" ca="1" si="5">($D7&lt;$E7)*(L$5*(L$5&lt;=$D7)*($E7&gt;=L$5))+($D7&gt;=$E7)*(IF(AND(L$5&lt;=$D7,L$5&lt;=$E7),K7+$AG7,0))</f>
        <v>54.673417099349422</v>
      </c>
      <c r="M7" s="129">
        <f t="shared" ref="M7" ca="1" si="6">($D7&lt;$E7)*(M$5*(M$5&lt;=$D7)*($E7&gt;=M$5))+($D7&gt;=$E7)*(IF(AND(M$5&lt;=$D7,M$5&lt;=$E7),L7+$AG7,0))</f>
        <v>64.860917099349422</v>
      </c>
      <c r="N7" s="129">
        <f t="shared" ref="N7" ca="1" si="7">($D7&lt;$E7)*(N$5*(N$5&lt;=$D7)*($E7&gt;=N$5))+($D7&gt;=$E7)*(IF(AND(N$5&lt;=$D7,N$5&lt;=$E7),M7+$AG7,0))</f>
        <v>75.048417099349422</v>
      </c>
      <c r="O7" s="129">
        <f t="shared" ref="O7" ca="1" si="8">($D7&lt;$E7)*(O$5*(O$5&lt;=$D7)*($E7&gt;=O$5))+($D7&gt;=$E7)*(IF(AND(O$5&lt;=$D7,O$5&lt;=$E7),N7+$AG7,0))</f>
        <v>85.235917099349422</v>
      </c>
      <c r="P7" s="129">
        <f t="shared" ref="P7" ca="1" si="9">($D7&lt;$E7)*(P$5*(P$5&lt;=$D7)*($E7&gt;=P$5))+($D7&gt;=$E7)*(IF(AND(P$5&lt;=$D7,P$5&lt;=$E7),O7+$AG7,0))</f>
        <v>95.423417099349422</v>
      </c>
      <c r="Q7" s="129">
        <f t="shared" ref="Q7" ca="1" si="10">($D7&lt;$E7)*(Q$5*(Q$5&lt;=$D7)*($E7&gt;=Q$5))+($D7&gt;=$E7)*(IF(AND(Q$5&lt;=$D7,Q$5&lt;=$E7),P7+$AG7,0))</f>
        <v>105.61091709934942</v>
      </c>
      <c r="R7" s="129">
        <f t="shared" ref="R7" ca="1" si="11">($D7&lt;$E7)*(R$5*(R$5&lt;=$D7)*($E7&gt;=R$5))+($D7&gt;=$E7)*(IF(AND(R$5&lt;=$D7,R$5&lt;=$E7),Q7+$AG7,0))</f>
        <v>115.79841709934942</v>
      </c>
      <c r="S7" s="129">
        <f t="shared" ref="S7" ca="1" si="12">($D7&lt;$E7)*(S$5*(S$5&lt;=$D7)*($E7&gt;=S$5))+($D7&gt;=$E7)*(IF(AND(S$5&lt;=$D7,S$5&lt;=$E7),R7+$AG7,0))</f>
        <v>125.98591709934942</v>
      </c>
      <c r="T7" s="129">
        <f t="shared" ref="T7" ca="1" si="13">($D7&lt;$E7)*(T$5*(T$5&lt;=$D7)*($E7&gt;=T$5))+($D7&gt;=$E7)*(IF(AND(T$5&lt;=$D7,T$5&lt;=$E7),S7+$AG7,0))</f>
        <v>136.17341709934942</v>
      </c>
      <c r="U7" s="129">
        <f t="shared" ref="U7" ca="1" si="14">($D7&lt;$E7)*(U$5*(U$5&lt;=$D7)*($E7&gt;=U$5))+($D7&gt;=$E7)*(IF(AND(U$5&lt;=$D7,U$5&lt;=$E7),T7+$AG7,0))</f>
        <v>146.36091709934942</v>
      </c>
      <c r="V7" s="129">
        <f t="shared" ref="V7" ca="1" si="15">($D7&lt;$E7)*(V$5*(V$5&lt;=$D7)*($E7&gt;=V$5))+($D7&gt;=$E7)*(IF(AND(V$5&lt;=$D7,V$5&lt;=$E7),U7+$AG7,0))</f>
        <v>156.54841709934942</v>
      </c>
      <c r="W7" s="129">
        <f t="shared" ref="W7" si="16">($D7&lt;$E7)*(W$5*(W$5&lt;=$D7)*($E7&gt;=W$5))+($D7&gt;=$E7)*(IF(AND(W$5&lt;=$D7,W$5&lt;=$E7),V7+$AG7,0))</f>
        <v>0</v>
      </c>
      <c r="X7" s="129">
        <f t="shared" ref="X7" si="17">($D7&lt;$E7)*(X$5*(X$5&lt;=$D7)*($E7&gt;=X$5))+($D7&gt;=$E7)*(IF(AND(X$5&lt;=$D7,X$5&lt;=$E7),W7+$AG7,0))</f>
        <v>0</v>
      </c>
      <c r="Y7" s="129">
        <f t="shared" ref="Y7" si="18">($D7&lt;$E7)*(Y$5*(Y$5&lt;=$D7)*($E7&gt;=Y$5))+($D7&gt;=$E7)*(IF(AND(Y$5&lt;=$D7,Y$5&lt;=$E7),X7+$AG7,0))</f>
        <v>0</v>
      </c>
      <c r="Z7" s="129">
        <f t="shared" ref="Z7" si="19">($D7&lt;$E7)*(Z$5*(Z$5&lt;=$D7)*($E7&gt;=Z$5))+($D7&gt;=$E7)*(IF(AND(Z$5&lt;=$D7,Z$5&lt;=$E7),Y7+$AG7,0))</f>
        <v>0</v>
      </c>
      <c r="AA7" s="129">
        <f t="shared" ref="AA7" si="20">($D7&lt;$E7)*(AA$5*(AA$5&lt;=$D7)*($E7&gt;=AA$5))+($D7&gt;=$E7)*(IF(AND(AA$5&lt;=$D7,AA$5&lt;=$E7),Z7+$AG7,0))</f>
        <v>0</v>
      </c>
      <c r="AB7" s="129">
        <f t="shared" ref="AB7" si="21">($D7&lt;$E7)*(AB$5*(AB$5&lt;=$D7)*($E7&gt;=AB$5))+($D7&gt;=$E7)*(IF(AND(AB$5&lt;=$D7,AB$5&lt;=$E7),AA7+$AG7,0))</f>
        <v>0</v>
      </c>
      <c r="AC7" s="129">
        <f t="shared" ref="AC7" si="22">($D7&lt;$E7)*(AC$5*(AC$5&lt;=$D7)*($E7&gt;=AC$5))+($D7&gt;=$E7)*(IF(AND(AC$5&lt;=$D7,AC$5&lt;=$E7),AB7+$AG7,0))</f>
        <v>0</v>
      </c>
      <c r="AD7" s="129">
        <f t="shared" ref="AD7" si="23">($D7&lt;$E7)*(AD$5*(AD$5&lt;=$D7)*($E7&gt;=AD$5))+($D7&gt;=$E7)*(IF(AND(AD$5&lt;=$D7,AD$5&lt;=$E7),AC7+$AG7,0))</f>
        <v>0</v>
      </c>
      <c r="AE7" s="129">
        <f t="shared" ref="AE7" si="24">($D7&lt;$E7)*(AE$5*(AE$5&lt;=$D7)*($E7&gt;=AE$5))+($D7&gt;=$E7)*(IF(AND(AE$5&lt;=$D7,AE$5&lt;=$E7),AD7+$AG7,0))</f>
        <v>0</v>
      </c>
      <c r="AF7" s="111"/>
      <c r="AG7" s="133">
        <f>+D7/E7</f>
        <v>10.1875</v>
      </c>
      <c r="AH7" s="132">
        <f ca="1">AH$4*(AG7-1)+1</f>
        <v>3.7359170993494253</v>
      </c>
      <c r="AK7" s="106"/>
      <c r="AL7" s="138"/>
      <c r="AM7" s="138"/>
      <c r="AN7" s="138"/>
      <c r="AO7" s="138"/>
      <c r="AP7" s="138"/>
      <c r="AQ7" s="138"/>
      <c r="AR7" s="138"/>
      <c r="AS7" s="138"/>
      <c r="AT7" s="138"/>
      <c r="AU7" s="138"/>
      <c r="AV7" s="138"/>
      <c r="AW7" s="138"/>
      <c r="AX7" s="138"/>
      <c r="AY7" s="138"/>
      <c r="AZ7" s="138"/>
    </row>
    <row r="8" spans="1:52" x14ac:dyDescent="0.25">
      <c r="A8" s="136">
        <v>1</v>
      </c>
      <c r="B8" s="121" t="s">
        <v>418</v>
      </c>
      <c r="C8" s="121" t="s">
        <v>39</v>
      </c>
      <c r="D8" s="122">
        <v>206</v>
      </c>
      <c r="E8" s="117">
        <v>16</v>
      </c>
      <c r="F8" s="117"/>
      <c r="G8" s="128">
        <f t="shared" ref="G8:G13" ca="1" si="25">(D8&lt;E8)*(G$5*(E8&gt;=G$5))+(D8&gt;=E8)*(AH8+(C8-1)*D7)</f>
        <v>4.5362193801115023</v>
      </c>
      <c r="H8" s="129">
        <f t="shared" ref="H8:W8" ca="1" si="26">($D8&lt;$E8)*(H$5*(H$5&lt;=$D8)*($E8&gt;=H$5))+($D8&gt;=$E8)*(IF(AND(H$5&lt;=$D8,H$5&lt;=$E8),G8+$AG8,0))</f>
        <v>17.411219380111504</v>
      </c>
      <c r="I8" s="129">
        <f t="shared" ca="1" si="26"/>
        <v>30.286219380111504</v>
      </c>
      <c r="J8" s="129">
        <f t="shared" ca="1" si="26"/>
        <v>43.161219380111504</v>
      </c>
      <c r="K8" s="129">
        <f t="shared" ca="1" si="26"/>
        <v>56.036219380111504</v>
      </c>
      <c r="L8" s="129">
        <f t="shared" ca="1" si="26"/>
        <v>68.911219380111504</v>
      </c>
      <c r="M8" s="129">
        <f t="shared" ca="1" si="26"/>
        <v>81.786219380111504</v>
      </c>
      <c r="N8" s="129">
        <f t="shared" ca="1" si="26"/>
        <v>94.661219380111504</v>
      </c>
      <c r="O8" s="129">
        <f t="shared" ca="1" si="26"/>
        <v>107.5362193801115</v>
      </c>
      <c r="P8" s="129">
        <f t="shared" ca="1" si="26"/>
        <v>120.4112193801115</v>
      </c>
      <c r="Q8" s="129">
        <f t="shared" ca="1" si="26"/>
        <v>133.2862193801115</v>
      </c>
      <c r="R8" s="129">
        <f t="shared" ca="1" si="26"/>
        <v>146.1612193801115</v>
      </c>
      <c r="S8" s="129">
        <f t="shared" ca="1" si="26"/>
        <v>159.0362193801115</v>
      </c>
      <c r="T8" s="129">
        <f t="shared" ca="1" si="26"/>
        <v>171.9112193801115</v>
      </c>
      <c r="U8" s="129">
        <f t="shared" ca="1" si="26"/>
        <v>184.7862193801115</v>
      </c>
      <c r="V8" s="129">
        <f t="shared" ca="1" si="26"/>
        <v>197.6612193801115</v>
      </c>
      <c r="W8" s="129">
        <f t="shared" si="26"/>
        <v>0</v>
      </c>
      <c r="X8" s="129">
        <f t="shared" ref="X8:AE8" si="27">($D8&lt;$E8)*(X$5*(X$5&lt;=$D8)*($E8&gt;=X$5))+($D8&gt;=$E8)*(IF(AND(X$5&lt;=$D8,X$5&lt;=$E8),W8+$AG8,0))</f>
        <v>0</v>
      </c>
      <c r="Y8" s="129">
        <f t="shared" si="27"/>
        <v>0</v>
      </c>
      <c r="Z8" s="129">
        <f t="shared" si="27"/>
        <v>0</v>
      </c>
      <c r="AA8" s="129">
        <f t="shared" si="27"/>
        <v>0</v>
      </c>
      <c r="AB8" s="129">
        <f t="shared" si="27"/>
        <v>0</v>
      </c>
      <c r="AC8" s="129">
        <f t="shared" si="27"/>
        <v>0</v>
      </c>
      <c r="AD8" s="129">
        <f t="shared" si="27"/>
        <v>0</v>
      </c>
      <c r="AE8" s="129">
        <f t="shared" si="27"/>
        <v>0</v>
      </c>
      <c r="AG8" s="133">
        <f t="shared" ref="AG8:AG71" si="28">+D8/E8</f>
        <v>12.875</v>
      </c>
      <c r="AH8" s="132">
        <f t="shared" ref="AH8:AH71" ca="1" si="29">AH$4*(AG8-1)+1</f>
        <v>4.5362193801115023</v>
      </c>
    </row>
    <row r="9" spans="1:52" x14ac:dyDescent="0.25">
      <c r="A9" s="136">
        <v>1</v>
      </c>
      <c r="B9" s="121" t="s">
        <v>275</v>
      </c>
      <c r="C9" s="121" t="s">
        <v>39</v>
      </c>
      <c r="D9" s="122">
        <v>13</v>
      </c>
      <c r="E9" s="117">
        <v>16</v>
      </c>
      <c r="F9" s="117"/>
      <c r="G9" s="128">
        <f t="shared" ca="1" si="25"/>
        <v>1</v>
      </c>
      <c r="H9" s="129">
        <f t="shared" ref="H9:W9" ca="1" si="30">($D9&lt;$E9)*(H$5*(H$5&lt;=$D9)*($E9&gt;=H$5))+($D9&gt;=$E9)*(IF(AND(H$5&lt;=$D9,H$5&lt;=$E9),G9+$AG9,0))</f>
        <v>2</v>
      </c>
      <c r="I9" s="129">
        <f t="shared" ca="1" si="30"/>
        <v>3</v>
      </c>
      <c r="J9" s="129">
        <f t="shared" ca="1" si="30"/>
        <v>4</v>
      </c>
      <c r="K9" s="129">
        <f t="shared" ca="1" si="30"/>
        <v>5</v>
      </c>
      <c r="L9" s="129">
        <f t="shared" ca="1" si="30"/>
        <v>6</v>
      </c>
      <c r="M9" s="129">
        <f t="shared" ca="1" si="30"/>
        <v>7</v>
      </c>
      <c r="N9" s="129">
        <f t="shared" ca="1" si="30"/>
        <v>8</v>
      </c>
      <c r="O9" s="129">
        <f t="shared" ca="1" si="30"/>
        <v>9</v>
      </c>
      <c r="P9" s="129">
        <f t="shared" ca="1" si="30"/>
        <v>10</v>
      </c>
      <c r="Q9" s="129">
        <f t="shared" ca="1" si="30"/>
        <v>11</v>
      </c>
      <c r="R9" s="129">
        <f t="shared" ca="1" si="30"/>
        <v>12</v>
      </c>
      <c r="S9" s="129">
        <f t="shared" ca="1" si="30"/>
        <v>13</v>
      </c>
      <c r="T9" s="129">
        <f t="shared" si="30"/>
        <v>0</v>
      </c>
      <c r="U9" s="129">
        <f t="shared" si="30"/>
        <v>0</v>
      </c>
      <c r="V9" s="129">
        <f t="shared" si="30"/>
        <v>0</v>
      </c>
      <c r="W9" s="129">
        <f t="shared" si="30"/>
        <v>0</v>
      </c>
      <c r="X9" s="129">
        <f t="shared" ref="X9:AE9" si="31">($D9&lt;$E9)*(X$5*(X$5&lt;=$D9)*($E9&gt;=X$5))+($D9&gt;=$E9)*(IF(AND(X$5&lt;=$D9,X$5&lt;=$E9),W9+$AG9,0))</f>
        <v>0</v>
      </c>
      <c r="Y9" s="129">
        <f t="shared" si="31"/>
        <v>0</v>
      </c>
      <c r="Z9" s="129">
        <f t="shared" si="31"/>
        <v>0</v>
      </c>
      <c r="AA9" s="129">
        <f t="shared" si="31"/>
        <v>0</v>
      </c>
      <c r="AB9" s="129">
        <f t="shared" si="31"/>
        <v>0</v>
      </c>
      <c r="AC9" s="129">
        <f t="shared" si="31"/>
        <v>0</v>
      </c>
      <c r="AD9" s="129">
        <f t="shared" si="31"/>
        <v>0</v>
      </c>
      <c r="AE9" s="129">
        <f t="shared" si="31"/>
        <v>0</v>
      </c>
      <c r="AF9" s="111"/>
      <c r="AG9" s="133">
        <f t="shared" si="28"/>
        <v>0.8125</v>
      </c>
      <c r="AH9" s="132">
        <f t="shared" ca="1" si="29"/>
        <v>0.94416495715613413</v>
      </c>
    </row>
    <row r="10" spans="1:52" x14ac:dyDescent="0.25">
      <c r="A10" s="136">
        <v>1</v>
      </c>
      <c r="B10" s="121" t="s">
        <v>276</v>
      </c>
      <c r="C10" s="121" t="s">
        <v>39</v>
      </c>
      <c r="D10" s="122">
        <v>291</v>
      </c>
      <c r="E10" s="117">
        <v>16</v>
      </c>
      <c r="F10" s="117"/>
      <c r="G10" s="128">
        <f t="shared" ca="1" si="25"/>
        <v>6.1182122606877005</v>
      </c>
      <c r="H10" s="129">
        <f t="shared" ref="H10:W10" ca="1" si="32">($D10&lt;$E10)*(H$5*(H$5&lt;=$D10)*($E10&gt;=H$5))+($D10&gt;=$E10)*(IF(AND(H$5&lt;=$D10,H$5&lt;=$E10),G10+$AG10,0))</f>
        <v>24.305712260687699</v>
      </c>
      <c r="I10" s="129">
        <f t="shared" ca="1" si="32"/>
        <v>42.493212260687699</v>
      </c>
      <c r="J10" s="129">
        <f t="shared" ca="1" si="32"/>
        <v>60.680712260687699</v>
      </c>
      <c r="K10" s="129">
        <f t="shared" ca="1" si="32"/>
        <v>78.868212260687699</v>
      </c>
      <c r="L10" s="129">
        <f t="shared" ca="1" si="32"/>
        <v>97.055712260687699</v>
      </c>
      <c r="M10" s="129">
        <f t="shared" ca="1" si="32"/>
        <v>115.2432122606877</v>
      </c>
      <c r="N10" s="129">
        <f t="shared" ca="1" si="32"/>
        <v>133.4307122606877</v>
      </c>
      <c r="O10" s="129">
        <f t="shared" ca="1" si="32"/>
        <v>151.6182122606877</v>
      </c>
      <c r="P10" s="129">
        <f t="shared" ca="1" si="32"/>
        <v>169.8057122606877</v>
      </c>
      <c r="Q10" s="129">
        <f t="shared" ca="1" si="32"/>
        <v>187.9932122606877</v>
      </c>
      <c r="R10" s="129">
        <f t="shared" ca="1" si="32"/>
        <v>206.1807122606877</v>
      </c>
      <c r="S10" s="129">
        <f t="shared" ca="1" si="32"/>
        <v>224.3682122606877</v>
      </c>
      <c r="T10" s="129">
        <f t="shared" ca="1" si="32"/>
        <v>242.5557122606877</v>
      </c>
      <c r="U10" s="129">
        <f t="shared" ca="1" si="32"/>
        <v>260.7432122606877</v>
      </c>
      <c r="V10" s="129">
        <f t="shared" ca="1" si="32"/>
        <v>278.9307122606877</v>
      </c>
      <c r="W10" s="129">
        <f t="shared" si="32"/>
        <v>0</v>
      </c>
      <c r="X10" s="129">
        <f t="shared" ref="X10:AE10" si="33">($D10&lt;$E10)*(X$5*(X$5&lt;=$D10)*($E10&gt;=X$5))+($D10&gt;=$E10)*(IF(AND(X$5&lt;=$D10,X$5&lt;=$E10),W10+$AG10,0))</f>
        <v>0</v>
      </c>
      <c r="Y10" s="129">
        <f t="shared" si="33"/>
        <v>0</v>
      </c>
      <c r="Z10" s="129">
        <f t="shared" si="33"/>
        <v>0</v>
      </c>
      <c r="AA10" s="129">
        <f t="shared" si="33"/>
        <v>0</v>
      </c>
      <c r="AB10" s="129">
        <f t="shared" si="33"/>
        <v>0</v>
      </c>
      <c r="AC10" s="129">
        <f t="shared" si="33"/>
        <v>0</v>
      </c>
      <c r="AD10" s="129">
        <f t="shared" si="33"/>
        <v>0</v>
      </c>
      <c r="AE10" s="129">
        <f t="shared" si="33"/>
        <v>0</v>
      </c>
      <c r="AG10" s="133">
        <f t="shared" si="28"/>
        <v>18.1875</v>
      </c>
      <c r="AH10" s="132">
        <f t="shared" ca="1" si="29"/>
        <v>6.1182122606877005</v>
      </c>
    </row>
    <row r="11" spans="1:52" x14ac:dyDescent="0.25">
      <c r="A11" s="136">
        <v>1</v>
      </c>
      <c r="B11" s="121" t="s">
        <v>277</v>
      </c>
      <c r="C11" s="121" t="s">
        <v>39</v>
      </c>
      <c r="D11" s="122">
        <v>521</v>
      </c>
      <c r="E11" s="117">
        <v>16</v>
      </c>
      <c r="F11" s="117"/>
      <c r="G11" s="128">
        <f t="shared" ca="1" si="25"/>
        <v>10.398898878717414</v>
      </c>
      <c r="H11" s="129">
        <f t="shared" ref="H11:W11" ca="1" si="34">($D11&lt;$E11)*(H$5*(H$5&lt;=$D11)*($E11&gt;=H$5))+($D11&gt;=$E11)*(IF(AND(H$5&lt;=$D11,H$5&lt;=$E11),G11+$AG11,0))</f>
        <v>42.961398878717418</v>
      </c>
      <c r="I11" s="129">
        <f t="shared" ca="1" si="34"/>
        <v>75.523898878717418</v>
      </c>
      <c r="J11" s="129">
        <f t="shared" ca="1" si="34"/>
        <v>108.08639887871742</v>
      </c>
      <c r="K11" s="129">
        <f t="shared" ca="1" si="34"/>
        <v>140.64889887871743</v>
      </c>
      <c r="L11" s="129">
        <f t="shared" ca="1" si="34"/>
        <v>173.21139887871743</v>
      </c>
      <c r="M11" s="129">
        <f t="shared" ca="1" si="34"/>
        <v>205.77389887871743</v>
      </c>
      <c r="N11" s="129">
        <f t="shared" ca="1" si="34"/>
        <v>238.33639887871743</v>
      </c>
      <c r="O11" s="129">
        <f t="shared" ca="1" si="34"/>
        <v>270.89889887871743</v>
      </c>
      <c r="P11" s="129">
        <f t="shared" ca="1" si="34"/>
        <v>303.46139887871743</v>
      </c>
      <c r="Q11" s="129">
        <f t="shared" ca="1" si="34"/>
        <v>336.02389887871743</v>
      </c>
      <c r="R11" s="129">
        <f t="shared" ca="1" si="34"/>
        <v>368.58639887871743</v>
      </c>
      <c r="S11" s="129">
        <f t="shared" ca="1" si="34"/>
        <v>401.14889887871743</v>
      </c>
      <c r="T11" s="129">
        <f t="shared" ca="1" si="34"/>
        <v>433.71139887871743</v>
      </c>
      <c r="U11" s="129">
        <f t="shared" ca="1" si="34"/>
        <v>466.27389887871743</v>
      </c>
      <c r="V11" s="129">
        <f t="shared" ca="1" si="34"/>
        <v>498.83639887871743</v>
      </c>
      <c r="W11" s="129">
        <f t="shared" si="34"/>
        <v>0</v>
      </c>
      <c r="X11" s="129">
        <f t="shared" ref="X11:AE11" si="35">($D11&lt;$E11)*(X$5*(X$5&lt;=$D11)*($E11&gt;=X$5))+($D11&gt;=$E11)*(IF(AND(X$5&lt;=$D11,X$5&lt;=$E11),W11+$AG11,0))</f>
        <v>0</v>
      </c>
      <c r="Y11" s="129">
        <f t="shared" si="35"/>
        <v>0</v>
      </c>
      <c r="Z11" s="129">
        <f t="shared" si="35"/>
        <v>0</v>
      </c>
      <c r="AA11" s="129">
        <f t="shared" si="35"/>
        <v>0</v>
      </c>
      <c r="AB11" s="129">
        <f t="shared" si="35"/>
        <v>0</v>
      </c>
      <c r="AC11" s="129">
        <f t="shared" si="35"/>
        <v>0</v>
      </c>
      <c r="AD11" s="129">
        <f t="shared" si="35"/>
        <v>0</v>
      </c>
      <c r="AE11" s="129">
        <f t="shared" si="35"/>
        <v>0</v>
      </c>
      <c r="AG11" s="133">
        <f t="shared" si="28"/>
        <v>32.5625</v>
      </c>
      <c r="AH11" s="132">
        <f t="shared" ca="1" si="29"/>
        <v>10.398898878717414</v>
      </c>
    </row>
    <row r="12" spans="1:52" x14ac:dyDescent="0.25">
      <c r="A12" s="136">
        <v>1</v>
      </c>
      <c r="B12" s="121" t="s">
        <v>278</v>
      </c>
      <c r="C12" s="121" t="s">
        <v>39</v>
      </c>
      <c r="D12" s="122">
        <v>228</v>
      </c>
      <c r="E12" s="117">
        <v>16</v>
      </c>
      <c r="F12" s="117"/>
      <c r="G12" s="128">
        <f t="shared" ca="1" si="25"/>
        <v>4.9456763609665177</v>
      </c>
      <c r="H12" s="129">
        <f t="shared" ref="H12:W12" ca="1" si="36">($D12&lt;$E12)*(H$5*(H$5&lt;=$D12)*($E12&gt;=H$5))+($D12&gt;=$E12)*(IF(AND(H$5&lt;=$D12,H$5&lt;=$E12),G12+$AG12,0))</f>
        <v>19.195676360966516</v>
      </c>
      <c r="I12" s="129">
        <f t="shared" ca="1" si="36"/>
        <v>33.445676360966516</v>
      </c>
      <c r="J12" s="129">
        <f t="shared" ca="1" si="36"/>
        <v>47.695676360966516</v>
      </c>
      <c r="K12" s="129">
        <f t="shared" ca="1" si="36"/>
        <v>61.945676360966516</v>
      </c>
      <c r="L12" s="129">
        <f t="shared" ca="1" si="36"/>
        <v>76.195676360966516</v>
      </c>
      <c r="M12" s="129">
        <f t="shared" ca="1" si="36"/>
        <v>90.445676360966516</v>
      </c>
      <c r="N12" s="129">
        <f t="shared" ca="1" si="36"/>
        <v>104.69567636096652</v>
      </c>
      <c r="O12" s="129">
        <f t="shared" ca="1" si="36"/>
        <v>118.94567636096652</v>
      </c>
      <c r="P12" s="129">
        <f t="shared" ca="1" si="36"/>
        <v>133.1956763609665</v>
      </c>
      <c r="Q12" s="129">
        <f t="shared" ca="1" si="36"/>
        <v>147.4456763609665</v>
      </c>
      <c r="R12" s="129">
        <f t="shared" ca="1" si="36"/>
        <v>161.6956763609665</v>
      </c>
      <c r="S12" s="129">
        <f t="shared" ca="1" si="36"/>
        <v>175.9456763609665</v>
      </c>
      <c r="T12" s="129">
        <f t="shared" ca="1" si="36"/>
        <v>190.1956763609665</v>
      </c>
      <c r="U12" s="129">
        <f t="shared" ca="1" si="36"/>
        <v>204.4456763609665</v>
      </c>
      <c r="V12" s="129">
        <f t="shared" ca="1" si="36"/>
        <v>218.6956763609665</v>
      </c>
      <c r="W12" s="129">
        <f t="shared" si="36"/>
        <v>0</v>
      </c>
      <c r="X12" s="129">
        <f t="shared" ref="X12:AE12" si="37">($D12&lt;$E12)*(X$5*(X$5&lt;=$D12)*($E12&gt;=X$5))+($D12&gt;=$E12)*(IF(AND(X$5&lt;=$D12,X$5&lt;=$E12),W12+$AG12,0))</f>
        <v>0</v>
      </c>
      <c r="Y12" s="129">
        <f t="shared" si="37"/>
        <v>0</v>
      </c>
      <c r="Z12" s="129">
        <f t="shared" si="37"/>
        <v>0</v>
      </c>
      <c r="AA12" s="129">
        <f t="shared" si="37"/>
        <v>0</v>
      </c>
      <c r="AB12" s="129">
        <f t="shared" si="37"/>
        <v>0</v>
      </c>
      <c r="AC12" s="129">
        <f t="shared" si="37"/>
        <v>0</v>
      </c>
      <c r="AD12" s="129">
        <f t="shared" si="37"/>
        <v>0</v>
      </c>
      <c r="AE12" s="129">
        <f t="shared" si="37"/>
        <v>0</v>
      </c>
      <c r="AG12" s="133">
        <f t="shared" si="28"/>
        <v>14.25</v>
      </c>
      <c r="AH12" s="132">
        <f t="shared" ca="1" si="29"/>
        <v>4.9456763609665177</v>
      </c>
    </row>
    <row r="13" spans="1:52" x14ac:dyDescent="0.25">
      <c r="A13" s="136">
        <v>1</v>
      </c>
      <c r="B13" s="121" t="s">
        <v>279</v>
      </c>
      <c r="C13" s="121" t="s">
        <v>39</v>
      </c>
      <c r="D13" s="122">
        <v>261</v>
      </c>
      <c r="E13" s="117">
        <v>16</v>
      </c>
      <c r="F13" s="117"/>
      <c r="G13" s="128">
        <f t="shared" ca="1" si="25"/>
        <v>5.5598618322490427</v>
      </c>
      <c r="H13" s="129">
        <f t="shared" ref="H13:W13" ca="1" si="38">($D13&lt;$E13)*(H$5*(H$5&lt;=$D13)*($E13&gt;=H$5))+($D13&gt;=$E13)*(IF(AND(H$5&lt;=$D13,H$5&lt;=$E13),G13+$AG13,0))</f>
        <v>21.872361832249041</v>
      </c>
      <c r="I13" s="129">
        <f t="shared" ca="1" si="38"/>
        <v>38.184861832249041</v>
      </c>
      <c r="J13" s="129">
        <f t="shared" ca="1" si="38"/>
        <v>54.497361832249041</v>
      </c>
      <c r="K13" s="129">
        <f t="shared" ca="1" si="38"/>
        <v>70.809861832249041</v>
      </c>
      <c r="L13" s="129">
        <f t="shared" ca="1" si="38"/>
        <v>87.122361832249041</v>
      </c>
      <c r="M13" s="129">
        <f t="shared" ca="1" si="38"/>
        <v>103.43486183224904</v>
      </c>
      <c r="N13" s="129">
        <f t="shared" ca="1" si="38"/>
        <v>119.74736183224904</v>
      </c>
      <c r="O13" s="129">
        <f t="shared" ca="1" si="38"/>
        <v>136.05986183224906</v>
      </c>
      <c r="P13" s="129">
        <f t="shared" ca="1" si="38"/>
        <v>152.37236183224906</v>
      </c>
      <c r="Q13" s="129">
        <f t="shared" ca="1" si="38"/>
        <v>168.68486183224906</v>
      </c>
      <c r="R13" s="129">
        <f t="shared" ca="1" si="38"/>
        <v>184.99736183224906</v>
      </c>
      <c r="S13" s="129">
        <f t="shared" ca="1" si="38"/>
        <v>201.30986183224906</v>
      </c>
      <c r="T13" s="129">
        <f t="shared" ca="1" si="38"/>
        <v>217.62236183224906</v>
      </c>
      <c r="U13" s="129">
        <f t="shared" ca="1" si="38"/>
        <v>233.93486183224906</v>
      </c>
      <c r="V13" s="129">
        <f t="shared" ca="1" si="38"/>
        <v>250.24736183224906</v>
      </c>
      <c r="W13" s="129">
        <f t="shared" si="38"/>
        <v>0</v>
      </c>
      <c r="X13" s="129">
        <f t="shared" ref="X13:AE13" si="39">($D13&lt;$E13)*(X$5*(X$5&lt;=$D13)*($E13&gt;=X$5))+($D13&gt;=$E13)*(IF(AND(X$5&lt;=$D13,X$5&lt;=$E13),W13+$AG13,0))</f>
        <v>0</v>
      </c>
      <c r="Y13" s="129">
        <f t="shared" si="39"/>
        <v>0</v>
      </c>
      <c r="Z13" s="129">
        <f t="shared" si="39"/>
        <v>0</v>
      </c>
      <c r="AA13" s="129">
        <f t="shared" si="39"/>
        <v>0</v>
      </c>
      <c r="AB13" s="129">
        <f t="shared" si="39"/>
        <v>0</v>
      </c>
      <c r="AC13" s="129">
        <f t="shared" si="39"/>
        <v>0</v>
      </c>
      <c r="AD13" s="129">
        <f t="shared" si="39"/>
        <v>0</v>
      </c>
      <c r="AE13" s="129">
        <f t="shared" si="39"/>
        <v>0</v>
      </c>
      <c r="AG13" s="133">
        <f t="shared" si="28"/>
        <v>16.3125</v>
      </c>
      <c r="AH13" s="132">
        <f t="shared" ca="1" si="29"/>
        <v>5.5598618322490427</v>
      </c>
    </row>
    <row r="14" spans="1:52" x14ac:dyDescent="0.25">
      <c r="A14" s="136">
        <v>1</v>
      </c>
      <c r="B14" s="121" t="s">
        <v>156</v>
      </c>
      <c r="C14" s="121" t="s">
        <v>142</v>
      </c>
      <c r="D14" s="122">
        <v>260</v>
      </c>
      <c r="E14" s="117">
        <v>16</v>
      </c>
      <c r="F14" s="117"/>
      <c r="G14" s="128">
        <f ca="1">(D14&lt;E14)*(G$5*(E14&gt;=G$5))+(D14&gt;=E14)*(AH14+(C14-1)*D13)</f>
        <v>266.54125015130109</v>
      </c>
      <c r="H14" s="129">
        <f t="shared" ref="H14:W14" ca="1" si="40">($D14&lt;$E14)*(H$5*(H$5&lt;=$D14)*($E14&gt;=H$5))+($D14&gt;=$E14)*(IF(AND(H$5&lt;=$D14,H$5&lt;=$E14),G14+$AG14,0))</f>
        <v>282.79125015130109</v>
      </c>
      <c r="I14" s="129">
        <f t="shared" ca="1" si="40"/>
        <v>299.04125015130109</v>
      </c>
      <c r="J14" s="129">
        <f t="shared" ca="1" si="40"/>
        <v>315.29125015130109</v>
      </c>
      <c r="K14" s="129">
        <f t="shared" ca="1" si="40"/>
        <v>331.54125015130109</v>
      </c>
      <c r="L14" s="129">
        <f t="shared" ca="1" si="40"/>
        <v>347.79125015130109</v>
      </c>
      <c r="M14" s="129">
        <f t="shared" ca="1" si="40"/>
        <v>364.04125015130109</v>
      </c>
      <c r="N14" s="129">
        <f t="shared" ca="1" si="40"/>
        <v>380.29125015130109</v>
      </c>
      <c r="O14" s="129">
        <f t="shared" ca="1" si="40"/>
        <v>396.54125015130109</v>
      </c>
      <c r="P14" s="129">
        <f t="shared" ca="1" si="40"/>
        <v>412.79125015130109</v>
      </c>
      <c r="Q14" s="129">
        <f t="shared" ca="1" si="40"/>
        <v>429.04125015130109</v>
      </c>
      <c r="R14" s="129">
        <f t="shared" ca="1" si="40"/>
        <v>445.29125015130109</v>
      </c>
      <c r="S14" s="129">
        <f t="shared" ca="1" si="40"/>
        <v>461.54125015130109</v>
      </c>
      <c r="T14" s="129">
        <f t="shared" ca="1" si="40"/>
        <v>477.79125015130109</v>
      </c>
      <c r="U14" s="129">
        <f t="shared" ca="1" si="40"/>
        <v>494.04125015130109</v>
      </c>
      <c r="V14" s="129">
        <f t="shared" ca="1" si="40"/>
        <v>510.29125015130109</v>
      </c>
      <c r="W14" s="129">
        <f t="shared" si="40"/>
        <v>0</v>
      </c>
      <c r="X14" s="129">
        <f t="shared" ref="X14:AE14" si="41">($D14&lt;$E14)*(X$5*(X$5&lt;=$D14)*($E14&gt;=X$5))+($D14&gt;=$E14)*(IF(AND(X$5&lt;=$D14,X$5&lt;=$E14),W14+$AG14,0))</f>
        <v>0</v>
      </c>
      <c r="Y14" s="129">
        <f t="shared" si="41"/>
        <v>0</v>
      </c>
      <c r="Z14" s="129">
        <f t="shared" si="41"/>
        <v>0</v>
      </c>
      <c r="AA14" s="129">
        <f t="shared" si="41"/>
        <v>0</v>
      </c>
      <c r="AB14" s="129">
        <f t="shared" si="41"/>
        <v>0</v>
      </c>
      <c r="AC14" s="129">
        <f t="shared" si="41"/>
        <v>0</v>
      </c>
      <c r="AD14" s="129">
        <f t="shared" si="41"/>
        <v>0</v>
      </c>
      <c r="AE14" s="129">
        <f t="shared" si="41"/>
        <v>0</v>
      </c>
      <c r="AG14" s="133">
        <f t="shared" si="28"/>
        <v>16.25</v>
      </c>
      <c r="AH14" s="132">
        <f t="shared" ca="1" si="29"/>
        <v>5.541250151301087</v>
      </c>
    </row>
    <row r="15" spans="1:52" x14ac:dyDescent="0.25">
      <c r="A15" s="136">
        <v>1</v>
      </c>
      <c r="B15" s="121" t="s">
        <v>38</v>
      </c>
      <c r="C15" s="121" t="s">
        <v>31</v>
      </c>
      <c r="D15" s="122">
        <v>162</v>
      </c>
      <c r="E15" s="117">
        <v>16</v>
      </c>
      <c r="F15" s="117"/>
      <c r="G15" s="128">
        <f t="shared" ref="G15:G78" ca="1" si="42">(D15&lt;E15)*(G$5*(E15&gt;=G$5))+(D15&gt;=E15)*(AH15+(C15-1)*D14)</f>
        <v>3.71730541840147</v>
      </c>
      <c r="H15" s="129">
        <f t="shared" ref="H15:W15" ca="1" si="43">($D15&lt;$E15)*(H$5*(H$5&lt;=$D15)*($E15&gt;=H$5))+($D15&gt;=$E15)*(IF(AND(H$5&lt;=$D15,H$5&lt;=$E15),G15+$AG15,0))</f>
        <v>13.84230541840147</v>
      </c>
      <c r="I15" s="129">
        <f t="shared" ca="1" si="43"/>
        <v>23.96730541840147</v>
      </c>
      <c r="J15" s="129">
        <f t="shared" ca="1" si="43"/>
        <v>34.092305418401466</v>
      </c>
      <c r="K15" s="129">
        <f t="shared" ca="1" si="43"/>
        <v>44.217305418401466</v>
      </c>
      <c r="L15" s="129">
        <f t="shared" ca="1" si="43"/>
        <v>54.342305418401466</v>
      </c>
      <c r="M15" s="129">
        <f t="shared" ca="1" si="43"/>
        <v>64.467305418401466</v>
      </c>
      <c r="N15" s="129">
        <f t="shared" ca="1" si="43"/>
        <v>74.592305418401466</v>
      </c>
      <c r="O15" s="129">
        <f t="shared" ca="1" si="43"/>
        <v>84.717305418401466</v>
      </c>
      <c r="P15" s="129">
        <f t="shared" ca="1" si="43"/>
        <v>94.842305418401466</v>
      </c>
      <c r="Q15" s="129">
        <f t="shared" ca="1" si="43"/>
        <v>104.96730541840147</v>
      </c>
      <c r="R15" s="129">
        <f t="shared" ca="1" si="43"/>
        <v>115.09230541840147</v>
      </c>
      <c r="S15" s="129">
        <f t="shared" ca="1" si="43"/>
        <v>125.21730541840147</v>
      </c>
      <c r="T15" s="129">
        <f t="shared" ca="1" si="43"/>
        <v>135.34230541840145</v>
      </c>
      <c r="U15" s="129">
        <f t="shared" ca="1" si="43"/>
        <v>145.46730541840145</v>
      </c>
      <c r="V15" s="129">
        <f t="shared" ca="1" si="43"/>
        <v>155.59230541840145</v>
      </c>
      <c r="W15" s="129">
        <f t="shared" si="43"/>
        <v>0</v>
      </c>
      <c r="X15" s="129">
        <f t="shared" ref="X15:AE15" si="44">($D15&lt;$E15)*(X$5*(X$5&lt;=$D15)*($E15&gt;=X$5))+($D15&gt;=$E15)*(IF(AND(X$5&lt;=$D15,X$5&lt;=$E15),W15+$AG15,0))</f>
        <v>0</v>
      </c>
      <c r="Y15" s="129">
        <f t="shared" si="44"/>
        <v>0</v>
      </c>
      <c r="Z15" s="129">
        <f t="shared" si="44"/>
        <v>0</v>
      </c>
      <c r="AA15" s="129">
        <f t="shared" si="44"/>
        <v>0</v>
      </c>
      <c r="AB15" s="129">
        <f t="shared" si="44"/>
        <v>0</v>
      </c>
      <c r="AC15" s="129">
        <f t="shared" si="44"/>
        <v>0</v>
      </c>
      <c r="AD15" s="129">
        <f t="shared" si="44"/>
        <v>0</v>
      </c>
      <c r="AE15" s="129">
        <f t="shared" si="44"/>
        <v>0</v>
      </c>
      <c r="AG15" s="133">
        <f t="shared" si="28"/>
        <v>10.125</v>
      </c>
      <c r="AH15" s="132">
        <f t="shared" ca="1" si="29"/>
        <v>3.71730541840147</v>
      </c>
    </row>
    <row r="16" spans="1:52" x14ac:dyDescent="0.25">
      <c r="A16" s="136">
        <v>1</v>
      </c>
      <c r="B16" s="121" t="s">
        <v>451</v>
      </c>
      <c r="C16" s="121" t="s">
        <v>39</v>
      </c>
      <c r="D16" s="122">
        <v>306</v>
      </c>
      <c r="E16" s="117">
        <v>16</v>
      </c>
      <c r="F16" s="117"/>
      <c r="G16" s="128">
        <f t="shared" ca="1" si="42"/>
        <v>6.3973874749070294</v>
      </c>
      <c r="H16" s="129">
        <f t="shared" ref="H16:W16" ca="1" si="45">($D16&lt;$E16)*(H$5*(H$5&lt;=$D16)*($E16&gt;=H$5))+($D16&gt;=$E16)*(IF(AND(H$5&lt;=$D16,H$5&lt;=$E16),G16+$AG16,0))</f>
        <v>25.522387474907028</v>
      </c>
      <c r="I16" s="129">
        <f t="shared" ca="1" si="45"/>
        <v>44.647387474907028</v>
      </c>
      <c r="J16" s="129">
        <f t="shared" ca="1" si="45"/>
        <v>63.772387474907028</v>
      </c>
      <c r="K16" s="129">
        <f t="shared" ca="1" si="45"/>
        <v>82.897387474907021</v>
      </c>
      <c r="L16" s="129">
        <f t="shared" ca="1" si="45"/>
        <v>102.02238747490702</v>
      </c>
      <c r="M16" s="129">
        <f t="shared" ca="1" si="45"/>
        <v>121.14738747490702</v>
      </c>
      <c r="N16" s="129">
        <f t="shared" ca="1" si="45"/>
        <v>140.27238747490702</v>
      </c>
      <c r="O16" s="129">
        <f t="shared" ca="1" si="45"/>
        <v>159.39738747490702</v>
      </c>
      <c r="P16" s="129">
        <f t="shared" ca="1" si="45"/>
        <v>178.52238747490702</v>
      </c>
      <c r="Q16" s="129">
        <f t="shared" ca="1" si="45"/>
        <v>197.64738747490702</v>
      </c>
      <c r="R16" s="129">
        <f t="shared" ca="1" si="45"/>
        <v>216.77238747490702</v>
      </c>
      <c r="S16" s="129">
        <f t="shared" ca="1" si="45"/>
        <v>235.89738747490702</v>
      </c>
      <c r="T16" s="129">
        <f t="shared" ca="1" si="45"/>
        <v>255.02238747490702</v>
      </c>
      <c r="U16" s="129">
        <f t="shared" ca="1" si="45"/>
        <v>274.14738747490702</v>
      </c>
      <c r="V16" s="129">
        <f t="shared" ca="1" si="45"/>
        <v>293.27238747490702</v>
      </c>
      <c r="W16" s="129">
        <f t="shared" si="45"/>
        <v>0</v>
      </c>
      <c r="X16" s="129">
        <f t="shared" ref="X16:AE16" si="46">($D16&lt;$E16)*(X$5*(X$5&lt;=$D16)*($E16&gt;=X$5))+($D16&gt;=$E16)*(IF(AND(X$5&lt;=$D16,X$5&lt;=$E16),W16+$AG16,0))</f>
        <v>0</v>
      </c>
      <c r="Y16" s="129">
        <f t="shared" si="46"/>
        <v>0</v>
      </c>
      <c r="Z16" s="129">
        <f t="shared" si="46"/>
        <v>0</v>
      </c>
      <c r="AA16" s="129">
        <f t="shared" si="46"/>
        <v>0</v>
      </c>
      <c r="AB16" s="129">
        <f t="shared" si="46"/>
        <v>0</v>
      </c>
      <c r="AC16" s="129">
        <f t="shared" si="46"/>
        <v>0</v>
      </c>
      <c r="AD16" s="129">
        <f t="shared" si="46"/>
        <v>0</v>
      </c>
      <c r="AE16" s="129">
        <f t="shared" si="46"/>
        <v>0</v>
      </c>
      <c r="AG16" s="133">
        <f t="shared" si="28"/>
        <v>19.125</v>
      </c>
      <c r="AH16" s="132">
        <f t="shared" ca="1" si="29"/>
        <v>6.3973874749070294</v>
      </c>
    </row>
    <row r="17" spans="1:34" x14ac:dyDescent="0.25">
      <c r="A17" s="136">
        <v>1</v>
      </c>
      <c r="B17" s="121" t="s">
        <v>452</v>
      </c>
      <c r="C17" s="121" t="s">
        <v>39</v>
      </c>
      <c r="D17" s="122">
        <v>191</v>
      </c>
      <c r="E17" s="117">
        <v>16</v>
      </c>
      <c r="F17" s="117"/>
      <c r="G17" s="128">
        <f t="shared" ca="1" si="42"/>
        <v>4.2570441658921734</v>
      </c>
      <c r="H17" s="129">
        <f t="shared" ref="H17:W17" ca="1" si="47">($D17&lt;$E17)*(H$5*(H$5&lt;=$D17)*($E17&gt;=H$5))+($D17&gt;=$E17)*(IF(AND(H$5&lt;=$D17,H$5&lt;=$E17),G17+$AG17,0))</f>
        <v>16.194544165892175</v>
      </c>
      <c r="I17" s="129">
        <f t="shared" ca="1" si="47"/>
        <v>28.132044165892175</v>
      </c>
      <c r="J17" s="129">
        <f t="shared" ca="1" si="47"/>
        <v>40.069544165892175</v>
      </c>
      <c r="K17" s="129">
        <f t="shared" ca="1" si="47"/>
        <v>52.007044165892175</v>
      </c>
      <c r="L17" s="129">
        <f t="shared" ca="1" si="47"/>
        <v>63.944544165892175</v>
      </c>
      <c r="M17" s="129">
        <f t="shared" ca="1" si="47"/>
        <v>75.882044165892182</v>
      </c>
      <c r="N17" s="129">
        <f t="shared" ca="1" si="47"/>
        <v>87.819544165892182</v>
      </c>
      <c r="O17" s="129">
        <f t="shared" ca="1" si="47"/>
        <v>99.757044165892182</v>
      </c>
      <c r="P17" s="129">
        <f t="shared" ca="1" si="47"/>
        <v>111.69454416589218</v>
      </c>
      <c r="Q17" s="129">
        <f t="shared" ca="1" si="47"/>
        <v>123.63204416589218</v>
      </c>
      <c r="R17" s="129">
        <f t="shared" ca="1" si="47"/>
        <v>135.56954416589218</v>
      </c>
      <c r="S17" s="129">
        <f t="shared" ca="1" si="47"/>
        <v>147.50704416589218</v>
      </c>
      <c r="T17" s="129">
        <f t="shared" ca="1" si="47"/>
        <v>159.44454416589218</v>
      </c>
      <c r="U17" s="129">
        <f t="shared" ca="1" si="47"/>
        <v>171.38204416589218</v>
      </c>
      <c r="V17" s="129">
        <f t="shared" ca="1" si="47"/>
        <v>183.31954416589218</v>
      </c>
      <c r="W17" s="129">
        <f t="shared" si="47"/>
        <v>0</v>
      </c>
      <c r="X17" s="129">
        <f t="shared" ref="X17:AE17" si="48">($D17&lt;$E17)*(X$5*(X$5&lt;=$D17)*($E17&gt;=X$5))+($D17&gt;=$E17)*(IF(AND(X$5&lt;=$D17,X$5&lt;=$E17),W17+$AG17,0))</f>
        <v>0</v>
      </c>
      <c r="Y17" s="129">
        <f t="shared" si="48"/>
        <v>0</v>
      </c>
      <c r="Z17" s="129">
        <f t="shared" si="48"/>
        <v>0</v>
      </c>
      <c r="AA17" s="129">
        <f t="shared" si="48"/>
        <v>0</v>
      </c>
      <c r="AB17" s="129">
        <f t="shared" si="48"/>
        <v>0</v>
      </c>
      <c r="AC17" s="129">
        <f t="shared" si="48"/>
        <v>0</v>
      </c>
      <c r="AD17" s="129">
        <f t="shared" si="48"/>
        <v>0</v>
      </c>
      <c r="AE17" s="129">
        <f t="shared" si="48"/>
        <v>0</v>
      </c>
      <c r="AG17" s="133">
        <f t="shared" si="28"/>
        <v>11.9375</v>
      </c>
      <c r="AH17" s="132">
        <f t="shared" ca="1" si="29"/>
        <v>4.2570441658921734</v>
      </c>
    </row>
    <row r="18" spans="1:34" x14ac:dyDescent="0.25">
      <c r="A18" s="136">
        <v>1</v>
      </c>
      <c r="B18" s="121" t="s">
        <v>250</v>
      </c>
      <c r="C18" s="121" t="s">
        <v>39</v>
      </c>
      <c r="D18" s="122">
        <v>139</v>
      </c>
      <c r="E18" s="117">
        <v>16</v>
      </c>
      <c r="F18" s="117"/>
      <c r="G18" s="128">
        <f t="shared" ca="1" si="42"/>
        <v>3.2892367565984988</v>
      </c>
      <c r="H18" s="129">
        <f t="shared" ref="H18:W18" ca="1" si="49">($D18&lt;$E18)*(H$5*(H$5&lt;=$D18)*($E18&gt;=H$5))+($D18&gt;=$E18)*(IF(AND(H$5&lt;=$D18,H$5&lt;=$E18),G18+$AG18,0))</f>
        <v>11.976736756598498</v>
      </c>
      <c r="I18" s="129">
        <f t="shared" ca="1" si="49"/>
        <v>20.664236756598498</v>
      </c>
      <c r="J18" s="129">
        <f t="shared" ca="1" si="49"/>
        <v>29.351736756598498</v>
      </c>
      <c r="K18" s="129">
        <f t="shared" ca="1" si="49"/>
        <v>38.039236756598498</v>
      </c>
      <c r="L18" s="129">
        <f t="shared" ca="1" si="49"/>
        <v>46.726736756598498</v>
      </c>
      <c r="M18" s="129">
        <f t="shared" ca="1" si="49"/>
        <v>55.414236756598498</v>
      </c>
      <c r="N18" s="129">
        <f t="shared" ca="1" si="49"/>
        <v>64.101736756598498</v>
      </c>
      <c r="O18" s="129">
        <f t="shared" ca="1" si="49"/>
        <v>72.789236756598498</v>
      </c>
      <c r="P18" s="129">
        <f t="shared" ca="1" si="49"/>
        <v>81.476736756598498</v>
      </c>
      <c r="Q18" s="129">
        <f t="shared" ca="1" si="49"/>
        <v>90.164236756598498</v>
      </c>
      <c r="R18" s="129">
        <f t="shared" ca="1" si="49"/>
        <v>98.851736756598498</v>
      </c>
      <c r="S18" s="129">
        <f t="shared" ca="1" si="49"/>
        <v>107.5392367565985</v>
      </c>
      <c r="T18" s="129">
        <f t="shared" ca="1" si="49"/>
        <v>116.2267367565985</v>
      </c>
      <c r="U18" s="129">
        <f t="shared" ca="1" si="49"/>
        <v>124.9142367565985</v>
      </c>
      <c r="V18" s="129">
        <f t="shared" ca="1" si="49"/>
        <v>133.60173675659848</v>
      </c>
      <c r="W18" s="129">
        <f t="shared" si="49"/>
        <v>0</v>
      </c>
      <c r="X18" s="129">
        <f t="shared" ref="X18:AE18" si="50">($D18&lt;$E18)*(X$5*(X$5&lt;=$D18)*($E18&gt;=X$5))+($D18&gt;=$E18)*(IF(AND(X$5&lt;=$D18,X$5&lt;=$E18),W18+$AG18,0))</f>
        <v>0</v>
      </c>
      <c r="Y18" s="129">
        <f t="shared" si="50"/>
        <v>0</v>
      </c>
      <c r="Z18" s="129">
        <f t="shared" si="50"/>
        <v>0</v>
      </c>
      <c r="AA18" s="129">
        <f t="shared" si="50"/>
        <v>0</v>
      </c>
      <c r="AB18" s="129">
        <f t="shared" si="50"/>
        <v>0</v>
      </c>
      <c r="AC18" s="129">
        <f t="shared" si="50"/>
        <v>0</v>
      </c>
      <c r="AD18" s="129">
        <f t="shared" si="50"/>
        <v>0</v>
      </c>
      <c r="AE18" s="129">
        <f t="shared" si="50"/>
        <v>0</v>
      </c>
      <c r="AG18" s="133">
        <f t="shared" si="28"/>
        <v>8.6875</v>
      </c>
      <c r="AH18" s="132">
        <f t="shared" ca="1" si="29"/>
        <v>3.2892367565984988</v>
      </c>
    </row>
    <row r="19" spans="1:34" x14ac:dyDescent="0.25">
      <c r="A19" s="136">
        <v>1</v>
      </c>
      <c r="B19" s="121" t="s">
        <v>251</v>
      </c>
      <c r="C19" s="121" t="s">
        <v>39</v>
      </c>
      <c r="D19" s="122">
        <v>69</v>
      </c>
      <c r="E19" s="117">
        <v>16</v>
      </c>
      <c r="F19" s="117"/>
      <c r="G19" s="128">
        <f t="shared" ca="1" si="42"/>
        <v>1.9864190902416294</v>
      </c>
      <c r="H19" s="129">
        <f t="shared" ref="H19:W19" ca="1" si="51">($D19&lt;$E19)*(H$5*(H$5&lt;=$D19)*($E19&gt;=H$5))+($D19&gt;=$E19)*(IF(AND(H$5&lt;=$D19,H$5&lt;=$E19),G19+$AG19,0))</f>
        <v>6.298919090241629</v>
      </c>
      <c r="I19" s="129">
        <f t="shared" ca="1" si="51"/>
        <v>10.611419090241629</v>
      </c>
      <c r="J19" s="129">
        <f t="shared" ca="1" si="51"/>
        <v>14.923919090241629</v>
      </c>
      <c r="K19" s="129">
        <f t="shared" ca="1" si="51"/>
        <v>19.236419090241629</v>
      </c>
      <c r="L19" s="129">
        <f t="shared" ca="1" si="51"/>
        <v>23.548919090241629</v>
      </c>
      <c r="M19" s="129">
        <f t="shared" ca="1" si="51"/>
        <v>27.861419090241629</v>
      </c>
      <c r="N19" s="129">
        <f t="shared" ca="1" si="51"/>
        <v>32.173919090241625</v>
      </c>
      <c r="O19" s="129">
        <f t="shared" ca="1" si="51"/>
        <v>36.486419090241625</v>
      </c>
      <c r="P19" s="129">
        <f t="shared" ca="1" si="51"/>
        <v>40.798919090241625</v>
      </c>
      <c r="Q19" s="129">
        <f t="shared" ca="1" si="51"/>
        <v>45.111419090241625</v>
      </c>
      <c r="R19" s="129">
        <f t="shared" ca="1" si="51"/>
        <v>49.423919090241625</v>
      </c>
      <c r="S19" s="129">
        <f t="shared" ca="1" si="51"/>
        <v>53.736419090241625</v>
      </c>
      <c r="T19" s="129">
        <f t="shared" ca="1" si="51"/>
        <v>58.048919090241625</v>
      </c>
      <c r="U19" s="129">
        <f t="shared" ca="1" si="51"/>
        <v>62.361419090241625</v>
      </c>
      <c r="V19" s="129">
        <f t="shared" ca="1" si="51"/>
        <v>66.673919090241625</v>
      </c>
      <c r="W19" s="129">
        <f t="shared" si="51"/>
        <v>0</v>
      </c>
      <c r="X19" s="129">
        <f t="shared" ref="X19:AE19" si="52">($D19&lt;$E19)*(X$5*(X$5&lt;=$D19)*($E19&gt;=X$5))+($D19&gt;=$E19)*(IF(AND(X$5&lt;=$D19,X$5&lt;=$E19),W19+$AG19,0))</f>
        <v>0</v>
      </c>
      <c r="Y19" s="129">
        <f t="shared" si="52"/>
        <v>0</v>
      </c>
      <c r="Z19" s="129">
        <f t="shared" si="52"/>
        <v>0</v>
      </c>
      <c r="AA19" s="129">
        <f t="shared" si="52"/>
        <v>0</v>
      </c>
      <c r="AB19" s="129">
        <f t="shared" si="52"/>
        <v>0</v>
      </c>
      <c r="AC19" s="129">
        <f t="shared" si="52"/>
        <v>0</v>
      </c>
      <c r="AD19" s="129">
        <f t="shared" si="52"/>
        <v>0</v>
      </c>
      <c r="AE19" s="129">
        <f t="shared" si="52"/>
        <v>0</v>
      </c>
      <c r="AG19" s="133">
        <f t="shared" si="28"/>
        <v>4.3125</v>
      </c>
      <c r="AH19" s="132">
        <f t="shared" ca="1" si="29"/>
        <v>1.9864190902416294</v>
      </c>
    </row>
    <row r="20" spans="1:34" x14ac:dyDescent="0.25">
      <c r="A20" s="136">
        <v>1</v>
      </c>
      <c r="B20" s="121" t="s">
        <v>252</v>
      </c>
      <c r="C20" s="121" t="s">
        <v>39</v>
      </c>
      <c r="D20" s="122">
        <v>167</v>
      </c>
      <c r="E20" s="117">
        <v>16</v>
      </c>
      <c r="F20" s="117"/>
      <c r="G20" s="128">
        <f t="shared" ca="1" si="42"/>
        <v>3.8103638231412464</v>
      </c>
      <c r="H20" s="129">
        <f t="shared" ref="H20:W20" ca="1" si="53">($D20&lt;$E20)*(H$5*(H$5&lt;=$D20)*($E20&gt;=H$5))+($D20&gt;=$E20)*(IF(AND(H$5&lt;=$D20,H$5&lt;=$E20),G20+$AG20,0))</f>
        <v>14.247863823141246</v>
      </c>
      <c r="I20" s="129">
        <f t="shared" ca="1" si="53"/>
        <v>24.685363823141245</v>
      </c>
      <c r="J20" s="129">
        <f t="shared" ca="1" si="53"/>
        <v>35.122863823141245</v>
      </c>
      <c r="K20" s="129">
        <f t="shared" ca="1" si="53"/>
        <v>45.560363823141245</v>
      </c>
      <c r="L20" s="129">
        <f t="shared" ca="1" si="53"/>
        <v>55.997863823141245</v>
      </c>
      <c r="M20" s="129">
        <f t="shared" ca="1" si="53"/>
        <v>66.435363823141245</v>
      </c>
      <c r="N20" s="129">
        <f t="shared" ca="1" si="53"/>
        <v>76.872863823141245</v>
      </c>
      <c r="O20" s="129">
        <f t="shared" ca="1" si="53"/>
        <v>87.310363823141245</v>
      </c>
      <c r="P20" s="129">
        <f t="shared" ca="1" si="53"/>
        <v>97.747863823141245</v>
      </c>
      <c r="Q20" s="129">
        <f t="shared" ca="1" si="53"/>
        <v>108.18536382314124</v>
      </c>
      <c r="R20" s="129">
        <f t="shared" ca="1" si="53"/>
        <v>118.62286382314124</v>
      </c>
      <c r="S20" s="129">
        <f t="shared" ca="1" si="53"/>
        <v>129.06036382314124</v>
      </c>
      <c r="T20" s="129">
        <f t="shared" ca="1" si="53"/>
        <v>139.49786382314124</v>
      </c>
      <c r="U20" s="129">
        <f t="shared" ca="1" si="53"/>
        <v>149.93536382314124</v>
      </c>
      <c r="V20" s="129">
        <f t="shared" ca="1" si="53"/>
        <v>160.37286382314124</v>
      </c>
      <c r="W20" s="129">
        <f t="shared" si="53"/>
        <v>0</v>
      </c>
      <c r="X20" s="129">
        <f t="shared" ref="X20:AE20" si="54">($D20&lt;$E20)*(X$5*(X$5&lt;=$D20)*($E20&gt;=X$5))+($D20&gt;=$E20)*(IF(AND(X$5&lt;=$D20,X$5&lt;=$E20),W20+$AG20,0))</f>
        <v>0</v>
      </c>
      <c r="Y20" s="129">
        <f t="shared" si="54"/>
        <v>0</v>
      </c>
      <c r="Z20" s="129">
        <f t="shared" si="54"/>
        <v>0</v>
      </c>
      <c r="AA20" s="129">
        <f t="shared" si="54"/>
        <v>0</v>
      </c>
      <c r="AB20" s="129">
        <f t="shared" si="54"/>
        <v>0</v>
      </c>
      <c r="AC20" s="129">
        <f t="shared" si="54"/>
        <v>0</v>
      </c>
      <c r="AD20" s="129">
        <f t="shared" si="54"/>
        <v>0</v>
      </c>
      <c r="AE20" s="129">
        <f t="shared" si="54"/>
        <v>0</v>
      </c>
      <c r="AG20" s="133">
        <f t="shared" si="28"/>
        <v>10.4375</v>
      </c>
      <c r="AH20" s="132">
        <f t="shared" ca="1" si="29"/>
        <v>3.8103638231412464</v>
      </c>
    </row>
    <row r="21" spans="1:34" x14ac:dyDescent="0.25">
      <c r="A21" s="136">
        <v>1</v>
      </c>
      <c r="B21" s="121" t="s">
        <v>253</v>
      </c>
      <c r="C21" s="121" t="s">
        <v>39</v>
      </c>
      <c r="D21" s="122">
        <v>323</v>
      </c>
      <c r="E21" s="117">
        <v>16</v>
      </c>
      <c r="F21" s="117"/>
      <c r="G21" s="128">
        <f t="shared" ca="1" si="42"/>
        <v>6.7137860510222698</v>
      </c>
      <c r="H21" s="129">
        <f t="shared" ref="H21:W21" ca="1" si="55">($D21&lt;$E21)*(H$5*(H$5&lt;=$D21)*($E21&gt;=H$5))+($D21&gt;=$E21)*(IF(AND(H$5&lt;=$D21,H$5&lt;=$E21),G21+$AG21,0))</f>
        <v>26.901286051022268</v>
      </c>
      <c r="I21" s="129">
        <f t="shared" ca="1" si="55"/>
        <v>47.088786051022268</v>
      </c>
      <c r="J21" s="129">
        <f t="shared" ca="1" si="55"/>
        <v>67.276286051022268</v>
      </c>
      <c r="K21" s="129">
        <f t="shared" ca="1" si="55"/>
        <v>87.463786051022268</v>
      </c>
      <c r="L21" s="129">
        <f t="shared" ca="1" si="55"/>
        <v>107.65128605102227</v>
      </c>
      <c r="M21" s="129">
        <f t="shared" ca="1" si="55"/>
        <v>127.83878605102227</v>
      </c>
      <c r="N21" s="129">
        <f t="shared" ca="1" si="55"/>
        <v>148.02628605102228</v>
      </c>
      <c r="O21" s="129">
        <f t="shared" ca="1" si="55"/>
        <v>168.21378605102228</v>
      </c>
      <c r="P21" s="129">
        <f t="shared" ca="1" si="55"/>
        <v>188.40128605102228</v>
      </c>
      <c r="Q21" s="129">
        <f t="shared" ca="1" si="55"/>
        <v>208.58878605102228</v>
      </c>
      <c r="R21" s="129">
        <f t="shared" ca="1" si="55"/>
        <v>228.77628605102228</v>
      </c>
      <c r="S21" s="129">
        <f t="shared" ca="1" si="55"/>
        <v>248.96378605102228</v>
      </c>
      <c r="T21" s="129">
        <f t="shared" ca="1" si="55"/>
        <v>269.15128605102228</v>
      </c>
      <c r="U21" s="129">
        <f t="shared" ca="1" si="55"/>
        <v>289.33878605102228</v>
      </c>
      <c r="V21" s="129">
        <f t="shared" ca="1" si="55"/>
        <v>309.52628605102228</v>
      </c>
      <c r="W21" s="129">
        <f t="shared" si="55"/>
        <v>0</v>
      </c>
      <c r="X21" s="129">
        <f t="shared" ref="X21:AE21" si="56">($D21&lt;$E21)*(X$5*(X$5&lt;=$D21)*($E21&gt;=X$5))+($D21&gt;=$E21)*(IF(AND(X$5&lt;=$D21,X$5&lt;=$E21),W21+$AG21,0))</f>
        <v>0</v>
      </c>
      <c r="Y21" s="129">
        <f t="shared" si="56"/>
        <v>0</v>
      </c>
      <c r="Z21" s="129">
        <f t="shared" si="56"/>
        <v>0</v>
      </c>
      <c r="AA21" s="129">
        <f t="shared" si="56"/>
        <v>0</v>
      </c>
      <c r="AB21" s="129">
        <f t="shared" si="56"/>
        <v>0</v>
      </c>
      <c r="AC21" s="129">
        <f t="shared" si="56"/>
        <v>0</v>
      </c>
      <c r="AD21" s="129">
        <f t="shared" si="56"/>
        <v>0</v>
      </c>
      <c r="AE21" s="129">
        <f t="shared" si="56"/>
        <v>0</v>
      </c>
      <c r="AG21" s="133">
        <f t="shared" si="28"/>
        <v>20.1875</v>
      </c>
      <c r="AH21" s="132">
        <f t="shared" ca="1" si="29"/>
        <v>6.7137860510222698</v>
      </c>
    </row>
    <row r="22" spans="1:34" x14ac:dyDescent="0.25">
      <c r="A22" s="136">
        <v>1</v>
      </c>
      <c r="B22" s="121" t="s">
        <v>58</v>
      </c>
      <c r="C22" s="121" t="s">
        <v>39</v>
      </c>
      <c r="D22" s="122">
        <v>310</v>
      </c>
      <c r="E22" s="117">
        <v>16</v>
      </c>
      <c r="F22" s="117"/>
      <c r="G22" s="128">
        <f t="shared" ca="1" si="42"/>
        <v>6.4718341986988506</v>
      </c>
      <c r="H22" s="129">
        <f t="shared" ref="H22:W22" ca="1" si="57">($D22&lt;$E22)*(H$5*(H$5&lt;=$D22)*($E22&gt;=H$5))+($D22&gt;=$E22)*(IF(AND(H$5&lt;=$D22,H$5&lt;=$E22),G22+$AG22,0))</f>
        <v>25.846834198698851</v>
      </c>
      <c r="I22" s="129">
        <f t="shared" ca="1" si="57"/>
        <v>45.221834198698851</v>
      </c>
      <c r="J22" s="129">
        <f t="shared" ca="1" si="57"/>
        <v>64.596834198698843</v>
      </c>
      <c r="K22" s="129">
        <f t="shared" ca="1" si="57"/>
        <v>83.971834198698843</v>
      </c>
      <c r="L22" s="129">
        <f t="shared" ca="1" si="57"/>
        <v>103.34683419869884</v>
      </c>
      <c r="M22" s="129">
        <f t="shared" ca="1" si="57"/>
        <v>122.72183419869884</v>
      </c>
      <c r="N22" s="129">
        <f t="shared" ca="1" si="57"/>
        <v>142.09683419869884</v>
      </c>
      <c r="O22" s="129">
        <f t="shared" ca="1" si="57"/>
        <v>161.47183419869884</v>
      </c>
      <c r="P22" s="129">
        <f t="shared" ca="1" si="57"/>
        <v>180.84683419869884</v>
      </c>
      <c r="Q22" s="129">
        <f t="shared" ca="1" si="57"/>
        <v>200.22183419869884</v>
      </c>
      <c r="R22" s="129">
        <f t="shared" ca="1" si="57"/>
        <v>219.59683419869884</v>
      </c>
      <c r="S22" s="129">
        <f t="shared" ca="1" si="57"/>
        <v>238.97183419869884</v>
      </c>
      <c r="T22" s="129">
        <f t="shared" ca="1" si="57"/>
        <v>258.34683419869884</v>
      </c>
      <c r="U22" s="129">
        <f t="shared" ca="1" si="57"/>
        <v>277.72183419869884</v>
      </c>
      <c r="V22" s="129">
        <f t="shared" ca="1" si="57"/>
        <v>297.09683419869884</v>
      </c>
      <c r="W22" s="129">
        <f t="shared" si="57"/>
        <v>0</v>
      </c>
      <c r="X22" s="129">
        <f t="shared" ref="X22:AE22" si="58">($D22&lt;$E22)*(X$5*(X$5&lt;=$D22)*($E22&gt;=X$5))+($D22&gt;=$E22)*(IF(AND(X$5&lt;=$D22,X$5&lt;=$E22),W22+$AG22,0))</f>
        <v>0</v>
      </c>
      <c r="Y22" s="129">
        <f t="shared" si="58"/>
        <v>0</v>
      </c>
      <c r="Z22" s="129">
        <f t="shared" si="58"/>
        <v>0</v>
      </c>
      <c r="AA22" s="129">
        <f t="shared" si="58"/>
        <v>0</v>
      </c>
      <c r="AB22" s="129">
        <f t="shared" si="58"/>
        <v>0</v>
      </c>
      <c r="AC22" s="129">
        <f t="shared" si="58"/>
        <v>0</v>
      </c>
      <c r="AD22" s="129">
        <f t="shared" si="58"/>
        <v>0</v>
      </c>
      <c r="AE22" s="129">
        <f t="shared" si="58"/>
        <v>0</v>
      </c>
      <c r="AG22" s="133">
        <f t="shared" si="28"/>
        <v>19.375</v>
      </c>
      <c r="AH22" s="132">
        <f t="shared" ca="1" si="29"/>
        <v>6.4718341986988506</v>
      </c>
    </row>
    <row r="23" spans="1:34" x14ac:dyDescent="0.25">
      <c r="A23" s="136">
        <v>1</v>
      </c>
      <c r="B23" s="121" t="s">
        <v>59</v>
      </c>
      <c r="C23" s="121" t="s">
        <v>39</v>
      </c>
      <c r="D23" s="122">
        <v>251</v>
      </c>
      <c r="E23" s="117">
        <v>16</v>
      </c>
      <c r="F23" s="117"/>
      <c r="G23" s="128">
        <f t="shared" ca="1" si="42"/>
        <v>5.3737450227694898</v>
      </c>
      <c r="H23" s="129">
        <f t="shared" ref="H23:W23" ca="1" si="59">($D23&lt;$E23)*(H$5*(H$5&lt;=$D23)*($E23&gt;=H$5))+($D23&gt;=$E23)*(IF(AND(H$5&lt;=$D23,H$5&lt;=$E23),G23+$AG23,0))</f>
        <v>21.061245022769491</v>
      </c>
      <c r="I23" s="129">
        <f t="shared" ca="1" si="59"/>
        <v>36.748745022769491</v>
      </c>
      <c r="J23" s="129">
        <f t="shared" ca="1" si="59"/>
        <v>52.436245022769491</v>
      </c>
      <c r="K23" s="129">
        <f t="shared" ca="1" si="59"/>
        <v>68.123745022769498</v>
      </c>
      <c r="L23" s="129">
        <f t="shared" ca="1" si="59"/>
        <v>83.811245022769498</v>
      </c>
      <c r="M23" s="129">
        <f t="shared" ca="1" si="59"/>
        <v>99.498745022769498</v>
      </c>
      <c r="N23" s="129">
        <f t="shared" ca="1" si="59"/>
        <v>115.1862450227695</v>
      </c>
      <c r="O23" s="129">
        <f t="shared" ca="1" si="59"/>
        <v>130.8737450227695</v>
      </c>
      <c r="P23" s="129">
        <f t="shared" ca="1" si="59"/>
        <v>146.5612450227695</v>
      </c>
      <c r="Q23" s="129">
        <f t="shared" ca="1" si="59"/>
        <v>162.2487450227695</v>
      </c>
      <c r="R23" s="129">
        <f t="shared" ca="1" si="59"/>
        <v>177.9362450227695</v>
      </c>
      <c r="S23" s="129">
        <f t="shared" ca="1" si="59"/>
        <v>193.6237450227695</v>
      </c>
      <c r="T23" s="129">
        <f t="shared" ca="1" si="59"/>
        <v>209.3112450227695</v>
      </c>
      <c r="U23" s="129">
        <f t="shared" ca="1" si="59"/>
        <v>224.9987450227695</v>
      </c>
      <c r="V23" s="129">
        <f t="shared" ca="1" si="59"/>
        <v>240.6862450227695</v>
      </c>
      <c r="W23" s="129">
        <f t="shared" si="59"/>
        <v>0</v>
      </c>
      <c r="X23" s="129">
        <f t="shared" ref="X23:AE23" si="60">($D23&lt;$E23)*(X$5*(X$5&lt;=$D23)*($E23&gt;=X$5))+($D23&gt;=$E23)*(IF(AND(X$5&lt;=$D23,X$5&lt;=$E23),W23+$AG23,0))</f>
        <v>0</v>
      </c>
      <c r="Y23" s="129">
        <f t="shared" si="60"/>
        <v>0</v>
      </c>
      <c r="Z23" s="129">
        <f t="shared" si="60"/>
        <v>0</v>
      </c>
      <c r="AA23" s="129">
        <f t="shared" si="60"/>
        <v>0</v>
      </c>
      <c r="AB23" s="129">
        <f t="shared" si="60"/>
        <v>0</v>
      </c>
      <c r="AC23" s="129">
        <f t="shared" si="60"/>
        <v>0</v>
      </c>
      <c r="AD23" s="129">
        <f t="shared" si="60"/>
        <v>0</v>
      </c>
      <c r="AE23" s="129">
        <f t="shared" si="60"/>
        <v>0</v>
      </c>
      <c r="AG23" s="133">
        <f t="shared" si="28"/>
        <v>15.6875</v>
      </c>
      <c r="AH23" s="132">
        <f t="shared" ca="1" si="29"/>
        <v>5.3737450227694898</v>
      </c>
    </row>
    <row r="24" spans="1:34" ht="15" customHeight="1" x14ac:dyDescent="0.25">
      <c r="A24" s="136">
        <v>1</v>
      </c>
      <c r="B24" s="121" t="s">
        <v>210</v>
      </c>
      <c r="C24" s="121" t="s">
        <v>39</v>
      </c>
      <c r="D24" s="122">
        <v>280</v>
      </c>
      <c r="E24" s="117">
        <v>16</v>
      </c>
      <c r="F24" s="117"/>
      <c r="G24" s="128">
        <f t="shared" ca="1" si="42"/>
        <v>5.9134837702601928</v>
      </c>
      <c r="H24" s="129">
        <f t="shared" ref="H24:W24" ca="1" si="61">($D24&lt;$E24)*(H$5*(H$5&lt;=$D24)*($E24&gt;=H$5))+($D24&gt;=$E24)*(IF(AND(H$5&lt;=$D24,H$5&lt;=$E24),G24+$AG24,0))</f>
        <v>23.413483770260193</v>
      </c>
      <c r="I24" s="129">
        <f t="shared" ca="1" si="61"/>
        <v>40.913483770260193</v>
      </c>
      <c r="J24" s="129">
        <f t="shared" ca="1" si="61"/>
        <v>58.413483770260193</v>
      </c>
      <c r="K24" s="129">
        <f t="shared" ca="1" si="61"/>
        <v>75.9134837702602</v>
      </c>
      <c r="L24" s="129">
        <f t="shared" ca="1" si="61"/>
        <v>93.4134837702602</v>
      </c>
      <c r="M24" s="129">
        <f t="shared" ca="1" si="61"/>
        <v>110.9134837702602</v>
      </c>
      <c r="N24" s="129">
        <f t="shared" ca="1" si="61"/>
        <v>128.4134837702602</v>
      </c>
      <c r="O24" s="129">
        <f t="shared" ca="1" si="61"/>
        <v>145.9134837702602</v>
      </c>
      <c r="P24" s="129">
        <f t="shared" ca="1" si="61"/>
        <v>163.4134837702602</v>
      </c>
      <c r="Q24" s="129">
        <f t="shared" ca="1" si="61"/>
        <v>180.9134837702602</v>
      </c>
      <c r="R24" s="129">
        <f t="shared" ca="1" si="61"/>
        <v>198.4134837702602</v>
      </c>
      <c r="S24" s="129">
        <f t="shared" ca="1" si="61"/>
        <v>215.9134837702602</v>
      </c>
      <c r="T24" s="129">
        <f t="shared" ca="1" si="61"/>
        <v>233.4134837702602</v>
      </c>
      <c r="U24" s="129">
        <f t="shared" ca="1" si="61"/>
        <v>250.9134837702602</v>
      </c>
      <c r="V24" s="129">
        <f t="shared" ca="1" si="61"/>
        <v>268.4134837702602</v>
      </c>
      <c r="W24" s="129">
        <f t="shared" si="61"/>
        <v>0</v>
      </c>
      <c r="X24" s="129">
        <f t="shared" ref="X24:AE24" si="62">($D24&lt;$E24)*(X$5*(X$5&lt;=$D24)*($E24&gt;=X$5))+($D24&gt;=$E24)*(IF(AND(X$5&lt;=$D24,X$5&lt;=$E24),W24+$AG24,0))</f>
        <v>0</v>
      </c>
      <c r="Y24" s="129">
        <f t="shared" si="62"/>
        <v>0</v>
      </c>
      <c r="Z24" s="129">
        <f t="shared" si="62"/>
        <v>0</v>
      </c>
      <c r="AA24" s="129">
        <f t="shared" si="62"/>
        <v>0</v>
      </c>
      <c r="AB24" s="129">
        <f t="shared" si="62"/>
        <v>0</v>
      </c>
      <c r="AC24" s="129">
        <f t="shared" si="62"/>
        <v>0</v>
      </c>
      <c r="AD24" s="129">
        <f t="shared" si="62"/>
        <v>0</v>
      </c>
      <c r="AE24" s="129">
        <f t="shared" si="62"/>
        <v>0</v>
      </c>
      <c r="AG24" s="133">
        <f t="shared" si="28"/>
        <v>17.5</v>
      </c>
      <c r="AH24" s="132">
        <f t="shared" ca="1" si="29"/>
        <v>5.9134837702601928</v>
      </c>
    </row>
    <row r="25" spans="1:34" x14ac:dyDescent="0.25">
      <c r="A25" s="136">
        <v>1</v>
      </c>
      <c r="B25" s="121" t="s">
        <v>600</v>
      </c>
      <c r="C25" s="121" t="s">
        <v>39</v>
      </c>
      <c r="D25" s="122">
        <v>197</v>
      </c>
      <c r="E25" s="117">
        <v>16</v>
      </c>
      <c r="F25" s="117"/>
      <c r="G25" s="128">
        <f t="shared" ca="1" si="42"/>
        <v>4.3687142515799042</v>
      </c>
      <c r="H25" s="129">
        <f t="shared" ref="H25:W25" ca="1" si="63">($D25&lt;$E25)*(H$5*(H$5&lt;=$D25)*($E25&gt;=H$5))+($D25&gt;=$E25)*(IF(AND(H$5&lt;=$D25,H$5&lt;=$E25),G25+$AG25,0))</f>
        <v>16.681214251579902</v>
      </c>
      <c r="I25" s="129">
        <f t="shared" ca="1" si="63"/>
        <v>28.993714251579902</v>
      </c>
      <c r="J25" s="129">
        <f t="shared" ca="1" si="63"/>
        <v>41.306214251579902</v>
      </c>
      <c r="K25" s="129">
        <f t="shared" ca="1" si="63"/>
        <v>53.618714251579902</v>
      </c>
      <c r="L25" s="129">
        <f t="shared" ca="1" si="63"/>
        <v>65.931214251579902</v>
      </c>
      <c r="M25" s="129">
        <f t="shared" ca="1" si="63"/>
        <v>78.243714251579902</v>
      </c>
      <c r="N25" s="129">
        <f t="shared" ca="1" si="63"/>
        <v>90.556214251579902</v>
      </c>
      <c r="O25" s="129">
        <f t="shared" ca="1" si="63"/>
        <v>102.8687142515799</v>
      </c>
      <c r="P25" s="129">
        <f t="shared" ca="1" si="63"/>
        <v>115.1812142515799</v>
      </c>
      <c r="Q25" s="129">
        <f t="shared" ca="1" si="63"/>
        <v>127.4937142515799</v>
      </c>
      <c r="R25" s="129">
        <f t="shared" ca="1" si="63"/>
        <v>139.80621425157989</v>
      </c>
      <c r="S25" s="129">
        <f t="shared" ca="1" si="63"/>
        <v>152.11871425157989</v>
      </c>
      <c r="T25" s="129">
        <f t="shared" ca="1" si="63"/>
        <v>164.43121425157989</v>
      </c>
      <c r="U25" s="129">
        <f t="shared" ca="1" si="63"/>
        <v>176.74371425157989</v>
      </c>
      <c r="V25" s="129">
        <f t="shared" ca="1" si="63"/>
        <v>189.05621425157989</v>
      </c>
      <c r="W25" s="129">
        <f t="shared" si="63"/>
        <v>0</v>
      </c>
      <c r="X25" s="129">
        <f t="shared" ref="X25:AE25" si="64">($D25&lt;$E25)*(X$5*(X$5&lt;=$D25)*($E25&gt;=X$5))+($D25&gt;=$E25)*(IF(AND(X$5&lt;=$D25,X$5&lt;=$E25),W25+$AG25,0))</f>
        <v>0</v>
      </c>
      <c r="Y25" s="129">
        <f t="shared" si="64"/>
        <v>0</v>
      </c>
      <c r="Z25" s="129">
        <f t="shared" si="64"/>
        <v>0</v>
      </c>
      <c r="AA25" s="129">
        <f t="shared" si="64"/>
        <v>0</v>
      </c>
      <c r="AB25" s="129">
        <f t="shared" si="64"/>
        <v>0</v>
      </c>
      <c r="AC25" s="129">
        <f t="shared" si="64"/>
        <v>0</v>
      </c>
      <c r="AD25" s="129">
        <f t="shared" si="64"/>
        <v>0</v>
      </c>
      <c r="AE25" s="129">
        <f t="shared" si="64"/>
        <v>0</v>
      </c>
      <c r="AG25" s="133">
        <f t="shared" si="28"/>
        <v>12.3125</v>
      </c>
      <c r="AH25" s="132">
        <f t="shared" ca="1" si="29"/>
        <v>4.3687142515799042</v>
      </c>
    </row>
    <row r="26" spans="1:34" x14ac:dyDescent="0.25">
      <c r="A26" s="136">
        <v>1</v>
      </c>
      <c r="B26" s="121" t="s">
        <v>601</v>
      </c>
      <c r="C26" s="121" t="s">
        <v>39</v>
      </c>
      <c r="D26" s="122">
        <v>245</v>
      </c>
      <c r="E26" s="117">
        <v>16</v>
      </c>
      <c r="F26" s="117"/>
      <c r="G26" s="128">
        <f t="shared" ca="1" si="42"/>
        <v>5.2620749370817581</v>
      </c>
      <c r="H26" s="129">
        <f t="shared" ref="H26:W26" ca="1" si="65">($D26&lt;$E26)*(H$5*(H$5&lt;=$D26)*($E26&gt;=H$5))+($D26&gt;=$E26)*(IF(AND(H$5&lt;=$D26,H$5&lt;=$E26),G26+$AG26,0))</f>
        <v>20.574574937081756</v>
      </c>
      <c r="I26" s="129">
        <f t="shared" ca="1" si="65"/>
        <v>35.887074937081756</v>
      </c>
      <c r="J26" s="129">
        <f t="shared" ca="1" si="65"/>
        <v>51.199574937081756</v>
      </c>
      <c r="K26" s="129">
        <f t="shared" ca="1" si="65"/>
        <v>66.512074937081763</v>
      </c>
      <c r="L26" s="129">
        <f t="shared" ca="1" si="65"/>
        <v>81.824574937081763</v>
      </c>
      <c r="M26" s="129">
        <f t="shared" ca="1" si="65"/>
        <v>97.137074937081763</v>
      </c>
      <c r="N26" s="129">
        <f t="shared" ca="1" si="65"/>
        <v>112.44957493708176</v>
      </c>
      <c r="O26" s="129">
        <f t="shared" ca="1" si="65"/>
        <v>127.76207493708176</v>
      </c>
      <c r="P26" s="129">
        <f t="shared" ca="1" si="65"/>
        <v>143.07457493708176</v>
      </c>
      <c r="Q26" s="129">
        <f t="shared" ca="1" si="65"/>
        <v>158.38707493708176</v>
      </c>
      <c r="R26" s="129">
        <f t="shared" ca="1" si="65"/>
        <v>173.69957493708176</v>
      </c>
      <c r="S26" s="129">
        <f t="shared" ca="1" si="65"/>
        <v>189.01207493708176</v>
      </c>
      <c r="T26" s="129">
        <f t="shared" ca="1" si="65"/>
        <v>204.32457493708176</v>
      </c>
      <c r="U26" s="129">
        <f t="shared" ca="1" si="65"/>
        <v>219.63707493708176</v>
      </c>
      <c r="V26" s="129">
        <f t="shared" ca="1" si="65"/>
        <v>234.94957493708176</v>
      </c>
      <c r="W26" s="129">
        <f t="shared" si="65"/>
        <v>0</v>
      </c>
      <c r="X26" s="129">
        <f t="shared" ref="X26:AE26" si="66">($D26&lt;$E26)*(X$5*(X$5&lt;=$D26)*($E26&gt;=X$5))+($D26&gt;=$E26)*(IF(AND(X$5&lt;=$D26,X$5&lt;=$E26),W26+$AG26,0))</f>
        <v>0</v>
      </c>
      <c r="Y26" s="129">
        <f t="shared" si="66"/>
        <v>0</v>
      </c>
      <c r="Z26" s="129">
        <f t="shared" si="66"/>
        <v>0</v>
      </c>
      <c r="AA26" s="129">
        <f t="shared" si="66"/>
        <v>0</v>
      </c>
      <c r="AB26" s="129">
        <f t="shared" si="66"/>
        <v>0</v>
      </c>
      <c r="AC26" s="129">
        <f t="shared" si="66"/>
        <v>0</v>
      </c>
      <c r="AD26" s="129">
        <f t="shared" si="66"/>
        <v>0</v>
      </c>
      <c r="AE26" s="129">
        <f t="shared" si="66"/>
        <v>0</v>
      </c>
      <c r="AG26" s="133">
        <f t="shared" si="28"/>
        <v>15.3125</v>
      </c>
      <c r="AH26" s="132">
        <f t="shared" ca="1" si="29"/>
        <v>5.2620749370817581</v>
      </c>
    </row>
    <row r="27" spans="1:34" x14ac:dyDescent="0.25">
      <c r="A27" s="136">
        <v>1</v>
      </c>
      <c r="B27" s="121" t="s">
        <v>602</v>
      </c>
      <c r="C27" s="121" t="s">
        <v>39</v>
      </c>
      <c r="D27" s="122">
        <v>173</v>
      </c>
      <c r="E27" s="117">
        <v>16</v>
      </c>
      <c r="F27" s="117"/>
      <c r="G27" s="128">
        <f t="shared" ca="1" si="42"/>
        <v>3.9220339088289782</v>
      </c>
      <c r="H27" s="129">
        <f t="shared" ref="H27:W27" ca="1" si="67">($D27&lt;$E27)*(H$5*(H$5&lt;=$D27)*($E27&gt;=H$5))+($D27&gt;=$E27)*(IF(AND(H$5&lt;=$D27,H$5&lt;=$E27),G27+$AG27,0))</f>
        <v>14.734533908828979</v>
      </c>
      <c r="I27" s="129">
        <f t="shared" ca="1" si="67"/>
        <v>25.547033908828979</v>
      </c>
      <c r="J27" s="129">
        <f t="shared" ca="1" si="67"/>
        <v>36.359533908828979</v>
      </c>
      <c r="K27" s="129">
        <f t="shared" ca="1" si="67"/>
        <v>47.172033908828979</v>
      </c>
      <c r="L27" s="129">
        <f t="shared" ca="1" si="67"/>
        <v>57.984533908828979</v>
      </c>
      <c r="M27" s="129">
        <f t="shared" ca="1" si="67"/>
        <v>68.797033908828979</v>
      </c>
      <c r="N27" s="129">
        <f t="shared" ca="1" si="67"/>
        <v>79.609533908828979</v>
      </c>
      <c r="O27" s="129">
        <f t="shared" ca="1" si="67"/>
        <v>90.422033908828979</v>
      </c>
      <c r="P27" s="129">
        <f t="shared" ca="1" si="67"/>
        <v>101.23453390882898</v>
      </c>
      <c r="Q27" s="129">
        <f t="shared" ca="1" si="67"/>
        <v>112.04703390882898</v>
      </c>
      <c r="R27" s="129">
        <f t="shared" ca="1" si="67"/>
        <v>122.85953390882898</v>
      </c>
      <c r="S27" s="129">
        <f t="shared" ca="1" si="67"/>
        <v>133.67203390882898</v>
      </c>
      <c r="T27" s="129">
        <f t="shared" ca="1" si="67"/>
        <v>144.48453390882898</v>
      </c>
      <c r="U27" s="129">
        <f t="shared" ca="1" si="67"/>
        <v>155.29703390882898</v>
      </c>
      <c r="V27" s="129">
        <f t="shared" ca="1" si="67"/>
        <v>166.10953390882898</v>
      </c>
      <c r="W27" s="129">
        <f t="shared" si="67"/>
        <v>0</v>
      </c>
      <c r="X27" s="129">
        <f t="shared" ref="X27:AE27" si="68">($D27&lt;$E27)*(X$5*(X$5&lt;=$D27)*($E27&gt;=X$5))+($D27&gt;=$E27)*(IF(AND(X$5&lt;=$D27,X$5&lt;=$E27),W27+$AG27,0))</f>
        <v>0</v>
      </c>
      <c r="Y27" s="129">
        <f t="shared" si="68"/>
        <v>0</v>
      </c>
      <c r="Z27" s="129">
        <f t="shared" si="68"/>
        <v>0</v>
      </c>
      <c r="AA27" s="129">
        <f t="shared" si="68"/>
        <v>0</v>
      </c>
      <c r="AB27" s="129">
        <f t="shared" si="68"/>
        <v>0</v>
      </c>
      <c r="AC27" s="129">
        <f t="shared" si="68"/>
        <v>0</v>
      </c>
      <c r="AD27" s="129">
        <f t="shared" si="68"/>
        <v>0</v>
      </c>
      <c r="AE27" s="129">
        <f t="shared" si="68"/>
        <v>0</v>
      </c>
      <c r="AG27" s="133">
        <f t="shared" si="28"/>
        <v>10.8125</v>
      </c>
      <c r="AH27" s="132">
        <f t="shared" ca="1" si="29"/>
        <v>3.9220339088289782</v>
      </c>
    </row>
    <row r="28" spans="1:34" x14ac:dyDescent="0.25">
      <c r="A28" s="136">
        <v>1</v>
      </c>
      <c r="B28" s="121" t="s">
        <v>377</v>
      </c>
      <c r="C28" s="121" t="s">
        <v>39</v>
      </c>
      <c r="D28" s="122">
        <v>131</v>
      </c>
      <c r="E28" s="117">
        <v>16</v>
      </c>
      <c r="F28" s="117"/>
      <c r="G28" s="128">
        <f t="shared" ca="1" si="42"/>
        <v>3.1403433090148565</v>
      </c>
      <c r="H28" s="129">
        <f t="shared" ref="H28:W28" ca="1" si="69">($D28&lt;$E28)*(H$5*(H$5&lt;=$D28)*($E28&gt;=H$5))+($D28&gt;=$E28)*(IF(AND(H$5&lt;=$D28,H$5&lt;=$E28),G28+$AG28,0))</f>
        <v>11.327843309014856</v>
      </c>
      <c r="I28" s="129">
        <f t="shared" ca="1" si="69"/>
        <v>19.515343309014856</v>
      </c>
      <c r="J28" s="129">
        <f t="shared" ca="1" si="69"/>
        <v>27.702843309014856</v>
      </c>
      <c r="K28" s="129">
        <f t="shared" ca="1" si="69"/>
        <v>35.890343309014852</v>
      </c>
      <c r="L28" s="129">
        <f t="shared" ca="1" si="69"/>
        <v>44.077843309014852</v>
      </c>
      <c r="M28" s="129">
        <f t="shared" ca="1" si="69"/>
        <v>52.265343309014852</v>
      </c>
      <c r="N28" s="129">
        <f t="shared" ca="1" si="69"/>
        <v>60.452843309014852</v>
      </c>
      <c r="O28" s="129">
        <f t="shared" ca="1" si="69"/>
        <v>68.640343309014852</v>
      </c>
      <c r="P28" s="129">
        <f t="shared" ca="1" si="69"/>
        <v>76.827843309014852</v>
      </c>
      <c r="Q28" s="129">
        <f t="shared" ca="1" si="69"/>
        <v>85.015343309014852</v>
      </c>
      <c r="R28" s="129">
        <f t="shared" ca="1" si="69"/>
        <v>93.202843309014852</v>
      </c>
      <c r="S28" s="129">
        <f t="shared" ca="1" si="69"/>
        <v>101.39034330901485</v>
      </c>
      <c r="T28" s="129">
        <f t="shared" ca="1" si="69"/>
        <v>109.57784330901485</v>
      </c>
      <c r="U28" s="129">
        <f t="shared" ca="1" si="69"/>
        <v>117.76534330901485</v>
      </c>
      <c r="V28" s="129">
        <f t="shared" ca="1" si="69"/>
        <v>125.95284330901485</v>
      </c>
      <c r="W28" s="129">
        <f t="shared" si="69"/>
        <v>0</v>
      </c>
      <c r="X28" s="129">
        <f t="shared" ref="X28:AE28" si="70">($D28&lt;$E28)*(X$5*(X$5&lt;=$D28)*($E28&gt;=X$5))+($D28&gt;=$E28)*(IF(AND(X$5&lt;=$D28,X$5&lt;=$E28),W28+$AG28,0))</f>
        <v>0</v>
      </c>
      <c r="Y28" s="129">
        <f t="shared" si="70"/>
        <v>0</v>
      </c>
      <c r="Z28" s="129">
        <f t="shared" si="70"/>
        <v>0</v>
      </c>
      <c r="AA28" s="129">
        <f t="shared" si="70"/>
        <v>0</v>
      </c>
      <c r="AB28" s="129">
        <f t="shared" si="70"/>
        <v>0</v>
      </c>
      <c r="AC28" s="129">
        <f t="shared" si="70"/>
        <v>0</v>
      </c>
      <c r="AD28" s="129">
        <f t="shared" si="70"/>
        <v>0</v>
      </c>
      <c r="AE28" s="129">
        <f t="shared" si="70"/>
        <v>0</v>
      </c>
      <c r="AG28" s="133">
        <f t="shared" si="28"/>
        <v>8.1875</v>
      </c>
      <c r="AH28" s="132">
        <f t="shared" ca="1" si="29"/>
        <v>3.1403433090148565</v>
      </c>
    </row>
    <row r="29" spans="1:34" x14ac:dyDescent="0.25">
      <c r="A29" s="136">
        <v>1</v>
      </c>
      <c r="B29" s="121" t="s">
        <v>378</v>
      </c>
      <c r="C29" s="121" t="s">
        <v>39</v>
      </c>
      <c r="D29" s="122">
        <v>125</v>
      </c>
      <c r="E29" s="117">
        <v>16</v>
      </c>
      <c r="F29" s="117"/>
      <c r="G29" s="128">
        <f t="shared" ca="1" si="42"/>
        <v>3.0286732233271252</v>
      </c>
      <c r="H29" s="129">
        <f t="shared" ref="H29:W29" ca="1" si="71">($D29&lt;$E29)*(H$5*(H$5&lt;=$D29)*($E29&gt;=H$5))+($D29&gt;=$E29)*(IF(AND(H$5&lt;=$D29,H$5&lt;=$E29),G29+$AG29,0))</f>
        <v>10.841173223327125</v>
      </c>
      <c r="I29" s="129">
        <f t="shared" ca="1" si="71"/>
        <v>18.653673223327125</v>
      </c>
      <c r="J29" s="129">
        <f t="shared" ca="1" si="71"/>
        <v>26.466173223327125</v>
      </c>
      <c r="K29" s="129">
        <f t="shared" ca="1" si="71"/>
        <v>34.278673223327125</v>
      </c>
      <c r="L29" s="129">
        <f t="shared" ca="1" si="71"/>
        <v>42.091173223327125</v>
      </c>
      <c r="M29" s="129">
        <f t="shared" ca="1" si="71"/>
        <v>49.903673223327125</v>
      </c>
      <c r="N29" s="129">
        <f t="shared" ca="1" si="71"/>
        <v>57.716173223327125</v>
      </c>
      <c r="O29" s="129">
        <f t="shared" ca="1" si="71"/>
        <v>65.528673223327132</v>
      </c>
      <c r="P29" s="129">
        <f t="shared" ca="1" si="71"/>
        <v>73.341173223327132</v>
      </c>
      <c r="Q29" s="129">
        <f t="shared" ca="1" si="71"/>
        <v>81.153673223327132</v>
      </c>
      <c r="R29" s="129">
        <f t="shared" ca="1" si="71"/>
        <v>88.966173223327132</v>
      </c>
      <c r="S29" s="129">
        <f t="shared" ca="1" si="71"/>
        <v>96.778673223327132</v>
      </c>
      <c r="T29" s="129">
        <f t="shared" ca="1" si="71"/>
        <v>104.59117322332713</v>
      </c>
      <c r="U29" s="129">
        <f t="shared" ca="1" si="71"/>
        <v>112.40367322332713</v>
      </c>
      <c r="V29" s="129">
        <f t="shared" ca="1" si="71"/>
        <v>120.21617322332713</v>
      </c>
      <c r="W29" s="129">
        <f t="shared" si="71"/>
        <v>0</v>
      </c>
      <c r="X29" s="129">
        <f t="shared" ref="X29:AE29" si="72">($D29&lt;$E29)*(X$5*(X$5&lt;=$D29)*($E29&gt;=X$5))+($D29&gt;=$E29)*(IF(AND(X$5&lt;=$D29,X$5&lt;=$E29),W29+$AG29,0))</f>
        <v>0</v>
      </c>
      <c r="Y29" s="129">
        <f t="shared" si="72"/>
        <v>0</v>
      </c>
      <c r="Z29" s="129">
        <f t="shared" si="72"/>
        <v>0</v>
      </c>
      <c r="AA29" s="129">
        <f t="shared" si="72"/>
        <v>0</v>
      </c>
      <c r="AB29" s="129">
        <f t="shared" si="72"/>
        <v>0</v>
      </c>
      <c r="AC29" s="129">
        <f t="shared" si="72"/>
        <v>0</v>
      </c>
      <c r="AD29" s="129">
        <f t="shared" si="72"/>
        <v>0</v>
      </c>
      <c r="AE29" s="129">
        <f t="shared" si="72"/>
        <v>0</v>
      </c>
      <c r="AG29" s="133">
        <f t="shared" si="28"/>
        <v>7.8125</v>
      </c>
      <c r="AH29" s="132">
        <f t="shared" ca="1" si="29"/>
        <v>3.0286732233271252</v>
      </c>
    </row>
    <row r="30" spans="1:34" x14ac:dyDescent="0.25">
      <c r="A30" s="136">
        <v>1</v>
      </c>
      <c r="B30" s="121" t="s">
        <v>379</v>
      </c>
      <c r="C30" s="121" t="s">
        <v>39</v>
      </c>
      <c r="D30" s="122">
        <v>279</v>
      </c>
      <c r="E30" s="117">
        <v>16</v>
      </c>
      <c r="F30" s="117"/>
      <c r="G30" s="128">
        <f t="shared" ca="1" si="42"/>
        <v>5.8948720893122371</v>
      </c>
      <c r="H30" s="129">
        <f t="shared" ref="H30:W30" ca="1" si="73">($D30&lt;$E30)*(H$5*(H$5&lt;=$D30)*($E30&gt;=H$5))+($D30&gt;=$E30)*(IF(AND(H$5&lt;=$D30,H$5&lt;=$E30),G30+$AG30,0))</f>
        <v>23.332372089312237</v>
      </c>
      <c r="I30" s="129">
        <f t="shared" ca="1" si="73"/>
        <v>40.769872089312237</v>
      </c>
      <c r="J30" s="129">
        <f t="shared" ca="1" si="73"/>
        <v>58.207372089312237</v>
      </c>
      <c r="K30" s="129">
        <f t="shared" ca="1" si="73"/>
        <v>75.64487208931223</v>
      </c>
      <c r="L30" s="129">
        <f t="shared" ca="1" si="73"/>
        <v>93.08237208931223</v>
      </c>
      <c r="M30" s="129">
        <f t="shared" ca="1" si="73"/>
        <v>110.51987208931223</v>
      </c>
      <c r="N30" s="129">
        <f t="shared" ca="1" si="73"/>
        <v>127.95737208931223</v>
      </c>
      <c r="O30" s="129">
        <f t="shared" ca="1" si="73"/>
        <v>145.39487208931223</v>
      </c>
      <c r="P30" s="129">
        <f t="shared" ca="1" si="73"/>
        <v>162.83237208931223</v>
      </c>
      <c r="Q30" s="129">
        <f t="shared" ca="1" si="73"/>
        <v>180.26987208931223</v>
      </c>
      <c r="R30" s="129">
        <f t="shared" ca="1" si="73"/>
        <v>197.70737208931223</v>
      </c>
      <c r="S30" s="129">
        <f t="shared" ca="1" si="73"/>
        <v>215.14487208931223</v>
      </c>
      <c r="T30" s="129">
        <f t="shared" ca="1" si="73"/>
        <v>232.58237208931223</v>
      </c>
      <c r="U30" s="129">
        <f t="shared" ca="1" si="73"/>
        <v>250.01987208931223</v>
      </c>
      <c r="V30" s="129">
        <f t="shared" ca="1" si="73"/>
        <v>267.45737208931223</v>
      </c>
      <c r="W30" s="129">
        <f t="shared" si="73"/>
        <v>0</v>
      </c>
      <c r="X30" s="129">
        <f t="shared" ref="X30:AE30" si="74">($D30&lt;$E30)*(X$5*(X$5&lt;=$D30)*($E30&gt;=X$5))+($D30&gt;=$E30)*(IF(AND(X$5&lt;=$D30,X$5&lt;=$E30),W30+$AG30,0))</f>
        <v>0</v>
      </c>
      <c r="Y30" s="129">
        <f t="shared" si="74"/>
        <v>0</v>
      </c>
      <c r="Z30" s="129">
        <f t="shared" si="74"/>
        <v>0</v>
      </c>
      <c r="AA30" s="129">
        <f t="shared" si="74"/>
        <v>0</v>
      </c>
      <c r="AB30" s="129">
        <f t="shared" si="74"/>
        <v>0</v>
      </c>
      <c r="AC30" s="129">
        <f t="shared" si="74"/>
        <v>0</v>
      </c>
      <c r="AD30" s="129">
        <f t="shared" si="74"/>
        <v>0</v>
      </c>
      <c r="AE30" s="129">
        <f t="shared" si="74"/>
        <v>0</v>
      </c>
      <c r="AG30" s="133">
        <f t="shared" si="28"/>
        <v>17.4375</v>
      </c>
      <c r="AH30" s="132">
        <f t="shared" ca="1" si="29"/>
        <v>5.8948720893122371</v>
      </c>
    </row>
    <row r="31" spans="1:34" x14ac:dyDescent="0.25">
      <c r="A31" s="136">
        <v>1</v>
      </c>
      <c r="B31" s="121" t="s">
        <v>248</v>
      </c>
      <c r="C31" s="121" t="s">
        <v>39</v>
      </c>
      <c r="D31" s="122">
        <v>259</v>
      </c>
      <c r="E31" s="117">
        <v>16</v>
      </c>
      <c r="F31" s="117"/>
      <c r="G31" s="128">
        <f t="shared" ca="1" si="42"/>
        <v>5.5226384703531322</v>
      </c>
      <c r="H31" s="129">
        <f t="shared" ref="H31:W31" ca="1" si="75">($D31&lt;$E31)*(H$5*(H$5&lt;=$D31)*($E31&gt;=H$5))+($D31&gt;=$E31)*(IF(AND(H$5&lt;=$D31,H$5&lt;=$E31),G31+$AG31,0))</f>
        <v>21.710138470353133</v>
      </c>
      <c r="I31" s="129">
        <f t="shared" ca="1" si="75"/>
        <v>37.897638470353129</v>
      </c>
      <c r="J31" s="129">
        <f t="shared" ca="1" si="75"/>
        <v>54.085138470353129</v>
      </c>
      <c r="K31" s="129">
        <f t="shared" ca="1" si="75"/>
        <v>70.272638470353129</v>
      </c>
      <c r="L31" s="129">
        <f t="shared" ca="1" si="75"/>
        <v>86.460138470353129</v>
      </c>
      <c r="M31" s="129">
        <f t="shared" ca="1" si="75"/>
        <v>102.64763847035313</v>
      </c>
      <c r="N31" s="129">
        <f t="shared" ca="1" si="75"/>
        <v>118.83513847035313</v>
      </c>
      <c r="O31" s="129">
        <f t="shared" ca="1" si="75"/>
        <v>135.02263847035312</v>
      </c>
      <c r="P31" s="129">
        <f t="shared" ca="1" si="75"/>
        <v>151.21013847035312</v>
      </c>
      <c r="Q31" s="129">
        <f t="shared" ca="1" si="75"/>
        <v>167.39763847035312</v>
      </c>
      <c r="R31" s="129">
        <f t="shared" ca="1" si="75"/>
        <v>183.58513847035312</v>
      </c>
      <c r="S31" s="129">
        <f t="shared" ca="1" si="75"/>
        <v>199.77263847035312</v>
      </c>
      <c r="T31" s="129">
        <f t="shared" ca="1" si="75"/>
        <v>215.96013847035312</v>
      </c>
      <c r="U31" s="129">
        <f t="shared" ca="1" si="75"/>
        <v>232.14763847035312</v>
      </c>
      <c r="V31" s="129">
        <f t="shared" ca="1" si="75"/>
        <v>248.33513847035312</v>
      </c>
      <c r="W31" s="129">
        <f t="shared" si="75"/>
        <v>0</v>
      </c>
      <c r="X31" s="129">
        <f t="shared" ref="X31:AE31" si="76">($D31&lt;$E31)*(X$5*(X$5&lt;=$D31)*($E31&gt;=X$5))+($D31&gt;=$E31)*(IF(AND(X$5&lt;=$D31,X$5&lt;=$E31),W31+$AG31,0))</f>
        <v>0</v>
      </c>
      <c r="Y31" s="129">
        <f t="shared" si="76"/>
        <v>0</v>
      </c>
      <c r="Z31" s="129">
        <f t="shared" si="76"/>
        <v>0</v>
      </c>
      <c r="AA31" s="129">
        <f t="shared" si="76"/>
        <v>0</v>
      </c>
      <c r="AB31" s="129">
        <f t="shared" si="76"/>
        <v>0</v>
      </c>
      <c r="AC31" s="129">
        <f t="shared" si="76"/>
        <v>0</v>
      </c>
      <c r="AD31" s="129">
        <f t="shared" si="76"/>
        <v>0</v>
      </c>
      <c r="AE31" s="129">
        <f t="shared" si="76"/>
        <v>0</v>
      </c>
      <c r="AG31" s="133">
        <f t="shared" si="28"/>
        <v>16.1875</v>
      </c>
      <c r="AH31" s="132">
        <f t="shared" ca="1" si="29"/>
        <v>5.5226384703531322</v>
      </c>
    </row>
    <row r="32" spans="1:34" x14ac:dyDescent="0.25">
      <c r="A32" s="136">
        <v>1</v>
      </c>
      <c r="B32" s="121" t="s">
        <v>249</v>
      </c>
      <c r="C32" s="121" t="s">
        <v>39</v>
      </c>
      <c r="D32" s="122">
        <v>194</v>
      </c>
      <c r="E32" s="117">
        <v>16</v>
      </c>
      <c r="F32" s="117"/>
      <c r="G32" s="128">
        <f t="shared" ca="1" si="42"/>
        <v>4.3128792087360388</v>
      </c>
      <c r="H32" s="129">
        <f t="shared" ref="H32:W32" ca="1" si="77">($D32&lt;$E32)*(H$5*(H$5&lt;=$D32)*($E32&gt;=H$5))+($D32&gt;=$E32)*(IF(AND(H$5&lt;=$D32,H$5&lt;=$E32),G32+$AG32,0))</f>
        <v>16.437879208736039</v>
      </c>
      <c r="I32" s="129">
        <f t="shared" ca="1" si="77"/>
        <v>28.562879208736039</v>
      </c>
      <c r="J32" s="129">
        <f t="shared" ca="1" si="77"/>
        <v>40.687879208736035</v>
      </c>
      <c r="K32" s="129">
        <f t="shared" ca="1" si="77"/>
        <v>52.812879208736035</v>
      </c>
      <c r="L32" s="129">
        <f t="shared" ca="1" si="77"/>
        <v>64.937879208736035</v>
      </c>
      <c r="M32" s="129">
        <f t="shared" ca="1" si="77"/>
        <v>77.062879208736035</v>
      </c>
      <c r="N32" s="129">
        <f t="shared" ca="1" si="77"/>
        <v>89.187879208736035</v>
      </c>
      <c r="O32" s="129">
        <f t="shared" ca="1" si="77"/>
        <v>101.31287920873604</v>
      </c>
      <c r="P32" s="129">
        <f t="shared" ca="1" si="77"/>
        <v>113.43787920873604</v>
      </c>
      <c r="Q32" s="129">
        <f t="shared" ca="1" si="77"/>
        <v>125.56287920873604</v>
      </c>
      <c r="R32" s="129">
        <f t="shared" ca="1" si="77"/>
        <v>137.68787920873604</v>
      </c>
      <c r="S32" s="129">
        <f t="shared" ca="1" si="77"/>
        <v>149.81287920873604</v>
      </c>
      <c r="T32" s="129">
        <f t="shared" ca="1" si="77"/>
        <v>161.93787920873604</v>
      </c>
      <c r="U32" s="129">
        <f t="shared" ca="1" si="77"/>
        <v>174.06287920873604</v>
      </c>
      <c r="V32" s="129">
        <f t="shared" ca="1" si="77"/>
        <v>186.18787920873604</v>
      </c>
      <c r="W32" s="129">
        <f t="shared" si="77"/>
        <v>0</v>
      </c>
      <c r="X32" s="129">
        <f t="shared" ref="X32:AE32" si="78">($D32&lt;$E32)*(X$5*(X$5&lt;=$D32)*($E32&gt;=X$5))+($D32&gt;=$E32)*(IF(AND(X$5&lt;=$D32,X$5&lt;=$E32),W32+$AG32,0))</f>
        <v>0</v>
      </c>
      <c r="Y32" s="129">
        <f t="shared" si="78"/>
        <v>0</v>
      </c>
      <c r="Z32" s="129">
        <f t="shared" si="78"/>
        <v>0</v>
      </c>
      <c r="AA32" s="129">
        <f t="shared" si="78"/>
        <v>0</v>
      </c>
      <c r="AB32" s="129">
        <f t="shared" si="78"/>
        <v>0</v>
      </c>
      <c r="AC32" s="129">
        <f t="shared" si="78"/>
        <v>0</v>
      </c>
      <c r="AD32" s="129">
        <f t="shared" si="78"/>
        <v>0</v>
      </c>
      <c r="AE32" s="129">
        <f t="shared" si="78"/>
        <v>0</v>
      </c>
      <c r="AG32" s="133">
        <f t="shared" si="28"/>
        <v>12.125</v>
      </c>
      <c r="AH32" s="132">
        <f t="shared" ca="1" si="29"/>
        <v>4.3128792087360388</v>
      </c>
    </row>
    <row r="33" spans="1:34" x14ac:dyDescent="0.25">
      <c r="A33" s="136">
        <v>1</v>
      </c>
      <c r="B33" s="121" t="s">
        <v>343</v>
      </c>
      <c r="C33" s="121" t="s">
        <v>39</v>
      </c>
      <c r="D33" s="122">
        <v>199</v>
      </c>
      <c r="E33" s="117">
        <v>16</v>
      </c>
      <c r="F33" s="117"/>
      <c r="G33" s="128">
        <f t="shared" ca="1" si="42"/>
        <v>4.4059376134758157</v>
      </c>
      <c r="H33" s="129">
        <f t="shared" ref="H33:W33" ca="1" si="79">($D33&lt;$E33)*(H$5*(H$5&lt;=$D33)*($E33&gt;=H$5))+($D33&gt;=$E33)*(IF(AND(H$5&lt;=$D33,H$5&lt;=$E33),G33+$AG33,0))</f>
        <v>16.843437613475814</v>
      </c>
      <c r="I33" s="129">
        <f t="shared" ca="1" si="79"/>
        <v>29.280937613475814</v>
      </c>
      <c r="J33" s="129">
        <f t="shared" ca="1" si="79"/>
        <v>41.718437613475814</v>
      </c>
      <c r="K33" s="129">
        <f t="shared" ca="1" si="79"/>
        <v>54.155937613475814</v>
      </c>
      <c r="L33" s="129">
        <f t="shared" ca="1" si="79"/>
        <v>66.593437613475814</v>
      </c>
      <c r="M33" s="129">
        <f t="shared" ca="1" si="79"/>
        <v>79.030937613475814</v>
      </c>
      <c r="N33" s="129">
        <f t="shared" ca="1" si="79"/>
        <v>91.468437613475814</v>
      </c>
      <c r="O33" s="129">
        <f t="shared" ca="1" si="79"/>
        <v>103.90593761347581</v>
      </c>
      <c r="P33" s="129">
        <f t="shared" ca="1" si="79"/>
        <v>116.34343761347581</v>
      </c>
      <c r="Q33" s="129">
        <f t="shared" ca="1" si="79"/>
        <v>128.78093761347583</v>
      </c>
      <c r="R33" s="129">
        <f t="shared" ca="1" si="79"/>
        <v>141.21843761347583</v>
      </c>
      <c r="S33" s="129">
        <f t="shared" ca="1" si="79"/>
        <v>153.65593761347583</v>
      </c>
      <c r="T33" s="129">
        <f t="shared" ca="1" si="79"/>
        <v>166.09343761347583</v>
      </c>
      <c r="U33" s="129">
        <f t="shared" ca="1" si="79"/>
        <v>178.53093761347583</v>
      </c>
      <c r="V33" s="129">
        <f t="shared" ca="1" si="79"/>
        <v>190.96843761347583</v>
      </c>
      <c r="W33" s="129">
        <f t="shared" si="79"/>
        <v>0</v>
      </c>
      <c r="X33" s="129">
        <f t="shared" ref="X33:AE33" si="80">($D33&lt;$E33)*(X$5*(X$5&lt;=$D33)*($E33&gt;=X$5))+($D33&gt;=$E33)*(IF(AND(X$5&lt;=$D33,X$5&lt;=$E33),W33+$AG33,0))</f>
        <v>0</v>
      </c>
      <c r="Y33" s="129">
        <f t="shared" si="80"/>
        <v>0</v>
      </c>
      <c r="Z33" s="129">
        <f t="shared" si="80"/>
        <v>0</v>
      </c>
      <c r="AA33" s="129">
        <f t="shared" si="80"/>
        <v>0</v>
      </c>
      <c r="AB33" s="129">
        <f t="shared" si="80"/>
        <v>0</v>
      </c>
      <c r="AC33" s="129">
        <f t="shared" si="80"/>
        <v>0</v>
      </c>
      <c r="AD33" s="129">
        <f t="shared" si="80"/>
        <v>0</v>
      </c>
      <c r="AE33" s="129">
        <f t="shared" si="80"/>
        <v>0</v>
      </c>
      <c r="AG33" s="133">
        <f t="shared" si="28"/>
        <v>12.4375</v>
      </c>
      <c r="AH33" s="132">
        <f t="shared" ca="1" si="29"/>
        <v>4.4059376134758157</v>
      </c>
    </row>
    <row r="34" spans="1:34" x14ac:dyDescent="0.25">
      <c r="A34" s="136">
        <v>1</v>
      </c>
      <c r="B34" s="121" t="s">
        <v>337</v>
      </c>
      <c r="C34" s="121" t="s">
        <v>39</v>
      </c>
      <c r="D34" s="122">
        <v>182</v>
      </c>
      <c r="E34" s="117">
        <v>16</v>
      </c>
      <c r="F34" s="117"/>
      <c r="G34" s="128">
        <f t="shared" ca="1" si="42"/>
        <v>4.0895390373605753</v>
      </c>
      <c r="H34" s="129">
        <f t="shared" ref="H34:W34" ca="1" si="81">($D34&lt;$E34)*(H$5*(H$5&lt;=$D34)*($E34&gt;=H$5))+($D34&gt;=$E34)*(IF(AND(H$5&lt;=$D34,H$5&lt;=$E34),G34+$AG34,0))</f>
        <v>15.464539037360575</v>
      </c>
      <c r="I34" s="129">
        <f t="shared" ca="1" si="81"/>
        <v>26.839539037360574</v>
      </c>
      <c r="J34" s="129">
        <f t="shared" ca="1" si="81"/>
        <v>38.214539037360574</v>
      </c>
      <c r="K34" s="129">
        <f t="shared" ca="1" si="81"/>
        <v>49.589539037360574</v>
      </c>
      <c r="L34" s="129">
        <f t="shared" ca="1" si="81"/>
        <v>60.964539037360574</v>
      </c>
      <c r="M34" s="129">
        <f t="shared" ca="1" si="81"/>
        <v>72.339539037360566</v>
      </c>
      <c r="N34" s="129">
        <f t="shared" ca="1" si="81"/>
        <v>83.714539037360566</v>
      </c>
      <c r="O34" s="129">
        <f t="shared" ca="1" si="81"/>
        <v>95.089539037360566</v>
      </c>
      <c r="P34" s="129">
        <f t="shared" ca="1" si="81"/>
        <v>106.46453903736057</v>
      </c>
      <c r="Q34" s="129">
        <f t="shared" ca="1" si="81"/>
        <v>117.83953903736057</v>
      </c>
      <c r="R34" s="129">
        <f t="shared" ca="1" si="81"/>
        <v>129.21453903736057</v>
      </c>
      <c r="S34" s="129">
        <f t="shared" ca="1" si="81"/>
        <v>140.58953903736057</v>
      </c>
      <c r="T34" s="129">
        <f t="shared" ca="1" si="81"/>
        <v>151.96453903736057</v>
      </c>
      <c r="U34" s="129">
        <f t="shared" ca="1" si="81"/>
        <v>163.33953903736057</v>
      </c>
      <c r="V34" s="129">
        <f t="shared" ca="1" si="81"/>
        <v>174.71453903736057</v>
      </c>
      <c r="W34" s="129">
        <f t="shared" si="81"/>
        <v>0</v>
      </c>
      <c r="X34" s="129">
        <f t="shared" ref="X34:AE34" si="82">($D34&lt;$E34)*(X$5*(X$5&lt;=$D34)*($E34&gt;=X$5))+($D34&gt;=$E34)*(IF(AND(X$5&lt;=$D34,X$5&lt;=$E34),W34+$AG34,0))</f>
        <v>0</v>
      </c>
      <c r="Y34" s="129">
        <f t="shared" si="82"/>
        <v>0</v>
      </c>
      <c r="Z34" s="129">
        <f t="shared" si="82"/>
        <v>0</v>
      </c>
      <c r="AA34" s="129">
        <f t="shared" si="82"/>
        <v>0</v>
      </c>
      <c r="AB34" s="129">
        <f t="shared" si="82"/>
        <v>0</v>
      </c>
      <c r="AC34" s="129">
        <f t="shared" si="82"/>
        <v>0</v>
      </c>
      <c r="AD34" s="129">
        <f t="shared" si="82"/>
        <v>0</v>
      </c>
      <c r="AE34" s="129">
        <f t="shared" si="82"/>
        <v>0</v>
      </c>
      <c r="AG34" s="133">
        <f t="shared" si="28"/>
        <v>11.375</v>
      </c>
      <c r="AH34" s="132">
        <f t="shared" ca="1" si="29"/>
        <v>4.0895390373605753</v>
      </c>
    </row>
    <row r="35" spans="1:34" x14ac:dyDescent="0.25">
      <c r="A35" s="136">
        <v>1</v>
      </c>
      <c r="B35" s="121" t="s">
        <v>338</v>
      </c>
      <c r="C35" s="121" t="s">
        <v>39</v>
      </c>
      <c r="D35" s="122">
        <v>125</v>
      </c>
      <c r="E35" s="117">
        <v>16</v>
      </c>
      <c r="F35" s="117"/>
      <c r="G35" s="128">
        <f t="shared" ca="1" si="42"/>
        <v>3.0286732233271252</v>
      </c>
      <c r="H35" s="129">
        <f t="shared" ref="H35:W35" ca="1" si="83">($D35&lt;$E35)*(H$5*(H$5&lt;=$D35)*($E35&gt;=H$5))+($D35&gt;=$E35)*(IF(AND(H$5&lt;=$D35,H$5&lt;=$E35),G35+$AG35,0))</f>
        <v>10.841173223327125</v>
      </c>
      <c r="I35" s="129">
        <f t="shared" ca="1" si="83"/>
        <v>18.653673223327125</v>
      </c>
      <c r="J35" s="129">
        <f t="shared" ca="1" si="83"/>
        <v>26.466173223327125</v>
      </c>
      <c r="K35" s="129">
        <f t="shared" ca="1" si="83"/>
        <v>34.278673223327125</v>
      </c>
      <c r="L35" s="129">
        <f t="shared" ca="1" si="83"/>
        <v>42.091173223327125</v>
      </c>
      <c r="M35" s="129">
        <f t="shared" ca="1" si="83"/>
        <v>49.903673223327125</v>
      </c>
      <c r="N35" s="129">
        <f t="shared" ca="1" si="83"/>
        <v>57.716173223327125</v>
      </c>
      <c r="O35" s="129">
        <f t="shared" ca="1" si="83"/>
        <v>65.528673223327132</v>
      </c>
      <c r="P35" s="129">
        <f t="shared" ca="1" si="83"/>
        <v>73.341173223327132</v>
      </c>
      <c r="Q35" s="129">
        <f t="shared" ca="1" si="83"/>
        <v>81.153673223327132</v>
      </c>
      <c r="R35" s="129">
        <f t="shared" ca="1" si="83"/>
        <v>88.966173223327132</v>
      </c>
      <c r="S35" s="129">
        <f t="shared" ca="1" si="83"/>
        <v>96.778673223327132</v>
      </c>
      <c r="T35" s="129">
        <f t="shared" ca="1" si="83"/>
        <v>104.59117322332713</v>
      </c>
      <c r="U35" s="129">
        <f t="shared" ca="1" si="83"/>
        <v>112.40367322332713</v>
      </c>
      <c r="V35" s="129">
        <f t="shared" ca="1" si="83"/>
        <v>120.21617322332713</v>
      </c>
      <c r="W35" s="129">
        <f t="shared" si="83"/>
        <v>0</v>
      </c>
      <c r="X35" s="129">
        <f t="shared" ref="X35:AE35" si="84">($D35&lt;$E35)*(X$5*(X$5&lt;=$D35)*($E35&gt;=X$5))+($D35&gt;=$E35)*(IF(AND(X$5&lt;=$D35,X$5&lt;=$E35),W35+$AG35,0))</f>
        <v>0</v>
      </c>
      <c r="Y35" s="129">
        <f t="shared" si="84"/>
        <v>0</v>
      </c>
      <c r="Z35" s="129">
        <f t="shared" si="84"/>
        <v>0</v>
      </c>
      <c r="AA35" s="129">
        <f t="shared" si="84"/>
        <v>0</v>
      </c>
      <c r="AB35" s="129">
        <f t="shared" si="84"/>
        <v>0</v>
      </c>
      <c r="AC35" s="129">
        <f t="shared" si="84"/>
        <v>0</v>
      </c>
      <c r="AD35" s="129">
        <f t="shared" si="84"/>
        <v>0</v>
      </c>
      <c r="AE35" s="129">
        <f t="shared" si="84"/>
        <v>0</v>
      </c>
      <c r="AG35" s="133">
        <f t="shared" si="28"/>
        <v>7.8125</v>
      </c>
      <c r="AH35" s="132">
        <f t="shared" ca="1" si="29"/>
        <v>3.0286732233271252</v>
      </c>
    </row>
    <row r="36" spans="1:34" x14ac:dyDescent="0.25">
      <c r="A36" s="136">
        <v>1</v>
      </c>
      <c r="B36" s="121" t="s">
        <v>339</v>
      </c>
      <c r="C36" s="121" t="s">
        <v>39</v>
      </c>
      <c r="D36" s="122">
        <v>211</v>
      </c>
      <c r="E36" s="117">
        <v>16</v>
      </c>
      <c r="F36" s="117"/>
      <c r="G36" s="128">
        <f t="shared" ca="1" si="42"/>
        <v>4.6292777848512792</v>
      </c>
      <c r="H36" s="129">
        <f t="shared" ref="H36:W36" ca="1" si="85">($D36&lt;$E36)*(H$5*(H$5&lt;=$D36)*($E36&gt;=H$5))+($D36&gt;=$E36)*(IF(AND(H$5&lt;=$D36,H$5&lt;=$E36),G36+$AG36,0))</f>
        <v>17.816777784851279</v>
      </c>
      <c r="I36" s="129">
        <f t="shared" ca="1" si="85"/>
        <v>31.004277784851279</v>
      </c>
      <c r="J36" s="129">
        <f t="shared" ca="1" si="85"/>
        <v>44.191777784851283</v>
      </c>
      <c r="K36" s="129">
        <f t="shared" ca="1" si="85"/>
        <v>57.379277784851283</v>
      </c>
      <c r="L36" s="129">
        <f t="shared" ca="1" si="85"/>
        <v>70.566777784851283</v>
      </c>
      <c r="M36" s="129">
        <f t="shared" ca="1" si="85"/>
        <v>83.754277784851283</v>
      </c>
      <c r="N36" s="129">
        <f t="shared" ca="1" si="85"/>
        <v>96.941777784851283</v>
      </c>
      <c r="O36" s="129">
        <f t="shared" ca="1" si="85"/>
        <v>110.12927778485128</v>
      </c>
      <c r="P36" s="129">
        <f t="shared" ca="1" si="85"/>
        <v>123.31677778485128</v>
      </c>
      <c r="Q36" s="129">
        <f t="shared" ca="1" si="85"/>
        <v>136.5042777848513</v>
      </c>
      <c r="R36" s="129">
        <f t="shared" ca="1" si="85"/>
        <v>149.6917777848513</v>
      </c>
      <c r="S36" s="129">
        <f t="shared" ca="1" si="85"/>
        <v>162.8792777848513</v>
      </c>
      <c r="T36" s="129">
        <f t="shared" ca="1" si="85"/>
        <v>176.0667777848513</v>
      </c>
      <c r="U36" s="129">
        <f t="shared" ca="1" si="85"/>
        <v>189.2542777848513</v>
      </c>
      <c r="V36" s="129">
        <f t="shared" ca="1" si="85"/>
        <v>202.4417777848513</v>
      </c>
      <c r="W36" s="129">
        <f t="shared" si="85"/>
        <v>0</v>
      </c>
      <c r="X36" s="129">
        <f t="shared" ref="X36:AE36" si="86">($D36&lt;$E36)*(X$5*(X$5&lt;=$D36)*($E36&gt;=X$5))+($D36&gt;=$E36)*(IF(AND(X$5&lt;=$D36,X$5&lt;=$E36),W36+$AG36,0))</f>
        <v>0</v>
      </c>
      <c r="Y36" s="129">
        <f t="shared" si="86"/>
        <v>0</v>
      </c>
      <c r="Z36" s="129">
        <f t="shared" si="86"/>
        <v>0</v>
      </c>
      <c r="AA36" s="129">
        <f t="shared" si="86"/>
        <v>0</v>
      </c>
      <c r="AB36" s="129">
        <f t="shared" si="86"/>
        <v>0</v>
      </c>
      <c r="AC36" s="129">
        <f t="shared" si="86"/>
        <v>0</v>
      </c>
      <c r="AD36" s="129">
        <f t="shared" si="86"/>
        <v>0</v>
      </c>
      <c r="AE36" s="129">
        <f t="shared" si="86"/>
        <v>0</v>
      </c>
      <c r="AG36" s="133">
        <f t="shared" si="28"/>
        <v>13.1875</v>
      </c>
      <c r="AH36" s="132">
        <f t="shared" ca="1" si="29"/>
        <v>4.6292777848512792</v>
      </c>
    </row>
    <row r="37" spans="1:34" x14ac:dyDescent="0.25">
      <c r="A37" s="136">
        <v>1</v>
      </c>
      <c r="B37" s="121" t="s">
        <v>542</v>
      </c>
      <c r="C37" s="121" t="s">
        <v>39</v>
      </c>
      <c r="D37" s="122">
        <v>224</v>
      </c>
      <c r="E37" s="117">
        <v>16</v>
      </c>
      <c r="F37" s="117"/>
      <c r="G37" s="128">
        <f t="shared" ca="1" si="42"/>
        <v>4.8712296371746975</v>
      </c>
      <c r="H37" s="129">
        <f t="shared" ref="H37:W37" ca="1" si="87">($D37&lt;$E37)*(H$5*(H$5&lt;=$D37)*($E37&gt;=H$5))+($D37&gt;=$E37)*(IF(AND(H$5&lt;=$D37,H$5&lt;=$E37),G37+$AG37,0))</f>
        <v>18.871229637174697</v>
      </c>
      <c r="I37" s="129">
        <f t="shared" ca="1" si="87"/>
        <v>32.871229637174693</v>
      </c>
      <c r="J37" s="129">
        <f t="shared" ca="1" si="87"/>
        <v>46.871229637174693</v>
      </c>
      <c r="K37" s="129">
        <f t="shared" ca="1" si="87"/>
        <v>60.871229637174693</v>
      </c>
      <c r="L37" s="129">
        <f t="shared" ca="1" si="87"/>
        <v>74.871229637174693</v>
      </c>
      <c r="M37" s="129">
        <f t="shared" ca="1" si="87"/>
        <v>88.871229637174693</v>
      </c>
      <c r="N37" s="129">
        <f t="shared" ca="1" si="87"/>
        <v>102.87122963717469</v>
      </c>
      <c r="O37" s="129">
        <f t="shared" ca="1" si="87"/>
        <v>116.87122963717469</v>
      </c>
      <c r="P37" s="129">
        <f t="shared" ca="1" si="87"/>
        <v>130.87122963717468</v>
      </c>
      <c r="Q37" s="129">
        <f t="shared" ca="1" si="87"/>
        <v>144.87122963717468</v>
      </c>
      <c r="R37" s="129">
        <f t="shared" ca="1" si="87"/>
        <v>158.87122963717468</v>
      </c>
      <c r="S37" s="129">
        <f t="shared" ca="1" si="87"/>
        <v>172.87122963717468</v>
      </c>
      <c r="T37" s="129">
        <f t="shared" ca="1" si="87"/>
        <v>186.87122963717468</v>
      </c>
      <c r="U37" s="129">
        <f t="shared" ca="1" si="87"/>
        <v>200.87122963717468</v>
      </c>
      <c r="V37" s="129">
        <f t="shared" ca="1" si="87"/>
        <v>214.87122963717468</v>
      </c>
      <c r="W37" s="129">
        <f t="shared" si="87"/>
        <v>0</v>
      </c>
      <c r="X37" s="129">
        <f t="shared" ref="X37:AE37" si="88">($D37&lt;$E37)*(X$5*(X$5&lt;=$D37)*($E37&gt;=X$5))+($D37&gt;=$E37)*(IF(AND(X$5&lt;=$D37,X$5&lt;=$E37),W37+$AG37,0))</f>
        <v>0</v>
      </c>
      <c r="Y37" s="129">
        <f t="shared" si="88"/>
        <v>0</v>
      </c>
      <c r="Z37" s="129">
        <f t="shared" si="88"/>
        <v>0</v>
      </c>
      <c r="AA37" s="129">
        <f t="shared" si="88"/>
        <v>0</v>
      </c>
      <c r="AB37" s="129">
        <f t="shared" si="88"/>
        <v>0</v>
      </c>
      <c r="AC37" s="129">
        <f t="shared" si="88"/>
        <v>0</v>
      </c>
      <c r="AD37" s="129">
        <f t="shared" si="88"/>
        <v>0</v>
      </c>
      <c r="AE37" s="129">
        <f t="shared" si="88"/>
        <v>0</v>
      </c>
      <c r="AG37" s="133">
        <f t="shared" si="28"/>
        <v>14</v>
      </c>
      <c r="AH37" s="132">
        <f t="shared" ca="1" si="29"/>
        <v>4.8712296371746975</v>
      </c>
    </row>
    <row r="38" spans="1:34" x14ac:dyDescent="0.25">
      <c r="A38" s="136">
        <v>1</v>
      </c>
      <c r="B38" s="121" t="s">
        <v>543</v>
      </c>
      <c r="C38" s="121" t="s">
        <v>39</v>
      </c>
      <c r="D38" s="122">
        <v>185</v>
      </c>
      <c r="E38" s="117">
        <v>16</v>
      </c>
      <c r="F38" s="117"/>
      <c r="G38" s="128">
        <f t="shared" ca="1" si="42"/>
        <v>4.1453740802044416</v>
      </c>
      <c r="H38" s="129">
        <f t="shared" ref="H38:W38" ca="1" si="89">($D38&lt;$E38)*(H$5*(H$5&lt;=$D38)*($E38&gt;=H$5))+($D38&gt;=$E38)*(IF(AND(H$5&lt;=$D38,H$5&lt;=$E38),G38+$AG38,0))</f>
        <v>15.707874080204441</v>
      </c>
      <c r="I38" s="129">
        <f t="shared" ca="1" si="89"/>
        <v>27.270374080204441</v>
      </c>
      <c r="J38" s="129">
        <f t="shared" ca="1" si="89"/>
        <v>38.832874080204441</v>
      </c>
      <c r="K38" s="129">
        <f t="shared" ca="1" si="89"/>
        <v>50.395374080204441</v>
      </c>
      <c r="L38" s="129">
        <f t="shared" ca="1" si="89"/>
        <v>61.957874080204441</v>
      </c>
      <c r="M38" s="129">
        <f t="shared" ca="1" si="89"/>
        <v>73.520374080204448</v>
      </c>
      <c r="N38" s="129">
        <f t="shared" ca="1" si="89"/>
        <v>85.082874080204448</v>
      </c>
      <c r="O38" s="129">
        <f t="shared" ca="1" si="89"/>
        <v>96.645374080204448</v>
      </c>
      <c r="P38" s="129">
        <f t="shared" ca="1" si="89"/>
        <v>108.20787408020445</v>
      </c>
      <c r="Q38" s="129">
        <f t="shared" ca="1" si="89"/>
        <v>119.77037408020445</v>
      </c>
      <c r="R38" s="129">
        <f t="shared" ca="1" si="89"/>
        <v>131.33287408020445</v>
      </c>
      <c r="S38" s="129">
        <f t="shared" ca="1" si="89"/>
        <v>142.89537408020445</v>
      </c>
      <c r="T38" s="129">
        <f t="shared" ca="1" si="89"/>
        <v>154.45787408020445</v>
      </c>
      <c r="U38" s="129">
        <f t="shared" ca="1" si="89"/>
        <v>166.02037408020445</v>
      </c>
      <c r="V38" s="129">
        <f t="shared" ca="1" si="89"/>
        <v>177.58287408020445</v>
      </c>
      <c r="W38" s="129">
        <f t="shared" si="89"/>
        <v>0</v>
      </c>
      <c r="X38" s="129">
        <f t="shared" ref="X38:AE38" si="90">($D38&lt;$E38)*(X$5*(X$5&lt;=$D38)*($E38&gt;=X$5))+($D38&gt;=$E38)*(IF(AND(X$5&lt;=$D38,X$5&lt;=$E38),W38+$AG38,0))</f>
        <v>0</v>
      </c>
      <c r="Y38" s="129">
        <f t="shared" si="90"/>
        <v>0</v>
      </c>
      <c r="Z38" s="129">
        <f t="shared" si="90"/>
        <v>0</v>
      </c>
      <c r="AA38" s="129">
        <f t="shared" si="90"/>
        <v>0</v>
      </c>
      <c r="AB38" s="129">
        <f t="shared" si="90"/>
        <v>0</v>
      </c>
      <c r="AC38" s="129">
        <f t="shared" si="90"/>
        <v>0</v>
      </c>
      <c r="AD38" s="129">
        <f t="shared" si="90"/>
        <v>0</v>
      </c>
      <c r="AE38" s="129">
        <f t="shared" si="90"/>
        <v>0</v>
      </c>
      <c r="AG38" s="133">
        <f t="shared" si="28"/>
        <v>11.5625</v>
      </c>
      <c r="AH38" s="132">
        <f t="shared" ca="1" si="29"/>
        <v>4.1453740802044416</v>
      </c>
    </row>
    <row r="39" spans="1:34" x14ac:dyDescent="0.25">
      <c r="A39" s="136">
        <v>1</v>
      </c>
      <c r="B39" s="121" t="s">
        <v>544</v>
      </c>
      <c r="C39" s="121" t="s">
        <v>39</v>
      </c>
      <c r="D39" s="122">
        <v>273</v>
      </c>
      <c r="E39" s="117">
        <v>16</v>
      </c>
      <c r="F39" s="117"/>
      <c r="G39" s="128">
        <f t="shared" ca="1" si="42"/>
        <v>5.7832020036245053</v>
      </c>
      <c r="H39" s="129">
        <f t="shared" ref="H39:W39" ca="1" si="91">($D39&lt;$E39)*(H$5*(H$5&lt;=$D39)*($E39&gt;=H$5))+($D39&gt;=$E39)*(IF(AND(H$5&lt;=$D39,H$5&lt;=$E39),G39+$AG39,0))</f>
        <v>22.845702003624506</v>
      </c>
      <c r="I39" s="129">
        <f t="shared" ca="1" si="91"/>
        <v>39.90820200362451</v>
      </c>
      <c r="J39" s="129">
        <f t="shared" ca="1" si="91"/>
        <v>56.97070200362451</v>
      </c>
      <c r="K39" s="129">
        <f t="shared" ca="1" si="91"/>
        <v>74.03320200362451</v>
      </c>
      <c r="L39" s="129">
        <f t="shared" ca="1" si="91"/>
        <v>91.09570200362451</v>
      </c>
      <c r="M39" s="129">
        <f t="shared" ca="1" si="91"/>
        <v>108.15820200362451</v>
      </c>
      <c r="N39" s="129">
        <f t="shared" ca="1" si="91"/>
        <v>125.22070200362451</v>
      </c>
      <c r="O39" s="129">
        <f t="shared" ca="1" si="91"/>
        <v>142.28320200362452</v>
      </c>
      <c r="P39" s="129">
        <f t="shared" ca="1" si="91"/>
        <v>159.34570200362452</v>
      </c>
      <c r="Q39" s="129">
        <f t="shared" ca="1" si="91"/>
        <v>176.40820200362452</v>
      </c>
      <c r="R39" s="129">
        <f t="shared" ca="1" si="91"/>
        <v>193.47070200362452</v>
      </c>
      <c r="S39" s="129">
        <f t="shared" ca="1" si="91"/>
        <v>210.53320200362452</v>
      </c>
      <c r="T39" s="129">
        <f t="shared" ca="1" si="91"/>
        <v>227.59570200362452</v>
      </c>
      <c r="U39" s="129">
        <f t="shared" ca="1" si="91"/>
        <v>244.65820200362452</v>
      </c>
      <c r="V39" s="129">
        <f t="shared" ca="1" si="91"/>
        <v>261.72070200362452</v>
      </c>
      <c r="W39" s="129">
        <f t="shared" si="91"/>
        <v>0</v>
      </c>
      <c r="X39" s="129">
        <f t="shared" ref="X39:AE39" si="92">($D39&lt;$E39)*(X$5*(X$5&lt;=$D39)*($E39&gt;=X$5))+($D39&gt;=$E39)*(IF(AND(X$5&lt;=$D39,X$5&lt;=$E39),W39+$AG39,0))</f>
        <v>0</v>
      </c>
      <c r="Y39" s="129">
        <f t="shared" si="92"/>
        <v>0</v>
      </c>
      <c r="Z39" s="129">
        <f t="shared" si="92"/>
        <v>0</v>
      </c>
      <c r="AA39" s="129">
        <f t="shared" si="92"/>
        <v>0</v>
      </c>
      <c r="AB39" s="129">
        <f t="shared" si="92"/>
        <v>0</v>
      </c>
      <c r="AC39" s="129">
        <f t="shared" si="92"/>
        <v>0</v>
      </c>
      <c r="AD39" s="129">
        <f t="shared" si="92"/>
        <v>0</v>
      </c>
      <c r="AE39" s="129">
        <f t="shared" si="92"/>
        <v>0</v>
      </c>
      <c r="AG39" s="133">
        <f t="shared" si="28"/>
        <v>17.0625</v>
      </c>
      <c r="AH39" s="132">
        <f t="shared" ca="1" si="29"/>
        <v>5.7832020036245053</v>
      </c>
    </row>
    <row r="40" spans="1:34" x14ac:dyDescent="0.25">
      <c r="A40" s="136">
        <v>1</v>
      </c>
      <c r="B40" s="121" t="s">
        <v>545</v>
      </c>
      <c r="C40" s="121" t="s">
        <v>39</v>
      </c>
      <c r="D40" s="122">
        <v>321</v>
      </c>
      <c r="E40" s="117">
        <v>16</v>
      </c>
      <c r="F40" s="117"/>
      <c r="G40" s="128">
        <f t="shared" ca="1" si="42"/>
        <v>6.6765626891263592</v>
      </c>
      <c r="H40" s="129">
        <f t="shared" ref="H40:W40" ca="1" si="93">($D40&lt;$E40)*(H$5*(H$5&lt;=$D40)*($E40&gt;=H$5))+($D40&gt;=$E40)*(IF(AND(H$5&lt;=$D40,H$5&lt;=$E40),G40+$AG40,0))</f>
        <v>26.73906268912636</v>
      </c>
      <c r="I40" s="129">
        <f t="shared" ca="1" si="93"/>
        <v>46.801562689126357</v>
      </c>
      <c r="J40" s="129">
        <f t="shared" ca="1" si="93"/>
        <v>66.864062689126357</v>
      </c>
      <c r="K40" s="129">
        <f t="shared" ca="1" si="93"/>
        <v>86.926562689126357</v>
      </c>
      <c r="L40" s="129">
        <f t="shared" ca="1" si="93"/>
        <v>106.98906268912636</v>
      </c>
      <c r="M40" s="129">
        <f t="shared" ca="1" si="93"/>
        <v>127.05156268912636</v>
      </c>
      <c r="N40" s="129">
        <f t="shared" ca="1" si="93"/>
        <v>147.11406268912634</v>
      </c>
      <c r="O40" s="129">
        <f t="shared" ca="1" si="93"/>
        <v>167.17656268912634</v>
      </c>
      <c r="P40" s="129">
        <f t="shared" ca="1" si="93"/>
        <v>187.23906268912634</v>
      </c>
      <c r="Q40" s="129">
        <f t="shared" ca="1" si="93"/>
        <v>207.30156268912634</v>
      </c>
      <c r="R40" s="129">
        <f t="shared" ca="1" si="93"/>
        <v>227.36406268912634</v>
      </c>
      <c r="S40" s="129">
        <f t="shared" ca="1" si="93"/>
        <v>247.42656268912634</v>
      </c>
      <c r="T40" s="129">
        <f t="shared" ca="1" si="93"/>
        <v>267.48906268912634</v>
      </c>
      <c r="U40" s="129">
        <f t="shared" ca="1" si="93"/>
        <v>287.55156268912634</v>
      </c>
      <c r="V40" s="129">
        <f t="shared" ca="1" si="93"/>
        <v>307.61406268912634</v>
      </c>
      <c r="W40" s="129">
        <f t="shared" si="93"/>
        <v>0</v>
      </c>
      <c r="X40" s="129">
        <f t="shared" ref="X40:AE40" si="94">($D40&lt;$E40)*(X$5*(X$5&lt;=$D40)*($E40&gt;=X$5))+($D40&gt;=$E40)*(IF(AND(X$5&lt;=$D40,X$5&lt;=$E40),W40+$AG40,0))</f>
        <v>0</v>
      </c>
      <c r="Y40" s="129">
        <f t="shared" si="94"/>
        <v>0</v>
      </c>
      <c r="Z40" s="129">
        <f t="shared" si="94"/>
        <v>0</v>
      </c>
      <c r="AA40" s="129">
        <f t="shared" si="94"/>
        <v>0</v>
      </c>
      <c r="AB40" s="129">
        <f t="shared" si="94"/>
        <v>0</v>
      </c>
      <c r="AC40" s="129">
        <f t="shared" si="94"/>
        <v>0</v>
      </c>
      <c r="AD40" s="129">
        <f t="shared" si="94"/>
        <v>0</v>
      </c>
      <c r="AE40" s="129">
        <f t="shared" si="94"/>
        <v>0</v>
      </c>
      <c r="AG40" s="133">
        <f t="shared" si="28"/>
        <v>20.0625</v>
      </c>
      <c r="AH40" s="132">
        <f t="shared" ca="1" si="29"/>
        <v>6.6765626891263592</v>
      </c>
    </row>
    <row r="41" spans="1:34" x14ac:dyDescent="0.25">
      <c r="A41" s="136">
        <v>1</v>
      </c>
      <c r="B41" s="121" t="s">
        <v>546</v>
      </c>
      <c r="C41" s="121" t="s">
        <v>39</v>
      </c>
      <c r="D41" s="122">
        <v>144</v>
      </c>
      <c r="E41" s="117">
        <v>16</v>
      </c>
      <c r="F41" s="117"/>
      <c r="G41" s="128">
        <f t="shared" ca="1" si="42"/>
        <v>3.3822951613382752</v>
      </c>
      <c r="H41" s="129">
        <f t="shared" ref="H41:W41" ca="1" si="95">($D41&lt;$E41)*(H$5*(H$5&lt;=$D41)*($E41&gt;=H$5))+($D41&gt;=$E41)*(IF(AND(H$5&lt;=$D41,H$5&lt;=$E41),G41+$AG41,0))</f>
        <v>12.382295161338275</v>
      </c>
      <c r="I41" s="129">
        <f t="shared" ca="1" si="95"/>
        <v>21.382295161338277</v>
      </c>
      <c r="J41" s="129">
        <f t="shared" ca="1" si="95"/>
        <v>30.382295161338277</v>
      </c>
      <c r="K41" s="129">
        <f t="shared" ca="1" si="95"/>
        <v>39.382295161338277</v>
      </c>
      <c r="L41" s="129">
        <f t="shared" ca="1" si="95"/>
        <v>48.382295161338277</v>
      </c>
      <c r="M41" s="129">
        <f t="shared" ca="1" si="95"/>
        <v>57.382295161338277</v>
      </c>
      <c r="N41" s="129">
        <f t="shared" ca="1" si="95"/>
        <v>66.382295161338277</v>
      </c>
      <c r="O41" s="129">
        <f t="shared" ca="1" si="95"/>
        <v>75.382295161338277</v>
      </c>
      <c r="P41" s="129">
        <f t="shared" ca="1" si="95"/>
        <v>84.382295161338277</v>
      </c>
      <c r="Q41" s="129">
        <f t="shared" ca="1" si="95"/>
        <v>93.382295161338277</v>
      </c>
      <c r="R41" s="129">
        <f t="shared" ca="1" si="95"/>
        <v>102.38229516133828</v>
      </c>
      <c r="S41" s="129">
        <f t="shared" ca="1" si="95"/>
        <v>111.38229516133828</v>
      </c>
      <c r="T41" s="129">
        <f t="shared" ca="1" si="95"/>
        <v>120.38229516133828</v>
      </c>
      <c r="U41" s="129">
        <f t="shared" ca="1" si="95"/>
        <v>129.38229516133828</v>
      </c>
      <c r="V41" s="129">
        <f t="shared" ca="1" si="95"/>
        <v>138.38229516133828</v>
      </c>
      <c r="W41" s="129">
        <f t="shared" si="95"/>
        <v>0</v>
      </c>
      <c r="X41" s="129">
        <f t="shared" ref="X41:AE41" si="96">($D41&lt;$E41)*(X$5*(X$5&lt;=$D41)*($E41&gt;=X$5))+($D41&gt;=$E41)*(IF(AND(X$5&lt;=$D41,X$5&lt;=$E41),W41+$AG41,0))</f>
        <v>0</v>
      </c>
      <c r="Y41" s="129">
        <f t="shared" si="96"/>
        <v>0</v>
      </c>
      <c r="Z41" s="129">
        <f t="shared" si="96"/>
        <v>0</v>
      </c>
      <c r="AA41" s="129">
        <f t="shared" si="96"/>
        <v>0</v>
      </c>
      <c r="AB41" s="129">
        <f t="shared" si="96"/>
        <v>0</v>
      </c>
      <c r="AC41" s="129">
        <f t="shared" si="96"/>
        <v>0</v>
      </c>
      <c r="AD41" s="129">
        <f t="shared" si="96"/>
        <v>0</v>
      </c>
      <c r="AE41" s="129">
        <f t="shared" si="96"/>
        <v>0</v>
      </c>
      <c r="AG41" s="133">
        <f t="shared" si="28"/>
        <v>9</v>
      </c>
      <c r="AH41" s="132">
        <f t="shared" ca="1" si="29"/>
        <v>3.3822951613382752</v>
      </c>
    </row>
    <row r="42" spans="1:34" x14ac:dyDescent="0.25">
      <c r="A42" s="136">
        <v>1</v>
      </c>
      <c r="B42" s="121" t="s">
        <v>547</v>
      </c>
      <c r="C42" s="121" t="s">
        <v>39</v>
      </c>
      <c r="D42" s="122">
        <v>218</v>
      </c>
      <c r="E42" s="117">
        <v>16</v>
      </c>
      <c r="F42" s="117"/>
      <c r="G42" s="128">
        <f t="shared" ca="1" si="42"/>
        <v>4.7595595514869657</v>
      </c>
      <c r="H42" s="129">
        <f t="shared" ref="H42:W42" ca="1" si="97">($D42&lt;$E42)*(H$5*(H$5&lt;=$D42)*($E42&gt;=H$5))+($D42&gt;=$E42)*(IF(AND(H$5&lt;=$D42,H$5&lt;=$E42),G42+$AG42,0))</f>
        <v>18.384559551486966</v>
      </c>
      <c r="I42" s="129">
        <f t="shared" ca="1" si="97"/>
        <v>32.009559551486966</v>
      </c>
      <c r="J42" s="129">
        <f t="shared" ca="1" si="97"/>
        <v>45.634559551486966</v>
      </c>
      <c r="K42" s="129">
        <f t="shared" ca="1" si="97"/>
        <v>59.259559551486966</v>
      </c>
      <c r="L42" s="129">
        <f t="shared" ca="1" si="97"/>
        <v>72.884559551486973</v>
      </c>
      <c r="M42" s="129">
        <f t="shared" ca="1" si="97"/>
        <v>86.509559551486973</v>
      </c>
      <c r="N42" s="129">
        <f t="shared" ca="1" si="97"/>
        <v>100.13455955148697</v>
      </c>
      <c r="O42" s="129">
        <f t="shared" ca="1" si="97"/>
        <v>113.75955955148697</v>
      </c>
      <c r="P42" s="129">
        <f t="shared" ca="1" si="97"/>
        <v>127.38455955148697</v>
      </c>
      <c r="Q42" s="129">
        <f t="shared" ca="1" si="97"/>
        <v>141.00955955148697</v>
      </c>
      <c r="R42" s="129">
        <f t="shared" ca="1" si="97"/>
        <v>154.63455955148697</v>
      </c>
      <c r="S42" s="129">
        <f t="shared" ca="1" si="97"/>
        <v>168.25955955148697</v>
      </c>
      <c r="T42" s="129">
        <f t="shared" ca="1" si="97"/>
        <v>181.88455955148697</v>
      </c>
      <c r="U42" s="129">
        <f t="shared" ca="1" si="97"/>
        <v>195.50955955148697</v>
      </c>
      <c r="V42" s="129">
        <f t="shared" ca="1" si="97"/>
        <v>209.13455955148697</v>
      </c>
      <c r="W42" s="129">
        <f t="shared" si="97"/>
        <v>0</v>
      </c>
      <c r="X42" s="129">
        <f t="shared" ref="X42:AE42" si="98">($D42&lt;$E42)*(X$5*(X$5&lt;=$D42)*($E42&gt;=X$5))+($D42&gt;=$E42)*(IF(AND(X$5&lt;=$D42,X$5&lt;=$E42),W42+$AG42,0))</f>
        <v>0</v>
      </c>
      <c r="Y42" s="129">
        <f t="shared" si="98"/>
        <v>0</v>
      </c>
      <c r="Z42" s="129">
        <f t="shared" si="98"/>
        <v>0</v>
      </c>
      <c r="AA42" s="129">
        <f t="shared" si="98"/>
        <v>0</v>
      </c>
      <c r="AB42" s="129">
        <f t="shared" si="98"/>
        <v>0</v>
      </c>
      <c r="AC42" s="129">
        <f t="shared" si="98"/>
        <v>0</v>
      </c>
      <c r="AD42" s="129">
        <f t="shared" si="98"/>
        <v>0</v>
      </c>
      <c r="AE42" s="129">
        <f t="shared" si="98"/>
        <v>0</v>
      </c>
      <c r="AG42" s="133">
        <f t="shared" si="28"/>
        <v>13.625</v>
      </c>
      <c r="AH42" s="132">
        <f t="shared" ca="1" si="29"/>
        <v>4.7595595514869657</v>
      </c>
    </row>
    <row r="43" spans="1:34" x14ac:dyDescent="0.25">
      <c r="A43" s="136">
        <v>1</v>
      </c>
      <c r="B43" s="121" t="s">
        <v>548</v>
      </c>
      <c r="C43" s="121" t="s">
        <v>39</v>
      </c>
      <c r="D43" s="122">
        <v>122</v>
      </c>
      <c r="E43" s="117">
        <v>16</v>
      </c>
      <c r="F43" s="117"/>
      <c r="G43" s="128">
        <f t="shared" ca="1" si="42"/>
        <v>2.9728381804832589</v>
      </c>
      <c r="H43" s="129">
        <f t="shared" ref="H43:W43" ca="1" si="99">($D43&lt;$E43)*(H$5*(H$5&lt;=$D43)*($E43&gt;=H$5))+($D43&gt;=$E43)*(IF(AND(H$5&lt;=$D43,H$5&lt;=$E43),G43+$AG43,0))</f>
        <v>10.597838180483258</v>
      </c>
      <c r="I43" s="129">
        <f t="shared" ca="1" si="99"/>
        <v>18.222838180483258</v>
      </c>
      <c r="J43" s="129">
        <f t="shared" ca="1" si="99"/>
        <v>25.847838180483258</v>
      </c>
      <c r="K43" s="129">
        <f t="shared" ca="1" si="99"/>
        <v>33.472838180483258</v>
      </c>
      <c r="L43" s="129">
        <f t="shared" ca="1" si="99"/>
        <v>41.097838180483258</v>
      </c>
      <c r="M43" s="129">
        <f t="shared" ca="1" si="99"/>
        <v>48.722838180483258</v>
      </c>
      <c r="N43" s="129">
        <f t="shared" ca="1" si="99"/>
        <v>56.347838180483258</v>
      </c>
      <c r="O43" s="129">
        <f t="shared" ca="1" si="99"/>
        <v>63.972838180483258</v>
      </c>
      <c r="P43" s="129">
        <f t="shared" ca="1" si="99"/>
        <v>71.597838180483251</v>
      </c>
      <c r="Q43" s="129">
        <f t="shared" ca="1" si="99"/>
        <v>79.222838180483251</v>
      </c>
      <c r="R43" s="129">
        <f t="shared" ca="1" si="99"/>
        <v>86.847838180483251</v>
      </c>
      <c r="S43" s="129">
        <f t="shared" ca="1" si="99"/>
        <v>94.472838180483251</v>
      </c>
      <c r="T43" s="129">
        <f t="shared" ca="1" si="99"/>
        <v>102.09783818048325</v>
      </c>
      <c r="U43" s="129">
        <f t="shared" ca="1" si="99"/>
        <v>109.72283818048325</v>
      </c>
      <c r="V43" s="129">
        <f t="shared" ca="1" si="99"/>
        <v>117.34783818048325</v>
      </c>
      <c r="W43" s="129">
        <f t="shared" si="99"/>
        <v>0</v>
      </c>
      <c r="X43" s="129">
        <f t="shared" ref="X43:AE43" si="100">($D43&lt;$E43)*(X$5*(X$5&lt;=$D43)*($E43&gt;=X$5))+($D43&gt;=$E43)*(IF(AND(X$5&lt;=$D43,X$5&lt;=$E43),W43+$AG43,0))</f>
        <v>0</v>
      </c>
      <c r="Y43" s="129">
        <f t="shared" si="100"/>
        <v>0</v>
      </c>
      <c r="Z43" s="129">
        <f t="shared" si="100"/>
        <v>0</v>
      </c>
      <c r="AA43" s="129">
        <f t="shared" si="100"/>
        <v>0</v>
      </c>
      <c r="AB43" s="129">
        <f t="shared" si="100"/>
        <v>0</v>
      </c>
      <c r="AC43" s="129">
        <f t="shared" si="100"/>
        <v>0</v>
      </c>
      <c r="AD43" s="129">
        <f t="shared" si="100"/>
        <v>0</v>
      </c>
      <c r="AE43" s="129">
        <f t="shared" si="100"/>
        <v>0</v>
      </c>
      <c r="AG43" s="133">
        <f t="shared" si="28"/>
        <v>7.625</v>
      </c>
      <c r="AH43" s="132">
        <f t="shared" ca="1" si="29"/>
        <v>2.9728381804832589</v>
      </c>
    </row>
    <row r="44" spans="1:34" x14ac:dyDescent="0.25">
      <c r="A44" s="136">
        <v>1</v>
      </c>
      <c r="B44" s="121" t="s">
        <v>431</v>
      </c>
      <c r="C44" s="121" t="s">
        <v>39</v>
      </c>
      <c r="D44" s="122">
        <v>168</v>
      </c>
      <c r="E44" s="117">
        <v>16</v>
      </c>
      <c r="F44" s="117"/>
      <c r="G44" s="128">
        <f t="shared" ca="1" si="42"/>
        <v>3.8289755040892017</v>
      </c>
      <c r="H44" s="129">
        <f t="shared" ref="H44:W44" ca="1" si="101">($D44&lt;$E44)*(H$5*(H$5&lt;=$D44)*($E44&gt;=H$5))+($D44&gt;=$E44)*(IF(AND(H$5&lt;=$D44,H$5&lt;=$E44),G44+$AG44,0))</f>
        <v>14.328975504089202</v>
      </c>
      <c r="I44" s="129">
        <f t="shared" ca="1" si="101"/>
        <v>24.8289755040892</v>
      </c>
      <c r="J44" s="129">
        <f t="shared" ca="1" si="101"/>
        <v>35.3289755040892</v>
      </c>
      <c r="K44" s="129">
        <f t="shared" ca="1" si="101"/>
        <v>45.8289755040892</v>
      </c>
      <c r="L44" s="129">
        <f t="shared" ca="1" si="101"/>
        <v>56.3289755040892</v>
      </c>
      <c r="M44" s="129">
        <f t="shared" ca="1" si="101"/>
        <v>66.8289755040892</v>
      </c>
      <c r="N44" s="129">
        <f t="shared" ca="1" si="101"/>
        <v>77.3289755040892</v>
      </c>
      <c r="O44" s="129">
        <f t="shared" ca="1" si="101"/>
        <v>87.8289755040892</v>
      </c>
      <c r="P44" s="129">
        <f t="shared" ca="1" si="101"/>
        <v>98.3289755040892</v>
      </c>
      <c r="Q44" s="129">
        <f t="shared" ca="1" si="101"/>
        <v>108.8289755040892</v>
      </c>
      <c r="R44" s="129">
        <f t="shared" ca="1" si="101"/>
        <v>119.3289755040892</v>
      </c>
      <c r="S44" s="129">
        <f t="shared" ca="1" si="101"/>
        <v>129.82897550408921</v>
      </c>
      <c r="T44" s="129">
        <f t="shared" ca="1" si="101"/>
        <v>140.32897550408921</v>
      </c>
      <c r="U44" s="129">
        <f t="shared" ca="1" si="101"/>
        <v>150.82897550408921</v>
      </c>
      <c r="V44" s="129">
        <f t="shared" ca="1" si="101"/>
        <v>161.32897550408921</v>
      </c>
      <c r="W44" s="129">
        <f t="shared" si="101"/>
        <v>0</v>
      </c>
      <c r="X44" s="129">
        <f t="shared" ref="X44:AE44" si="102">($D44&lt;$E44)*(X$5*(X$5&lt;=$D44)*($E44&gt;=X$5))+($D44&gt;=$E44)*(IF(AND(X$5&lt;=$D44,X$5&lt;=$E44),W44+$AG44,0))</f>
        <v>0</v>
      </c>
      <c r="Y44" s="129">
        <f t="shared" si="102"/>
        <v>0</v>
      </c>
      <c r="Z44" s="129">
        <f t="shared" si="102"/>
        <v>0</v>
      </c>
      <c r="AA44" s="129">
        <f t="shared" si="102"/>
        <v>0</v>
      </c>
      <c r="AB44" s="129">
        <f t="shared" si="102"/>
        <v>0</v>
      </c>
      <c r="AC44" s="129">
        <f t="shared" si="102"/>
        <v>0</v>
      </c>
      <c r="AD44" s="129">
        <f t="shared" si="102"/>
        <v>0</v>
      </c>
      <c r="AE44" s="129">
        <f t="shared" si="102"/>
        <v>0</v>
      </c>
      <c r="AG44" s="133">
        <f t="shared" si="28"/>
        <v>10.5</v>
      </c>
      <c r="AH44" s="132">
        <f t="shared" ca="1" si="29"/>
        <v>3.8289755040892017</v>
      </c>
    </row>
    <row r="45" spans="1:34" x14ac:dyDescent="0.25">
      <c r="A45" s="136">
        <v>1</v>
      </c>
      <c r="B45" s="121" t="s">
        <v>432</v>
      </c>
      <c r="C45" s="121" t="s">
        <v>39</v>
      </c>
      <c r="D45" s="122">
        <v>128</v>
      </c>
      <c r="E45" s="117">
        <v>16</v>
      </c>
      <c r="F45" s="117"/>
      <c r="G45" s="128">
        <f t="shared" ca="1" si="42"/>
        <v>3.0845082661709906</v>
      </c>
      <c r="H45" s="129">
        <f t="shared" ref="H45:W45" ca="1" si="103">($D45&lt;$E45)*(H$5*(H$5&lt;=$D45)*($E45&gt;=H$5))+($D45&gt;=$E45)*(IF(AND(H$5&lt;=$D45,H$5&lt;=$E45),G45+$AG45,0))</f>
        <v>11.084508266170991</v>
      </c>
      <c r="I45" s="129">
        <f t="shared" ca="1" si="103"/>
        <v>19.084508266170992</v>
      </c>
      <c r="J45" s="129">
        <f t="shared" ca="1" si="103"/>
        <v>27.084508266170992</v>
      </c>
      <c r="K45" s="129">
        <f t="shared" ca="1" si="103"/>
        <v>35.084508266170992</v>
      </c>
      <c r="L45" s="129">
        <f t="shared" ca="1" si="103"/>
        <v>43.084508266170992</v>
      </c>
      <c r="M45" s="129">
        <f t="shared" ca="1" si="103"/>
        <v>51.084508266170992</v>
      </c>
      <c r="N45" s="129">
        <f t="shared" ca="1" si="103"/>
        <v>59.084508266170992</v>
      </c>
      <c r="O45" s="129">
        <f t="shared" ca="1" si="103"/>
        <v>67.084508266170985</v>
      </c>
      <c r="P45" s="129">
        <f t="shared" ca="1" si="103"/>
        <v>75.084508266170985</v>
      </c>
      <c r="Q45" s="129">
        <f t="shared" ca="1" si="103"/>
        <v>83.084508266170985</v>
      </c>
      <c r="R45" s="129">
        <f t="shared" ca="1" si="103"/>
        <v>91.084508266170985</v>
      </c>
      <c r="S45" s="129">
        <f t="shared" ca="1" si="103"/>
        <v>99.084508266170985</v>
      </c>
      <c r="T45" s="129">
        <f t="shared" ca="1" si="103"/>
        <v>107.08450826617099</v>
      </c>
      <c r="U45" s="129">
        <f t="shared" ca="1" si="103"/>
        <v>115.08450826617099</v>
      </c>
      <c r="V45" s="129">
        <f t="shared" ca="1" si="103"/>
        <v>123.08450826617099</v>
      </c>
      <c r="W45" s="129">
        <f t="shared" si="103"/>
        <v>0</v>
      </c>
      <c r="X45" s="129">
        <f t="shared" ref="X45:AE45" si="104">($D45&lt;$E45)*(X$5*(X$5&lt;=$D45)*($E45&gt;=X$5))+($D45&gt;=$E45)*(IF(AND(X$5&lt;=$D45,X$5&lt;=$E45),W45+$AG45,0))</f>
        <v>0</v>
      </c>
      <c r="Y45" s="129">
        <f t="shared" si="104"/>
        <v>0</v>
      </c>
      <c r="Z45" s="129">
        <f t="shared" si="104"/>
        <v>0</v>
      </c>
      <c r="AA45" s="129">
        <f t="shared" si="104"/>
        <v>0</v>
      </c>
      <c r="AB45" s="129">
        <f t="shared" si="104"/>
        <v>0</v>
      </c>
      <c r="AC45" s="129">
        <f t="shared" si="104"/>
        <v>0</v>
      </c>
      <c r="AD45" s="129">
        <f t="shared" si="104"/>
        <v>0</v>
      </c>
      <c r="AE45" s="129">
        <f t="shared" si="104"/>
        <v>0</v>
      </c>
      <c r="AG45" s="133">
        <f t="shared" si="28"/>
        <v>8</v>
      </c>
      <c r="AH45" s="132">
        <f t="shared" ca="1" si="29"/>
        <v>3.0845082661709906</v>
      </c>
    </row>
    <row r="46" spans="1:34" x14ac:dyDescent="0.25">
      <c r="A46" s="136">
        <v>1</v>
      </c>
      <c r="B46" s="121" t="s">
        <v>433</v>
      </c>
      <c r="C46" s="121" t="s">
        <v>39</v>
      </c>
      <c r="D46" s="122">
        <v>229</v>
      </c>
      <c r="E46" s="117">
        <v>16</v>
      </c>
      <c r="F46" s="117"/>
      <c r="G46" s="128">
        <f t="shared" ca="1" si="42"/>
        <v>4.9642880419144735</v>
      </c>
      <c r="H46" s="129">
        <f t="shared" ref="H46:W46" ca="1" si="105">($D46&lt;$E46)*(H$5*(H$5&lt;=$D46)*($E46&gt;=H$5))+($D46&gt;=$E46)*(IF(AND(H$5&lt;=$D46,H$5&lt;=$E46),G46+$AG46,0))</f>
        <v>19.276788041914472</v>
      </c>
      <c r="I46" s="129">
        <f t="shared" ca="1" si="105"/>
        <v>33.589288041914472</v>
      </c>
      <c r="J46" s="129">
        <f t="shared" ca="1" si="105"/>
        <v>47.901788041914472</v>
      </c>
      <c r="K46" s="129">
        <f t="shared" ca="1" si="105"/>
        <v>62.214288041914472</v>
      </c>
      <c r="L46" s="129">
        <f t="shared" ca="1" si="105"/>
        <v>76.526788041914472</v>
      </c>
      <c r="M46" s="129">
        <f t="shared" ca="1" si="105"/>
        <v>90.839288041914472</v>
      </c>
      <c r="N46" s="129">
        <f t="shared" ca="1" si="105"/>
        <v>105.15178804191447</v>
      </c>
      <c r="O46" s="129">
        <f t="shared" ca="1" si="105"/>
        <v>119.46428804191447</v>
      </c>
      <c r="P46" s="129">
        <f t="shared" ca="1" si="105"/>
        <v>133.77678804191447</v>
      </c>
      <c r="Q46" s="129">
        <f t="shared" ca="1" si="105"/>
        <v>148.08928804191447</v>
      </c>
      <c r="R46" s="129">
        <f t="shared" ca="1" si="105"/>
        <v>162.40178804191447</v>
      </c>
      <c r="S46" s="129">
        <f t="shared" ca="1" si="105"/>
        <v>176.71428804191447</v>
      </c>
      <c r="T46" s="129">
        <f t="shared" ca="1" si="105"/>
        <v>191.02678804191447</v>
      </c>
      <c r="U46" s="129">
        <f t="shared" ca="1" si="105"/>
        <v>205.33928804191447</v>
      </c>
      <c r="V46" s="129">
        <f t="shared" ca="1" si="105"/>
        <v>219.65178804191447</v>
      </c>
      <c r="W46" s="129">
        <f t="shared" si="105"/>
        <v>0</v>
      </c>
      <c r="X46" s="129">
        <f t="shared" ref="X46:AE46" si="106">($D46&lt;$E46)*(X$5*(X$5&lt;=$D46)*($E46&gt;=X$5))+($D46&gt;=$E46)*(IF(AND(X$5&lt;=$D46,X$5&lt;=$E46),W46+$AG46,0))</f>
        <v>0</v>
      </c>
      <c r="Y46" s="129">
        <f t="shared" si="106"/>
        <v>0</v>
      </c>
      <c r="Z46" s="129">
        <f t="shared" si="106"/>
        <v>0</v>
      </c>
      <c r="AA46" s="129">
        <f t="shared" si="106"/>
        <v>0</v>
      </c>
      <c r="AB46" s="129">
        <f t="shared" si="106"/>
        <v>0</v>
      </c>
      <c r="AC46" s="129">
        <f t="shared" si="106"/>
        <v>0</v>
      </c>
      <c r="AD46" s="129">
        <f t="shared" si="106"/>
        <v>0</v>
      </c>
      <c r="AE46" s="129">
        <f t="shared" si="106"/>
        <v>0</v>
      </c>
      <c r="AG46" s="133">
        <f t="shared" si="28"/>
        <v>14.3125</v>
      </c>
      <c r="AH46" s="132">
        <f t="shared" ca="1" si="29"/>
        <v>4.9642880419144735</v>
      </c>
    </row>
    <row r="47" spans="1:34" x14ac:dyDescent="0.25">
      <c r="A47" s="136">
        <v>1</v>
      </c>
      <c r="B47" s="121" t="s">
        <v>434</v>
      </c>
      <c r="C47" s="121" t="s">
        <v>39</v>
      </c>
      <c r="D47" s="122">
        <v>198</v>
      </c>
      <c r="E47" s="117">
        <v>16</v>
      </c>
      <c r="F47" s="117"/>
      <c r="G47" s="128">
        <f t="shared" ca="1" si="42"/>
        <v>4.38732593252786</v>
      </c>
      <c r="H47" s="129">
        <f t="shared" ref="H47:W47" ca="1" si="107">($D47&lt;$E47)*(H$5*(H$5&lt;=$D47)*($E47&gt;=H$5))+($D47&gt;=$E47)*(IF(AND(H$5&lt;=$D47,H$5&lt;=$E47),G47+$AG47,0))</f>
        <v>16.762325932527858</v>
      </c>
      <c r="I47" s="129">
        <f t="shared" ca="1" si="107"/>
        <v>29.137325932527858</v>
      </c>
      <c r="J47" s="129">
        <f t="shared" ca="1" si="107"/>
        <v>41.512325932527858</v>
      </c>
      <c r="K47" s="129">
        <f t="shared" ca="1" si="107"/>
        <v>53.887325932527858</v>
      </c>
      <c r="L47" s="129">
        <f t="shared" ca="1" si="107"/>
        <v>66.262325932527858</v>
      </c>
      <c r="M47" s="129">
        <f t="shared" ca="1" si="107"/>
        <v>78.637325932527858</v>
      </c>
      <c r="N47" s="129">
        <f t="shared" ca="1" si="107"/>
        <v>91.012325932527858</v>
      </c>
      <c r="O47" s="129">
        <f t="shared" ca="1" si="107"/>
        <v>103.38732593252786</v>
      </c>
      <c r="P47" s="129">
        <f t="shared" ca="1" si="107"/>
        <v>115.76232593252786</v>
      </c>
      <c r="Q47" s="129">
        <f t="shared" ca="1" si="107"/>
        <v>128.13732593252786</v>
      </c>
      <c r="R47" s="129">
        <f t="shared" ca="1" si="107"/>
        <v>140.51232593252786</v>
      </c>
      <c r="S47" s="129">
        <f t="shared" ca="1" si="107"/>
        <v>152.88732593252786</v>
      </c>
      <c r="T47" s="129">
        <f t="shared" ca="1" si="107"/>
        <v>165.26232593252786</v>
      </c>
      <c r="U47" s="129">
        <f t="shared" ca="1" si="107"/>
        <v>177.63732593252786</v>
      </c>
      <c r="V47" s="129">
        <f t="shared" ca="1" si="107"/>
        <v>190.01232593252786</v>
      </c>
      <c r="W47" s="129">
        <f t="shared" si="107"/>
        <v>0</v>
      </c>
      <c r="X47" s="129">
        <f t="shared" ref="X47:AE47" si="108">($D47&lt;$E47)*(X$5*(X$5&lt;=$D47)*($E47&gt;=X$5))+($D47&gt;=$E47)*(IF(AND(X$5&lt;=$D47,X$5&lt;=$E47),W47+$AG47,0))</f>
        <v>0</v>
      </c>
      <c r="Y47" s="129">
        <f t="shared" si="108"/>
        <v>0</v>
      </c>
      <c r="Z47" s="129">
        <f t="shared" si="108"/>
        <v>0</v>
      </c>
      <c r="AA47" s="129">
        <f t="shared" si="108"/>
        <v>0</v>
      </c>
      <c r="AB47" s="129">
        <f t="shared" si="108"/>
        <v>0</v>
      </c>
      <c r="AC47" s="129">
        <f t="shared" si="108"/>
        <v>0</v>
      </c>
      <c r="AD47" s="129">
        <f t="shared" si="108"/>
        <v>0</v>
      </c>
      <c r="AE47" s="129">
        <f t="shared" si="108"/>
        <v>0</v>
      </c>
      <c r="AG47" s="133">
        <f t="shared" si="28"/>
        <v>12.375</v>
      </c>
      <c r="AH47" s="132">
        <f t="shared" ca="1" si="29"/>
        <v>4.38732593252786</v>
      </c>
    </row>
    <row r="48" spans="1:34" x14ac:dyDescent="0.25">
      <c r="A48" s="136">
        <v>1</v>
      </c>
      <c r="B48" s="121" t="s">
        <v>435</v>
      </c>
      <c r="C48" s="121" t="s">
        <v>39</v>
      </c>
      <c r="D48" s="122">
        <v>152</v>
      </c>
      <c r="E48" s="117">
        <v>16</v>
      </c>
      <c r="F48" s="117"/>
      <c r="G48" s="128">
        <f t="shared" ca="1" si="42"/>
        <v>3.5311886089219175</v>
      </c>
      <c r="H48" s="129">
        <f t="shared" ref="H48:W48" ca="1" si="109">($D48&lt;$E48)*(H$5*(H$5&lt;=$D48)*($E48&gt;=H$5))+($D48&gt;=$E48)*(IF(AND(H$5&lt;=$D48,H$5&lt;=$E48),G48+$AG48,0))</f>
        <v>13.031188608921918</v>
      </c>
      <c r="I48" s="129">
        <f t="shared" ca="1" si="109"/>
        <v>22.531188608921916</v>
      </c>
      <c r="J48" s="129">
        <f t="shared" ca="1" si="109"/>
        <v>32.031188608921916</v>
      </c>
      <c r="K48" s="129">
        <f t="shared" ca="1" si="109"/>
        <v>41.531188608921916</v>
      </c>
      <c r="L48" s="129">
        <f t="shared" ca="1" si="109"/>
        <v>51.031188608921916</v>
      </c>
      <c r="M48" s="129">
        <f t="shared" ca="1" si="109"/>
        <v>60.531188608921916</v>
      </c>
      <c r="N48" s="129">
        <f t="shared" ca="1" si="109"/>
        <v>70.031188608921923</v>
      </c>
      <c r="O48" s="129">
        <f t="shared" ca="1" si="109"/>
        <v>79.531188608921923</v>
      </c>
      <c r="P48" s="129">
        <f t="shared" ca="1" si="109"/>
        <v>89.031188608921923</v>
      </c>
      <c r="Q48" s="129">
        <f t="shared" ca="1" si="109"/>
        <v>98.531188608921923</v>
      </c>
      <c r="R48" s="129">
        <f t="shared" ca="1" si="109"/>
        <v>108.03118860892192</v>
      </c>
      <c r="S48" s="129">
        <f t="shared" ca="1" si="109"/>
        <v>117.53118860892192</v>
      </c>
      <c r="T48" s="129">
        <f t="shared" ca="1" si="109"/>
        <v>127.03118860892192</v>
      </c>
      <c r="U48" s="129">
        <f t="shared" ca="1" si="109"/>
        <v>136.53118860892192</v>
      </c>
      <c r="V48" s="129">
        <f t="shared" ca="1" si="109"/>
        <v>146.03118860892192</v>
      </c>
      <c r="W48" s="129">
        <f t="shared" si="109"/>
        <v>0</v>
      </c>
      <c r="X48" s="129">
        <f t="shared" ref="X48:AE48" si="110">($D48&lt;$E48)*(X$5*(X$5&lt;=$D48)*($E48&gt;=X$5))+($D48&gt;=$E48)*(IF(AND(X$5&lt;=$D48,X$5&lt;=$E48),W48+$AG48,0))</f>
        <v>0</v>
      </c>
      <c r="Y48" s="129">
        <f t="shared" si="110"/>
        <v>0</v>
      </c>
      <c r="Z48" s="129">
        <f t="shared" si="110"/>
        <v>0</v>
      </c>
      <c r="AA48" s="129">
        <f t="shared" si="110"/>
        <v>0</v>
      </c>
      <c r="AB48" s="129">
        <f t="shared" si="110"/>
        <v>0</v>
      </c>
      <c r="AC48" s="129">
        <f t="shared" si="110"/>
        <v>0</v>
      </c>
      <c r="AD48" s="129">
        <f t="shared" si="110"/>
        <v>0</v>
      </c>
      <c r="AE48" s="129">
        <f t="shared" si="110"/>
        <v>0</v>
      </c>
      <c r="AG48" s="133">
        <f t="shared" si="28"/>
        <v>9.5</v>
      </c>
      <c r="AH48" s="132">
        <f t="shared" ca="1" si="29"/>
        <v>3.5311886089219175</v>
      </c>
    </row>
    <row r="49" spans="1:34" x14ac:dyDescent="0.25">
      <c r="A49" s="136">
        <v>1</v>
      </c>
      <c r="B49" s="121" t="s">
        <v>436</v>
      </c>
      <c r="C49" s="121" t="s">
        <v>39</v>
      </c>
      <c r="D49" s="122">
        <v>145</v>
      </c>
      <c r="E49" s="117">
        <v>16</v>
      </c>
      <c r="F49" s="117"/>
      <c r="G49" s="128">
        <f t="shared" ca="1" si="42"/>
        <v>3.4009068422862305</v>
      </c>
      <c r="H49" s="129">
        <f t="shared" ref="H49:W49" ca="1" si="111">($D49&lt;$E49)*(H$5*(H$5&lt;=$D49)*($E49&gt;=H$5))+($D49&gt;=$E49)*(IF(AND(H$5&lt;=$D49,H$5&lt;=$E49),G49+$AG49,0))</f>
        <v>12.463406842286231</v>
      </c>
      <c r="I49" s="129">
        <f t="shared" ca="1" si="111"/>
        <v>21.525906842286233</v>
      </c>
      <c r="J49" s="129">
        <f t="shared" ca="1" si="111"/>
        <v>30.588406842286233</v>
      </c>
      <c r="K49" s="129">
        <f t="shared" ca="1" si="111"/>
        <v>39.650906842286233</v>
      </c>
      <c r="L49" s="129">
        <f t="shared" ca="1" si="111"/>
        <v>48.713406842286233</v>
      </c>
      <c r="M49" s="129">
        <f t="shared" ca="1" si="111"/>
        <v>57.775906842286233</v>
      </c>
      <c r="N49" s="129">
        <f t="shared" ca="1" si="111"/>
        <v>66.838406842286233</v>
      </c>
      <c r="O49" s="129">
        <f t="shared" ca="1" si="111"/>
        <v>75.900906842286233</v>
      </c>
      <c r="P49" s="129">
        <f t="shared" ca="1" si="111"/>
        <v>84.963406842286233</v>
      </c>
      <c r="Q49" s="129">
        <f t="shared" ca="1" si="111"/>
        <v>94.025906842286233</v>
      </c>
      <c r="R49" s="129">
        <f t="shared" ca="1" si="111"/>
        <v>103.08840684228623</v>
      </c>
      <c r="S49" s="129">
        <f t="shared" ca="1" si="111"/>
        <v>112.15090684228623</v>
      </c>
      <c r="T49" s="129">
        <f t="shared" ca="1" si="111"/>
        <v>121.21340684228623</v>
      </c>
      <c r="U49" s="129">
        <f t="shared" ca="1" si="111"/>
        <v>130.27590684228625</v>
      </c>
      <c r="V49" s="129">
        <f t="shared" ca="1" si="111"/>
        <v>139.33840684228625</v>
      </c>
      <c r="W49" s="129">
        <f t="shared" si="111"/>
        <v>0</v>
      </c>
      <c r="X49" s="129">
        <f t="shared" ref="X49:AE49" si="112">($D49&lt;$E49)*(X$5*(X$5&lt;=$D49)*($E49&gt;=X$5))+($D49&gt;=$E49)*(IF(AND(X$5&lt;=$D49,X$5&lt;=$E49),W49+$AG49,0))</f>
        <v>0</v>
      </c>
      <c r="Y49" s="129">
        <f t="shared" si="112"/>
        <v>0</v>
      </c>
      <c r="Z49" s="129">
        <f t="shared" si="112"/>
        <v>0</v>
      </c>
      <c r="AA49" s="129">
        <f t="shared" si="112"/>
        <v>0</v>
      </c>
      <c r="AB49" s="129">
        <f t="shared" si="112"/>
        <v>0</v>
      </c>
      <c r="AC49" s="129">
        <f t="shared" si="112"/>
        <v>0</v>
      </c>
      <c r="AD49" s="129">
        <f t="shared" si="112"/>
        <v>0</v>
      </c>
      <c r="AE49" s="129">
        <f t="shared" si="112"/>
        <v>0</v>
      </c>
      <c r="AG49" s="133">
        <f t="shared" si="28"/>
        <v>9.0625</v>
      </c>
      <c r="AH49" s="132">
        <f t="shared" ca="1" si="29"/>
        <v>3.4009068422862305</v>
      </c>
    </row>
    <row r="50" spans="1:34" x14ac:dyDescent="0.25">
      <c r="A50" s="136">
        <v>1</v>
      </c>
      <c r="B50" s="121" t="s">
        <v>437</v>
      </c>
      <c r="C50" s="121" t="s">
        <v>39</v>
      </c>
      <c r="D50" s="122">
        <v>189</v>
      </c>
      <c r="E50" s="117">
        <v>16</v>
      </c>
      <c r="F50" s="117"/>
      <c r="G50" s="128">
        <f t="shared" ca="1" si="42"/>
        <v>4.2198208039962628</v>
      </c>
      <c r="H50" s="129">
        <f t="shared" ref="H50:W50" ca="1" si="113">($D50&lt;$E50)*(H$5*(H$5&lt;=$D50)*($E50&gt;=H$5))+($D50&gt;=$E50)*(IF(AND(H$5&lt;=$D50,H$5&lt;=$E50),G50+$AG50,0))</f>
        <v>16.032320803996264</v>
      </c>
      <c r="I50" s="129">
        <f t="shared" ca="1" si="113"/>
        <v>27.844820803996264</v>
      </c>
      <c r="J50" s="129">
        <f t="shared" ca="1" si="113"/>
        <v>39.657320803996264</v>
      </c>
      <c r="K50" s="129">
        <f t="shared" ca="1" si="113"/>
        <v>51.469820803996264</v>
      </c>
      <c r="L50" s="129">
        <f t="shared" ca="1" si="113"/>
        <v>63.282320803996264</v>
      </c>
      <c r="M50" s="129">
        <f t="shared" ca="1" si="113"/>
        <v>75.094820803996271</v>
      </c>
      <c r="N50" s="129">
        <f t="shared" ca="1" si="113"/>
        <v>86.907320803996271</v>
      </c>
      <c r="O50" s="129">
        <f t="shared" ca="1" si="113"/>
        <v>98.719820803996271</v>
      </c>
      <c r="P50" s="129">
        <f t="shared" ca="1" si="113"/>
        <v>110.53232080399627</v>
      </c>
      <c r="Q50" s="129">
        <f t="shared" ca="1" si="113"/>
        <v>122.34482080399627</v>
      </c>
      <c r="R50" s="129">
        <f t="shared" ca="1" si="113"/>
        <v>134.15732080399627</v>
      </c>
      <c r="S50" s="129">
        <f t="shared" ca="1" si="113"/>
        <v>145.96982080399627</v>
      </c>
      <c r="T50" s="129">
        <f t="shared" ca="1" si="113"/>
        <v>157.78232080399627</v>
      </c>
      <c r="U50" s="129">
        <f t="shared" ca="1" si="113"/>
        <v>169.59482080399627</v>
      </c>
      <c r="V50" s="129">
        <f t="shared" ca="1" si="113"/>
        <v>181.40732080399627</v>
      </c>
      <c r="W50" s="129">
        <f t="shared" si="113"/>
        <v>0</v>
      </c>
      <c r="X50" s="129">
        <f t="shared" ref="X50:AE50" si="114">($D50&lt;$E50)*(X$5*(X$5&lt;=$D50)*($E50&gt;=X$5))+($D50&gt;=$E50)*(IF(AND(X$5&lt;=$D50,X$5&lt;=$E50),W50+$AG50,0))</f>
        <v>0</v>
      </c>
      <c r="Y50" s="129">
        <f t="shared" si="114"/>
        <v>0</v>
      </c>
      <c r="Z50" s="129">
        <f t="shared" si="114"/>
        <v>0</v>
      </c>
      <c r="AA50" s="129">
        <f t="shared" si="114"/>
        <v>0</v>
      </c>
      <c r="AB50" s="129">
        <f t="shared" si="114"/>
        <v>0</v>
      </c>
      <c r="AC50" s="129">
        <f t="shared" si="114"/>
        <v>0</v>
      </c>
      <c r="AD50" s="129">
        <f t="shared" si="114"/>
        <v>0</v>
      </c>
      <c r="AE50" s="129">
        <f t="shared" si="114"/>
        <v>0</v>
      </c>
      <c r="AG50" s="133">
        <f t="shared" si="28"/>
        <v>11.8125</v>
      </c>
      <c r="AH50" s="132">
        <f t="shared" ca="1" si="29"/>
        <v>4.2198208039962628</v>
      </c>
    </row>
    <row r="51" spans="1:34" x14ac:dyDescent="0.25">
      <c r="A51" s="136">
        <v>1</v>
      </c>
      <c r="B51" s="121" t="s">
        <v>438</v>
      </c>
      <c r="C51" s="121" t="s">
        <v>39</v>
      </c>
      <c r="D51" s="122">
        <v>139</v>
      </c>
      <c r="E51" s="117">
        <v>16</v>
      </c>
      <c r="F51" s="117"/>
      <c r="G51" s="128">
        <f t="shared" ca="1" si="42"/>
        <v>3.2892367565984988</v>
      </c>
      <c r="H51" s="129">
        <f t="shared" ref="H51:W51" ca="1" si="115">($D51&lt;$E51)*(H$5*(H$5&lt;=$D51)*($E51&gt;=H$5))+($D51&gt;=$E51)*(IF(AND(H$5&lt;=$D51,H$5&lt;=$E51),G51+$AG51,0))</f>
        <v>11.976736756598498</v>
      </c>
      <c r="I51" s="129">
        <f t="shared" ca="1" si="115"/>
        <v>20.664236756598498</v>
      </c>
      <c r="J51" s="129">
        <f t="shared" ca="1" si="115"/>
        <v>29.351736756598498</v>
      </c>
      <c r="K51" s="129">
        <f t="shared" ca="1" si="115"/>
        <v>38.039236756598498</v>
      </c>
      <c r="L51" s="129">
        <f t="shared" ca="1" si="115"/>
        <v>46.726736756598498</v>
      </c>
      <c r="M51" s="129">
        <f t="shared" ca="1" si="115"/>
        <v>55.414236756598498</v>
      </c>
      <c r="N51" s="129">
        <f t="shared" ca="1" si="115"/>
        <v>64.101736756598498</v>
      </c>
      <c r="O51" s="129">
        <f t="shared" ca="1" si="115"/>
        <v>72.789236756598498</v>
      </c>
      <c r="P51" s="129">
        <f t="shared" ca="1" si="115"/>
        <v>81.476736756598498</v>
      </c>
      <c r="Q51" s="129">
        <f t="shared" ca="1" si="115"/>
        <v>90.164236756598498</v>
      </c>
      <c r="R51" s="129">
        <f t="shared" ca="1" si="115"/>
        <v>98.851736756598498</v>
      </c>
      <c r="S51" s="129">
        <f t="shared" ca="1" si="115"/>
        <v>107.5392367565985</v>
      </c>
      <c r="T51" s="129">
        <f t="shared" ca="1" si="115"/>
        <v>116.2267367565985</v>
      </c>
      <c r="U51" s="129">
        <f t="shared" ca="1" si="115"/>
        <v>124.9142367565985</v>
      </c>
      <c r="V51" s="129">
        <f t="shared" ca="1" si="115"/>
        <v>133.60173675659848</v>
      </c>
      <c r="W51" s="129">
        <f t="shared" si="115"/>
        <v>0</v>
      </c>
      <c r="X51" s="129">
        <f t="shared" ref="X51:AE51" si="116">($D51&lt;$E51)*(X$5*(X$5&lt;=$D51)*($E51&gt;=X$5))+($D51&gt;=$E51)*(IF(AND(X$5&lt;=$D51,X$5&lt;=$E51),W51+$AG51,0))</f>
        <v>0</v>
      </c>
      <c r="Y51" s="129">
        <f t="shared" si="116"/>
        <v>0</v>
      </c>
      <c r="Z51" s="129">
        <f t="shared" si="116"/>
        <v>0</v>
      </c>
      <c r="AA51" s="129">
        <f t="shared" si="116"/>
        <v>0</v>
      </c>
      <c r="AB51" s="129">
        <f t="shared" si="116"/>
        <v>0</v>
      </c>
      <c r="AC51" s="129">
        <f t="shared" si="116"/>
        <v>0</v>
      </c>
      <c r="AD51" s="129">
        <f t="shared" si="116"/>
        <v>0</v>
      </c>
      <c r="AE51" s="129">
        <f t="shared" si="116"/>
        <v>0</v>
      </c>
      <c r="AG51" s="133">
        <f t="shared" si="28"/>
        <v>8.6875</v>
      </c>
      <c r="AH51" s="132">
        <f t="shared" ca="1" si="29"/>
        <v>3.2892367565984988</v>
      </c>
    </row>
    <row r="52" spans="1:34" x14ac:dyDescent="0.25">
      <c r="A52" s="136">
        <v>1</v>
      </c>
      <c r="B52" s="121" t="s">
        <v>439</v>
      </c>
      <c r="C52" s="121" t="s">
        <v>39</v>
      </c>
      <c r="D52" s="122">
        <v>242</v>
      </c>
      <c r="E52" s="117">
        <v>16</v>
      </c>
      <c r="F52" s="117"/>
      <c r="G52" s="128">
        <f t="shared" ca="1" si="42"/>
        <v>5.2062398942378918</v>
      </c>
      <c r="H52" s="129">
        <f t="shared" ref="H52:W52" ca="1" si="117">($D52&lt;$E52)*(H$5*(H$5&lt;=$D52)*($E52&gt;=H$5))+($D52&gt;=$E52)*(IF(AND(H$5&lt;=$D52,H$5&lt;=$E52),G52+$AG52,0))</f>
        <v>20.331239894237893</v>
      </c>
      <c r="I52" s="129">
        <f t="shared" ca="1" si="117"/>
        <v>35.456239894237896</v>
      </c>
      <c r="J52" s="129">
        <f t="shared" ca="1" si="117"/>
        <v>50.581239894237896</v>
      </c>
      <c r="K52" s="129">
        <f t="shared" ca="1" si="117"/>
        <v>65.706239894237896</v>
      </c>
      <c r="L52" s="129">
        <f t="shared" ca="1" si="117"/>
        <v>80.831239894237896</v>
      </c>
      <c r="M52" s="129">
        <f t="shared" ca="1" si="117"/>
        <v>95.956239894237896</v>
      </c>
      <c r="N52" s="129">
        <f t="shared" ca="1" si="117"/>
        <v>111.0812398942379</v>
      </c>
      <c r="O52" s="129">
        <f t="shared" ca="1" si="117"/>
        <v>126.2062398942379</v>
      </c>
      <c r="P52" s="129">
        <f t="shared" ca="1" si="117"/>
        <v>141.33123989423791</v>
      </c>
      <c r="Q52" s="129">
        <f t="shared" ca="1" si="117"/>
        <v>156.45623989423791</v>
      </c>
      <c r="R52" s="129">
        <f t="shared" ca="1" si="117"/>
        <v>171.58123989423791</v>
      </c>
      <c r="S52" s="129">
        <f t="shared" ca="1" si="117"/>
        <v>186.70623989423791</v>
      </c>
      <c r="T52" s="129">
        <f t="shared" ca="1" si="117"/>
        <v>201.83123989423791</v>
      </c>
      <c r="U52" s="129">
        <f t="shared" ca="1" si="117"/>
        <v>216.95623989423791</v>
      </c>
      <c r="V52" s="129">
        <f t="shared" ca="1" si="117"/>
        <v>232.08123989423791</v>
      </c>
      <c r="W52" s="129">
        <f t="shared" si="117"/>
        <v>0</v>
      </c>
      <c r="X52" s="129">
        <f t="shared" ref="X52:AE52" si="118">($D52&lt;$E52)*(X$5*(X$5&lt;=$D52)*($E52&gt;=X$5))+($D52&gt;=$E52)*(IF(AND(X$5&lt;=$D52,X$5&lt;=$E52),W52+$AG52,0))</f>
        <v>0</v>
      </c>
      <c r="Y52" s="129">
        <f t="shared" si="118"/>
        <v>0</v>
      </c>
      <c r="Z52" s="129">
        <f t="shared" si="118"/>
        <v>0</v>
      </c>
      <c r="AA52" s="129">
        <f t="shared" si="118"/>
        <v>0</v>
      </c>
      <c r="AB52" s="129">
        <f t="shared" si="118"/>
        <v>0</v>
      </c>
      <c r="AC52" s="129">
        <f t="shared" si="118"/>
        <v>0</v>
      </c>
      <c r="AD52" s="129">
        <f t="shared" si="118"/>
        <v>0</v>
      </c>
      <c r="AE52" s="129">
        <f t="shared" si="118"/>
        <v>0</v>
      </c>
      <c r="AG52" s="133">
        <f t="shared" si="28"/>
        <v>15.125</v>
      </c>
      <c r="AH52" s="132">
        <f t="shared" ca="1" si="29"/>
        <v>5.2062398942378918</v>
      </c>
    </row>
    <row r="53" spans="1:34" x14ac:dyDescent="0.25">
      <c r="A53" s="136">
        <v>1</v>
      </c>
      <c r="B53" s="121" t="s">
        <v>440</v>
      </c>
      <c r="C53" s="121" t="s">
        <v>39</v>
      </c>
      <c r="D53" s="122">
        <v>163</v>
      </c>
      <c r="E53" s="117">
        <v>16</v>
      </c>
      <c r="F53" s="117"/>
      <c r="G53" s="128">
        <f t="shared" ca="1" si="42"/>
        <v>3.7359170993494253</v>
      </c>
      <c r="H53" s="129">
        <f t="shared" ref="H53:W53" ca="1" si="119">($D53&lt;$E53)*(H$5*(H$5&lt;=$D53)*($E53&gt;=H$5))+($D53&gt;=$E53)*(IF(AND(H$5&lt;=$D53,H$5&lt;=$E53),G53+$AG53,0))</f>
        <v>13.923417099349425</v>
      </c>
      <c r="I53" s="129">
        <f t="shared" ca="1" si="119"/>
        <v>24.110917099349425</v>
      </c>
      <c r="J53" s="129">
        <f t="shared" ca="1" si="119"/>
        <v>34.298417099349422</v>
      </c>
      <c r="K53" s="129">
        <f t="shared" ca="1" si="119"/>
        <v>44.485917099349422</v>
      </c>
      <c r="L53" s="129">
        <f t="shared" ca="1" si="119"/>
        <v>54.673417099349422</v>
      </c>
      <c r="M53" s="129">
        <f t="shared" ca="1" si="119"/>
        <v>64.860917099349422</v>
      </c>
      <c r="N53" s="129">
        <f t="shared" ca="1" si="119"/>
        <v>75.048417099349422</v>
      </c>
      <c r="O53" s="129">
        <f t="shared" ca="1" si="119"/>
        <v>85.235917099349422</v>
      </c>
      <c r="P53" s="129">
        <f t="shared" ca="1" si="119"/>
        <v>95.423417099349422</v>
      </c>
      <c r="Q53" s="129">
        <f t="shared" ca="1" si="119"/>
        <v>105.61091709934942</v>
      </c>
      <c r="R53" s="129">
        <f t="shared" ca="1" si="119"/>
        <v>115.79841709934942</v>
      </c>
      <c r="S53" s="129">
        <f t="shared" ca="1" si="119"/>
        <v>125.98591709934942</v>
      </c>
      <c r="T53" s="129">
        <f t="shared" ca="1" si="119"/>
        <v>136.17341709934942</v>
      </c>
      <c r="U53" s="129">
        <f t="shared" ca="1" si="119"/>
        <v>146.36091709934942</v>
      </c>
      <c r="V53" s="129">
        <f t="shared" ca="1" si="119"/>
        <v>156.54841709934942</v>
      </c>
      <c r="W53" s="129">
        <f t="shared" si="119"/>
        <v>0</v>
      </c>
      <c r="X53" s="129">
        <f t="shared" ref="X53:AE53" si="120">($D53&lt;$E53)*(X$5*(X$5&lt;=$D53)*($E53&gt;=X$5))+($D53&gt;=$E53)*(IF(AND(X$5&lt;=$D53,X$5&lt;=$E53),W53+$AG53,0))</f>
        <v>0</v>
      </c>
      <c r="Y53" s="129">
        <f t="shared" si="120"/>
        <v>0</v>
      </c>
      <c r="Z53" s="129">
        <f t="shared" si="120"/>
        <v>0</v>
      </c>
      <c r="AA53" s="129">
        <f t="shared" si="120"/>
        <v>0</v>
      </c>
      <c r="AB53" s="129">
        <f t="shared" si="120"/>
        <v>0</v>
      </c>
      <c r="AC53" s="129">
        <f t="shared" si="120"/>
        <v>0</v>
      </c>
      <c r="AD53" s="129">
        <f t="shared" si="120"/>
        <v>0</v>
      </c>
      <c r="AE53" s="129">
        <f t="shared" si="120"/>
        <v>0</v>
      </c>
      <c r="AG53" s="133">
        <f t="shared" si="28"/>
        <v>10.1875</v>
      </c>
      <c r="AH53" s="132">
        <f t="shared" ca="1" si="29"/>
        <v>3.7359170993494253</v>
      </c>
    </row>
    <row r="54" spans="1:34" x14ac:dyDescent="0.25">
      <c r="A54" s="136">
        <v>1</v>
      </c>
      <c r="B54" s="121" t="s">
        <v>353</v>
      </c>
      <c r="C54" s="121" t="s">
        <v>39</v>
      </c>
      <c r="D54" s="122">
        <v>319</v>
      </c>
      <c r="E54" s="117">
        <v>16</v>
      </c>
      <c r="F54" s="117"/>
      <c r="G54" s="128">
        <f t="shared" ca="1" si="42"/>
        <v>6.6393393272304486</v>
      </c>
      <c r="H54" s="129">
        <f t="shared" ref="H54:W54" ca="1" si="121">($D54&lt;$E54)*(H$5*(H$5&lt;=$D54)*($E54&gt;=H$5))+($D54&gt;=$E54)*(IF(AND(H$5&lt;=$D54,H$5&lt;=$E54),G54+$AG54,0))</f>
        <v>26.576839327230449</v>
      </c>
      <c r="I54" s="129">
        <f t="shared" ca="1" si="121"/>
        <v>46.514339327230445</v>
      </c>
      <c r="J54" s="129">
        <f t="shared" ca="1" si="121"/>
        <v>66.451839327230445</v>
      </c>
      <c r="K54" s="129">
        <f t="shared" ca="1" si="121"/>
        <v>86.389339327230445</v>
      </c>
      <c r="L54" s="129">
        <f t="shared" ca="1" si="121"/>
        <v>106.32683932723045</v>
      </c>
      <c r="M54" s="129">
        <f t="shared" ca="1" si="121"/>
        <v>126.26433932723045</v>
      </c>
      <c r="N54" s="129">
        <f t="shared" ca="1" si="121"/>
        <v>146.20183932723046</v>
      </c>
      <c r="O54" s="129">
        <f t="shared" ca="1" si="121"/>
        <v>166.13933932723046</v>
      </c>
      <c r="P54" s="129">
        <f t="shared" ca="1" si="121"/>
        <v>186.07683932723046</v>
      </c>
      <c r="Q54" s="129">
        <f t="shared" ca="1" si="121"/>
        <v>206.01433932723046</v>
      </c>
      <c r="R54" s="129">
        <f t="shared" ca="1" si="121"/>
        <v>225.95183932723046</v>
      </c>
      <c r="S54" s="129">
        <f t="shared" ca="1" si="121"/>
        <v>245.88933932723046</v>
      </c>
      <c r="T54" s="129">
        <f t="shared" ca="1" si="121"/>
        <v>265.82683932723046</v>
      </c>
      <c r="U54" s="129">
        <f t="shared" ca="1" si="121"/>
        <v>285.76433932723046</v>
      </c>
      <c r="V54" s="129">
        <f t="shared" ca="1" si="121"/>
        <v>305.70183932723046</v>
      </c>
      <c r="W54" s="129">
        <f t="shared" si="121"/>
        <v>0</v>
      </c>
      <c r="X54" s="129">
        <f t="shared" ref="X54:AE54" si="122">($D54&lt;$E54)*(X$5*(X$5&lt;=$D54)*($E54&gt;=X$5))+($D54&gt;=$E54)*(IF(AND(X$5&lt;=$D54,X$5&lt;=$E54),W54+$AG54,0))</f>
        <v>0</v>
      </c>
      <c r="Y54" s="129">
        <f t="shared" si="122"/>
        <v>0</v>
      </c>
      <c r="Z54" s="129">
        <f t="shared" si="122"/>
        <v>0</v>
      </c>
      <c r="AA54" s="129">
        <f t="shared" si="122"/>
        <v>0</v>
      </c>
      <c r="AB54" s="129">
        <f t="shared" si="122"/>
        <v>0</v>
      </c>
      <c r="AC54" s="129">
        <f t="shared" si="122"/>
        <v>0</v>
      </c>
      <c r="AD54" s="129">
        <f t="shared" si="122"/>
        <v>0</v>
      </c>
      <c r="AE54" s="129">
        <f t="shared" si="122"/>
        <v>0</v>
      </c>
      <c r="AG54" s="133">
        <f t="shared" si="28"/>
        <v>19.9375</v>
      </c>
      <c r="AH54" s="132">
        <f t="shared" ca="1" si="29"/>
        <v>6.6393393272304486</v>
      </c>
    </row>
    <row r="55" spans="1:34" x14ac:dyDescent="0.25">
      <c r="A55" s="136">
        <v>1</v>
      </c>
      <c r="B55" s="121" t="s">
        <v>266</v>
      </c>
      <c r="C55" s="121" t="s">
        <v>39</v>
      </c>
      <c r="D55" s="122">
        <v>305</v>
      </c>
      <c r="E55" s="117">
        <v>16</v>
      </c>
      <c r="F55" s="117"/>
      <c r="G55" s="128">
        <f t="shared" ca="1" si="42"/>
        <v>6.3787757939590746</v>
      </c>
      <c r="H55" s="129">
        <f t="shared" ref="H55:W55" ca="1" si="123">($D55&lt;$E55)*(H$5*(H$5&lt;=$D55)*($E55&gt;=H$5))+($D55&gt;=$E55)*(IF(AND(H$5&lt;=$D55,H$5&lt;=$E55),G55+$AG55,0))</f>
        <v>25.441275793959075</v>
      </c>
      <c r="I55" s="129">
        <f t="shared" ca="1" si="123"/>
        <v>44.503775793959079</v>
      </c>
      <c r="J55" s="129">
        <f t="shared" ca="1" si="123"/>
        <v>63.566275793959079</v>
      </c>
      <c r="K55" s="129">
        <f t="shared" ca="1" si="123"/>
        <v>82.628775793959079</v>
      </c>
      <c r="L55" s="129">
        <f t="shared" ca="1" si="123"/>
        <v>101.69127579395908</v>
      </c>
      <c r="M55" s="129">
        <f t="shared" ca="1" si="123"/>
        <v>120.75377579395908</v>
      </c>
      <c r="N55" s="129">
        <f t="shared" ca="1" si="123"/>
        <v>139.81627579395908</v>
      </c>
      <c r="O55" s="129">
        <f t="shared" ca="1" si="123"/>
        <v>158.87877579395908</v>
      </c>
      <c r="P55" s="129">
        <f t="shared" ca="1" si="123"/>
        <v>177.94127579395908</v>
      </c>
      <c r="Q55" s="129">
        <f t="shared" ca="1" si="123"/>
        <v>197.00377579395908</v>
      </c>
      <c r="R55" s="129">
        <f t="shared" ca="1" si="123"/>
        <v>216.06627579395908</v>
      </c>
      <c r="S55" s="129">
        <f t="shared" ca="1" si="123"/>
        <v>235.12877579395908</v>
      </c>
      <c r="T55" s="129">
        <f t="shared" ca="1" si="123"/>
        <v>254.19127579395908</v>
      </c>
      <c r="U55" s="129">
        <f t="shared" ca="1" si="123"/>
        <v>273.25377579395911</v>
      </c>
      <c r="V55" s="129">
        <f t="shared" ca="1" si="123"/>
        <v>292.31627579395911</v>
      </c>
      <c r="W55" s="129">
        <f t="shared" si="123"/>
        <v>0</v>
      </c>
      <c r="X55" s="129">
        <f t="shared" ref="X55:AE55" si="124">($D55&lt;$E55)*(X$5*(X$5&lt;=$D55)*($E55&gt;=X$5))+($D55&gt;=$E55)*(IF(AND(X$5&lt;=$D55,X$5&lt;=$E55),W55+$AG55,0))</f>
        <v>0</v>
      </c>
      <c r="Y55" s="129">
        <f t="shared" si="124"/>
        <v>0</v>
      </c>
      <c r="Z55" s="129">
        <f t="shared" si="124"/>
        <v>0</v>
      </c>
      <c r="AA55" s="129">
        <f t="shared" si="124"/>
        <v>0</v>
      </c>
      <c r="AB55" s="129">
        <f t="shared" si="124"/>
        <v>0</v>
      </c>
      <c r="AC55" s="129">
        <f t="shared" si="124"/>
        <v>0</v>
      </c>
      <c r="AD55" s="129">
        <f t="shared" si="124"/>
        <v>0</v>
      </c>
      <c r="AE55" s="129">
        <f t="shared" si="124"/>
        <v>0</v>
      </c>
      <c r="AG55" s="133">
        <f t="shared" si="28"/>
        <v>19.0625</v>
      </c>
      <c r="AH55" s="132">
        <f t="shared" ca="1" si="29"/>
        <v>6.3787757939590746</v>
      </c>
    </row>
    <row r="56" spans="1:34" x14ac:dyDescent="0.25">
      <c r="A56" s="136">
        <v>1</v>
      </c>
      <c r="B56" s="121" t="s">
        <v>611</v>
      </c>
      <c r="C56" s="121" t="s">
        <v>39</v>
      </c>
      <c r="D56" s="122">
        <v>80</v>
      </c>
      <c r="E56" s="117">
        <v>16</v>
      </c>
      <c r="F56" s="117"/>
      <c r="G56" s="128">
        <f t="shared" ca="1" si="42"/>
        <v>2.1911475806691376</v>
      </c>
      <c r="H56" s="129">
        <f t="shared" ref="H56:W56" ca="1" si="125">($D56&lt;$E56)*(H$5*(H$5&lt;=$D56)*($E56&gt;=H$5))+($D56&gt;=$E56)*(IF(AND(H$5&lt;=$D56,H$5&lt;=$E56),G56+$AG56,0))</f>
        <v>7.1911475806691376</v>
      </c>
      <c r="I56" s="129">
        <f t="shared" ca="1" si="125"/>
        <v>12.191147580669139</v>
      </c>
      <c r="J56" s="129">
        <f t="shared" ca="1" si="125"/>
        <v>17.191147580669139</v>
      </c>
      <c r="K56" s="129">
        <f t="shared" ca="1" si="125"/>
        <v>22.191147580669139</v>
      </c>
      <c r="L56" s="129">
        <f t="shared" ca="1" si="125"/>
        <v>27.191147580669139</v>
      </c>
      <c r="M56" s="129">
        <f t="shared" ca="1" si="125"/>
        <v>32.191147580669139</v>
      </c>
      <c r="N56" s="129">
        <f t="shared" ca="1" si="125"/>
        <v>37.191147580669139</v>
      </c>
      <c r="O56" s="129">
        <f t="shared" ca="1" si="125"/>
        <v>42.191147580669139</v>
      </c>
      <c r="P56" s="129">
        <f t="shared" ca="1" si="125"/>
        <v>47.191147580669139</v>
      </c>
      <c r="Q56" s="129">
        <f t="shared" ca="1" si="125"/>
        <v>52.191147580669139</v>
      </c>
      <c r="R56" s="129">
        <f t="shared" ca="1" si="125"/>
        <v>57.191147580669139</v>
      </c>
      <c r="S56" s="129">
        <f t="shared" ca="1" si="125"/>
        <v>62.191147580669139</v>
      </c>
      <c r="T56" s="129">
        <f t="shared" ca="1" si="125"/>
        <v>67.191147580669139</v>
      </c>
      <c r="U56" s="129">
        <f t="shared" ca="1" si="125"/>
        <v>72.191147580669139</v>
      </c>
      <c r="V56" s="129">
        <f t="shared" ca="1" si="125"/>
        <v>77.191147580669139</v>
      </c>
      <c r="W56" s="129">
        <f t="shared" si="125"/>
        <v>0</v>
      </c>
      <c r="X56" s="129">
        <f t="shared" ref="X56:AE56" si="126">($D56&lt;$E56)*(X$5*(X$5&lt;=$D56)*($E56&gt;=X$5))+($D56&gt;=$E56)*(IF(AND(X$5&lt;=$D56,X$5&lt;=$E56),W56+$AG56,0))</f>
        <v>0</v>
      </c>
      <c r="Y56" s="129">
        <f t="shared" si="126"/>
        <v>0</v>
      </c>
      <c r="Z56" s="129">
        <f t="shared" si="126"/>
        <v>0</v>
      </c>
      <c r="AA56" s="129">
        <f t="shared" si="126"/>
        <v>0</v>
      </c>
      <c r="AB56" s="129">
        <f t="shared" si="126"/>
        <v>0</v>
      </c>
      <c r="AC56" s="129">
        <f t="shared" si="126"/>
        <v>0</v>
      </c>
      <c r="AD56" s="129">
        <f t="shared" si="126"/>
        <v>0</v>
      </c>
      <c r="AE56" s="129">
        <f t="shared" si="126"/>
        <v>0</v>
      </c>
      <c r="AG56" s="133">
        <f t="shared" si="28"/>
        <v>5</v>
      </c>
      <c r="AH56" s="132">
        <f t="shared" ca="1" si="29"/>
        <v>2.1911475806691376</v>
      </c>
    </row>
    <row r="57" spans="1:34" x14ac:dyDescent="0.25">
      <c r="A57" s="136">
        <v>1</v>
      </c>
      <c r="B57" s="121" t="s">
        <v>612</v>
      </c>
      <c r="C57" s="121" t="s">
        <v>39</v>
      </c>
      <c r="D57" s="122">
        <v>222</v>
      </c>
      <c r="E57" s="117">
        <v>16</v>
      </c>
      <c r="F57" s="117"/>
      <c r="G57" s="128">
        <f t="shared" ca="1" si="42"/>
        <v>4.8340062752787869</v>
      </c>
      <c r="H57" s="129">
        <f t="shared" ref="H57:W57" ca="1" si="127">($D57&lt;$E57)*(H$5*(H$5&lt;=$D57)*($E57&gt;=H$5))+($D57&gt;=$E57)*(IF(AND(H$5&lt;=$D57,H$5&lt;=$E57),G57+$AG57,0))</f>
        <v>18.709006275278789</v>
      </c>
      <c r="I57" s="129">
        <f t="shared" ca="1" si="127"/>
        <v>32.584006275278789</v>
      </c>
      <c r="J57" s="129">
        <f t="shared" ca="1" si="127"/>
        <v>46.459006275278789</v>
      </c>
      <c r="K57" s="129">
        <f t="shared" ca="1" si="127"/>
        <v>60.334006275278789</v>
      </c>
      <c r="L57" s="129">
        <f t="shared" ca="1" si="127"/>
        <v>74.209006275278796</v>
      </c>
      <c r="M57" s="129">
        <f t="shared" ca="1" si="127"/>
        <v>88.084006275278796</v>
      </c>
      <c r="N57" s="129">
        <f t="shared" ca="1" si="127"/>
        <v>101.9590062752788</v>
      </c>
      <c r="O57" s="129">
        <f t="shared" ca="1" si="127"/>
        <v>115.8340062752788</v>
      </c>
      <c r="P57" s="129">
        <f t="shared" ca="1" si="127"/>
        <v>129.7090062752788</v>
      </c>
      <c r="Q57" s="129">
        <f t="shared" ca="1" si="127"/>
        <v>143.5840062752788</v>
      </c>
      <c r="R57" s="129">
        <f t="shared" ca="1" si="127"/>
        <v>157.4590062752788</v>
      </c>
      <c r="S57" s="129">
        <f t="shared" ca="1" si="127"/>
        <v>171.3340062752788</v>
      </c>
      <c r="T57" s="129">
        <f t="shared" ca="1" si="127"/>
        <v>185.2090062752788</v>
      </c>
      <c r="U57" s="129">
        <f t="shared" ca="1" si="127"/>
        <v>199.0840062752788</v>
      </c>
      <c r="V57" s="129">
        <f t="shared" ca="1" si="127"/>
        <v>212.9590062752788</v>
      </c>
      <c r="W57" s="129">
        <f t="shared" si="127"/>
        <v>0</v>
      </c>
      <c r="X57" s="129">
        <f t="shared" ref="X57:AE57" si="128">($D57&lt;$E57)*(X$5*(X$5&lt;=$D57)*($E57&gt;=X$5))+($D57&gt;=$E57)*(IF(AND(X$5&lt;=$D57,X$5&lt;=$E57),W57+$AG57,0))</f>
        <v>0</v>
      </c>
      <c r="Y57" s="129">
        <f t="shared" si="128"/>
        <v>0</v>
      </c>
      <c r="Z57" s="129">
        <f t="shared" si="128"/>
        <v>0</v>
      </c>
      <c r="AA57" s="129">
        <f t="shared" si="128"/>
        <v>0</v>
      </c>
      <c r="AB57" s="129">
        <f t="shared" si="128"/>
        <v>0</v>
      </c>
      <c r="AC57" s="129">
        <f t="shared" si="128"/>
        <v>0</v>
      </c>
      <c r="AD57" s="129">
        <f t="shared" si="128"/>
        <v>0</v>
      </c>
      <c r="AE57" s="129">
        <f t="shared" si="128"/>
        <v>0</v>
      </c>
      <c r="AG57" s="133">
        <f t="shared" si="28"/>
        <v>13.875</v>
      </c>
      <c r="AH57" s="132">
        <f t="shared" ca="1" si="29"/>
        <v>4.8340062752787869</v>
      </c>
    </row>
    <row r="58" spans="1:34" x14ac:dyDescent="0.25">
      <c r="A58" s="136">
        <v>1</v>
      </c>
      <c r="B58" s="121" t="s">
        <v>271</v>
      </c>
      <c r="C58" s="121" t="s">
        <v>39</v>
      </c>
      <c r="D58" s="122">
        <v>312</v>
      </c>
      <c r="E58" s="117">
        <v>16</v>
      </c>
      <c r="F58" s="117"/>
      <c r="G58" s="128">
        <f t="shared" ca="1" si="42"/>
        <v>6.5090575605947611</v>
      </c>
      <c r="H58" s="129">
        <f t="shared" ref="H58:W58" ca="1" si="129">($D58&lt;$E58)*(H$5*(H$5&lt;=$D58)*($E58&gt;=H$5))+($D58&gt;=$E58)*(IF(AND(H$5&lt;=$D58,H$5&lt;=$E58),G58+$AG58,0))</f>
        <v>26.009057560594762</v>
      </c>
      <c r="I58" s="129">
        <f t="shared" ca="1" si="129"/>
        <v>45.509057560594762</v>
      </c>
      <c r="J58" s="129">
        <f t="shared" ca="1" si="129"/>
        <v>65.009057560594755</v>
      </c>
      <c r="K58" s="129">
        <f t="shared" ca="1" si="129"/>
        <v>84.509057560594755</v>
      </c>
      <c r="L58" s="129">
        <f t="shared" ca="1" si="129"/>
        <v>104.00905756059475</v>
      </c>
      <c r="M58" s="129">
        <f t="shared" ca="1" si="129"/>
        <v>123.50905756059475</v>
      </c>
      <c r="N58" s="129">
        <f t="shared" ca="1" si="129"/>
        <v>143.00905756059475</v>
      </c>
      <c r="O58" s="129">
        <f t="shared" ca="1" si="129"/>
        <v>162.50905756059475</v>
      </c>
      <c r="P58" s="129">
        <f t="shared" ca="1" si="129"/>
        <v>182.00905756059475</v>
      </c>
      <c r="Q58" s="129">
        <f t="shared" ca="1" si="129"/>
        <v>201.50905756059475</v>
      </c>
      <c r="R58" s="129">
        <f t="shared" ca="1" si="129"/>
        <v>221.00905756059475</v>
      </c>
      <c r="S58" s="129">
        <f t="shared" ca="1" si="129"/>
        <v>240.50905756059475</v>
      </c>
      <c r="T58" s="129">
        <f t="shared" ca="1" si="129"/>
        <v>260.00905756059478</v>
      </c>
      <c r="U58" s="129">
        <f t="shared" ca="1" si="129"/>
        <v>279.50905756059478</v>
      </c>
      <c r="V58" s="129">
        <f t="shared" ca="1" si="129"/>
        <v>299.00905756059478</v>
      </c>
      <c r="W58" s="129">
        <f t="shared" si="129"/>
        <v>0</v>
      </c>
      <c r="X58" s="129">
        <f t="shared" ref="X58:AE58" si="130">($D58&lt;$E58)*(X$5*(X$5&lt;=$D58)*($E58&gt;=X$5))+($D58&gt;=$E58)*(IF(AND(X$5&lt;=$D58,X$5&lt;=$E58),W58+$AG58,0))</f>
        <v>0</v>
      </c>
      <c r="Y58" s="129">
        <f t="shared" si="130"/>
        <v>0</v>
      </c>
      <c r="Z58" s="129">
        <f t="shared" si="130"/>
        <v>0</v>
      </c>
      <c r="AA58" s="129">
        <f t="shared" si="130"/>
        <v>0</v>
      </c>
      <c r="AB58" s="129">
        <f t="shared" si="130"/>
        <v>0</v>
      </c>
      <c r="AC58" s="129">
        <f t="shared" si="130"/>
        <v>0</v>
      </c>
      <c r="AD58" s="129">
        <f t="shared" si="130"/>
        <v>0</v>
      </c>
      <c r="AE58" s="129">
        <f t="shared" si="130"/>
        <v>0</v>
      </c>
      <c r="AG58" s="133">
        <f t="shared" si="28"/>
        <v>19.5</v>
      </c>
      <c r="AH58" s="132">
        <f t="shared" ca="1" si="29"/>
        <v>6.5090575605947611</v>
      </c>
    </row>
    <row r="59" spans="1:34" x14ac:dyDescent="0.25">
      <c r="A59" s="136">
        <v>1</v>
      </c>
      <c r="B59" s="121" t="s">
        <v>272</v>
      </c>
      <c r="C59" s="121" t="s">
        <v>39</v>
      </c>
      <c r="D59" s="122">
        <v>281</v>
      </c>
      <c r="E59" s="117">
        <v>16</v>
      </c>
      <c r="F59" s="117"/>
      <c r="G59" s="128">
        <f t="shared" ca="1" si="42"/>
        <v>5.9320954512081476</v>
      </c>
      <c r="H59" s="129">
        <f t="shared" ref="H59:W59" ca="1" si="131">($D59&lt;$E59)*(H$5*(H$5&lt;=$D59)*($E59&gt;=H$5))+($D59&gt;=$E59)*(IF(AND(H$5&lt;=$D59,H$5&lt;=$E59),G59+$AG59,0))</f>
        <v>23.494595451208149</v>
      </c>
      <c r="I59" s="129">
        <f t="shared" ca="1" si="131"/>
        <v>41.057095451208149</v>
      </c>
      <c r="J59" s="129">
        <f t="shared" ca="1" si="131"/>
        <v>58.619595451208149</v>
      </c>
      <c r="K59" s="129">
        <f t="shared" ca="1" si="131"/>
        <v>76.182095451208141</v>
      </c>
      <c r="L59" s="129">
        <f t="shared" ca="1" si="131"/>
        <v>93.744595451208141</v>
      </c>
      <c r="M59" s="129">
        <f t="shared" ca="1" si="131"/>
        <v>111.30709545120814</v>
      </c>
      <c r="N59" s="129">
        <f t="shared" ca="1" si="131"/>
        <v>128.86959545120814</v>
      </c>
      <c r="O59" s="129">
        <f t="shared" ca="1" si="131"/>
        <v>146.43209545120814</v>
      </c>
      <c r="P59" s="129">
        <f t="shared" ca="1" si="131"/>
        <v>163.99459545120814</v>
      </c>
      <c r="Q59" s="129">
        <f t="shared" ca="1" si="131"/>
        <v>181.55709545120814</v>
      </c>
      <c r="R59" s="129">
        <f t="shared" ca="1" si="131"/>
        <v>199.11959545120814</v>
      </c>
      <c r="S59" s="129">
        <f t="shared" ca="1" si="131"/>
        <v>216.68209545120814</v>
      </c>
      <c r="T59" s="129">
        <f t="shared" ca="1" si="131"/>
        <v>234.24459545120814</v>
      </c>
      <c r="U59" s="129">
        <f t="shared" ca="1" si="131"/>
        <v>251.80709545120814</v>
      </c>
      <c r="V59" s="129">
        <f t="shared" ca="1" si="131"/>
        <v>269.36959545120817</v>
      </c>
      <c r="W59" s="129">
        <f t="shared" si="131"/>
        <v>0</v>
      </c>
      <c r="X59" s="129">
        <f t="shared" ref="X59:AE59" si="132">($D59&lt;$E59)*(X$5*(X$5&lt;=$D59)*($E59&gt;=X$5))+($D59&gt;=$E59)*(IF(AND(X$5&lt;=$D59,X$5&lt;=$E59),W59+$AG59,0))</f>
        <v>0</v>
      </c>
      <c r="Y59" s="129">
        <f t="shared" si="132"/>
        <v>0</v>
      </c>
      <c r="Z59" s="129">
        <f t="shared" si="132"/>
        <v>0</v>
      </c>
      <c r="AA59" s="129">
        <f t="shared" si="132"/>
        <v>0</v>
      </c>
      <c r="AB59" s="129">
        <f t="shared" si="132"/>
        <v>0</v>
      </c>
      <c r="AC59" s="129">
        <f t="shared" si="132"/>
        <v>0</v>
      </c>
      <c r="AD59" s="129">
        <f t="shared" si="132"/>
        <v>0</v>
      </c>
      <c r="AE59" s="129">
        <f t="shared" si="132"/>
        <v>0</v>
      </c>
      <c r="AG59" s="133">
        <f t="shared" si="28"/>
        <v>17.5625</v>
      </c>
      <c r="AH59" s="132">
        <f t="shared" ca="1" si="29"/>
        <v>5.9320954512081476</v>
      </c>
    </row>
    <row r="60" spans="1:34" x14ac:dyDescent="0.25">
      <c r="A60" s="136">
        <v>1</v>
      </c>
      <c r="B60" s="121" t="s">
        <v>273</v>
      </c>
      <c r="C60" s="121" t="s">
        <v>39</v>
      </c>
      <c r="D60" s="122">
        <v>317</v>
      </c>
      <c r="E60" s="117">
        <v>16</v>
      </c>
      <c r="F60" s="117"/>
      <c r="G60" s="128">
        <f t="shared" ca="1" si="42"/>
        <v>6.602115965334538</v>
      </c>
      <c r="H60" s="129">
        <f t="shared" ref="H60:W60" ca="1" si="133">($D60&lt;$E60)*(H$5*(H$5&lt;=$D60)*($E60&gt;=H$5))+($D60&gt;=$E60)*(IF(AND(H$5&lt;=$D60,H$5&lt;=$E60),G60+$AG60,0))</f>
        <v>26.414615965334537</v>
      </c>
      <c r="I60" s="129">
        <f t="shared" ca="1" si="133"/>
        <v>46.227115965334534</v>
      </c>
      <c r="J60" s="129">
        <f t="shared" ca="1" si="133"/>
        <v>66.039615965334534</v>
      </c>
      <c r="K60" s="129">
        <f t="shared" ca="1" si="133"/>
        <v>85.852115965334534</v>
      </c>
      <c r="L60" s="129">
        <f t="shared" ca="1" si="133"/>
        <v>105.66461596533453</v>
      </c>
      <c r="M60" s="129">
        <f t="shared" ca="1" si="133"/>
        <v>125.47711596533453</v>
      </c>
      <c r="N60" s="129">
        <f t="shared" ca="1" si="133"/>
        <v>145.28961596533452</v>
      </c>
      <c r="O60" s="129">
        <f t="shared" ca="1" si="133"/>
        <v>165.10211596533452</v>
      </c>
      <c r="P60" s="129">
        <f t="shared" ca="1" si="133"/>
        <v>184.91461596533452</v>
      </c>
      <c r="Q60" s="129">
        <f t="shared" ca="1" si="133"/>
        <v>204.72711596533452</v>
      </c>
      <c r="R60" s="129">
        <f t="shared" ca="1" si="133"/>
        <v>224.53961596533452</v>
      </c>
      <c r="S60" s="129">
        <f t="shared" ca="1" si="133"/>
        <v>244.35211596533452</v>
      </c>
      <c r="T60" s="129">
        <f t="shared" ca="1" si="133"/>
        <v>264.16461596533452</v>
      </c>
      <c r="U60" s="129">
        <f t="shared" ca="1" si="133"/>
        <v>283.97711596533452</v>
      </c>
      <c r="V60" s="129">
        <f t="shared" ca="1" si="133"/>
        <v>303.78961596533452</v>
      </c>
      <c r="W60" s="129">
        <f t="shared" si="133"/>
        <v>0</v>
      </c>
      <c r="X60" s="129">
        <f t="shared" ref="X60:AE60" si="134">($D60&lt;$E60)*(X$5*(X$5&lt;=$D60)*($E60&gt;=X$5))+($D60&gt;=$E60)*(IF(AND(X$5&lt;=$D60,X$5&lt;=$E60),W60+$AG60,0))</f>
        <v>0</v>
      </c>
      <c r="Y60" s="129">
        <f t="shared" si="134"/>
        <v>0</v>
      </c>
      <c r="Z60" s="129">
        <f t="shared" si="134"/>
        <v>0</v>
      </c>
      <c r="AA60" s="129">
        <f t="shared" si="134"/>
        <v>0</v>
      </c>
      <c r="AB60" s="129">
        <f t="shared" si="134"/>
        <v>0</v>
      </c>
      <c r="AC60" s="129">
        <f t="shared" si="134"/>
        <v>0</v>
      </c>
      <c r="AD60" s="129">
        <f t="shared" si="134"/>
        <v>0</v>
      </c>
      <c r="AE60" s="129">
        <f t="shared" si="134"/>
        <v>0</v>
      </c>
      <c r="AG60" s="133">
        <f t="shared" si="28"/>
        <v>19.8125</v>
      </c>
      <c r="AH60" s="132">
        <f t="shared" ca="1" si="29"/>
        <v>6.602115965334538</v>
      </c>
    </row>
    <row r="61" spans="1:34" x14ac:dyDescent="0.25">
      <c r="A61" s="136">
        <v>1</v>
      </c>
      <c r="B61" s="121" t="s">
        <v>613</v>
      </c>
      <c r="C61" s="121" t="s">
        <v>39</v>
      </c>
      <c r="D61" s="122">
        <v>333</v>
      </c>
      <c r="E61" s="117">
        <v>16</v>
      </c>
      <c r="F61" s="117"/>
      <c r="G61" s="128">
        <f t="shared" ca="1" si="42"/>
        <v>6.8999028605018227</v>
      </c>
      <c r="H61" s="129">
        <f t="shared" ref="H61:W61" ca="1" si="135">($D61&lt;$E61)*(H$5*(H$5&lt;=$D61)*($E61&gt;=H$5))+($D61&gt;=$E61)*(IF(AND(H$5&lt;=$D61,H$5&lt;=$E61),G61+$AG61,0))</f>
        <v>27.712402860501822</v>
      </c>
      <c r="I61" s="129">
        <f t="shared" ca="1" si="135"/>
        <v>48.524902860501825</v>
      </c>
      <c r="J61" s="129">
        <f t="shared" ca="1" si="135"/>
        <v>69.337402860501825</v>
      </c>
      <c r="K61" s="129">
        <f t="shared" ca="1" si="135"/>
        <v>90.149902860501825</v>
      </c>
      <c r="L61" s="129">
        <f t="shared" ca="1" si="135"/>
        <v>110.96240286050183</v>
      </c>
      <c r="M61" s="129">
        <f t="shared" ca="1" si="135"/>
        <v>131.77490286050181</v>
      </c>
      <c r="N61" s="129">
        <f t="shared" ca="1" si="135"/>
        <v>152.58740286050181</v>
      </c>
      <c r="O61" s="129">
        <f t="shared" ca="1" si="135"/>
        <v>173.39990286050181</v>
      </c>
      <c r="P61" s="129">
        <f t="shared" ca="1" si="135"/>
        <v>194.21240286050181</v>
      </c>
      <c r="Q61" s="129">
        <f t="shared" ca="1" si="135"/>
        <v>215.02490286050181</v>
      </c>
      <c r="R61" s="129">
        <f t="shared" ca="1" si="135"/>
        <v>235.83740286050181</v>
      </c>
      <c r="S61" s="129">
        <f t="shared" ca="1" si="135"/>
        <v>256.64990286050181</v>
      </c>
      <c r="T61" s="129">
        <f t="shared" ca="1" si="135"/>
        <v>277.46240286050181</v>
      </c>
      <c r="U61" s="129">
        <f t="shared" ca="1" si="135"/>
        <v>298.27490286050181</v>
      </c>
      <c r="V61" s="129">
        <f t="shared" ca="1" si="135"/>
        <v>319.08740286050181</v>
      </c>
      <c r="W61" s="129">
        <f t="shared" si="135"/>
        <v>0</v>
      </c>
      <c r="X61" s="129">
        <f t="shared" ref="X61:AE61" si="136">($D61&lt;$E61)*(X$5*(X$5&lt;=$D61)*($E61&gt;=X$5))+($D61&gt;=$E61)*(IF(AND(X$5&lt;=$D61,X$5&lt;=$E61),W61+$AG61,0))</f>
        <v>0</v>
      </c>
      <c r="Y61" s="129">
        <f t="shared" si="136"/>
        <v>0</v>
      </c>
      <c r="Z61" s="129">
        <f t="shared" si="136"/>
        <v>0</v>
      </c>
      <c r="AA61" s="129">
        <f t="shared" si="136"/>
        <v>0</v>
      </c>
      <c r="AB61" s="129">
        <f t="shared" si="136"/>
        <v>0</v>
      </c>
      <c r="AC61" s="129">
        <f t="shared" si="136"/>
        <v>0</v>
      </c>
      <c r="AD61" s="129">
        <f t="shared" si="136"/>
        <v>0</v>
      </c>
      <c r="AE61" s="129">
        <f t="shared" si="136"/>
        <v>0</v>
      </c>
      <c r="AG61" s="133">
        <f t="shared" si="28"/>
        <v>20.8125</v>
      </c>
      <c r="AH61" s="132">
        <f t="shared" ca="1" si="29"/>
        <v>6.8999028605018227</v>
      </c>
    </row>
    <row r="62" spans="1:34" x14ac:dyDescent="0.25">
      <c r="A62" s="136">
        <v>1</v>
      </c>
      <c r="B62" s="121" t="s">
        <v>359</v>
      </c>
      <c r="C62" s="121" t="s">
        <v>39</v>
      </c>
      <c r="D62" s="124">
        <v>64</v>
      </c>
      <c r="E62" s="117">
        <v>16</v>
      </c>
      <c r="F62" s="117"/>
      <c r="G62" s="128">
        <f t="shared" ca="1" si="42"/>
        <v>1.8933606855018532</v>
      </c>
      <c r="H62" s="129">
        <f t="shared" ref="H62:W62" ca="1" si="137">($D62&lt;$E62)*(H$5*(H$5&lt;=$D62)*($E62&gt;=H$5))+($D62&gt;=$E62)*(IF(AND(H$5&lt;=$D62,H$5&lt;=$E62),G62+$AG62,0))</f>
        <v>5.893360685501853</v>
      </c>
      <c r="I62" s="129">
        <f t="shared" ca="1" si="137"/>
        <v>9.8933606855018539</v>
      </c>
      <c r="J62" s="129">
        <f t="shared" ca="1" si="137"/>
        <v>13.893360685501854</v>
      </c>
      <c r="K62" s="129">
        <f t="shared" ca="1" si="137"/>
        <v>17.893360685501854</v>
      </c>
      <c r="L62" s="129">
        <f t="shared" ca="1" si="137"/>
        <v>21.893360685501854</v>
      </c>
      <c r="M62" s="129">
        <f t="shared" ca="1" si="137"/>
        <v>25.893360685501854</v>
      </c>
      <c r="N62" s="129">
        <f t="shared" ca="1" si="137"/>
        <v>29.893360685501854</v>
      </c>
      <c r="O62" s="129">
        <f t="shared" ca="1" si="137"/>
        <v>33.893360685501854</v>
      </c>
      <c r="P62" s="129">
        <f t="shared" ca="1" si="137"/>
        <v>37.893360685501854</v>
      </c>
      <c r="Q62" s="129">
        <f t="shared" ca="1" si="137"/>
        <v>41.893360685501854</v>
      </c>
      <c r="R62" s="129">
        <f t="shared" ca="1" si="137"/>
        <v>45.893360685501854</v>
      </c>
      <c r="S62" s="129">
        <f t="shared" ca="1" si="137"/>
        <v>49.893360685501854</v>
      </c>
      <c r="T62" s="129">
        <f t="shared" ca="1" si="137"/>
        <v>53.893360685501854</v>
      </c>
      <c r="U62" s="129">
        <f t="shared" ca="1" si="137"/>
        <v>57.893360685501854</v>
      </c>
      <c r="V62" s="129">
        <f t="shared" ca="1" si="137"/>
        <v>61.893360685501854</v>
      </c>
      <c r="W62" s="129">
        <f t="shared" si="137"/>
        <v>0</v>
      </c>
      <c r="X62" s="129">
        <f t="shared" ref="X62:AE62" si="138">($D62&lt;$E62)*(X$5*(X$5&lt;=$D62)*($E62&gt;=X$5))+($D62&gt;=$E62)*(IF(AND(X$5&lt;=$D62,X$5&lt;=$E62),W62+$AG62,0))</f>
        <v>0</v>
      </c>
      <c r="Y62" s="129">
        <f t="shared" si="138"/>
        <v>0</v>
      </c>
      <c r="Z62" s="129">
        <f t="shared" si="138"/>
        <v>0</v>
      </c>
      <c r="AA62" s="129">
        <f t="shared" si="138"/>
        <v>0</v>
      </c>
      <c r="AB62" s="129">
        <f t="shared" si="138"/>
        <v>0</v>
      </c>
      <c r="AC62" s="129">
        <f t="shared" si="138"/>
        <v>0</v>
      </c>
      <c r="AD62" s="129">
        <f t="shared" si="138"/>
        <v>0</v>
      </c>
      <c r="AE62" s="129">
        <f t="shared" si="138"/>
        <v>0</v>
      </c>
      <c r="AG62" s="133">
        <f t="shared" si="28"/>
        <v>4</v>
      </c>
      <c r="AH62" s="132">
        <f t="shared" ca="1" si="29"/>
        <v>1.8933606855018532</v>
      </c>
    </row>
    <row r="63" spans="1:34" x14ac:dyDescent="0.25">
      <c r="A63" s="136">
        <v>1</v>
      </c>
      <c r="B63" s="123" t="s">
        <v>380</v>
      </c>
      <c r="C63" s="121" t="s">
        <v>39</v>
      </c>
      <c r="D63" s="122">
        <v>189</v>
      </c>
      <c r="E63" s="117">
        <v>16</v>
      </c>
      <c r="F63" s="117"/>
      <c r="G63" s="128">
        <f t="shared" ca="1" si="42"/>
        <v>4.2198208039962628</v>
      </c>
      <c r="H63" s="129">
        <f t="shared" ref="H63:W63" ca="1" si="139">($D63&lt;$E63)*(H$5*(H$5&lt;=$D63)*($E63&gt;=H$5))+($D63&gt;=$E63)*(IF(AND(H$5&lt;=$D63,H$5&lt;=$E63),G63+$AG63,0))</f>
        <v>16.032320803996264</v>
      </c>
      <c r="I63" s="129">
        <f t="shared" ca="1" si="139"/>
        <v>27.844820803996264</v>
      </c>
      <c r="J63" s="129">
        <f t="shared" ca="1" si="139"/>
        <v>39.657320803996264</v>
      </c>
      <c r="K63" s="129">
        <f t="shared" ca="1" si="139"/>
        <v>51.469820803996264</v>
      </c>
      <c r="L63" s="129">
        <f t="shared" ca="1" si="139"/>
        <v>63.282320803996264</v>
      </c>
      <c r="M63" s="129">
        <f t="shared" ca="1" si="139"/>
        <v>75.094820803996271</v>
      </c>
      <c r="N63" s="129">
        <f t="shared" ca="1" si="139"/>
        <v>86.907320803996271</v>
      </c>
      <c r="O63" s="129">
        <f t="shared" ca="1" si="139"/>
        <v>98.719820803996271</v>
      </c>
      <c r="P63" s="129">
        <f t="shared" ca="1" si="139"/>
        <v>110.53232080399627</v>
      </c>
      <c r="Q63" s="129">
        <f t="shared" ca="1" si="139"/>
        <v>122.34482080399627</v>
      </c>
      <c r="R63" s="129">
        <f t="shared" ca="1" si="139"/>
        <v>134.15732080399627</v>
      </c>
      <c r="S63" s="129">
        <f t="shared" ca="1" si="139"/>
        <v>145.96982080399627</v>
      </c>
      <c r="T63" s="129">
        <f t="shared" ca="1" si="139"/>
        <v>157.78232080399627</v>
      </c>
      <c r="U63" s="129">
        <f t="shared" ca="1" si="139"/>
        <v>169.59482080399627</v>
      </c>
      <c r="V63" s="129">
        <f t="shared" ca="1" si="139"/>
        <v>181.40732080399627</v>
      </c>
      <c r="W63" s="129">
        <f t="shared" si="139"/>
        <v>0</v>
      </c>
      <c r="X63" s="129">
        <f t="shared" ref="X63:AE63" si="140">($D63&lt;$E63)*(X$5*(X$5&lt;=$D63)*($E63&gt;=X$5))+($D63&gt;=$E63)*(IF(AND(X$5&lt;=$D63,X$5&lt;=$E63),W63+$AG63,0))</f>
        <v>0</v>
      </c>
      <c r="Y63" s="129">
        <f t="shared" si="140"/>
        <v>0</v>
      </c>
      <c r="Z63" s="129">
        <f t="shared" si="140"/>
        <v>0</v>
      </c>
      <c r="AA63" s="129">
        <f t="shared" si="140"/>
        <v>0</v>
      </c>
      <c r="AB63" s="129">
        <f t="shared" si="140"/>
        <v>0</v>
      </c>
      <c r="AC63" s="129">
        <f t="shared" si="140"/>
        <v>0</v>
      </c>
      <c r="AD63" s="129">
        <f t="shared" si="140"/>
        <v>0</v>
      </c>
      <c r="AE63" s="129">
        <f t="shared" si="140"/>
        <v>0</v>
      </c>
      <c r="AG63" s="133">
        <f t="shared" si="28"/>
        <v>11.8125</v>
      </c>
      <c r="AH63" s="132">
        <f t="shared" ca="1" si="29"/>
        <v>4.2198208039962628</v>
      </c>
    </row>
    <row r="64" spans="1:34" x14ac:dyDescent="0.25">
      <c r="A64" s="136">
        <v>1</v>
      </c>
      <c r="B64" s="121" t="s">
        <v>381</v>
      </c>
      <c r="C64" s="121" t="s">
        <v>39</v>
      </c>
      <c r="D64" s="122">
        <v>260</v>
      </c>
      <c r="E64" s="117">
        <v>16</v>
      </c>
      <c r="F64" s="117"/>
      <c r="G64" s="128">
        <f t="shared" ca="1" si="42"/>
        <v>5.541250151301087</v>
      </c>
      <c r="H64" s="129">
        <f t="shared" ref="H64:W64" ca="1" si="141">($D64&lt;$E64)*(H$5*(H$5&lt;=$D64)*($E64&gt;=H$5))+($D64&gt;=$E64)*(IF(AND(H$5&lt;=$D64,H$5&lt;=$E64),G64+$AG64,0))</f>
        <v>21.791250151301085</v>
      </c>
      <c r="I64" s="129">
        <f t="shared" ca="1" si="141"/>
        <v>38.041250151301085</v>
      </c>
      <c r="J64" s="129">
        <f t="shared" ca="1" si="141"/>
        <v>54.291250151301085</v>
      </c>
      <c r="K64" s="129">
        <f t="shared" ca="1" si="141"/>
        <v>70.541250151301085</v>
      </c>
      <c r="L64" s="129">
        <f t="shared" ca="1" si="141"/>
        <v>86.791250151301085</v>
      </c>
      <c r="M64" s="129">
        <f t="shared" ca="1" si="141"/>
        <v>103.04125015130109</v>
      </c>
      <c r="N64" s="129">
        <f t="shared" ca="1" si="141"/>
        <v>119.29125015130109</v>
      </c>
      <c r="O64" s="129">
        <f t="shared" ca="1" si="141"/>
        <v>135.54125015130109</v>
      </c>
      <c r="P64" s="129">
        <f t="shared" ca="1" si="141"/>
        <v>151.79125015130109</v>
      </c>
      <c r="Q64" s="129">
        <f t="shared" ca="1" si="141"/>
        <v>168.04125015130109</v>
      </c>
      <c r="R64" s="129">
        <f t="shared" ca="1" si="141"/>
        <v>184.29125015130109</v>
      </c>
      <c r="S64" s="129">
        <f t="shared" ca="1" si="141"/>
        <v>200.54125015130109</v>
      </c>
      <c r="T64" s="129">
        <f t="shared" ca="1" si="141"/>
        <v>216.79125015130109</v>
      </c>
      <c r="U64" s="129">
        <f t="shared" ca="1" si="141"/>
        <v>233.04125015130109</v>
      </c>
      <c r="V64" s="129">
        <f t="shared" ca="1" si="141"/>
        <v>249.29125015130109</v>
      </c>
      <c r="W64" s="129">
        <f t="shared" si="141"/>
        <v>0</v>
      </c>
      <c r="X64" s="129">
        <f t="shared" ref="X64:AE64" si="142">($D64&lt;$E64)*(X$5*(X$5&lt;=$D64)*($E64&gt;=X$5))+($D64&gt;=$E64)*(IF(AND(X$5&lt;=$D64,X$5&lt;=$E64),W64+$AG64,0))</f>
        <v>0</v>
      </c>
      <c r="Y64" s="129">
        <f t="shared" si="142"/>
        <v>0</v>
      </c>
      <c r="Z64" s="129">
        <f t="shared" si="142"/>
        <v>0</v>
      </c>
      <c r="AA64" s="129">
        <f t="shared" si="142"/>
        <v>0</v>
      </c>
      <c r="AB64" s="129">
        <f t="shared" si="142"/>
        <v>0</v>
      </c>
      <c r="AC64" s="129">
        <f t="shared" si="142"/>
        <v>0</v>
      </c>
      <c r="AD64" s="129">
        <f t="shared" si="142"/>
        <v>0</v>
      </c>
      <c r="AE64" s="129">
        <f t="shared" si="142"/>
        <v>0</v>
      </c>
      <c r="AG64" s="133">
        <f t="shared" si="28"/>
        <v>16.25</v>
      </c>
      <c r="AH64" s="132">
        <f t="shared" ca="1" si="29"/>
        <v>5.541250151301087</v>
      </c>
    </row>
    <row r="65" spans="1:34" x14ac:dyDescent="0.25">
      <c r="A65" s="136">
        <v>1</v>
      </c>
      <c r="B65" s="121" t="s">
        <v>382</v>
      </c>
      <c r="C65" s="121" t="s">
        <v>39</v>
      </c>
      <c r="D65" s="122">
        <v>185</v>
      </c>
      <c r="E65" s="117">
        <v>16</v>
      </c>
      <c r="F65" s="117"/>
      <c r="G65" s="128">
        <f t="shared" ca="1" si="42"/>
        <v>4.1453740802044416</v>
      </c>
      <c r="H65" s="129">
        <f t="shared" ref="H65:W65" ca="1" si="143">($D65&lt;$E65)*(H$5*(H$5&lt;=$D65)*($E65&gt;=H$5))+($D65&gt;=$E65)*(IF(AND(H$5&lt;=$D65,H$5&lt;=$E65),G65+$AG65,0))</f>
        <v>15.707874080204441</v>
      </c>
      <c r="I65" s="129">
        <f t="shared" ca="1" si="143"/>
        <v>27.270374080204441</v>
      </c>
      <c r="J65" s="129">
        <f t="shared" ca="1" si="143"/>
        <v>38.832874080204441</v>
      </c>
      <c r="K65" s="129">
        <f t="shared" ca="1" si="143"/>
        <v>50.395374080204441</v>
      </c>
      <c r="L65" s="129">
        <f t="shared" ca="1" si="143"/>
        <v>61.957874080204441</v>
      </c>
      <c r="M65" s="129">
        <f t="shared" ca="1" si="143"/>
        <v>73.520374080204448</v>
      </c>
      <c r="N65" s="129">
        <f t="shared" ca="1" si="143"/>
        <v>85.082874080204448</v>
      </c>
      <c r="O65" s="129">
        <f t="shared" ca="1" si="143"/>
        <v>96.645374080204448</v>
      </c>
      <c r="P65" s="129">
        <f t="shared" ca="1" si="143"/>
        <v>108.20787408020445</v>
      </c>
      <c r="Q65" s="129">
        <f t="shared" ca="1" si="143"/>
        <v>119.77037408020445</v>
      </c>
      <c r="R65" s="129">
        <f t="shared" ca="1" si="143"/>
        <v>131.33287408020445</v>
      </c>
      <c r="S65" s="129">
        <f t="shared" ca="1" si="143"/>
        <v>142.89537408020445</v>
      </c>
      <c r="T65" s="129">
        <f t="shared" ca="1" si="143"/>
        <v>154.45787408020445</v>
      </c>
      <c r="U65" s="129">
        <f t="shared" ca="1" si="143"/>
        <v>166.02037408020445</v>
      </c>
      <c r="V65" s="129">
        <f t="shared" ca="1" si="143"/>
        <v>177.58287408020445</v>
      </c>
      <c r="W65" s="129">
        <f t="shared" si="143"/>
        <v>0</v>
      </c>
      <c r="X65" s="129">
        <f t="shared" ref="X65:AE65" si="144">($D65&lt;$E65)*(X$5*(X$5&lt;=$D65)*($E65&gt;=X$5))+($D65&gt;=$E65)*(IF(AND(X$5&lt;=$D65,X$5&lt;=$E65),W65+$AG65,0))</f>
        <v>0</v>
      </c>
      <c r="Y65" s="129">
        <f t="shared" si="144"/>
        <v>0</v>
      </c>
      <c r="Z65" s="129">
        <f t="shared" si="144"/>
        <v>0</v>
      </c>
      <c r="AA65" s="129">
        <f t="shared" si="144"/>
        <v>0</v>
      </c>
      <c r="AB65" s="129">
        <f t="shared" si="144"/>
        <v>0</v>
      </c>
      <c r="AC65" s="129">
        <f t="shared" si="144"/>
        <v>0</v>
      </c>
      <c r="AD65" s="129">
        <f t="shared" si="144"/>
        <v>0</v>
      </c>
      <c r="AE65" s="129">
        <f t="shared" si="144"/>
        <v>0</v>
      </c>
      <c r="AG65" s="133">
        <f t="shared" si="28"/>
        <v>11.5625</v>
      </c>
      <c r="AH65" s="132">
        <f t="shared" ca="1" si="29"/>
        <v>4.1453740802044416</v>
      </c>
    </row>
    <row r="66" spans="1:34" x14ac:dyDescent="0.25">
      <c r="A66" s="136">
        <v>1</v>
      </c>
      <c r="B66" s="121" t="s">
        <v>383</v>
      </c>
      <c r="C66" s="121" t="s">
        <v>39</v>
      </c>
      <c r="D66" s="122">
        <v>228</v>
      </c>
      <c r="E66" s="117">
        <v>16</v>
      </c>
      <c r="F66" s="117"/>
      <c r="G66" s="128">
        <f t="shared" ca="1" si="42"/>
        <v>4.9456763609665177</v>
      </c>
      <c r="H66" s="129">
        <f t="shared" ref="H66:W66" ca="1" si="145">($D66&lt;$E66)*(H$5*(H$5&lt;=$D66)*($E66&gt;=H$5))+($D66&gt;=$E66)*(IF(AND(H$5&lt;=$D66,H$5&lt;=$E66),G66+$AG66,0))</f>
        <v>19.195676360966516</v>
      </c>
      <c r="I66" s="129">
        <f t="shared" ca="1" si="145"/>
        <v>33.445676360966516</v>
      </c>
      <c r="J66" s="129">
        <f t="shared" ca="1" si="145"/>
        <v>47.695676360966516</v>
      </c>
      <c r="K66" s="129">
        <f t="shared" ca="1" si="145"/>
        <v>61.945676360966516</v>
      </c>
      <c r="L66" s="129">
        <f t="shared" ca="1" si="145"/>
        <v>76.195676360966516</v>
      </c>
      <c r="M66" s="129">
        <f t="shared" ca="1" si="145"/>
        <v>90.445676360966516</v>
      </c>
      <c r="N66" s="129">
        <f t="shared" ca="1" si="145"/>
        <v>104.69567636096652</v>
      </c>
      <c r="O66" s="129">
        <f t="shared" ca="1" si="145"/>
        <v>118.94567636096652</v>
      </c>
      <c r="P66" s="129">
        <f t="shared" ca="1" si="145"/>
        <v>133.1956763609665</v>
      </c>
      <c r="Q66" s="129">
        <f t="shared" ca="1" si="145"/>
        <v>147.4456763609665</v>
      </c>
      <c r="R66" s="129">
        <f t="shared" ca="1" si="145"/>
        <v>161.6956763609665</v>
      </c>
      <c r="S66" s="129">
        <f t="shared" ca="1" si="145"/>
        <v>175.9456763609665</v>
      </c>
      <c r="T66" s="129">
        <f t="shared" ca="1" si="145"/>
        <v>190.1956763609665</v>
      </c>
      <c r="U66" s="129">
        <f t="shared" ca="1" si="145"/>
        <v>204.4456763609665</v>
      </c>
      <c r="V66" s="129">
        <f t="shared" ca="1" si="145"/>
        <v>218.6956763609665</v>
      </c>
      <c r="W66" s="129">
        <f t="shared" si="145"/>
        <v>0</v>
      </c>
      <c r="X66" s="129">
        <f t="shared" ref="X66:AE66" si="146">($D66&lt;$E66)*(X$5*(X$5&lt;=$D66)*($E66&gt;=X$5))+($D66&gt;=$E66)*(IF(AND(X$5&lt;=$D66,X$5&lt;=$E66),W66+$AG66,0))</f>
        <v>0</v>
      </c>
      <c r="Y66" s="129">
        <f t="shared" si="146"/>
        <v>0</v>
      </c>
      <c r="Z66" s="129">
        <f t="shared" si="146"/>
        <v>0</v>
      </c>
      <c r="AA66" s="129">
        <f t="shared" si="146"/>
        <v>0</v>
      </c>
      <c r="AB66" s="129">
        <f t="shared" si="146"/>
        <v>0</v>
      </c>
      <c r="AC66" s="129">
        <f t="shared" si="146"/>
        <v>0</v>
      </c>
      <c r="AD66" s="129">
        <f t="shared" si="146"/>
        <v>0</v>
      </c>
      <c r="AE66" s="129">
        <f t="shared" si="146"/>
        <v>0</v>
      </c>
      <c r="AG66" s="133">
        <f t="shared" si="28"/>
        <v>14.25</v>
      </c>
      <c r="AH66" s="132">
        <f t="shared" ca="1" si="29"/>
        <v>4.9456763609665177</v>
      </c>
    </row>
    <row r="67" spans="1:34" s="114" customFormat="1" x14ac:dyDescent="0.25">
      <c r="A67" s="136">
        <v>1</v>
      </c>
      <c r="B67" s="121" t="s">
        <v>384</v>
      </c>
      <c r="C67" s="121" t="s">
        <v>39</v>
      </c>
      <c r="D67" s="126">
        <v>226</v>
      </c>
      <c r="E67" s="117">
        <v>16</v>
      </c>
      <c r="F67" s="118"/>
      <c r="G67" s="128">
        <f t="shared" ca="1" si="42"/>
        <v>4.9084529990706081</v>
      </c>
      <c r="H67" s="129">
        <f t="shared" ref="H67:W67" ca="1" si="147">($D67&lt;$E67)*(H$5*(H$5&lt;=$D67)*($E67&gt;=H$5))+($D67&gt;=$E67)*(IF(AND(H$5&lt;=$D67,H$5&lt;=$E67),G67+$AG67,0))</f>
        <v>19.033452999070608</v>
      </c>
      <c r="I67" s="129">
        <f t="shared" ca="1" si="147"/>
        <v>33.158452999070605</v>
      </c>
      <c r="J67" s="129">
        <f t="shared" ca="1" si="147"/>
        <v>47.283452999070605</v>
      </c>
      <c r="K67" s="129">
        <f t="shared" ca="1" si="147"/>
        <v>61.408452999070605</v>
      </c>
      <c r="L67" s="129">
        <f t="shared" ca="1" si="147"/>
        <v>75.533452999070605</v>
      </c>
      <c r="M67" s="129">
        <f t="shared" ca="1" si="147"/>
        <v>89.658452999070605</v>
      </c>
      <c r="N67" s="129">
        <f t="shared" ca="1" si="147"/>
        <v>103.7834529990706</v>
      </c>
      <c r="O67" s="129">
        <f t="shared" ca="1" si="147"/>
        <v>117.9084529990706</v>
      </c>
      <c r="P67" s="129">
        <f t="shared" ca="1" si="147"/>
        <v>132.03345299907062</v>
      </c>
      <c r="Q67" s="129">
        <f t="shared" ca="1" si="147"/>
        <v>146.15845299907062</v>
      </c>
      <c r="R67" s="129">
        <f t="shared" ca="1" si="147"/>
        <v>160.28345299907062</v>
      </c>
      <c r="S67" s="129">
        <f t="shared" ca="1" si="147"/>
        <v>174.40845299907062</v>
      </c>
      <c r="T67" s="129">
        <f t="shared" ca="1" si="147"/>
        <v>188.53345299907062</v>
      </c>
      <c r="U67" s="129">
        <f t="shared" ca="1" si="147"/>
        <v>202.65845299907062</v>
      </c>
      <c r="V67" s="129">
        <f t="shared" ca="1" si="147"/>
        <v>216.78345299907062</v>
      </c>
      <c r="W67" s="129">
        <f t="shared" si="147"/>
        <v>0</v>
      </c>
      <c r="X67" s="129">
        <f t="shared" ref="X67:AE67" si="148">($D67&lt;$E67)*(X$5*(X$5&lt;=$D67)*($E67&gt;=X$5))+($D67&gt;=$E67)*(IF(AND(X$5&lt;=$D67,X$5&lt;=$E67),W67+$AG67,0))</f>
        <v>0</v>
      </c>
      <c r="Y67" s="129">
        <f t="shared" si="148"/>
        <v>0</v>
      </c>
      <c r="Z67" s="129">
        <f t="shared" si="148"/>
        <v>0</v>
      </c>
      <c r="AA67" s="129">
        <f t="shared" si="148"/>
        <v>0</v>
      </c>
      <c r="AB67" s="129">
        <f t="shared" si="148"/>
        <v>0</v>
      </c>
      <c r="AC67" s="129">
        <f t="shared" si="148"/>
        <v>0</v>
      </c>
      <c r="AD67" s="129">
        <f t="shared" si="148"/>
        <v>0</v>
      </c>
      <c r="AE67" s="129">
        <f t="shared" si="148"/>
        <v>0</v>
      </c>
      <c r="AG67" s="133">
        <f t="shared" si="28"/>
        <v>14.125</v>
      </c>
      <c r="AH67" s="132">
        <f t="shared" ca="1" si="29"/>
        <v>4.9084529990706081</v>
      </c>
    </row>
    <row r="68" spans="1:34" s="114" customFormat="1" x14ac:dyDescent="0.25">
      <c r="A68" s="137">
        <v>2</v>
      </c>
      <c r="B68" s="125" t="s">
        <v>385</v>
      </c>
      <c r="C68" s="121" t="s">
        <v>39</v>
      </c>
      <c r="D68" s="126">
        <v>214</v>
      </c>
      <c r="E68" s="117">
        <v>16</v>
      </c>
      <c r="F68" s="118"/>
      <c r="G68" s="128">
        <f t="shared" ca="1" si="42"/>
        <v>4.6851128276951446</v>
      </c>
      <c r="H68" s="129">
        <f t="shared" ref="H68:W68" ca="1" si="149">($D68&lt;$E68)*(H$5*(H$5&lt;=$D68)*($E68&gt;=H$5))+($D68&gt;=$E68)*(IF(AND(H$5&lt;=$D68,H$5&lt;=$E68),G68+$AG68,0))</f>
        <v>18.060112827695143</v>
      </c>
      <c r="I68" s="129">
        <f t="shared" ca="1" si="149"/>
        <v>31.435112827695143</v>
      </c>
      <c r="J68" s="129">
        <f t="shared" ca="1" si="149"/>
        <v>44.810112827695143</v>
      </c>
      <c r="K68" s="129">
        <f t="shared" ca="1" si="149"/>
        <v>58.185112827695143</v>
      </c>
      <c r="L68" s="129">
        <f t="shared" ca="1" si="149"/>
        <v>71.56011282769515</v>
      </c>
      <c r="M68" s="129">
        <f t="shared" ca="1" si="149"/>
        <v>84.93511282769515</v>
      </c>
      <c r="N68" s="129">
        <f t="shared" ca="1" si="149"/>
        <v>98.31011282769515</v>
      </c>
      <c r="O68" s="129">
        <f t="shared" ca="1" si="149"/>
        <v>111.68511282769515</v>
      </c>
      <c r="P68" s="129">
        <f t="shared" ca="1" si="149"/>
        <v>125.06011282769515</v>
      </c>
      <c r="Q68" s="129">
        <f t="shared" ca="1" si="149"/>
        <v>138.43511282769515</v>
      </c>
      <c r="R68" s="129">
        <f t="shared" ca="1" si="149"/>
        <v>151.81011282769515</v>
      </c>
      <c r="S68" s="129">
        <f t="shared" ca="1" si="149"/>
        <v>165.18511282769515</v>
      </c>
      <c r="T68" s="129">
        <f t="shared" ca="1" si="149"/>
        <v>178.56011282769515</v>
      </c>
      <c r="U68" s="129">
        <f t="shared" ca="1" si="149"/>
        <v>191.93511282769515</v>
      </c>
      <c r="V68" s="129">
        <f t="shared" ca="1" si="149"/>
        <v>205.31011282769515</v>
      </c>
      <c r="W68" s="129">
        <f t="shared" si="149"/>
        <v>0</v>
      </c>
      <c r="X68" s="129">
        <f t="shared" ref="X68:AE68" si="150">($D68&lt;$E68)*(X$5*(X$5&lt;=$D68)*($E68&gt;=X$5))+($D68&gt;=$E68)*(IF(AND(X$5&lt;=$D68,X$5&lt;=$E68),W68+$AG68,0))</f>
        <v>0</v>
      </c>
      <c r="Y68" s="129">
        <f t="shared" si="150"/>
        <v>0</v>
      </c>
      <c r="Z68" s="129">
        <f t="shared" si="150"/>
        <v>0</v>
      </c>
      <c r="AA68" s="129">
        <f t="shared" si="150"/>
        <v>0</v>
      </c>
      <c r="AB68" s="129">
        <f t="shared" si="150"/>
        <v>0</v>
      </c>
      <c r="AC68" s="129">
        <f t="shared" si="150"/>
        <v>0</v>
      </c>
      <c r="AD68" s="129">
        <f t="shared" si="150"/>
        <v>0</v>
      </c>
      <c r="AE68" s="129">
        <f t="shared" si="150"/>
        <v>0</v>
      </c>
      <c r="AG68" s="133">
        <f t="shared" si="28"/>
        <v>13.375</v>
      </c>
      <c r="AH68" s="132">
        <f t="shared" ca="1" si="29"/>
        <v>4.6851128276951446</v>
      </c>
    </row>
    <row r="69" spans="1:34" s="114" customFormat="1" x14ac:dyDescent="0.25">
      <c r="A69" s="137">
        <v>2</v>
      </c>
      <c r="B69" s="125" t="s">
        <v>386</v>
      </c>
      <c r="C69" s="121" t="s">
        <v>39</v>
      </c>
      <c r="D69" s="127">
        <v>100</v>
      </c>
      <c r="E69" s="117">
        <v>16</v>
      </c>
      <c r="F69" s="118"/>
      <c r="G69" s="128">
        <f t="shared" ca="1" si="42"/>
        <v>2.5633811996282434</v>
      </c>
      <c r="H69" s="129">
        <f t="shared" ref="H69:W69" ca="1" si="151">($D69&lt;$E69)*(H$5*(H$5&lt;=$D69)*($E69&gt;=H$5))+($D69&gt;=$E69)*(IF(AND(H$5&lt;=$D69,H$5&lt;=$E69),G69+$AG69,0))</f>
        <v>8.8133811996282425</v>
      </c>
      <c r="I69" s="129">
        <f t="shared" ca="1" si="151"/>
        <v>15.063381199628243</v>
      </c>
      <c r="J69" s="129">
        <f t="shared" ca="1" si="151"/>
        <v>21.313381199628243</v>
      </c>
      <c r="K69" s="129">
        <f t="shared" ca="1" si="151"/>
        <v>27.563381199628243</v>
      </c>
      <c r="L69" s="129">
        <f t="shared" ca="1" si="151"/>
        <v>33.813381199628239</v>
      </c>
      <c r="M69" s="129">
        <f t="shared" ca="1" si="151"/>
        <v>40.063381199628239</v>
      </c>
      <c r="N69" s="129">
        <f t="shared" ca="1" si="151"/>
        <v>46.313381199628239</v>
      </c>
      <c r="O69" s="129">
        <f t="shared" ca="1" si="151"/>
        <v>52.563381199628239</v>
      </c>
      <c r="P69" s="129">
        <f t="shared" ca="1" si="151"/>
        <v>58.813381199628239</v>
      </c>
      <c r="Q69" s="129">
        <f t="shared" ca="1" si="151"/>
        <v>65.063381199628239</v>
      </c>
      <c r="R69" s="129">
        <f t="shared" ca="1" si="151"/>
        <v>71.313381199628239</v>
      </c>
      <c r="S69" s="129">
        <f t="shared" ca="1" si="151"/>
        <v>77.563381199628239</v>
      </c>
      <c r="T69" s="129">
        <f t="shared" ca="1" si="151"/>
        <v>83.813381199628239</v>
      </c>
      <c r="U69" s="129">
        <f t="shared" ca="1" si="151"/>
        <v>90.063381199628239</v>
      </c>
      <c r="V69" s="129">
        <f t="shared" ca="1" si="151"/>
        <v>96.313381199628239</v>
      </c>
      <c r="W69" s="129">
        <f t="shared" si="151"/>
        <v>0</v>
      </c>
      <c r="X69" s="129">
        <f t="shared" ref="X69:AE69" si="152">($D69&lt;$E69)*(X$5*(X$5&lt;=$D69)*($E69&gt;=X$5))+($D69&gt;=$E69)*(IF(AND(X$5&lt;=$D69,X$5&lt;=$E69),W69+$AG69,0))</f>
        <v>0</v>
      </c>
      <c r="Y69" s="129">
        <f t="shared" si="152"/>
        <v>0</v>
      </c>
      <c r="Z69" s="129">
        <f t="shared" si="152"/>
        <v>0</v>
      </c>
      <c r="AA69" s="129">
        <f t="shared" si="152"/>
        <v>0</v>
      </c>
      <c r="AB69" s="129">
        <f t="shared" si="152"/>
        <v>0</v>
      </c>
      <c r="AC69" s="129">
        <f t="shared" si="152"/>
        <v>0</v>
      </c>
      <c r="AD69" s="129">
        <f t="shared" si="152"/>
        <v>0</v>
      </c>
      <c r="AE69" s="129">
        <f t="shared" si="152"/>
        <v>0</v>
      </c>
      <c r="AG69" s="133">
        <f t="shared" si="28"/>
        <v>6.25</v>
      </c>
      <c r="AH69" s="132">
        <f t="shared" ca="1" si="29"/>
        <v>2.5633811996282434</v>
      </c>
    </row>
    <row r="70" spans="1:34" s="114" customFormat="1" x14ac:dyDescent="0.25">
      <c r="A70" s="137">
        <v>2</v>
      </c>
      <c r="B70" s="125" t="s">
        <v>387</v>
      </c>
      <c r="C70" s="121" t="s">
        <v>39</v>
      </c>
      <c r="D70" s="126">
        <v>88</v>
      </c>
      <c r="E70" s="117">
        <v>16</v>
      </c>
      <c r="F70" s="118"/>
      <c r="G70" s="128">
        <f t="shared" ca="1" si="42"/>
        <v>2.3400410282527799</v>
      </c>
      <c r="H70" s="129">
        <f t="shared" ref="H70:W70" ca="1" si="153">($D70&lt;$E70)*(H$5*(H$5&lt;=$D70)*($E70&gt;=H$5))+($D70&gt;=$E70)*(IF(AND(H$5&lt;=$D70,H$5&lt;=$E70),G70+$AG70,0))</f>
        <v>7.8400410282527799</v>
      </c>
      <c r="I70" s="129">
        <f t="shared" ca="1" si="153"/>
        <v>13.340041028252781</v>
      </c>
      <c r="J70" s="129">
        <f t="shared" ca="1" si="153"/>
        <v>18.840041028252781</v>
      </c>
      <c r="K70" s="129">
        <f t="shared" ca="1" si="153"/>
        <v>24.340041028252781</v>
      </c>
      <c r="L70" s="129">
        <f t="shared" ca="1" si="153"/>
        <v>29.840041028252781</v>
      </c>
      <c r="M70" s="129">
        <f t="shared" ca="1" si="153"/>
        <v>35.340041028252784</v>
      </c>
      <c r="N70" s="129">
        <f t="shared" ca="1" si="153"/>
        <v>40.840041028252784</v>
      </c>
      <c r="O70" s="129">
        <f t="shared" ca="1" si="153"/>
        <v>46.340041028252784</v>
      </c>
      <c r="P70" s="129">
        <f t="shared" ca="1" si="153"/>
        <v>51.840041028252784</v>
      </c>
      <c r="Q70" s="129">
        <f t="shared" ca="1" si="153"/>
        <v>57.340041028252784</v>
      </c>
      <c r="R70" s="129">
        <f t="shared" ca="1" si="153"/>
        <v>62.840041028252784</v>
      </c>
      <c r="S70" s="129">
        <f t="shared" ca="1" si="153"/>
        <v>68.340041028252784</v>
      </c>
      <c r="T70" s="129">
        <f t="shared" ca="1" si="153"/>
        <v>73.840041028252784</v>
      </c>
      <c r="U70" s="129">
        <f t="shared" ca="1" si="153"/>
        <v>79.340041028252784</v>
      </c>
      <c r="V70" s="129">
        <f t="shared" ca="1" si="153"/>
        <v>84.840041028252784</v>
      </c>
      <c r="W70" s="129">
        <f t="shared" si="153"/>
        <v>0</v>
      </c>
      <c r="X70" s="129">
        <f t="shared" ref="X70:AE70" si="154">($D70&lt;$E70)*(X$5*(X$5&lt;=$D70)*($E70&gt;=X$5))+($D70&gt;=$E70)*(IF(AND(X$5&lt;=$D70,X$5&lt;=$E70),W70+$AG70,0))</f>
        <v>0</v>
      </c>
      <c r="Y70" s="129">
        <f t="shared" si="154"/>
        <v>0</v>
      </c>
      <c r="Z70" s="129">
        <f t="shared" si="154"/>
        <v>0</v>
      </c>
      <c r="AA70" s="129">
        <f t="shared" si="154"/>
        <v>0</v>
      </c>
      <c r="AB70" s="129">
        <f t="shared" si="154"/>
        <v>0</v>
      </c>
      <c r="AC70" s="129">
        <f t="shared" si="154"/>
        <v>0</v>
      </c>
      <c r="AD70" s="129">
        <f t="shared" si="154"/>
        <v>0</v>
      </c>
      <c r="AE70" s="129">
        <f t="shared" si="154"/>
        <v>0</v>
      </c>
      <c r="AG70" s="133">
        <f t="shared" si="28"/>
        <v>5.5</v>
      </c>
      <c r="AH70" s="132">
        <f t="shared" ca="1" si="29"/>
        <v>2.3400410282527799</v>
      </c>
    </row>
    <row r="71" spans="1:34" s="114" customFormat="1" x14ac:dyDescent="0.25">
      <c r="A71" s="137">
        <v>2</v>
      </c>
      <c r="B71" s="125" t="s">
        <v>388</v>
      </c>
      <c r="C71" s="121" t="s">
        <v>39</v>
      </c>
      <c r="D71" s="126">
        <v>129</v>
      </c>
      <c r="E71" s="117">
        <v>16</v>
      </c>
      <c r="F71" s="118"/>
      <c r="G71" s="128">
        <f t="shared" ca="1" si="42"/>
        <v>3.1031199471189459</v>
      </c>
      <c r="H71" s="129">
        <f t="shared" ref="H71:W71" ca="1" si="155">($D71&lt;$E71)*(H$5*(H$5&lt;=$D71)*($E71&gt;=H$5))+($D71&gt;=$E71)*(IF(AND(H$5&lt;=$D71,H$5&lt;=$E71),G71+$AG71,0))</f>
        <v>11.165619947118946</v>
      </c>
      <c r="I71" s="129">
        <f t="shared" ca="1" si="155"/>
        <v>19.228119947118948</v>
      </c>
      <c r="J71" s="129">
        <f t="shared" ca="1" si="155"/>
        <v>27.290619947118948</v>
      </c>
      <c r="K71" s="129">
        <f t="shared" ca="1" si="155"/>
        <v>35.353119947118948</v>
      </c>
      <c r="L71" s="129">
        <f t="shared" ca="1" si="155"/>
        <v>43.415619947118948</v>
      </c>
      <c r="M71" s="129">
        <f t="shared" ca="1" si="155"/>
        <v>51.478119947118948</v>
      </c>
      <c r="N71" s="129">
        <f t="shared" ca="1" si="155"/>
        <v>59.540619947118948</v>
      </c>
      <c r="O71" s="129">
        <f t="shared" ca="1" si="155"/>
        <v>67.603119947118955</v>
      </c>
      <c r="P71" s="129">
        <f t="shared" ca="1" si="155"/>
        <v>75.665619947118955</v>
      </c>
      <c r="Q71" s="129">
        <f t="shared" ca="1" si="155"/>
        <v>83.728119947118955</v>
      </c>
      <c r="R71" s="129">
        <f t="shared" ca="1" si="155"/>
        <v>91.790619947118955</v>
      </c>
      <c r="S71" s="129">
        <f t="shared" ca="1" si="155"/>
        <v>99.853119947118955</v>
      </c>
      <c r="T71" s="129">
        <f t="shared" ca="1" si="155"/>
        <v>107.91561994711896</v>
      </c>
      <c r="U71" s="129">
        <f t="shared" ca="1" si="155"/>
        <v>115.97811994711896</v>
      </c>
      <c r="V71" s="129">
        <f t="shared" ca="1" si="155"/>
        <v>124.04061994711896</v>
      </c>
      <c r="W71" s="129">
        <f t="shared" si="155"/>
        <v>0</v>
      </c>
      <c r="X71" s="129">
        <f t="shared" ref="X71:AE71" si="156">($D71&lt;$E71)*(X$5*(X$5&lt;=$D71)*($E71&gt;=X$5))+($D71&gt;=$E71)*(IF(AND(X$5&lt;=$D71,X$5&lt;=$E71),W71+$AG71,0))</f>
        <v>0</v>
      </c>
      <c r="Y71" s="129">
        <f t="shared" si="156"/>
        <v>0</v>
      </c>
      <c r="Z71" s="129">
        <f t="shared" si="156"/>
        <v>0</v>
      </c>
      <c r="AA71" s="129">
        <f t="shared" si="156"/>
        <v>0</v>
      </c>
      <c r="AB71" s="129">
        <f t="shared" si="156"/>
        <v>0</v>
      </c>
      <c r="AC71" s="129">
        <f t="shared" si="156"/>
        <v>0</v>
      </c>
      <c r="AD71" s="129">
        <f t="shared" si="156"/>
        <v>0</v>
      </c>
      <c r="AE71" s="129">
        <f t="shared" si="156"/>
        <v>0</v>
      </c>
      <c r="AG71" s="133">
        <f t="shared" si="28"/>
        <v>8.0625</v>
      </c>
      <c r="AH71" s="132">
        <f t="shared" ca="1" si="29"/>
        <v>3.1031199471189459</v>
      </c>
    </row>
    <row r="72" spans="1:34" s="114" customFormat="1" x14ac:dyDescent="0.25">
      <c r="A72" s="137">
        <v>2</v>
      </c>
      <c r="B72" s="125" t="s">
        <v>389</v>
      </c>
      <c r="C72" s="121" t="s">
        <v>39</v>
      </c>
      <c r="D72" s="126">
        <v>103</v>
      </c>
      <c r="E72" s="117">
        <v>16</v>
      </c>
      <c r="F72" s="118"/>
      <c r="G72" s="128">
        <f t="shared" ca="1" si="42"/>
        <v>2.6192162424721088</v>
      </c>
      <c r="H72" s="129">
        <f t="shared" ref="H72:W72" ca="1" si="157">($D72&lt;$E72)*(H$5*(H$5&lt;=$D72)*($E72&gt;=H$5))+($D72&gt;=$E72)*(IF(AND(H$5&lt;=$D72,H$5&lt;=$E72),G72+$AG72,0))</f>
        <v>9.0567162424721097</v>
      </c>
      <c r="I72" s="129">
        <f t="shared" ca="1" si="157"/>
        <v>15.49421624247211</v>
      </c>
      <c r="J72" s="129">
        <f t="shared" ca="1" si="157"/>
        <v>21.93171624247211</v>
      </c>
      <c r="K72" s="129">
        <f t="shared" ca="1" si="157"/>
        <v>28.36921624247211</v>
      </c>
      <c r="L72" s="129">
        <f t="shared" ca="1" si="157"/>
        <v>34.806716242472106</v>
      </c>
      <c r="M72" s="129">
        <f t="shared" ca="1" si="157"/>
        <v>41.244216242472106</v>
      </c>
      <c r="N72" s="129">
        <f t="shared" ca="1" si="157"/>
        <v>47.681716242472106</v>
      </c>
      <c r="O72" s="129">
        <f t="shared" ca="1" si="157"/>
        <v>54.119216242472106</v>
      </c>
      <c r="P72" s="129">
        <f t="shared" ca="1" si="157"/>
        <v>60.556716242472106</v>
      </c>
      <c r="Q72" s="129">
        <f t="shared" ca="1" si="157"/>
        <v>66.994216242472106</v>
      </c>
      <c r="R72" s="129">
        <f t="shared" ca="1" si="157"/>
        <v>73.431716242472106</v>
      </c>
      <c r="S72" s="129">
        <f t="shared" ca="1" si="157"/>
        <v>79.869216242472106</v>
      </c>
      <c r="T72" s="129">
        <f t="shared" ca="1" si="157"/>
        <v>86.306716242472106</v>
      </c>
      <c r="U72" s="129">
        <f t="shared" ca="1" si="157"/>
        <v>92.744216242472106</v>
      </c>
      <c r="V72" s="129">
        <f t="shared" ca="1" si="157"/>
        <v>99.181716242472106</v>
      </c>
      <c r="W72" s="129">
        <f t="shared" si="157"/>
        <v>0</v>
      </c>
      <c r="X72" s="129">
        <f t="shared" ref="X72:AE72" si="158">($D72&lt;$E72)*(X$5*(X$5&lt;=$D72)*($E72&gt;=X$5))+($D72&gt;=$E72)*(IF(AND(X$5&lt;=$D72,X$5&lt;=$E72),W72+$AG72,0))</f>
        <v>0</v>
      </c>
      <c r="Y72" s="129">
        <f t="shared" si="158"/>
        <v>0</v>
      </c>
      <c r="Z72" s="129">
        <f t="shared" si="158"/>
        <v>0</v>
      </c>
      <c r="AA72" s="129">
        <f t="shared" si="158"/>
        <v>0</v>
      </c>
      <c r="AB72" s="129">
        <f t="shared" si="158"/>
        <v>0</v>
      </c>
      <c r="AC72" s="129">
        <f t="shared" si="158"/>
        <v>0</v>
      </c>
      <c r="AD72" s="129">
        <f t="shared" si="158"/>
        <v>0</v>
      </c>
      <c r="AE72" s="129">
        <f t="shared" si="158"/>
        <v>0</v>
      </c>
      <c r="AG72" s="133">
        <f t="shared" ref="AG72:AG106" si="159">+D72/E72</f>
        <v>6.4375</v>
      </c>
      <c r="AH72" s="132">
        <f t="shared" ref="AH72:AH106" ca="1" si="160">AH$4*(AG72-1)+1</f>
        <v>2.6192162424721088</v>
      </c>
    </row>
    <row r="73" spans="1:34" s="114" customFormat="1" x14ac:dyDescent="0.25">
      <c r="A73" s="137">
        <v>2</v>
      </c>
      <c r="B73" s="125" t="s">
        <v>390</v>
      </c>
      <c r="C73" s="121" t="s">
        <v>39</v>
      </c>
      <c r="D73" s="126">
        <v>259</v>
      </c>
      <c r="E73" s="117">
        <v>16</v>
      </c>
      <c r="F73" s="118"/>
      <c r="G73" s="128">
        <f t="shared" ca="1" si="42"/>
        <v>5.5226384703531322</v>
      </c>
      <c r="H73" s="129">
        <f t="shared" ref="H73:W73" ca="1" si="161">($D73&lt;$E73)*(H$5*(H$5&lt;=$D73)*($E73&gt;=H$5))+($D73&gt;=$E73)*(IF(AND(H$5&lt;=$D73,H$5&lt;=$E73),G73+$AG73,0))</f>
        <v>21.710138470353133</v>
      </c>
      <c r="I73" s="129">
        <f t="shared" ca="1" si="161"/>
        <v>37.897638470353129</v>
      </c>
      <c r="J73" s="129">
        <f t="shared" ca="1" si="161"/>
        <v>54.085138470353129</v>
      </c>
      <c r="K73" s="129">
        <f t="shared" ca="1" si="161"/>
        <v>70.272638470353129</v>
      </c>
      <c r="L73" s="129">
        <f t="shared" ca="1" si="161"/>
        <v>86.460138470353129</v>
      </c>
      <c r="M73" s="129">
        <f t="shared" ca="1" si="161"/>
        <v>102.64763847035313</v>
      </c>
      <c r="N73" s="129">
        <f t="shared" ca="1" si="161"/>
        <v>118.83513847035313</v>
      </c>
      <c r="O73" s="129">
        <f t="shared" ca="1" si="161"/>
        <v>135.02263847035312</v>
      </c>
      <c r="P73" s="129">
        <f t="shared" ca="1" si="161"/>
        <v>151.21013847035312</v>
      </c>
      <c r="Q73" s="129">
        <f t="shared" ca="1" si="161"/>
        <v>167.39763847035312</v>
      </c>
      <c r="R73" s="129">
        <f t="shared" ca="1" si="161"/>
        <v>183.58513847035312</v>
      </c>
      <c r="S73" s="129">
        <f t="shared" ca="1" si="161"/>
        <v>199.77263847035312</v>
      </c>
      <c r="T73" s="129">
        <f t="shared" ca="1" si="161"/>
        <v>215.96013847035312</v>
      </c>
      <c r="U73" s="129">
        <f t="shared" ca="1" si="161"/>
        <v>232.14763847035312</v>
      </c>
      <c r="V73" s="129">
        <f t="shared" ca="1" si="161"/>
        <v>248.33513847035312</v>
      </c>
      <c r="W73" s="129">
        <f t="shared" si="161"/>
        <v>0</v>
      </c>
      <c r="X73" s="129">
        <f t="shared" ref="X73:AE73" si="162">($D73&lt;$E73)*(X$5*(X$5&lt;=$D73)*($E73&gt;=X$5))+($D73&gt;=$E73)*(IF(AND(X$5&lt;=$D73,X$5&lt;=$E73),W73+$AG73,0))</f>
        <v>0</v>
      </c>
      <c r="Y73" s="129">
        <f t="shared" si="162"/>
        <v>0</v>
      </c>
      <c r="Z73" s="129">
        <f t="shared" si="162"/>
        <v>0</v>
      </c>
      <c r="AA73" s="129">
        <f t="shared" si="162"/>
        <v>0</v>
      </c>
      <c r="AB73" s="129">
        <f t="shared" si="162"/>
        <v>0</v>
      </c>
      <c r="AC73" s="129">
        <f t="shared" si="162"/>
        <v>0</v>
      </c>
      <c r="AD73" s="129">
        <f t="shared" si="162"/>
        <v>0</v>
      </c>
      <c r="AE73" s="129">
        <f t="shared" si="162"/>
        <v>0</v>
      </c>
      <c r="AG73" s="133">
        <f t="shared" si="159"/>
        <v>16.1875</v>
      </c>
      <c r="AH73" s="132">
        <f t="shared" ca="1" si="160"/>
        <v>5.5226384703531322</v>
      </c>
    </row>
    <row r="74" spans="1:34" s="114" customFormat="1" x14ac:dyDescent="0.25">
      <c r="A74" s="137">
        <v>2</v>
      </c>
      <c r="B74" s="125" t="s">
        <v>614</v>
      </c>
      <c r="C74" s="121" t="s">
        <v>39</v>
      </c>
      <c r="D74" s="126">
        <v>207</v>
      </c>
      <c r="E74" s="117">
        <v>16</v>
      </c>
      <c r="F74" s="118"/>
      <c r="G74" s="128">
        <f t="shared" ca="1" si="42"/>
        <v>4.554831061059458</v>
      </c>
      <c r="H74" s="129">
        <f t="shared" ref="H74:W74" ca="1" si="163">($D74&lt;$E74)*(H$5*(H$5&lt;=$D74)*($E74&gt;=H$5))+($D74&gt;=$E74)*(IF(AND(H$5&lt;=$D74,H$5&lt;=$E74),G74+$AG74,0))</f>
        <v>17.49233106105946</v>
      </c>
      <c r="I74" s="129">
        <f t="shared" ca="1" si="163"/>
        <v>30.42983106105946</v>
      </c>
      <c r="J74" s="129">
        <f t="shared" ca="1" si="163"/>
        <v>43.36733106105946</v>
      </c>
      <c r="K74" s="129">
        <f t="shared" ca="1" si="163"/>
        <v>56.30483106105946</v>
      </c>
      <c r="L74" s="129">
        <f t="shared" ca="1" si="163"/>
        <v>69.24233106105946</v>
      </c>
      <c r="M74" s="129">
        <f t="shared" ca="1" si="163"/>
        <v>82.17983106105946</v>
      </c>
      <c r="N74" s="129">
        <f t="shared" ca="1" si="163"/>
        <v>95.11733106105946</v>
      </c>
      <c r="O74" s="129">
        <f t="shared" ca="1" si="163"/>
        <v>108.05483106105946</v>
      </c>
      <c r="P74" s="129">
        <f t="shared" ca="1" si="163"/>
        <v>120.99233106105946</v>
      </c>
      <c r="Q74" s="129">
        <f t="shared" ca="1" si="163"/>
        <v>133.92983106105947</v>
      </c>
      <c r="R74" s="129">
        <f t="shared" ca="1" si="163"/>
        <v>146.86733106105947</v>
      </c>
      <c r="S74" s="129">
        <f t="shared" ca="1" si="163"/>
        <v>159.80483106105947</v>
      </c>
      <c r="T74" s="129">
        <f t="shared" ca="1" si="163"/>
        <v>172.74233106105947</v>
      </c>
      <c r="U74" s="129">
        <f t="shared" ca="1" si="163"/>
        <v>185.67983106105947</v>
      </c>
      <c r="V74" s="129">
        <f t="shared" ca="1" si="163"/>
        <v>198.61733106105947</v>
      </c>
      <c r="W74" s="129">
        <f t="shared" si="163"/>
        <v>0</v>
      </c>
      <c r="X74" s="129">
        <f t="shared" ref="X74:AE74" si="164">($D74&lt;$E74)*(X$5*(X$5&lt;=$D74)*($E74&gt;=X$5))+($D74&gt;=$E74)*(IF(AND(X$5&lt;=$D74,X$5&lt;=$E74),W74+$AG74,0))</f>
        <v>0</v>
      </c>
      <c r="Y74" s="129">
        <f t="shared" si="164"/>
        <v>0</v>
      </c>
      <c r="Z74" s="129">
        <f t="shared" si="164"/>
        <v>0</v>
      </c>
      <c r="AA74" s="129">
        <f t="shared" si="164"/>
        <v>0</v>
      </c>
      <c r="AB74" s="129">
        <f t="shared" si="164"/>
        <v>0</v>
      </c>
      <c r="AC74" s="129">
        <f t="shared" si="164"/>
        <v>0</v>
      </c>
      <c r="AD74" s="129">
        <f t="shared" si="164"/>
        <v>0</v>
      </c>
      <c r="AE74" s="129">
        <f t="shared" si="164"/>
        <v>0</v>
      </c>
      <c r="AG74" s="133">
        <f t="shared" si="159"/>
        <v>12.9375</v>
      </c>
      <c r="AH74" s="132">
        <f t="shared" ca="1" si="160"/>
        <v>4.554831061059458</v>
      </c>
    </row>
    <row r="75" spans="1:34" s="114" customFormat="1" x14ac:dyDescent="0.25">
      <c r="A75" s="137">
        <v>2</v>
      </c>
      <c r="B75" s="125" t="s">
        <v>615</v>
      </c>
      <c r="C75" s="121" t="s">
        <v>39</v>
      </c>
      <c r="D75" s="126">
        <v>281</v>
      </c>
      <c r="E75" s="117">
        <v>16</v>
      </c>
      <c r="F75" s="118"/>
      <c r="G75" s="128">
        <f t="shared" ca="1" si="42"/>
        <v>5.9320954512081476</v>
      </c>
      <c r="H75" s="129">
        <f t="shared" ref="H75:W75" ca="1" si="165">($D75&lt;$E75)*(H$5*(H$5&lt;=$D75)*($E75&gt;=H$5))+($D75&gt;=$E75)*(IF(AND(H$5&lt;=$D75,H$5&lt;=$E75),G75+$AG75,0))</f>
        <v>23.494595451208149</v>
      </c>
      <c r="I75" s="129">
        <f t="shared" ca="1" si="165"/>
        <v>41.057095451208149</v>
      </c>
      <c r="J75" s="129">
        <f t="shared" ca="1" si="165"/>
        <v>58.619595451208149</v>
      </c>
      <c r="K75" s="129">
        <f t="shared" ca="1" si="165"/>
        <v>76.182095451208141</v>
      </c>
      <c r="L75" s="129">
        <f t="shared" ca="1" si="165"/>
        <v>93.744595451208141</v>
      </c>
      <c r="M75" s="129">
        <f t="shared" ca="1" si="165"/>
        <v>111.30709545120814</v>
      </c>
      <c r="N75" s="129">
        <f t="shared" ca="1" si="165"/>
        <v>128.86959545120814</v>
      </c>
      <c r="O75" s="129">
        <f t="shared" ca="1" si="165"/>
        <v>146.43209545120814</v>
      </c>
      <c r="P75" s="129">
        <f t="shared" ca="1" si="165"/>
        <v>163.99459545120814</v>
      </c>
      <c r="Q75" s="129">
        <f t="shared" ca="1" si="165"/>
        <v>181.55709545120814</v>
      </c>
      <c r="R75" s="129">
        <f t="shared" ca="1" si="165"/>
        <v>199.11959545120814</v>
      </c>
      <c r="S75" s="129">
        <f t="shared" ca="1" si="165"/>
        <v>216.68209545120814</v>
      </c>
      <c r="T75" s="129">
        <f t="shared" ca="1" si="165"/>
        <v>234.24459545120814</v>
      </c>
      <c r="U75" s="129">
        <f t="shared" ca="1" si="165"/>
        <v>251.80709545120814</v>
      </c>
      <c r="V75" s="129">
        <f t="shared" ca="1" si="165"/>
        <v>269.36959545120817</v>
      </c>
      <c r="W75" s="129">
        <f t="shared" si="165"/>
        <v>0</v>
      </c>
      <c r="X75" s="129">
        <f t="shared" ref="X75:AE75" si="166">($D75&lt;$E75)*(X$5*(X$5&lt;=$D75)*($E75&gt;=X$5))+($D75&gt;=$E75)*(IF(AND(X$5&lt;=$D75,X$5&lt;=$E75),W75+$AG75,0))</f>
        <v>0</v>
      </c>
      <c r="Y75" s="129">
        <f t="shared" si="166"/>
        <v>0</v>
      </c>
      <c r="Z75" s="129">
        <f t="shared" si="166"/>
        <v>0</v>
      </c>
      <c r="AA75" s="129">
        <f t="shared" si="166"/>
        <v>0</v>
      </c>
      <c r="AB75" s="129">
        <f t="shared" si="166"/>
        <v>0</v>
      </c>
      <c r="AC75" s="129">
        <f t="shared" si="166"/>
        <v>0</v>
      </c>
      <c r="AD75" s="129">
        <f t="shared" si="166"/>
        <v>0</v>
      </c>
      <c r="AE75" s="129">
        <f t="shared" si="166"/>
        <v>0</v>
      </c>
      <c r="AG75" s="133">
        <f t="shared" si="159"/>
        <v>17.5625</v>
      </c>
      <c r="AH75" s="132">
        <f t="shared" ca="1" si="160"/>
        <v>5.9320954512081476</v>
      </c>
    </row>
    <row r="76" spans="1:34" s="114" customFormat="1" x14ac:dyDescent="0.25">
      <c r="A76" s="137">
        <v>2</v>
      </c>
      <c r="B76" s="125" t="s">
        <v>616</v>
      </c>
      <c r="C76" s="121" t="s">
        <v>39</v>
      </c>
      <c r="D76" s="126">
        <v>169</v>
      </c>
      <c r="E76" s="117">
        <v>16</v>
      </c>
      <c r="F76" s="118"/>
      <c r="G76" s="128">
        <f t="shared" ca="1" si="42"/>
        <v>3.847587185037157</v>
      </c>
      <c r="H76" s="129">
        <f t="shared" ref="H76:W76" ca="1" si="167">($D76&lt;$E76)*(H$5*(H$5&lt;=$D76)*($E76&gt;=H$5))+($D76&gt;=$E76)*(IF(AND(H$5&lt;=$D76,H$5&lt;=$E76),G76+$AG76,0))</f>
        <v>14.410087185037156</v>
      </c>
      <c r="I76" s="129">
        <f t="shared" ca="1" si="167"/>
        <v>24.972587185037156</v>
      </c>
      <c r="J76" s="129">
        <f t="shared" ca="1" si="167"/>
        <v>35.535087185037156</v>
      </c>
      <c r="K76" s="129">
        <f t="shared" ca="1" si="167"/>
        <v>46.097587185037156</v>
      </c>
      <c r="L76" s="129">
        <f t="shared" ca="1" si="167"/>
        <v>56.660087185037156</v>
      </c>
      <c r="M76" s="129">
        <f t="shared" ca="1" si="167"/>
        <v>67.222587185037156</v>
      </c>
      <c r="N76" s="129">
        <f t="shared" ca="1" si="167"/>
        <v>77.785087185037156</v>
      </c>
      <c r="O76" s="129">
        <f t="shared" ca="1" si="167"/>
        <v>88.347587185037156</v>
      </c>
      <c r="P76" s="129">
        <f t="shared" ca="1" si="167"/>
        <v>98.910087185037156</v>
      </c>
      <c r="Q76" s="129">
        <f t="shared" ca="1" si="167"/>
        <v>109.47258718503716</v>
      </c>
      <c r="R76" s="129">
        <f t="shared" ca="1" si="167"/>
        <v>120.03508718503716</v>
      </c>
      <c r="S76" s="129">
        <f t="shared" ca="1" si="167"/>
        <v>130.59758718503716</v>
      </c>
      <c r="T76" s="129">
        <f t="shared" ca="1" si="167"/>
        <v>141.16008718503716</v>
      </c>
      <c r="U76" s="129">
        <f t="shared" ca="1" si="167"/>
        <v>151.72258718503716</v>
      </c>
      <c r="V76" s="129">
        <f t="shared" ca="1" si="167"/>
        <v>162.28508718503716</v>
      </c>
      <c r="W76" s="129">
        <f t="shared" si="167"/>
        <v>0</v>
      </c>
      <c r="X76" s="129">
        <f t="shared" ref="X76:AE76" si="168">($D76&lt;$E76)*(X$5*(X$5&lt;=$D76)*($E76&gt;=X$5))+($D76&gt;=$E76)*(IF(AND(X$5&lt;=$D76,X$5&lt;=$E76),W76+$AG76,0))</f>
        <v>0</v>
      </c>
      <c r="Y76" s="129">
        <f t="shared" si="168"/>
        <v>0</v>
      </c>
      <c r="Z76" s="129">
        <f t="shared" si="168"/>
        <v>0</v>
      </c>
      <c r="AA76" s="129">
        <f t="shared" si="168"/>
        <v>0</v>
      </c>
      <c r="AB76" s="129">
        <f t="shared" si="168"/>
        <v>0</v>
      </c>
      <c r="AC76" s="129">
        <f t="shared" si="168"/>
        <v>0</v>
      </c>
      <c r="AD76" s="129">
        <f t="shared" si="168"/>
        <v>0</v>
      </c>
      <c r="AE76" s="129">
        <f t="shared" si="168"/>
        <v>0</v>
      </c>
      <c r="AG76" s="133">
        <f t="shared" si="159"/>
        <v>10.5625</v>
      </c>
      <c r="AH76" s="132">
        <f t="shared" ca="1" si="160"/>
        <v>3.847587185037157</v>
      </c>
    </row>
    <row r="77" spans="1:34" s="114" customFormat="1" x14ac:dyDescent="0.25">
      <c r="A77" s="137">
        <v>2</v>
      </c>
      <c r="B77" s="125" t="s">
        <v>617</v>
      </c>
      <c r="C77" s="121" t="s">
        <v>39</v>
      </c>
      <c r="D77" s="126">
        <v>178</v>
      </c>
      <c r="E77" s="117">
        <v>16</v>
      </c>
      <c r="F77" s="118"/>
      <c r="G77" s="128">
        <f t="shared" ca="1" si="42"/>
        <v>4.0150923135687542</v>
      </c>
      <c r="H77" s="129">
        <f t="shared" ref="H77:W77" ca="1" si="169">($D77&lt;$E77)*(H$5*(H$5&lt;=$D77)*($E77&gt;=H$5))+($D77&gt;=$E77)*(IF(AND(H$5&lt;=$D77,H$5&lt;=$E77),G77+$AG77,0))</f>
        <v>15.140092313568754</v>
      </c>
      <c r="I77" s="129">
        <f t="shared" ca="1" si="169"/>
        <v>26.265092313568754</v>
      </c>
      <c r="J77" s="129">
        <f t="shared" ca="1" si="169"/>
        <v>37.390092313568758</v>
      </c>
      <c r="K77" s="129">
        <f t="shared" ca="1" si="169"/>
        <v>48.515092313568758</v>
      </c>
      <c r="L77" s="129">
        <f t="shared" ca="1" si="169"/>
        <v>59.640092313568758</v>
      </c>
      <c r="M77" s="129">
        <f t="shared" ca="1" si="169"/>
        <v>70.765092313568758</v>
      </c>
      <c r="N77" s="129">
        <f t="shared" ca="1" si="169"/>
        <v>81.890092313568758</v>
      </c>
      <c r="O77" s="129">
        <f t="shared" ca="1" si="169"/>
        <v>93.015092313568758</v>
      </c>
      <c r="P77" s="129">
        <f t="shared" ca="1" si="169"/>
        <v>104.14009231356876</v>
      </c>
      <c r="Q77" s="129">
        <f t="shared" ca="1" si="169"/>
        <v>115.26509231356876</v>
      </c>
      <c r="R77" s="129">
        <f t="shared" ca="1" si="169"/>
        <v>126.39009231356876</v>
      </c>
      <c r="S77" s="129">
        <f t="shared" ca="1" si="169"/>
        <v>137.51509231356874</v>
      </c>
      <c r="T77" s="129">
        <f t="shared" ca="1" si="169"/>
        <v>148.64009231356874</v>
      </c>
      <c r="U77" s="129">
        <f t="shared" ca="1" si="169"/>
        <v>159.76509231356874</v>
      </c>
      <c r="V77" s="129">
        <f t="shared" ca="1" si="169"/>
        <v>170.89009231356874</v>
      </c>
      <c r="W77" s="129">
        <f t="shared" si="169"/>
        <v>0</v>
      </c>
      <c r="X77" s="129">
        <f t="shared" ref="X77:AE77" si="170">($D77&lt;$E77)*(X$5*(X$5&lt;=$D77)*($E77&gt;=X$5))+($D77&gt;=$E77)*(IF(AND(X$5&lt;=$D77,X$5&lt;=$E77),W77+$AG77,0))</f>
        <v>0</v>
      </c>
      <c r="Y77" s="129">
        <f t="shared" si="170"/>
        <v>0</v>
      </c>
      <c r="Z77" s="129">
        <f t="shared" si="170"/>
        <v>0</v>
      </c>
      <c r="AA77" s="129">
        <f t="shared" si="170"/>
        <v>0</v>
      </c>
      <c r="AB77" s="129">
        <f t="shared" si="170"/>
        <v>0</v>
      </c>
      <c r="AC77" s="129">
        <f t="shared" si="170"/>
        <v>0</v>
      </c>
      <c r="AD77" s="129">
        <f t="shared" si="170"/>
        <v>0</v>
      </c>
      <c r="AE77" s="129">
        <f t="shared" si="170"/>
        <v>0</v>
      </c>
      <c r="AG77" s="133">
        <f t="shared" si="159"/>
        <v>11.125</v>
      </c>
      <c r="AH77" s="132">
        <f t="shared" ca="1" si="160"/>
        <v>4.0150923135687542</v>
      </c>
    </row>
    <row r="78" spans="1:34" s="114" customFormat="1" x14ac:dyDescent="0.25">
      <c r="A78" s="137">
        <v>2</v>
      </c>
      <c r="B78" s="125" t="s">
        <v>463</v>
      </c>
      <c r="C78" s="121" t="s">
        <v>39</v>
      </c>
      <c r="D78" s="126">
        <v>215</v>
      </c>
      <c r="E78" s="117">
        <v>16</v>
      </c>
      <c r="F78" s="118"/>
      <c r="G78" s="128">
        <f t="shared" ca="1" si="42"/>
        <v>4.7037245086431003</v>
      </c>
      <c r="H78" s="129">
        <f t="shared" ref="H78:W78" ca="1" si="171">($D78&lt;$E78)*(H$5*(H$5&lt;=$D78)*($E78&gt;=H$5))+($D78&gt;=$E78)*(IF(AND(H$5&lt;=$D78,H$5&lt;=$E78),G78+$AG78,0))</f>
        <v>18.141224508643099</v>
      </c>
      <c r="I78" s="129">
        <f t="shared" ca="1" si="171"/>
        <v>31.578724508643099</v>
      </c>
      <c r="J78" s="129">
        <f t="shared" ca="1" si="171"/>
        <v>45.016224508643099</v>
      </c>
      <c r="K78" s="129">
        <f t="shared" ca="1" si="171"/>
        <v>58.453724508643099</v>
      </c>
      <c r="L78" s="129">
        <f t="shared" ca="1" si="171"/>
        <v>71.891224508643091</v>
      </c>
      <c r="M78" s="129">
        <f t="shared" ca="1" si="171"/>
        <v>85.328724508643091</v>
      </c>
      <c r="N78" s="129">
        <f t="shared" ca="1" si="171"/>
        <v>98.766224508643091</v>
      </c>
      <c r="O78" s="129">
        <f t="shared" ca="1" si="171"/>
        <v>112.20372450864309</v>
      </c>
      <c r="P78" s="129">
        <f t="shared" ca="1" si="171"/>
        <v>125.64122450864309</v>
      </c>
      <c r="Q78" s="129">
        <f t="shared" ca="1" si="171"/>
        <v>139.07872450864309</v>
      </c>
      <c r="R78" s="129">
        <f t="shared" ca="1" si="171"/>
        <v>152.51622450864309</v>
      </c>
      <c r="S78" s="129">
        <f t="shared" ca="1" si="171"/>
        <v>165.95372450864309</v>
      </c>
      <c r="T78" s="129">
        <f t="shared" ca="1" si="171"/>
        <v>179.39122450864309</v>
      </c>
      <c r="U78" s="129">
        <f t="shared" ca="1" si="171"/>
        <v>192.82872450864309</v>
      </c>
      <c r="V78" s="129">
        <f t="shared" ca="1" si="171"/>
        <v>206.26622450864309</v>
      </c>
      <c r="W78" s="129">
        <f t="shared" si="171"/>
        <v>0</v>
      </c>
      <c r="X78" s="129">
        <f t="shared" ref="X78:AE78" si="172">($D78&lt;$E78)*(X$5*(X$5&lt;=$D78)*($E78&gt;=X$5))+($D78&gt;=$E78)*(IF(AND(X$5&lt;=$D78,X$5&lt;=$E78),W78+$AG78,0))</f>
        <v>0</v>
      </c>
      <c r="Y78" s="129">
        <f t="shared" si="172"/>
        <v>0</v>
      </c>
      <c r="Z78" s="129">
        <f t="shared" si="172"/>
        <v>0</v>
      </c>
      <c r="AA78" s="129">
        <f t="shared" si="172"/>
        <v>0</v>
      </c>
      <c r="AB78" s="129">
        <f t="shared" si="172"/>
        <v>0</v>
      </c>
      <c r="AC78" s="129">
        <f t="shared" si="172"/>
        <v>0</v>
      </c>
      <c r="AD78" s="129">
        <f t="shared" si="172"/>
        <v>0</v>
      </c>
      <c r="AE78" s="129">
        <f t="shared" si="172"/>
        <v>0</v>
      </c>
      <c r="AG78" s="133">
        <f t="shared" si="159"/>
        <v>13.4375</v>
      </c>
      <c r="AH78" s="132">
        <f t="shared" ca="1" si="160"/>
        <v>4.7037245086431003</v>
      </c>
    </row>
    <row r="79" spans="1:34" s="114" customFormat="1" x14ac:dyDescent="0.25">
      <c r="A79" s="137">
        <v>2</v>
      </c>
      <c r="B79" s="125" t="s">
        <v>464</v>
      </c>
      <c r="C79" s="121" t="s">
        <v>39</v>
      </c>
      <c r="D79" s="126">
        <v>122</v>
      </c>
      <c r="E79" s="117">
        <v>16</v>
      </c>
      <c r="F79" s="118"/>
      <c r="G79" s="128">
        <f t="shared" ref="G79:G106" ca="1" si="173">(D79&lt;E79)*(G$5*(E79&gt;=G$5))+(D79&gt;=E79)*(AH79+(C79-1)*D78)</f>
        <v>2.9728381804832589</v>
      </c>
      <c r="H79" s="129">
        <f t="shared" ref="H79:W79" ca="1" si="174">($D79&lt;$E79)*(H$5*(H$5&lt;=$D79)*($E79&gt;=H$5))+($D79&gt;=$E79)*(IF(AND(H$5&lt;=$D79,H$5&lt;=$E79),G79+$AG79,0))</f>
        <v>10.597838180483258</v>
      </c>
      <c r="I79" s="129">
        <f t="shared" ca="1" si="174"/>
        <v>18.222838180483258</v>
      </c>
      <c r="J79" s="129">
        <f t="shared" ca="1" si="174"/>
        <v>25.847838180483258</v>
      </c>
      <c r="K79" s="129">
        <f t="shared" ca="1" si="174"/>
        <v>33.472838180483258</v>
      </c>
      <c r="L79" s="129">
        <f t="shared" ca="1" si="174"/>
        <v>41.097838180483258</v>
      </c>
      <c r="M79" s="129">
        <f t="shared" ca="1" si="174"/>
        <v>48.722838180483258</v>
      </c>
      <c r="N79" s="129">
        <f t="shared" ca="1" si="174"/>
        <v>56.347838180483258</v>
      </c>
      <c r="O79" s="129">
        <f t="shared" ca="1" si="174"/>
        <v>63.972838180483258</v>
      </c>
      <c r="P79" s="129">
        <f t="shared" ca="1" si="174"/>
        <v>71.597838180483251</v>
      </c>
      <c r="Q79" s="129">
        <f t="shared" ca="1" si="174"/>
        <v>79.222838180483251</v>
      </c>
      <c r="R79" s="129">
        <f t="shared" ca="1" si="174"/>
        <v>86.847838180483251</v>
      </c>
      <c r="S79" s="129">
        <f t="shared" ca="1" si="174"/>
        <v>94.472838180483251</v>
      </c>
      <c r="T79" s="129">
        <f t="shared" ca="1" si="174"/>
        <v>102.09783818048325</v>
      </c>
      <c r="U79" s="129">
        <f t="shared" ca="1" si="174"/>
        <v>109.72283818048325</v>
      </c>
      <c r="V79" s="129">
        <f t="shared" ca="1" si="174"/>
        <v>117.34783818048325</v>
      </c>
      <c r="W79" s="129">
        <f t="shared" si="174"/>
        <v>0</v>
      </c>
      <c r="X79" s="129">
        <f t="shared" ref="X79:AE79" si="175">($D79&lt;$E79)*(X$5*(X$5&lt;=$D79)*($E79&gt;=X$5))+($D79&gt;=$E79)*(IF(AND(X$5&lt;=$D79,X$5&lt;=$E79),W79+$AG79,0))</f>
        <v>0</v>
      </c>
      <c r="Y79" s="129">
        <f t="shared" si="175"/>
        <v>0</v>
      </c>
      <c r="Z79" s="129">
        <f t="shared" si="175"/>
        <v>0</v>
      </c>
      <c r="AA79" s="129">
        <f t="shared" si="175"/>
        <v>0</v>
      </c>
      <c r="AB79" s="129">
        <f t="shared" si="175"/>
        <v>0</v>
      </c>
      <c r="AC79" s="129">
        <f t="shared" si="175"/>
        <v>0</v>
      </c>
      <c r="AD79" s="129">
        <f t="shared" si="175"/>
        <v>0</v>
      </c>
      <c r="AE79" s="129">
        <f t="shared" si="175"/>
        <v>0</v>
      </c>
      <c r="AG79" s="133">
        <f t="shared" si="159"/>
        <v>7.625</v>
      </c>
      <c r="AH79" s="132">
        <f t="shared" ca="1" si="160"/>
        <v>2.9728381804832589</v>
      </c>
    </row>
    <row r="80" spans="1:34" s="114" customFormat="1" x14ac:dyDescent="0.25">
      <c r="A80" s="137">
        <v>2</v>
      </c>
      <c r="B80" s="125" t="s">
        <v>465</v>
      </c>
      <c r="C80" s="121" t="s">
        <v>39</v>
      </c>
      <c r="D80" s="126">
        <v>85</v>
      </c>
      <c r="E80" s="117">
        <v>16</v>
      </c>
      <c r="F80" s="118"/>
      <c r="G80" s="128">
        <f t="shared" ca="1" si="173"/>
        <v>2.2842059854089141</v>
      </c>
      <c r="H80" s="129">
        <f t="shared" ref="H80:W80" ca="1" si="176">($D80&lt;$E80)*(H$5*(H$5&lt;=$D80)*($E80&gt;=H$5))+($D80&gt;=$E80)*(IF(AND(H$5&lt;=$D80,H$5&lt;=$E80),G80+$AG80,0))</f>
        <v>7.5967059854089136</v>
      </c>
      <c r="I80" s="129">
        <f t="shared" ca="1" si="176"/>
        <v>12.909205985408914</v>
      </c>
      <c r="J80" s="129">
        <f t="shared" ca="1" si="176"/>
        <v>18.221705985408914</v>
      </c>
      <c r="K80" s="129">
        <f t="shared" ca="1" si="176"/>
        <v>23.534205985408914</v>
      </c>
      <c r="L80" s="129">
        <f t="shared" ca="1" si="176"/>
        <v>28.846705985408914</v>
      </c>
      <c r="M80" s="129">
        <f t="shared" ca="1" si="176"/>
        <v>34.159205985408917</v>
      </c>
      <c r="N80" s="129">
        <f t="shared" ca="1" si="176"/>
        <v>39.471705985408917</v>
      </c>
      <c r="O80" s="129">
        <f t="shared" ca="1" si="176"/>
        <v>44.784205985408917</v>
      </c>
      <c r="P80" s="129">
        <f t="shared" ca="1" si="176"/>
        <v>50.096705985408917</v>
      </c>
      <c r="Q80" s="129">
        <f t="shared" ca="1" si="176"/>
        <v>55.409205985408917</v>
      </c>
      <c r="R80" s="129">
        <f t="shared" ca="1" si="176"/>
        <v>60.721705985408917</v>
      </c>
      <c r="S80" s="129">
        <f t="shared" ca="1" si="176"/>
        <v>66.034205985408917</v>
      </c>
      <c r="T80" s="129">
        <f t="shared" ca="1" si="176"/>
        <v>71.346705985408917</v>
      </c>
      <c r="U80" s="129">
        <f t="shared" ca="1" si="176"/>
        <v>76.659205985408917</v>
      </c>
      <c r="V80" s="129">
        <f t="shared" ca="1" si="176"/>
        <v>81.971705985408917</v>
      </c>
      <c r="W80" s="129">
        <f t="shared" si="176"/>
        <v>0</v>
      </c>
      <c r="X80" s="129">
        <f t="shared" ref="X80:AE80" si="177">($D80&lt;$E80)*(X$5*(X$5&lt;=$D80)*($E80&gt;=X$5))+($D80&gt;=$E80)*(IF(AND(X$5&lt;=$D80,X$5&lt;=$E80),W80+$AG80,0))</f>
        <v>0</v>
      </c>
      <c r="Y80" s="129">
        <f t="shared" si="177"/>
        <v>0</v>
      </c>
      <c r="Z80" s="129">
        <f t="shared" si="177"/>
        <v>0</v>
      </c>
      <c r="AA80" s="129">
        <f t="shared" si="177"/>
        <v>0</v>
      </c>
      <c r="AB80" s="129">
        <f t="shared" si="177"/>
        <v>0</v>
      </c>
      <c r="AC80" s="129">
        <f t="shared" si="177"/>
        <v>0</v>
      </c>
      <c r="AD80" s="129">
        <f t="shared" si="177"/>
        <v>0</v>
      </c>
      <c r="AE80" s="129">
        <f t="shared" si="177"/>
        <v>0</v>
      </c>
      <c r="AG80" s="133">
        <f t="shared" si="159"/>
        <v>5.3125</v>
      </c>
      <c r="AH80" s="132">
        <f t="shared" ca="1" si="160"/>
        <v>2.2842059854089141</v>
      </c>
    </row>
    <row r="81" spans="1:34" s="114" customFormat="1" x14ac:dyDescent="0.25">
      <c r="A81" s="137">
        <v>2</v>
      </c>
      <c r="B81" s="125" t="s">
        <v>505</v>
      </c>
      <c r="C81" s="121" t="s">
        <v>39</v>
      </c>
      <c r="D81" s="126">
        <v>216</v>
      </c>
      <c r="E81" s="117">
        <v>16</v>
      </c>
      <c r="F81" s="118"/>
      <c r="G81" s="128">
        <f t="shared" ca="1" si="173"/>
        <v>4.7223361895910552</v>
      </c>
      <c r="H81" s="129">
        <f t="shared" ref="H81:W81" ca="1" si="178">($D81&lt;$E81)*(H$5*(H$5&lt;=$D81)*($E81&gt;=H$5))+($D81&gt;=$E81)*(IF(AND(H$5&lt;=$D81,H$5&lt;=$E81),G81+$AG81,0))</f>
        <v>18.222336189591054</v>
      </c>
      <c r="I81" s="129">
        <f t="shared" ca="1" si="178"/>
        <v>31.722336189591054</v>
      </c>
      <c r="J81" s="129">
        <f t="shared" ca="1" si="178"/>
        <v>45.222336189591054</v>
      </c>
      <c r="K81" s="129">
        <f t="shared" ca="1" si="178"/>
        <v>58.722336189591054</v>
      </c>
      <c r="L81" s="129">
        <f t="shared" ca="1" si="178"/>
        <v>72.222336189591061</v>
      </c>
      <c r="M81" s="129">
        <f t="shared" ca="1" si="178"/>
        <v>85.722336189591061</v>
      </c>
      <c r="N81" s="129">
        <f t="shared" ca="1" si="178"/>
        <v>99.222336189591061</v>
      </c>
      <c r="O81" s="129">
        <f t="shared" ca="1" si="178"/>
        <v>112.72233618959106</v>
      </c>
      <c r="P81" s="129">
        <f t="shared" ca="1" si="178"/>
        <v>126.22233618959106</v>
      </c>
      <c r="Q81" s="129">
        <f t="shared" ca="1" si="178"/>
        <v>139.72233618959106</v>
      </c>
      <c r="R81" s="129">
        <f t="shared" ca="1" si="178"/>
        <v>153.22233618959106</v>
      </c>
      <c r="S81" s="129">
        <f t="shared" ca="1" si="178"/>
        <v>166.72233618959106</v>
      </c>
      <c r="T81" s="129">
        <f t="shared" ca="1" si="178"/>
        <v>180.22233618959106</v>
      </c>
      <c r="U81" s="129">
        <f t="shared" ca="1" si="178"/>
        <v>193.72233618959106</v>
      </c>
      <c r="V81" s="129">
        <f t="shared" ca="1" si="178"/>
        <v>207.22233618959106</v>
      </c>
      <c r="W81" s="129">
        <f t="shared" si="178"/>
        <v>0</v>
      </c>
      <c r="X81" s="129">
        <f t="shared" ref="X81:AE81" si="179">($D81&lt;$E81)*(X$5*(X$5&lt;=$D81)*($E81&gt;=X$5))+($D81&gt;=$E81)*(IF(AND(X$5&lt;=$D81,X$5&lt;=$E81),W81+$AG81,0))</f>
        <v>0</v>
      </c>
      <c r="Y81" s="129">
        <f t="shared" si="179"/>
        <v>0</v>
      </c>
      <c r="Z81" s="129">
        <f t="shared" si="179"/>
        <v>0</v>
      </c>
      <c r="AA81" s="129">
        <f t="shared" si="179"/>
        <v>0</v>
      </c>
      <c r="AB81" s="129">
        <f t="shared" si="179"/>
        <v>0</v>
      </c>
      <c r="AC81" s="129">
        <f t="shared" si="179"/>
        <v>0</v>
      </c>
      <c r="AD81" s="129">
        <f t="shared" si="179"/>
        <v>0</v>
      </c>
      <c r="AE81" s="129">
        <f t="shared" si="179"/>
        <v>0</v>
      </c>
      <c r="AG81" s="133">
        <f t="shared" si="159"/>
        <v>13.5</v>
      </c>
      <c r="AH81" s="132">
        <f t="shared" ca="1" si="160"/>
        <v>4.7223361895910552</v>
      </c>
    </row>
    <row r="82" spans="1:34" s="114" customFormat="1" x14ac:dyDescent="0.25">
      <c r="A82" s="137">
        <v>2</v>
      </c>
      <c r="B82" s="125" t="s">
        <v>301</v>
      </c>
      <c r="C82" s="121" t="s">
        <v>39</v>
      </c>
      <c r="D82" s="126">
        <v>44</v>
      </c>
      <c r="E82" s="117">
        <v>16</v>
      </c>
      <c r="F82" s="118"/>
      <c r="G82" s="128">
        <f t="shared" ca="1" si="173"/>
        <v>1.5211270665427477</v>
      </c>
      <c r="H82" s="129">
        <f t="shared" ref="H82:W82" ca="1" si="180">($D82&lt;$E82)*(H$5*(H$5&lt;=$D82)*($E82&gt;=H$5))+($D82&gt;=$E82)*(IF(AND(H$5&lt;=$D82,H$5&lt;=$E82),G82+$AG82,0))</f>
        <v>4.2711270665427481</v>
      </c>
      <c r="I82" s="129">
        <f t="shared" ca="1" si="180"/>
        <v>7.0211270665427481</v>
      </c>
      <c r="J82" s="129">
        <f t="shared" ca="1" si="180"/>
        <v>9.7711270665427481</v>
      </c>
      <c r="K82" s="129">
        <f t="shared" ca="1" si="180"/>
        <v>12.521127066542748</v>
      </c>
      <c r="L82" s="129">
        <f t="shared" ca="1" si="180"/>
        <v>15.271127066542748</v>
      </c>
      <c r="M82" s="129">
        <f t="shared" ca="1" si="180"/>
        <v>18.021127066542746</v>
      </c>
      <c r="N82" s="129">
        <f t="shared" ca="1" si="180"/>
        <v>20.771127066542746</v>
      </c>
      <c r="O82" s="129">
        <f t="shared" ca="1" si="180"/>
        <v>23.521127066542746</v>
      </c>
      <c r="P82" s="129">
        <f t="shared" ca="1" si="180"/>
        <v>26.271127066542746</v>
      </c>
      <c r="Q82" s="129">
        <f t="shared" ca="1" si="180"/>
        <v>29.021127066542746</v>
      </c>
      <c r="R82" s="129">
        <f t="shared" ca="1" si="180"/>
        <v>31.771127066542746</v>
      </c>
      <c r="S82" s="129">
        <f t="shared" ca="1" si="180"/>
        <v>34.521127066542746</v>
      </c>
      <c r="T82" s="129">
        <f t="shared" ca="1" si="180"/>
        <v>37.271127066542746</v>
      </c>
      <c r="U82" s="129">
        <f t="shared" ca="1" si="180"/>
        <v>40.021127066542746</v>
      </c>
      <c r="V82" s="129">
        <f t="shared" ca="1" si="180"/>
        <v>42.771127066542746</v>
      </c>
      <c r="W82" s="129">
        <f t="shared" si="180"/>
        <v>0</v>
      </c>
      <c r="X82" s="129">
        <f t="shared" ref="X82:AE82" si="181">($D82&lt;$E82)*(X$5*(X$5&lt;=$D82)*($E82&gt;=X$5))+($D82&gt;=$E82)*(IF(AND(X$5&lt;=$D82,X$5&lt;=$E82),W82+$AG82,0))</f>
        <v>0</v>
      </c>
      <c r="Y82" s="129">
        <f t="shared" si="181"/>
        <v>0</v>
      </c>
      <c r="Z82" s="129">
        <f t="shared" si="181"/>
        <v>0</v>
      </c>
      <c r="AA82" s="129">
        <f t="shared" si="181"/>
        <v>0</v>
      </c>
      <c r="AB82" s="129">
        <f t="shared" si="181"/>
        <v>0</v>
      </c>
      <c r="AC82" s="129">
        <f t="shared" si="181"/>
        <v>0</v>
      </c>
      <c r="AD82" s="129">
        <f t="shared" si="181"/>
        <v>0</v>
      </c>
      <c r="AE82" s="129">
        <f t="shared" si="181"/>
        <v>0</v>
      </c>
      <c r="AG82" s="133">
        <f t="shared" si="159"/>
        <v>2.75</v>
      </c>
      <c r="AH82" s="132">
        <f t="shared" ca="1" si="160"/>
        <v>1.5211270665427477</v>
      </c>
    </row>
    <row r="83" spans="1:34" s="114" customFormat="1" x14ac:dyDescent="0.25">
      <c r="A83" s="137">
        <v>2</v>
      </c>
      <c r="B83" s="125" t="s">
        <v>466</v>
      </c>
      <c r="C83" s="121" t="s">
        <v>39</v>
      </c>
      <c r="D83" s="126">
        <v>234</v>
      </c>
      <c r="E83" s="117">
        <v>16</v>
      </c>
      <c r="F83" s="118"/>
      <c r="G83" s="128">
        <f t="shared" ca="1" si="173"/>
        <v>5.0573464466542504</v>
      </c>
      <c r="H83" s="129">
        <f t="shared" ref="H83:W83" ca="1" si="182">($D83&lt;$E83)*(H$5*(H$5&lt;=$D83)*($E83&gt;=H$5))+($D83&gt;=$E83)*(IF(AND(H$5&lt;=$D83,H$5&lt;=$E83),G83+$AG83,0))</f>
        <v>19.68234644665425</v>
      </c>
      <c r="I83" s="129">
        <f t="shared" ca="1" si="182"/>
        <v>34.30734644665425</v>
      </c>
      <c r="J83" s="129">
        <f t="shared" ca="1" si="182"/>
        <v>48.93234644665425</v>
      </c>
      <c r="K83" s="129">
        <f t="shared" ca="1" si="182"/>
        <v>63.55734644665425</v>
      </c>
      <c r="L83" s="129">
        <f t="shared" ca="1" si="182"/>
        <v>78.18234644665425</v>
      </c>
      <c r="M83" s="129">
        <f t="shared" ca="1" si="182"/>
        <v>92.80734644665425</v>
      </c>
      <c r="N83" s="129">
        <f t="shared" ca="1" si="182"/>
        <v>107.43234644665425</v>
      </c>
      <c r="O83" s="129">
        <f t="shared" ca="1" si="182"/>
        <v>122.05734644665425</v>
      </c>
      <c r="P83" s="129">
        <f t="shared" ca="1" si="182"/>
        <v>136.68234644665426</v>
      </c>
      <c r="Q83" s="129">
        <f t="shared" ca="1" si="182"/>
        <v>151.30734644665426</v>
      </c>
      <c r="R83" s="129">
        <f t="shared" ca="1" si="182"/>
        <v>165.93234644665426</v>
      </c>
      <c r="S83" s="129">
        <f t="shared" ca="1" si="182"/>
        <v>180.55734644665426</v>
      </c>
      <c r="T83" s="129">
        <f t="shared" ca="1" si="182"/>
        <v>195.18234644665426</v>
      </c>
      <c r="U83" s="129">
        <f t="shared" ca="1" si="182"/>
        <v>209.80734644665426</v>
      </c>
      <c r="V83" s="129">
        <f t="shared" ca="1" si="182"/>
        <v>224.43234644665426</v>
      </c>
      <c r="W83" s="129">
        <f t="shared" si="182"/>
        <v>0</v>
      </c>
      <c r="X83" s="129">
        <f t="shared" ref="X83:AE83" si="183">($D83&lt;$E83)*(X$5*(X$5&lt;=$D83)*($E83&gt;=X$5))+($D83&gt;=$E83)*(IF(AND(X$5&lt;=$D83,X$5&lt;=$E83),W83+$AG83,0))</f>
        <v>0</v>
      </c>
      <c r="Y83" s="129">
        <f t="shared" si="183"/>
        <v>0</v>
      </c>
      <c r="Z83" s="129">
        <f t="shared" si="183"/>
        <v>0</v>
      </c>
      <c r="AA83" s="129">
        <f t="shared" si="183"/>
        <v>0</v>
      </c>
      <c r="AB83" s="129">
        <f t="shared" si="183"/>
        <v>0</v>
      </c>
      <c r="AC83" s="129">
        <f t="shared" si="183"/>
        <v>0</v>
      </c>
      <c r="AD83" s="129">
        <f t="shared" si="183"/>
        <v>0</v>
      </c>
      <c r="AE83" s="129">
        <f t="shared" si="183"/>
        <v>0</v>
      </c>
      <c r="AG83" s="133">
        <f t="shared" si="159"/>
        <v>14.625</v>
      </c>
      <c r="AH83" s="132">
        <f t="shared" ca="1" si="160"/>
        <v>5.0573464466542504</v>
      </c>
    </row>
    <row r="84" spans="1:34" s="114" customFormat="1" x14ac:dyDescent="0.25">
      <c r="A84" s="137">
        <v>2</v>
      </c>
      <c r="B84" s="125" t="s">
        <v>467</v>
      </c>
      <c r="C84" s="121" t="s">
        <v>39</v>
      </c>
      <c r="D84" s="126">
        <v>200</v>
      </c>
      <c r="E84" s="117">
        <v>16</v>
      </c>
      <c r="F84" s="118"/>
      <c r="G84" s="128">
        <f t="shared" ca="1" si="173"/>
        <v>4.4245492944237705</v>
      </c>
      <c r="H84" s="129">
        <f t="shared" ref="H84:W84" ca="1" si="184">($D84&lt;$E84)*(H$5*(H$5&lt;=$D84)*($E84&gt;=H$5))+($D84&gt;=$E84)*(IF(AND(H$5&lt;=$D84,H$5&lt;=$E84),G84+$AG84,0))</f>
        <v>16.92454929442377</v>
      </c>
      <c r="I84" s="129">
        <f t="shared" ca="1" si="184"/>
        <v>29.42454929442377</v>
      </c>
      <c r="J84" s="129">
        <f t="shared" ca="1" si="184"/>
        <v>41.92454929442377</v>
      </c>
      <c r="K84" s="129">
        <f t="shared" ca="1" si="184"/>
        <v>54.42454929442377</v>
      </c>
      <c r="L84" s="129">
        <f t="shared" ca="1" si="184"/>
        <v>66.92454929442377</v>
      </c>
      <c r="M84" s="129">
        <f t="shared" ca="1" si="184"/>
        <v>79.42454929442377</v>
      </c>
      <c r="N84" s="129">
        <f t="shared" ca="1" si="184"/>
        <v>91.92454929442377</v>
      </c>
      <c r="O84" s="129">
        <f t="shared" ca="1" si="184"/>
        <v>104.42454929442377</v>
      </c>
      <c r="P84" s="129">
        <f t="shared" ca="1" si="184"/>
        <v>116.92454929442377</v>
      </c>
      <c r="Q84" s="129">
        <f t="shared" ca="1" si="184"/>
        <v>129.42454929442377</v>
      </c>
      <c r="R84" s="129">
        <f t="shared" ca="1" si="184"/>
        <v>141.92454929442377</v>
      </c>
      <c r="S84" s="129">
        <f t="shared" ca="1" si="184"/>
        <v>154.42454929442377</v>
      </c>
      <c r="T84" s="129">
        <f t="shared" ca="1" si="184"/>
        <v>166.92454929442377</v>
      </c>
      <c r="U84" s="129">
        <f t="shared" ca="1" si="184"/>
        <v>179.42454929442377</v>
      </c>
      <c r="V84" s="129">
        <f t="shared" ca="1" si="184"/>
        <v>191.92454929442377</v>
      </c>
      <c r="W84" s="129">
        <f t="shared" si="184"/>
        <v>0</v>
      </c>
      <c r="X84" s="129">
        <f t="shared" ref="X84:AE84" si="185">($D84&lt;$E84)*(X$5*(X$5&lt;=$D84)*($E84&gt;=X$5))+($D84&gt;=$E84)*(IF(AND(X$5&lt;=$D84,X$5&lt;=$E84),W84+$AG84,0))</f>
        <v>0</v>
      </c>
      <c r="Y84" s="129">
        <f t="shared" si="185"/>
        <v>0</v>
      </c>
      <c r="Z84" s="129">
        <f t="shared" si="185"/>
        <v>0</v>
      </c>
      <c r="AA84" s="129">
        <f t="shared" si="185"/>
        <v>0</v>
      </c>
      <c r="AB84" s="129">
        <f t="shared" si="185"/>
        <v>0</v>
      </c>
      <c r="AC84" s="129">
        <f t="shared" si="185"/>
        <v>0</v>
      </c>
      <c r="AD84" s="129">
        <f t="shared" si="185"/>
        <v>0</v>
      </c>
      <c r="AE84" s="129">
        <f t="shared" si="185"/>
        <v>0</v>
      </c>
      <c r="AG84" s="133">
        <f t="shared" si="159"/>
        <v>12.5</v>
      </c>
      <c r="AH84" s="132">
        <f t="shared" ca="1" si="160"/>
        <v>4.4245492944237705</v>
      </c>
    </row>
    <row r="85" spans="1:34" s="114" customFormat="1" x14ac:dyDescent="0.25">
      <c r="A85" s="137">
        <v>2</v>
      </c>
      <c r="B85" s="125" t="s">
        <v>468</v>
      </c>
      <c r="C85" s="121" t="s">
        <v>39</v>
      </c>
      <c r="D85" s="126">
        <v>106</v>
      </c>
      <c r="E85" s="117">
        <v>16</v>
      </c>
      <c r="F85" s="118"/>
      <c r="G85" s="128">
        <f t="shared" ca="1" si="173"/>
        <v>2.6750512853159747</v>
      </c>
      <c r="H85" s="129">
        <f t="shared" ref="H85:W85" ca="1" si="186">($D85&lt;$E85)*(H$5*(H$5&lt;=$D85)*($E85&gt;=H$5))+($D85&gt;=$E85)*(IF(AND(H$5&lt;=$D85,H$5&lt;=$E85),G85+$AG85,0))</f>
        <v>9.3000512853159751</v>
      </c>
      <c r="I85" s="129">
        <f t="shared" ca="1" si="186"/>
        <v>15.925051285315975</v>
      </c>
      <c r="J85" s="129">
        <f t="shared" ca="1" si="186"/>
        <v>22.550051285315973</v>
      </c>
      <c r="K85" s="129">
        <f t="shared" ca="1" si="186"/>
        <v>29.175051285315973</v>
      </c>
      <c r="L85" s="129">
        <f t="shared" ca="1" si="186"/>
        <v>35.800051285315973</v>
      </c>
      <c r="M85" s="129">
        <f t="shared" ca="1" si="186"/>
        <v>42.425051285315973</v>
      </c>
      <c r="N85" s="129">
        <f t="shared" ca="1" si="186"/>
        <v>49.050051285315973</v>
      </c>
      <c r="O85" s="129">
        <f t="shared" ca="1" si="186"/>
        <v>55.675051285315973</v>
      </c>
      <c r="P85" s="129">
        <f t="shared" ca="1" si="186"/>
        <v>62.300051285315973</v>
      </c>
      <c r="Q85" s="129">
        <f t="shared" ca="1" si="186"/>
        <v>68.925051285315973</v>
      </c>
      <c r="R85" s="129">
        <f t="shared" ca="1" si="186"/>
        <v>75.550051285315973</v>
      </c>
      <c r="S85" s="129">
        <f t="shared" ca="1" si="186"/>
        <v>82.175051285315973</v>
      </c>
      <c r="T85" s="129">
        <f t="shared" ca="1" si="186"/>
        <v>88.800051285315973</v>
      </c>
      <c r="U85" s="129">
        <f t="shared" ca="1" si="186"/>
        <v>95.425051285315973</v>
      </c>
      <c r="V85" s="129">
        <f t="shared" ca="1" si="186"/>
        <v>102.05005128531597</v>
      </c>
      <c r="W85" s="129">
        <f t="shared" si="186"/>
        <v>0</v>
      </c>
      <c r="X85" s="129">
        <f t="shared" ref="X85:AE85" si="187">($D85&lt;$E85)*(X$5*(X$5&lt;=$D85)*($E85&gt;=X$5))+($D85&gt;=$E85)*(IF(AND(X$5&lt;=$D85,X$5&lt;=$E85),W85+$AG85,0))</f>
        <v>0</v>
      </c>
      <c r="Y85" s="129">
        <f t="shared" si="187"/>
        <v>0</v>
      </c>
      <c r="Z85" s="129">
        <f t="shared" si="187"/>
        <v>0</v>
      </c>
      <c r="AA85" s="129">
        <f t="shared" si="187"/>
        <v>0</v>
      </c>
      <c r="AB85" s="129">
        <f t="shared" si="187"/>
        <v>0</v>
      </c>
      <c r="AC85" s="129">
        <f t="shared" si="187"/>
        <v>0</v>
      </c>
      <c r="AD85" s="129">
        <f t="shared" si="187"/>
        <v>0</v>
      </c>
      <c r="AE85" s="129">
        <f t="shared" si="187"/>
        <v>0</v>
      </c>
      <c r="AG85" s="133">
        <f t="shared" si="159"/>
        <v>6.625</v>
      </c>
      <c r="AH85" s="132">
        <f t="shared" ca="1" si="160"/>
        <v>2.6750512853159747</v>
      </c>
    </row>
    <row r="86" spans="1:34" s="114" customFormat="1" x14ac:dyDescent="0.25">
      <c r="A86" s="137">
        <v>2</v>
      </c>
      <c r="B86" s="125" t="s">
        <v>479</v>
      </c>
      <c r="C86" s="121" t="s">
        <v>39</v>
      </c>
      <c r="D86" s="126">
        <v>85</v>
      </c>
      <c r="E86" s="117">
        <v>16</v>
      </c>
      <c r="F86" s="118"/>
      <c r="G86" s="128">
        <f t="shared" ca="1" si="173"/>
        <v>2.2842059854089141</v>
      </c>
      <c r="H86" s="129">
        <f t="shared" ref="H86:W86" ca="1" si="188">($D86&lt;$E86)*(H$5*(H$5&lt;=$D86)*($E86&gt;=H$5))+($D86&gt;=$E86)*(IF(AND(H$5&lt;=$D86,H$5&lt;=$E86),G86+$AG86,0))</f>
        <v>7.5967059854089136</v>
      </c>
      <c r="I86" s="129">
        <f t="shared" ca="1" si="188"/>
        <v>12.909205985408914</v>
      </c>
      <c r="J86" s="129">
        <f t="shared" ca="1" si="188"/>
        <v>18.221705985408914</v>
      </c>
      <c r="K86" s="129">
        <f t="shared" ca="1" si="188"/>
        <v>23.534205985408914</v>
      </c>
      <c r="L86" s="129">
        <f t="shared" ca="1" si="188"/>
        <v>28.846705985408914</v>
      </c>
      <c r="M86" s="129">
        <f t="shared" ca="1" si="188"/>
        <v>34.159205985408917</v>
      </c>
      <c r="N86" s="129">
        <f t="shared" ca="1" si="188"/>
        <v>39.471705985408917</v>
      </c>
      <c r="O86" s="129">
        <f t="shared" ca="1" si="188"/>
        <v>44.784205985408917</v>
      </c>
      <c r="P86" s="129">
        <f t="shared" ca="1" si="188"/>
        <v>50.096705985408917</v>
      </c>
      <c r="Q86" s="129">
        <f t="shared" ca="1" si="188"/>
        <v>55.409205985408917</v>
      </c>
      <c r="R86" s="129">
        <f t="shared" ca="1" si="188"/>
        <v>60.721705985408917</v>
      </c>
      <c r="S86" s="129">
        <f t="shared" ca="1" si="188"/>
        <v>66.034205985408917</v>
      </c>
      <c r="T86" s="129">
        <f t="shared" ca="1" si="188"/>
        <v>71.346705985408917</v>
      </c>
      <c r="U86" s="129">
        <f t="shared" ca="1" si="188"/>
        <v>76.659205985408917</v>
      </c>
      <c r="V86" s="129">
        <f t="shared" ca="1" si="188"/>
        <v>81.971705985408917</v>
      </c>
      <c r="W86" s="129">
        <f t="shared" si="188"/>
        <v>0</v>
      </c>
      <c r="X86" s="129">
        <f t="shared" ref="X86:AE86" si="189">($D86&lt;$E86)*(X$5*(X$5&lt;=$D86)*($E86&gt;=X$5))+($D86&gt;=$E86)*(IF(AND(X$5&lt;=$D86,X$5&lt;=$E86),W86+$AG86,0))</f>
        <v>0</v>
      </c>
      <c r="Y86" s="129">
        <f t="shared" si="189"/>
        <v>0</v>
      </c>
      <c r="Z86" s="129">
        <f t="shared" si="189"/>
        <v>0</v>
      </c>
      <c r="AA86" s="129">
        <f t="shared" si="189"/>
        <v>0</v>
      </c>
      <c r="AB86" s="129">
        <f t="shared" si="189"/>
        <v>0</v>
      </c>
      <c r="AC86" s="129">
        <f t="shared" si="189"/>
        <v>0</v>
      </c>
      <c r="AD86" s="129">
        <f t="shared" si="189"/>
        <v>0</v>
      </c>
      <c r="AE86" s="129">
        <f t="shared" si="189"/>
        <v>0</v>
      </c>
      <c r="AG86" s="133">
        <f t="shared" si="159"/>
        <v>5.3125</v>
      </c>
      <c r="AH86" s="132">
        <f t="shared" ca="1" si="160"/>
        <v>2.2842059854089141</v>
      </c>
    </row>
    <row r="87" spans="1:34" s="114" customFormat="1" x14ac:dyDescent="0.25">
      <c r="A87" s="137">
        <v>2</v>
      </c>
      <c r="B87" s="125" t="s">
        <v>480</v>
      </c>
      <c r="C87" s="121" t="s">
        <v>39</v>
      </c>
      <c r="D87" s="126">
        <v>264</v>
      </c>
      <c r="E87" s="117">
        <v>16</v>
      </c>
      <c r="F87" s="118"/>
      <c r="G87" s="128">
        <f t="shared" ca="1" si="173"/>
        <v>5.6156968750929082</v>
      </c>
      <c r="H87" s="129">
        <f t="shared" ref="H87:W87" ca="1" si="190">($D87&lt;$E87)*(H$5*(H$5&lt;=$D87)*($E87&gt;=H$5))+($D87&gt;=$E87)*(IF(AND(H$5&lt;=$D87,H$5&lt;=$E87),G87+$AG87,0))</f>
        <v>22.115696875092908</v>
      </c>
      <c r="I87" s="129">
        <f t="shared" ca="1" si="190"/>
        <v>38.615696875092908</v>
      </c>
      <c r="J87" s="129">
        <f t="shared" ca="1" si="190"/>
        <v>55.115696875092908</v>
      </c>
      <c r="K87" s="129">
        <f t="shared" ca="1" si="190"/>
        <v>71.615696875092908</v>
      </c>
      <c r="L87" s="129">
        <f t="shared" ca="1" si="190"/>
        <v>88.115696875092908</v>
      </c>
      <c r="M87" s="129">
        <f t="shared" ca="1" si="190"/>
        <v>104.61569687509291</v>
      </c>
      <c r="N87" s="129">
        <f t="shared" ca="1" si="190"/>
        <v>121.11569687509291</v>
      </c>
      <c r="O87" s="129">
        <f t="shared" ca="1" si="190"/>
        <v>137.61569687509291</v>
      </c>
      <c r="P87" s="129">
        <f t="shared" ca="1" si="190"/>
        <v>154.11569687509291</v>
      </c>
      <c r="Q87" s="129">
        <f t="shared" ca="1" si="190"/>
        <v>170.61569687509291</v>
      </c>
      <c r="R87" s="129">
        <f t="shared" ca="1" si="190"/>
        <v>187.11569687509291</v>
      </c>
      <c r="S87" s="129">
        <f t="shared" ca="1" si="190"/>
        <v>203.61569687509291</v>
      </c>
      <c r="T87" s="129">
        <f t="shared" ca="1" si="190"/>
        <v>220.11569687509291</v>
      </c>
      <c r="U87" s="129">
        <f t="shared" ca="1" si="190"/>
        <v>236.61569687509291</v>
      </c>
      <c r="V87" s="129">
        <f t="shared" ca="1" si="190"/>
        <v>253.11569687509291</v>
      </c>
      <c r="W87" s="129">
        <f t="shared" si="190"/>
        <v>0</v>
      </c>
      <c r="X87" s="129">
        <f t="shared" ref="X87:AE87" si="191">($D87&lt;$E87)*(X$5*(X$5&lt;=$D87)*($E87&gt;=X$5))+($D87&gt;=$E87)*(IF(AND(X$5&lt;=$D87,X$5&lt;=$E87),W87+$AG87,0))</f>
        <v>0</v>
      </c>
      <c r="Y87" s="129">
        <f t="shared" si="191"/>
        <v>0</v>
      </c>
      <c r="Z87" s="129">
        <f t="shared" si="191"/>
        <v>0</v>
      </c>
      <c r="AA87" s="129">
        <f t="shared" si="191"/>
        <v>0</v>
      </c>
      <c r="AB87" s="129">
        <f t="shared" si="191"/>
        <v>0</v>
      </c>
      <c r="AC87" s="129">
        <f t="shared" si="191"/>
        <v>0</v>
      </c>
      <c r="AD87" s="129">
        <f t="shared" si="191"/>
        <v>0</v>
      </c>
      <c r="AE87" s="129">
        <f t="shared" si="191"/>
        <v>0</v>
      </c>
      <c r="AG87" s="133">
        <f t="shared" si="159"/>
        <v>16.5</v>
      </c>
      <c r="AH87" s="132">
        <f t="shared" ca="1" si="160"/>
        <v>5.6156968750929082</v>
      </c>
    </row>
    <row r="88" spans="1:34" s="114" customFormat="1" x14ac:dyDescent="0.25">
      <c r="A88" s="137">
        <v>2</v>
      </c>
      <c r="B88" s="125" t="s">
        <v>481</v>
      </c>
      <c r="C88" s="121" t="s">
        <v>39</v>
      </c>
      <c r="D88" s="126">
        <v>257</v>
      </c>
      <c r="E88" s="117">
        <v>16</v>
      </c>
      <c r="F88" s="118"/>
      <c r="G88" s="128">
        <f t="shared" ca="1" si="173"/>
        <v>5.4854151084572216</v>
      </c>
      <c r="H88" s="129">
        <f t="shared" ref="H88:W88" ca="1" si="192">($D88&lt;$E88)*(H$5*(H$5&lt;=$D88)*($E88&gt;=H$5))+($D88&gt;=$E88)*(IF(AND(H$5&lt;=$D88,H$5&lt;=$E88),G88+$AG88,0))</f>
        <v>21.547915108457222</v>
      </c>
      <c r="I88" s="129">
        <f t="shared" ca="1" si="192"/>
        <v>37.610415108457218</v>
      </c>
      <c r="J88" s="129">
        <f t="shared" ca="1" si="192"/>
        <v>53.672915108457218</v>
      </c>
      <c r="K88" s="129">
        <f t="shared" ca="1" si="192"/>
        <v>69.735415108457218</v>
      </c>
      <c r="L88" s="129">
        <f t="shared" ca="1" si="192"/>
        <v>85.797915108457218</v>
      </c>
      <c r="M88" s="129">
        <f t="shared" ca="1" si="192"/>
        <v>101.86041510845722</v>
      </c>
      <c r="N88" s="129">
        <f t="shared" ca="1" si="192"/>
        <v>117.92291510845722</v>
      </c>
      <c r="O88" s="129">
        <f t="shared" ca="1" si="192"/>
        <v>133.98541510845723</v>
      </c>
      <c r="P88" s="129">
        <f t="shared" ca="1" si="192"/>
        <v>150.04791510845723</v>
      </c>
      <c r="Q88" s="129">
        <f t="shared" ca="1" si="192"/>
        <v>166.11041510845723</v>
      </c>
      <c r="R88" s="129">
        <f t="shared" ca="1" si="192"/>
        <v>182.17291510845723</v>
      </c>
      <c r="S88" s="129">
        <f t="shared" ca="1" si="192"/>
        <v>198.23541510845723</v>
      </c>
      <c r="T88" s="129">
        <f t="shared" ca="1" si="192"/>
        <v>214.29791510845723</v>
      </c>
      <c r="U88" s="129">
        <f t="shared" ca="1" si="192"/>
        <v>230.36041510845723</v>
      </c>
      <c r="V88" s="129">
        <f t="shared" ca="1" si="192"/>
        <v>246.42291510845723</v>
      </c>
      <c r="W88" s="129">
        <f t="shared" si="192"/>
        <v>0</v>
      </c>
      <c r="X88" s="129">
        <f t="shared" ref="X88:AE88" si="193">($D88&lt;$E88)*(X$5*(X$5&lt;=$D88)*($E88&gt;=X$5))+($D88&gt;=$E88)*(IF(AND(X$5&lt;=$D88,X$5&lt;=$E88),W88+$AG88,0))</f>
        <v>0</v>
      </c>
      <c r="Y88" s="129">
        <f t="shared" si="193"/>
        <v>0</v>
      </c>
      <c r="Z88" s="129">
        <f t="shared" si="193"/>
        <v>0</v>
      </c>
      <c r="AA88" s="129">
        <f t="shared" si="193"/>
        <v>0</v>
      </c>
      <c r="AB88" s="129">
        <f t="shared" si="193"/>
        <v>0</v>
      </c>
      <c r="AC88" s="129">
        <f t="shared" si="193"/>
        <v>0</v>
      </c>
      <c r="AD88" s="129">
        <f t="shared" si="193"/>
        <v>0</v>
      </c>
      <c r="AE88" s="129">
        <f t="shared" si="193"/>
        <v>0</v>
      </c>
      <c r="AG88" s="133">
        <f t="shared" si="159"/>
        <v>16.0625</v>
      </c>
      <c r="AH88" s="132">
        <f t="shared" ca="1" si="160"/>
        <v>5.4854151084572216</v>
      </c>
    </row>
    <row r="89" spans="1:34" s="114" customFormat="1" x14ac:dyDescent="0.25">
      <c r="A89" s="137">
        <v>2</v>
      </c>
      <c r="B89" s="125" t="s">
        <v>289</v>
      </c>
      <c r="C89" s="121" t="s">
        <v>39</v>
      </c>
      <c r="D89" s="126">
        <v>232</v>
      </c>
      <c r="E89" s="117">
        <v>16</v>
      </c>
      <c r="F89" s="118"/>
      <c r="G89" s="128">
        <f t="shared" ca="1" si="173"/>
        <v>5.0201230847583398</v>
      </c>
      <c r="H89" s="129">
        <f t="shared" ref="H89:W89" ca="1" si="194">($D89&lt;$E89)*(H$5*(H$5&lt;=$D89)*($E89&gt;=H$5))+($D89&gt;=$E89)*(IF(AND(H$5&lt;=$D89,H$5&lt;=$E89),G89+$AG89,0))</f>
        <v>19.520123084758339</v>
      </c>
      <c r="I89" s="129">
        <f t="shared" ca="1" si="194"/>
        <v>34.020123084758339</v>
      </c>
      <c r="J89" s="129">
        <f t="shared" ca="1" si="194"/>
        <v>48.520123084758339</v>
      </c>
      <c r="K89" s="129">
        <f t="shared" ca="1" si="194"/>
        <v>63.020123084758339</v>
      </c>
      <c r="L89" s="129">
        <f t="shared" ca="1" si="194"/>
        <v>77.520123084758339</v>
      </c>
      <c r="M89" s="129">
        <f t="shared" ca="1" si="194"/>
        <v>92.020123084758339</v>
      </c>
      <c r="N89" s="129">
        <f t="shared" ca="1" si="194"/>
        <v>106.52012308475834</v>
      </c>
      <c r="O89" s="129">
        <f t="shared" ca="1" si="194"/>
        <v>121.02012308475834</v>
      </c>
      <c r="P89" s="129">
        <f t="shared" ca="1" si="194"/>
        <v>135.52012308475832</v>
      </c>
      <c r="Q89" s="129">
        <f t="shared" ca="1" si="194"/>
        <v>150.02012308475832</v>
      </c>
      <c r="R89" s="129">
        <f t="shared" ca="1" si="194"/>
        <v>164.52012308475832</v>
      </c>
      <c r="S89" s="129">
        <f t="shared" ca="1" si="194"/>
        <v>179.02012308475832</v>
      </c>
      <c r="T89" s="129">
        <f t="shared" ca="1" si="194"/>
        <v>193.52012308475832</v>
      </c>
      <c r="U89" s="129">
        <f t="shared" ca="1" si="194"/>
        <v>208.02012308475832</v>
      </c>
      <c r="V89" s="129">
        <f t="shared" ca="1" si="194"/>
        <v>222.52012308475832</v>
      </c>
      <c r="W89" s="129">
        <f t="shared" si="194"/>
        <v>0</v>
      </c>
      <c r="X89" s="129">
        <f t="shared" ref="X89:AE89" si="195">($D89&lt;$E89)*(X$5*(X$5&lt;=$D89)*($E89&gt;=X$5))+($D89&gt;=$E89)*(IF(AND(X$5&lt;=$D89,X$5&lt;=$E89),W89+$AG89,0))</f>
        <v>0</v>
      </c>
      <c r="Y89" s="129">
        <f t="shared" si="195"/>
        <v>0</v>
      </c>
      <c r="Z89" s="129">
        <f t="shared" si="195"/>
        <v>0</v>
      </c>
      <c r="AA89" s="129">
        <f t="shared" si="195"/>
        <v>0</v>
      </c>
      <c r="AB89" s="129">
        <f t="shared" si="195"/>
        <v>0</v>
      </c>
      <c r="AC89" s="129">
        <f t="shared" si="195"/>
        <v>0</v>
      </c>
      <c r="AD89" s="129">
        <f t="shared" si="195"/>
        <v>0</v>
      </c>
      <c r="AE89" s="129">
        <f t="shared" si="195"/>
        <v>0</v>
      </c>
      <c r="AG89" s="133">
        <f t="shared" si="159"/>
        <v>14.5</v>
      </c>
      <c r="AH89" s="132">
        <f t="shared" ca="1" si="160"/>
        <v>5.0201230847583398</v>
      </c>
    </row>
    <row r="90" spans="1:34" s="114" customFormat="1" x14ac:dyDescent="0.25">
      <c r="A90" s="137">
        <v>2</v>
      </c>
      <c r="B90" s="125" t="s">
        <v>290</v>
      </c>
      <c r="C90" s="121" t="s">
        <v>39</v>
      </c>
      <c r="D90" s="126">
        <v>167</v>
      </c>
      <c r="E90" s="117">
        <v>16</v>
      </c>
      <c r="F90" s="118"/>
      <c r="G90" s="128">
        <f t="shared" ca="1" si="173"/>
        <v>3.8103638231412464</v>
      </c>
      <c r="H90" s="129">
        <f t="shared" ref="H90:W90" ca="1" si="196">($D90&lt;$E90)*(H$5*(H$5&lt;=$D90)*($E90&gt;=H$5))+($D90&gt;=$E90)*(IF(AND(H$5&lt;=$D90,H$5&lt;=$E90),G90+$AG90,0))</f>
        <v>14.247863823141246</v>
      </c>
      <c r="I90" s="129">
        <f t="shared" ca="1" si="196"/>
        <v>24.685363823141245</v>
      </c>
      <c r="J90" s="129">
        <f t="shared" ca="1" si="196"/>
        <v>35.122863823141245</v>
      </c>
      <c r="K90" s="129">
        <f t="shared" ca="1" si="196"/>
        <v>45.560363823141245</v>
      </c>
      <c r="L90" s="129">
        <f t="shared" ca="1" si="196"/>
        <v>55.997863823141245</v>
      </c>
      <c r="M90" s="129">
        <f t="shared" ca="1" si="196"/>
        <v>66.435363823141245</v>
      </c>
      <c r="N90" s="129">
        <f t="shared" ca="1" si="196"/>
        <v>76.872863823141245</v>
      </c>
      <c r="O90" s="129">
        <f t="shared" ca="1" si="196"/>
        <v>87.310363823141245</v>
      </c>
      <c r="P90" s="129">
        <f t="shared" ca="1" si="196"/>
        <v>97.747863823141245</v>
      </c>
      <c r="Q90" s="129">
        <f t="shared" ca="1" si="196"/>
        <v>108.18536382314124</v>
      </c>
      <c r="R90" s="129">
        <f t="shared" ca="1" si="196"/>
        <v>118.62286382314124</v>
      </c>
      <c r="S90" s="129">
        <f t="shared" ca="1" si="196"/>
        <v>129.06036382314124</v>
      </c>
      <c r="T90" s="129">
        <f t="shared" ca="1" si="196"/>
        <v>139.49786382314124</v>
      </c>
      <c r="U90" s="129">
        <f t="shared" ca="1" si="196"/>
        <v>149.93536382314124</v>
      </c>
      <c r="V90" s="129">
        <f t="shared" ca="1" si="196"/>
        <v>160.37286382314124</v>
      </c>
      <c r="W90" s="129">
        <f t="shared" si="196"/>
        <v>0</v>
      </c>
      <c r="X90" s="129">
        <f t="shared" ref="X90:AE90" si="197">($D90&lt;$E90)*(X$5*(X$5&lt;=$D90)*($E90&gt;=X$5))+($D90&gt;=$E90)*(IF(AND(X$5&lt;=$D90,X$5&lt;=$E90),W90+$AG90,0))</f>
        <v>0</v>
      </c>
      <c r="Y90" s="129">
        <f t="shared" si="197"/>
        <v>0</v>
      </c>
      <c r="Z90" s="129">
        <f t="shared" si="197"/>
        <v>0</v>
      </c>
      <c r="AA90" s="129">
        <f t="shared" si="197"/>
        <v>0</v>
      </c>
      <c r="AB90" s="129">
        <f t="shared" si="197"/>
        <v>0</v>
      </c>
      <c r="AC90" s="129">
        <f t="shared" si="197"/>
        <v>0</v>
      </c>
      <c r="AD90" s="129">
        <f t="shared" si="197"/>
        <v>0</v>
      </c>
      <c r="AE90" s="129">
        <f t="shared" si="197"/>
        <v>0</v>
      </c>
      <c r="AG90" s="133">
        <f t="shared" si="159"/>
        <v>10.4375</v>
      </c>
      <c r="AH90" s="132">
        <f t="shared" ca="1" si="160"/>
        <v>3.8103638231412464</v>
      </c>
    </row>
    <row r="91" spans="1:34" s="114" customFormat="1" x14ac:dyDescent="0.25">
      <c r="A91" s="137">
        <v>2</v>
      </c>
      <c r="B91" s="125" t="s">
        <v>291</v>
      </c>
      <c r="C91" s="121" t="s">
        <v>39</v>
      </c>
      <c r="D91" s="126">
        <v>320</v>
      </c>
      <c r="E91" s="117">
        <v>16</v>
      </c>
      <c r="F91" s="118"/>
      <c r="G91" s="128">
        <f t="shared" ca="1" si="173"/>
        <v>6.6579510081784035</v>
      </c>
      <c r="H91" s="129">
        <f t="shared" ref="H91:W91" ca="1" si="198">($D91&lt;$E91)*(H$5*(H$5&lt;=$D91)*($E91&gt;=H$5))+($D91&gt;=$E91)*(IF(AND(H$5&lt;=$D91,H$5&lt;=$E91),G91+$AG91,0))</f>
        <v>26.657951008178404</v>
      </c>
      <c r="I91" s="129">
        <f t="shared" ca="1" si="198"/>
        <v>46.657951008178401</v>
      </c>
      <c r="J91" s="129">
        <f t="shared" ca="1" si="198"/>
        <v>66.657951008178401</v>
      </c>
      <c r="K91" s="129">
        <f t="shared" ca="1" si="198"/>
        <v>86.657951008178401</v>
      </c>
      <c r="L91" s="129">
        <f t="shared" ca="1" si="198"/>
        <v>106.6579510081784</v>
      </c>
      <c r="M91" s="129">
        <f t="shared" ca="1" si="198"/>
        <v>126.6579510081784</v>
      </c>
      <c r="N91" s="129">
        <f t="shared" ca="1" si="198"/>
        <v>146.6579510081784</v>
      </c>
      <c r="O91" s="129">
        <f t="shared" ca="1" si="198"/>
        <v>166.6579510081784</v>
      </c>
      <c r="P91" s="129">
        <f t="shared" ca="1" si="198"/>
        <v>186.6579510081784</v>
      </c>
      <c r="Q91" s="129">
        <f t="shared" ca="1" si="198"/>
        <v>206.6579510081784</v>
      </c>
      <c r="R91" s="129">
        <f t="shared" ca="1" si="198"/>
        <v>226.6579510081784</v>
      </c>
      <c r="S91" s="129">
        <f t="shared" ca="1" si="198"/>
        <v>246.6579510081784</v>
      </c>
      <c r="T91" s="129">
        <f t="shared" ca="1" si="198"/>
        <v>266.65795100817843</v>
      </c>
      <c r="U91" s="129">
        <f t="shared" ca="1" si="198"/>
        <v>286.65795100817843</v>
      </c>
      <c r="V91" s="129">
        <f t="shared" ca="1" si="198"/>
        <v>306.65795100817843</v>
      </c>
      <c r="W91" s="129">
        <f t="shared" si="198"/>
        <v>0</v>
      </c>
      <c r="X91" s="129">
        <f t="shared" ref="X91:AE91" si="199">($D91&lt;$E91)*(X$5*(X$5&lt;=$D91)*($E91&gt;=X$5))+($D91&gt;=$E91)*(IF(AND(X$5&lt;=$D91,X$5&lt;=$E91),W91+$AG91,0))</f>
        <v>0</v>
      </c>
      <c r="Y91" s="129">
        <f t="shared" si="199"/>
        <v>0</v>
      </c>
      <c r="Z91" s="129">
        <f t="shared" si="199"/>
        <v>0</v>
      </c>
      <c r="AA91" s="129">
        <f t="shared" si="199"/>
        <v>0</v>
      </c>
      <c r="AB91" s="129">
        <f t="shared" si="199"/>
        <v>0</v>
      </c>
      <c r="AC91" s="129">
        <f t="shared" si="199"/>
        <v>0</v>
      </c>
      <c r="AD91" s="129">
        <f t="shared" si="199"/>
        <v>0</v>
      </c>
      <c r="AE91" s="129">
        <f t="shared" si="199"/>
        <v>0</v>
      </c>
      <c r="AG91" s="133">
        <f t="shared" si="159"/>
        <v>20</v>
      </c>
      <c r="AH91" s="132">
        <f t="shared" ca="1" si="160"/>
        <v>6.6579510081784035</v>
      </c>
    </row>
    <row r="92" spans="1:34" s="114" customFormat="1" x14ac:dyDescent="0.25">
      <c r="A92" s="137">
        <v>2</v>
      </c>
      <c r="B92" s="125" t="s">
        <v>292</v>
      </c>
      <c r="C92" s="121" t="s">
        <v>39</v>
      </c>
      <c r="D92" s="126">
        <v>175</v>
      </c>
      <c r="E92" s="117">
        <v>16</v>
      </c>
      <c r="F92" s="118"/>
      <c r="G92" s="128">
        <f t="shared" ca="1" si="173"/>
        <v>3.9592572707248888</v>
      </c>
      <c r="H92" s="129">
        <f t="shared" ref="H92:W92" ca="1" si="200">($D92&lt;$E92)*(H$5*(H$5&lt;=$D92)*($E92&gt;=H$5))+($D92&gt;=$E92)*(IF(AND(H$5&lt;=$D92,H$5&lt;=$E92),G92+$AG92,0))</f>
        <v>14.896757270724889</v>
      </c>
      <c r="I92" s="129">
        <f t="shared" ca="1" si="200"/>
        <v>25.834257270724891</v>
      </c>
      <c r="J92" s="129">
        <f t="shared" ca="1" si="200"/>
        <v>36.771757270724891</v>
      </c>
      <c r="K92" s="129">
        <f t="shared" ca="1" si="200"/>
        <v>47.709257270724891</v>
      </c>
      <c r="L92" s="129">
        <f t="shared" ca="1" si="200"/>
        <v>58.646757270724891</v>
      </c>
      <c r="M92" s="129">
        <f t="shared" ca="1" si="200"/>
        <v>69.584257270724891</v>
      </c>
      <c r="N92" s="129">
        <f t="shared" ca="1" si="200"/>
        <v>80.521757270724891</v>
      </c>
      <c r="O92" s="129">
        <f t="shared" ca="1" si="200"/>
        <v>91.459257270724891</v>
      </c>
      <c r="P92" s="129">
        <f t="shared" ca="1" si="200"/>
        <v>102.39675727072489</v>
      </c>
      <c r="Q92" s="129">
        <f t="shared" ca="1" si="200"/>
        <v>113.33425727072489</v>
      </c>
      <c r="R92" s="129">
        <f t="shared" ca="1" si="200"/>
        <v>124.27175727072489</v>
      </c>
      <c r="S92" s="129">
        <f t="shared" ca="1" si="200"/>
        <v>135.20925727072489</v>
      </c>
      <c r="T92" s="129">
        <f t="shared" ca="1" si="200"/>
        <v>146.14675727072489</v>
      </c>
      <c r="U92" s="129">
        <f t="shared" ca="1" si="200"/>
        <v>157.08425727072489</v>
      </c>
      <c r="V92" s="129">
        <f t="shared" ca="1" si="200"/>
        <v>168.02175727072489</v>
      </c>
      <c r="W92" s="129">
        <f t="shared" si="200"/>
        <v>0</v>
      </c>
      <c r="X92" s="129">
        <f t="shared" ref="X92:AE92" si="201">($D92&lt;$E92)*(X$5*(X$5&lt;=$D92)*($E92&gt;=X$5))+($D92&gt;=$E92)*(IF(AND(X$5&lt;=$D92,X$5&lt;=$E92),W92+$AG92,0))</f>
        <v>0</v>
      </c>
      <c r="Y92" s="129">
        <f t="shared" si="201"/>
        <v>0</v>
      </c>
      <c r="Z92" s="129">
        <f t="shared" si="201"/>
        <v>0</v>
      </c>
      <c r="AA92" s="129">
        <f t="shared" si="201"/>
        <v>0</v>
      </c>
      <c r="AB92" s="129">
        <f t="shared" si="201"/>
        <v>0</v>
      </c>
      <c r="AC92" s="129">
        <f t="shared" si="201"/>
        <v>0</v>
      </c>
      <c r="AD92" s="129">
        <f t="shared" si="201"/>
        <v>0</v>
      </c>
      <c r="AE92" s="129">
        <f t="shared" si="201"/>
        <v>0</v>
      </c>
      <c r="AG92" s="133">
        <f t="shared" si="159"/>
        <v>10.9375</v>
      </c>
      <c r="AH92" s="132">
        <f t="shared" ca="1" si="160"/>
        <v>3.9592572707248888</v>
      </c>
    </row>
    <row r="93" spans="1:34" s="114" customFormat="1" x14ac:dyDescent="0.25">
      <c r="A93" s="137">
        <v>2</v>
      </c>
      <c r="B93" s="125" t="s">
        <v>293</v>
      </c>
      <c r="C93" s="121" t="s">
        <v>39</v>
      </c>
      <c r="D93" s="126">
        <v>118</v>
      </c>
      <c r="E93" s="117">
        <v>16</v>
      </c>
      <c r="F93" s="118"/>
      <c r="G93" s="128">
        <f t="shared" ca="1" si="173"/>
        <v>2.8983914566914382</v>
      </c>
      <c r="H93" s="129">
        <f t="shared" ref="H93:W93" ca="1" si="202">($D93&lt;$E93)*(H$5*(H$5&lt;=$D93)*($E93&gt;=H$5))+($D93&gt;=$E93)*(IF(AND(H$5&lt;=$D93,H$5&lt;=$E93),G93+$AG93,0))</f>
        <v>10.273391456691439</v>
      </c>
      <c r="I93" s="129">
        <f t="shared" ca="1" si="202"/>
        <v>17.648391456691439</v>
      </c>
      <c r="J93" s="129">
        <f t="shared" ca="1" si="202"/>
        <v>25.023391456691439</v>
      </c>
      <c r="K93" s="129">
        <f t="shared" ca="1" si="202"/>
        <v>32.398391456691442</v>
      </c>
      <c r="L93" s="129">
        <f t="shared" ca="1" si="202"/>
        <v>39.773391456691442</v>
      </c>
      <c r="M93" s="129">
        <f t="shared" ca="1" si="202"/>
        <v>47.148391456691442</v>
      </c>
      <c r="N93" s="129">
        <f t="shared" ca="1" si="202"/>
        <v>54.523391456691442</v>
      </c>
      <c r="O93" s="129">
        <f t="shared" ca="1" si="202"/>
        <v>61.898391456691442</v>
      </c>
      <c r="P93" s="129">
        <f t="shared" ca="1" si="202"/>
        <v>69.273391456691442</v>
      </c>
      <c r="Q93" s="129">
        <f t="shared" ca="1" si="202"/>
        <v>76.648391456691442</v>
      </c>
      <c r="R93" s="129">
        <f t="shared" ca="1" si="202"/>
        <v>84.023391456691442</v>
      </c>
      <c r="S93" s="129">
        <f t="shared" ca="1" si="202"/>
        <v>91.398391456691442</v>
      </c>
      <c r="T93" s="129">
        <f t="shared" ca="1" si="202"/>
        <v>98.773391456691442</v>
      </c>
      <c r="U93" s="129">
        <f t="shared" ca="1" si="202"/>
        <v>106.14839145669144</v>
      </c>
      <c r="V93" s="129">
        <f t="shared" ca="1" si="202"/>
        <v>113.52339145669144</v>
      </c>
      <c r="W93" s="129">
        <f t="shared" si="202"/>
        <v>0</v>
      </c>
      <c r="X93" s="129">
        <f t="shared" ref="X93:AE93" si="203">($D93&lt;$E93)*(X$5*(X$5&lt;=$D93)*($E93&gt;=X$5))+($D93&gt;=$E93)*(IF(AND(X$5&lt;=$D93,X$5&lt;=$E93),W93+$AG93,0))</f>
        <v>0</v>
      </c>
      <c r="Y93" s="129">
        <f t="shared" si="203"/>
        <v>0</v>
      </c>
      <c r="Z93" s="129">
        <f t="shared" si="203"/>
        <v>0</v>
      </c>
      <c r="AA93" s="129">
        <f t="shared" si="203"/>
        <v>0</v>
      </c>
      <c r="AB93" s="129">
        <f t="shared" si="203"/>
        <v>0</v>
      </c>
      <c r="AC93" s="129">
        <f t="shared" si="203"/>
        <v>0</v>
      </c>
      <c r="AD93" s="129">
        <f t="shared" si="203"/>
        <v>0</v>
      </c>
      <c r="AE93" s="129">
        <f t="shared" si="203"/>
        <v>0</v>
      </c>
      <c r="AG93" s="133">
        <f t="shared" si="159"/>
        <v>7.375</v>
      </c>
      <c r="AH93" s="132">
        <f t="shared" ca="1" si="160"/>
        <v>2.8983914566914382</v>
      </c>
    </row>
    <row r="94" spans="1:34" s="114" customFormat="1" x14ac:dyDescent="0.25">
      <c r="A94" s="137">
        <v>2</v>
      </c>
      <c r="B94" s="125" t="s">
        <v>294</v>
      </c>
      <c r="C94" s="121" t="s">
        <v>39</v>
      </c>
      <c r="D94" s="126">
        <v>284</v>
      </c>
      <c r="E94" s="117">
        <v>16</v>
      </c>
      <c r="F94" s="118"/>
      <c r="G94" s="128">
        <f t="shared" ca="1" si="173"/>
        <v>5.9879304940520139</v>
      </c>
      <c r="H94" s="129">
        <f t="shared" ref="H94:W94" ca="1" si="204">($D94&lt;$E94)*(H$5*(H$5&lt;=$D94)*($E94&gt;=H$5))+($D94&gt;=$E94)*(IF(AND(H$5&lt;=$D94,H$5&lt;=$E94),G94+$AG94,0))</f>
        <v>23.737930494052016</v>
      </c>
      <c r="I94" s="129">
        <f t="shared" ca="1" si="204"/>
        <v>41.487930494052016</v>
      </c>
      <c r="J94" s="129">
        <f t="shared" ca="1" si="204"/>
        <v>59.237930494052016</v>
      </c>
      <c r="K94" s="129">
        <f t="shared" ca="1" si="204"/>
        <v>76.987930494052023</v>
      </c>
      <c r="L94" s="129">
        <f t="shared" ca="1" si="204"/>
        <v>94.737930494052023</v>
      </c>
      <c r="M94" s="129">
        <f t="shared" ca="1" si="204"/>
        <v>112.48793049405202</v>
      </c>
      <c r="N94" s="129">
        <f t="shared" ca="1" si="204"/>
        <v>130.23793049405202</v>
      </c>
      <c r="O94" s="129">
        <f t="shared" ca="1" si="204"/>
        <v>147.98793049405202</v>
      </c>
      <c r="P94" s="129">
        <f t="shared" ca="1" si="204"/>
        <v>165.73793049405202</v>
      </c>
      <c r="Q94" s="129">
        <f t="shared" ca="1" si="204"/>
        <v>183.48793049405202</v>
      </c>
      <c r="R94" s="129">
        <f t="shared" ca="1" si="204"/>
        <v>201.23793049405202</v>
      </c>
      <c r="S94" s="129">
        <f t="shared" ca="1" si="204"/>
        <v>218.98793049405202</v>
      </c>
      <c r="T94" s="129">
        <f t="shared" ca="1" si="204"/>
        <v>236.73793049405202</v>
      </c>
      <c r="U94" s="129">
        <f t="shared" ca="1" si="204"/>
        <v>254.48793049405202</v>
      </c>
      <c r="V94" s="129">
        <f t="shared" ca="1" si="204"/>
        <v>272.23793049405202</v>
      </c>
      <c r="W94" s="129">
        <f t="shared" si="204"/>
        <v>0</v>
      </c>
      <c r="X94" s="129">
        <f t="shared" ref="X94:AE94" si="205">($D94&lt;$E94)*(X$5*(X$5&lt;=$D94)*($E94&gt;=X$5))+($D94&gt;=$E94)*(IF(AND(X$5&lt;=$D94,X$5&lt;=$E94),W94+$AG94,0))</f>
        <v>0</v>
      </c>
      <c r="Y94" s="129">
        <f t="shared" si="205"/>
        <v>0</v>
      </c>
      <c r="Z94" s="129">
        <f t="shared" si="205"/>
        <v>0</v>
      </c>
      <c r="AA94" s="129">
        <f t="shared" si="205"/>
        <v>0</v>
      </c>
      <c r="AB94" s="129">
        <f t="shared" si="205"/>
        <v>0</v>
      </c>
      <c r="AC94" s="129">
        <f t="shared" si="205"/>
        <v>0</v>
      </c>
      <c r="AD94" s="129">
        <f t="shared" si="205"/>
        <v>0</v>
      </c>
      <c r="AE94" s="129">
        <f t="shared" si="205"/>
        <v>0</v>
      </c>
      <c r="AG94" s="133">
        <f t="shared" si="159"/>
        <v>17.75</v>
      </c>
      <c r="AH94" s="132">
        <f t="shared" ca="1" si="160"/>
        <v>5.9879304940520139</v>
      </c>
    </row>
    <row r="95" spans="1:34" s="114" customFormat="1" x14ac:dyDescent="0.25">
      <c r="A95" s="137">
        <v>2</v>
      </c>
      <c r="B95" s="125" t="s">
        <v>295</v>
      </c>
      <c r="C95" s="121" t="s">
        <v>39</v>
      </c>
      <c r="D95" s="126">
        <v>77</v>
      </c>
      <c r="E95" s="117">
        <v>16</v>
      </c>
      <c r="F95" s="118"/>
      <c r="G95" s="128">
        <f t="shared" ca="1" si="173"/>
        <v>2.1353125378252718</v>
      </c>
      <c r="H95" s="129">
        <f t="shared" ref="H95:W95" ca="1" si="206">($D95&lt;$E95)*(H$5*(H$5&lt;=$D95)*($E95&gt;=H$5))+($D95&gt;=$E95)*(IF(AND(H$5&lt;=$D95,H$5&lt;=$E95),G95+$AG95,0))</f>
        <v>6.9478125378252713</v>
      </c>
      <c r="I95" s="129">
        <f t="shared" ca="1" si="206"/>
        <v>11.760312537825271</v>
      </c>
      <c r="J95" s="129">
        <f t="shared" ca="1" si="206"/>
        <v>16.572812537825271</v>
      </c>
      <c r="K95" s="129">
        <f t="shared" ca="1" si="206"/>
        <v>21.385312537825271</v>
      </c>
      <c r="L95" s="129">
        <f t="shared" ca="1" si="206"/>
        <v>26.197812537825271</v>
      </c>
      <c r="M95" s="129">
        <f t="shared" ca="1" si="206"/>
        <v>31.010312537825271</v>
      </c>
      <c r="N95" s="129">
        <f t="shared" ca="1" si="206"/>
        <v>35.822812537825271</v>
      </c>
      <c r="O95" s="129">
        <f t="shared" ca="1" si="206"/>
        <v>40.635312537825271</v>
      </c>
      <c r="P95" s="129">
        <f t="shared" ca="1" si="206"/>
        <v>45.447812537825271</v>
      </c>
      <c r="Q95" s="129">
        <f t="shared" ca="1" si="206"/>
        <v>50.260312537825271</v>
      </c>
      <c r="R95" s="129">
        <f t="shared" ca="1" si="206"/>
        <v>55.072812537825271</v>
      </c>
      <c r="S95" s="129">
        <f t="shared" ca="1" si="206"/>
        <v>59.885312537825271</v>
      </c>
      <c r="T95" s="129">
        <f t="shared" ca="1" si="206"/>
        <v>64.697812537825271</v>
      </c>
      <c r="U95" s="129">
        <f t="shared" ca="1" si="206"/>
        <v>69.510312537825271</v>
      </c>
      <c r="V95" s="129">
        <f t="shared" ca="1" si="206"/>
        <v>74.322812537825271</v>
      </c>
      <c r="W95" s="129">
        <f t="shared" si="206"/>
        <v>0</v>
      </c>
      <c r="X95" s="129">
        <f t="shared" ref="X95:AE95" si="207">($D95&lt;$E95)*(X$5*(X$5&lt;=$D95)*($E95&gt;=X$5))+($D95&gt;=$E95)*(IF(AND(X$5&lt;=$D95,X$5&lt;=$E95),W95+$AG95,0))</f>
        <v>0</v>
      </c>
      <c r="Y95" s="129">
        <f t="shared" si="207"/>
        <v>0</v>
      </c>
      <c r="Z95" s="129">
        <f t="shared" si="207"/>
        <v>0</v>
      </c>
      <c r="AA95" s="129">
        <f t="shared" si="207"/>
        <v>0</v>
      </c>
      <c r="AB95" s="129">
        <f t="shared" si="207"/>
        <v>0</v>
      </c>
      <c r="AC95" s="129">
        <f t="shared" si="207"/>
        <v>0</v>
      </c>
      <c r="AD95" s="129">
        <f t="shared" si="207"/>
        <v>0</v>
      </c>
      <c r="AE95" s="129">
        <f t="shared" si="207"/>
        <v>0</v>
      </c>
      <c r="AG95" s="133">
        <f t="shared" si="159"/>
        <v>4.8125</v>
      </c>
      <c r="AH95" s="132">
        <f t="shared" ca="1" si="160"/>
        <v>2.1353125378252718</v>
      </c>
    </row>
    <row r="96" spans="1:34" s="114" customFormat="1" x14ac:dyDescent="0.25">
      <c r="A96" s="137">
        <v>2</v>
      </c>
      <c r="B96" s="125" t="s">
        <v>401</v>
      </c>
      <c r="C96" s="121" t="s">
        <v>39</v>
      </c>
      <c r="D96" s="126">
        <v>220</v>
      </c>
      <c r="E96" s="117">
        <v>16</v>
      </c>
      <c r="F96" s="118"/>
      <c r="G96" s="128">
        <f t="shared" ca="1" si="173"/>
        <v>4.7967829133828763</v>
      </c>
      <c r="H96" s="129">
        <f t="shared" ref="H96:W96" ca="1" si="208">($D96&lt;$E96)*(H$5*(H$5&lt;=$D96)*($E96&gt;=H$5))+($D96&gt;=$E96)*(IF(AND(H$5&lt;=$D96,H$5&lt;=$E96),G96+$AG96,0))</f>
        <v>18.546782913382877</v>
      </c>
      <c r="I96" s="129">
        <f t="shared" ca="1" si="208"/>
        <v>32.296782913382877</v>
      </c>
      <c r="J96" s="129">
        <f t="shared" ca="1" si="208"/>
        <v>46.046782913382877</v>
      </c>
      <c r="K96" s="129">
        <f t="shared" ca="1" si="208"/>
        <v>59.796782913382877</v>
      </c>
      <c r="L96" s="129">
        <f t="shared" ca="1" si="208"/>
        <v>73.546782913382884</v>
      </c>
      <c r="M96" s="129">
        <f t="shared" ca="1" si="208"/>
        <v>87.296782913382884</v>
      </c>
      <c r="N96" s="129">
        <f t="shared" ca="1" si="208"/>
        <v>101.04678291338288</v>
      </c>
      <c r="O96" s="129">
        <f t="shared" ca="1" si="208"/>
        <v>114.79678291338288</v>
      </c>
      <c r="P96" s="129">
        <f t="shared" ca="1" si="208"/>
        <v>128.54678291338288</v>
      </c>
      <c r="Q96" s="129">
        <f t="shared" ca="1" si="208"/>
        <v>142.29678291338288</v>
      </c>
      <c r="R96" s="129">
        <f t="shared" ca="1" si="208"/>
        <v>156.04678291338288</v>
      </c>
      <c r="S96" s="129">
        <f t="shared" ca="1" si="208"/>
        <v>169.79678291338288</v>
      </c>
      <c r="T96" s="129">
        <f t="shared" ca="1" si="208"/>
        <v>183.54678291338288</v>
      </c>
      <c r="U96" s="129">
        <f t="shared" ca="1" si="208"/>
        <v>197.29678291338288</v>
      </c>
      <c r="V96" s="129">
        <f t="shared" ca="1" si="208"/>
        <v>211.04678291338288</v>
      </c>
      <c r="W96" s="129">
        <f t="shared" si="208"/>
        <v>0</v>
      </c>
      <c r="X96" s="129">
        <f t="shared" ref="X96:AE96" si="209">($D96&lt;$E96)*(X$5*(X$5&lt;=$D96)*($E96&gt;=X$5))+($D96&gt;=$E96)*(IF(AND(X$5&lt;=$D96,X$5&lt;=$E96),W96+$AG96,0))</f>
        <v>0</v>
      </c>
      <c r="Y96" s="129">
        <f t="shared" si="209"/>
        <v>0</v>
      </c>
      <c r="Z96" s="129">
        <f t="shared" si="209"/>
        <v>0</v>
      </c>
      <c r="AA96" s="129">
        <f t="shared" si="209"/>
        <v>0</v>
      </c>
      <c r="AB96" s="129">
        <f t="shared" si="209"/>
        <v>0</v>
      </c>
      <c r="AC96" s="129">
        <f t="shared" si="209"/>
        <v>0</v>
      </c>
      <c r="AD96" s="129">
        <f t="shared" si="209"/>
        <v>0</v>
      </c>
      <c r="AE96" s="129">
        <f t="shared" si="209"/>
        <v>0</v>
      </c>
      <c r="AG96" s="133">
        <f t="shared" si="159"/>
        <v>13.75</v>
      </c>
      <c r="AH96" s="132">
        <f t="shared" ca="1" si="160"/>
        <v>4.7967829133828763</v>
      </c>
    </row>
    <row r="97" spans="1:34" s="114" customFormat="1" x14ac:dyDescent="0.25">
      <c r="A97" s="137">
        <v>2</v>
      </c>
      <c r="B97" s="125" t="s">
        <v>402</v>
      </c>
      <c r="C97" s="121" t="s">
        <v>39</v>
      </c>
      <c r="D97" s="126">
        <v>170</v>
      </c>
      <c r="E97" s="117">
        <v>16</v>
      </c>
      <c r="F97" s="118"/>
      <c r="G97" s="128">
        <f t="shared" ca="1" si="173"/>
        <v>3.8661988659851123</v>
      </c>
      <c r="H97" s="129">
        <f t="shared" ref="H97:W97" ca="1" si="210">($D97&lt;$E97)*(H$5*(H$5&lt;=$D97)*($E97&gt;=H$5))+($D97&gt;=$E97)*(IF(AND(H$5&lt;=$D97,H$5&lt;=$E97),G97+$AG97,0))</f>
        <v>14.491198865985112</v>
      </c>
      <c r="I97" s="129">
        <f t="shared" ca="1" si="210"/>
        <v>25.116198865985112</v>
      </c>
      <c r="J97" s="129">
        <f t="shared" ca="1" si="210"/>
        <v>35.741198865985112</v>
      </c>
      <c r="K97" s="129">
        <f t="shared" ca="1" si="210"/>
        <v>46.366198865985112</v>
      </c>
      <c r="L97" s="129">
        <f t="shared" ca="1" si="210"/>
        <v>56.991198865985112</v>
      </c>
      <c r="M97" s="129">
        <f t="shared" ca="1" si="210"/>
        <v>67.616198865985112</v>
      </c>
      <c r="N97" s="129">
        <f t="shared" ca="1" si="210"/>
        <v>78.241198865985112</v>
      </c>
      <c r="O97" s="129">
        <f t="shared" ca="1" si="210"/>
        <v>88.866198865985112</v>
      </c>
      <c r="P97" s="129">
        <f t="shared" ca="1" si="210"/>
        <v>99.491198865985112</v>
      </c>
      <c r="Q97" s="129">
        <f t="shared" ca="1" si="210"/>
        <v>110.11619886598511</v>
      </c>
      <c r="R97" s="129">
        <f t="shared" ca="1" si="210"/>
        <v>120.74119886598511</v>
      </c>
      <c r="S97" s="129">
        <f t="shared" ca="1" si="210"/>
        <v>131.3661988659851</v>
      </c>
      <c r="T97" s="129">
        <f t="shared" ca="1" si="210"/>
        <v>141.9911988659851</v>
      </c>
      <c r="U97" s="129">
        <f t="shared" ca="1" si="210"/>
        <v>152.6161988659851</v>
      </c>
      <c r="V97" s="129">
        <f t="shared" ca="1" si="210"/>
        <v>163.2411988659851</v>
      </c>
      <c r="W97" s="129">
        <f t="shared" si="210"/>
        <v>0</v>
      </c>
      <c r="X97" s="129">
        <f t="shared" ref="X97:AE97" si="211">($D97&lt;$E97)*(X$5*(X$5&lt;=$D97)*($E97&gt;=X$5))+($D97&gt;=$E97)*(IF(AND(X$5&lt;=$D97,X$5&lt;=$E97),W97+$AG97,0))</f>
        <v>0</v>
      </c>
      <c r="Y97" s="129">
        <f t="shared" si="211"/>
        <v>0</v>
      </c>
      <c r="Z97" s="129">
        <f t="shared" si="211"/>
        <v>0</v>
      </c>
      <c r="AA97" s="129">
        <f t="shared" si="211"/>
        <v>0</v>
      </c>
      <c r="AB97" s="129">
        <f t="shared" si="211"/>
        <v>0</v>
      </c>
      <c r="AC97" s="129">
        <f t="shared" si="211"/>
        <v>0</v>
      </c>
      <c r="AD97" s="129">
        <f t="shared" si="211"/>
        <v>0</v>
      </c>
      <c r="AE97" s="129">
        <f t="shared" si="211"/>
        <v>0</v>
      </c>
      <c r="AG97" s="133">
        <f t="shared" si="159"/>
        <v>10.625</v>
      </c>
      <c r="AH97" s="132">
        <f t="shared" ca="1" si="160"/>
        <v>3.8661988659851123</v>
      </c>
    </row>
    <row r="98" spans="1:34" s="114" customFormat="1" x14ac:dyDescent="0.25">
      <c r="A98" s="137">
        <v>2</v>
      </c>
      <c r="B98" s="125" t="s">
        <v>193</v>
      </c>
      <c r="C98" s="121" t="s">
        <v>39</v>
      </c>
      <c r="D98" s="126">
        <v>97</v>
      </c>
      <c r="E98" s="117">
        <v>16</v>
      </c>
      <c r="F98" s="118"/>
      <c r="G98" s="128">
        <f t="shared" ca="1" si="173"/>
        <v>2.5075461567843771</v>
      </c>
      <c r="H98" s="129">
        <f t="shared" ref="H98:W98" ca="1" si="212">($D98&lt;$E98)*(H$5*(H$5&lt;=$D98)*($E98&gt;=H$5))+($D98&gt;=$E98)*(IF(AND(H$5&lt;=$D98,H$5&lt;=$E98),G98+$AG98,0))</f>
        <v>8.5700461567843771</v>
      </c>
      <c r="I98" s="129">
        <f t="shared" ca="1" si="212"/>
        <v>14.632546156784377</v>
      </c>
      <c r="J98" s="129">
        <f t="shared" ca="1" si="212"/>
        <v>20.695046156784379</v>
      </c>
      <c r="K98" s="129">
        <f t="shared" ca="1" si="212"/>
        <v>26.757546156784379</v>
      </c>
      <c r="L98" s="129">
        <f t="shared" ca="1" si="212"/>
        <v>32.820046156784379</v>
      </c>
      <c r="M98" s="129">
        <f t="shared" ca="1" si="212"/>
        <v>38.882546156784379</v>
      </c>
      <c r="N98" s="129">
        <f t="shared" ca="1" si="212"/>
        <v>44.945046156784379</v>
      </c>
      <c r="O98" s="129">
        <f t="shared" ca="1" si="212"/>
        <v>51.007546156784379</v>
      </c>
      <c r="P98" s="129">
        <f t="shared" ca="1" si="212"/>
        <v>57.070046156784379</v>
      </c>
      <c r="Q98" s="129">
        <f t="shared" ca="1" si="212"/>
        <v>63.132546156784379</v>
      </c>
      <c r="R98" s="129">
        <f t="shared" ca="1" si="212"/>
        <v>69.195046156784372</v>
      </c>
      <c r="S98" s="129">
        <f t="shared" ca="1" si="212"/>
        <v>75.257546156784372</v>
      </c>
      <c r="T98" s="129">
        <f t="shared" ca="1" si="212"/>
        <v>81.320046156784372</v>
      </c>
      <c r="U98" s="129">
        <f t="shared" ca="1" si="212"/>
        <v>87.382546156784372</v>
      </c>
      <c r="V98" s="129">
        <f t="shared" ca="1" si="212"/>
        <v>93.445046156784372</v>
      </c>
      <c r="W98" s="129">
        <f t="shared" si="212"/>
        <v>0</v>
      </c>
      <c r="X98" s="129">
        <f t="shared" ref="X98:AE98" si="213">($D98&lt;$E98)*(X$5*(X$5&lt;=$D98)*($E98&gt;=X$5))+($D98&gt;=$E98)*(IF(AND(X$5&lt;=$D98,X$5&lt;=$E98),W98+$AG98,0))</f>
        <v>0</v>
      </c>
      <c r="Y98" s="129">
        <f t="shared" si="213"/>
        <v>0</v>
      </c>
      <c r="Z98" s="129">
        <f t="shared" si="213"/>
        <v>0</v>
      </c>
      <c r="AA98" s="129">
        <f t="shared" si="213"/>
        <v>0</v>
      </c>
      <c r="AB98" s="129">
        <f t="shared" si="213"/>
        <v>0</v>
      </c>
      <c r="AC98" s="129">
        <f t="shared" si="213"/>
        <v>0</v>
      </c>
      <c r="AD98" s="129">
        <f t="shared" si="213"/>
        <v>0</v>
      </c>
      <c r="AE98" s="129">
        <f t="shared" si="213"/>
        <v>0</v>
      </c>
      <c r="AG98" s="133">
        <f t="shared" si="159"/>
        <v>6.0625</v>
      </c>
      <c r="AH98" s="132">
        <f t="shared" ca="1" si="160"/>
        <v>2.5075461567843771</v>
      </c>
    </row>
    <row r="99" spans="1:34" s="114" customFormat="1" x14ac:dyDescent="0.25">
      <c r="A99" s="137">
        <v>2</v>
      </c>
      <c r="B99" s="125" t="s">
        <v>194</v>
      </c>
      <c r="C99" s="121" t="s">
        <v>39</v>
      </c>
      <c r="D99" s="126">
        <v>120</v>
      </c>
      <c r="E99" s="117">
        <v>16</v>
      </c>
      <c r="F99" s="118"/>
      <c r="G99" s="128">
        <f t="shared" ca="1" si="173"/>
        <v>2.9356148185873487</v>
      </c>
      <c r="H99" s="129">
        <f t="shared" ref="H99:W99" ca="1" si="214">($D99&lt;$E99)*(H$5*(H$5&lt;=$D99)*($E99&gt;=H$5))+($D99&gt;=$E99)*(IF(AND(H$5&lt;=$D99,H$5&lt;=$E99),G99+$AG99,0))</f>
        <v>10.435614818587348</v>
      </c>
      <c r="I99" s="129">
        <f t="shared" ca="1" si="214"/>
        <v>17.935614818587347</v>
      </c>
      <c r="J99" s="129">
        <f t="shared" ca="1" si="214"/>
        <v>25.435614818587347</v>
      </c>
      <c r="K99" s="129">
        <f t="shared" ca="1" si="214"/>
        <v>32.935614818587347</v>
      </c>
      <c r="L99" s="129">
        <f t="shared" ca="1" si="214"/>
        <v>40.435614818587347</v>
      </c>
      <c r="M99" s="129">
        <f t="shared" ca="1" si="214"/>
        <v>47.935614818587347</v>
      </c>
      <c r="N99" s="129">
        <f t="shared" ca="1" si="214"/>
        <v>55.435614818587347</v>
      </c>
      <c r="O99" s="129">
        <f t="shared" ca="1" si="214"/>
        <v>62.935614818587347</v>
      </c>
      <c r="P99" s="129">
        <f t="shared" ca="1" si="214"/>
        <v>70.435614818587339</v>
      </c>
      <c r="Q99" s="129">
        <f t="shared" ca="1" si="214"/>
        <v>77.935614818587339</v>
      </c>
      <c r="R99" s="129">
        <f t="shared" ca="1" si="214"/>
        <v>85.435614818587339</v>
      </c>
      <c r="S99" s="129">
        <f t="shared" ca="1" si="214"/>
        <v>92.935614818587339</v>
      </c>
      <c r="T99" s="129">
        <f t="shared" ca="1" si="214"/>
        <v>100.43561481858734</v>
      </c>
      <c r="U99" s="129">
        <f t="shared" ca="1" si="214"/>
        <v>107.93561481858734</v>
      </c>
      <c r="V99" s="129">
        <f t="shared" ca="1" si="214"/>
        <v>115.43561481858734</v>
      </c>
      <c r="W99" s="129">
        <f t="shared" si="214"/>
        <v>0</v>
      </c>
      <c r="X99" s="129">
        <f t="shared" ref="X99:AE99" si="215">($D99&lt;$E99)*(X$5*(X$5&lt;=$D99)*($E99&gt;=X$5))+($D99&gt;=$E99)*(IF(AND(X$5&lt;=$D99,X$5&lt;=$E99),W99+$AG99,0))</f>
        <v>0</v>
      </c>
      <c r="Y99" s="129">
        <f t="shared" si="215"/>
        <v>0</v>
      </c>
      <c r="Z99" s="129">
        <f t="shared" si="215"/>
        <v>0</v>
      </c>
      <c r="AA99" s="129">
        <f t="shared" si="215"/>
        <v>0</v>
      </c>
      <c r="AB99" s="129">
        <f t="shared" si="215"/>
        <v>0</v>
      </c>
      <c r="AC99" s="129">
        <f t="shared" si="215"/>
        <v>0</v>
      </c>
      <c r="AD99" s="129">
        <f t="shared" si="215"/>
        <v>0</v>
      </c>
      <c r="AE99" s="129">
        <f t="shared" si="215"/>
        <v>0</v>
      </c>
      <c r="AG99" s="133">
        <f t="shared" si="159"/>
        <v>7.5</v>
      </c>
      <c r="AH99" s="132">
        <f t="shared" ca="1" si="160"/>
        <v>2.9356148185873487</v>
      </c>
    </row>
    <row r="100" spans="1:34" s="114" customFormat="1" x14ac:dyDescent="0.25">
      <c r="A100" s="137">
        <v>2</v>
      </c>
      <c r="B100" s="125" t="s">
        <v>195</v>
      </c>
      <c r="C100" s="121" t="s">
        <v>39</v>
      </c>
      <c r="D100" s="126">
        <v>114</v>
      </c>
      <c r="E100" s="117">
        <v>16</v>
      </c>
      <c r="F100" s="118"/>
      <c r="G100" s="128">
        <f t="shared" ca="1" si="173"/>
        <v>2.823944732899617</v>
      </c>
      <c r="H100" s="129">
        <f t="shared" ref="H100:W100" ca="1" si="216">($D100&lt;$E100)*(H$5*(H$5&lt;=$D100)*($E100&gt;=H$5))+($D100&gt;=$E100)*(IF(AND(H$5&lt;=$D100,H$5&lt;=$E100),G100+$AG100,0))</f>
        <v>9.9489447328996174</v>
      </c>
      <c r="I100" s="129">
        <f t="shared" ca="1" si="216"/>
        <v>17.073944732899619</v>
      </c>
      <c r="J100" s="129">
        <f t="shared" ca="1" si="216"/>
        <v>24.198944732899619</v>
      </c>
      <c r="K100" s="129">
        <f t="shared" ca="1" si="216"/>
        <v>31.323944732899619</v>
      </c>
      <c r="L100" s="129">
        <f t="shared" ca="1" si="216"/>
        <v>38.448944732899619</v>
      </c>
      <c r="M100" s="129">
        <f t="shared" ca="1" si="216"/>
        <v>45.573944732899619</v>
      </c>
      <c r="N100" s="129">
        <f t="shared" ca="1" si="216"/>
        <v>52.698944732899619</v>
      </c>
      <c r="O100" s="129">
        <f t="shared" ca="1" si="216"/>
        <v>59.823944732899619</v>
      </c>
      <c r="P100" s="129">
        <f t="shared" ca="1" si="216"/>
        <v>66.948944732899619</v>
      </c>
      <c r="Q100" s="129">
        <f t="shared" ca="1" si="216"/>
        <v>74.073944732899619</v>
      </c>
      <c r="R100" s="129">
        <f t="shared" ca="1" si="216"/>
        <v>81.198944732899619</v>
      </c>
      <c r="S100" s="129">
        <f t="shared" ca="1" si="216"/>
        <v>88.323944732899619</v>
      </c>
      <c r="T100" s="129">
        <f t="shared" ca="1" si="216"/>
        <v>95.448944732899619</v>
      </c>
      <c r="U100" s="129">
        <f t="shared" ca="1" si="216"/>
        <v>102.57394473289962</v>
      </c>
      <c r="V100" s="129">
        <f t="shared" ca="1" si="216"/>
        <v>109.69894473289962</v>
      </c>
      <c r="W100" s="129">
        <f t="shared" si="216"/>
        <v>0</v>
      </c>
      <c r="X100" s="129">
        <f t="shared" ref="X100:AE100" si="217">($D100&lt;$E100)*(X$5*(X$5&lt;=$D100)*($E100&gt;=X$5))+($D100&gt;=$E100)*(IF(AND(X$5&lt;=$D100,X$5&lt;=$E100),W100+$AG100,0))</f>
        <v>0</v>
      </c>
      <c r="Y100" s="129">
        <f t="shared" si="217"/>
        <v>0</v>
      </c>
      <c r="Z100" s="129">
        <f t="shared" si="217"/>
        <v>0</v>
      </c>
      <c r="AA100" s="129">
        <f t="shared" si="217"/>
        <v>0</v>
      </c>
      <c r="AB100" s="129">
        <f t="shared" si="217"/>
        <v>0</v>
      </c>
      <c r="AC100" s="129">
        <f t="shared" si="217"/>
        <v>0</v>
      </c>
      <c r="AD100" s="129">
        <f t="shared" si="217"/>
        <v>0</v>
      </c>
      <c r="AE100" s="129">
        <f t="shared" si="217"/>
        <v>0</v>
      </c>
      <c r="AG100" s="133">
        <f t="shared" si="159"/>
        <v>7.125</v>
      </c>
      <c r="AH100" s="132">
        <f t="shared" ca="1" si="160"/>
        <v>2.823944732899617</v>
      </c>
    </row>
    <row r="101" spans="1:34" s="114" customFormat="1" x14ac:dyDescent="0.25">
      <c r="A101" s="137">
        <v>2</v>
      </c>
      <c r="B101" s="125" t="s">
        <v>267</v>
      </c>
      <c r="C101" s="121" t="s">
        <v>39</v>
      </c>
      <c r="D101" s="126">
        <v>124</v>
      </c>
      <c r="E101" s="117">
        <v>16</v>
      </c>
      <c r="F101" s="118"/>
      <c r="G101" s="128">
        <f t="shared" ca="1" si="173"/>
        <v>3.0100615423791699</v>
      </c>
      <c r="H101" s="129">
        <f t="shared" ref="H101:W101" ca="1" si="218">($D101&lt;$E101)*(H$5*(H$5&lt;=$D101)*($E101&gt;=H$5))+($D101&gt;=$E101)*(IF(AND(H$5&lt;=$D101,H$5&lt;=$E101),G101+$AG101,0))</f>
        <v>10.760061542379169</v>
      </c>
      <c r="I101" s="129">
        <f t="shared" ca="1" si="218"/>
        <v>18.510061542379169</v>
      </c>
      <c r="J101" s="129">
        <f t="shared" ca="1" si="218"/>
        <v>26.260061542379169</v>
      </c>
      <c r="K101" s="129">
        <f t="shared" ca="1" si="218"/>
        <v>34.010061542379169</v>
      </c>
      <c r="L101" s="129">
        <f t="shared" ca="1" si="218"/>
        <v>41.760061542379169</v>
      </c>
      <c r="M101" s="129">
        <f t="shared" ca="1" si="218"/>
        <v>49.510061542379169</v>
      </c>
      <c r="N101" s="129">
        <f t="shared" ca="1" si="218"/>
        <v>57.260061542379169</v>
      </c>
      <c r="O101" s="129">
        <f t="shared" ca="1" si="218"/>
        <v>65.010061542379162</v>
      </c>
      <c r="P101" s="129">
        <f t="shared" ca="1" si="218"/>
        <v>72.760061542379162</v>
      </c>
      <c r="Q101" s="129">
        <f t="shared" ca="1" si="218"/>
        <v>80.510061542379162</v>
      </c>
      <c r="R101" s="129">
        <f t="shared" ca="1" si="218"/>
        <v>88.260061542379162</v>
      </c>
      <c r="S101" s="129">
        <f t="shared" ca="1" si="218"/>
        <v>96.010061542379162</v>
      </c>
      <c r="T101" s="129">
        <f t="shared" ca="1" si="218"/>
        <v>103.76006154237916</v>
      </c>
      <c r="U101" s="129">
        <f t="shared" ca="1" si="218"/>
        <v>111.51006154237916</v>
      </c>
      <c r="V101" s="129">
        <f t="shared" ca="1" si="218"/>
        <v>119.26006154237916</v>
      </c>
      <c r="W101" s="129">
        <f t="shared" si="218"/>
        <v>0</v>
      </c>
      <c r="X101" s="129">
        <f t="shared" ref="X101:AE101" si="219">($D101&lt;$E101)*(X$5*(X$5&lt;=$D101)*($E101&gt;=X$5))+($D101&gt;=$E101)*(IF(AND(X$5&lt;=$D101,X$5&lt;=$E101),W101+$AG101,0))</f>
        <v>0</v>
      </c>
      <c r="Y101" s="129">
        <f t="shared" si="219"/>
        <v>0</v>
      </c>
      <c r="Z101" s="129">
        <f t="shared" si="219"/>
        <v>0</v>
      </c>
      <c r="AA101" s="129">
        <f t="shared" si="219"/>
        <v>0</v>
      </c>
      <c r="AB101" s="129">
        <f t="shared" si="219"/>
        <v>0</v>
      </c>
      <c r="AC101" s="129">
        <f t="shared" si="219"/>
        <v>0</v>
      </c>
      <c r="AD101" s="129">
        <f t="shared" si="219"/>
        <v>0</v>
      </c>
      <c r="AE101" s="129">
        <f t="shared" si="219"/>
        <v>0</v>
      </c>
      <c r="AG101" s="133">
        <f t="shared" si="159"/>
        <v>7.75</v>
      </c>
      <c r="AH101" s="132">
        <f t="shared" ca="1" si="160"/>
        <v>3.0100615423791699</v>
      </c>
    </row>
    <row r="102" spans="1:34" s="114" customFormat="1" x14ac:dyDescent="0.25">
      <c r="A102" s="137">
        <v>2</v>
      </c>
      <c r="B102" s="125" t="s">
        <v>268</v>
      </c>
      <c r="C102" s="121" t="s">
        <v>39</v>
      </c>
      <c r="D102" s="126">
        <v>141</v>
      </c>
      <c r="E102" s="117">
        <v>16</v>
      </c>
      <c r="F102" s="118"/>
      <c r="G102" s="128">
        <f t="shared" ca="1" si="173"/>
        <v>3.3264601184944094</v>
      </c>
      <c r="H102" s="129">
        <f t="shared" ref="H102:W102" ca="1" si="220">($D102&lt;$E102)*(H$5*(H$5&lt;=$D102)*($E102&gt;=H$5))+($D102&gt;=$E102)*(IF(AND(H$5&lt;=$D102,H$5&lt;=$E102),G102+$AG102,0))</f>
        <v>12.13896011849441</v>
      </c>
      <c r="I102" s="129">
        <f t="shared" ca="1" si="220"/>
        <v>20.95146011849441</v>
      </c>
      <c r="J102" s="129">
        <f t="shared" ca="1" si="220"/>
        <v>29.76396011849441</v>
      </c>
      <c r="K102" s="129">
        <f t="shared" ca="1" si="220"/>
        <v>38.57646011849441</v>
      </c>
      <c r="L102" s="129">
        <f t="shared" ca="1" si="220"/>
        <v>47.38896011849441</v>
      </c>
      <c r="M102" s="129">
        <f t="shared" ca="1" si="220"/>
        <v>56.20146011849441</v>
      </c>
      <c r="N102" s="129">
        <f t="shared" ca="1" si="220"/>
        <v>65.01396011849441</v>
      </c>
      <c r="O102" s="129">
        <f t="shared" ca="1" si="220"/>
        <v>73.82646011849441</v>
      </c>
      <c r="P102" s="129">
        <f t="shared" ca="1" si="220"/>
        <v>82.63896011849441</v>
      </c>
      <c r="Q102" s="129">
        <f t="shared" ca="1" si="220"/>
        <v>91.45146011849441</v>
      </c>
      <c r="R102" s="129">
        <f t="shared" ca="1" si="220"/>
        <v>100.26396011849441</v>
      </c>
      <c r="S102" s="129">
        <f t="shared" ca="1" si="220"/>
        <v>109.07646011849441</v>
      </c>
      <c r="T102" s="129">
        <f t="shared" ca="1" si="220"/>
        <v>117.88896011849441</v>
      </c>
      <c r="U102" s="129">
        <f t="shared" ca="1" si="220"/>
        <v>126.70146011849441</v>
      </c>
      <c r="V102" s="129">
        <f t="shared" ca="1" si="220"/>
        <v>135.51396011849442</v>
      </c>
      <c r="W102" s="129">
        <f t="shared" si="220"/>
        <v>0</v>
      </c>
      <c r="X102" s="129">
        <f t="shared" ref="X102:AE102" si="221">($D102&lt;$E102)*(X$5*(X$5&lt;=$D102)*($E102&gt;=X$5))+($D102&gt;=$E102)*(IF(AND(X$5&lt;=$D102,X$5&lt;=$E102),W102+$AG102,0))</f>
        <v>0</v>
      </c>
      <c r="Y102" s="129">
        <f t="shared" si="221"/>
        <v>0</v>
      </c>
      <c r="Z102" s="129">
        <f t="shared" si="221"/>
        <v>0</v>
      </c>
      <c r="AA102" s="129">
        <f t="shared" si="221"/>
        <v>0</v>
      </c>
      <c r="AB102" s="129">
        <f t="shared" si="221"/>
        <v>0</v>
      </c>
      <c r="AC102" s="129">
        <f t="shared" si="221"/>
        <v>0</v>
      </c>
      <c r="AD102" s="129">
        <f t="shared" si="221"/>
        <v>0</v>
      </c>
      <c r="AE102" s="129">
        <f t="shared" si="221"/>
        <v>0</v>
      </c>
      <c r="AG102" s="133">
        <f t="shared" si="159"/>
        <v>8.8125</v>
      </c>
      <c r="AH102" s="132">
        <f t="shared" ca="1" si="160"/>
        <v>3.3264601184944094</v>
      </c>
    </row>
    <row r="103" spans="1:34" s="114" customFormat="1" x14ac:dyDescent="0.25">
      <c r="A103" s="137">
        <v>2</v>
      </c>
      <c r="B103" s="125" t="s">
        <v>269</v>
      </c>
      <c r="C103" s="121" t="s">
        <v>39</v>
      </c>
      <c r="D103" s="126">
        <v>124</v>
      </c>
      <c r="E103" s="117">
        <v>16</v>
      </c>
      <c r="F103" s="118"/>
      <c r="G103" s="128">
        <f t="shared" ca="1" si="173"/>
        <v>3.0100615423791699</v>
      </c>
      <c r="H103" s="129">
        <f t="shared" ref="H103:W103" ca="1" si="222">($D103&lt;$E103)*(H$5*(H$5&lt;=$D103)*($E103&gt;=H$5))+($D103&gt;=$E103)*(IF(AND(H$5&lt;=$D103,H$5&lt;=$E103),G103+$AG103,0))</f>
        <v>10.760061542379169</v>
      </c>
      <c r="I103" s="129">
        <f t="shared" ca="1" si="222"/>
        <v>18.510061542379169</v>
      </c>
      <c r="J103" s="129">
        <f t="shared" ca="1" si="222"/>
        <v>26.260061542379169</v>
      </c>
      <c r="K103" s="129">
        <f t="shared" ca="1" si="222"/>
        <v>34.010061542379169</v>
      </c>
      <c r="L103" s="129">
        <f t="shared" ca="1" si="222"/>
        <v>41.760061542379169</v>
      </c>
      <c r="M103" s="129">
        <f t="shared" ca="1" si="222"/>
        <v>49.510061542379169</v>
      </c>
      <c r="N103" s="129">
        <f t="shared" ca="1" si="222"/>
        <v>57.260061542379169</v>
      </c>
      <c r="O103" s="129">
        <f t="shared" ca="1" si="222"/>
        <v>65.010061542379162</v>
      </c>
      <c r="P103" s="129">
        <f t="shared" ca="1" si="222"/>
        <v>72.760061542379162</v>
      </c>
      <c r="Q103" s="129">
        <f t="shared" ca="1" si="222"/>
        <v>80.510061542379162</v>
      </c>
      <c r="R103" s="129">
        <f t="shared" ca="1" si="222"/>
        <v>88.260061542379162</v>
      </c>
      <c r="S103" s="129">
        <f t="shared" ca="1" si="222"/>
        <v>96.010061542379162</v>
      </c>
      <c r="T103" s="129">
        <f t="shared" ca="1" si="222"/>
        <v>103.76006154237916</v>
      </c>
      <c r="U103" s="129">
        <f t="shared" ca="1" si="222"/>
        <v>111.51006154237916</v>
      </c>
      <c r="V103" s="129">
        <f t="shared" ca="1" si="222"/>
        <v>119.26006154237916</v>
      </c>
      <c r="W103" s="129">
        <f t="shared" si="222"/>
        <v>0</v>
      </c>
      <c r="X103" s="129">
        <f t="shared" ref="X103:AE103" si="223">($D103&lt;$E103)*(X$5*(X$5&lt;=$D103)*($E103&gt;=X$5))+($D103&gt;=$E103)*(IF(AND(X$5&lt;=$D103,X$5&lt;=$E103),W103+$AG103,0))</f>
        <v>0</v>
      </c>
      <c r="Y103" s="129">
        <f t="shared" si="223"/>
        <v>0</v>
      </c>
      <c r="Z103" s="129">
        <f t="shared" si="223"/>
        <v>0</v>
      </c>
      <c r="AA103" s="129">
        <f t="shared" si="223"/>
        <v>0</v>
      </c>
      <c r="AB103" s="129">
        <f t="shared" si="223"/>
        <v>0</v>
      </c>
      <c r="AC103" s="129">
        <f t="shared" si="223"/>
        <v>0</v>
      </c>
      <c r="AD103" s="129">
        <f t="shared" si="223"/>
        <v>0</v>
      </c>
      <c r="AE103" s="129">
        <f t="shared" si="223"/>
        <v>0</v>
      </c>
      <c r="AG103" s="133">
        <f t="shared" si="159"/>
        <v>7.75</v>
      </c>
      <c r="AH103" s="132">
        <f t="shared" ca="1" si="160"/>
        <v>3.0100615423791699</v>
      </c>
    </row>
    <row r="104" spans="1:34" s="114" customFormat="1" x14ac:dyDescent="0.25">
      <c r="A104" s="137">
        <v>2</v>
      </c>
      <c r="B104" s="125" t="s">
        <v>270</v>
      </c>
      <c r="C104" s="121" t="s">
        <v>39</v>
      </c>
      <c r="D104" s="126">
        <v>130</v>
      </c>
      <c r="E104" s="117">
        <v>16</v>
      </c>
      <c r="F104" s="118"/>
      <c r="G104" s="128">
        <f t="shared" ca="1" si="173"/>
        <v>3.1217316280669012</v>
      </c>
      <c r="H104" s="129">
        <f t="shared" ref="H104:W104" ca="1" si="224">($D104&lt;$E104)*(H$5*(H$5&lt;=$D104)*($E104&gt;=H$5))+($D104&gt;=$E104)*(IF(AND(H$5&lt;=$D104,H$5&lt;=$E104),G104+$AG104,0))</f>
        <v>11.2467316280669</v>
      </c>
      <c r="I104" s="129">
        <f t="shared" ca="1" si="224"/>
        <v>19.3717316280669</v>
      </c>
      <c r="J104" s="129">
        <f t="shared" ca="1" si="224"/>
        <v>27.4967316280669</v>
      </c>
      <c r="K104" s="129">
        <f t="shared" ca="1" si="224"/>
        <v>35.621731628066897</v>
      </c>
      <c r="L104" s="129">
        <f t="shared" ca="1" si="224"/>
        <v>43.746731628066897</v>
      </c>
      <c r="M104" s="129">
        <f t="shared" ca="1" si="224"/>
        <v>51.871731628066897</v>
      </c>
      <c r="N104" s="129">
        <f t="shared" ca="1" si="224"/>
        <v>59.996731628066897</v>
      </c>
      <c r="O104" s="129">
        <f t="shared" ca="1" si="224"/>
        <v>68.121731628066897</v>
      </c>
      <c r="P104" s="129">
        <f t="shared" ca="1" si="224"/>
        <v>76.246731628066897</v>
      </c>
      <c r="Q104" s="129">
        <f t="shared" ca="1" si="224"/>
        <v>84.371731628066897</v>
      </c>
      <c r="R104" s="129">
        <f t="shared" ca="1" si="224"/>
        <v>92.496731628066897</v>
      </c>
      <c r="S104" s="129">
        <f t="shared" ca="1" si="224"/>
        <v>100.6217316280669</v>
      </c>
      <c r="T104" s="129">
        <f t="shared" ca="1" si="224"/>
        <v>108.7467316280669</v>
      </c>
      <c r="U104" s="129">
        <f t="shared" ca="1" si="224"/>
        <v>116.8717316280669</v>
      </c>
      <c r="V104" s="129">
        <f t="shared" ca="1" si="224"/>
        <v>124.9967316280669</v>
      </c>
      <c r="W104" s="129">
        <f t="shared" si="224"/>
        <v>0</v>
      </c>
      <c r="X104" s="129">
        <f t="shared" ref="X104:AE104" si="225">($D104&lt;$E104)*(X$5*(X$5&lt;=$D104)*($E104&gt;=X$5))+($D104&gt;=$E104)*(IF(AND(X$5&lt;=$D104,X$5&lt;=$E104),W104+$AG104,0))</f>
        <v>0</v>
      </c>
      <c r="Y104" s="129">
        <f t="shared" si="225"/>
        <v>0</v>
      </c>
      <c r="Z104" s="129">
        <f t="shared" si="225"/>
        <v>0</v>
      </c>
      <c r="AA104" s="129">
        <f t="shared" si="225"/>
        <v>0</v>
      </c>
      <c r="AB104" s="129">
        <f t="shared" si="225"/>
        <v>0</v>
      </c>
      <c r="AC104" s="129">
        <f t="shared" si="225"/>
        <v>0</v>
      </c>
      <c r="AD104" s="129">
        <f t="shared" si="225"/>
        <v>0</v>
      </c>
      <c r="AE104" s="129">
        <f t="shared" si="225"/>
        <v>0</v>
      </c>
      <c r="AG104" s="133">
        <f t="shared" si="159"/>
        <v>8.125</v>
      </c>
      <c r="AH104" s="132">
        <f t="shared" ca="1" si="160"/>
        <v>3.1217316280669012</v>
      </c>
    </row>
    <row r="105" spans="1:34" s="114" customFormat="1" x14ac:dyDescent="0.25">
      <c r="A105" s="137">
        <v>2</v>
      </c>
      <c r="B105" s="125" t="s">
        <v>404</v>
      </c>
      <c r="C105" s="121" t="s">
        <v>39</v>
      </c>
      <c r="D105" s="126">
        <v>163</v>
      </c>
      <c r="E105" s="117">
        <v>16</v>
      </c>
      <c r="F105" s="118"/>
      <c r="G105" s="128">
        <f t="shared" ca="1" si="173"/>
        <v>3.7359170993494253</v>
      </c>
      <c r="H105" s="129">
        <f t="shared" ref="H105:W105" ca="1" si="226">($D105&lt;$E105)*(H$5*(H$5&lt;=$D105)*($E105&gt;=H$5))+($D105&gt;=$E105)*(IF(AND(H$5&lt;=$D105,H$5&lt;=$E105),G105+$AG105,0))</f>
        <v>13.923417099349425</v>
      </c>
      <c r="I105" s="129">
        <f t="shared" ca="1" si="226"/>
        <v>24.110917099349425</v>
      </c>
      <c r="J105" s="129">
        <f t="shared" ca="1" si="226"/>
        <v>34.298417099349422</v>
      </c>
      <c r="K105" s="129">
        <f t="shared" ca="1" si="226"/>
        <v>44.485917099349422</v>
      </c>
      <c r="L105" s="129">
        <f t="shared" ca="1" si="226"/>
        <v>54.673417099349422</v>
      </c>
      <c r="M105" s="129">
        <f t="shared" ca="1" si="226"/>
        <v>64.860917099349422</v>
      </c>
      <c r="N105" s="129">
        <f t="shared" ca="1" si="226"/>
        <v>75.048417099349422</v>
      </c>
      <c r="O105" s="129">
        <f t="shared" ca="1" si="226"/>
        <v>85.235917099349422</v>
      </c>
      <c r="P105" s="129">
        <f t="shared" ca="1" si="226"/>
        <v>95.423417099349422</v>
      </c>
      <c r="Q105" s="129">
        <f t="shared" ca="1" si="226"/>
        <v>105.61091709934942</v>
      </c>
      <c r="R105" s="129">
        <f t="shared" ca="1" si="226"/>
        <v>115.79841709934942</v>
      </c>
      <c r="S105" s="129">
        <f t="shared" ca="1" si="226"/>
        <v>125.98591709934942</v>
      </c>
      <c r="T105" s="129">
        <f t="shared" ca="1" si="226"/>
        <v>136.17341709934942</v>
      </c>
      <c r="U105" s="129">
        <f t="shared" ca="1" si="226"/>
        <v>146.36091709934942</v>
      </c>
      <c r="V105" s="129">
        <f t="shared" ca="1" si="226"/>
        <v>156.54841709934942</v>
      </c>
      <c r="W105" s="129">
        <f t="shared" si="226"/>
        <v>0</v>
      </c>
      <c r="X105" s="129">
        <f t="shared" ref="X105:AE105" si="227">($D105&lt;$E105)*(X$5*(X$5&lt;=$D105)*($E105&gt;=X$5))+($D105&gt;=$E105)*(IF(AND(X$5&lt;=$D105,X$5&lt;=$E105),W105+$AG105,0))</f>
        <v>0</v>
      </c>
      <c r="Y105" s="129">
        <f t="shared" si="227"/>
        <v>0</v>
      </c>
      <c r="Z105" s="129">
        <f t="shared" si="227"/>
        <v>0</v>
      </c>
      <c r="AA105" s="129">
        <f t="shared" si="227"/>
        <v>0</v>
      </c>
      <c r="AB105" s="129">
        <f t="shared" si="227"/>
        <v>0</v>
      </c>
      <c r="AC105" s="129">
        <f t="shared" si="227"/>
        <v>0</v>
      </c>
      <c r="AD105" s="129">
        <f t="shared" si="227"/>
        <v>0</v>
      </c>
      <c r="AE105" s="129">
        <f t="shared" si="227"/>
        <v>0</v>
      </c>
      <c r="AG105" s="133">
        <f t="shared" si="159"/>
        <v>10.1875</v>
      </c>
      <c r="AH105" s="132">
        <f t="shared" ca="1" si="160"/>
        <v>3.7359170993494253</v>
      </c>
    </row>
    <row r="106" spans="1:34" s="114" customFormat="1" x14ac:dyDescent="0.25">
      <c r="A106" s="137">
        <v>2</v>
      </c>
      <c r="B106" s="125" t="s">
        <v>405</v>
      </c>
      <c r="C106" s="121" t="s">
        <v>39</v>
      </c>
      <c r="D106" s="126">
        <v>60</v>
      </c>
      <c r="E106" s="117">
        <v>16</v>
      </c>
      <c r="F106" s="118"/>
      <c r="G106" s="128">
        <f t="shared" ca="1" si="173"/>
        <v>1.8189139617100321</v>
      </c>
      <c r="H106" s="129">
        <f t="shared" ref="H106:AE106" ca="1" si="228">($D106&lt;$E106)*(H$5*(H$5&lt;=$D106)*($E106&gt;=H$5))+($D106&gt;=$E106)*(IF(AND(H$5&lt;=$D106,H$5&lt;=$E106),G106+$AG106,0))</f>
        <v>5.5689139617100318</v>
      </c>
      <c r="I106" s="129">
        <f t="shared" ca="1" si="228"/>
        <v>9.3189139617100309</v>
      </c>
      <c r="J106" s="129">
        <f t="shared" ca="1" si="228"/>
        <v>13.068913961710031</v>
      </c>
      <c r="K106" s="129">
        <f t="shared" ca="1" si="228"/>
        <v>16.818913961710031</v>
      </c>
      <c r="L106" s="129">
        <f t="shared" ca="1" si="228"/>
        <v>20.568913961710031</v>
      </c>
      <c r="M106" s="129">
        <f t="shared" ca="1" si="228"/>
        <v>24.318913961710031</v>
      </c>
      <c r="N106" s="129">
        <f t="shared" ca="1" si="228"/>
        <v>28.068913961710031</v>
      </c>
      <c r="O106" s="129">
        <f t="shared" ca="1" si="228"/>
        <v>31.818913961710031</v>
      </c>
      <c r="P106" s="129">
        <f t="shared" ca="1" si="228"/>
        <v>35.568913961710031</v>
      </c>
      <c r="Q106" s="129">
        <f t="shared" ca="1" si="228"/>
        <v>39.318913961710031</v>
      </c>
      <c r="R106" s="129">
        <f t="shared" ca="1" si="228"/>
        <v>43.068913961710031</v>
      </c>
      <c r="S106" s="129">
        <f t="shared" ca="1" si="228"/>
        <v>46.818913961710031</v>
      </c>
      <c r="T106" s="129">
        <f t="shared" ca="1" si="228"/>
        <v>50.568913961710031</v>
      </c>
      <c r="U106" s="129">
        <f t="shared" ca="1" si="228"/>
        <v>54.318913961710031</v>
      </c>
      <c r="V106" s="129">
        <f t="shared" ca="1" si="228"/>
        <v>58.068913961710031</v>
      </c>
      <c r="W106" s="129">
        <f t="shared" si="228"/>
        <v>0</v>
      </c>
      <c r="X106" s="129">
        <f t="shared" si="228"/>
        <v>0</v>
      </c>
      <c r="Y106" s="129">
        <f t="shared" si="228"/>
        <v>0</v>
      </c>
      <c r="Z106" s="129">
        <f t="shared" si="228"/>
        <v>0</v>
      </c>
      <c r="AA106" s="129">
        <f t="shared" si="228"/>
        <v>0</v>
      </c>
      <c r="AB106" s="129">
        <f t="shared" si="228"/>
        <v>0</v>
      </c>
      <c r="AC106" s="129">
        <f t="shared" si="228"/>
        <v>0</v>
      </c>
      <c r="AD106" s="129">
        <f t="shared" si="228"/>
        <v>0</v>
      </c>
      <c r="AE106" s="129">
        <f t="shared" si="228"/>
        <v>0</v>
      </c>
      <c r="AG106" s="133">
        <f t="shared" si="159"/>
        <v>3.75</v>
      </c>
      <c r="AH106" s="132">
        <f t="shared" ca="1" si="160"/>
        <v>1.8189139617100321</v>
      </c>
    </row>
    <row r="107" spans="1:34" s="114" customFormat="1" x14ac:dyDescent="0.25">
      <c r="B107" s="125"/>
      <c r="E107" s="115"/>
      <c r="F107" s="115"/>
      <c r="G107" s="116"/>
    </row>
    <row r="108" spans="1:34" s="114" customFormat="1" x14ac:dyDescent="0.25">
      <c r="E108" s="115"/>
      <c r="F108" s="115"/>
      <c r="G108" s="116"/>
    </row>
    <row r="109" spans="1:34" s="116" customFormat="1" x14ac:dyDescent="0.25">
      <c r="B109" s="114"/>
      <c r="C109" s="114"/>
      <c r="D109" s="114"/>
      <c r="E109" s="115"/>
      <c r="F109" s="115"/>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row>
    <row r="110" spans="1:34" s="116" customFormat="1" x14ac:dyDescent="0.25">
      <c r="B110" s="114"/>
      <c r="C110" s="114"/>
      <c r="D110" s="114"/>
      <c r="E110" s="115"/>
      <c r="F110" s="115"/>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row>
    <row r="111" spans="1:34" s="116" customFormat="1" x14ac:dyDescent="0.25">
      <c r="B111" s="114"/>
      <c r="C111" s="114"/>
      <c r="D111" s="114"/>
      <c r="E111" s="115"/>
      <c r="F111" s="115"/>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c r="AD111" s="114"/>
      <c r="AE111" s="114"/>
      <c r="AF111" s="114"/>
      <c r="AG111" s="114"/>
      <c r="AH111" s="114"/>
    </row>
    <row r="112" spans="1:34" s="116" customFormat="1" x14ac:dyDescent="0.25">
      <c r="B112" s="114"/>
      <c r="C112" s="114"/>
      <c r="D112" s="114"/>
      <c r="E112" s="115"/>
      <c r="F112" s="115"/>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c r="AD112" s="114"/>
      <c r="AE112" s="114"/>
      <c r="AF112" s="114"/>
      <c r="AG112" s="114"/>
      <c r="AH112" s="114"/>
    </row>
    <row r="113" spans="2:34" s="116" customFormat="1" x14ac:dyDescent="0.25">
      <c r="B113" s="114"/>
      <c r="C113" s="114"/>
      <c r="D113" s="114"/>
      <c r="E113" s="115"/>
      <c r="F113" s="115"/>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row>
    <row r="114" spans="2:34" s="116" customFormat="1" x14ac:dyDescent="0.25">
      <c r="B114" s="114"/>
      <c r="C114" s="114"/>
      <c r="D114" s="114"/>
      <c r="E114" s="115"/>
      <c r="F114" s="115"/>
      <c r="H114" s="114"/>
      <c r="I114" s="114"/>
      <c r="J114" s="114"/>
      <c r="K114" s="114"/>
      <c r="L114" s="114"/>
      <c r="M114" s="114"/>
      <c r="N114" s="114"/>
      <c r="O114" s="114"/>
      <c r="P114" s="114"/>
      <c r="Q114" s="114"/>
      <c r="R114" s="114"/>
      <c r="S114" s="114"/>
      <c r="T114" s="114"/>
      <c r="U114" s="114"/>
      <c r="V114" s="114"/>
      <c r="W114" s="114"/>
      <c r="X114" s="114"/>
      <c r="Y114" s="114"/>
      <c r="Z114" s="114"/>
      <c r="AA114" s="114"/>
      <c r="AB114" s="114"/>
      <c r="AC114" s="114"/>
      <c r="AD114" s="114"/>
      <c r="AE114" s="114"/>
      <c r="AF114" s="114"/>
      <c r="AG114" s="114"/>
      <c r="AH114" s="114"/>
    </row>
    <row r="115" spans="2:34" s="116" customFormat="1" x14ac:dyDescent="0.25">
      <c r="B115" s="114"/>
      <c r="C115" s="114"/>
      <c r="D115" s="114"/>
      <c r="E115" s="115"/>
      <c r="F115" s="115"/>
      <c r="H115" s="114"/>
      <c r="I115" s="114"/>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row>
    <row r="116" spans="2:34" s="116" customFormat="1" x14ac:dyDescent="0.25">
      <c r="B116" s="114"/>
      <c r="C116" s="114"/>
      <c r="D116" s="114"/>
      <c r="E116" s="115"/>
      <c r="F116" s="115"/>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row>
    <row r="117" spans="2:34" s="116" customFormat="1" x14ac:dyDescent="0.25">
      <c r="B117" s="114"/>
      <c r="C117" s="114"/>
      <c r="D117" s="114"/>
      <c r="E117" s="115"/>
      <c r="F117" s="115"/>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row>
    <row r="118" spans="2:34" s="116" customFormat="1" x14ac:dyDescent="0.25">
      <c r="B118" s="114"/>
      <c r="C118" s="114"/>
      <c r="D118" s="114"/>
      <c r="E118" s="115"/>
      <c r="F118" s="115"/>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row>
    <row r="119" spans="2:34" s="116" customFormat="1" x14ac:dyDescent="0.25">
      <c r="B119" s="114"/>
      <c r="C119" s="114"/>
      <c r="D119" s="114"/>
      <c r="E119" s="115"/>
      <c r="F119" s="115"/>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row>
    <row r="120" spans="2:34" s="116" customFormat="1" x14ac:dyDescent="0.25">
      <c r="B120" s="114"/>
      <c r="C120" s="114"/>
      <c r="D120" s="114"/>
      <c r="E120" s="115"/>
      <c r="F120" s="115"/>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row>
    <row r="121" spans="2:34" s="116" customFormat="1" x14ac:dyDescent="0.25">
      <c r="B121" s="114"/>
      <c r="C121" s="114"/>
      <c r="D121" s="114"/>
      <c r="E121" s="115"/>
      <c r="F121" s="115"/>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row>
    <row r="122" spans="2:34" s="116" customFormat="1" x14ac:dyDescent="0.25">
      <c r="B122" s="114"/>
      <c r="C122" s="114"/>
      <c r="D122" s="114"/>
      <c r="E122" s="115"/>
      <c r="F122" s="115"/>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row>
    <row r="123" spans="2:34" s="116" customFormat="1" x14ac:dyDescent="0.25">
      <c r="B123" s="114"/>
      <c r="C123" s="114"/>
      <c r="D123" s="114"/>
      <c r="E123" s="115"/>
      <c r="F123" s="115"/>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row>
    <row r="124" spans="2:34" s="116" customFormat="1" x14ac:dyDescent="0.25">
      <c r="B124" s="114"/>
      <c r="C124" s="114"/>
      <c r="D124" s="114"/>
      <c r="E124" s="115"/>
      <c r="F124" s="115"/>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row>
    <row r="125" spans="2:34" s="116" customFormat="1" x14ac:dyDescent="0.25">
      <c r="B125" s="114"/>
      <c r="C125" s="114"/>
      <c r="D125" s="114"/>
      <c r="E125" s="115"/>
      <c r="F125" s="115"/>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row>
    <row r="126" spans="2:34" s="116" customFormat="1" x14ac:dyDescent="0.25">
      <c r="B126" s="114"/>
      <c r="C126" s="114"/>
      <c r="D126" s="114"/>
      <c r="E126" s="115"/>
      <c r="F126" s="115"/>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row>
    <row r="127" spans="2:34" s="116" customFormat="1" x14ac:dyDescent="0.25">
      <c r="B127" s="114"/>
      <c r="C127" s="114"/>
      <c r="D127" s="114"/>
      <c r="E127" s="115"/>
      <c r="F127" s="115"/>
      <c r="H127" s="114"/>
      <c r="I127" s="114"/>
      <c r="J127" s="114"/>
      <c r="K127" s="114"/>
      <c r="L127" s="114"/>
      <c r="M127" s="114"/>
      <c r="N127" s="114"/>
      <c r="O127" s="114"/>
      <c r="P127" s="114"/>
      <c r="Q127" s="114"/>
      <c r="R127" s="114"/>
      <c r="S127" s="114"/>
      <c r="T127" s="114"/>
      <c r="U127" s="114"/>
      <c r="V127" s="114"/>
      <c r="W127" s="114"/>
      <c r="X127" s="114"/>
      <c r="Y127" s="114"/>
      <c r="Z127" s="114"/>
      <c r="AA127" s="114"/>
      <c r="AB127" s="114"/>
      <c r="AC127" s="114"/>
      <c r="AD127" s="114"/>
      <c r="AE127" s="114"/>
      <c r="AF127" s="114"/>
      <c r="AG127" s="114"/>
      <c r="AH127" s="114"/>
    </row>
    <row r="128" spans="2:34" s="116" customFormat="1" x14ac:dyDescent="0.25">
      <c r="B128" s="114"/>
      <c r="C128" s="114"/>
      <c r="D128" s="114"/>
      <c r="E128" s="115"/>
      <c r="F128" s="115"/>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row>
    <row r="129" spans="2:34" s="116" customFormat="1" x14ac:dyDescent="0.25">
      <c r="B129" s="114"/>
      <c r="C129" s="114"/>
      <c r="D129" s="114"/>
      <c r="E129" s="115"/>
      <c r="F129" s="115"/>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c r="AD129" s="114"/>
      <c r="AE129" s="114"/>
      <c r="AF129" s="114"/>
      <c r="AG129" s="114"/>
      <c r="AH129" s="114"/>
    </row>
    <row r="130" spans="2:34" s="116" customFormat="1" x14ac:dyDescent="0.25">
      <c r="B130" s="114"/>
      <c r="C130" s="114"/>
      <c r="D130" s="114"/>
      <c r="E130" s="115"/>
      <c r="F130" s="115"/>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c r="AD130" s="114"/>
      <c r="AE130" s="114"/>
      <c r="AF130" s="114"/>
      <c r="AG130" s="114"/>
      <c r="AH130" s="114"/>
    </row>
    <row r="131" spans="2:34" s="116" customFormat="1" x14ac:dyDescent="0.25">
      <c r="B131" s="114"/>
      <c r="C131" s="114"/>
      <c r="D131" s="114"/>
      <c r="E131" s="115"/>
      <c r="F131" s="115"/>
      <c r="H131" s="114"/>
      <c r="I131" s="114"/>
      <c r="J131" s="114"/>
      <c r="K131" s="114"/>
      <c r="L131" s="114"/>
      <c r="M131" s="114"/>
      <c r="N131" s="114"/>
      <c r="O131" s="114"/>
      <c r="P131" s="114"/>
      <c r="Q131" s="114"/>
      <c r="R131" s="114"/>
      <c r="S131" s="114"/>
      <c r="T131" s="114"/>
      <c r="U131" s="114"/>
      <c r="V131" s="114"/>
      <c r="W131" s="114"/>
      <c r="X131" s="114"/>
      <c r="Y131" s="114"/>
      <c r="Z131" s="114"/>
      <c r="AA131" s="114"/>
      <c r="AB131" s="114"/>
      <c r="AC131" s="114"/>
      <c r="AD131" s="114"/>
      <c r="AE131" s="114"/>
      <c r="AF131" s="114"/>
      <c r="AG131" s="114"/>
      <c r="AH131" s="114"/>
    </row>
    <row r="132" spans="2:34" s="116" customFormat="1" x14ac:dyDescent="0.25">
      <c r="B132" s="114"/>
      <c r="C132" s="114"/>
      <c r="D132" s="114"/>
      <c r="E132" s="115"/>
      <c r="F132" s="115"/>
      <c r="H132" s="114"/>
      <c r="I132" s="114"/>
      <c r="J132" s="114"/>
      <c r="K132" s="114"/>
      <c r="L132" s="114"/>
      <c r="M132" s="114"/>
      <c r="N132" s="114"/>
      <c r="O132" s="114"/>
      <c r="P132" s="114"/>
      <c r="Q132" s="114"/>
      <c r="R132" s="114"/>
      <c r="S132" s="114"/>
      <c r="T132" s="114"/>
      <c r="U132" s="114"/>
      <c r="V132" s="114"/>
      <c r="W132" s="114"/>
      <c r="X132" s="114"/>
      <c r="Y132" s="114"/>
      <c r="Z132" s="114"/>
      <c r="AA132" s="114"/>
      <c r="AB132" s="114"/>
      <c r="AC132" s="114"/>
      <c r="AD132" s="114"/>
      <c r="AE132" s="114"/>
      <c r="AF132" s="114"/>
      <c r="AG132" s="114"/>
      <c r="AH132" s="114"/>
    </row>
    <row r="133" spans="2:34" s="116" customFormat="1" x14ac:dyDescent="0.25">
      <c r="B133" s="114"/>
      <c r="C133" s="114"/>
      <c r="D133" s="114"/>
      <c r="E133" s="115"/>
      <c r="F133" s="115"/>
      <c r="H133" s="114"/>
      <c r="I133" s="114"/>
      <c r="J133" s="114"/>
      <c r="K133" s="114"/>
      <c r="L133" s="114"/>
      <c r="M133" s="114"/>
      <c r="N133" s="114"/>
      <c r="O133" s="114"/>
      <c r="P133" s="114"/>
      <c r="Q133" s="114"/>
      <c r="R133" s="114"/>
      <c r="S133" s="114"/>
      <c r="T133" s="114"/>
      <c r="U133" s="114"/>
      <c r="V133" s="114"/>
      <c r="W133" s="114"/>
      <c r="X133" s="114"/>
      <c r="Y133" s="114"/>
      <c r="Z133" s="114"/>
      <c r="AA133" s="114"/>
      <c r="AB133" s="114"/>
      <c r="AC133" s="114"/>
      <c r="AD133" s="114"/>
      <c r="AE133" s="114"/>
      <c r="AF133" s="114"/>
      <c r="AG133" s="114"/>
      <c r="AH133" s="114"/>
    </row>
    <row r="134" spans="2:34" s="116" customFormat="1" x14ac:dyDescent="0.25">
      <c r="B134" s="114"/>
      <c r="C134" s="114"/>
      <c r="D134" s="114"/>
      <c r="E134" s="115"/>
      <c r="F134" s="115"/>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c r="AH134" s="114"/>
    </row>
    <row r="135" spans="2:34" s="116" customFormat="1" x14ac:dyDescent="0.25">
      <c r="B135" s="114"/>
      <c r="C135" s="114"/>
      <c r="D135" s="114"/>
      <c r="E135" s="115"/>
      <c r="F135" s="115"/>
      <c r="H135" s="114"/>
      <c r="I135" s="114"/>
      <c r="J135" s="114"/>
      <c r="K135" s="114"/>
      <c r="L135" s="114"/>
      <c r="M135" s="114"/>
      <c r="N135" s="114"/>
      <c r="O135" s="114"/>
      <c r="P135" s="114"/>
      <c r="Q135" s="114"/>
      <c r="R135" s="114"/>
      <c r="S135" s="114"/>
      <c r="T135" s="114"/>
      <c r="U135" s="114"/>
      <c r="V135" s="114"/>
      <c r="W135" s="114"/>
      <c r="X135" s="114"/>
      <c r="Y135" s="114"/>
      <c r="Z135" s="114"/>
      <c r="AA135" s="114"/>
      <c r="AB135" s="114"/>
      <c r="AC135" s="114"/>
      <c r="AD135" s="114"/>
      <c r="AE135" s="114"/>
      <c r="AF135" s="114"/>
      <c r="AG135" s="114"/>
      <c r="AH135" s="114"/>
    </row>
    <row r="136" spans="2:34" s="116" customFormat="1" x14ac:dyDescent="0.25">
      <c r="B136" s="114"/>
      <c r="C136" s="114"/>
      <c r="D136" s="114"/>
      <c r="E136" s="115"/>
      <c r="F136" s="115"/>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c r="AD136" s="114"/>
      <c r="AE136" s="114"/>
      <c r="AF136" s="114"/>
      <c r="AG136" s="114"/>
      <c r="AH136" s="114"/>
    </row>
    <row r="137" spans="2:34" s="116" customFormat="1" x14ac:dyDescent="0.25">
      <c r="B137" s="114"/>
      <c r="C137" s="114"/>
      <c r="D137" s="114"/>
      <c r="E137" s="115"/>
      <c r="F137" s="115"/>
      <c r="H137" s="114"/>
      <c r="I137" s="114"/>
      <c r="J137" s="114"/>
      <c r="K137" s="114"/>
      <c r="L137" s="114"/>
      <c r="M137" s="114"/>
      <c r="N137" s="114"/>
      <c r="O137" s="114"/>
      <c r="P137" s="114"/>
      <c r="Q137" s="114"/>
      <c r="R137" s="114"/>
      <c r="S137" s="114"/>
      <c r="T137" s="114"/>
      <c r="U137" s="114"/>
      <c r="V137" s="114"/>
      <c r="W137" s="114"/>
      <c r="X137" s="114"/>
      <c r="Y137" s="114"/>
      <c r="Z137" s="114"/>
      <c r="AA137" s="114"/>
      <c r="AB137" s="114"/>
      <c r="AC137" s="114"/>
      <c r="AD137" s="114"/>
      <c r="AE137" s="114"/>
      <c r="AF137" s="114"/>
      <c r="AG137" s="114"/>
      <c r="AH137" s="114"/>
    </row>
    <row r="138" spans="2:34" s="116" customFormat="1" x14ac:dyDescent="0.25">
      <c r="B138" s="114"/>
      <c r="C138" s="114"/>
      <c r="D138" s="114"/>
      <c r="E138" s="115"/>
      <c r="F138" s="115"/>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c r="AD138" s="114"/>
      <c r="AE138" s="114"/>
      <c r="AF138" s="114"/>
      <c r="AG138" s="114"/>
      <c r="AH138" s="114"/>
    </row>
    <row r="139" spans="2:34" s="116" customFormat="1" x14ac:dyDescent="0.25">
      <c r="B139" s="114"/>
      <c r="C139" s="114"/>
      <c r="D139" s="114"/>
      <c r="E139" s="115"/>
      <c r="F139" s="115"/>
      <c r="H139" s="114"/>
      <c r="I139" s="114"/>
      <c r="J139" s="114"/>
      <c r="K139" s="114"/>
      <c r="L139" s="114"/>
      <c r="M139" s="114"/>
      <c r="N139" s="114"/>
      <c r="O139" s="114"/>
      <c r="P139" s="114"/>
      <c r="Q139" s="114"/>
      <c r="R139" s="114"/>
      <c r="S139" s="114"/>
      <c r="T139" s="114"/>
      <c r="U139" s="114"/>
      <c r="V139" s="114"/>
      <c r="W139" s="114"/>
      <c r="X139" s="114"/>
      <c r="Y139" s="114"/>
      <c r="Z139" s="114"/>
      <c r="AA139" s="114"/>
      <c r="AB139" s="114"/>
      <c r="AC139" s="114"/>
      <c r="AD139" s="114"/>
      <c r="AE139" s="114"/>
      <c r="AF139" s="114"/>
      <c r="AG139" s="114"/>
      <c r="AH139" s="114"/>
    </row>
    <row r="140" spans="2:34" s="116" customFormat="1" x14ac:dyDescent="0.25">
      <c r="B140" s="114"/>
      <c r="C140" s="114"/>
      <c r="D140" s="114"/>
      <c r="E140" s="115"/>
      <c r="F140" s="115"/>
      <c r="H140" s="114"/>
      <c r="I140" s="114"/>
      <c r="J140" s="114"/>
      <c r="K140" s="114"/>
      <c r="L140" s="114"/>
      <c r="M140" s="114"/>
      <c r="N140" s="114"/>
      <c r="O140" s="114"/>
      <c r="P140" s="114"/>
      <c r="Q140" s="114"/>
      <c r="R140" s="114"/>
      <c r="S140" s="114"/>
      <c r="T140" s="114"/>
      <c r="U140" s="114"/>
      <c r="V140" s="114"/>
      <c r="W140" s="114"/>
      <c r="X140" s="114"/>
      <c r="Y140" s="114"/>
      <c r="Z140" s="114"/>
      <c r="AA140" s="114"/>
      <c r="AB140" s="114"/>
      <c r="AC140" s="114"/>
      <c r="AD140" s="114"/>
      <c r="AE140" s="114"/>
      <c r="AF140" s="114"/>
      <c r="AG140" s="114"/>
      <c r="AH140" s="114"/>
    </row>
    <row r="141" spans="2:34" s="116" customFormat="1" x14ac:dyDescent="0.25">
      <c r="B141" s="114"/>
      <c r="C141" s="114"/>
      <c r="D141" s="114"/>
      <c r="E141" s="115"/>
      <c r="F141" s="115"/>
      <c r="H141" s="114"/>
      <c r="I141" s="114"/>
      <c r="J141" s="114"/>
      <c r="K141" s="114"/>
      <c r="L141" s="114"/>
      <c r="M141" s="114"/>
      <c r="N141" s="114"/>
      <c r="O141" s="114"/>
      <c r="P141" s="114"/>
      <c r="Q141" s="114"/>
      <c r="R141" s="114"/>
      <c r="S141" s="114"/>
      <c r="T141" s="114"/>
      <c r="U141" s="114"/>
      <c r="V141" s="114"/>
      <c r="W141" s="114"/>
      <c r="X141" s="114"/>
      <c r="Y141" s="114"/>
      <c r="Z141" s="114"/>
      <c r="AA141" s="114"/>
      <c r="AB141" s="114"/>
      <c r="AC141" s="114"/>
      <c r="AD141" s="114"/>
      <c r="AE141" s="114"/>
      <c r="AF141" s="114"/>
      <c r="AG141" s="114"/>
      <c r="AH141" s="114"/>
    </row>
    <row r="142" spans="2:34" s="116" customFormat="1" x14ac:dyDescent="0.25">
      <c r="B142" s="114"/>
      <c r="C142" s="114"/>
      <c r="D142" s="114"/>
      <c r="E142" s="115"/>
      <c r="F142" s="115"/>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row>
    <row r="143" spans="2:34" s="116" customFormat="1" x14ac:dyDescent="0.25">
      <c r="B143" s="114"/>
      <c r="C143" s="114"/>
      <c r="D143" s="114"/>
      <c r="E143" s="115"/>
      <c r="F143" s="115"/>
      <c r="H143" s="114"/>
      <c r="I143" s="114"/>
      <c r="J143" s="114"/>
      <c r="K143" s="114"/>
      <c r="L143" s="114"/>
      <c r="M143" s="114"/>
      <c r="N143" s="114"/>
      <c r="O143" s="114"/>
      <c r="P143" s="114"/>
      <c r="Q143" s="114"/>
      <c r="R143" s="114"/>
      <c r="S143" s="114"/>
      <c r="T143" s="114"/>
      <c r="U143" s="114"/>
      <c r="V143" s="114"/>
      <c r="W143" s="114"/>
      <c r="X143" s="114"/>
      <c r="Y143" s="114"/>
      <c r="Z143" s="114"/>
      <c r="AA143" s="114"/>
      <c r="AB143" s="114"/>
      <c r="AC143" s="114"/>
      <c r="AD143" s="114"/>
      <c r="AE143" s="114"/>
      <c r="AF143" s="114"/>
      <c r="AG143" s="114"/>
      <c r="AH143" s="114"/>
    </row>
    <row r="144" spans="2:34" s="116" customFormat="1" x14ac:dyDescent="0.25">
      <c r="B144" s="114"/>
      <c r="C144" s="114"/>
      <c r="D144" s="114"/>
      <c r="E144" s="115"/>
      <c r="F144" s="115"/>
      <c r="H144" s="114"/>
      <c r="I144" s="114"/>
      <c r="J144" s="114"/>
      <c r="K144" s="114"/>
      <c r="L144" s="114"/>
      <c r="M144" s="114"/>
      <c r="N144" s="114"/>
      <c r="O144" s="114"/>
      <c r="P144" s="114"/>
      <c r="Q144" s="114"/>
      <c r="R144" s="114"/>
      <c r="S144" s="114"/>
      <c r="T144" s="114"/>
      <c r="U144" s="114"/>
      <c r="V144" s="114"/>
      <c r="W144" s="114"/>
      <c r="X144" s="114"/>
      <c r="Y144" s="114"/>
      <c r="Z144" s="114"/>
      <c r="AA144" s="114"/>
      <c r="AB144" s="114"/>
      <c r="AC144" s="114"/>
      <c r="AD144" s="114"/>
      <c r="AE144" s="114"/>
      <c r="AF144" s="114"/>
      <c r="AG144" s="114"/>
      <c r="AH144" s="114"/>
    </row>
    <row r="145" spans="2:34" s="116" customFormat="1" x14ac:dyDescent="0.25">
      <c r="B145" s="114"/>
      <c r="C145" s="114"/>
      <c r="D145" s="114"/>
      <c r="E145" s="115"/>
      <c r="F145" s="115"/>
      <c r="H145" s="114"/>
      <c r="I145" s="114"/>
      <c r="J145" s="114"/>
      <c r="K145" s="114"/>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row>
    <row r="146" spans="2:34" s="116" customFormat="1" x14ac:dyDescent="0.25">
      <c r="B146" s="114"/>
      <c r="C146" s="114"/>
      <c r="D146" s="114"/>
      <c r="E146" s="115"/>
      <c r="F146" s="115"/>
      <c r="H146" s="114"/>
      <c r="I146" s="114"/>
      <c r="J146" s="114"/>
      <c r="K146" s="114"/>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row>
    <row r="147" spans="2:34" s="116" customFormat="1" x14ac:dyDescent="0.25">
      <c r="B147" s="114"/>
      <c r="C147" s="114"/>
      <c r="D147" s="114"/>
      <c r="E147" s="115"/>
      <c r="F147" s="115"/>
      <c r="H147" s="114"/>
      <c r="I147" s="114"/>
      <c r="J147" s="114"/>
      <c r="K147" s="114"/>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row>
    <row r="148" spans="2:34" s="116" customFormat="1" x14ac:dyDescent="0.25">
      <c r="B148" s="114"/>
      <c r="C148" s="114"/>
      <c r="D148" s="114"/>
      <c r="E148" s="115"/>
      <c r="F148" s="115"/>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row>
    <row r="149" spans="2:34" s="116" customFormat="1" x14ac:dyDescent="0.25">
      <c r="B149" s="114"/>
      <c r="C149" s="114"/>
      <c r="D149" s="114"/>
      <c r="E149" s="115"/>
      <c r="F149" s="115"/>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row>
    <row r="150" spans="2:34" s="116" customFormat="1" x14ac:dyDescent="0.25">
      <c r="B150" s="114"/>
      <c r="C150" s="114"/>
      <c r="D150" s="114"/>
      <c r="E150" s="115"/>
      <c r="F150" s="115"/>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c r="AH150" s="114"/>
    </row>
    <row r="151" spans="2:34" s="116" customFormat="1" x14ac:dyDescent="0.25">
      <c r="B151" s="114"/>
      <c r="C151" s="114"/>
      <c r="D151" s="114"/>
      <c r="E151" s="115"/>
      <c r="F151" s="115"/>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row>
    <row r="152" spans="2:34" s="116" customFormat="1" x14ac:dyDescent="0.25">
      <c r="B152" s="114"/>
      <c r="C152" s="114"/>
      <c r="D152" s="114"/>
      <c r="E152" s="115"/>
      <c r="F152" s="115"/>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c r="AH152" s="114"/>
    </row>
    <row r="153" spans="2:34" s="116" customFormat="1" x14ac:dyDescent="0.25">
      <c r="B153" s="114"/>
      <c r="C153" s="114"/>
      <c r="D153" s="114"/>
      <c r="E153" s="115"/>
      <c r="F153" s="115"/>
      <c r="H153" s="114"/>
      <c r="I153" s="114"/>
      <c r="J153" s="114"/>
      <c r="K153" s="114"/>
      <c r="L153" s="114"/>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c r="AH153" s="114"/>
    </row>
    <row r="154" spans="2:34" s="116" customFormat="1" x14ac:dyDescent="0.25">
      <c r="B154" s="114"/>
      <c r="C154" s="114"/>
      <c r="D154" s="114"/>
      <c r="E154" s="115"/>
      <c r="F154" s="115"/>
      <c r="H154" s="114"/>
      <c r="I154" s="114"/>
      <c r="J154" s="114"/>
      <c r="K154" s="114"/>
      <c r="L154" s="114"/>
      <c r="M154" s="114"/>
      <c r="N154" s="114"/>
      <c r="O154" s="114"/>
      <c r="P154" s="114"/>
      <c r="Q154" s="114"/>
      <c r="R154" s="114"/>
      <c r="S154" s="114"/>
      <c r="T154" s="114"/>
      <c r="U154" s="114"/>
      <c r="V154" s="114"/>
      <c r="W154" s="114"/>
      <c r="X154" s="114"/>
      <c r="Y154" s="114"/>
      <c r="Z154" s="114"/>
      <c r="AA154" s="114"/>
      <c r="AB154" s="114"/>
      <c r="AC154" s="114"/>
      <c r="AD154" s="114"/>
      <c r="AE154" s="114"/>
      <c r="AF154" s="114"/>
      <c r="AG154" s="114"/>
      <c r="AH154" s="114"/>
    </row>
    <row r="155" spans="2:34" s="116" customFormat="1" x14ac:dyDescent="0.25">
      <c r="B155" s="114"/>
      <c r="C155" s="114"/>
      <c r="D155" s="114"/>
      <c r="E155" s="115"/>
      <c r="F155" s="115"/>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row>
    <row r="156" spans="2:34" s="116" customFormat="1" x14ac:dyDescent="0.25">
      <c r="B156" s="114"/>
      <c r="C156" s="114"/>
      <c r="D156" s="114"/>
      <c r="E156" s="115"/>
      <c r="F156" s="115"/>
      <c r="H156" s="114"/>
      <c r="I156" s="114"/>
      <c r="J156" s="114"/>
      <c r="K156" s="114"/>
      <c r="L156" s="114"/>
      <c r="M156" s="114"/>
      <c r="N156" s="114"/>
      <c r="O156" s="114"/>
      <c r="P156" s="114"/>
      <c r="Q156" s="114"/>
      <c r="R156" s="114"/>
      <c r="S156" s="114"/>
      <c r="T156" s="114"/>
      <c r="U156" s="114"/>
      <c r="V156" s="114"/>
      <c r="W156" s="114"/>
      <c r="X156" s="114"/>
      <c r="Y156" s="114"/>
      <c r="Z156" s="114"/>
      <c r="AA156" s="114"/>
      <c r="AB156" s="114"/>
      <c r="AC156" s="114"/>
      <c r="AD156" s="114"/>
      <c r="AE156" s="114"/>
      <c r="AF156" s="114"/>
      <c r="AG156" s="114"/>
      <c r="AH156" s="114"/>
    </row>
    <row r="157" spans="2:34" s="116" customFormat="1" x14ac:dyDescent="0.25">
      <c r="B157" s="114"/>
      <c r="C157" s="114"/>
      <c r="D157" s="114"/>
      <c r="E157" s="115"/>
      <c r="F157" s="115"/>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row>
    <row r="158" spans="2:34" s="116" customFormat="1" x14ac:dyDescent="0.25">
      <c r="B158" s="114"/>
      <c r="C158" s="114"/>
      <c r="D158" s="114"/>
      <c r="E158" s="115"/>
      <c r="F158" s="115"/>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c r="AH158" s="114"/>
    </row>
    <row r="159" spans="2:34" s="116" customFormat="1" x14ac:dyDescent="0.25">
      <c r="B159" s="114"/>
      <c r="C159" s="114"/>
      <c r="D159" s="114"/>
      <c r="E159" s="115"/>
      <c r="F159" s="115"/>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c r="AH159" s="114"/>
    </row>
    <row r="160" spans="2:34" s="116" customFormat="1" x14ac:dyDescent="0.25">
      <c r="B160" s="114"/>
      <c r="C160" s="114"/>
      <c r="D160" s="114"/>
      <c r="E160" s="115"/>
      <c r="F160" s="115"/>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4"/>
      <c r="AE160" s="114"/>
      <c r="AF160" s="114"/>
      <c r="AG160" s="114"/>
      <c r="AH160" s="114"/>
    </row>
    <row r="161" spans="2:34" s="116" customFormat="1" x14ac:dyDescent="0.25">
      <c r="B161" s="114"/>
      <c r="C161" s="114"/>
      <c r="D161" s="114"/>
      <c r="E161" s="115"/>
      <c r="F161" s="115"/>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4"/>
      <c r="AE161" s="114"/>
      <c r="AF161" s="114"/>
      <c r="AG161" s="114"/>
      <c r="AH161" s="114"/>
    </row>
    <row r="162" spans="2:34" s="116" customFormat="1" x14ac:dyDescent="0.25">
      <c r="B162" s="114"/>
      <c r="C162" s="114"/>
      <c r="D162" s="114"/>
      <c r="E162" s="115"/>
      <c r="F162" s="115"/>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c r="AH162" s="114"/>
    </row>
    <row r="163" spans="2:34" s="116" customFormat="1" x14ac:dyDescent="0.25">
      <c r="B163" s="114"/>
      <c r="C163" s="114"/>
      <c r="D163" s="114"/>
      <c r="E163" s="115"/>
      <c r="F163" s="115"/>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4"/>
      <c r="AG163" s="114"/>
      <c r="AH163" s="114"/>
    </row>
    <row r="164" spans="2:34" s="116" customFormat="1" x14ac:dyDescent="0.25">
      <c r="B164" s="114"/>
      <c r="C164" s="114"/>
      <c r="D164" s="114"/>
      <c r="E164" s="115"/>
      <c r="F164" s="115"/>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4"/>
      <c r="AG164" s="114"/>
      <c r="AH164" s="114"/>
    </row>
    <row r="165" spans="2:34" s="116" customFormat="1" x14ac:dyDescent="0.25">
      <c r="B165" s="114"/>
      <c r="C165" s="114"/>
      <c r="D165" s="114"/>
      <c r="E165" s="115"/>
      <c r="F165" s="115"/>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c r="AH165" s="114"/>
    </row>
    <row r="166" spans="2:34" s="116" customFormat="1" x14ac:dyDescent="0.25">
      <c r="B166" s="114"/>
      <c r="C166" s="114"/>
      <c r="D166" s="114"/>
      <c r="E166" s="115"/>
      <c r="F166" s="115"/>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c r="AH166" s="114"/>
    </row>
    <row r="167" spans="2:34" s="116" customFormat="1" x14ac:dyDescent="0.25">
      <c r="B167" s="114"/>
      <c r="C167" s="114"/>
      <c r="D167" s="114"/>
      <c r="E167" s="115"/>
      <c r="F167" s="115"/>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4"/>
      <c r="AG167" s="114"/>
      <c r="AH167" s="114"/>
    </row>
    <row r="168" spans="2:34" s="116" customFormat="1" x14ac:dyDescent="0.25">
      <c r="B168" s="114"/>
      <c r="C168" s="114"/>
      <c r="D168" s="114"/>
      <c r="E168" s="115"/>
      <c r="F168" s="115"/>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4"/>
      <c r="AE168" s="114"/>
      <c r="AF168" s="114"/>
      <c r="AG168" s="114"/>
      <c r="AH168" s="114"/>
    </row>
    <row r="169" spans="2:34" s="116" customFormat="1" x14ac:dyDescent="0.25">
      <c r="B169" s="114"/>
      <c r="C169" s="114"/>
      <c r="D169" s="114"/>
      <c r="E169" s="115"/>
      <c r="F169" s="115"/>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c r="AD169" s="114"/>
      <c r="AE169" s="114"/>
      <c r="AF169" s="114"/>
      <c r="AG169" s="114"/>
      <c r="AH169" s="114"/>
    </row>
    <row r="170" spans="2:34" s="116" customFormat="1" x14ac:dyDescent="0.25">
      <c r="B170" s="114"/>
      <c r="C170" s="114"/>
      <c r="D170" s="114"/>
      <c r="E170" s="115"/>
      <c r="F170" s="115"/>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row>
    <row r="171" spans="2:34" s="116" customFormat="1" x14ac:dyDescent="0.25">
      <c r="B171" s="114"/>
      <c r="C171" s="114"/>
      <c r="D171" s="114"/>
      <c r="E171" s="115"/>
      <c r="F171" s="115"/>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row>
    <row r="172" spans="2:34" s="116" customFormat="1" x14ac:dyDescent="0.25">
      <c r="B172" s="114"/>
      <c r="C172" s="114"/>
      <c r="D172" s="114"/>
      <c r="E172" s="115"/>
      <c r="F172" s="115"/>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row>
    <row r="173" spans="2:34" s="116" customFormat="1" x14ac:dyDescent="0.25">
      <c r="B173" s="114"/>
      <c r="C173" s="114"/>
      <c r="D173" s="114"/>
      <c r="E173" s="115"/>
      <c r="F173" s="115"/>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row>
    <row r="174" spans="2:34" s="116" customFormat="1" x14ac:dyDescent="0.25">
      <c r="B174" s="114"/>
      <c r="C174" s="114"/>
      <c r="D174" s="114"/>
      <c r="E174" s="115"/>
      <c r="F174" s="115"/>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row>
    <row r="175" spans="2:34" s="116" customFormat="1" x14ac:dyDescent="0.25">
      <c r="B175" s="114"/>
      <c r="C175" s="114"/>
      <c r="D175" s="114"/>
      <c r="E175" s="115"/>
      <c r="F175" s="115"/>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row>
    <row r="176" spans="2:34" s="116" customFormat="1" x14ac:dyDescent="0.25">
      <c r="B176" s="114"/>
      <c r="C176" s="114"/>
      <c r="D176" s="114"/>
      <c r="E176" s="115"/>
      <c r="F176" s="115"/>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row>
    <row r="177" spans="2:34" s="116" customFormat="1" x14ac:dyDescent="0.25">
      <c r="B177" s="114"/>
      <c r="C177" s="114"/>
      <c r="D177" s="114"/>
      <c r="E177" s="115"/>
      <c r="F177" s="115"/>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row>
    <row r="178" spans="2:34" s="116" customFormat="1" x14ac:dyDescent="0.25">
      <c r="B178" s="114"/>
      <c r="C178" s="114"/>
      <c r="D178" s="114"/>
      <c r="E178" s="115"/>
      <c r="F178" s="115"/>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row>
    <row r="179" spans="2:34" s="116" customFormat="1" x14ac:dyDescent="0.25">
      <c r="B179" s="114"/>
      <c r="C179" s="114"/>
      <c r="D179" s="114"/>
      <c r="E179" s="115"/>
      <c r="F179" s="115"/>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row>
    <row r="180" spans="2:34" s="116" customFormat="1" x14ac:dyDescent="0.25">
      <c r="B180" s="114"/>
      <c r="C180" s="114"/>
      <c r="D180" s="114"/>
      <c r="E180" s="115"/>
      <c r="F180" s="115"/>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row>
    <row r="181" spans="2:34" s="116" customFormat="1" x14ac:dyDescent="0.25">
      <c r="B181" s="114"/>
      <c r="C181" s="114"/>
      <c r="D181" s="114"/>
      <c r="E181" s="115"/>
      <c r="F181" s="115"/>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c r="AD181" s="114"/>
      <c r="AE181" s="114"/>
      <c r="AF181" s="114"/>
      <c r="AG181" s="114"/>
      <c r="AH181" s="114"/>
    </row>
    <row r="182" spans="2:34" s="116" customFormat="1" x14ac:dyDescent="0.25">
      <c r="B182" s="114"/>
      <c r="C182" s="114"/>
      <c r="D182" s="114"/>
      <c r="E182" s="115"/>
      <c r="F182" s="115"/>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c r="AH182" s="114"/>
    </row>
    <row r="183" spans="2:34" s="116" customFormat="1" x14ac:dyDescent="0.25">
      <c r="B183" s="114"/>
      <c r="C183" s="114"/>
      <c r="D183" s="114"/>
      <c r="E183" s="115"/>
      <c r="F183" s="115"/>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14"/>
      <c r="AF183" s="114"/>
      <c r="AG183" s="114"/>
      <c r="AH183" s="114"/>
    </row>
    <row r="184" spans="2:34" s="116" customFormat="1" x14ac:dyDescent="0.25">
      <c r="B184" s="114"/>
      <c r="C184" s="114"/>
      <c r="D184" s="114"/>
      <c r="E184" s="115"/>
      <c r="F184" s="115"/>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c r="AD184" s="114"/>
      <c r="AE184" s="114"/>
      <c r="AF184" s="114"/>
      <c r="AG184" s="114"/>
      <c r="AH184" s="114"/>
    </row>
    <row r="185" spans="2:34" s="116" customFormat="1" x14ac:dyDescent="0.25">
      <c r="B185" s="114"/>
      <c r="C185" s="114"/>
      <c r="D185" s="114"/>
      <c r="E185" s="115"/>
      <c r="F185" s="115"/>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c r="AD185" s="114"/>
      <c r="AE185" s="114"/>
      <c r="AF185" s="114"/>
      <c r="AG185" s="114"/>
      <c r="AH185" s="114"/>
    </row>
    <row r="186" spans="2:34" s="116" customFormat="1" x14ac:dyDescent="0.25">
      <c r="B186" s="114"/>
      <c r="C186" s="114"/>
      <c r="D186" s="114"/>
      <c r="E186" s="115"/>
      <c r="F186" s="115"/>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c r="AD186" s="114"/>
      <c r="AE186" s="114"/>
      <c r="AF186" s="114"/>
      <c r="AG186" s="114"/>
      <c r="AH186" s="114"/>
    </row>
    <row r="187" spans="2:34" s="116" customFormat="1" x14ac:dyDescent="0.25">
      <c r="B187" s="114"/>
      <c r="C187" s="114"/>
      <c r="D187" s="114"/>
      <c r="E187" s="115"/>
      <c r="F187" s="115"/>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14"/>
      <c r="AF187" s="114"/>
      <c r="AG187" s="114"/>
      <c r="AH187" s="114"/>
    </row>
    <row r="188" spans="2:34" s="116" customFormat="1" x14ac:dyDescent="0.25">
      <c r="B188" s="114"/>
      <c r="C188" s="114"/>
      <c r="D188" s="114"/>
      <c r="E188" s="115"/>
      <c r="F188" s="115"/>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c r="AH188" s="114"/>
    </row>
    <row r="189" spans="2:34" s="116" customFormat="1" x14ac:dyDescent="0.25">
      <c r="B189" s="114"/>
      <c r="C189" s="114"/>
      <c r="D189" s="114"/>
      <c r="E189" s="115"/>
      <c r="F189" s="115"/>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c r="AD189" s="114"/>
      <c r="AE189" s="114"/>
      <c r="AF189" s="114"/>
      <c r="AG189" s="114"/>
      <c r="AH189" s="114"/>
    </row>
    <row r="190" spans="2:34" s="116" customFormat="1" x14ac:dyDescent="0.25">
      <c r="B190" s="114"/>
      <c r="C190" s="114"/>
      <c r="D190" s="114"/>
      <c r="E190" s="115"/>
      <c r="F190" s="115"/>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4"/>
      <c r="AG190" s="114"/>
      <c r="AH190" s="114"/>
    </row>
    <row r="191" spans="2:34" s="116" customFormat="1" x14ac:dyDescent="0.25">
      <c r="B191" s="114"/>
      <c r="C191" s="114"/>
      <c r="D191" s="114"/>
      <c r="E191" s="115"/>
      <c r="F191" s="115"/>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c r="AH191" s="114"/>
    </row>
    <row r="192" spans="2:34" s="116" customFormat="1" x14ac:dyDescent="0.25">
      <c r="B192" s="114"/>
      <c r="C192" s="114"/>
      <c r="D192" s="114"/>
      <c r="E192" s="115"/>
      <c r="F192" s="115"/>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4"/>
      <c r="AF192" s="114"/>
      <c r="AG192" s="114"/>
      <c r="AH192" s="114"/>
    </row>
    <row r="193" spans="2:34" s="116" customFormat="1" x14ac:dyDescent="0.25">
      <c r="B193" s="114"/>
      <c r="C193" s="114"/>
      <c r="D193" s="114"/>
      <c r="E193" s="115"/>
      <c r="F193" s="115"/>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c r="AD193" s="114"/>
      <c r="AE193" s="114"/>
      <c r="AF193" s="114"/>
      <c r="AG193" s="114"/>
      <c r="AH193" s="114"/>
    </row>
    <row r="194" spans="2:34" s="116" customFormat="1" x14ac:dyDescent="0.25">
      <c r="B194" s="114"/>
      <c r="C194" s="114"/>
      <c r="D194" s="114"/>
      <c r="E194" s="115"/>
      <c r="F194" s="115"/>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4"/>
      <c r="AE194" s="114"/>
      <c r="AF194" s="114"/>
      <c r="AG194" s="114"/>
      <c r="AH194" s="114"/>
    </row>
    <row r="195" spans="2:34" s="116" customFormat="1" x14ac:dyDescent="0.25">
      <c r="B195" s="114"/>
      <c r="C195" s="114"/>
      <c r="D195" s="114"/>
      <c r="E195" s="115"/>
      <c r="F195" s="115"/>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4"/>
      <c r="AG195" s="114"/>
      <c r="AH195" s="114"/>
    </row>
    <row r="196" spans="2:34" s="116" customFormat="1" x14ac:dyDescent="0.25">
      <c r="B196" s="114"/>
      <c r="C196" s="114"/>
      <c r="D196" s="114"/>
      <c r="E196" s="115"/>
      <c r="F196" s="115"/>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4"/>
      <c r="AE196" s="114"/>
      <c r="AF196" s="114"/>
      <c r="AG196" s="114"/>
      <c r="AH196" s="114"/>
    </row>
    <row r="197" spans="2:34" s="116" customFormat="1" x14ac:dyDescent="0.25">
      <c r="B197" s="114"/>
      <c r="C197" s="114"/>
      <c r="D197" s="114"/>
      <c r="E197" s="115"/>
      <c r="F197" s="115"/>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c r="AH197" s="114"/>
    </row>
    <row r="198" spans="2:34" s="116" customFormat="1" x14ac:dyDescent="0.25">
      <c r="B198" s="114"/>
      <c r="C198" s="114"/>
      <c r="D198" s="114"/>
      <c r="E198" s="115"/>
      <c r="F198" s="115"/>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row>
    <row r="199" spans="2:34" s="116" customFormat="1" x14ac:dyDescent="0.25">
      <c r="B199" s="114"/>
      <c r="C199" s="114"/>
      <c r="D199" s="114"/>
      <c r="E199" s="115"/>
      <c r="F199" s="115"/>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c r="AH199" s="114"/>
    </row>
    <row r="200" spans="2:34" s="116" customFormat="1" x14ac:dyDescent="0.25">
      <c r="B200" s="114"/>
      <c r="C200" s="114"/>
      <c r="D200" s="114"/>
      <c r="E200" s="115"/>
      <c r="F200" s="115"/>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c r="AD200" s="114"/>
      <c r="AE200" s="114"/>
      <c r="AF200" s="114"/>
      <c r="AG200" s="114"/>
      <c r="AH200" s="114"/>
    </row>
    <row r="201" spans="2:34" s="116" customFormat="1" x14ac:dyDescent="0.25">
      <c r="B201" s="114"/>
      <c r="C201" s="114"/>
      <c r="D201" s="114"/>
      <c r="E201" s="115"/>
      <c r="F201" s="115"/>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4"/>
      <c r="AE201" s="114"/>
      <c r="AF201" s="114"/>
      <c r="AG201" s="114"/>
      <c r="AH201" s="114"/>
    </row>
    <row r="202" spans="2:34" s="116" customFormat="1" x14ac:dyDescent="0.25">
      <c r="B202" s="114"/>
      <c r="C202" s="114"/>
      <c r="D202" s="114"/>
      <c r="E202" s="115"/>
      <c r="F202" s="115"/>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4"/>
      <c r="AE202" s="114"/>
      <c r="AF202" s="114"/>
      <c r="AG202" s="114"/>
      <c r="AH202" s="114"/>
    </row>
    <row r="203" spans="2:34" s="116" customFormat="1" x14ac:dyDescent="0.25">
      <c r="B203" s="114"/>
      <c r="C203" s="114"/>
      <c r="D203" s="114"/>
      <c r="E203" s="115"/>
      <c r="F203" s="115"/>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c r="AH203" s="114"/>
    </row>
    <row r="204" spans="2:34" s="116" customFormat="1" x14ac:dyDescent="0.25">
      <c r="B204" s="114"/>
      <c r="C204" s="114"/>
      <c r="D204" s="114"/>
      <c r="E204" s="115"/>
      <c r="F204" s="115"/>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c r="AD204" s="114"/>
      <c r="AE204" s="114"/>
      <c r="AF204" s="114"/>
      <c r="AG204" s="114"/>
      <c r="AH204" s="114"/>
    </row>
    <row r="205" spans="2:34" s="116" customFormat="1" x14ac:dyDescent="0.25">
      <c r="B205" s="114"/>
      <c r="C205" s="114"/>
      <c r="D205" s="114"/>
      <c r="E205" s="115"/>
      <c r="F205" s="115"/>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c r="AH205" s="114"/>
    </row>
    <row r="206" spans="2:34" s="116" customFormat="1" x14ac:dyDescent="0.25">
      <c r="B206" s="114"/>
      <c r="C206" s="114"/>
      <c r="D206" s="114"/>
      <c r="E206" s="115"/>
      <c r="F206" s="115"/>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c r="AD206" s="114"/>
      <c r="AE206" s="114"/>
      <c r="AF206" s="114"/>
      <c r="AG206" s="114"/>
      <c r="AH206" s="114"/>
    </row>
    <row r="207" spans="2:34" s="106" customFormat="1" x14ac:dyDescent="0.25">
      <c r="B207"/>
      <c r="C207"/>
      <c r="D207"/>
      <c r="E207" s="105"/>
      <c r="F207" s="105"/>
      <c r="H207"/>
      <c r="I207"/>
      <c r="J207"/>
      <c r="K207"/>
      <c r="L207"/>
      <c r="M207"/>
      <c r="N207"/>
      <c r="O207"/>
      <c r="P207"/>
      <c r="Q207"/>
      <c r="R207"/>
      <c r="S207"/>
      <c r="T207"/>
      <c r="U207"/>
      <c r="V207"/>
      <c r="W207"/>
      <c r="X207"/>
      <c r="Y207"/>
      <c r="Z207"/>
      <c r="AA207"/>
      <c r="AB207"/>
      <c r="AC207"/>
      <c r="AD207"/>
      <c r="AE207"/>
      <c r="AF207"/>
      <c r="AG207"/>
      <c r="AH207"/>
    </row>
    <row r="208" spans="2:34" s="106" customFormat="1" x14ac:dyDescent="0.25">
      <c r="B208"/>
      <c r="C208"/>
      <c r="D208"/>
      <c r="E208" s="105"/>
      <c r="F208" s="105"/>
      <c r="H208"/>
      <c r="I208"/>
      <c r="J208"/>
      <c r="K208"/>
      <c r="L208"/>
      <c r="M208"/>
      <c r="N208"/>
      <c r="O208"/>
      <c r="P208"/>
      <c r="Q208"/>
      <c r="R208"/>
      <c r="S208"/>
      <c r="T208"/>
      <c r="U208"/>
      <c r="V208"/>
      <c r="W208"/>
      <c r="X208"/>
      <c r="Y208"/>
      <c r="Z208"/>
      <c r="AA208"/>
      <c r="AB208"/>
      <c r="AC208"/>
      <c r="AD208"/>
      <c r="AE208"/>
      <c r="AF208"/>
      <c r="AG208"/>
      <c r="AH208"/>
    </row>
    <row r="209" spans="2:34" s="106" customFormat="1" x14ac:dyDescent="0.25">
      <c r="B209"/>
      <c r="C209"/>
      <c r="D209"/>
      <c r="E209" s="105"/>
      <c r="F209" s="105"/>
      <c r="H209"/>
      <c r="I209"/>
      <c r="J209"/>
      <c r="K209"/>
      <c r="L209"/>
      <c r="M209"/>
      <c r="N209"/>
      <c r="O209"/>
      <c r="P209"/>
      <c r="Q209"/>
      <c r="R209"/>
      <c r="S209"/>
      <c r="T209"/>
      <c r="U209"/>
      <c r="V209"/>
      <c r="W209"/>
      <c r="X209"/>
      <c r="Y209"/>
      <c r="Z209"/>
      <c r="AA209"/>
      <c r="AB209"/>
      <c r="AC209"/>
      <c r="AD209"/>
      <c r="AE209"/>
      <c r="AF209"/>
      <c r="AG209"/>
      <c r="AH209"/>
    </row>
    <row r="210" spans="2:34" s="106" customFormat="1" x14ac:dyDescent="0.25">
      <c r="B210"/>
      <c r="C210"/>
      <c r="D210"/>
      <c r="E210" s="105"/>
      <c r="F210" s="105"/>
      <c r="H210"/>
      <c r="I210"/>
      <c r="J210"/>
      <c r="K210"/>
      <c r="L210"/>
      <c r="M210"/>
      <c r="N210"/>
      <c r="O210"/>
      <c r="P210"/>
      <c r="Q210"/>
      <c r="R210"/>
      <c r="S210"/>
      <c r="T210"/>
      <c r="U210"/>
      <c r="V210"/>
      <c r="W210"/>
      <c r="X210"/>
      <c r="Y210"/>
      <c r="Z210"/>
      <c r="AA210"/>
      <c r="AB210"/>
      <c r="AC210"/>
      <c r="AD210"/>
      <c r="AE210"/>
      <c r="AF210"/>
      <c r="AG210"/>
      <c r="AH210"/>
    </row>
    <row r="211" spans="2:34" s="106" customFormat="1" x14ac:dyDescent="0.25">
      <c r="B211"/>
      <c r="C211"/>
      <c r="D211"/>
      <c r="E211" s="105"/>
      <c r="F211" s="105"/>
      <c r="H211"/>
      <c r="I211"/>
      <c r="J211"/>
      <c r="K211"/>
      <c r="L211"/>
      <c r="M211"/>
      <c r="N211"/>
      <c r="O211"/>
      <c r="P211"/>
      <c r="Q211"/>
      <c r="R211"/>
      <c r="S211"/>
      <c r="T211"/>
      <c r="U211"/>
      <c r="V211"/>
      <c r="W211"/>
      <c r="X211"/>
      <c r="Y211"/>
      <c r="Z211"/>
      <c r="AA211"/>
      <c r="AB211"/>
      <c r="AC211"/>
      <c r="AD211"/>
      <c r="AE211"/>
      <c r="AF211"/>
      <c r="AG211"/>
      <c r="AH211"/>
    </row>
    <row r="212" spans="2:34" s="106" customFormat="1" x14ac:dyDescent="0.25">
      <c r="B212"/>
      <c r="C212"/>
      <c r="D212"/>
      <c r="E212" s="105"/>
      <c r="F212" s="105"/>
      <c r="H212"/>
      <c r="I212"/>
      <c r="J212"/>
      <c r="K212"/>
      <c r="L212"/>
      <c r="M212"/>
      <c r="N212"/>
      <c r="O212"/>
      <c r="P212"/>
      <c r="Q212"/>
      <c r="R212"/>
      <c r="S212"/>
      <c r="T212"/>
      <c r="U212"/>
      <c r="V212"/>
      <c r="W212"/>
      <c r="X212"/>
      <c r="Y212"/>
      <c r="Z212"/>
      <c r="AA212"/>
      <c r="AB212"/>
      <c r="AC212"/>
      <c r="AD212"/>
      <c r="AE212"/>
      <c r="AF212"/>
      <c r="AG212"/>
      <c r="AH212"/>
    </row>
    <row r="213" spans="2:34" s="106" customFormat="1" x14ac:dyDescent="0.25">
      <c r="B213"/>
      <c r="C213"/>
      <c r="D213"/>
      <c r="E213" s="105"/>
      <c r="F213" s="105"/>
      <c r="H213"/>
      <c r="I213"/>
      <c r="J213"/>
      <c r="K213"/>
      <c r="L213"/>
      <c r="M213"/>
      <c r="N213"/>
      <c r="O213"/>
      <c r="P213"/>
      <c r="Q213"/>
      <c r="R213"/>
      <c r="S213"/>
      <c r="T213"/>
      <c r="U213"/>
      <c r="V213"/>
      <c r="W213"/>
      <c r="X213"/>
      <c r="Y213"/>
      <c r="Z213"/>
      <c r="AA213"/>
      <c r="AB213"/>
      <c r="AC213"/>
      <c r="AD213"/>
      <c r="AE213"/>
      <c r="AF213"/>
      <c r="AG213"/>
      <c r="AH213"/>
    </row>
    <row r="214" spans="2:34" s="106" customFormat="1" x14ac:dyDescent="0.25">
      <c r="B214"/>
      <c r="C214"/>
      <c r="D214"/>
      <c r="E214" s="105"/>
      <c r="F214" s="105"/>
      <c r="H214"/>
      <c r="I214"/>
      <c r="J214"/>
      <c r="K214"/>
      <c r="L214"/>
      <c r="M214"/>
      <c r="N214"/>
      <c r="O214"/>
      <c r="P214"/>
      <c r="Q214"/>
      <c r="R214"/>
      <c r="S214"/>
      <c r="T214"/>
      <c r="U214"/>
      <c r="V214"/>
      <c r="W214"/>
      <c r="X214"/>
      <c r="Y214"/>
      <c r="Z214"/>
      <c r="AA214"/>
      <c r="AB214"/>
      <c r="AC214"/>
      <c r="AD214"/>
      <c r="AE214"/>
      <c r="AF214"/>
      <c r="AG214"/>
      <c r="AH214"/>
    </row>
    <row r="215" spans="2:34" s="106" customFormat="1" x14ac:dyDescent="0.25">
      <c r="B215"/>
      <c r="C215"/>
      <c r="D215"/>
      <c r="E215" s="105"/>
      <c r="F215" s="105"/>
      <c r="H215"/>
      <c r="I215"/>
      <c r="J215"/>
      <c r="K215"/>
      <c r="L215"/>
      <c r="M215"/>
      <c r="N215"/>
      <c r="O215"/>
      <c r="P215"/>
      <c r="Q215"/>
      <c r="R215"/>
      <c r="S215"/>
      <c r="T215"/>
      <c r="U215"/>
      <c r="V215"/>
      <c r="W215"/>
      <c r="X215"/>
      <c r="Y215"/>
      <c r="Z215"/>
      <c r="AA215"/>
      <c r="AB215"/>
      <c r="AC215"/>
      <c r="AD215"/>
      <c r="AE215"/>
      <c r="AF215"/>
      <c r="AG215"/>
      <c r="AH215"/>
    </row>
    <row r="216" spans="2:34" s="106" customFormat="1" x14ac:dyDescent="0.25">
      <c r="B216"/>
      <c r="C216"/>
      <c r="D216"/>
      <c r="E216" s="105"/>
      <c r="F216" s="105"/>
      <c r="H216"/>
      <c r="I216"/>
      <c r="J216"/>
      <c r="K216"/>
      <c r="L216"/>
      <c r="M216"/>
      <c r="N216"/>
      <c r="O216"/>
      <c r="P216"/>
      <c r="Q216"/>
      <c r="R216"/>
      <c r="S216"/>
      <c r="T216"/>
      <c r="U216"/>
      <c r="V216"/>
      <c r="W216"/>
      <c r="X216"/>
      <c r="Y216"/>
      <c r="Z216"/>
      <c r="AA216"/>
      <c r="AB216"/>
      <c r="AC216"/>
      <c r="AD216"/>
      <c r="AE216"/>
      <c r="AF216"/>
      <c r="AG216"/>
      <c r="AH216"/>
    </row>
    <row r="217" spans="2:34" s="106" customFormat="1" x14ac:dyDescent="0.25">
      <c r="B217"/>
      <c r="C217"/>
      <c r="D217"/>
      <c r="E217" s="105"/>
      <c r="F217" s="105"/>
      <c r="H217"/>
      <c r="I217"/>
      <c r="J217"/>
      <c r="K217"/>
      <c r="L217"/>
      <c r="M217"/>
      <c r="N217"/>
      <c r="O217"/>
      <c r="P217"/>
      <c r="Q217"/>
      <c r="R217"/>
      <c r="S217"/>
      <c r="T217"/>
      <c r="U217"/>
      <c r="V217"/>
      <c r="W217"/>
      <c r="X217"/>
      <c r="Y217"/>
      <c r="Z217"/>
      <c r="AA217"/>
      <c r="AB217"/>
      <c r="AC217"/>
      <c r="AD217"/>
      <c r="AE217"/>
      <c r="AF217"/>
      <c r="AG217"/>
      <c r="AH217"/>
    </row>
    <row r="218" spans="2:34" s="106" customFormat="1" x14ac:dyDescent="0.25">
      <c r="B218"/>
      <c r="C218"/>
      <c r="D218"/>
      <c r="E218" s="105"/>
      <c r="F218" s="105"/>
      <c r="H218"/>
      <c r="I218"/>
      <c r="J218"/>
      <c r="K218"/>
      <c r="L218"/>
      <c r="M218"/>
      <c r="N218"/>
      <c r="O218"/>
      <c r="P218"/>
      <c r="Q218"/>
      <c r="R218"/>
      <c r="S218"/>
      <c r="T218"/>
      <c r="U218"/>
      <c r="V218"/>
      <c r="W218"/>
      <c r="X218"/>
      <c r="Y218"/>
      <c r="Z218"/>
      <c r="AA218"/>
      <c r="AB218"/>
      <c r="AC218"/>
      <c r="AD218"/>
      <c r="AE218"/>
      <c r="AF218"/>
      <c r="AG218"/>
      <c r="AH218"/>
    </row>
    <row r="219" spans="2:34" s="106" customFormat="1" x14ac:dyDescent="0.25">
      <c r="B219"/>
      <c r="C219"/>
      <c r="D219"/>
      <c r="E219" s="105"/>
      <c r="F219" s="105"/>
      <c r="H219"/>
      <c r="I219"/>
      <c r="J219"/>
      <c r="K219"/>
      <c r="L219"/>
      <c r="M219"/>
      <c r="N219"/>
      <c r="O219"/>
      <c r="P219"/>
      <c r="Q219"/>
      <c r="R219"/>
      <c r="S219"/>
      <c r="T219"/>
      <c r="U219"/>
      <c r="V219"/>
      <c r="W219"/>
      <c r="X219"/>
      <c r="Y219"/>
      <c r="Z219"/>
      <c r="AA219"/>
      <c r="AB219"/>
      <c r="AC219"/>
      <c r="AD219"/>
      <c r="AE219"/>
      <c r="AF219"/>
      <c r="AG219"/>
      <c r="AH219"/>
    </row>
    <row r="220" spans="2:34" s="106" customFormat="1" x14ac:dyDescent="0.25">
      <c r="B220"/>
      <c r="C220"/>
      <c r="D220"/>
      <c r="E220" s="105"/>
      <c r="F220" s="105"/>
      <c r="H220"/>
      <c r="I220"/>
      <c r="J220"/>
      <c r="K220"/>
      <c r="L220"/>
      <c r="M220"/>
      <c r="N220"/>
      <c r="O220"/>
      <c r="P220"/>
      <c r="Q220"/>
      <c r="R220"/>
      <c r="S220"/>
      <c r="T220"/>
      <c r="U220"/>
      <c r="V220"/>
      <c r="W220"/>
      <c r="X220"/>
      <c r="Y220"/>
      <c r="Z220"/>
      <c r="AA220"/>
      <c r="AB220"/>
      <c r="AC220"/>
      <c r="AD220"/>
      <c r="AE220"/>
      <c r="AF220"/>
      <c r="AG220"/>
      <c r="AH220"/>
    </row>
    <row r="221" spans="2:34" s="106" customFormat="1" x14ac:dyDescent="0.25">
      <c r="B221"/>
      <c r="C221"/>
      <c r="D221"/>
      <c r="E221" s="105"/>
      <c r="F221" s="105"/>
      <c r="H221"/>
      <c r="I221"/>
      <c r="J221"/>
      <c r="K221"/>
      <c r="L221"/>
      <c r="M221"/>
      <c r="N221"/>
      <c r="O221"/>
      <c r="P221"/>
      <c r="Q221"/>
      <c r="R221"/>
      <c r="S221"/>
      <c r="T221"/>
      <c r="U221"/>
      <c r="V221"/>
      <c r="W221"/>
      <c r="X221"/>
      <c r="Y221"/>
      <c r="Z221"/>
      <c r="AA221"/>
      <c r="AB221"/>
      <c r="AC221"/>
      <c r="AD221"/>
      <c r="AE221"/>
      <c r="AF221"/>
      <c r="AG221"/>
      <c r="AH221"/>
    </row>
    <row r="222" spans="2:34" s="106" customFormat="1" x14ac:dyDescent="0.25">
      <c r="B222"/>
      <c r="C222"/>
      <c r="D222"/>
      <c r="E222" s="105"/>
      <c r="F222" s="105"/>
      <c r="H222"/>
      <c r="I222"/>
      <c r="J222"/>
      <c r="K222"/>
      <c r="L222"/>
      <c r="M222"/>
      <c r="N222"/>
      <c r="O222"/>
      <c r="P222"/>
      <c r="Q222"/>
      <c r="R222"/>
      <c r="S222"/>
      <c r="T222"/>
      <c r="U222"/>
      <c r="V222"/>
      <c r="W222"/>
      <c r="X222"/>
      <c r="Y222"/>
      <c r="Z222"/>
      <c r="AA222"/>
      <c r="AB222"/>
      <c r="AC222"/>
      <c r="AD222"/>
      <c r="AE222"/>
      <c r="AF222"/>
      <c r="AG222"/>
      <c r="AH222"/>
    </row>
    <row r="223" spans="2:34" s="106" customFormat="1" x14ac:dyDescent="0.25">
      <c r="B223"/>
      <c r="C223"/>
      <c r="D223"/>
      <c r="E223" s="105"/>
      <c r="F223" s="105"/>
      <c r="H223"/>
      <c r="I223"/>
      <c r="J223"/>
      <c r="K223"/>
      <c r="L223"/>
      <c r="M223"/>
      <c r="N223"/>
      <c r="O223"/>
      <c r="P223"/>
      <c r="Q223"/>
      <c r="R223"/>
      <c r="S223"/>
      <c r="T223"/>
      <c r="U223"/>
      <c r="V223"/>
      <c r="W223"/>
      <c r="X223"/>
      <c r="Y223"/>
      <c r="Z223"/>
      <c r="AA223"/>
      <c r="AB223"/>
      <c r="AC223"/>
      <c r="AD223"/>
      <c r="AE223"/>
      <c r="AF223"/>
      <c r="AG223"/>
      <c r="AH223"/>
    </row>
    <row r="224" spans="2:34" s="106" customFormat="1" x14ac:dyDescent="0.25">
      <c r="B224"/>
      <c r="C224"/>
      <c r="D224"/>
      <c r="E224" s="105"/>
      <c r="F224" s="105"/>
      <c r="H224"/>
      <c r="I224"/>
      <c r="J224"/>
      <c r="K224"/>
      <c r="L224"/>
      <c r="M224"/>
      <c r="N224"/>
      <c r="O224"/>
      <c r="P224"/>
      <c r="Q224"/>
      <c r="R224"/>
      <c r="S224"/>
      <c r="T224"/>
      <c r="U224"/>
      <c r="V224"/>
      <c r="W224"/>
      <c r="X224"/>
      <c r="Y224"/>
      <c r="Z224"/>
      <c r="AA224"/>
      <c r="AB224"/>
      <c r="AC224"/>
      <c r="AD224"/>
      <c r="AE224"/>
      <c r="AF224"/>
      <c r="AG224"/>
      <c r="AH224"/>
    </row>
    <row r="225" spans="2:34" s="106" customFormat="1" x14ac:dyDescent="0.25">
      <c r="B225"/>
      <c r="C225"/>
      <c r="D225"/>
      <c r="E225" s="105"/>
      <c r="F225" s="105"/>
      <c r="H225"/>
      <c r="I225"/>
      <c r="J225"/>
      <c r="K225"/>
      <c r="L225"/>
      <c r="M225"/>
      <c r="N225"/>
      <c r="O225"/>
      <c r="P225"/>
      <c r="Q225"/>
      <c r="R225"/>
      <c r="S225"/>
      <c r="T225"/>
      <c r="U225"/>
      <c r="V225"/>
      <c r="W225"/>
      <c r="X225"/>
      <c r="Y225"/>
      <c r="Z225"/>
      <c r="AA225"/>
      <c r="AB225"/>
      <c r="AC225"/>
      <c r="AD225"/>
      <c r="AE225"/>
      <c r="AF225"/>
      <c r="AG225"/>
      <c r="AH225"/>
    </row>
    <row r="226" spans="2:34" s="106" customFormat="1" x14ac:dyDescent="0.25">
      <c r="B226"/>
      <c r="C226"/>
      <c r="D226"/>
      <c r="E226" s="105"/>
      <c r="F226" s="105"/>
      <c r="H226"/>
      <c r="I226"/>
      <c r="J226"/>
      <c r="K226"/>
      <c r="L226"/>
      <c r="M226"/>
      <c r="N226"/>
      <c r="O226"/>
      <c r="P226"/>
      <c r="Q226"/>
      <c r="R226"/>
      <c r="S226"/>
      <c r="T226"/>
      <c r="U226"/>
      <c r="V226"/>
      <c r="W226"/>
      <c r="X226"/>
      <c r="Y226"/>
      <c r="Z226"/>
      <c r="AA226"/>
      <c r="AB226"/>
      <c r="AC226"/>
      <c r="AD226"/>
      <c r="AE226"/>
      <c r="AF226"/>
      <c r="AG226"/>
      <c r="AH226"/>
    </row>
    <row r="227" spans="2:34" s="106" customFormat="1" x14ac:dyDescent="0.25">
      <c r="B227"/>
      <c r="C227"/>
      <c r="D227"/>
      <c r="E227" s="105"/>
      <c r="F227" s="105"/>
      <c r="H227"/>
      <c r="I227"/>
      <c r="J227"/>
      <c r="K227"/>
      <c r="L227"/>
      <c r="M227"/>
      <c r="N227"/>
      <c r="O227"/>
      <c r="P227"/>
      <c r="Q227"/>
      <c r="R227"/>
      <c r="S227"/>
      <c r="T227"/>
      <c r="U227"/>
      <c r="V227"/>
      <c r="W227"/>
      <c r="X227"/>
      <c r="Y227"/>
      <c r="Z227"/>
      <c r="AA227"/>
      <c r="AB227"/>
      <c r="AC227"/>
      <c r="AD227"/>
      <c r="AE227"/>
      <c r="AF227"/>
      <c r="AG227"/>
      <c r="AH227"/>
    </row>
    <row r="228" spans="2:34" s="106" customFormat="1" x14ac:dyDescent="0.25">
      <c r="B228"/>
      <c r="C228"/>
      <c r="D228"/>
      <c r="E228" s="105"/>
      <c r="F228" s="105"/>
      <c r="H228"/>
      <c r="I228"/>
      <c r="J228"/>
      <c r="K228"/>
      <c r="L228"/>
      <c r="M228"/>
      <c r="N228"/>
      <c r="O228"/>
      <c r="P228"/>
      <c r="Q228"/>
      <c r="R228"/>
      <c r="S228"/>
      <c r="T228"/>
      <c r="U228"/>
      <c r="V228"/>
      <c r="W228"/>
      <c r="X228"/>
      <c r="Y228"/>
      <c r="Z228"/>
      <c r="AA228"/>
      <c r="AB228"/>
      <c r="AC228"/>
      <c r="AD228"/>
      <c r="AE228"/>
      <c r="AF228"/>
      <c r="AG228"/>
      <c r="AH228"/>
    </row>
    <row r="229" spans="2:34" s="106" customFormat="1" x14ac:dyDescent="0.25">
      <c r="B229"/>
      <c r="C229"/>
      <c r="D229"/>
      <c r="E229" s="105"/>
      <c r="F229" s="105"/>
      <c r="H229"/>
      <c r="I229"/>
      <c r="J229"/>
      <c r="K229"/>
      <c r="L229"/>
      <c r="M229"/>
      <c r="N229"/>
      <c r="O229"/>
      <c r="P229"/>
      <c r="Q229"/>
      <c r="R229"/>
      <c r="S229"/>
      <c r="T229"/>
      <c r="U229"/>
      <c r="V229"/>
      <c r="W229"/>
      <c r="X229"/>
      <c r="Y229"/>
      <c r="Z229"/>
      <c r="AA229"/>
      <c r="AB229"/>
      <c r="AC229"/>
      <c r="AD229"/>
      <c r="AE229"/>
      <c r="AF229"/>
      <c r="AG229"/>
      <c r="AH229"/>
    </row>
    <row r="230" spans="2:34" s="106" customFormat="1" x14ac:dyDescent="0.25">
      <c r="B230"/>
      <c r="C230"/>
      <c r="D230"/>
      <c r="E230" s="105"/>
      <c r="F230" s="105"/>
      <c r="H230"/>
      <c r="I230"/>
      <c r="J230"/>
      <c r="K230"/>
      <c r="L230"/>
      <c r="M230"/>
      <c r="N230"/>
      <c r="O230"/>
      <c r="P230"/>
      <c r="Q230"/>
      <c r="R230"/>
      <c r="S230"/>
      <c r="T230"/>
      <c r="U230"/>
      <c r="V230"/>
      <c r="W230"/>
      <c r="X230"/>
      <c r="Y230"/>
      <c r="Z230"/>
      <c r="AA230"/>
      <c r="AB230"/>
      <c r="AC230"/>
      <c r="AD230"/>
      <c r="AE230"/>
      <c r="AF230"/>
      <c r="AG230"/>
      <c r="AH230"/>
    </row>
    <row r="231" spans="2:34" s="106" customFormat="1" x14ac:dyDescent="0.25">
      <c r="B231"/>
      <c r="C231"/>
      <c r="D231"/>
      <c r="E231" s="105"/>
      <c r="F231" s="105"/>
      <c r="H231"/>
      <c r="I231"/>
      <c r="J231"/>
      <c r="K231"/>
      <c r="L231"/>
      <c r="M231"/>
      <c r="N231"/>
      <c r="O231"/>
      <c r="P231"/>
      <c r="Q231"/>
      <c r="R231"/>
      <c r="S231"/>
      <c r="T231"/>
      <c r="U231"/>
      <c r="V231"/>
      <c r="W231"/>
      <c r="X231"/>
      <c r="Y231"/>
      <c r="Z231"/>
      <c r="AA231"/>
      <c r="AB231"/>
      <c r="AC231"/>
      <c r="AD231"/>
      <c r="AE231"/>
      <c r="AF231"/>
      <c r="AG231"/>
      <c r="AH231"/>
    </row>
    <row r="232" spans="2:34" s="106" customFormat="1" x14ac:dyDescent="0.25">
      <c r="B232"/>
      <c r="C232"/>
      <c r="D232"/>
      <c r="E232" s="105"/>
      <c r="F232" s="105"/>
      <c r="H232"/>
      <c r="I232"/>
      <c r="J232"/>
      <c r="K232"/>
      <c r="L232"/>
      <c r="M232"/>
      <c r="N232"/>
      <c r="O232"/>
      <c r="P232"/>
      <c r="Q232"/>
      <c r="R232"/>
      <c r="S232"/>
      <c r="T232"/>
      <c r="U232"/>
      <c r="V232"/>
      <c r="W232"/>
      <c r="X232"/>
      <c r="Y232"/>
      <c r="Z232"/>
      <c r="AA232"/>
      <c r="AB232"/>
      <c r="AC232"/>
      <c r="AD232"/>
      <c r="AE232"/>
      <c r="AF232"/>
      <c r="AG232"/>
      <c r="AH232"/>
    </row>
    <row r="233" spans="2:34" s="106" customFormat="1" x14ac:dyDescent="0.25">
      <c r="B233"/>
      <c r="C233"/>
      <c r="D233"/>
      <c r="E233" s="105"/>
      <c r="F233" s="105"/>
      <c r="H233"/>
      <c r="I233"/>
      <c r="J233"/>
      <c r="K233"/>
      <c r="L233"/>
      <c r="M233"/>
      <c r="N233"/>
      <c r="O233"/>
      <c r="P233"/>
      <c r="Q233"/>
      <c r="R233"/>
      <c r="S233"/>
      <c r="T233"/>
      <c r="U233"/>
      <c r="V233"/>
      <c r="W233"/>
      <c r="X233"/>
      <c r="Y233"/>
      <c r="Z233"/>
      <c r="AA233"/>
      <c r="AB233"/>
      <c r="AC233"/>
      <c r="AD233"/>
      <c r="AE233"/>
      <c r="AF233"/>
      <c r="AG233"/>
      <c r="AH233"/>
    </row>
    <row r="234" spans="2:34" s="106" customFormat="1" x14ac:dyDescent="0.25">
      <c r="B234"/>
      <c r="C234"/>
      <c r="D234"/>
      <c r="E234" s="105"/>
      <c r="F234" s="105"/>
      <c r="H234"/>
      <c r="I234"/>
      <c r="J234"/>
      <c r="K234"/>
      <c r="L234"/>
      <c r="M234"/>
      <c r="N234"/>
      <c r="O234"/>
      <c r="P234"/>
      <c r="Q234"/>
      <c r="R234"/>
      <c r="S234"/>
      <c r="T234"/>
      <c r="U234"/>
      <c r="V234"/>
      <c r="W234"/>
      <c r="X234"/>
      <c r="Y234"/>
      <c r="Z234"/>
      <c r="AA234"/>
      <c r="AB234"/>
      <c r="AC234"/>
      <c r="AD234"/>
      <c r="AE234"/>
      <c r="AF234"/>
      <c r="AG234"/>
      <c r="AH234"/>
    </row>
    <row r="235" spans="2:34" s="106" customFormat="1" x14ac:dyDescent="0.25">
      <c r="B235"/>
      <c r="C235"/>
      <c r="D235"/>
      <c r="E235" s="105"/>
      <c r="F235" s="105"/>
      <c r="H235"/>
      <c r="I235"/>
      <c r="J235"/>
      <c r="K235"/>
      <c r="L235"/>
      <c r="M235"/>
      <c r="N235"/>
      <c r="O235"/>
      <c r="P235"/>
      <c r="Q235"/>
      <c r="R235"/>
      <c r="S235"/>
      <c r="T235"/>
      <c r="U235"/>
      <c r="V235"/>
      <c r="W235"/>
      <c r="X235"/>
      <c r="Y235"/>
      <c r="Z235"/>
      <c r="AA235"/>
      <c r="AB235"/>
      <c r="AC235"/>
      <c r="AD235"/>
      <c r="AE235"/>
      <c r="AF235"/>
      <c r="AG235"/>
      <c r="AH235"/>
    </row>
    <row r="236" spans="2:34" s="106" customFormat="1" x14ac:dyDescent="0.25">
      <c r="B236"/>
      <c r="C236"/>
      <c r="D236"/>
      <c r="E236" s="105"/>
      <c r="F236" s="105"/>
      <c r="H236"/>
      <c r="I236"/>
      <c r="J236"/>
      <c r="K236"/>
      <c r="L236"/>
      <c r="M236"/>
      <c r="N236"/>
      <c r="O236"/>
      <c r="P236"/>
      <c r="Q236"/>
      <c r="R236"/>
      <c r="S236"/>
      <c r="T236"/>
      <c r="U236"/>
      <c r="V236"/>
      <c r="W236"/>
      <c r="X236"/>
      <c r="Y236"/>
      <c r="Z236"/>
      <c r="AA236"/>
      <c r="AB236"/>
      <c r="AC236"/>
      <c r="AD236"/>
      <c r="AE236"/>
      <c r="AF236"/>
      <c r="AG236"/>
      <c r="AH236"/>
    </row>
    <row r="237" spans="2:34" s="106" customFormat="1" x14ac:dyDescent="0.25">
      <c r="B237"/>
      <c r="C237"/>
      <c r="D237"/>
      <c r="E237" s="105"/>
      <c r="F237" s="105"/>
      <c r="H237"/>
      <c r="I237"/>
      <c r="J237"/>
      <c r="K237"/>
      <c r="L237"/>
      <c r="M237"/>
      <c r="N237"/>
      <c r="O237"/>
      <c r="P237"/>
      <c r="Q237"/>
      <c r="R237"/>
      <c r="S237"/>
      <c r="T237"/>
      <c r="U237"/>
      <c r="V237"/>
      <c r="W237"/>
      <c r="X237"/>
      <c r="Y237"/>
      <c r="Z237"/>
      <c r="AA237"/>
      <c r="AB237"/>
      <c r="AC237"/>
      <c r="AD237"/>
      <c r="AE237"/>
      <c r="AF237"/>
      <c r="AG237"/>
      <c r="AH237"/>
    </row>
    <row r="238" spans="2:34" s="106" customFormat="1" x14ac:dyDescent="0.25">
      <c r="B238"/>
      <c r="C238"/>
      <c r="D238"/>
      <c r="E238" s="105"/>
      <c r="F238" s="105"/>
      <c r="H238"/>
      <c r="I238"/>
      <c r="J238"/>
      <c r="K238"/>
      <c r="L238"/>
      <c r="M238"/>
      <c r="N238"/>
      <c r="O238"/>
      <c r="P238"/>
      <c r="Q238"/>
      <c r="R238"/>
      <c r="S238"/>
      <c r="T238"/>
      <c r="U238"/>
      <c r="V238"/>
      <c r="W238"/>
      <c r="X238"/>
      <c r="Y238"/>
      <c r="Z238"/>
      <c r="AA238"/>
      <c r="AB238"/>
      <c r="AC238"/>
      <c r="AD238"/>
      <c r="AE238"/>
      <c r="AF238"/>
      <c r="AG238"/>
      <c r="AH238"/>
    </row>
    <row r="239" spans="2:34" s="106" customFormat="1" x14ac:dyDescent="0.25">
      <c r="B239"/>
      <c r="C239"/>
      <c r="D239"/>
      <c r="E239" s="105"/>
      <c r="F239" s="105"/>
      <c r="H239"/>
      <c r="I239"/>
      <c r="J239"/>
      <c r="K239"/>
      <c r="L239"/>
      <c r="M239"/>
      <c r="N239"/>
      <c r="O239"/>
      <c r="P239"/>
      <c r="Q239"/>
      <c r="R239"/>
      <c r="S239"/>
      <c r="T239"/>
      <c r="U239"/>
      <c r="V239"/>
      <c r="W239"/>
      <c r="X239"/>
      <c r="Y239"/>
      <c r="Z239"/>
      <c r="AA239"/>
      <c r="AB239"/>
      <c r="AC239"/>
      <c r="AD239"/>
      <c r="AE239"/>
      <c r="AF239"/>
      <c r="AG239"/>
      <c r="AH239"/>
    </row>
    <row r="240" spans="2:34" s="106" customFormat="1" x14ac:dyDescent="0.25">
      <c r="B240"/>
      <c r="C240"/>
      <c r="D240"/>
      <c r="E240" s="105"/>
      <c r="F240" s="105"/>
      <c r="H240"/>
      <c r="I240"/>
      <c r="J240"/>
      <c r="K240"/>
      <c r="L240"/>
      <c r="M240"/>
      <c r="N240"/>
      <c r="O240"/>
      <c r="P240"/>
      <c r="Q240"/>
      <c r="R240"/>
      <c r="S240"/>
      <c r="T240"/>
      <c r="U240"/>
      <c r="V240"/>
      <c r="W240"/>
      <c r="X240"/>
      <c r="Y240"/>
      <c r="Z240"/>
      <c r="AA240"/>
      <c r="AB240"/>
      <c r="AC240"/>
      <c r="AD240"/>
      <c r="AE240"/>
      <c r="AF240"/>
      <c r="AG240"/>
      <c r="AH240"/>
    </row>
    <row r="241" spans="2:34" s="106" customFormat="1" x14ac:dyDescent="0.25">
      <c r="B241"/>
      <c r="C241"/>
      <c r="D241"/>
      <c r="E241" s="105"/>
      <c r="F241" s="105"/>
      <c r="H241"/>
      <c r="I241"/>
      <c r="J241"/>
      <c r="K241"/>
      <c r="L241"/>
      <c r="M241"/>
      <c r="N241"/>
      <c r="O241"/>
      <c r="P241"/>
      <c r="Q241"/>
      <c r="R241"/>
      <c r="S241"/>
      <c r="T241"/>
      <c r="U241"/>
      <c r="V241"/>
      <c r="W241"/>
      <c r="X241"/>
      <c r="Y241"/>
      <c r="Z241"/>
      <c r="AA241"/>
      <c r="AB241"/>
      <c r="AC241"/>
      <c r="AD241"/>
      <c r="AE241"/>
      <c r="AF241"/>
      <c r="AG241"/>
      <c r="AH241"/>
    </row>
    <row r="242" spans="2:34" s="106" customFormat="1" x14ac:dyDescent="0.25">
      <c r="B242"/>
      <c r="C242"/>
      <c r="D242"/>
      <c r="E242" s="105"/>
      <c r="F242" s="105"/>
      <c r="H242"/>
      <c r="I242"/>
      <c r="J242"/>
      <c r="K242"/>
      <c r="L242"/>
      <c r="M242"/>
      <c r="N242"/>
      <c r="O242"/>
      <c r="P242"/>
      <c r="Q242"/>
      <c r="R242"/>
      <c r="S242"/>
      <c r="T242"/>
      <c r="U242"/>
      <c r="V242"/>
      <c r="W242"/>
      <c r="X242"/>
      <c r="Y242"/>
      <c r="Z242"/>
      <c r="AA242"/>
      <c r="AB242"/>
      <c r="AC242"/>
      <c r="AD242"/>
      <c r="AE242"/>
      <c r="AF242"/>
      <c r="AG242"/>
      <c r="AH242"/>
    </row>
    <row r="243" spans="2:34" s="106" customFormat="1" x14ac:dyDescent="0.25">
      <c r="B243"/>
      <c r="C243"/>
      <c r="D243"/>
      <c r="E243" s="105"/>
      <c r="F243" s="105"/>
      <c r="H243"/>
      <c r="I243"/>
      <c r="J243"/>
      <c r="K243"/>
      <c r="L243"/>
      <c r="M243"/>
      <c r="N243"/>
      <c r="O243"/>
      <c r="P243"/>
      <c r="Q243"/>
      <c r="R243"/>
      <c r="S243"/>
      <c r="T243"/>
      <c r="U243"/>
      <c r="V243"/>
      <c r="W243"/>
      <c r="X243"/>
      <c r="Y243"/>
      <c r="Z243"/>
      <c r="AA243"/>
      <c r="AB243"/>
      <c r="AC243"/>
      <c r="AD243"/>
      <c r="AE243"/>
      <c r="AF243"/>
      <c r="AG243"/>
      <c r="AH243"/>
    </row>
    <row r="244" spans="2:34" s="106" customFormat="1" x14ac:dyDescent="0.25">
      <c r="B244"/>
      <c r="C244"/>
      <c r="D244"/>
      <c r="E244" s="105"/>
      <c r="F244" s="105"/>
      <c r="H244"/>
      <c r="I244"/>
      <c r="J244"/>
      <c r="K244"/>
      <c r="L244"/>
      <c r="M244"/>
      <c r="N244"/>
      <c r="O244"/>
      <c r="P244"/>
      <c r="Q244"/>
      <c r="R244"/>
      <c r="S244"/>
      <c r="T244"/>
      <c r="U244"/>
      <c r="V244"/>
      <c r="W244"/>
      <c r="X244"/>
      <c r="Y244"/>
      <c r="Z244"/>
      <c r="AA244"/>
      <c r="AB244"/>
      <c r="AC244"/>
      <c r="AD244"/>
      <c r="AE244"/>
      <c r="AF244"/>
      <c r="AG244"/>
      <c r="AH244"/>
    </row>
    <row r="245" spans="2:34" s="106" customFormat="1" x14ac:dyDescent="0.25">
      <c r="B245"/>
      <c r="C245"/>
      <c r="D245"/>
      <c r="E245" s="105"/>
      <c r="F245" s="105"/>
      <c r="H245"/>
      <c r="I245"/>
      <c r="J245"/>
      <c r="K245"/>
      <c r="L245"/>
      <c r="M245"/>
      <c r="N245"/>
      <c r="O245"/>
      <c r="P245"/>
      <c r="Q245"/>
      <c r="R245"/>
      <c r="S245"/>
      <c r="T245"/>
      <c r="U245"/>
      <c r="V245"/>
      <c r="W245"/>
      <c r="X245"/>
      <c r="Y245"/>
      <c r="Z245"/>
      <c r="AA245"/>
      <c r="AB245"/>
      <c r="AC245"/>
      <c r="AD245"/>
      <c r="AE245"/>
      <c r="AF245"/>
      <c r="AG245"/>
      <c r="AH245"/>
    </row>
    <row r="246" spans="2:34" s="106" customFormat="1" x14ac:dyDescent="0.25">
      <c r="B246"/>
      <c r="C246"/>
      <c r="D246"/>
      <c r="E246" s="105"/>
      <c r="F246" s="105"/>
      <c r="H246"/>
      <c r="I246"/>
      <c r="J246"/>
      <c r="K246"/>
      <c r="L246"/>
      <c r="M246"/>
      <c r="N246"/>
      <c r="O246"/>
      <c r="P246"/>
      <c r="Q246"/>
      <c r="R246"/>
      <c r="S246"/>
      <c r="T246"/>
      <c r="U246"/>
      <c r="V246"/>
      <c r="W246"/>
      <c r="X246"/>
      <c r="Y246"/>
      <c r="Z246"/>
      <c r="AA246"/>
      <c r="AB246"/>
      <c r="AC246"/>
      <c r="AD246"/>
      <c r="AE246"/>
      <c r="AF246"/>
      <c r="AG246"/>
      <c r="AH246"/>
    </row>
    <row r="247" spans="2:34" s="106" customFormat="1" x14ac:dyDescent="0.25">
      <c r="B247"/>
      <c r="C247"/>
      <c r="D247"/>
      <c r="E247" s="105"/>
      <c r="F247" s="105"/>
      <c r="H247"/>
      <c r="I247"/>
      <c r="J247"/>
      <c r="K247"/>
      <c r="L247"/>
      <c r="M247"/>
      <c r="N247"/>
      <c r="O247"/>
      <c r="P247"/>
      <c r="Q247"/>
      <c r="R247"/>
      <c r="S247"/>
      <c r="T247"/>
      <c r="U247"/>
      <c r="V247"/>
      <c r="W247"/>
      <c r="X247"/>
      <c r="Y247"/>
      <c r="Z247"/>
      <c r="AA247"/>
      <c r="AB247"/>
      <c r="AC247"/>
      <c r="AD247"/>
      <c r="AE247"/>
      <c r="AF247"/>
      <c r="AG247"/>
      <c r="AH247"/>
    </row>
    <row r="248" spans="2:34" s="106" customFormat="1" x14ac:dyDescent="0.25">
      <c r="B248"/>
      <c r="C248"/>
      <c r="D248"/>
      <c r="E248" s="105"/>
      <c r="F248" s="105"/>
      <c r="H248"/>
      <c r="I248"/>
      <c r="J248"/>
      <c r="K248"/>
      <c r="L248"/>
      <c r="M248"/>
      <c r="N248"/>
      <c r="O248"/>
      <c r="P248"/>
      <c r="Q248"/>
      <c r="R248"/>
      <c r="S248"/>
      <c r="T248"/>
      <c r="U248"/>
      <c r="V248"/>
      <c r="W248"/>
      <c r="X248"/>
      <c r="Y248"/>
      <c r="Z248"/>
      <c r="AA248"/>
      <c r="AB248"/>
      <c r="AC248"/>
      <c r="AD248"/>
      <c r="AE248"/>
      <c r="AF248"/>
      <c r="AG248"/>
      <c r="AH248"/>
    </row>
    <row r="249" spans="2:34" s="106" customFormat="1" x14ac:dyDescent="0.25">
      <c r="B249"/>
      <c r="C249"/>
      <c r="D249"/>
      <c r="E249" s="105"/>
      <c r="F249" s="105"/>
      <c r="H249"/>
      <c r="I249"/>
      <c r="J249"/>
      <c r="K249"/>
      <c r="L249"/>
      <c r="M249"/>
      <c r="N249"/>
      <c r="O249"/>
      <c r="P249"/>
      <c r="Q249"/>
      <c r="R249"/>
      <c r="S249"/>
      <c r="T249"/>
      <c r="U249"/>
      <c r="V249"/>
      <c r="W249"/>
      <c r="X249"/>
      <c r="Y249"/>
      <c r="Z249"/>
      <c r="AA249"/>
      <c r="AB249"/>
      <c r="AC249"/>
      <c r="AD249"/>
      <c r="AE249"/>
      <c r="AF249"/>
      <c r="AG249"/>
      <c r="AH249"/>
    </row>
    <row r="250" spans="2:34" s="106" customFormat="1" x14ac:dyDescent="0.25">
      <c r="B250"/>
      <c r="C250"/>
      <c r="D250"/>
      <c r="E250" s="105"/>
      <c r="F250" s="105"/>
      <c r="H250"/>
      <c r="I250"/>
      <c r="J250"/>
      <c r="K250"/>
      <c r="L250"/>
      <c r="M250"/>
      <c r="N250"/>
      <c r="O250"/>
      <c r="P250"/>
      <c r="Q250"/>
      <c r="R250"/>
      <c r="S250"/>
      <c r="T250"/>
      <c r="U250"/>
      <c r="V250"/>
      <c r="W250"/>
      <c r="X250"/>
      <c r="Y250"/>
      <c r="Z250"/>
      <c r="AA250"/>
      <c r="AB250"/>
      <c r="AC250"/>
      <c r="AD250"/>
      <c r="AE250"/>
      <c r="AF250"/>
      <c r="AG250"/>
      <c r="AH250"/>
    </row>
    <row r="251" spans="2:34" s="106" customFormat="1" x14ac:dyDescent="0.25">
      <c r="B251"/>
      <c r="C251"/>
      <c r="D251"/>
      <c r="E251" s="105"/>
      <c r="F251" s="105"/>
      <c r="H251"/>
      <c r="I251"/>
      <c r="J251"/>
      <c r="K251"/>
      <c r="L251"/>
      <c r="M251"/>
      <c r="N251"/>
      <c r="O251"/>
      <c r="P251"/>
      <c r="Q251"/>
      <c r="R251"/>
      <c r="S251"/>
      <c r="T251"/>
      <c r="U251"/>
      <c r="V251"/>
      <c r="W251"/>
      <c r="X251"/>
      <c r="Y251"/>
      <c r="Z251"/>
      <c r="AA251"/>
      <c r="AB251"/>
      <c r="AC251"/>
      <c r="AD251"/>
      <c r="AE251"/>
      <c r="AF251"/>
      <c r="AG251"/>
      <c r="AH251"/>
    </row>
    <row r="252" spans="2:34" s="106" customFormat="1" x14ac:dyDescent="0.25">
      <c r="B252"/>
      <c r="C252"/>
      <c r="D252"/>
      <c r="E252" s="105"/>
      <c r="F252" s="105"/>
      <c r="H252"/>
      <c r="I252"/>
      <c r="J252"/>
      <c r="K252"/>
      <c r="L252"/>
      <c r="M252"/>
      <c r="N252"/>
      <c r="O252"/>
      <c r="P252"/>
      <c r="Q252"/>
      <c r="R252"/>
      <c r="S252"/>
      <c r="T252"/>
      <c r="U252"/>
      <c r="V252"/>
      <c r="W252"/>
      <c r="X252"/>
      <c r="Y252"/>
      <c r="Z252"/>
      <c r="AA252"/>
      <c r="AB252"/>
      <c r="AC252"/>
      <c r="AD252"/>
      <c r="AE252"/>
      <c r="AF252"/>
      <c r="AG252"/>
      <c r="AH252"/>
    </row>
    <row r="253" spans="2:34" s="106" customFormat="1" x14ac:dyDescent="0.25">
      <c r="B253"/>
      <c r="C253"/>
      <c r="D253"/>
      <c r="E253" s="105"/>
      <c r="F253" s="105"/>
      <c r="H253"/>
      <c r="I253"/>
      <c r="J253"/>
      <c r="K253"/>
      <c r="L253"/>
      <c r="M253"/>
      <c r="N253"/>
      <c r="O253"/>
      <c r="P253"/>
      <c r="Q253"/>
      <c r="R253"/>
      <c r="S253"/>
      <c r="T253"/>
      <c r="U253"/>
      <c r="V253"/>
      <c r="W253"/>
      <c r="X253"/>
      <c r="Y253"/>
      <c r="Z253"/>
      <c r="AA253"/>
      <c r="AB253"/>
      <c r="AC253"/>
      <c r="AD253"/>
      <c r="AE253"/>
      <c r="AF253"/>
      <c r="AG253"/>
      <c r="AH253"/>
    </row>
    <row r="254" spans="2:34" s="106" customFormat="1" x14ac:dyDescent="0.25">
      <c r="B254"/>
      <c r="C254"/>
      <c r="D254"/>
      <c r="E254" s="105"/>
      <c r="F254" s="105"/>
      <c r="H254"/>
      <c r="I254"/>
      <c r="J254"/>
      <c r="K254"/>
      <c r="L254"/>
      <c r="M254"/>
      <c r="N254"/>
      <c r="O254"/>
      <c r="P254"/>
      <c r="Q254"/>
      <c r="R254"/>
      <c r="S254"/>
      <c r="T254"/>
      <c r="U254"/>
      <c r="V254"/>
      <c r="W254"/>
      <c r="X254"/>
      <c r="Y254"/>
      <c r="Z254"/>
      <c r="AA254"/>
      <c r="AB254"/>
      <c r="AC254"/>
      <c r="AD254"/>
      <c r="AE254"/>
      <c r="AF254"/>
      <c r="AG254"/>
      <c r="AH254"/>
    </row>
    <row r="255" spans="2:34" s="106" customFormat="1" x14ac:dyDescent="0.25">
      <c r="B255"/>
      <c r="C255"/>
      <c r="D255"/>
      <c r="E255" s="105"/>
      <c r="F255" s="105"/>
      <c r="H255"/>
      <c r="I255"/>
      <c r="J255"/>
      <c r="K255"/>
      <c r="L255"/>
      <c r="M255"/>
      <c r="N255"/>
      <c r="O255"/>
      <c r="P255"/>
      <c r="Q255"/>
      <c r="R255"/>
      <c r="S255"/>
      <c r="T255"/>
      <c r="U255"/>
      <c r="V255"/>
      <c r="W255"/>
      <c r="X255"/>
      <c r="Y255"/>
      <c r="Z255"/>
      <c r="AA255"/>
      <c r="AB255"/>
      <c r="AC255"/>
      <c r="AD255"/>
      <c r="AE255"/>
      <c r="AF255"/>
      <c r="AG255"/>
      <c r="AH255"/>
    </row>
    <row r="256" spans="2:34" s="106" customFormat="1" x14ac:dyDescent="0.25">
      <c r="B256"/>
      <c r="C256"/>
      <c r="D256"/>
      <c r="E256" s="105"/>
      <c r="F256" s="105"/>
      <c r="H256"/>
      <c r="I256"/>
      <c r="J256"/>
      <c r="K256"/>
      <c r="L256"/>
      <c r="M256"/>
      <c r="N256"/>
      <c r="O256"/>
      <c r="P256"/>
      <c r="Q256"/>
      <c r="R256"/>
      <c r="S256"/>
      <c r="T256"/>
      <c r="U256"/>
      <c r="V256"/>
      <c r="W256"/>
      <c r="X256"/>
      <c r="Y256"/>
      <c r="Z256"/>
      <c r="AA256"/>
      <c r="AB256"/>
      <c r="AC256"/>
      <c r="AD256"/>
      <c r="AE256"/>
      <c r="AF256"/>
      <c r="AG256"/>
      <c r="AH256"/>
    </row>
    <row r="257" spans="2:34" s="106" customFormat="1" x14ac:dyDescent="0.25">
      <c r="B257"/>
      <c r="C257"/>
      <c r="D257"/>
      <c r="E257" s="105"/>
      <c r="F257" s="105"/>
      <c r="H257"/>
      <c r="I257"/>
      <c r="J257"/>
      <c r="K257"/>
      <c r="L257"/>
      <c r="M257"/>
      <c r="N257"/>
      <c r="O257"/>
      <c r="P257"/>
      <c r="Q257"/>
      <c r="R257"/>
      <c r="S257"/>
      <c r="T257"/>
      <c r="U257"/>
      <c r="V257"/>
      <c r="W257"/>
      <c r="X257"/>
      <c r="Y257"/>
      <c r="Z257"/>
      <c r="AA257"/>
      <c r="AB257"/>
      <c r="AC257"/>
      <c r="AD257"/>
      <c r="AE257"/>
      <c r="AF257"/>
      <c r="AG257"/>
      <c r="AH257"/>
    </row>
    <row r="258" spans="2:34" s="106" customFormat="1" x14ac:dyDescent="0.25">
      <c r="B258"/>
      <c r="C258"/>
      <c r="D258"/>
      <c r="E258" s="105"/>
      <c r="F258" s="105"/>
      <c r="H258"/>
      <c r="I258"/>
      <c r="J258"/>
      <c r="K258"/>
      <c r="L258"/>
      <c r="M258"/>
      <c r="N258"/>
      <c r="O258"/>
      <c r="P258"/>
      <c r="Q258"/>
      <c r="R258"/>
      <c r="S258"/>
      <c r="T258"/>
      <c r="U258"/>
      <c r="V258"/>
      <c r="W258"/>
      <c r="X258"/>
      <c r="Y258"/>
      <c r="Z258"/>
      <c r="AA258"/>
      <c r="AB258"/>
      <c r="AC258"/>
      <c r="AD258"/>
      <c r="AE258"/>
      <c r="AF258"/>
      <c r="AG258"/>
      <c r="AH258"/>
    </row>
    <row r="259" spans="2:34" s="106" customFormat="1" x14ac:dyDescent="0.25">
      <c r="B259"/>
      <c r="C259"/>
      <c r="D259"/>
      <c r="E259" s="105"/>
      <c r="F259" s="105"/>
      <c r="H259"/>
      <c r="I259"/>
      <c r="J259"/>
      <c r="K259"/>
      <c r="L259"/>
      <c r="M259"/>
      <c r="N259"/>
      <c r="O259"/>
      <c r="P259"/>
      <c r="Q259"/>
      <c r="R259"/>
      <c r="S259"/>
      <c r="T259"/>
      <c r="U259"/>
      <c r="V259"/>
      <c r="W259"/>
      <c r="X259"/>
      <c r="Y259"/>
      <c r="Z259"/>
      <c r="AA259"/>
      <c r="AB259"/>
      <c r="AC259"/>
      <c r="AD259"/>
      <c r="AE259"/>
      <c r="AF259"/>
      <c r="AG259"/>
      <c r="AH259"/>
    </row>
    <row r="260" spans="2:34" s="106" customFormat="1" x14ac:dyDescent="0.25">
      <c r="B260"/>
      <c r="C260"/>
      <c r="D260"/>
      <c r="E260" s="105"/>
      <c r="F260" s="105"/>
      <c r="H260"/>
      <c r="I260"/>
      <c r="J260"/>
      <c r="K260"/>
      <c r="L260"/>
      <c r="M260"/>
      <c r="N260"/>
      <c r="O260"/>
      <c r="P260"/>
      <c r="Q260"/>
      <c r="R260"/>
      <c r="S260"/>
      <c r="T260"/>
      <c r="U260"/>
      <c r="V260"/>
      <c r="W260"/>
      <c r="X260"/>
      <c r="Y260"/>
      <c r="Z260"/>
      <c r="AA260"/>
      <c r="AB260"/>
      <c r="AC260"/>
      <c r="AD260"/>
      <c r="AE260"/>
      <c r="AF260"/>
      <c r="AG260"/>
      <c r="AH260"/>
    </row>
    <row r="261" spans="2:34" s="106" customFormat="1" x14ac:dyDescent="0.25">
      <c r="B261"/>
      <c r="C261"/>
      <c r="D261"/>
      <c r="E261" s="105"/>
      <c r="F261" s="105"/>
      <c r="H261"/>
      <c r="I261"/>
      <c r="J261"/>
      <c r="K261"/>
      <c r="L261"/>
      <c r="M261"/>
      <c r="N261"/>
      <c r="O261"/>
      <c r="P261"/>
      <c r="Q261"/>
      <c r="R261"/>
      <c r="S261"/>
      <c r="T261"/>
      <c r="U261"/>
      <c r="V261"/>
      <c r="W261"/>
      <c r="X261"/>
      <c r="Y261"/>
      <c r="Z261"/>
      <c r="AA261"/>
      <c r="AB261"/>
      <c r="AC261"/>
      <c r="AD261"/>
      <c r="AE261"/>
      <c r="AF261"/>
      <c r="AG261"/>
      <c r="AH261"/>
    </row>
    <row r="262" spans="2:34" s="106" customFormat="1" x14ac:dyDescent="0.25">
      <c r="B262"/>
      <c r="C262"/>
      <c r="D262"/>
      <c r="E262" s="105"/>
      <c r="F262" s="105"/>
      <c r="H262"/>
      <c r="I262"/>
      <c r="J262"/>
      <c r="K262"/>
      <c r="L262"/>
      <c r="M262"/>
      <c r="N262"/>
      <c r="O262"/>
      <c r="P262"/>
      <c r="Q262"/>
      <c r="R262"/>
      <c r="S262"/>
      <c r="T262"/>
      <c r="U262"/>
      <c r="V262"/>
      <c r="W262"/>
      <c r="X262"/>
      <c r="Y262"/>
      <c r="Z262"/>
      <c r="AA262"/>
      <c r="AB262"/>
      <c r="AC262"/>
      <c r="AD262"/>
      <c r="AE262"/>
      <c r="AF262"/>
      <c r="AG262"/>
      <c r="AH262"/>
    </row>
    <row r="263" spans="2:34" s="106" customFormat="1" x14ac:dyDescent="0.25">
      <c r="B263"/>
      <c r="C263"/>
      <c r="D263"/>
      <c r="E263" s="105"/>
      <c r="F263" s="105"/>
      <c r="H263"/>
      <c r="I263"/>
      <c r="J263"/>
      <c r="K263"/>
      <c r="L263"/>
      <c r="M263"/>
      <c r="N263"/>
      <c r="O263"/>
      <c r="P263"/>
      <c r="Q263"/>
      <c r="R263"/>
      <c r="S263"/>
      <c r="T263"/>
      <c r="U263"/>
      <c r="V263"/>
      <c r="W263"/>
      <c r="X263"/>
      <c r="Y263"/>
      <c r="Z263"/>
      <c r="AA263"/>
      <c r="AB263"/>
      <c r="AC263"/>
      <c r="AD263"/>
      <c r="AE263"/>
      <c r="AF263"/>
      <c r="AG263"/>
      <c r="AH263"/>
    </row>
    <row r="264" spans="2:34" s="106" customFormat="1" x14ac:dyDescent="0.25">
      <c r="B264"/>
      <c r="C264"/>
      <c r="D264"/>
      <c r="E264" s="105"/>
      <c r="F264" s="105"/>
      <c r="H264"/>
      <c r="I264"/>
      <c r="J264"/>
      <c r="K264"/>
      <c r="L264"/>
      <c r="M264"/>
      <c r="N264"/>
      <c r="O264"/>
      <c r="P264"/>
      <c r="Q264"/>
      <c r="R264"/>
      <c r="S264"/>
      <c r="T264"/>
      <c r="U264"/>
      <c r="V264"/>
      <c r="W264"/>
      <c r="X264"/>
      <c r="Y264"/>
      <c r="Z264"/>
      <c r="AA264"/>
      <c r="AB264"/>
      <c r="AC264"/>
      <c r="AD264"/>
      <c r="AE264"/>
      <c r="AF264"/>
      <c r="AG264"/>
      <c r="AH264"/>
    </row>
    <row r="265" spans="2:34" s="106" customFormat="1" x14ac:dyDescent="0.25">
      <c r="B265"/>
      <c r="C265"/>
      <c r="D265"/>
      <c r="E265" s="105"/>
      <c r="F265" s="105"/>
      <c r="H265"/>
      <c r="I265"/>
      <c r="J265"/>
      <c r="K265"/>
      <c r="L265"/>
      <c r="M265"/>
      <c r="N265"/>
      <c r="O265"/>
      <c r="P265"/>
      <c r="Q265"/>
      <c r="R265"/>
      <c r="S265"/>
      <c r="T265"/>
      <c r="U265"/>
      <c r="V265"/>
      <c r="W265"/>
      <c r="X265"/>
      <c r="Y265"/>
      <c r="Z265"/>
      <c r="AA265"/>
      <c r="AB265"/>
      <c r="AC265"/>
      <c r="AD265"/>
      <c r="AE265"/>
      <c r="AF265"/>
      <c r="AG265"/>
      <c r="AH265"/>
    </row>
    <row r="266" spans="2:34" s="106" customFormat="1" x14ac:dyDescent="0.25">
      <c r="B266"/>
      <c r="C266"/>
      <c r="D266"/>
      <c r="E266" s="105"/>
      <c r="F266" s="105"/>
      <c r="H266"/>
      <c r="I266"/>
      <c r="J266"/>
      <c r="K266"/>
      <c r="L266"/>
      <c r="M266"/>
      <c r="N266"/>
      <c r="O266"/>
      <c r="P266"/>
      <c r="Q266"/>
      <c r="R266"/>
      <c r="S266"/>
      <c r="T266"/>
      <c r="U266"/>
      <c r="V266"/>
      <c r="W266"/>
      <c r="X266"/>
      <c r="Y266"/>
      <c r="Z266"/>
      <c r="AA266"/>
      <c r="AB266"/>
      <c r="AC266"/>
      <c r="AD266"/>
      <c r="AE266"/>
      <c r="AF266"/>
      <c r="AG266"/>
      <c r="AH266"/>
    </row>
    <row r="267" spans="2:34" s="106" customFormat="1" x14ac:dyDescent="0.25">
      <c r="B267"/>
      <c r="C267"/>
      <c r="D267"/>
      <c r="E267" s="105"/>
      <c r="F267" s="105"/>
      <c r="H267"/>
      <c r="I267"/>
      <c r="J267"/>
      <c r="K267"/>
      <c r="L267"/>
      <c r="M267"/>
      <c r="N267"/>
      <c r="O267"/>
      <c r="P267"/>
      <c r="Q267"/>
      <c r="R267"/>
      <c r="S267"/>
      <c r="T267"/>
      <c r="U267"/>
      <c r="V267"/>
      <c r="W267"/>
      <c r="X267"/>
      <c r="Y267"/>
      <c r="Z267"/>
      <c r="AA267"/>
      <c r="AB267"/>
      <c r="AC267"/>
      <c r="AD267"/>
      <c r="AE267"/>
      <c r="AF267"/>
      <c r="AG267"/>
      <c r="AH267"/>
    </row>
    <row r="268" spans="2:34" s="106" customFormat="1" x14ac:dyDescent="0.25">
      <c r="B268"/>
      <c r="C268"/>
      <c r="D268"/>
      <c r="E268" s="105"/>
      <c r="F268" s="105"/>
      <c r="H268"/>
      <c r="I268"/>
      <c r="J268"/>
      <c r="K268"/>
      <c r="L268"/>
      <c r="M268"/>
      <c r="N268"/>
      <c r="O268"/>
      <c r="P268"/>
      <c r="Q268"/>
      <c r="R268"/>
      <c r="S268"/>
      <c r="T268"/>
      <c r="U268"/>
      <c r="V268"/>
      <c r="W268"/>
      <c r="X268"/>
      <c r="Y268"/>
      <c r="Z268"/>
      <c r="AA268"/>
      <c r="AB268"/>
      <c r="AC268"/>
      <c r="AD268"/>
      <c r="AE268"/>
      <c r="AF268"/>
      <c r="AG268"/>
      <c r="AH268"/>
    </row>
    <row r="269" spans="2:34" s="106" customFormat="1" x14ac:dyDescent="0.25">
      <c r="B269"/>
      <c r="C269"/>
      <c r="D269"/>
      <c r="E269" s="105"/>
      <c r="F269" s="105"/>
      <c r="H269"/>
      <c r="I269"/>
      <c r="J269"/>
      <c r="K269"/>
      <c r="L269"/>
      <c r="M269"/>
      <c r="N269"/>
      <c r="O269"/>
      <c r="P269"/>
      <c r="Q269"/>
      <c r="R269"/>
      <c r="S269"/>
      <c r="T269"/>
      <c r="U269"/>
      <c r="V269"/>
      <c r="W269"/>
      <c r="X269"/>
      <c r="Y269"/>
      <c r="Z269"/>
      <c r="AA269"/>
      <c r="AB269"/>
      <c r="AC269"/>
      <c r="AD269"/>
      <c r="AE269"/>
      <c r="AF269"/>
      <c r="AG269"/>
      <c r="AH269"/>
    </row>
    <row r="270" spans="2:34" s="106" customFormat="1" x14ac:dyDescent="0.25">
      <c r="B270"/>
      <c r="C270"/>
      <c r="D270"/>
      <c r="E270" s="105"/>
      <c r="F270" s="105"/>
      <c r="H270"/>
      <c r="I270"/>
      <c r="J270"/>
      <c r="K270"/>
      <c r="L270"/>
      <c r="M270"/>
      <c r="N270"/>
      <c r="O270"/>
      <c r="P270"/>
      <c r="Q270"/>
      <c r="R270"/>
      <c r="S270"/>
      <c r="T270"/>
      <c r="U270"/>
      <c r="V270"/>
      <c r="W270"/>
      <c r="X270"/>
      <c r="Y270"/>
      <c r="Z270"/>
      <c r="AA270"/>
      <c r="AB270"/>
      <c r="AC270"/>
      <c r="AD270"/>
      <c r="AE270"/>
      <c r="AF270"/>
      <c r="AG270"/>
      <c r="AH270"/>
    </row>
    <row r="271" spans="2:34" s="106" customFormat="1" x14ac:dyDescent="0.25">
      <c r="B271"/>
      <c r="C271"/>
      <c r="D271"/>
      <c r="E271" s="105"/>
      <c r="F271" s="105"/>
      <c r="H271"/>
      <c r="I271"/>
      <c r="J271"/>
      <c r="K271"/>
      <c r="L271"/>
      <c r="M271"/>
      <c r="N271"/>
      <c r="O271"/>
      <c r="P271"/>
      <c r="Q271"/>
      <c r="R271"/>
      <c r="S271"/>
      <c r="T271"/>
      <c r="U271"/>
      <c r="V271"/>
      <c r="W271"/>
      <c r="X271"/>
      <c r="Y271"/>
      <c r="Z271"/>
      <c r="AA271"/>
      <c r="AB271"/>
      <c r="AC271"/>
      <c r="AD271"/>
      <c r="AE271"/>
      <c r="AF271"/>
      <c r="AG271"/>
      <c r="AH271"/>
    </row>
    <row r="272" spans="2:34" s="106" customFormat="1" x14ac:dyDescent="0.25">
      <c r="B272"/>
      <c r="C272"/>
      <c r="D272"/>
      <c r="E272" s="105"/>
      <c r="F272" s="105"/>
      <c r="H272"/>
      <c r="I272"/>
      <c r="J272"/>
      <c r="K272"/>
      <c r="L272"/>
      <c r="M272"/>
      <c r="N272"/>
      <c r="O272"/>
      <c r="P272"/>
      <c r="Q272"/>
      <c r="R272"/>
      <c r="S272"/>
      <c r="T272"/>
      <c r="U272"/>
      <c r="V272"/>
      <c r="W272"/>
      <c r="X272"/>
      <c r="Y272"/>
      <c r="Z272"/>
      <c r="AA272"/>
      <c r="AB272"/>
      <c r="AC272"/>
      <c r="AD272"/>
      <c r="AE272"/>
      <c r="AF272"/>
      <c r="AG272"/>
      <c r="AH272"/>
    </row>
    <row r="273" spans="2:34" s="106" customFormat="1" x14ac:dyDescent="0.25">
      <c r="B273"/>
      <c r="C273"/>
      <c r="D273"/>
      <c r="E273" s="105"/>
      <c r="F273" s="105"/>
      <c r="H273"/>
      <c r="I273"/>
      <c r="J273"/>
      <c r="K273"/>
      <c r="L273"/>
      <c r="M273"/>
      <c r="N273"/>
      <c r="O273"/>
      <c r="P273"/>
      <c r="Q273"/>
      <c r="R273"/>
      <c r="S273"/>
      <c r="T273"/>
      <c r="U273"/>
      <c r="V273"/>
      <c r="W273"/>
      <c r="X273"/>
      <c r="Y273"/>
      <c r="Z273"/>
      <c r="AA273"/>
      <c r="AB273"/>
      <c r="AC273"/>
      <c r="AD273"/>
      <c r="AE273"/>
      <c r="AF273"/>
      <c r="AG273"/>
      <c r="AH273"/>
    </row>
    <row r="274" spans="2:34" s="106" customFormat="1" x14ac:dyDescent="0.25">
      <c r="B274"/>
      <c r="C274"/>
      <c r="D274"/>
      <c r="E274" s="105"/>
      <c r="F274" s="105"/>
      <c r="H274"/>
      <c r="I274"/>
      <c r="J274"/>
      <c r="K274"/>
      <c r="L274"/>
      <c r="M274"/>
      <c r="N274"/>
      <c r="O274"/>
      <c r="P274"/>
      <c r="Q274"/>
      <c r="R274"/>
      <c r="S274"/>
      <c r="T274"/>
      <c r="U274"/>
      <c r="V274"/>
      <c r="W274"/>
      <c r="X274"/>
      <c r="Y274"/>
      <c r="Z274"/>
      <c r="AA274"/>
      <c r="AB274"/>
      <c r="AC274"/>
      <c r="AD274"/>
      <c r="AE274"/>
      <c r="AF274"/>
      <c r="AG274"/>
      <c r="AH274"/>
    </row>
    <row r="275" spans="2:34" s="106" customFormat="1" x14ac:dyDescent="0.25">
      <c r="B275"/>
      <c r="C275"/>
      <c r="D275"/>
      <c r="E275" s="105"/>
      <c r="F275" s="105"/>
      <c r="H275"/>
      <c r="I275"/>
      <c r="J275"/>
      <c r="K275"/>
      <c r="L275"/>
      <c r="M275"/>
      <c r="N275"/>
      <c r="O275"/>
      <c r="P275"/>
      <c r="Q275"/>
      <c r="R275"/>
      <c r="S275"/>
      <c r="T275"/>
      <c r="U275"/>
      <c r="V275"/>
      <c r="W275"/>
      <c r="X275"/>
      <c r="Y275"/>
      <c r="Z275"/>
      <c r="AA275"/>
      <c r="AB275"/>
      <c r="AC275"/>
      <c r="AD275"/>
      <c r="AE275"/>
      <c r="AF275"/>
      <c r="AG275"/>
      <c r="AH275"/>
    </row>
    <row r="276" spans="2:34" s="106" customFormat="1" x14ac:dyDescent="0.25">
      <c r="B276"/>
      <c r="C276"/>
      <c r="D276"/>
      <c r="E276" s="105"/>
      <c r="F276" s="105"/>
      <c r="H276"/>
      <c r="I276"/>
      <c r="J276"/>
      <c r="K276"/>
      <c r="L276"/>
      <c r="M276"/>
      <c r="N276"/>
      <c r="O276"/>
      <c r="P276"/>
      <c r="Q276"/>
      <c r="R276"/>
      <c r="S276"/>
      <c r="T276"/>
      <c r="U276"/>
      <c r="V276"/>
      <c r="W276"/>
      <c r="X276"/>
      <c r="Y276"/>
      <c r="Z276"/>
      <c r="AA276"/>
      <c r="AB276"/>
      <c r="AC276"/>
      <c r="AD276"/>
      <c r="AE276"/>
      <c r="AF276"/>
      <c r="AG276"/>
      <c r="AH276"/>
    </row>
    <row r="277" spans="2:34" s="106" customFormat="1" x14ac:dyDescent="0.25">
      <c r="B277"/>
      <c r="C277"/>
      <c r="D277"/>
      <c r="E277" s="105"/>
      <c r="F277" s="105"/>
      <c r="H277"/>
      <c r="I277"/>
      <c r="J277"/>
      <c r="K277"/>
      <c r="L277"/>
      <c r="M277"/>
      <c r="N277"/>
      <c r="O277"/>
      <c r="P277"/>
      <c r="Q277"/>
      <c r="R277"/>
      <c r="S277"/>
      <c r="T277"/>
      <c r="U277"/>
      <c r="V277"/>
      <c r="W277"/>
      <c r="X277"/>
      <c r="Y277"/>
      <c r="Z277"/>
      <c r="AA277"/>
      <c r="AB277"/>
      <c r="AC277"/>
      <c r="AD277"/>
      <c r="AE277"/>
      <c r="AF277"/>
      <c r="AG277"/>
      <c r="AH277"/>
    </row>
    <row r="278" spans="2:34" s="106" customFormat="1" x14ac:dyDescent="0.25">
      <c r="B278"/>
      <c r="C278"/>
      <c r="D278"/>
      <c r="E278" s="105"/>
      <c r="F278" s="105"/>
      <c r="H278"/>
      <c r="I278"/>
      <c r="J278"/>
      <c r="K278"/>
      <c r="L278"/>
      <c r="M278"/>
      <c r="N278"/>
      <c r="O278"/>
      <c r="P278"/>
      <c r="Q278"/>
      <c r="R278"/>
      <c r="S278"/>
      <c r="T278"/>
      <c r="U278"/>
      <c r="V278"/>
      <c r="W278"/>
      <c r="X278"/>
      <c r="Y278"/>
      <c r="Z278"/>
      <c r="AA278"/>
      <c r="AB278"/>
      <c r="AC278"/>
      <c r="AD278"/>
      <c r="AE278"/>
      <c r="AF278"/>
      <c r="AG278"/>
      <c r="AH278"/>
    </row>
    <row r="279" spans="2:34" s="106" customFormat="1" x14ac:dyDescent="0.25">
      <c r="B279"/>
      <c r="C279"/>
      <c r="D279"/>
      <c r="E279" s="105"/>
      <c r="F279" s="105"/>
      <c r="H279"/>
      <c r="I279"/>
      <c r="J279"/>
      <c r="K279"/>
      <c r="L279"/>
      <c r="M279"/>
      <c r="N279"/>
      <c r="O279"/>
      <c r="P279"/>
      <c r="Q279"/>
      <c r="R279"/>
      <c r="S279"/>
      <c r="T279"/>
      <c r="U279"/>
      <c r="V279"/>
      <c r="W279"/>
      <c r="X279"/>
      <c r="Y279"/>
      <c r="Z279"/>
      <c r="AA279"/>
      <c r="AB279"/>
      <c r="AC279"/>
      <c r="AD279"/>
      <c r="AE279"/>
      <c r="AF279"/>
      <c r="AG279"/>
      <c r="AH279"/>
    </row>
    <row r="280" spans="2:34" s="106" customFormat="1" x14ac:dyDescent="0.25">
      <c r="B280"/>
      <c r="C280"/>
      <c r="D280"/>
      <c r="E280" s="105"/>
      <c r="F280" s="105"/>
      <c r="H280"/>
      <c r="I280"/>
      <c r="J280"/>
      <c r="K280"/>
      <c r="L280"/>
      <c r="M280"/>
      <c r="N280"/>
      <c r="O280"/>
      <c r="P280"/>
      <c r="Q280"/>
      <c r="R280"/>
      <c r="S280"/>
      <c r="T280"/>
      <c r="U280"/>
      <c r="V280"/>
      <c r="W280"/>
      <c r="X280"/>
      <c r="Y280"/>
      <c r="Z280"/>
      <c r="AA280"/>
      <c r="AB280"/>
      <c r="AC280"/>
      <c r="AD280"/>
      <c r="AE280"/>
      <c r="AF280"/>
      <c r="AG280"/>
      <c r="AH280"/>
    </row>
    <row r="281" spans="2:34" s="106" customFormat="1" x14ac:dyDescent="0.25">
      <c r="B281"/>
      <c r="C281"/>
      <c r="D281"/>
      <c r="E281" s="105"/>
      <c r="F281" s="105"/>
      <c r="H281"/>
      <c r="I281"/>
      <c r="J281"/>
      <c r="K281"/>
      <c r="L281"/>
      <c r="M281"/>
      <c r="N281"/>
      <c r="O281"/>
      <c r="P281"/>
      <c r="Q281"/>
      <c r="R281"/>
      <c r="S281"/>
      <c r="T281"/>
      <c r="U281"/>
      <c r="V281"/>
      <c r="W281"/>
      <c r="X281"/>
      <c r="Y281"/>
      <c r="Z281"/>
      <c r="AA281"/>
      <c r="AB281"/>
      <c r="AC281"/>
      <c r="AD281"/>
      <c r="AE281"/>
      <c r="AF281"/>
      <c r="AG281"/>
      <c r="AH281"/>
    </row>
    <row r="282" spans="2:34" s="106" customFormat="1" x14ac:dyDescent="0.25">
      <c r="B282"/>
      <c r="C282"/>
      <c r="D282"/>
      <c r="E282" s="105"/>
      <c r="F282" s="105"/>
      <c r="H282"/>
      <c r="I282"/>
      <c r="J282"/>
      <c r="K282"/>
      <c r="L282"/>
      <c r="M282"/>
      <c r="N282"/>
      <c r="O282"/>
      <c r="P282"/>
      <c r="Q282"/>
      <c r="R282"/>
      <c r="S282"/>
      <c r="T282"/>
      <c r="U282"/>
      <c r="V282"/>
      <c r="W282"/>
      <c r="X282"/>
      <c r="Y282"/>
      <c r="Z282"/>
      <c r="AA282"/>
      <c r="AB282"/>
      <c r="AC282"/>
      <c r="AD282"/>
      <c r="AE282"/>
      <c r="AF282"/>
      <c r="AG282"/>
      <c r="AH282"/>
    </row>
    <row r="283" spans="2:34" s="106" customFormat="1" x14ac:dyDescent="0.25">
      <c r="B283"/>
      <c r="C283"/>
      <c r="D283"/>
      <c r="E283" s="105"/>
      <c r="F283" s="105"/>
      <c r="H283"/>
      <c r="I283"/>
      <c r="J283"/>
      <c r="K283"/>
      <c r="L283"/>
      <c r="M283"/>
      <c r="N283"/>
      <c r="O283"/>
      <c r="P283"/>
      <c r="Q283"/>
      <c r="R283"/>
      <c r="S283"/>
      <c r="T283"/>
      <c r="U283"/>
      <c r="V283"/>
      <c r="W283"/>
      <c r="X283"/>
      <c r="Y283"/>
      <c r="Z283"/>
      <c r="AA283"/>
      <c r="AB283"/>
      <c r="AC283"/>
      <c r="AD283"/>
      <c r="AE283"/>
      <c r="AF283"/>
      <c r="AG283"/>
      <c r="AH283"/>
    </row>
    <row r="284" spans="2:34" s="106" customFormat="1" x14ac:dyDescent="0.25">
      <c r="B284"/>
      <c r="C284"/>
      <c r="D284"/>
      <c r="E284" s="105"/>
      <c r="F284" s="105"/>
      <c r="H284"/>
      <c r="I284"/>
      <c r="J284"/>
      <c r="K284"/>
      <c r="L284"/>
      <c r="M284"/>
      <c r="N284"/>
      <c r="O284"/>
      <c r="P284"/>
      <c r="Q284"/>
      <c r="R284"/>
      <c r="S284"/>
      <c r="T284"/>
      <c r="U284"/>
      <c r="V284"/>
      <c r="W284"/>
      <c r="X284"/>
      <c r="Y284"/>
      <c r="Z284"/>
      <c r="AA284"/>
      <c r="AB284"/>
      <c r="AC284"/>
      <c r="AD284"/>
      <c r="AE284"/>
      <c r="AF284"/>
      <c r="AG284"/>
      <c r="AH284"/>
    </row>
    <row r="285" spans="2:34" s="106" customFormat="1" x14ac:dyDescent="0.25">
      <c r="B285"/>
      <c r="C285"/>
      <c r="D285"/>
      <c r="E285" s="105"/>
      <c r="F285" s="105"/>
      <c r="H285"/>
      <c r="I285"/>
      <c r="J285"/>
      <c r="K285"/>
      <c r="L285"/>
      <c r="M285"/>
      <c r="N285"/>
      <c r="O285"/>
      <c r="P285"/>
      <c r="Q285"/>
      <c r="R285"/>
      <c r="S285"/>
      <c r="T285"/>
      <c r="U285"/>
      <c r="V285"/>
      <c r="W285"/>
      <c r="X285"/>
      <c r="Y285"/>
      <c r="Z285"/>
      <c r="AA285"/>
      <c r="AB285"/>
      <c r="AC285"/>
      <c r="AD285"/>
      <c r="AE285"/>
      <c r="AF285"/>
      <c r="AG285"/>
      <c r="AH285"/>
    </row>
    <row r="286" spans="2:34" s="106" customFormat="1" x14ac:dyDescent="0.25">
      <c r="B286"/>
      <c r="C286"/>
      <c r="D286"/>
      <c r="E286" s="105"/>
      <c r="F286" s="105"/>
      <c r="H286"/>
      <c r="I286"/>
      <c r="J286"/>
      <c r="K286"/>
      <c r="L286"/>
      <c r="M286"/>
      <c r="N286"/>
      <c r="O286"/>
      <c r="P286"/>
      <c r="Q286"/>
      <c r="R286"/>
      <c r="S286"/>
      <c r="T286"/>
      <c r="U286"/>
      <c r="V286"/>
      <c r="W286"/>
      <c r="X286"/>
      <c r="Y286"/>
      <c r="Z286"/>
      <c r="AA286"/>
      <c r="AB286"/>
      <c r="AC286"/>
      <c r="AD286"/>
      <c r="AE286"/>
      <c r="AF286"/>
      <c r="AG286"/>
      <c r="AH286"/>
    </row>
    <row r="287" spans="2:34" s="106" customFormat="1" x14ac:dyDescent="0.25">
      <c r="B287"/>
      <c r="C287"/>
      <c r="D287"/>
      <c r="E287" s="105"/>
      <c r="F287" s="105"/>
      <c r="H287"/>
      <c r="I287"/>
      <c r="J287"/>
      <c r="K287"/>
      <c r="L287"/>
      <c r="M287"/>
      <c r="N287"/>
      <c r="O287"/>
      <c r="P287"/>
      <c r="Q287"/>
      <c r="R287"/>
      <c r="S287"/>
      <c r="T287"/>
      <c r="U287"/>
      <c r="V287"/>
      <c r="W287"/>
      <c r="X287"/>
      <c r="Y287"/>
      <c r="Z287"/>
      <c r="AA287"/>
      <c r="AB287"/>
      <c r="AC287"/>
      <c r="AD287"/>
      <c r="AE287"/>
      <c r="AF287"/>
      <c r="AG287"/>
      <c r="AH287"/>
    </row>
    <row r="288" spans="2:34" s="106" customFormat="1" x14ac:dyDescent="0.25">
      <c r="B288"/>
      <c r="C288"/>
      <c r="D288"/>
      <c r="E288" s="105"/>
      <c r="F288" s="105"/>
      <c r="H288"/>
      <c r="I288"/>
      <c r="J288"/>
      <c r="K288"/>
      <c r="L288"/>
      <c r="M288"/>
      <c r="N288"/>
      <c r="O288"/>
      <c r="P288"/>
      <c r="Q288"/>
      <c r="R288"/>
      <c r="S288"/>
      <c r="T288"/>
      <c r="U288"/>
      <c r="V288"/>
      <c r="W288"/>
      <c r="X288"/>
      <c r="Y288"/>
      <c r="Z288"/>
      <c r="AA288"/>
      <c r="AB288"/>
      <c r="AC288"/>
      <c r="AD288"/>
      <c r="AE288"/>
      <c r="AF288"/>
      <c r="AG288"/>
      <c r="AH288"/>
    </row>
    <row r="289" spans="2:34" s="106" customFormat="1" x14ac:dyDescent="0.25">
      <c r="B289"/>
      <c r="C289"/>
      <c r="D289"/>
      <c r="E289" s="105"/>
      <c r="F289" s="105"/>
      <c r="H289"/>
      <c r="I289"/>
      <c r="J289"/>
      <c r="K289"/>
      <c r="L289"/>
      <c r="M289"/>
      <c r="N289"/>
      <c r="O289"/>
      <c r="P289"/>
      <c r="Q289"/>
      <c r="R289"/>
      <c r="S289"/>
      <c r="T289"/>
      <c r="U289"/>
      <c r="V289"/>
      <c r="W289"/>
      <c r="X289"/>
      <c r="Y289"/>
      <c r="Z289"/>
      <c r="AA289"/>
      <c r="AB289"/>
      <c r="AC289"/>
      <c r="AD289"/>
      <c r="AE289"/>
      <c r="AF289"/>
      <c r="AG289"/>
      <c r="AH289"/>
    </row>
    <row r="290" spans="2:34" s="106" customFormat="1" x14ac:dyDescent="0.25">
      <c r="B290"/>
      <c r="C290"/>
      <c r="D290"/>
      <c r="E290" s="105"/>
      <c r="F290" s="105"/>
      <c r="H290"/>
      <c r="I290"/>
      <c r="J290"/>
      <c r="K290"/>
      <c r="L290"/>
      <c r="M290"/>
      <c r="N290"/>
      <c r="O290"/>
      <c r="P290"/>
      <c r="Q290"/>
      <c r="R290"/>
      <c r="S290"/>
      <c r="T290"/>
      <c r="U290"/>
      <c r="V290"/>
      <c r="W290"/>
      <c r="X290"/>
      <c r="Y290"/>
      <c r="Z290"/>
      <c r="AA290"/>
      <c r="AB290"/>
      <c r="AC290"/>
      <c r="AD290"/>
      <c r="AE290"/>
      <c r="AF290"/>
      <c r="AG290"/>
      <c r="AH290"/>
    </row>
    <row r="291" spans="2:34" s="106" customFormat="1" x14ac:dyDescent="0.25">
      <c r="B291"/>
      <c r="C291"/>
      <c r="D291"/>
      <c r="E291" s="105"/>
      <c r="F291" s="105"/>
      <c r="H291"/>
      <c r="I291"/>
      <c r="J291"/>
      <c r="K291"/>
      <c r="L291"/>
      <c r="M291"/>
      <c r="N291"/>
      <c r="O291"/>
      <c r="P291"/>
      <c r="Q291"/>
      <c r="R291"/>
      <c r="S291"/>
      <c r="T291"/>
      <c r="U291"/>
      <c r="V291"/>
      <c r="W291"/>
      <c r="X291"/>
      <c r="Y291"/>
      <c r="Z291"/>
      <c r="AA291"/>
      <c r="AB291"/>
      <c r="AC291"/>
      <c r="AD291"/>
      <c r="AE291"/>
      <c r="AF291"/>
      <c r="AG291"/>
      <c r="AH291"/>
    </row>
    <row r="292" spans="2:34" s="106" customFormat="1" x14ac:dyDescent="0.25">
      <c r="B292"/>
      <c r="C292"/>
      <c r="D292"/>
      <c r="E292" s="105"/>
      <c r="F292" s="105"/>
      <c r="H292"/>
      <c r="I292"/>
      <c r="J292"/>
      <c r="K292"/>
      <c r="L292"/>
      <c r="M292"/>
      <c r="N292"/>
      <c r="O292"/>
      <c r="P292"/>
      <c r="Q292"/>
      <c r="R292"/>
      <c r="S292"/>
      <c r="T292"/>
      <c r="U292"/>
      <c r="V292"/>
      <c r="W292"/>
      <c r="X292"/>
      <c r="Y292"/>
      <c r="Z292"/>
      <c r="AA292"/>
      <c r="AB292"/>
      <c r="AC292"/>
      <c r="AD292"/>
      <c r="AE292"/>
      <c r="AF292"/>
      <c r="AG292"/>
      <c r="AH292"/>
    </row>
    <row r="293" spans="2:34" s="106" customFormat="1" x14ac:dyDescent="0.25">
      <c r="B293"/>
      <c r="C293"/>
      <c r="D293"/>
      <c r="E293" s="105"/>
      <c r="F293" s="105"/>
      <c r="H293"/>
      <c r="I293"/>
      <c r="J293"/>
      <c r="K293"/>
      <c r="L293"/>
      <c r="M293"/>
      <c r="N293"/>
      <c r="O293"/>
      <c r="P293"/>
      <c r="Q293"/>
      <c r="R293"/>
      <c r="S293"/>
      <c r="T293"/>
      <c r="U293"/>
      <c r="V293"/>
      <c r="W293"/>
      <c r="X293"/>
      <c r="Y293"/>
      <c r="Z293"/>
      <c r="AA293"/>
      <c r="AB293"/>
      <c r="AC293"/>
      <c r="AD293"/>
      <c r="AE293"/>
      <c r="AF293"/>
      <c r="AG293"/>
      <c r="AH293"/>
    </row>
    <row r="294" spans="2:34" s="106" customFormat="1" x14ac:dyDescent="0.25">
      <c r="B294"/>
      <c r="C294"/>
      <c r="D294"/>
      <c r="E294" s="105"/>
      <c r="F294" s="105"/>
      <c r="H294"/>
      <c r="I294"/>
      <c r="J294"/>
      <c r="K294"/>
      <c r="L294"/>
      <c r="M294"/>
      <c r="N294"/>
      <c r="O294"/>
      <c r="P294"/>
      <c r="Q294"/>
      <c r="R294"/>
      <c r="S294"/>
      <c r="T294"/>
      <c r="U294"/>
      <c r="V294"/>
      <c r="W294"/>
      <c r="X294"/>
      <c r="Y294"/>
      <c r="Z294"/>
      <c r="AA294"/>
      <c r="AB294"/>
      <c r="AC294"/>
      <c r="AD294"/>
      <c r="AE294"/>
      <c r="AF294"/>
      <c r="AG294"/>
      <c r="AH294"/>
    </row>
    <row r="295" spans="2:34" s="106" customFormat="1" x14ac:dyDescent="0.25">
      <c r="B295"/>
      <c r="C295"/>
      <c r="D295"/>
      <c r="E295" s="105"/>
      <c r="F295" s="105"/>
      <c r="H295"/>
      <c r="I295"/>
      <c r="J295"/>
      <c r="K295"/>
      <c r="L295"/>
      <c r="M295"/>
      <c r="N295"/>
      <c r="O295"/>
      <c r="P295"/>
      <c r="Q295"/>
      <c r="R295"/>
      <c r="S295"/>
      <c r="T295"/>
      <c r="U295"/>
      <c r="V295"/>
      <c r="W295"/>
      <c r="X295"/>
      <c r="Y295"/>
      <c r="Z295"/>
      <c r="AA295"/>
      <c r="AB295"/>
      <c r="AC295"/>
      <c r="AD295"/>
      <c r="AE295"/>
      <c r="AF295"/>
      <c r="AG295"/>
      <c r="AH295"/>
    </row>
    <row r="296" spans="2:34" s="106" customFormat="1" x14ac:dyDescent="0.25">
      <c r="B296"/>
      <c r="C296"/>
      <c r="D296"/>
      <c r="E296" s="105"/>
      <c r="F296" s="105"/>
      <c r="H296"/>
      <c r="I296"/>
      <c r="J296"/>
      <c r="K296"/>
      <c r="L296"/>
      <c r="M296"/>
      <c r="N296"/>
      <c r="O296"/>
      <c r="P296"/>
      <c r="Q296"/>
      <c r="R296"/>
      <c r="S296"/>
      <c r="T296"/>
      <c r="U296"/>
      <c r="V296"/>
      <c r="W296"/>
      <c r="X296"/>
      <c r="Y296"/>
      <c r="Z296"/>
      <c r="AA296"/>
      <c r="AB296"/>
      <c r="AC296"/>
      <c r="AD296"/>
      <c r="AE296"/>
      <c r="AF296"/>
      <c r="AG296"/>
      <c r="AH296"/>
    </row>
    <row r="297" spans="2:34" s="106" customFormat="1" x14ac:dyDescent="0.25">
      <c r="B297"/>
      <c r="C297"/>
      <c r="D297"/>
      <c r="E297" s="105"/>
      <c r="F297" s="105"/>
      <c r="H297"/>
      <c r="I297"/>
      <c r="J297"/>
      <c r="K297"/>
      <c r="L297"/>
      <c r="M297"/>
      <c r="N297"/>
      <c r="O297"/>
      <c r="P297"/>
      <c r="Q297"/>
      <c r="R297"/>
      <c r="S297"/>
      <c r="T297"/>
      <c r="U297"/>
      <c r="V297"/>
      <c r="W297"/>
      <c r="X297"/>
      <c r="Y297"/>
      <c r="Z297"/>
      <c r="AA297"/>
      <c r="AB297"/>
      <c r="AC297"/>
      <c r="AD297"/>
      <c r="AE297"/>
      <c r="AF297"/>
      <c r="AG297"/>
      <c r="AH297"/>
    </row>
    <row r="298" spans="2:34" s="106" customFormat="1" x14ac:dyDescent="0.25">
      <c r="B298"/>
      <c r="C298"/>
      <c r="D298"/>
      <c r="E298" s="105"/>
      <c r="F298" s="105"/>
      <c r="H298"/>
      <c r="I298"/>
      <c r="J298"/>
      <c r="K298"/>
      <c r="L298"/>
      <c r="M298"/>
      <c r="N298"/>
      <c r="O298"/>
      <c r="P298"/>
      <c r="Q298"/>
      <c r="R298"/>
      <c r="S298"/>
      <c r="T298"/>
      <c r="U298"/>
      <c r="V298"/>
      <c r="W298"/>
      <c r="X298"/>
      <c r="Y298"/>
      <c r="Z298"/>
      <c r="AA298"/>
      <c r="AB298"/>
      <c r="AC298"/>
      <c r="AD298"/>
      <c r="AE298"/>
      <c r="AF298"/>
      <c r="AG298"/>
      <c r="AH298"/>
    </row>
    <row r="299" spans="2:34" s="106" customFormat="1" x14ac:dyDescent="0.25">
      <c r="B299"/>
      <c r="C299"/>
      <c r="D299"/>
      <c r="E299" s="105"/>
      <c r="F299" s="105"/>
      <c r="H299"/>
      <c r="I299"/>
      <c r="J299"/>
      <c r="K299"/>
      <c r="L299"/>
      <c r="M299"/>
      <c r="N299"/>
      <c r="O299"/>
      <c r="P299"/>
      <c r="Q299"/>
      <c r="R299"/>
      <c r="S299"/>
      <c r="T299"/>
      <c r="U299"/>
      <c r="V299"/>
      <c r="W299"/>
      <c r="X299"/>
      <c r="Y299"/>
      <c r="Z299"/>
      <c r="AA299"/>
      <c r="AB299"/>
      <c r="AC299"/>
      <c r="AD299"/>
      <c r="AE299"/>
      <c r="AF299"/>
      <c r="AG299"/>
      <c r="AH299"/>
    </row>
    <row r="300" spans="2:34" s="106" customFormat="1" x14ac:dyDescent="0.25">
      <c r="B300"/>
      <c r="C300"/>
      <c r="D300"/>
      <c r="E300" s="105"/>
      <c r="F300" s="105"/>
      <c r="H300"/>
      <c r="I300"/>
      <c r="J300"/>
      <c r="K300"/>
      <c r="L300"/>
      <c r="M300"/>
      <c r="N300"/>
      <c r="O300"/>
      <c r="P300"/>
      <c r="Q300"/>
      <c r="R300"/>
      <c r="S300"/>
      <c r="T300"/>
      <c r="U300"/>
      <c r="V300"/>
      <c r="W300"/>
      <c r="X300"/>
      <c r="Y300"/>
      <c r="Z300"/>
      <c r="AA300"/>
      <c r="AB300"/>
      <c r="AC300"/>
      <c r="AD300"/>
      <c r="AE300"/>
      <c r="AF300"/>
      <c r="AG300"/>
      <c r="AH300"/>
    </row>
    <row r="301" spans="2:34" s="106" customFormat="1" x14ac:dyDescent="0.25">
      <c r="B301"/>
      <c r="C301"/>
      <c r="D301"/>
      <c r="E301" s="105"/>
      <c r="F301" s="105"/>
      <c r="H301"/>
      <c r="I301"/>
      <c r="J301"/>
      <c r="K301"/>
      <c r="L301"/>
      <c r="M301"/>
      <c r="N301"/>
      <c r="O301"/>
      <c r="P301"/>
      <c r="Q301"/>
      <c r="R301"/>
      <c r="S301"/>
      <c r="T301"/>
      <c r="U301"/>
      <c r="V301"/>
      <c r="W301"/>
      <c r="X301"/>
      <c r="Y301"/>
      <c r="Z301"/>
      <c r="AA301"/>
      <c r="AB301"/>
      <c r="AC301"/>
      <c r="AD301"/>
      <c r="AE301"/>
      <c r="AF301"/>
      <c r="AG301"/>
      <c r="AH301"/>
    </row>
    <row r="302" spans="2:34" s="106" customFormat="1" x14ac:dyDescent="0.25">
      <c r="B302"/>
      <c r="C302"/>
      <c r="D302"/>
      <c r="E302" s="105"/>
      <c r="F302" s="105"/>
      <c r="H302"/>
      <c r="I302"/>
      <c r="J302"/>
      <c r="K302"/>
      <c r="L302"/>
      <c r="M302"/>
      <c r="N302"/>
      <c r="O302"/>
      <c r="P302"/>
      <c r="Q302"/>
      <c r="R302"/>
      <c r="S302"/>
      <c r="T302"/>
      <c r="U302"/>
      <c r="V302"/>
      <c r="W302"/>
      <c r="X302"/>
      <c r="Y302"/>
      <c r="Z302"/>
      <c r="AA302"/>
      <c r="AB302"/>
      <c r="AC302"/>
      <c r="AD302"/>
      <c r="AE302"/>
      <c r="AF302"/>
      <c r="AG302"/>
      <c r="AH302"/>
    </row>
    <row r="303" spans="2:34" s="106" customFormat="1" x14ac:dyDescent="0.25">
      <c r="B303"/>
      <c r="C303"/>
      <c r="D303"/>
      <c r="E303" s="105"/>
      <c r="F303" s="105"/>
      <c r="H303"/>
      <c r="I303"/>
      <c r="J303"/>
      <c r="K303"/>
      <c r="L303"/>
      <c r="M303"/>
      <c r="N303"/>
      <c r="O303"/>
      <c r="P303"/>
      <c r="Q303"/>
      <c r="R303"/>
      <c r="S303"/>
      <c r="T303"/>
      <c r="U303"/>
      <c r="V303"/>
      <c r="W303"/>
      <c r="X303"/>
      <c r="Y303"/>
      <c r="Z303"/>
      <c r="AA303"/>
      <c r="AB303"/>
      <c r="AC303"/>
      <c r="AD303"/>
      <c r="AE303"/>
      <c r="AF303"/>
      <c r="AG303"/>
      <c r="AH303"/>
    </row>
    <row r="304" spans="2:34" s="106" customFormat="1" x14ac:dyDescent="0.25">
      <c r="B304"/>
      <c r="C304"/>
      <c r="D304"/>
      <c r="E304" s="105"/>
      <c r="F304" s="105"/>
      <c r="H304"/>
      <c r="I304"/>
      <c r="J304"/>
      <c r="K304"/>
      <c r="L304"/>
      <c r="M304"/>
      <c r="N304"/>
      <c r="O304"/>
      <c r="P304"/>
      <c r="Q304"/>
      <c r="R304"/>
      <c r="S304"/>
      <c r="T304"/>
      <c r="U304"/>
      <c r="V304"/>
      <c r="W304"/>
      <c r="X304"/>
      <c r="Y304"/>
      <c r="Z304"/>
      <c r="AA304"/>
      <c r="AB304"/>
      <c r="AC304"/>
      <c r="AD304"/>
      <c r="AE304"/>
      <c r="AF304"/>
      <c r="AG304"/>
      <c r="AH304"/>
    </row>
    <row r="305" spans="2:34" s="106" customFormat="1" x14ac:dyDescent="0.25">
      <c r="B305"/>
      <c r="C305"/>
      <c r="D305"/>
      <c r="E305" s="105"/>
      <c r="F305" s="105"/>
      <c r="H305"/>
      <c r="I305"/>
      <c r="J305"/>
      <c r="K305"/>
      <c r="L305"/>
      <c r="M305"/>
      <c r="N305"/>
      <c r="O305"/>
      <c r="P305"/>
      <c r="Q305"/>
      <c r="R305"/>
      <c r="S305"/>
      <c r="T305"/>
      <c r="U305"/>
      <c r="V305"/>
      <c r="W305"/>
      <c r="X305"/>
      <c r="Y305"/>
      <c r="Z305"/>
      <c r="AA305"/>
      <c r="AB305"/>
      <c r="AC305"/>
      <c r="AD305"/>
      <c r="AE305"/>
      <c r="AF305"/>
      <c r="AG305"/>
      <c r="AH305"/>
    </row>
    <row r="306" spans="2:34" s="106" customFormat="1" x14ac:dyDescent="0.25">
      <c r="B306"/>
      <c r="C306"/>
      <c r="D306"/>
      <c r="E306" s="105"/>
      <c r="F306" s="105"/>
      <c r="H306"/>
      <c r="I306"/>
      <c r="J306"/>
      <c r="K306"/>
      <c r="L306"/>
      <c r="M306"/>
      <c r="N306"/>
      <c r="O306"/>
      <c r="P306"/>
      <c r="Q306"/>
      <c r="R306"/>
      <c r="S306"/>
      <c r="T306"/>
      <c r="U306"/>
      <c r="V306"/>
      <c r="W306"/>
      <c r="X306"/>
      <c r="Y306"/>
      <c r="Z306"/>
      <c r="AA306"/>
      <c r="AB306"/>
      <c r="AC306"/>
      <c r="AD306"/>
      <c r="AE306"/>
      <c r="AF306"/>
      <c r="AG306"/>
      <c r="AH306"/>
    </row>
    <row r="307" spans="2:34" s="106" customFormat="1" x14ac:dyDescent="0.25">
      <c r="B307"/>
      <c r="C307"/>
      <c r="D307"/>
      <c r="E307" s="105"/>
      <c r="F307" s="105"/>
      <c r="H307"/>
      <c r="I307"/>
      <c r="J307"/>
      <c r="K307"/>
      <c r="L307"/>
      <c r="M307"/>
      <c r="N307"/>
      <c r="O307"/>
      <c r="P307"/>
      <c r="Q307"/>
      <c r="R307"/>
      <c r="S307"/>
      <c r="T307"/>
      <c r="U307"/>
      <c r="V307"/>
      <c r="W307"/>
      <c r="X307"/>
      <c r="Y307"/>
      <c r="Z307"/>
      <c r="AA307"/>
      <c r="AB307"/>
      <c r="AC307"/>
      <c r="AD307"/>
      <c r="AE307"/>
      <c r="AF307"/>
      <c r="AG307"/>
      <c r="AH307"/>
    </row>
    <row r="308" spans="2:34" s="106" customFormat="1" x14ac:dyDescent="0.25">
      <c r="B308"/>
      <c r="C308"/>
      <c r="D308"/>
      <c r="E308" s="105"/>
      <c r="F308" s="105"/>
      <c r="H308"/>
      <c r="I308"/>
      <c r="J308"/>
      <c r="K308"/>
      <c r="L308"/>
      <c r="M308"/>
      <c r="N308"/>
      <c r="O308"/>
      <c r="P308"/>
      <c r="Q308"/>
      <c r="R308"/>
      <c r="S308"/>
      <c r="T308"/>
      <c r="U308"/>
      <c r="V308"/>
      <c r="W308"/>
      <c r="X308"/>
      <c r="Y308"/>
      <c r="Z308"/>
      <c r="AA308"/>
      <c r="AB308"/>
      <c r="AC308"/>
      <c r="AD308"/>
      <c r="AE308"/>
      <c r="AF308"/>
      <c r="AG308"/>
      <c r="AH308"/>
    </row>
    <row r="309" spans="2:34" s="106" customFormat="1" x14ac:dyDescent="0.25">
      <c r="B309"/>
      <c r="C309"/>
      <c r="D309"/>
      <c r="E309" s="105"/>
      <c r="F309" s="105"/>
      <c r="H309"/>
      <c r="I309"/>
      <c r="J309"/>
      <c r="K309"/>
      <c r="L309"/>
      <c r="M309"/>
      <c r="N309"/>
      <c r="O309"/>
      <c r="P309"/>
      <c r="Q309"/>
      <c r="R309"/>
      <c r="S309"/>
      <c r="T309"/>
      <c r="U309"/>
      <c r="V309"/>
      <c r="W309"/>
      <c r="X309"/>
      <c r="Y309"/>
      <c r="Z309"/>
      <c r="AA309"/>
      <c r="AB309"/>
      <c r="AC309"/>
      <c r="AD309"/>
      <c r="AE309"/>
      <c r="AF309"/>
      <c r="AG309"/>
      <c r="AH309"/>
    </row>
    <row r="310" spans="2:34" s="106" customFormat="1" x14ac:dyDescent="0.25">
      <c r="B310"/>
      <c r="C310"/>
      <c r="D310"/>
      <c r="E310" s="105"/>
      <c r="F310" s="105"/>
      <c r="H310"/>
      <c r="I310"/>
      <c r="J310"/>
      <c r="K310"/>
      <c r="L310"/>
      <c r="M310"/>
      <c r="N310"/>
      <c r="O310"/>
      <c r="P310"/>
      <c r="Q310"/>
      <c r="R310"/>
      <c r="S310"/>
      <c r="T310"/>
      <c r="U310"/>
      <c r="V310"/>
      <c r="W310"/>
      <c r="X310"/>
      <c r="Y310"/>
      <c r="Z310"/>
      <c r="AA310"/>
      <c r="AB310"/>
      <c r="AC310"/>
      <c r="AD310"/>
      <c r="AE310"/>
      <c r="AF310"/>
      <c r="AG310"/>
      <c r="AH310"/>
    </row>
    <row r="311" spans="2:34" s="106" customFormat="1" x14ac:dyDescent="0.25">
      <c r="B311"/>
      <c r="C311"/>
      <c r="D311"/>
      <c r="E311" s="105"/>
      <c r="F311" s="105"/>
      <c r="H311"/>
      <c r="I311"/>
      <c r="J311"/>
      <c r="K311"/>
      <c r="L311"/>
      <c r="M311"/>
      <c r="N311"/>
      <c r="O311"/>
      <c r="P311"/>
      <c r="Q311"/>
      <c r="R311"/>
      <c r="S311"/>
      <c r="T311"/>
      <c r="U311"/>
      <c r="V311"/>
      <c r="W311"/>
      <c r="X311"/>
      <c r="Y311"/>
      <c r="Z311"/>
      <c r="AA311"/>
      <c r="AB311"/>
      <c r="AC311"/>
      <c r="AD311"/>
      <c r="AE311"/>
      <c r="AF311"/>
      <c r="AG311"/>
      <c r="AH311"/>
    </row>
    <row r="312" spans="2:34" s="106" customFormat="1" x14ac:dyDescent="0.25">
      <c r="B312"/>
      <c r="C312"/>
      <c r="D312"/>
      <c r="E312" s="105"/>
      <c r="F312" s="105"/>
      <c r="H312"/>
      <c r="I312"/>
      <c r="J312"/>
      <c r="K312"/>
      <c r="L312"/>
      <c r="M312"/>
      <c r="N312"/>
      <c r="O312"/>
      <c r="P312"/>
      <c r="Q312"/>
      <c r="R312"/>
      <c r="S312"/>
      <c r="T312"/>
      <c r="U312"/>
      <c r="V312"/>
      <c r="W312"/>
      <c r="X312"/>
      <c r="Y312"/>
      <c r="Z312"/>
      <c r="AA312"/>
      <c r="AB312"/>
      <c r="AC312"/>
      <c r="AD312"/>
      <c r="AE312"/>
      <c r="AF312"/>
      <c r="AG312"/>
      <c r="AH312"/>
    </row>
    <row r="313" spans="2:34" s="106" customFormat="1" x14ac:dyDescent="0.25">
      <c r="B313"/>
      <c r="C313"/>
      <c r="D313"/>
      <c r="E313" s="105"/>
      <c r="F313" s="105"/>
      <c r="H313"/>
      <c r="I313"/>
      <c r="J313"/>
      <c r="K313"/>
      <c r="L313"/>
      <c r="M313"/>
      <c r="N313"/>
      <c r="O313"/>
      <c r="P313"/>
      <c r="Q313"/>
      <c r="R313"/>
      <c r="S313"/>
      <c r="T313"/>
      <c r="U313"/>
      <c r="V313"/>
      <c r="W313"/>
      <c r="X313"/>
      <c r="Y313"/>
      <c r="Z313"/>
      <c r="AA313"/>
      <c r="AB313"/>
      <c r="AC313"/>
      <c r="AD313"/>
      <c r="AE313"/>
      <c r="AF313"/>
      <c r="AG313"/>
      <c r="AH313"/>
    </row>
    <row r="314" spans="2:34" s="106" customFormat="1" x14ac:dyDescent="0.25">
      <c r="B314"/>
      <c r="C314"/>
      <c r="D314"/>
      <c r="E314" s="105"/>
      <c r="F314" s="105"/>
      <c r="H314"/>
      <c r="I314"/>
      <c r="J314"/>
      <c r="K314"/>
      <c r="L314"/>
      <c r="M314"/>
      <c r="N314"/>
      <c r="O314"/>
      <c r="P314"/>
      <c r="Q314"/>
      <c r="R314"/>
      <c r="S314"/>
      <c r="T314"/>
      <c r="U314"/>
      <c r="V314"/>
      <c r="W314"/>
      <c r="X314"/>
      <c r="Y314"/>
      <c r="Z314"/>
      <c r="AA314"/>
      <c r="AB314"/>
      <c r="AC314"/>
      <c r="AD314"/>
      <c r="AE314"/>
      <c r="AF314"/>
      <c r="AG314"/>
      <c r="AH314"/>
    </row>
    <row r="315" spans="2:34" s="106" customFormat="1" x14ac:dyDescent="0.25">
      <c r="B315"/>
      <c r="C315"/>
      <c r="D315"/>
      <c r="E315" s="105"/>
      <c r="F315" s="105"/>
      <c r="H315"/>
      <c r="I315"/>
      <c r="J315"/>
      <c r="K315"/>
      <c r="L315"/>
      <c r="M315"/>
      <c r="N315"/>
      <c r="O315"/>
      <c r="P315"/>
      <c r="Q315"/>
      <c r="R315"/>
      <c r="S315"/>
      <c r="T315"/>
      <c r="U315"/>
      <c r="V315"/>
      <c r="W315"/>
      <c r="X315"/>
      <c r="Y315"/>
      <c r="Z315"/>
      <c r="AA315"/>
      <c r="AB315"/>
      <c r="AC315"/>
      <c r="AD315"/>
      <c r="AE315"/>
      <c r="AF315"/>
      <c r="AG315"/>
      <c r="AH315"/>
    </row>
    <row r="316" spans="2:34" s="106" customFormat="1" x14ac:dyDescent="0.25">
      <c r="B316"/>
      <c r="C316"/>
      <c r="D316"/>
      <c r="E316" s="105"/>
      <c r="F316" s="105"/>
      <c r="H316"/>
      <c r="I316"/>
      <c r="J316"/>
      <c r="K316"/>
      <c r="L316"/>
      <c r="M316"/>
      <c r="N316"/>
      <c r="O316"/>
      <c r="P316"/>
      <c r="Q316"/>
      <c r="R316"/>
      <c r="S316"/>
      <c r="T316"/>
      <c r="U316"/>
      <c r="V316"/>
      <c r="W316"/>
      <c r="X316"/>
      <c r="Y316"/>
      <c r="Z316"/>
      <c r="AA316"/>
      <c r="AB316"/>
      <c r="AC316"/>
      <c r="AD316"/>
      <c r="AE316"/>
      <c r="AF316"/>
      <c r="AG316"/>
      <c r="AH316"/>
    </row>
    <row r="317" spans="2:34" s="106" customFormat="1" x14ac:dyDescent="0.25">
      <c r="B317"/>
      <c r="C317"/>
      <c r="D317"/>
      <c r="E317" s="105"/>
      <c r="F317" s="105"/>
      <c r="H317"/>
      <c r="I317"/>
      <c r="J317"/>
      <c r="K317"/>
      <c r="L317"/>
      <c r="M317"/>
      <c r="N317"/>
      <c r="O317"/>
      <c r="P317"/>
      <c r="Q317"/>
      <c r="R317"/>
      <c r="S317"/>
      <c r="T317"/>
      <c r="U317"/>
      <c r="V317"/>
      <c r="W317"/>
      <c r="X317"/>
      <c r="Y317"/>
      <c r="Z317"/>
      <c r="AA317"/>
      <c r="AB317"/>
      <c r="AC317"/>
      <c r="AD317"/>
      <c r="AE317"/>
      <c r="AF317"/>
      <c r="AG317"/>
      <c r="AH317"/>
    </row>
    <row r="318" spans="2:34" s="106" customFormat="1" x14ac:dyDescent="0.25">
      <c r="B318"/>
      <c r="C318"/>
      <c r="D318"/>
      <c r="E318" s="105"/>
      <c r="F318" s="105"/>
      <c r="H318"/>
      <c r="I318"/>
      <c r="J318"/>
      <c r="K318"/>
      <c r="L318"/>
      <c r="M318"/>
      <c r="N318"/>
      <c r="O318"/>
      <c r="P318"/>
      <c r="Q318"/>
      <c r="R318"/>
      <c r="S318"/>
      <c r="T318"/>
      <c r="U318"/>
      <c r="V318"/>
      <c r="W318"/>
      <c r="X318"/>
      <c r="Y318"/>
      <c r="Z318"/>
      <c r="AA318"/>
      <c r="AB318"/>
      <c r="AC318"/>
      <c r="AD318"/>
      <c r="AE318"/>
      <c r="AF318"/>
      <c r="AG318"/>
      <c r="AH318"/>
    </row>
    <row r="319" spans="2:34" s="106" customFormat="1" x14ac:dyDescent="0.25">
      <c r="B319"/>
      <c r="C319"/>
      <c r="D319"/>
      <c r="E319" s="105"/>
      <c r="F319" s="105"/>
      <c r="H319"/>
      <c r="I319"/>
      <c r="J319"/>
      <c r="K319"/>
      <c r="L319"/>
      <c r="M319"/>
      <c r="N319"/>
      <c r="O319"/>
      <c r="P319"/>
      <c r="Q319"/>
      <c r="R319"/>
      <c r="S319"/>
      <c r="T319"/>
      <c r="U319"/>
      <c r="V319"/>
      <c r="W319"/>
      <c r="X319"/>
      <c r="Y319"/>
      <c r="Z319"/>
      <c r="AA319"/>
      <c r="AB319"/>
      <c r="AC319"/>
      <c r="AD319"/>
      <c r="AE319"/>
      <c r="AF319"/>
      <c r="AG319"/>
      <c r="AH319"/>
    </row>
    <row r="320" spans="2:34" s="106" customFormat="1" x14ac:dyDescent="0.25">
      <c r="B320"/>
      <c r="C320"/>
      <c r="D320"/>
      <c r="E320" s="105"/>
      <c r="F320" s="105"/>
      <c r="H320"/>
      <c r="I320"/>
      <c r="J320"/>
      <c r="K320"/>
      <c r="L320"/>
      <c r="M320"/>
      <c r="N320"/>
      <c r="O320"/>
      <c r="P320"/>
      <c r="Q320"/>
      <c r="R320"/>
      <c r="S320"/>
      <c r="T320"/>
      <c r="U320"/>
      <c r="V320"/>
      <c r="W320"/>
      <c r="X320"/>
      <c r="Y320"/>
      <c r="Z320"/>
      <c r="AA320"/>
      <c r="AB320"/>
      <c r="AC320"/>
      <c r="AD320"/>
      <c r="AE320"/>
      <c r="AF320"/>
      <c r="AG320"/>
      <c r="AH320"/>
    </row>
    <row r="321" spans="2:34" s="106" customFormat="1" x14ac:dyDescent="0.25">
      <c r="B321"/>
      <c r="C321"/>
      <c r="D321"/>
      <c r="E321" s="105"/>
      <c r="F321" s="105"/>
      <c r="H321"/>
      <c r="I321"/>
      <c r="J321"/>
      <c r="K321"/>
      <c r="L321"/>
      <c r="M321"/>
      <c r="N321"/>
      <c r="O321"/>
      <c r="P321"/>
      <c r="Q321"/>
      <c r="R321"/>
      <c r="S321"/>
      <c r="T321"/>
      <c r="U321"/>
      <c r="V321"/>
      <c r="W321"/>
      <c r="X321"/>
      <c r="Y321"/>
      <c r="Z321"/>
      <c r="AA321"/>
      <c r="AB321"/>
      <c r="AC321"/>
      <c r="AD321"/>
      <c r="AE321"/>
      <c r="AF321"/>
      <c r="AG321"/>
      <c r="AH321"/>
    </row>
    <row r="322" spans="2:34" s="106" customFormat="1" x14ac:dyDescent="0.25">
      <c r="B322"/>
      <c r="C322"/>
      <c r="D322"/>
      <c r="E322" s="105"/>
      <c r="F322" s="105"/>
      <c r="H322"/>
      <c r="I322"/>
      <c r="J322"/>
      <c r="K322"/>
      <c r="L322"/>
      <c r="M322"/>
      <c r="N322"/>
      <c r="O322"/>
      <c r="P322"/>
      <c r="Q322"/>
      <c r="R322"/>
      <c r="S322"/>
      <c r="T322"/>
      <c r="U322"/>
      <c r="V322"/>
      <c r="W322"/>
      <c r="X322"/>
      <c r="Y322"/>
      <c r="Z322"/>
      <c r="AA322"/>
      <c r="AB322"/>
      <c r="AC322"/>
      <c r="AD322"/>
      <c r="AE322"/>
      <c r="AF322"/>
      <c r="AG322"/>
      <c r="AH322"/>
    </row>
    <row r="323" spans="2:34" s="106" customFormat="1" x14ac:dyDescent="0.25">
      <c r="B323"/>
      <c r="C323"/>
      <c r="D323"/>
      <c r="E323" s="105"/>
      <c r="F323" s="105"/>
      <c r="H323"/>
      <c r="I323"/>
      <c r="J323"/>
      <c r="K323"/>
      <c r="L323"/>
      <c r="M323"/>
      <c r="N323"/>
      <c r="O323"/>
      <c r="P323"/>
      <c r="Q323"/>
      <c r="R323"/>
      <c r="S323"/>
      <c r="T323"/>
      <c r="U323"/>
      <c r="V323"/>
      <c r="W323"/>
      <c r="X323"/>
      <c r="Y323"/>
      <c r="Z323"/>
      <c r="AA323"/>
      <c r="AB323"/>
      <c r="AC323"/>
      <c r="AD323"/>
      <c r="AE323"/>
      <c r="AF323"/>
      <c r="AG323"/>
      <c r="AH323"/>
    </row>
    <row r="324" spans="2:34" s="106" customFormat="1" x14ac:dyDescent="0.25">
      <c r="B324"/>
      <c r="C324"/>
      <c r="D324"/>
      <c r="E324" s="105"/>
      <c r="F324" s="105"/>
      <c r="H324"/>
      <c r="I324"/>
      <c r="J324"/>
      <c r="K324"/>
      <c r="L324"/>
      <c r="M324"/>
      <c r="N324"/>
      <c r="O324"/>
      <c r="P324"/>
      <c r="Q324"/>
      <c r="R324"/>
      <c r="S324"/>
      <c r="T324"/>
      <c r="U324"/>
      <c r="V324"/>
      <c r="W324"/>
      <c r="X324"/>
      <c r="Y324"/>
      <c r="Z324"/>
      <c r="AA324"/>
      <c r="AB324"/>
      <c r="AC324"/>
      <c r="AD324"/>
      <c r="AE324"/>
      <c r="AF324"/>
      <c r="AG324"/>
      <c r="AH324"/>
    </row>
    <row r="325" spans="2:34" s="106" customFormat="1" x14ac:dyDescent="0.25">
      <c r="B325"/>
      <c r="C325"/>
      <c r="D325"/>
      <c r="E325" s="105"/>
      <c r="F325" s="105"/>
      <c r="H325"/>
      <c r="I325"/>
      <c r="J325"/>
      <c r="K325"/>
      <c r="L325"/>
      <c r="M325"/>
      <c r="N325"/>
      <c r="O325"/>
      <c r="P325"/>
      <c r="Q325"/>
      <c r="R325"/>
      <c r="S325"/>
      <c r="T325"/>
      <c r="U325"/>
      <c r="V325"/>
      <c r="W325"/>
      <c r="X325"/>
      <c r="Y325"/>
      <c r="Z325"/>
      <c r="AA325"/>
      <c r="AB325"/>
      <c r="AC325"/>
      <c r="AD325"/>
      <c r="AE325"/>
      <c r="AF325"/>
      <c r="AG325"/>
      <c r="AH325"/>
    </row>
    <row r="326" spans="2:34" s="106" customFormat="1" x14ac:dyDescent="0.25">
      <c r="B326"/>
      <c r="C326"/>
      <c r="D326"/>
      <c r="E326" s="105"/>
      <c r="F326" s="105"/>
      <c r="H326"/>
      <c r="I326"/>
      <c r="J326"/>
      <c r="K326"/>
      <c r="L326"/>
      <c r="M326"/>
      <c r="N326"/>
      <c r="O326"/>
      <c r="P326"/>
      <c r="Q326"/>
      <c r="R326"/>
      <c r="S326"/>
      <c r="T326"/>
      <c r="U326"/>
      <c r="V326"/>
      <c r="W326"/>
      <c r="X326"/>
      <c r="Y326"/>
      <c r="Z326"/>
      <c r="AA326"/>
      <c r="AB326"/>
      <c r="AC326"/>
      <c r="AD326"/>
      <c r="AE326"/>
      <c r="AF326"/>
      <c r="AG326"/>
      <c r="AH326"/>
    </row>
    <row r="327" spans="2:34" s="106" customFormat="1" x14ac:dyDescent="0.25">
      <c r="B327"/>
      <c r="C327"/>
      <c r="D327"/>
      <c r="E327" s="105"/>
      <c r="F327" s="105"/>
      <c r="H327"/>
      <c r="I327"/>
      <c r="J327"/>
      <c r="K327"/>
      <c r="L327"/>
      <c r="M327"/>
      <c r="N327"/>
      <c r="O327"/>
      <c r="P327"/>
      <c r="Q327"/>
      <c r="R327"/>
      <c r="S327"/>
      <c r="T327"/>
      <c r="U327"/>
      <c r="V327"/>
      <c r="W327"/>
      <c r="X327"/>
      <c r="Y327"/>
      <c r="Z327"/>
      <c r="AA327"/>
      <c r="AB327"/>
      <c r="AC327"/>
      <c r="AD327"/>
      <c r="AE327"/>
      <c r="AF327"/>
      <c r="AG327"/>
      <c r="AH327"/>
    </row>
    <row r="328" spans="2:34" s="106" customFormat="1" x14ac:dyDescent="0.25">
      <c r="B328"/>
      <c r="C328"/>
      <c r="D328"/>
      <c r="E328" s="105"/>
      <c r="F328" s="105"/>
      <c r="H328"/>
      <c r="I328"/>
      <c r="J328"/>
      <c r="K328"/>
      <c r="L328"/>
      <c r="M328"/>
      <c r="N328"/>
      <c r="O328"/>
      <c r="P328"/>
      <c r="Q328"/>
      <c r="R328"/>
      <c r="S328"/>
      <c r="T328"/>
      <c r="U328"/>
      <c r="V328"/>
      <c r="W328"/>
      <c r="X328"/>
      <c r="Y328"/>
      <c r="Z328"/>
      <c r="AA328"/>
      <c r="AB328"/>
      <c r="AC328"/>
      <c r="AD328"/>
      <c r="AE328"/>
      <c r="AF328"/>
      <c r="AG328"/>
      <c r="AH328"/>
    </row>
    <row r="329" spans="2:34" s="106" customFormat="1" x14ac:dyDescent="0.25">
      <c r="B329"/>
      <c r="C329"/>
      <c r="D329"/>
      <c r="E329" s="105"/>
      <c r="F329" s="105"/>
      <c r="H329"/>
      <c r="I329"/>
      <c r="J329"/>
      <c r="K329"/>
      <c r="L329"/>
      <c r="M329"/>
      <c r="N329"/>
      <c r="O329"/>
      <c r="P329"/>
      <c r="Q329"/>
      <c r="R329"/>
      <c r="S329"/>
      <c r="T329"/>
      <c r="U329"/>
      <c r="V329"/>
      <c r="W329"/>
      <c r="X329"/>
      <c r="Y329"/>
      <c r="Z329"/>
      <c r="AA329"/>
      <c r="AB329"/>
      <c r="AC329"/>
      <c r="AD329"/>
      <c r="AE329"/>
      <c r="AF329"/>
      <c r="AG329"/>
      <c r="AH329"/>
    </row>
    <row r="330" spans="2:34" s="106" customFormat="1" x14ac:dyDescent="0.25">
      <c r="B330"/>
      <c r="C330"/>
      <c r="D330"/>
      <c r="E330" s="105"/>
      <c r="F330" s="105"/>
      <c r="H330"/>
      <c r="I330"/>
      <c r="J330"/>
      <c r="K330"/>
      <c r="L330"/>
      <c r="M330"/>
      <c r="N330"/>
      <c r="O330"/>
      <c r="P330"/>
      <c r="Q330"/>
      <c r="R330"/>
      <c r="S330"/>
      <c r="T330"/>
      <c r="U330"/>
      <c r="V330"/>
      <c r="W330"/>
      <c r="X330"/>
      <c r="Y330"/>
      <c r="Z330"/>
      <c r="AA330"/>
      <c r="AB330"/>
      <c r="AC330"/>
      <c r="AD330"/>
      <c r="AE330"/>
      <c r="AF330"/>
      <c r="AG330"/>
      <c r="AH330"/>
    </row>
    <row r="331" spans="2:34" s="106" customFormat="1" x14ac:dyDescent="0.25">
      <c r="B331"/>
      <c r="C331"/>
      <c r="D331"/>
      <c r="E331" s="105"/>
      <c r="F331" s="105"/>
      <c r="H331"/>
      <c r="I331"/>
      <c r="J331"/>
      <c r="K331"/>
      <c r="L331"/>
      <c r="M331"/>
      <c r="N331"/>
      <c r="O331"/>
      <c r="P331"/>
      <c r="Q331"/>
      <c r="R331"/>
      <c r="S331"/>
      <c r="T331"/>
      <c r="U331"/>
      <c r="V331"/>
      <c r="W331"/>
      <c r="X331"/>
      <c r="Y331"/>
      <c r="Z331"/>
      <c r="AA331"/>
      <c r="AB331"/>
      <c r="AC331"/>
      <c r="AD331"/>
      <c r="AE331"/>
      <c r="AF331"/>
      <c r="AG331"/>
      <c r="AH331"/>
    </row>
    <row r="332" spans="2:34" s="106" customFormat="1" x14ac:dyDescent="0.25">
      <c r="B332"/>
      <c r="C332"/>
      <c r="D332"/>
      <c r="E332" s="105"/>
      <c r="F332" s="105"/>
      <c r="H332"/>
      <c r="I332"/>
      <c r="J332"/>
      <c r="K332"/>
      <c r="L332"/>
      <c r="M332"/>
      <c r="N332"/>
      <c r="O332"/>
      <c r="P332"/>
      <c r="Q332"/>
      <c r="R332"/>
      <c r="S332"/>
      <c r="T332"/>
      <c r="U332"/>
      <c r="V332"/>
      <c r="W332"/>
      <c r="X332"/>
      <c r="Y332"/>
      <c r="Z332"/>
      <c r="AA332"/>
      <c r="AB332"/>
      <c r="AC332"/>
      <c r="AD332"/>
      <c r="AE332"/>
      <c r="AF332"/>
      <c r="AG332"/>
      <c r="AH332"/>
    </row>
    <row r="333" spans="2:34" s="106" customFormat="1" x14ac:dyDescent="0.25">
      <c r="B333"/>
      <c r="C333"/>
      <c r="D333"/>
      <c r="E333" s="105"/>
      <c r="F333" s="105"/>
      <c r="H333"/>
      <c r="I333"/>
      <c r="J333"/>
      <c r="K333"/>
      <c r="L333"/>
      <c r="M333"/>
      <c r="N333"/>
      <c r="O333"/>
      <c r="P333"/>
      <c r="Q333"/>
      <c r="R333"/>
      <c r="S333"/>
      <c r="T333"/>
      <c r="U333"/>
      <c r="V333"/>
      <c r="W333"/>
      <c r="X333"/>
      <c r="Y333"/>
      <c r="Z333"/>
      <c r="AA333"/>
      <c r="AB333"/>
      <c r="AC333"/>
      <c r="AD333"/>
      <c r="AE333"/>
      <c r="AF333"/>
      <c r="AG333"/>
      <c r="AH333"/>
    </row>
    <row r="334" spans="2:34" s="106" customFormat="1" x14ac:dyDescent="0.25">
      <c r="B334"/>
      <c r="C334"/>
      <c r="D334"/>
      <c r="E334" s="105"/>
      <c r="F334" s="105"/>
      <c r="H334"/>
      <c r="I334"/>
      <c r="J334"/>
      <c r="K334"/>
      <c r="L334"/>
      <c r="M334"/>
      <c r="N334"/>
      <c r="O334"/>
      <c r="P334"/>
      <c r="Q334"/>
      <c r="R334"/>
      <c r="S334"/>
      <c r="T334"/>
      <c r="U334"/>
      <c r="V334"/>
      <c r="W334"/>
      <c r="X334"/>
      <c r="Y334"/>
      <c r="Z334"/>
      <c r="AA334"/>
      <c r="AB334"/>
      <c r="AC334"/>
      <c r="AD334"/>
      <c r="AE334"/>
      <c r="AF334"/>
      <c r="AG334"/>
      <c r="AH334"/>
    </row>
    <row r="335" spans="2:34" s="106" customFormat="1" x14ac:dyDescent="0.25">
      <c r="B335"/>
      <c r="C335"/>
      <c r="D335"/>
      <c r="E335" s="105"/>
      <c r="F335" s="105"/>
      <c r="H335"/>
      <c r="I335"/>
      <c r="J335"/>
      <c r="K335"/>
      <c r="L335"/>
      <c r="M335"/>
      <c r="N335"/>
      <c r="O335"/>
      <c r="P335"/>
      <c r="Q335"/>
      <c r="R335"/>
      <c r="S335"/>
      <c r="T335"/>
      <c r="U335"/>
      <c r="V335"/>
      <c r="W335"/>
      <c r="X335"/>
      <c r="Y335"/>
      <c r="Z335"/>
      <c r="AA335"/>
      <c r="AB335"/>
      <c r="AC335"/>
      <c r="AD335"/>
      <c r="AE335"/>
      <c r="AF335"/>
      <c r="AG335"/>
      <c r="AH335"/>
    </row>
    <row r="336" spans="2:34" s="106" customFormat="1" x14ac:dyDescent="0.25">
      <c r="B336"/>
      <c r="C336"/>
      <c r="D336"/>
      <c r="E336" s="105"/>
      <c r="F336" s="105"/>
      <c r="H336"/>
      <c r="I336"/>
      <c r="J336"/>
      <c r="K336"/>
      <c r="L336"/>
      <c r="M336"/>
      <c r="N336"/>
      <c r="O336"/>
      <c r="P336"/>
      <c r="Q336"/>
      <c r="R336"/>
      <c r="S336"/>
      <c r="T336"/>
      <c r="U336"/>
      <c r="V336"/>
      <c r="W336"/>
      <c r="X336"/>
      <c r="Y336"/>
      <c r="Z336"/>
      <c r="AA336"/>
      <c r="AB336"/>
      <c r="AC336"/>
      <c r="AD336"/>
      <c r="AE336"/>
      <c r="AF336"/>
      <c r="AG336"/>
      <c r="AH336"/>
    </row>
    <row r="337" spans="2:34" s="106" customFormat="1" x14ac:dyDescent="0.25">
      <c r="B337"/>
      <c r="C337"/>
      <c r="D337"/>
      <c r="E337" s="105"/>
      <c r="F337" s="105"/>
      <c r="H337"/>
      <c r="I337"/>
      <c r="J337"/>
      <c r="K337"/>
      <c r="L337"/>
      <c r="M337"/>
      <c r="N337"/>
      <c r="O337"/>
      <c r="P337"/>
      <c r="Q337"/>
      <c r="R337"/>
      <c r="S337"/>
      <c r="T337"/>
      <c r="U337"/>
      <c r="V337"/>
      <c r="W337"/>
      <c r="X337"/>
      <c r="Y337"/>
      <c r="Z337"/>
      <c r="AA337"/>
      <c r="AB337"/>
      <c r="AC337"/>
      <c r="AD337"/>
      <c r="AE337"/>
      <c r="AF337"/>
      <c r="AG337"/>
      <c r="AH337"/>
    </row>
    <row r="338" spans="2:34" s="106" customFormat="1" x14ac:dyDescent="0.25">
      <c r="B338"/>
      <c r="C338"/>
      <c r="D338"/>
      <c r="E338" s="105"/>
      <c r="F338" s="105"/>
      <c r="H338"/>
      <c r="I338"/>
      <c r="J338"/>
      <c r="K338"/>
      <c r="L338"/>
      <c r="M338"/>
      <c r="N338"/>
      <c r="O338"/>
      <c r="P338"/>
      <c r="Q338"/>
      <c r="R338"/>
      <c r="S338"/>
      <c r="T338"/>
      <c r="U338"/>
      <c r="V338"/>
      <c r="W338"/>
      <c r="X338"/>
      <c r="Y338"/>
      <c r="Z338"/>
      <c r="AA338"/>
      <c r="AB338"/>
      <c r="AC338"/>
      <c r="AD338"/>
      <c r="AE338"/>
      <c r="AF338"/>
      <c r="AG338"/>
      <c r="AH338"/>
    </row>
    <row r="339" spans="2:34" s="106" customFormat="1" x14ac:dyDescent="0.25">
      <c r="B339"/>
      <c r="C339"/>
      <c r="D339"/>
      <c r="E339" s="105"/>
      <c r="F339" s="105"/>
      <c r="H339"/>
      <c r="I339"/>
      <c r="J339"/>
      <c r="K339"/>
      <c r="L339"/>
      <c r="M339"/>
      <c r="N339"/>
      <c r="O339"/>
      <c r="P339"/>
      <c r="Q339"/>
      <c r="R339"/>
      <c r="S339"/>
      <c r="T339"/>
      <c r="U339"/>
      <c r="V339"/>
      <c r="W339"/>
      <c r="X339"/>
      <c r="Y339"/>
      <c r="Z339"/>
      <c r="AA339"/>
      <c r="AB339"/>
      <c r="AC339"/>
      <c r="AD339"/>
      <c r="AE339"/>
      <c r="AF339"/>
      <c r="AG339"/>
      <c r="AH339"/>
    </row>
    <row r="340" spans="2:34" s="106" customFormat="1" x14ac:dyDescent="0.25">
      <c r="B340"/>
      <c r="C340"/>
      <c r="D340"/>
      <c r="E340" s="105"/>
      <c r="F340" s="105"/>
      <c r="H340"/>
      <c r="I340"/>
      <c r="J340"/>
      <c r="K340"/>
      <c r="L340"/>
      <c r="M340"/>
      <c r="N340"/>
      <c r="O340"/>
      <c r="P340"/>
      <c r="Q340"/>
      <c r="R340"/>
      <c r="S340"/>
      <c r="T340"/>
      <c r="U340"/>
      <c r="V340"/>
      <c r="W340"/>
      <c r="X340"/>
      <c r="Y340"/>
      <c r="Z340"/>
      <c r="AA340"/>
      <c r="AB340"/>
      <c r="AC340"/>
      <c r="AD340"/>
      <c r="AE340"/>
      <c r="AF340"/>
      <c r="AG340"/>
      <c r="AH340"/>
    </row>
    <row r="341" spans="2:34" s="106" customFormat="1" x14ac:dyDescent="0.25">
      <c r="B341"/>
      <c r="C341"/>
      <c r="D341"/>
      <c r="E341" s="105"/>
      <c r="F341" s="105"/>
      <c r="H341"/>
      <c r="I341"/>
      <c r="J341"/>
      <c r="K341"/>
      <c r="L341"/>
      <c r="M341"/>
      <c r="N341"/>
      <c r="O341"/>
      <c r="P341"/>
      <c r="Q341"/>
      <c r="R341"/>
      <c r="S341"/>
      <c r="T341"/>
      <c r="U341"/>
      <c r="V341"/>
      <c r="W341"/>
      <c r="X341"/>
      <c r="Y341"/>
      <c r="Z341"/>
      <c r="AA341"/>
      <c r="AB341"/>
      <c r="AC341"/>
      <c r="AD341"/>
      <c r="AE341"/>
      <c r="AF341"/>
      <c r="AG341"/>
      <c r="AH341"/>
    </row>
    <row r="342" spans="2:34" s="106" customFormat="1" x14ac:dyDescent="0.25">
      <c r="B342"/>
      <c r="C342"/>
      <c r="D342"/>
      <c r="E342" s="105"/>
      <c r="F342" s="105"/>
      <c r="H342"/>
      <c r="I342"/>
      <c r="J342"/>
      <c r="K342"/>
      <c r="L342"/>
      <c r="M342"/>
      <c r="N342"/>
      <c r="O342"/>
      <c r="P342"/>
      <c r="Q342"/>
      <c r="R342"/>
      <c r="S342"/>
      <c r="T342"/>
      <c r="U342"/>
      <c r="V342"/>
      <c r="W342"/>
      <c r="X342"/>
      <c r="Y342"/>
      <c r="Z342"/>
      <c r="AA342"/>
      <c r="AB342"/>
      <c r="AC342"/>
      <c r="AD342"/>
      <c r="AE342"/>
      <c r="AF342"/>
      <c r="AG342"/>
      <c r="AH342"/>
    </row>
    <row r="343" spans="2:34" s="106" customFormat="1" x14ac:dyDescent="0.25">
      <c r="B343"/>
      <c r="C343"/>
      <c r="D343"/>
      <c r="E343" s="105"/>
      <c r="F343" s="105"/>
      <c r="H343"/>
      <c r="I343"/>
      <c r="J343"/>
      <c r="K343"/>
      <c r="L343"/>
      <c r="M343"/>
      <c r="N343"/>
      <c r="O343"/>
      <c r="P343"/>
      <c r="Q343"/>
      <c r="R343"/>
      <c r="S343"/>
      <c r="T343"/>
      <c r="U343"/>
      <c r="V343"/>
      <c r="W343"/>
      <c r="X343"/>
      <c r="Y343"/>
      <c r="Z343"/>
      <c r="AA343"/>
      <c r="AB343"/>
      <c r="AC343"/>
      <c r="AD343"/>
      <c r="AE343"/>
      <c r="AF343"/>
      <c r="AG343"/>
      <c r="AH343"/>
    </row>
    <row r="344" spans="2:34" s="106" customFormat="1" x14ac:dyDescent="0.25">
      <c r="B344"/>
      <c r="C344"/>
      <c r="D344"/>
      <c r="E344" s="105"/>
      <c r="F344" s="105"/>
      <c r="H344"/>
      <c r="I344"/>
      <c r="J344"/>
      <c r="K344"/>
      <c r="L344"/>
      <c r="M344"/>
      <c r="N344"/>
      <c r="O344"/>
      <c r="P344"/>
      <c r="Q344"/>
      <c r="R344"/>
      <c r="S344"/>
      <c r="T344"/>
      <c r="U344"/>
      <c r="V344"/>
      <c r="W344"/>
      <c r="X344"/>
      <c r="Y344"/>
      <c r="Z344"/>
      <c r="AA344"/>
      <c r="AB344"/>
      <c r="AC344"/>
      <c r="AD344"/>
      <c r="AE344"/>
      <c r="AF344"/>
      <c r="AG344"/>
      <c r="AH344"/>
    </row>
    <row r="345" spans="2:34" s="106" customFormat="1" x14ac:dyDescent="0.25">
      <c r="B345"/>
      <c r="C345"/>
      <c r="D345"/>
      <c r="E345" s="105"/>
      <c r="F345" s="105"/>
      <c r="H345"/>
      <c r="I345"/>
      <c r="J345"/>
      <c r="K345"/>
      <c r="L345"/>
      <c r="M345"/>
      <c r="N345"/>
      <c r="O345"/>
      <c r="P345"/>
      <c r="Q345"/>
      <c r="R345"/>
      <c r="S345"/>
      <c r="T345"/>
      <c r="U345"/>
      <c r="V345"/>
      <c r="W345"/>
      <c r="X345"/>
      <c r="Y345"/>
      <c r="Z345"/>
      <c r="AA345"/>
      <c r="AB345"/>
      <c r="AC345"/>
      <c r="AD345"/>
      <c r="AE345"/>
      <c r="AF345"/>
      <c r="AG345"/>
      <c r="AH345"/>
    </row>
    <row r="346" spans="2:34" s="106" customFormat="1" x14ac:dyDescent="0.25">
      <c r="B346"/>
      <c r="C346"/>
      <c r="D346"/>
      <c r="E346" s="105"/>
      <c r="F346" s="105"/>
      <c r="H346"/>
      <c r="I346"/>
      <c r="J346"/>
      <c r="K346"/>
      <c r="L346"/>
      <c r="M346"/>
      <c r="N346"/>
      <c r="O346"/>
      <c r="P346"/>
      <c r="Q346"/>
      <c r="R346"/>
      <c r="S346"/>
      <c r="T346"/>
      <c r="U346"/>
      <c r="V346"/>
      <c r="W346"/>
      <c r="X346"/>
      <c r="Y346"/>
      <c r="Z346"/>
      <c r="AA346"/>
      <c r="AB346"/>
      <c r="AC346"/>
      <c r="AD346"/>
      <c r="AE346"/>
      <c r="AF346"/>
      <c r="AG346"/>
      <c r="AH346"/>
    </row>
    <row r="347" spans="2:34" s="106" customFormat="1" x14ac:dyDescent="0.25">
      <c r="B347"/>
      <c r="C347"/>
      <c r="D347"/>
      <c r="E347" s="105"/>
      <c r="F347" s="105"/>
      <c r="H347"/>
      <c r="I347"/>
      <c r="J347"/>
      <c r="K347"/>
      <c r="L347"/>
      <c r="M347"/>
      <c r="N347"/>
      <c r="O347"/>
      <c r="P347"/>
      <c r="Q347"/>
      <c r="R347"/>
      <c r="S347"/>
      <c r="T347"/>
      <c r="U347"/>
      <c r="V347"/>
      <c r="W347"/>
      <c r="X347"/>
      <c r="Y347"/>
      <c r="Z347"/>
      <c r="AA347"/>
      <c r="AB347"/>
      <c r="AC347"/>
      <c r="AD347"/>
      <c r="AE347"/>
      <c r="AF347"/>
      <c r="AG347"/>
      <c r="AH347"/>
    </row>
    <row r="348" spans="2:34" s="106" customFormat="1" x14ac:dyDescent="0.25">
      <c r="B348"/>
      <c r="C348"/>
      <c r="D348"/>
      <c r="E348" s="105"/>
      <c r="F348" s="105"/>
      <c r="H348"/>
      <c r="I348"/>
      <c r="J348"/>
      <c r="K348"/>
      <c r="L348"/>
      <c r="M348"/>
      <c r="N348"/>
      <c r="O348"/>
      <c r="P348"/>
      <c r="Q348"/>
      <c r="R348"/>
      <c r="S348"/>
      <c r="T348"/>
      <c r="U348"/>
      <c r="V348"/>
      <c r="W348"/>
      <c r="X348"/>
      <c r="Y348"/>
      <c r="Z348"/>
      <c r="AA348"/>
      <c r="AB348"/>
      <c r="AC348"/>
      <c r="AD348"/>
      <c r="AE348"/>
      <c r="AF348"/>
      <c r="AG348"/>
      <c r="AH348"/>
    </row>
    <row r="349" spans="2:34" s="106" customFormat="1" x14ac:dyDescent="0.25">
      <c r="B349"/>
      <c r="C349"/>
      <c r="D349"/>
      <c r="E349" s="105"/>
      <c r="F349" s="105"/>
      <c r="H349"/>
      <c r="I349"/>
      <c r="J349"/>
      <c r="K349"/>
      <c r="L349"/>
      <c r="M349"/>
      <c r="N349"/>
      <c r="O349"/>
      <c r="P349"/>
      <c r="Q349"/>
      <c r="R349"/>
      <c r="S349"/>
      <c r="T349"/>
      <c r="U349"/>
      <c r="V349"/>
      <c r="W349"/>
      <c r="X349"/>
      <c r="Y349"/>
      <c r="Z349"/>
      <c r="AA349"/>
      <c r="AB349"/>
      <c r="AC349"/>
      <c r="AD349"/>
      <c r="AE349"/>
      <c r="AF349"/>
      <c r="AG349"/>
      <c r="AH349"/>
    </row>
    <row r="350" spans="2:34" s="106" customFormat="1" x14ac:dyDescent="0.25">
      <c r="B350"/>
      <c r="C350"/>
      <c r="D350"/>
      <c r="E350" s="105"/>
      <c r="F350" s="105"/>
      <c r="H350"/>
      <c r="I350"/>
      <c r="J350"/>
      <c r="K350"/>
      <c r="L350"/>
      <c r="M350"/>
      <c r="N350"/>
      <c r="O350"/>
      <c r="P350"/>
      <c r="Q350"/>
      <c r="R350"/>
      <c r="S350"/>
      <c r="T350"/>
      <c r="U350"/>
      <c r="V350"/>
      <c r="W350"/>
      <c r="X350"/>
      <c r="Y350"/>
      <c r="Z350"/>
      <c r="AA350"/>
      <c r="AB350"/>
      <c r="AC350"/>
      <c r="AD350"/>
      <c r="AE350"/>
      <c r="AF350"/>
      <c r="AG350"/>
      <c r="AH350"/>
    </row>
    <row r="351" spans="2:34" s="106" customFormat="1" x14ac:dyDescent="0.25">
      <c r="B351"/>
      <c r="C351"/>
      <c r="D351"/>
      <c r="E351" s="105"/>
      <c r="F351" s="105"/>
      <c r="H351"/>
      <c r="I351"/>
      <c r="J351"/>
      <c r="K351"/>
      <c r="L351"/>
      <c r="M351"/>
      <c r="N351"/>
      <c r="O351"/>
      <c r="P351"/>
      <c r="Q351"/>
      <c r="R351"/>
      <c r="S351"/>
      <c r="T351"/>
      <c r="U351"/>
      <c r="V351"/>
      <c r="W351"/>
      <c r="X351"/>
      <c r="Y351"/>
      <c r="Z351"/>
      <c r="AA351"/>
      <c r="AB351"/>
      <c r="AC351"/>
      <c r="AD351"/>
      <c r="AE351"/>
      <c r="AF351"/>
      <c r="AG351"/>
      <c r="AH351"/>
    </row>
    <row r="352" spans="2:34" s="106" customFormat="1" x14ac:dyDescent="0.25">
      <c r="B352"/>
      <c r="C352"/>
      <c r="D352"/>
      <c r="E352" s="105"/>
      <c r="F352" s="105"/>
      <c r="H352"/>
      <c r="I352"/>
      <c r="J352"/>
      <c r="K352"/>
      <c r="L352"/>
      <c r="M352"/>
      <c r="N352"/>
      <c r="O352"/>
      <c r="P352"/>
      <c r="Q352"/>
      <c r="R352"/>
      <c r="S352"/>
      <c r="T352"/>
      <c r="U352"/>
      <c r="V352"/>
      <c r="W352"/>
      <c r="X352"/>
      <c r="Y352"/>
      <c r="Z352"/>
      <c r="AA352"/>
      <c r="AB352"/>
      <c r="AC352"/>
      <c r="AD352"/>
      <c r="AE352"/>
      <c r="AF352"/>
      <c r="AG352"/>
      <c r="AH352"/>
    </row>
    <row r="353" spans="2:34" s="106" customFormat="1" x14ac:dyDescent="0.25">
      <c r="B353"/>
      <c r="C353"/>
      <c r="D353"/>
      <c r="E353" s="105"/>
      <c r="F353" s="105"/>
      <c r="H353"/>
      <c r="I353"/>
      <c r="J353"/>
      <c r="K353"/>
      <c r="L353"/>
      <c r="M353"/>
      <c r="N353"/>
      <c r="O353"/>
      <c r="P353"/>
      <c r="Q353"/>
      <c r="R353"/>
      <c r="S353"/>
      <c r="T353"/>
      <c r="U353"/>
      <c r="V353"/>
      <c r="W353"/>
      <c r="X353"/>
      <c r="Y353"/>
      <c r="Z353"/>
      <c r="AA353"/>
      <c r="AB353"/>
      <c r="AC353"/>
      <c r="AD353"/>
      <c r="AE353"/>
      <c r="AF353"/>
      <c r="AG353"/>
      <c r="AH353"/>
    </row>
    <row r="354" spans="2:34" s="106" customFormat="1" x14ac:dyDescent="0.25">
      <c r="B354"/>
      <c r="C354"/>
      <c r="D354"/>
      <c r="E354" s="105"/>
      <c r="F354" s="105"/>
      <c r="H354"/>
      <c r="I354"/>
      <c r="J354"/>
      <c r="K354"/>
      <c r="L354"/>
      <c r="M354"/>
      <c r="N354"/>
      <c r="O354"/>
      <c r="P354"/>
      <c r="Q354"/>
      <c r="R354"/>
      <c r="S354"/>
      <c r="T354"/>
      <c r="U354"/>
      <c r="V354"/>
      <c r="W354"/>
      <c r="X354"/>
      <c r="Y354"/>
      <c r="Z354"/>
      <c r="AA354"/>
      <c r="AB354"/>
      <c r="AC354"/>
      <c r="AD354"/>
      <c r="AE354"/>
      <c r="AF354"/>
      <c r="AG354"/>
      <c r="AH354"/>
    </row>
    <row r="355" spans="2:34" s="106" customFormat="1" x14ac:dyDescent="0.25">
      <c r="B355"/>
      <c r="C355"/>
      <c r="D355"/>
      <c r="E355" s="105"/>
      <c r="F355" s="105"/>
      <c r="H355"/>
      <c r="I355"/>
      <c r="J355"/>
      <c r="K355"/>
      <c r="L355"/>
      <c r="M355"/>
      <c r="N355"/>
      <c r="O355"/>
      <c r="P355"/>
      <c r="Q355"/>
      <c r="R355"/>
      <c r="S355"/>
      <c r="T355"/>
      <c r="U355"/>
      <c r="V355"/>
      <c r="W355"/>
      <c r="X355"/>
      <c r="Y355"/>
      <c r="Z355"/>
      <c r="AA355"/>
      <c r="AB355"/>
      <c r="AC355"/>
      <c r="AD355"/>
      <c r="AE355"/>
      <c r="AF355"/>
      <c r="AG355"/>
      <c r="AH355"/>
    </row>
    <row r="356" spans="2:34" s="106" customFormat="1" x14ac:dyDescent="0.25">
      <c r="B356"/>
      <c r="C356"/>
      <c r="D356"/>
      <c r="E356" s="105"/>
      <c r="F356" s="105"/>
      <c r="H356"/>
      <c r="I356"/>
      <c r="J356"/>
      <c r="K356"/>
      <c r="L356"/>
      <c r="M356"/>
      <c r="N356"/>
      <c r="O356"/>
      <c r="P356"/>
      <c r="Q356"/>
      <c r="R356"/>
      <c r="S356"/>
      <c r="T356"/>
      <c r="U356"/>
      <c r="V356"/>
      <c r="W356"/>
      <c r="X356"/>
      <c r="Y356"/>
      <c r="Z356"/>
      <c r="AA356"/>
      <c r="AB356"/>
      <c r="AC356"/>
      <c r="AD356"/>
      <c r="AE356"/>
      <c r="AF356"/>
      <c r="AG356"/>
      <c r="AH356"/>
    </row>
    <row r="357" spans="2:34" s="106" customFormat="1" x14ac:dyDescent="0.25">
      <c r="B357"/>
      <c r="C357"/>
      <c r="D357"/>
      <c r="E357" s="105"/>
      <c r="F357" s="105"/>
      <c r="H357"/>
      <c r="I357"/>
      <c r="J357"/>
      <c r="K357"/>
      <c r="L357"/>
      <c r="M357"/>
      <c r="N357"/>
      <c r="O357"/>
      <c r="P357"/>
      <c r="Q357"/>
      <c r="R357"/>
      <c r="S357"/>
      <c r="T357"/>
      <c r="U357"/>
      <c r="V357"/>
      <c r="W357"/>
      <c r="X357"/>
      <c r="Y357"/>
      <c r="Z357"/>
      <c r="AA357"/>
      <c r="AB357"/>
      <c r="AC357"/>
      <c r="AD357"/>
      <c r="AE357"/>
      <c r="AF357"/>
      <c r="AG357"/>
      <c r="AH357"/>
    </row>
    <row r="358" spans="2:34" s="106" customFormat="1" x14ac:dyDescent="0.25">
      <c r="B358"/>
      <c r="C358"/>
      <c r="D358"/>
      <c r="E358" s="105"/>
      <c r="F358" s="105"/>
      <c r="H358"/>
      <c r="I358"/>
      <c r="J358"/>
      <c r="K358"/>
      <c r="L358"/>
      <c r="M358"/>
      <c r="N358"/>
      <c r="O358"/>
      <c r="P358"/>
      <c r="Q358"/>
      <c r="R358"/>
      <c r="S358"/>
      <c r="T358"/>
      <c r="U358"/>
      <c r="V358"/>
      <c r="W358"/>
      <c r="X358"/>
      <c r="Y358"/>
      <c r="Z358"/>
      <c r="AA358"/>
      <c r="AB358"/>
      <c r="AC358"/>
      <c r="AD358"/>
      <c r="AE358"/>
      <c r="AF358"/>
      <c r="AG358"/>
      <c r="AH358"/>
    </row>
    <row r="359" spans="2:34" s="106" customFormat="1" x14ac:dyDescent="0.25">
      <c r="B359"/>
      <c r="C359"/>
      <c r="D359"/>
      <c r="E359" s="105"/>
      <c r="F359" s="105"/>
      <c r="H359"/>
      <c r="I359"/>
      <c r="J359"/>
      <c r="K359"/>
      <c r="L359"/>
      <c r="M359"/>
      <c r="N359"/>
      <c r="O359"/>
      <c r="P359"/>
      <c r="Q359"/>
      <c r="R359"/>
      <c r="S359"/>
      <c r="T359"/>
      <c r="U359"/>
      <c r="V359"/>
      <c r="W359"/>
      <c r="X359"/>
      <c r="Y359"/>
      <c r="Z359"/>
      <c r="AA359"/>
      <c r="AB359"/>
      <c r="AC359"/>
      <c r="AD359"/>
      <c r="AE359"/>
      <c r="AF359"/>
      <c r="AG359"/>
      <c r="AH359"/>
    </row>
    <row r="360" spans="2:34" s="106" customFormat="1" x14ac:dyDescent="0.25">
      <c r="B360"/>
      <c r="C360"/>
      <c r="D360"/>
      <c r="E360" s="105"/>
      <c r="F360" s="105"/>
      <c r="H360"/>
      <c r="I360"/>
      <c r="J360"/>
      <c r="K360"/>
      <c r="L360"/>
      <c r="M360"/>
      <c r="N360"/>
      <c r="O360"/>
      <c r="P360"/>
      <c r="Q360"/>
      <c r="R360"/>
      <c r="S360"/>
      <c r="T360"/>
      <c r="U360"/>
      <c r="V360"/>
      <c r="W360"/>
      <c r="X360"/>
      <c r="Y360"/>
      <c r="Z360"/>
      <c r="AA360"/>
      <c r="AB360"/>
      <c r="AC360"/>
      <c r="AD360"/>
      <c r="AE360"/>
      <c r="AF360"/>
      <c r="AG360"/>
      <c r="AH360"/>
    </row>
    <row r="361" spans="2:34" s="106" customFormat="1" x14ac:dyDescent="0.25">
      <c r="B361"/>
      <c r="C361"/>
      <c r="D361"/>
      <c r="E361" s="105"/>
      <c r="F361" s="105"/>
      <c r="H361"/>
      <c r="I361"/>
      <c r="J361"/>
      <c r="K361"/>
      <c r="L361"/>
      <c r="M361"/>
      <c r="N361"/>
      <c r="O361"/>
      <c r="P361"/>
      <c r="Q361"/>
      <c r="R361"/>
      <c r="S361"/>
      <c r="T361"/>
      <c r="U361"/>
      <c r="V361"/>
      <c r="W361"/>
      <c r="X361"/>
      <c r="Y361"/>
      <c r="Z361"/>
      <c r="AA361"/>
      <c r="AB361"/>
      <c r="AC361"/>
      <c r="AD361"/>
      <c r="AE361"/>
      <c r="AF361"/>
      <c r="AG361"/>
      <c r="AH361"/>
    </row>
    <row r="362" spans="2:34" s="106" customFormat="1" x14ac:dyDescent="0.25">
      <c r="B362"/>
      <c r="C362"/>
      <c r="D362"/>
      <c r="E362" s="105"/>
      <c r="F362" s="105"/>
      <c r="H362"/>
      <c r="I362"/>
      <c r="J362"/>
      <c r="K362"/>
      <c r="L362"/>
      <c r="M362"/>
      <c r="N362"/>
      <c r="O362"/>
      <c r="P362"/>
      <c r="Q362"/>
      <c r="R362"/>
      <c r="S362"/>
      <c r="T362"/>
      <c r="U362"/>
      <c r="V362"/>
      <c r="W362"/>
      <c r="X362"/>
      <c r="Y362"/>
      <c r="Z362"/>
      <c r="AA362"/>
      <c r="AB362"/>
      <c r="AC362"/>
      <c r="AD362"/>
      <c r="AE362"/>
      <c r="AF362"/>
      <c r="AG362"/>
      <c r="AH362"/>
    </row>
    <row r="363" spans="2:34" s="106" customFormat="1" x14ac:dyDescent="0.25">
      <c r="B363"/>
      <c r="C363"/>
      <c r="D363"/>
      <c r="E363" s="105"/>
      <c r="F363" s="105"/>
      <c r="H363"/>
      <c r="I363"/>
      <c r="J363"/>
      <c r="K363"/>
      <c r="L363"/>
      <c r="M363"/>
      <c r="N363"/>
      <c r="O363"/>
      <c r="P363"/>
      <c r="Q363"/>
      <c r="R363"/>
      <c r="S363"/>
      <c r="T363"/>
      <c r="U363"/>
      <c r="V363"/>
      <c r="W363"/>
      <c r="X363"/>
      <c r="Y363"/>
      <c r="Z363"/>
      <c r="AA363"/>
      <c r="AB363"/>
      <c r="AC363"/>
      <c r="AD363"/>
      <c r="AE363"/>
      <c r="AF363"/>
      <c r="AG363"/>
      <c r="AH363"/>
    </row>
    <row r="364" spans="2:34" s="106" customFormat="1" x14ac:dyDescent="0.25">
      <c r="B364"/>
      <c r="C364"/>
      <c r="D364"/>
      <c r="E364" s="105"/>
      <c r="F364" s="105"/>
      <c r="H364"/>
      <c r="I364"/>
      <c r="J364"/>
      <c r="K364"/>
      <c r="L364"/>
      <c r="M364"/>
      <c r="N364"/>
      <c r="O364"/>
      <c r="P364"/>
      <c r="Q364"/>
      <c r="R364"/>
      <c r="S364"/>
      <c r="T364"/>
      <c r="U364"/>
      <c r="V364"/>
      <c r="W364"/>
      <c r="X364"/>
      <c r="Y364"/>
      <c r="Z364"/>
      <c r="AA364"/>
      <c r="AB364"/>
      <c r="AC364"/>
      <c r="AD364"/>
      <c r="AE364"/>
      <c r="AF364"/>
      <c r="AG364"/>
      <c r="AH364"/>
    </row>
    <row r="365" spans="2:34" s="106" customFormat="1" x14ac:dyDescent="0.25">
      <c r="B365"/>
      <c r="C365"/>
      <c r="D365"/>
      <c r="E365" s="105"/>
      <c r="F365" s="105"/>
      <c r="H365"/>
      <c r="I365"/>
      <c r="J365"/>
      <c r="K365"/>
      <c r="L365"/>
      <c r="M365"/>
      <c r="N365"/>
      <c r="O365"/>
      <c r="P365"/>
      <c r="Q365"/>
      <c r="R365"/>
      <c r="S365"/>
      <c r="T365"/>
      <c r="U365"/>
      <c r="V365"/>
      <c r="W365"/>
      <c r="X365"/>
      <c r="Y365"/>
      <c r="Z365"/>
      <c r="AA365"/>
      <c r="AB365"/>
      <c r="AC365"/>
      <c r="AD365"/>
      <c r="AE365"/>
      <c r="AF365"/>
      <c r="AG365"/>
      <c r="AH365"/>
    </row>
    <row r="366" spans="2:34" s="106" customFormat="1" x14ac:dyDescent="0.25">
      <c r="B366"/>
      <c r="C366"/>
      <c r="D366"/>
      <c r="E366" s="105"/>
      <c r="F366" s="105"/>
      <c r="H366"/>
      <c r="I366"/>
      <c r="J366"/>
      <c r="K366"/>
      <c r="L366"/>
      <c r="M366"/>
      <c r="N366"/>
      <c r="O366"/>
      <c r="P366"/>
      <c r="Q366"/>
      <c r="R366"/>
      <c r="S366"/>
      <c r="T366"/>
      <c r="U366"/>
      <c r="V366"/>
      <c r="W366"/>
      <c r="X366"/>
      <c r="Y366"/>
      <c r="Z366"/>
      <c r="AA366"/>
      <c r="AB366"/>
      <c r="AC366"/>
      <c r="AD366"/>
      <c r="AE366"/>
      <c r="AF366"/>
      <c r="AG366"/>
      <c r="AH366"/>
    </row>
    <row r="367" spans="2:34" s="106" customFormat="1" x14ac:dyDescent="0.25">
      <c r="B367"/>
      <c r="C367"/>
      <c r="D367"/>
      <c r="E367" s="105"/>
      <c r="F367" s="105"/>
      <c r="H367"/>
      <c r="I367"/>
      <c r="J367"/>
      <c r="K367"/>
      <c r="L367"/>
      <c r="M367"/>
      <c r="N367"/>
      <c r="O367"/>
      <c r="P367"/>
      <c r="Q367"/>
      <c r="R367"/>
      <c r="S367"/>
      <c r="T367"/>
      <c r="U367"/>
      <c r="V367"/>
      <c r="W367"/>
      <c r="X367"/>
      <c r="Y367"/>
      <c r="Z367"/>
      <c r="AA367"/>
      <c r="AB367"/>
      <c r="AC367"/>
      <c r="AD367"/>
      <c r="AE367"/>
      <c r="AF367"/>
      <c r="AG367"/>
      <c r="AH367"/>
    </row>
    <row r="368" spans="2:34" s="106" customFormat="1" x14ac:dyDescent="0.25">
      <c r="B368"/>
      <c r="C368"/>
      <c r="D368"/>
      <c r="E368" s="105"/>
      <c r="F368" s="105"/>
      <c r="H368"/>
      <c r="I368"/>
      <c r="J368"/>
      <c r="K368"/>
      <c r="L368"/>
      <c r="M368"/>
      <c r="N368"/>
      <c r="O368"/>
      <c r="P368"/>
      <c r="Q368"/>
      <c r="R368"/>
      <c r="S368"/>
      <c r="T368"/>
      <c r="U368"/>
      <c r="V368"/>
      <c r="W368"/>
      <c r="X368"/>
      <c r="Y368"/>
      <c r="Z368"/>
      <c r="AA368"/>
      <c r="AB368"/>
      <c r="AC368"/>
      <c r="AD368"/>
      <c r="AE368"/>
      <c r="AF368"/>
      <c r="AG368"/>
      <c r="AH368"/>
    </row>
    <row r="369" spans="2:34" s="106" customFormat="1" x14ac:dyDescent="0.25">
      <c r="B369"/>
      <c r="C369"/>
      <c r="D369"/>
      <c r="E369" s="105"/>
      <c r="F369" s="105"/>
      <c r="H369"/>
      <c r="I369"/>
      <c r="J369"/>
      <c r="K369"/>
      <c r="L369"/>
      <c r="M369"/>
      <c r="N369"/>
      <c r="O369"/>
      <c r="P369"/>
      <c r="Q369"/>
      <c r="R369"/>
      <c r="S369"/>
      <c r="T369"/>
      <c r="U369"/>
      <c r="V369"/>
      <c r="W369"/>
      <c r="X369"/>
      <c r="Y369"/>
      <c r="Z369"/>
      <c r="AA369"/>
      <c r="AB369"/>
      <c r="AC369"/>
      <c r="AD369"/>
      <c r="AE369"/>
      <c r="AF369"/>
      <c r="AG369"/>
      <c r="AH369"/>
    </row>
    <row r="370" spans="2:34" s="106" customFormat="1" x14ac:dyDescent="0.25">
      <c r="B370"/>
      <c r="C370"/>
      <c r="D370"/>
      <c r="E370" s="105"/>
      <c r="F370" s="105"/>
      <c r="H370"/>
      <c r="I370"/>
      <c r="J370"/>
      <c r="K370"/>
      <c r="L370"/>
      <c r="M370"/>
      <c r="N370"/>
      <c r="O370"/>
      <c r="P370"/>
      <c r="Q370"/>
      <c r="R370"/>
      <c r="S370"/>
      <c r="T370"/>
      <c r="U370"/>
      <c r="V370"/>
      <c r="W370"/>
      <c r="X370"/>
      <c r="Y370"/>
      <c r="Z370"/>
      <c r="AA370"/>
      <c r="AB370"/>
      <c r="AC370"/>
      <c r="AD370"/>
      <c r="AE370"/>
      <c r="AF370"/>
      <c r="AG370"/>
      <c r="AH370"/>
    </row>
    <row r="371" spans="2:34" s="106" customFormat="1" x14ac:dyDescent="0.25">
      <c r="B371"/>
      <c r="C371"/>
      <c r="D371"/>
      <c r="E371" s="105"/>
      <c r="F371" s="105"/>
      <c r="H371"/>
      <c r="I371"/>
      <c r="J371"/>
      <c r="K371"/>
      <c r="L371"/>
      <c r="M371"/>
      <c r="N371"/>
      <c r="O371"/>
      <c r="P371"/>
      <c r="Q371"/>
      <c r="R371"/>
      <c r="S371"/>
      <c r="T371"/>
      <c r="U371"/>
      <c r="V371"/>
      <c r="W371"/>
      <c r="X371"/>
      <c r="Y371"/>
      <c r="Z371"/>
      <c r="AA371"/>
      <c r="AB371"/>
      <c r="AC371"/>
      <c r="AD371"/>
      <c r="AE371"/>
      <c r="AF371"/>
      <c r="AG371"/>
      <c r="AH371"/>
    </row>
    <row r="372" spans="2:34" s="106" customFormat="1" x14ac:dyDescent="0.25">
      <c r="B372"/>
      <c r="C372"/>
      <c r="D372"/>
      <c r="E372" s="105"/>
      <c r="F372" s="105"/>
      <c r="H372"/>
      <c r="I372"/>
      <c r="J372"/>
      <c r="K372"/>
      <c r="L372"/>
      <c r="M372"/>
      <c r="N372"/>
      <c r="O372"/>
      <c r="P372"/>
      <c r="Q372"/>
      <c r="R372"/>
      <c r="S372"/>
      <c r="T372"/>
      <c r="U372"/>
      <c r="V372"/>
      <c r="W372"/>
      <c r="X372"/>
      <c r="Y372"/>
      <c r="Z372"/>
      <c r="AA372"/>
      <c r="AB372"/>
      <c r="AC372"/>
      <c r="AD372"/>
      <c r="AE372"/>
      <c r="AF372"/>
      <c r="AG372"/>
      <c r="AH372"/>
    </row>
    <row r="373" spans="2:34" s="106" customFormat="1" x14ac:dyDescent="0.25">
      <c r="B373"/>
      <c r="C373"/>
      <c r="D373"/>
      <c r="E373" s="105"/>
      <c r="F373" s="105"/>
      <c r="H373"/>
      <c r="I373"/>
      <c r="J373"/>
      <c r="K373"/>
      <c r="L373"/>
      <c r="M373"/>
      <c r="N373"/>
      <c r="O373"/>
      <c r="P373"/>
      <c r="Q373"/>
      <c r="R373"/>
      <c r="S373"/>
      <c r="T373"/>
      <c r="U373"/>
      <c r="V373"/>
      <c r="W373"/>
      <c r="X373"/>
      <c r="Y373"/>
      <c r="Z373"/>
      <c r="AA373"/>
      <c r="AB373"/>
      <c r="AC373"/>
      <c r="AD373"/>
      <c r="AE373"/>
      <c r="AF373"/>
      <c r="AG373"/>
      <c r="AH373"/>
    </row>
    <row r="374" spans="2:34" s="106" customFormat="1" x14ac:dyDescent="0.25">
      <c r="B374"/>
      <c r="C374"/>
      <c r="D374"/>
      <c r="E374" s="105"/>
      <c r="F374" s="105"/>
      <c r="H374"/>
      <c r="I374"/>
      <c r="J374"/>
      <c r="K374"/>
      <c r="L374"/>
      <c r="M374"/>
      <c r="N374"/>
      <c r="O374"/>
      <c r="P374"/>
      <c r="Q374"/>
      <c r="R374"/>
      <c r="S374"/>
      <c r="T374"/>
      <c r="U374"/>
      <c r="V374"/>
      <c r="W374"/>
      <c r="X374"/>
      <c r="Y374"/>
      <c r="Z374"/>
      <c r="AA374"/>
      <c r="AB374"/>
      <c r="AC374"/>
      <c r="AD374"/>
      <c r="AE374"/>
      <c r="AF374"/>
      <c r="AG374"/>
      <c r="AH374"/>
    </row>
    <row r="375" spans="2:34" s="106" customFormat="1" x14ac:dyDescent="0.25">
      <c r="B375"/>
      <c r="C375"/>
      <c r="D375"/>
      <c r="E375" s="105"/>
      <c r="F375" s="105"/>
      <c r="H375"/>
      <c r="I375"/>
      <c r="J375"/>
      <c r="K375"/>
      <c r="L375"/>
      <c r="M375"/>
      <c r="N375"/>
      <c r="O375"/>
      <c r="P375"/>
      <c r="Q375"/>
      <c r="R375"/>
      <c r="S375"/>
      <c r="T375"/>
      <c r="U375"/>
      <c r="V375"/>
      <c r="W375"/>
      <c r="X375"/>
      <c r="Y375"/>
      <c r="Z375"/>
      <c r="AA375"/>
      <c r="AB375"/>
      <c r="AC375"/>
      <c r="AD375"/>
      <c r="AE375"/>
      <c r="AF375"/>
      <c r="AG375"/>
      <c r="AH375"/>
    </row>
    <row r="376" spans="2:34" s="106" customFormat="1" x14ac:dyDescent="0.25">
      <c r="B376"/>
      <c r="C376"/>
      <c r="D376"/>
      <c r="E376" s="105"/>
      <c r="F376" s="105"/>
      <c r="H376"/>
      <c r="I376"/>
      <c r="J376"/>
      <c r="K376"/>
      <c r="L376"/>
      <c r="M376"/>
      <c r="N376"/>
      <c r="O376"/>
      <c r="P376"/>
      <c r="Q376"/>
      <c r="R376"/>
      <c r="S376"/>
      <c r="T376"/>
      <c r="U376"/>
      <c r="V376"/>
      <c r="W376"/>
      <c r="X376"/>
      <c r="Y376"/>
      <c r="Z376"/>
      <c r="AA376"/>
      <c r="AB376"/>
      <c r="AC376"/>
      <c r="AD376"/>
      <c r="AE376"/>
      <c r="AF376"/>
      <c r="AG376"/>
      <c r="AH376"/>
    </row>
    <row r="377" spans="2:34" s="106" customFormat="1" x14ac:dyDescent="0.25">
      <c r="B377"/>
      <c r="C377"/>
      <c r="D377"/>
      <c r="E377" s="105"/>
      <c r="F377" s="105"/>
      <c r="H377"/>
      <c r="I377"/>
      <c r="J377"/>
      <c r="K377"/>
      <c r="L377"/>
      <c r="M377"/>
      <c r="N377"/>
      <c r="O377"/>
      <c r="P377"/>
      <c r="Q377"/>
      <c r="R377"/>
      <c r="S377"/>
      <c r="T377"/>
      <c r="U377"/>
      <c r="V377"/>
      <c r="W377"/>
      <c r="X377"/>
      <c r="Y377"/>
      <c r="Z377"/>
      <c r="AA377"/>
      <c r="AB377"/>
      <c r="AC377"/>
      <c r="AD377"/>
      <c r="AE377"/>
      <c r="AF377"/>
      <c r="AG377"/>
      <c r="AH377"/>
    </row>
    <row r="378" spans="2:34" s="106" customFormat="1" x14ac:dyDescent="0.25">
      <c r="B378"/>
      <c r="C378"/>
      <c r="D378"/>
      <c r="E378" s="105"/>
      <c r="F378" s="105"/>
      <c r="H378"/>
      <c r="I378"/>
      <c r="J378"/>
      <c r="K378"/>
      <c r="L378"/>
      <c r="M378"/>
      <c r="N378"/>
      <c r="O378"/>
      <c r="P378"/>
      <c r="Q378"/>
      <c r="R378"/>
      <c r="S378"/>
      <c r="T378"/>
      <c r="U378"/>
      <c r="V378"/>
      <c r="W378"/>
      <c r="X378"/>
      <c r="Y378"/>
      <c r="Z378"/>
      <c r="AA378"/>
      <c r="AB378"/>
      <c r="AC378"/>
      <c r="AD378"/>
      <c r="AE378"/>
      <c r="AF378"/>
      <c r="AG378"/>
      <c r="AH378"/>
    </row>
    <row r="379" spans="2:34" s="106" customFormat="1" x14ac:dyDescent="0.25">
      <c r="B379"/>
      <c r="C379"/>
      <c r="D379"/>
      <c r="E379" s="105"/>
      <c r="F379" s="105"/>
      <c r="H379"/>
      <c r="I379"/>
      <c r="J379"/>
      <c r="K379"/>
      <c r="L379"/>
      <c r="M379"/>
      <c r="N379"/>
      <c r="O379"/>
      <c r="P379"/>
      <c r="Q379"/>
      <c r="R379"/>
      <c r="S379"/>
      <c r="T379"/>
      <c r="U379"/>
      <c r="V379"/>
      <c r="W379"/>
      <c r="X379"/>
      <c r="Y379"/>
      <c r="Z379"/>
      <c r="AA379"/>
      <c r="AB379"/>
      <c r="AC379"/>
      <c r="AD379"/>
      <c r="AE379"/>
      <c r="AF379"/>
      <c r="AG379"/>
      <c r="AH379"/>
    </row>
    <row r="380" spans="2:34" s="106" customFormat="1" x14ac:dyDescent="0.25">
      <c r="B380"/>
      <c r="C380"/>
      <c r="D380"/>
      <c r="E380" s="105"/>
      <c r="F380" s="105"/>
      <c r="H380"/>
      <c r="I380"/>
      <c r="J380"/>
      <c r="K380"/>
      <c r="L380"/>
      <c r="M380"/>
      <c r="N380"/>
      <c r="O380"/>
      <c r="P380"/>
      <c r="Q380"/>
      <c r="R380"/>
      <c r="S380"/>
      <c r="T380"/>
      <c r="U380"/>
      <c r="V380"/>
      <c r="W380"/>
      <c r="X380"/>
      <c r="Y380"/>
      <c r="Z380"/>
      <c r="AA380"/>
      <c r="AB380"/>
      <c r="AC380"/>
      <c r="AD380"/>
      <c r="AE380"/>
      <c r="AF380"/>
      <c r="AG380"/>
      <c r="AH380"/>
    </row>
    <row r="381" spans="2:34" s="106" customFormat="1" x14ac:dyDescent="0.25">
      <c r="B381"/>
      <c r="C381"/>
      <c r="D381"/>
      <c r="E381" s="105"/>
      <c r="F381" s="105"/>
      <c r="H381"/>
      <c r="I381"/>
      <c r="J381"/>
      <c r="K381"/>
      <c r="L381"/>
      <c r="M381"/>
      <c r="N381"/>
      <c r="O381"/>
      <c r="P381"/>
      <c r="Q381"/>
      <c r="R381"/>
      <c r="S381"/>
      <c r="T381"/>
      <c r="U381"/>
      <c r="V381"/>
      <c r="W381"/>
      <c r="X381"/>
      <c r="Y381"/>
      <c r="Z381"/>
      <c r="AA381"/>
      <c r="AB381"/>
      <c r="AC381"/>
      <c r="AD381"/>
      <c r="AE381"/>
      <c r="AF381"/>
      <c r="AG381"/>
      <c r="AH381"/>
    </row>
    <row r="382" spans="2:34" s="106" customFormat="1" x14ac:dyDescent="0.25">
      <c r="B382"/>
      <c r="C382"/>
      <c r="D382"/>
      <c r="E382" s="105"/>
      <c r="F382" s="105"/>
      <c r="H382"/>
      <c r="I382"/>
      <c r="J382"/>
      <c r="K382"/>
      <c r="L382"/>
      <c r="M382"/>
      <c r="N382"/>
      <c r="O382"/>
      <c r="P382"/>
      <c r="Q382"/>
      <c r="R382"/>
      <c r="S382"/>
      <c r="T382"/>
      <c r="U382"/>
      <c r="V382"/>
      <c r="W382"/>
      <c r="X382"/>
      <c r="Y382"/>
      <c r="Z382"/>
      <c r="AA382"/>
      <c r="AB382"/>
      <c r="AC382"/>
      <c r="AD382"/>
      <c r="AE382"/>
      <c r="AF382"/>
      <c r="AG382"/>
      <c r="AH382"/>
    </row>
    <row r="383" spans="2:34" s="106" customFormat="1" x14ac:dyDescent="0.25">
      <c r="B383"/>
      <c r="C383"/>
      <c r="D383"/>
      <c r="E383" s="105"/>
      <c r="F383" s="105"/>
      <c r="H383"/>
      <c r="I383"/>
      <c r="J383"/>
      <c r="K383"/>
      <c r="L383"/>
      <c r="M383"/>
      <c r="N383"/>
      <c r="O383"/>
      <c r="P383"/>
      <c r="Q383"/>
      <c r="R383"/>
      <c r="S383"/>
      <c r="T383"/>
      <c r="U383"/>
      <c r="V383"/>
      <c r="W383"/>
      <c r="X383"/>
      <c r="Y383"/>
      <c r="Z383"/>
      <c r="AA383"/>
      <c r="AB383"/>
      <c r="AC383"/>
      <c r="AD383"/>
      <c r="AE383"/>
      <c r="AF383"/>
      <c r="AG383"/>
      <c r="AH383"/>
    </row>
    <row r="384" spans="2:34" s="106" customFormat="1" x14ac:dyDescent="0.25">
      <c r="B384"/>
      <c r="C384"/>
      <c r="D384"/>
      <c r="E384" s="105"/>
      <c r="F384" s="105"/>
      <c r="H384"/>
      <c r="I384"/>
      <c r="J384"/>
      <c r="K384"/>
      <c r="L384"/>
      <c r="M384"/>
      <c r="N384"/>
      <c r="O384"/>
      <c r="P384"/>
      <c r="Q384"/>
      <c r="R384"/>
      <c r="S384"/>
      <c r="T384"/>
      <c r="U384"/>
      <c r="V384"/>
      <c r="W384"/>
      <c r="X384"/>
      <c r="Y384"/>
      <c r="Z384"/>
      <c r="AA384"/>
      <c r="AB384"/>
      <c r="AC384"/>
      <c r="AD384"/>
      <c r="AE384"/>
      <c r="AF384"/>
      <c r="AG384"/>
      <c r="AH384"/>
    </row>
    <row r="385" spans="2:34" s="106" customFormat="1" x14ac:dyDescent="0.25">
      <c r="B385"/>
      <c r="C385"/>
      <c r="D385"/>
      <c r="E385" s="105"/>
      <c r="F385" s="105"/>
      <c r="H385"/>
      <c r="I385"/>
      <c r="J385"/>
      <c r="K385"/>
      <c r="L385"/>
      <c r="M385"/>
      <c r="N385"/>
      <c r="O385"/>
      <c r="P385"/>
      <c r="Q385"/>
      <c r="R385"/>
      <c r="S385"/>
      <c r="T385"/>
      <c r="U385"/>
      <c r="V385"/>
      <c r="W385"/>
      <c r="X385"/>
      <c r="Y385"/>
      <c r="Z385"/>
      <c r="AA385"/>
      <c r="AB385"/>
      <c r="AC385"/>
      <c r="AD385"/>
      <c r="AE385"/>
      <c r="AF385"/>
      <c r="AG385"/>
      <c r="AH385"/>
    </row>
    <row r="386" spans="2:34" s="106" customFormat="1" x14ac:dyDescent="0.25">
      <c r="B386"/>
      <c r="C386"/>
      <c r="D386"/>
      <c r="E386" s="105"/>
      <c r="F386" s="105"/>
      <c r="H386"/>
      <c r="I386"/>
      <c r="J386"/>
      <c r="K386"/>
      <c r="L386"/>
      <c r="M386"/>
      <c r="N386"/>
      <c r="O386"/>
      <c r="P386"/>
      <c r="Q386"/>
      <c r="R386"/>
      <c r="S386"/>
      <c r="T386"/>
      <c r="U386"/>
      <c r="V386"/>
      <c r="W386"/>
      <c r="X386"/>
      <c r="Y386"/>
      <c r="Z386"/>
      <c r="AA386"/>
      <c r="AB386"/>
      <c r="AC386"/>
      <c r="AD386"/>
      <c r="AE386"/>
      <c r="AF386"/>
      <c r="AG386"/>
      <c r="AH386"/>
    </row>
    <row r="387" spans="2:34" s="106" customFormat="1" x14ac:dyDescent="0.25">
      <c r="B387"/>
      <c r="C387"/>
      <c r="D387"/>
      <c r="E387" s="105"/>
      <c r="F387" s="105"/>
      <c r="H387"/>
      <c r="I387"/>
      <c r="J387"/>
      <c r="K387"/>
      <c r="L387"/>
      <c r="M387"/>
      <c r="N387"/>
      <c r="O387"/>
      <c r="P387"/>
      <c r="Q387"/>
      <c r="R387"/>
      <c r="S387"/>
      <c r="T387"/>
      <c r="U387"/>
      <c r="V387"/>
      <c r="W387"/>
      <c r="X387"/>
      <c r="Y387"/>
      <c r="Z387"/>
      <c r="AA387"/>
      <c r="AB387"/>
      <c r="AC387"/>
      <c r="AD387"/>
      <c r="AE387"/>
      <c r="AF387"/>
      <c r="AG387"/>
      <c r="AH387"/>
    </row>
    <row r="388" spans="2:34" s="106" customFormat="1" x14ac:dyDescent="0.25">
      <c r="B388"/>
      <c r="C388"/>
      <c r="D388"/>
      <c r="E388" s="105"/>
      <c r="F388" s="105"/>
      <c r="H388"/>
      <c r="I388"/>
      <c r="J388"/>
      <c r="K388"/>
      <c r="L388"/>
      <c r="M388"/>
      <c r="N388"/>
      <c r="O388"/>
      <c r="P388"/>
      <c r="Q388"/>
      <c r="R388"/>
      <c r="S388"/>
      <c r="T388"/>
      <c r="U388"/>
      <c r="V388"/>
      <c r="W388"/>
      <c r="X388"/>
      <c r="Y388"/>
      <c r="Z388"/>
      <c r="AA388"/>
      <c r="AB388"/>
      <c r="AC388"/>
      <c r="AD388"/>
      <c r="AE388"/>
      <c r="AF388"/>
      <c r="AG388"/>
      <c r="AH388"/>
    </row>
    <row r="389" spans="2:34" s="106" customFormat="1" x14ac:dyDescent="0.25">
      <c r="B389"/>
      <c r="C389"/>
      <c r="D389"/>
      <c r="E389" s="105"/>
      <c r="F389" s="105"/>
      <c r="H389"/>
      <c r="I389"/>
      <c r="J389"/>
      <c r="K389"/>
      <c r="L389"/>
      <c r="M389"/>
      <c r="N389"/>
      <c r="O389"/>
      <c r="P389"/>
      <c r="Q389"/>
      <c r="R389"/>
      <c r="S389"/>
      <c r="T389"/>
      <c r="U389"/>
      <c r="V389"/>
      <c r="W389"/>
      <c r="X389"/>
      <c r="Y389"/>
      <c r="Z389"/>
      <c r="AA389"/>
      <c r="AB389"/>
      <c r="AC389"/>
      <c r="AD389"/>
      <c r="AE389"/>
      <c r="AF389"/>
      <c r="AG389"/>
      <c r="AH389"/>
    </row>
    <row r="390" spans="2:34" s="106" customFormat="1" x14ac:dyDescent="0.25">
      <c r="B390"/>
      <c r="C390"/>
      <c r="D390"/>
      <c r="E390" s="105"/>
      <c r="F390" s="105"/>
      <c r="H390"/>
      <c r="I390"/>
      <c r="J390"/>
      <c r="K390"/>
      <c r="L390"/>
      <c r="M390"/>
      <c r="N390"/>
      <c r="O390"/>
      <c r="P390"/>
      <c r="Q390"/>
      <c r="R390"/>
      <c r="S390"/>
      <c r="T390"/>
      <c r="U390"/>
      <c r="V390"/>
      <c r="W390"/>
      <c r="X390"/>
      <c r="Y390"/>
      <c r="Z390"/>
      <c r="AA390"/>
      <c r="AB390"/>
      <c r="AC390"/>
      <c r="AD390"/>
      <c r="AE390"/>
      <c r="AF390"/>
      <c r="AG390"/>
      <c r="AH390"/>
    </row>
    <row r="391" spans="2:34" s="106" customFormat="1" x14ac:dyDescent="0.25">
      <c r="B391"/>
      <c r="C391"/>
      <c r="D391"/>
      <c r="E391" s="105"/>
      <c r="F391" s="105"/>
      <c r="H391"/>
      <c r="I391"/>
      <c r="J391"/>
      <c r="K391"/>
      <c r="L391"/>
      <c r="M391"/>
      <c r="N391"/>
      <c r="O391"/>
      <c r="P391"/>
      <c r="Q391"/>
      <c r="R391"/>
      <c r="S391"/>
      <c r="T391"/>
      <c r="U391"/>
      <c r="V391"/>
      <c r="W391"/>
      <c r="X391"/>
      <c r="Y391"/>
      <c r="Z391"/>
      <c r="AA391"/>
      <c r="AB391"/>
      <c r="AC391"/>
      <c r="AD391"/>
      <c r="AE391"/>
      <c r="AF391"/>
      <c r="AG391"/>
      <c r="AH391"/>
    </row>
    <row r="392" spans="2:34" s="106" customFormat="1" x14ac:dyDescent="0.25">
      <c r="B392"/>
      <c r="C392"/>
      <c r="D392"/>
      <c r="E392" s="105"/>
      <c r="F392" s="105"/>
      <c r="H392"/>
      <c r="I392"/>
      <c r="J392"/>
      <c r="K392"/>
      <c r="L392"/>
      <c r="M392"/>
      <c r="N392"/>
      <c r="O392"/>
      <c r="P392"/>
      <c r="Q392"/>
      <c r="R392"/>
      <c r="S392"/>
      <c r="T392"/>
      <c r="U392"/>
      <c r="V392"/>
      <c r="W392"/>
      <c r="X392"/>
      <c r="Y392"/>
      <c r="Z392"/>
      <c r="AA392"/>
      <c r="AB392"/>
      <c r="AC392"/>
      <c r="AD392"/>
      <c r="AE392"/>
      <c r="AF392"/>
      <c r="AG392"/>
      <c r="AH392"/>
    </row>
    <row r="393" spans="2:34" s="106" customFormat="1" x14ac:dyDescent="0.25">
      <c r="B393"/>
      <c r="C393"/>
      <c r="D393"/>
      <c r="E393" s="105"/>
      <c r="F393" s="105"/>
      <c r="H393"/>
      <c r="I393"/>
      <c r="J393"/>
      <c r="K393"/>
      <c r="L393"/>
      <c r="M393"/>
      <c r="N393"/>
      <c r="O393"/>
      <c r="P393"/>
      <c r="Q393"/>
      <c r="R393"/>
      <c r="S393"/>
      <c r="T393"/>
      <c r="U393"/>
      <c r="V393"/>
      <c r="W393"/>
      <c r="X393"/>
      <c r="Y393"/>
      <c r="Z393"/>
      <c r="AA393"/>
      <c r="AB393"/>
      <c r="AC393"/>
      <c r="AD393"/>
      <c r="AE393"/>
      <c r="AF393"/>
      <c r="AG393"/>
      <c r="AH393"/>
    </row>
    <row r="394" spans="2:34" s="106" customFormat="1" x14ac:dyDescent="0.25">
      <c r="B394"/>
      <c r="C394"/>
      <c r="D394"/>
      <c r="E394" s="105"/>
      <c r="F394" s="105"/>
      <c r="H394"/>
      <c r="I394"/>
      <c r="J394"/>
      <c r="K394"/>
      <c r="L394"/>
      <c r="M394"/>
      <c r="N394"/>
      <c r="O394"/>
      <c r="P394"/>
      <c r="Q394"/>
      <c r="R394"/>
      <c r="S394"/>
      <c r="T394"/>
      <c r="U394"/>
      <c r="V394"/>
      <c r="W394"/>
      <c r="X394"/>
      <c r="Y394"/>
      <c r="Z394"/>
      <c r="AA394"/>
      <c r="AB394"/>
      <c r="AC394"/>
      <c r="AD394"/>
      <c r="AE394"/>
      <c r="AF394"/>
      <c r="AG394"/>
      <c r="AH394"/>
    </row>
    <row r="395" spans="2:34" s="106" customFormat="1" x14ac:dyDescent="0.25">
      <c r="B395"/>
      <c r="C395"/>
      <c r="D395"/>
      <c r="E395" s="105"/>
      <c r="F395" s="105"/>
      <c r="H395"/>
      <c r="I395"/>
      <c r="J395"/>
      <c r="K395"/>
      <c r="L395"/>
      <c r="M395"/>
      <c r="N395"/>
      <c r="O395"/>
      <c r="P395"/>
      <c r="Q395"/>
      <c r="R395"/>
      <c r="S395"/>
      <c r="T395"/>
      <c r="U395"/>
      <c r="V395"/>
      <c r="W395"/>
      <c r="X395"/>
      <c r="Y395"/>
      <c r="Z395"/>
      <c r="AA395"/>
      <c r="AB395"/>
      <c r="AC395"/>
      <c r="AD395"/>
      <c r="AE395"/>
      <c r="AF395"/>
      <c r="AG395"/>
      <c r="AH395"/>
    </row>
    <row r="396" spans="2:34" s="106" customFormat="1" x14ac:dyDescent="0.25">
      <c r="B396"/>
      <c r="C396"/>
      <c r="D396"/>
      <c r="E396" s="105"/>
      <c r="F396" s="105"/>
      <c r="H396"/>
      <c r="I396"/>
      <c r="J396"/>
      <c r="K396"/>
      <c r="L396"/>
      <c r="M396"/>
      <c r="N396"/>
      <c r="O396"/>
      <c r="P396"/>
      <c r="Q396"/>
      <c r="R396"/>
      <c r="S396"/>
      <c r="T396"/>
      <c r="U396"/>
      <c r="V396"/>
      <c r="W396"/>
      <c r="X396"/>
      <c r="Y396"/>
      <c r="Z396"/>
      <c r="AA396"/>
      <c r="AB396"/>
      <c r="AC396"/>
      <c r="AD396"/>
      <c r="AE396"/>
      <c r="AF396"/>
      <c r="AG396"/>
      <c r="AH396"/>
    </row>
    <row r="397" spans="2:34" s="106" customFormat="1" x14ac:dyDescent="0.25">
      <c r="B397"/>
      <c r="C397"/>
      <c r="D397"/>
      <c r="E397" s="105"/>
      <c r="F397" s="105"/>
      <c r="H397"/>
      <c r="I397"/>
      <c r="J397"/>
      <c r="K397"/>
      <c r="L397"/>
      <c r="M397"/>
      <c r="N397"/>
      <c r="O397"/>
      <c r="P397"/>
      <c r="Q397"/>
      <c r="R397"/>
      <c r="S397"/>
      <c r="T397"/>
      <c r="U397"/>
      <c r="V397"/>
      <c r="W397"/>
      <c r="X397"/>
      <c r="Y397"/>
      <c r="Z397"/>
      <c r="AA397"/>
      <c r="AB397"/>
      <c r="AC397"/>
      <c r="AD397"/>
      <c r="AE397"/>
      <c r="AF397"/>
      <c r="AG397"/>
      <c r="AH397"/>
    </row>
    <row r="398" spans="2:34" s="106" customFormat="1" x14ac:dyDescent="0.25">
      <c r="B398"/>
      <c r="C398"/>
      <c r="D398"/>
      <c r="E398" s="105"/>
      <c r="F398" s="105"/>
      <c r="H398"/>
      <c r="I398"/>
      <c r="J398"/>
      <c r="K398"/>
      <c r="L398"/>
      <c r="M398"/>
      <c r="N398"/>
      <c r="O398"/>
      <c r="P398"/>
      <c r="Q398"/>
      <c r="R398"/>
      <c r="S398"/>
      <c r="T398"/>
      <c r="U398"/>
      <c r="V398"/>
      <c r="W398"/>
      <c r="X398"/>
      <c r="Y398"/>
      <c r="Z398"/>
      <c r="AA398"/>
      <c r="AB398"/>
      <c r="AC398"/>
      <c r="AD398"/>
      <c r="AE398"/>
      <c r="AF398"/>
      <c r="AG398"/>
      <c r="AH398"/>
    </row>
    <row r="399" spans="2:34" s="106" customFormat="1" x14ac:dyDescent="0.25">
      <c r="B399"/>
      <c r="C399"/>
      <c r="D399"/>
      <c r="E399" s="105"/>
      <c r="F399" s="105"/>
      <c r="H399"/>
      <c r="I399"/>
      <c r="J399"/>
      <c r="K399"/>
      <c r="L399"/>
      <c r="M399"/>
      <c r="N399"/>
      <c r="O399"/>
      <c r="P399"/>
      <c r="Q399"/>
      <c r="R399"/>
      <c r="S399"/>
      <c r="T399"/>
      <c r="U399"/>
      <c r="V399"/>
      <c r="W399"/>
      <c r="X399"/>
      <c r="Y399"/>
      <c r="Z399"/>
      <c r="AA399"/>
      <c r="AB399"/>
      <c r="AC399"/>
      <c r="AD399"/>
      <c r="AE399"/>
      <c r="AF399"/>
      <c r="AG399"/>
      <c r="AH399"/>
    </row>
    <row r="400" spans="2:34" s="106" customFormat="1" x14ac:dyDescent="0.25">
      <c r="B400"/>
      <c r="C400"/>
      <c r="D400"/>
      <c r="E400" s="105"/>
      <c r="F400" s="105"/>
      <c r="H400"/>
      <c r="I400"/>
      <c r="J400"/>
      <c r="K400"/>
      <c r="L400"/>
      <c r="M400"/>
      <c r="N400"/>
      <c r="O400"/>
      <c r="P400"/>
      <c r="Q400"/>
      <c r="R400"/>
      <c r="S400"/>
      <c r="T400"/>
      <c r="U400"/>
      <c r="V400"/>
      <c r="W400"/>
      <c r="X400"/>
      <c r="Y400"/>
      <c r="Z400"/>
      <c r="AA400"/>
      <c r="AB400"/>
      <c r="AC400"/>
      <c r="AD400"/>
      <c r="AE400"/>
      <c r="AF400"/>
      <c r="AG400"/>
      <c r="AH400"/>
    </row>
    <row r="401" spans="2:34" s="106" customFormat="1" x14ac:dyDescent="0.25">
      <c r="B401"/>
      <c r="C401"/>
      <c r="D401"/>
      <c r="E401" s="105"/>
      <c r="F401" s="105"/>
      <c r="H401"/>
      <c r="I401"/>
      <c r="J401"/>
      <c r="K401"/>
      <c r="L401"/>
      <c r="M401"/>
      <c r="N401"/>
      <c r="O401"/>
      <c r="P401"/>
      <c r="Q401"/>
      <c r="R401"/>
      <c r="S401"/>
      <c r="T401"/>
      <c r="U401"/>
      <c r="V401"/>
      <c r="W401"/>
      <c r="X401"/>
      <c r="Y401"/>
      <c r="Z401"/>
      <c r="AA401"/>
      <c r="AB401"/>
      <c r="AC401"/>
      <c r="AD401"/>
      <c r="AE401"/>
      <c r="AF401"/>
      <c r="AG401"/>
      <c r="AH401"/>
    </row>
    <row r="402" spans="2:34" s="106" customFormat="1" x14ac:dyDescent="0.25">
      <c r="B402"/>
      <c r="C402"/>
      <c r="D402"/>
      <c r="E402" s="105"/>
      <c r="F402" s="105"/>
      <c r="H402"/>
      <c r="I402"/>
      <c r="J402"/>
      <c r="K402"/>
      <c r="L402"/>
      <c r="M402"/>
      <c r="N402"/>
      <c r="O402"/>
      <c r="P402"/>
      <c r="Q402"/>
      <c r="R402"/>
      <c r="S402"/>
      <c r="T402"/>
      <c r="U402"/>
      <c r="V402"/>
      <c r="W402"/>
      <c r="X402"/>
      <c r="Y402"/>
      <c r="Z402"/>
      <c r="AA402"/>
      <c r="AB402"/>
      <c r="AC402"/>
      <c r="AD402"/>
      <c r="AE402"/>
      <c r="AF402"/>
      <c r="AG402"/>
      <c r="AH402"/>
    </row>
    <row r="403" spans="2:34" s="106" customFormat="1" x14ac:dyDescent="0.25">
      <c r="B403"/>
      <c r="C403"/>
      <c r="D403"/>
      <c r="E403" s="105"/>
      <c r="F403" s="105"/>
      <c r="H403"/>
      <c r="I403"/>
      <c r="J403"/>
      <c r="K403"/>
      <c r="L403"/>
      <c r="M403"/>
      <c r="N403"/>
      <c r="O403"/>
      <c r="P403"/>
      <c r="Q403"/>
      <c r="R403"/>
      <c r="S403"/>
      <c r="T403"/>
      <c r="U403"/>
      <c r="V403"/>
      <c r="W403"/>
      <c r="X403"/>
      <c r="Y403"/>
      <c r="Z403"/>
      <c r="AA403"/>
      <c r="AB403"/>
      <c r="AC403"/>
      <c r="AD403"/>
      <c r="AE403"/>
      <c r="AF403"/>
      <c r="AG403"/>
      <c r="AH403"/>
    </row>
    <row r="404" spans="2:34" s="106" customFormat="1" x14ac:dyDescent="0.25">
      <c r="B404"/>
      <c r="C404"/>
      <c r="D404"/>
      <c r="E404" s="105"/>
      <c r="F404" s="105"/>
      <c r="H404"/>
      <c r="I404"/>
      <c r="J404"/>
      <c r="K404"/>
      <c r="L404"/>
      <c r="M404"/>
      <c r="N404"/>
      <c r="O404"/>
      <c r="P404"/>
      <c r="Q404"/>
      <c r="R404"/>
      <c r="S404"/>
      <c r="T404"/>
      <c r="U404"/>
      <c r="V404"/>
      <c r="W404"/>
      <c r="X404"/>
      <c r="Y404"/>
      <c r="Z404"/>
      <c r="AA404"/>
      <c r="AB404"/>
      <c r="AC404"/>
      <c r="AD404"/>
      <c r="AE404"/>
      <c r="AF404"/>
      <c r="AG404"/>
      <c r="AH404"/>
    </row>
    <row r="405" spans="2:34" s="106" customFormat="1" x14ac:dyDescent="0.25">
      <c r="B405"/>
      <c r="C405"/>
      <c r="D405"/>
      <c r="E405" s="105"/>
      <c r="F405" s="105"/>
      <c r="H405"/>
      <c r="I405"/>
      <c r="J405"/>
      <c r="K405"/>
      <c r="L405"/>
      <c r="M405"/>
      <c r="N405"/>
      <c r="O405"/>
      <c r="P405"/>
      <c r="Q405"/>
      <c r="R405"/>
      <c r="S405"/>
      <c r="T405"/>
      <c r="U405"/>
      <c r="V405"/>
      <c r="W405"/>
      <c r="X405"/>
      <c r="Y405"/>
      <c r="Z405"/>
      <c r="AA405"/>
      <c r="AB405"/>
      <c r="AC405"/>
      <c r="AD405"/>
      <c r="AE405"/>
      <c r="AF405"/>
      <c r="AG405"/>
      <c r="AH405"/>
    </row>
  </sheetData>
  <mergeCells count="8">
    <mergeCell ref="G6:AE6"/>
    <mergeCell ref="G3:AE3"/>
    <mergeCell ref="AG3:AH3"/>
    <mergeCell ref="AG1:AH1"/>
    <mergeCell ref="A1:AE1"/>
    <mergeCell ref="A3:E3"/>
    <mergeCell ref="G4:P4"/>
    <mergeCell ref="Q4:AE4"/>
  </mergeCells>
  <phoneticPr fontId="18" type="noConversion"/>
  <pageMargins left="0.75" right="0.75" top="1" bottom="1" header="0.5" footer="0.5"/>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313"/>
  <sheetViews>
    <sheetView workbookViewId="0">
      <selection activeCell="D8" sqref="D8"/>
    </sheetView>
  </sheetViews>
  <sheetFormatPr defaultColWidth="11" defaultRowHeight="15.75" x14ac:dyDescent="0.25"/>
  <cols>
    <col min="15" max="15" width="1.875" customWidth="1"/>
    <col min="19" max="19" width="1.875" customWidth="1"/>
    <col min="20" max="23" width="10.875" customWidth="1"/>
    <col min="24" max="24" width="1.875" customWidth="1"/>
    <col min="31" max="31" width="1.875" customWidth="1"/>
    <col min="32" max="36" width="10.875" customWidth="1"/>
    <col min="37" max="37" width="11.375" bestFit="1" customWidth="1"/>
    <col min="38" max="38" width="1.875" customWidth="1"/>
  </cols>
  <sheetData>
    <row r="1" spans="1:40" ht="26.1" customHeight="1" x14ac:dyDescent="0.25">
      <c r="A1" s="402" t="s">
        <v>258</v>
      </c>
      <c r="B1" s="403"/>
      <c r="C1" s="403"/>
      <c r="D1" s="403"/>
      <c r="E1" s="403"/>
      <c r="F1" s="403"/>
      <c r="G1" s="403"/>
      <c r="H1" s="403"/>
      <c r="I1" s="403"/>
      <c r="J1" s="403"/>
      <c r="K1" s="403"/>
      <c r="L1" s="403"/>
      <c r="M1" s="403"/>
      <c r="N1" s="403"/>
      <c r="O1" s="339"/>
      <c r="P1" s="339"/>
      <c r="Q1" s="339"/>
      <c r="R1" s="339"/>
      <c r="S1" s="140"/>
      <c r="T1" s="401"/>
      <c r="U1" s="401"/>
      <c r="V1" s="401"/>
      <c r="W1" s="401"/>
      <c r="X1" s="401"/>
      <c r="Y1" s="401"/>
      <c r="Z1" s="401"/>
      <c r="AA1" s="401"/>
      <c r="AB1" s="401"/>
      <c r="AC1" s="401"/>
      <c r="AD1" s="401"/>
      <c r="AE1" s="401"/>
      <c r="AF1" s="401"/>
      <c r="AG1" s="401"/>
      <c r="AH1" s="401"/>
      <c r="AI1" s="401"/>
      <c r="AJ1" s="401"/>
      <c r="AK1" s="401"/>
      <c r="AL1" s="401"/>
      <c r="AM1" s="401"/>
      <c r="AN1" s="401"/>
    </row>
    <row r="2" spans="1:40" ht="15" customHeight="1" x14ac:dyDescent="0.25">
      <c r="A2" s="141"/>
      <c r="B2" s="142"/>
      <c r="C2" s="142"/>
      <c r="D2" s="142"/>
      <c r="E2" s="142"/>
      <c r="F2" s="142"/>
      <c r="G2" s="142"/>
      <c r="H2" s="178">
        <f>+SUM(I2:N2)</f>
        <v>2919564.9999999995</v>
      </c>
      <c r="I2" s="179">
        <f>+SUMPRODUCT(I8:I216,$R8:$R216)</f>
        <v>689429.99999999942</v>
      </c>
      <c r="J2" s="179">
        <f t="shared" ref="J2:N2" si="0">+SUMPRODUCT(J8:J216,$R8:$R216)</f>
        <v>433726.00000000023</v>
      </c>
      <c r="K2" s="179">
        <f t="shared" si="0"/>
        <v>359844.00000000047</v>
      </c>
      <c r="L2" s="179">
        <f t="shared" si="0"/>
        <v>656478.99999999977</v>
      </c>
      <c r="M2" s="179">
        <f t="shared" si="0"/>
        <v>397080.99999999994</v>
      </c>
      <c r="N2" s="179">
        <f t="shared" si="0"/>
        <v>383004.99999999942</v>
      </c>
      <c r="O2" s="142"/>
      <c r="P2" s="143"/>
      <c r="Q2" s="143"/>
    </row>
    <row r="3" spans="1:40" ht="15" customHeight="1" x14ac:dyDescent="0.25">
      <c r="A3" s="402" t="s">
        <v>259</v>
      </c>
      <c r="B3" s="328"/>
      <c r="C3" s="328"/>
      <c r="D3" s="328"/>
      <c r="E3" s="328"/>
      <c r="F3" s="328"/>
      <c r="G3" s="328"/>
      <c r="H3" s="176"/>
      <c r="I3" s="413" t="s">
        <v>226</v>
      </c>
      <c r="J3" s="414"/>
      <c r="K3" s="414"/>
      <c r="L3" s="414"/>
      <c r="M3" s="414"/>
      <c r="N3" s="415"/>
      <c r="O3" s="139"/>
      <c r="P3" s="391" t="s">
        <v>260</v>
      </c>
      <c r="Q3" s="392"/>
      <c r="R3" s="392"/>
      <c r="S3" s="144"/>
      <c r="T3" s="407" t="s">
        <v>391</v>
      </c>
      <c r="U3" s="408"/>
      <c r="V3" s="408"/>
      <c r="W3" s="408"/>
      <c r="X3" s="177"/>
      <c r="Y3" s="407" t="s">
        <v>494</v>
      </c>
      <c r="Z3" s="407"/>
      <c r="AA3" s="407"/>
      <c r="AB3" s="407"/>
      <c r="AC3" s="407"/>
      <c r="AD3" s="407"/>
      <c r="AE3" s="177"/>
      <c r="AF3" s="410" t="s">
        <v>550</v>
      </c>
      <c r="AG3" s="411"/>
      <c r="AH3" s="411"/>
      <c r="AI3" s="411"/>
      <c r="AJ3" s="411"/>
      <c r="AK3" s="411"/>
      <c r="AL3" s="411"/>
      <c r="AM3" s="411"/>
      <c r="AN3" s="412"/>
    </row>
    <row r="4" spans="1:40" x14ac:dyDescent="0.25">
      <c r="A4" s="145"/>
      <c r="B4" s="145"/>
      <c r="C4" s="145"/>
      <c r="D4" s="145"/>
      <c r="E4" s="145"/>
      <c r="F4" s="145"/>
      <c r="G4" s="145"/>
      <c r="H4" s="145"/>
      <c r="I4" s="166">
        <v>689430</v>
      </c>
      <c r="J4" s="166">
        <v>433726</v>
      </c>
      <c r="K4" s="166">
        <v>359844</v>
      </c>
      <c r="L4" s="166">
        <v>656479</v>
      </c>
      <c r="M4" s="166">
        <v>397081</v>
      </c>
      <c r="N4" s="165">
        <v>383005</v>
      </c>
      <c r="P4" s="145"/>
      <c r="Q4" s="145"/>
      <c r="R4" s="106"/>
      <c r="S4" s="116"/>
      <c r="T4" s="116"/>
      <c r="U4" s="116"/>
      <c r="V4" s="116"/>
      <c r="W4" s="116"/>
      <c r="X4" s="116"/>
      <c r="AE4" s="106"/>
    </row>
    <row r="5" spans="1:40" ht="12.95" customHeight="1" x14ac:dyDescent="0.25">
      <c r="A5" s="404" t="s">
        <v>526</v>
      </c>
      <c r="B5" s="409"/>
      <c r="C5" s="404" t="s">
        <v>442</v>
      </c>
      <c r="D5" s="405"/>
      <c r="E5" s="409"/>
      <c r="F5" s="416" t="s">
        <v>556</v>
      </c>
      <c r="G5" s="417"/>
      <c r="H5" s="418" t="s">
        <v>504</v>
      </c>
      <c r="I5" s="404" t="s">
        <v>354</v>
      </c>
      <c r="J5" s="405"/>
      <c r="K5" s="405"/>
      <c r="L5" s="405"/>
      <c r="M5" s="405"/>
      <c r="N5" s="406"/>
      <c r="O5" s="146"/>
      <c r="P5" s="399" t="s">
        <v>557</v>
      </c>
      <c r="Q5" s="399"/>
      <c r="R5" s="399"/>
      <c r="S5" s="147"/>
      <c r="T5" s="400" t="s">
        <v>460</v>
      </c>
      <c r="U5" s="400"/>
      <c r="V5" s="400"/>
      <c r="W5" s="400"/>
      <c r="X5" s="147"/>
      <c r="Y5" s="393" t="s">
        <v>445</v>
      </c>
      <c r="Z5" s="393"/>
      <c r="AA5" s="393"/>
      <c r="AB5" s="393"/>
      <c r="AC5" s="393"/>
      <c r="AD5" s="393"/>
      <c r="AE5" s="114"/>
      <c r="AF5" s="393" t="s">
        <v>196</v>
      </c>
      <c r="AG5" s="393"/>
      <c r="AH5" s="393"/>
      <c r="AI5" s="393"/>
      <c r="AJ5" s="393"/>
      <c r="AK5" s="393"/>
      <c r="AL5" s="160"/>
      <c r="AM5" s="393" t="s">
        <v>163</v>
      </c>
      <c r="AN5" s="395" t="s">
        <v>89</v>
      </c>
    </row>
    <row r="6" spans="1:40" ht="64.5" x14ac:dyDescent="0.25">
      <c r="A6" s="168" t="s">
        <v>525</v>
      </c>
      <c r="B6" s="149" t="s">
        <v>558</v>
      </c>
      <c r="C6" s="169" t="s">
        <v>430</v>
      </c>
      <c r="D6" s="149" t="s">
        <v>502</v>
      </c>
      <c r="E6" s="149" t="s">
        <v>458</v>
      </c>
      <c r="F6" s="149" t="s">
        <v>424</v>
      </c>
      <c r="G6" s="149" t="s">
        <v>425</v>
      </c>
      <c r="H6" s="149" t="s">
        <v>475</v>
      </c>
      <c r="I6" s="157" t="s">
        <v>477</v>
      </c>
      <c r="J6" s="157" t="s">
        <v>478</v>
      </c>
      <c r="K6" s="157" t="s">
        <v>239</v>
      </c>
      <c r="L6" s="157" t="s">
        <v>240</v>
      </c>
      <c r="M6" s="157" t="s">
        <v>628</v>
      </c>
      <c r="N6" s="157" t="s">
        <v>629</v>
      </c>
      <c r="O6" s="147"/>
      <c r="P6" s="149" t="s">
        <v>507</v>
      </c>
      <c r="Q6" s="149" t="s">
        <v>245</v>
      </c>
      <c r="R6" s="149" t="s">
        <v>246</v>
      </c>
      <c r="S6" s="147"/>
      <c r="T6" s="170" t="s">
        <v>280</v>
      </c>
      <c r="U6" s="170" t="s">
        <v>374</v>
      </c>
      <c r="V6" s="170" t="s">
        <v>474</v>
      </c>
      <c r="W6" s="170" t="s">
        <v>476</v>
      </c>
      <c r="X6" s="147"/>
      <c r="Y6" s="395" t="s">
        <v>446</v>
      </c>
      <c r="Z6" s="395"/>
      <c r="AA6" s="395"/>
      <c r="AB6" s="395"/>
      <c r="AC6" s="395"/>
      <c r="AD6" s="395"/>
      <c r="AE6" s="114"/>
      <c r="AF6" s="398" t="s">
        <v>448</v>
      </c>
      <c r="AG6" s="398"/>
      <c r="AH6" s="398"/>
      <c r="AI6" s="398"/>
      <c r="AJ6" s="398"/>
      <c r="AK6" s="398"/>
      <c r="AL6" s="161"/>
      <c r="AM6" s="394"/>
      <c r="AN6" s="396"/>
    </row>
    <row r="7" spans="1:40" x14ac:dyDescent="0.25">
      <c r="A7" s="150" t="s">
        <v>527</v>
      </c>
      <c r="B7" s="150" t="s">
        <v>528</v>
      </c>
      <c r="C7" s="150" t="s">
        <v>119</v>
      </c>
      <c r="D7" s="150" t="s">
        <v>120</v>
      </c>
      <c r="E7" s="150" t="s">
        <v>506</v>
      </c>
      <c r="F7" s="150" t="s">
        <v>247</v>
      </c>
      <c r="G7" s="150" t="s">
        <v>346</v>
      </c>
      <c r="H7" s="150" t="s">
        <v>345</v>
      </c>
      <c r="I7" s="150" t="s">
        <v>296</v>
      </c>
      <c r="J7" s="150" t="s">
        <v>60</v>
      </c>
      <c r="K7" s="150" t="s">
        <v>426</v>
      </c>
      <c r="L7" s="150" t="s">
        <v>427</v>
      </c>
      <c r="M7" s="150" t="s">
        <v>428</v>
      </c>
      <c r="N7" s="150" t="s">
        <v>429</v>
      </c>
      <c r="O7" s="151"/>
      <c r="P7" s="152" t="s">
        <v>340</v>
      </c>
      <c r="Q7" s="152" t="s">
        <v>360</v>
      </c>
      <c r="R7" s="152" t="s">
        <v>361</v>
      </c>
      <c r="S7" s="151" t="s">
        <v>626</v>
      </c>
      <c r="T7" s="171" t="s">
        <v>362</v>
      </c>
      <c r="U7" s="171" t="s">
        <v>311</v>
      </c>
      <c r="V7" s="171" t="s">
        <v>312</v>
      </c>
      <c r="W7" s="171" t="s">
        <v>313</v>
      </c>
      <c r="X7" s="151"/>
      <c r="Y7" s="158" t="s">
        <v>62</v>
      </c>
      <c r="Z7" s="158" t="s">
        <v>63</v>
      </c>
      <c r="AA7" s="158" t="s">
        <v>157</v>
      </c>
      <c r="AB7" s="158" t="s">
        <v>158</v>
      </c>
      <c r="AC7" s="158" t="s">
        <v>159</v>
      </c>
      <c r="AD7" s="158" t="s">
        <v>160</v>
      </c>
      <c r="AE7" s="159"/>
      <c r="AF7" s="158" t="s">
        <v>126</v>
      </c>
      <c r="AG7" s="158" t="s">
        <v>127</v>
      </c>
      <c r="AH7" s="158" t="s">
        <v>241</v>
      </c>
      <c r="AI7" s="158" t="s">
        <v>242</v>
      </c>
      <c r="AJ7" s="158" t="s">
        <v>149</v>
      </c>
      <c r="AK7" s="158" t="s">
        <v>150</v>
      </c>
      <c r="AL7" s="162"/>
      <c r="AM7" s="158" t="s">
        <v>51</v>
      </c>
      <c r="AN7" s="158" t="s">
        <v>52</v>
      </c>
    </row>
    <row r="8" spans="1:40" x14ac:dyDescent="0.25">
      <c r="A8" s="122">
        <v>1111</v>
      </c>
      <c r="B8" s="153">
        <v>111</v>
      </c>
      <c r="C8" s="154">
        <v>7</v>
      </c>
      <c r="D8" s="154">
        <v>52069</v>
      </c>
      <c r="E8" s="154">
        <v>137</v>
      </c>
      <c r="F8" s="154">
        <v>180</v>
      </c>
      <c r="G8" s="154">
        <v>16</v>
      </c>
      <c r="H8" s="154">
        <v>15</v>
      </c>
      <c r="I8" s="155">
        <v>3</v>
      </c>
      <c r="J8" s="155">
        <v>1</v>
      </c>
      <c r="K8" s="155">
        <v>1</v>
      </c>
      <c r="L8" s="155">
        <v>3</v>
      </c>
      <c r="M8" s="154">
        <v>2</v>
      </c>
      <c r="N8" s="154">
        <v>1</v>
      </c>
      <c r="O8" s="154"/>
      <c r="P8" s="172">
        <f>1/V8</f>
        <v>610.81986444212714</v>
      </c>
      <c r="Q8" s="172">
        <f>+IF(W8=0,0,P8/W8)</f>
        <v>651.54118873826894</v>
      </c>
      <c r="R8" s="172">
        <f>+Q8*(1+SUMPRODUCT(I8:N8,AF$22:AK$22))</f>
        <v>660.26105372923155</v>
      </c>
      <c r="S8" s="106"/>
      <c r="T8" s="173">
        <f>+C8*E8/D8</f>
        <v>1.8417868597438016E-2</v>
      </c>
      <c r="U8" s="173">
        <f>+G8/F8</f>
        <v>8.8888888888888892E-2</v>
      </c>
      <c r="V8" s="173">
        <f>+T8*U8</f>
        <v>1.6371438753278237E-3</v>
      </c>
      <c r="W8" s="173">
        <f>+IF(G8=0,0,H8/G8)</f>
        <v>0.9375</v>
      </c>
      <c r="X8" s="167"/>
      <c r="Y8" s="106">
        <f t="shared" ref="Y8:Y71" si="1">+SQRT($Q8)*I8</f>
        <v>76.575914611870104</v>
      </c>
      <c r="Z8" s="106">
        <f t="shared" ref="Z8:Z71" si="2">+SQRT($Q8)*J8</f>
        <v>25.525304870623366</v>
      </c>
      <c r="AA8" s="106">
        <f t="shared" ref="AA8:AA71" si="3">+SQRT($Q8)*K8</f>
        <v>25.525304870623366</v>
      </c>
      <c r="AB8" s="106">
        <f t="shared" ref="AB8:AB71" si="4">+SQRT($Q8)*L8</f>
        <v>76.575914611870104</v>
      </c>
      <c r="AC8" s="106">
        <f t="shared" ref="AC8:AC71" si="5">+SQRT($Q8)*M8</f>
        <v>51.050609741246731</v>
      </c>
      <c r="AD8" s="106">
        <f t="shared" ref="AD8:AD71" si="6">+SQRT($Q8)*N8</f>
        <v>25.525304870623366</v>
      </c>
      <c r="AF8" s="106">
        <f t="array" ref="AF8:AK13">+MMULT(TRANSPOSE(Y8:AD216),Y8:AD216)</f>
        <v>2289380.8472442101</v>
      </c>
      <c r="AG8" s="106">
        <v>1406019.5336011688</v>
      </c>
      <c r="AH8" s="106">
        <v>1061459.0214394964</v>
      </c>
      <c r="AI8" s="106">
        <v>2079121.3649604938</v>
      </c>
      <c r="AJ8" s="106">
        <v>1309416.1852787007</v>
      </c>
      <c r="AK8" s="106">
        <v>1204870.2403309725</v>
      </c>
      <c r="AL8" s="106"/>
    </row>
    <row r="9" spans="1:40" x14ac:dyDescent="0.25">
      <c r="A9" s="122">
        <v>1112</v>
      </c>
      <c r="B9" s="153">
        <v>111</v>
      </c>
      <c r="C9" s="154">
        <v>7</v>
      </c>
      <c r="D9" s="154">
        <v>52069</v>
      </c>
      <c r="E9" s="154">
        <v>173</v>
      </c>
      <c r="F9" s="154">
        <v>271</v>
      </c>
      <c r="G9" s="154">
        <v>16</v>
      </c>
      <c r="H9" s="154">
        <v>14</v>
      </c>
      <c r="I9" s="155">
        <v>2</v>
      </c>
      <c r="J9" s="155">
        <v>2</v>
      </c>
      <c r="K9" s="155">
        <v>2</v>
      </c>
      <c r="L9" s="155">
        <v>4</v>
      </c>
      <c r="M9" s="155">
        <v>2</v>
      </c>
      <c r="N9" s="155">
        <v>1</v>
      </c>
      <c r="O9" s="155"/>
      <c r="P9" s="172">
        <f t="shared" ref="P9:P72" si="7">1/V9</f>
        <v>728.2565545004129</v>
      </c>
      <c r="Q9" s="172">
        <f t="shared" ref="Q9:Q72" si="8">+IF(W9=0,0,P9/W9)</f>
        <v>832.29320514332903</v>
      </c>
      <c r="R9" s="172">
        <f t="shared" ref="R9:R72" si="9">+Q9*(1+SUMPRODUCT(I9:N9,AF$22:AK$22))</f>
        <v>1054.1653874694568</v>
      </c>
      <c r="S9" s="106"/>
      <c r="T9" s="173">
        <f t="shared" ref="T9:T72" si="10">+C9*E9/D9</f>
        <v>2.3257600491655303E-2</v>
      </c>
      <c r="U9" s="173">
        <f t="shared" ref="U9:U72" si="11">+G9/F9</f>
        <v>5.9040590405904057E-2</v>
      </c>
      <c r="V9" s="173">
        <f t="shared" ref="V9:V72" si="12">+T9*U9</f>
        <v>1.3731424644519736E-3</v>
      </c>
      <c r="W9" s="173">
        <f t="shared" ref="W9:W72" si="13">+IF(G9=0,0,H9/G9)</f>
        <v>0.875</v>
      </c>
      <c r="X9" s="167"/>
      <c r="Y9" s="106">
        <f t="shared" si="1"/>
        <v>57.698984571423061</v>
      </c>
      <c r="Z9" s="106">
        <f t="shared" si="2"/>
        <v>57.698984571423061</v>
      </c>
      <c r="AA9" s="106">
        <f t="shared" si="3"/>
        <v>57.698984571423061</v>
      </c>
      <c r="AB9" s="106">
        <f t="shared" si="4"/>
        <v>115.39796914284612</v>
      </c>
      <c r="AC9" s="106">
        <f t="shared" si="5"/>
        <v>57.698984571423061</v>
      </c>
      <c r="AD9" s="106">
        <f t="shared" si="6"/>
        <v>28.849492285711531</v>
      </c>
      <c r="AF9" s="106">
        <v>1406019.5336011688</v>
      </c>
      <c r="AG9" s="106">
        <v>1001246.6895715354</v>
      </c>
      <c r="AH9" s="106">
        <v>719949.74177744961</v>
      </c>
      <c r="AI9" s="106">
        <v>1351062.5912629878</v>
      </c>
      <c r="AJ9" s="106">
        <v>849162.40226868924</v>
      </c>
      <c r="AK9" s="106">
        <v>809523.03708959767</v>
      </c>
      <c r="AL9" s="106"/>
    </row>
    <row r="10" spans="1:40" x14ac:dyDescent="0.25">
      <c r="A10" s="122">
        <v>1113</v>
      </c>
      <c r="B10" s="153">
        <v>111</v>
      </c>
      <c r="C10" s="154">
        <v>7</v>
      </c>
      <c r="D10" s="154">
        <v>52069</v>
      </c>
      <c r="E10" s="154">
        <v>147</v>
      </c>
      <c r="F10" s="154">
        <v>179</v>
      </c>
      <c r="G10" s="154">
        <v>16</v>
      </c>
      <c r="H10" s="154">
        <v>15</v>
      </c>
      <c r="I10" s="155">
        <v>5</v>
      </c>
      <c r="J10" s="155">
        <v>3</v>
      </c>
      <c r="K10" s="155">
        <v>1</v>
      </c>
      <c r="L10" s="155">
        <v>4</v>
      </c>
      <c r="M10" s="155">
        <v>2</v>
      </c>
      <c r="N10" s="155">
        <v>2</v>
      </c>
      <c r="O10" s="155"/>
      <c r="P10" s="172">
        <f t="shared" si="7"/>
        <v>566.10489552964043</v>
      </c>
      <c r="Q10" s="172">
        <f t="shared" si="8"/>
        <v>603.84522189828317</v>
      </c>
      <c r="R10" s="172">
        <f t="shared" si="9"/>
        <v>780.67792231226724</v>
      </c>
      <c r="S10" s="106"/>
      <c r="T10" s="173">
        <f t="shared" si="10"/>
        <v>1.9762238568053928E-2</v>
      </c>
      <c r="U10" s="173">
        <f t="shared" si="11"/>
        <v>8.9385474860335198E-2</v>
      </c>
      <c r="V10" s="173">
        <f t="shared" si="12"/>
        <v>1.7664570787087311E-3</v>
      </c>
      <c r="W10" s="173">
        <f t="shared" si="13"/>
        <v>0.9375</v>
      </c>
      <c r="X10" s="167"/>
      <c r="Y10" s="106">
        <f t="shared" si="1"/>
        <v>122.86631168655255</v>
      </c>
      <c r="Z10" s="106">
        <f t="shared" si="2"/>
        <v>73.71978701193153</v>
      </c>
      <c r="AA10" s="106">
        <f t="shared" si="3"/>
        <v>24.57326233731051</v>
      </c>
      <c r="AB10" s="106">
        <f t="shared" si="4"/>
        <v>98.29304934924204</v>
      </c>
      <c r="AC10" s="106">
        <f t="shared" si="5"/>
        <v>49.14652467462102</v>
      </c>
      <c r="AD10" s="106">
        <f t="shared" si="6"/>
        <v>49.14652467462102</v>
      </c>
      <c r="AF10" s="106">
        <v>1061459.0214394964</v>
      </c>
      <c r="AG10" s="106">
        <v>719949.74177744961</v>
      </c>
      <c r="AH10" s="106">
        <v>692063.48098940949</v>
      </c>
      <c r="AI10" s="106">
        <v>1016354.5419732207</v>
      </c>
      <c r="AJ10" s="106">
        <v>686164.27848110488</v>
      </c>
      <c r="AK10" s="106">
        <v>672696.11190654803</v>
      </c>
      <c r="AL10" s="106"/>
    </row>
    <row r="11" spans="1:40" x14ac:dyDescent="0.25">
      <c r="A11" s="122">
        <v>1114</v>
      </c>
      <c r="B11" s="153">
        <v>111</v>
      </c>
      <c r="C11" s="154">
        <v>7</v>
      </c>
      <c r="D11" s="154">
        <v>52069</v>
      </c>
      <c r="E11" s="154">
        <v>124</v>
      </c>
      <c r="F11" s="154">
        <v>144</v>
      </c>
      <c r="G11" s="154">
        <v>16</v>
      </c>
      <c r="H11" s="154">
        <v>16</v>
      </c>
      <c r="I11" s="155">
        <v>2</v>
      </c>
      <c r="J11" s="155">
        <v>2</v>
      </c>
      <c r="K11" s="155">
        <v>1</v>
      </c>
      <c r="L11" s="155">
        <v>3</v>
      </c>
      <c r="M11" s="155">
        <v>1</v>
      </c>
      <c r="N11" s="155">
        <v>1</v>
      </c>
      <c r="O11" s="155"/>
      <c r="P11" s="172">
        <f t="shared" si="7"/>
        <v>539.88594470046087</v>
      </c>
      <c r="Q11" s="172">
        <f t="shared" si="8"/>
        <v>539.88594470046087</v>
      </c>
      <c r="R11" s="172">
        <f t="shared" si="9"/>
        <v>754.15891042889086</v>
      </c>
      <c r="S11" s="106"/>
      <c r="T11" s="173">
        <f t="shared" si="10"/>
        <v>1.6670187635637327E-2</v>
      </c>
      <c r="U11" s="173">
        <f t="shared" si="11"/>
        <v>0.1111111111111111</v>
      </c>
      <c r="V11" s="173">
        <f t="shared" si="12"/>
        <v>1.8522430706263695E-3</v>
      </c>
      <c r="W11" s="173">
        <f t="shared" si="13"/>
        <v>1</v>
      </c>
      <c r="X11" s="167"/>
      <c r="Y11" s="106">
        <f t="shared" si="1"/>
        <v>46.470891736675803</v>
      </c>
      <c r="Z11" s="106">
        <f t="shared" si="2"/>
        <v>46.470891736675803</v>
      </c>
      <c r="AA11" s="106">
        <f t="shared" si="3"/>
        <v>23.235445868337901</v>
      </c>
      <c r="AB11" s="106">
        <f t="shared" si="4"/>
        <v>69.706337605013701</v>
      </c>
      <c r="AC11" s="106">
        <f t="shared" si="5"/>
        <v>23.235445868337901</v>
      </c>
      <c r="AD11" s="106">
        <f t="shared" si="6"/>
        <v>23.235445868337901</v>
      </c>
      <c r="AF11" s="106">
        <v>2079121.3649604938</v>
      </c>
      <c r="AG11" s="106">
        <v>1351062.5912629878</v>
      </c>
      <c r="AH11" s="106">
        <v>1016354.5419732207</v>
      </c>
      <c r="AI11" s="106">
        <v>2031190.7613367287</v>
      </c>
      <c r="AJ11" s="106">
        <v>1235256.3124837303</v>
      </c>
      <c r="AK11" s="106">
        <v>1151950.6568154092</v>
      </c>
      <c r="AL11" s="106"/>
    </row>
    <row r="12" spans="1:40" x14ac:dyDescent="0.25">
      <c r="A12" s="122">
        <v>1115</v>
      </c>
      <c r="B12" s="153">
        <v>111</v>
      </c>
      <c r="C12" s="154">
        <v>7</v>
      </c>
      <c r="D12" s="154">
        <v>52069</v>
      </c>
      <c r="E12" s="154">
        <v>140</v>
      </c>
      <c r="F12" s="154">
        <v>143</v>
      </c>
      <c r="G12" s="154">
        <v>16</v>
      </c>
      <c r="H12" s="154">
        <v>14</v>
      </c>
      <c r="I12" s="155">
        <v>4</v>
      </c>
      <c r="J12" s="155">
        <v>1</v>
      </c>
      <c r="K12" s="155">
        <v>2</v>
      </c>
      <c r="L12" s="155">
        <v>3</v>
      </c>
      <c r="M12" s="155">
        <v>2</v>
      </c>
      <c r="N12" s="155">
        <v>2</v>
      </c>
      <c r="O12" s="155"/>
      <c r="P12" s="172">
        <f t="shared" si="7"/>
        <v>474.86396683673468</v>
      </c>
      <c r="Q12" s="172">
        <f t="shared" si="8"/>
        <v>542.70167638483963</v>
      </c>
      <c r="R12" s="172">
        <f t="shared" si="9"/>
        <v>749.38805379349367</v>
      </c>
      <c r="S12" s="106"/>
      <c r="T12" s="173">
        <f t="shared" si="10"/>
        <v>1.882117958862279E-2</v>
      </c>
      <c r="U12" s="173">
        <f t="shared" si="11"/>
        <v>0.11188811188811189</v>
      </c>
      <c r="V12" s="173">
        <f t="shared" si="12"/>
        <v>2.1058662476780743E-3</v>
      </c>
      <c r="W12" s="173">
        <f t="shared" si="13"/>
        <v>0.875</v>
      </c>
      <c r="X12" s="167"/>
      <c r="Y12" s="106">
        <f t="shared" si="1"/>
        <v>93.183833480692527</v>
      </c>
      <c r="Z12" s="106">
        <f t="shared" si="2"/>
        <v>23.295958370173132</v>
      </c>
      <c r="AA12" s="106">
        <f t="shared" si="3"/>
        <v>46.591916740346264</v>
      </c>
      <c r="AB12" s="106">
        <f t="shared" si="4"/>
        <v>69.887875110519388</v>
      </c>
      <c r="AC12" s="106">
        <f t="shared" si="5"/>
        <v>46.591916740346264</v>
      </c>
      <c r="AD12" s="106">
        <f t="shared" si="6"/>
        <v>46.591916740346264</v>
      </c>
      <c r="AF12" s="106">
        <v>1309416.1852787007</v>
      </c>
      <c r="AG12" s="106">
        <v>849162.40226868924</v>
      </c>
      <c r="AH12" s="106">
        <v>686164.27848110488</v>
      </c>
      <c r="AI12" s="106">
        <v>1235256.3124837303</v>
      </c>
      <c r="AJ12" s="106">
        <v>811457.76077175478</v>
      </c>
      <c r="AK12" s="106">
        <v>739860.99044489046</v>
      </c>
      <c r="AL12" s="106"/>
    </row>
    <row r="13" spans="1:40" x14ac:dyDescent="0.25">
      <c r="A13" s="122">
        <v>1116</v>
      </c>
      <c r="B13" s="153">
        <v>111</v>
      </c>
      <c r="C13" s="154">
        <v>7</v>
      </c>
      <c r="D13" s="154">
        <v>52069</v>
      </c>
      <c r="E13" s="154">
        <v>157</v>
      </c>
      <c r="F13" s="154">
        <v>192</v>
      </c>
      <c r="G13" s="154">
        <v>16</v>
      </c>
      <c r="H13" s="154">
        <v>14</v>
      </c>
      <c r="I13" s="155">
        <v>4</v>
      </c>
      <c r="J13" s="155">
        <v>2</v>
      </c>
      <c r="K13" s="155">
        <v>2</v>
      </c>
      <c r="L13" s="155">
        <v>3</v>
      </c>
      <c r="M13" s="155">
        <v>2</v>
      </c>
      <c r="N13" s="155">
        <v>2</v>
      </c>
      <c r="O13" s="155"/>
      <c r="P13" s="172">
        <f t="shared" si="7"/>
        <v>568.54231119199278</v>
      </c>
      <c r="Q13" s="172">
        <f t="shared" si="8"/>
        <v>649.76264136227746</v>
      </c>
      <c r="R13" s="172">
        <f t="shared" si="9"/>
        <v>825.69080723045727</v>
      </c>
      <c r="S13" s="106"/>
      <c r="T13" s="173">
        <f t="shared" si="10"/>
        <v>2.110660853866984E-2</v>
      </c>
      <c r="U13" s="173">
        <f t="shared" si="11"/>
        <v>8.3333333333333329E-2</v>
      </c>
      <c r="V13" s="173">
        <f t="shared" si="12"/>
        <v>1.7588840448891532E-3</v>
      </c>
      <c r="W13" s="173">
        <f t="shared" si="13"/>
        <v>0.875</v>
      </c>
      <c r="X13" s="167"/>
      <c r="Y13" s="106">
        <f t="shared" si="1"/>
        <v>101.96176862822868</v>
      </c>
      <c r="Z13" s="106">
        <f t="shared" si="2"/>
        <v>50.980884314114341</v>
      </c>
      <c r="AA13" s="106">
        <f t="shared" si="3"/>
        <v>50.980884314114341</v>
      </c>
      <c r="AB13" s="106">
        <f t="shared" si="4"/>
        <v>76.471326471171508</v>
      </c>
      <c r="AC13" s="106">
        <f t="shared" si="5"/>
        <v>50.980884314114341</v>
      </c>
      <c r="AD13" s="106">
        <f t="shared" si="6"/>
        <v>50.980884314114341</v>
      </c>
      <c r="AF13" s="106">
        <v>1204870.2403309725</v>
      </c>
      <c r="AG13" s="106">
        <v>809523.03708959767</v>
      </c>
      <c r="AH13" s="106">
        <v>672696.11190654803</v>
      </c>
      <c r="AI13" s="106">
        <v>1151950.6568154092</v>
      </c>
      <c r="AJ13" s="106">
        <v>739860.99044489046</v>
      </c>
      <c r="AK13" s="106">
        <v>747757.07963452663</v>
      </c>
      <c r="AL13" s="106"/>
    </row>
    <row r="14" spans="1:40" ht="18.75" x14ac:dyDescent="0.35">
      <c r="A14" s="122">
        <v>1117</v>
      </c>
      <c r="B14" s="153">
        <v>111</v>
      </c>
      <c r="C14" s="154">
        <v>7</v>
      </c>
      <c r="D14" s="154">
        <v>52069</v>
      </c>
      <c r="E14" s="154">
        <v>163</v>
      </c>
      <c r="F14" s="154">
        <v>204</v>
      </c>
      <c r="G14" s="154">
        <v>16</v>
      </c>
      <c r="H14" s="154">
        <v>14</v>
      </c>
      <c r="I14" s="155">
        <v>4</v>
      </c>
      <c r="J14" s="155">
        <v>2</v>
      </c>
      <c r="K14" s="155">
        <v>1</v>
      </c>
      <c r="L14" s="155">
        <v>3</v>
      </c>
      <c r="M14" s="155">
        <v>2</v>
      </c>
      <c r="N14" s="155">
        <v>2</v>
      </c>
      <c r="O14" s="155"/>
      <c r="P14" s="172">
        <f t="shared" si="7"/>
        <v>581.84027169149874</v>
      </c>
      <c r="Q14" s="172">
        <f t="shared" si="8"/>
        <v>664.96031050456997</v>
      </c>
      <c r="R14" s="172">
        <f t="shared" si="9"/>
        <v>588.52674954991244</v>
      </c>
      <c r="S14" s="106"/>
      <c r="T14" s="173">
        <f t="shared" si="10"/>
        <v>2.1913230521039391E-2</v>
      </c>
      <c r="U14" s="173">
        <f t="shared" si="11"/>
        <v>7.8431372549019607E-2</v>
      </c>
      <c r="V14" s="173">
        <f t="shared" si="12"/>
        <v>1.7186847467481874E-3</v>
      </c>
      <c r="W14" s="173">
        <f t="shared" si="13"/>
        <v>0.875</v>
      </c>
      <c r="X14" s="167"/>
      <c r="Y14" s="106">
        <f t="shared" si="1"/>
        <v>103.14729743465467</v>
      </c>
      <c r="Z14" s="106">
        <f t="shared" si="2"/>
        <v>51.573648717327337</v>
      </c>
      <c r="AA14" s="106">
        <f t="shared" si="3"/>
        <v>25.786824358663669</v>
      </c>
      <c r="AB14" s="106">
        <f t="shared" si="4"/>
        <v>77.36047307599101</v>
      </c>
      <c r="AC14" s="106">
        <f t="shared" si="5"/>
        <v>51.573648717327337</v>
      </c>
      <c r="AD14" s="106">
        <f t="shared" si="6"/>
        <v>51.573648717327337</v>
      </c>
      <c r="AF14" s="397" t="s">
        <v>449</v>
      </c>
      <c r="AG14" s="397"/>
      <c r="AH14" s="397"/>
      <c r="AI14" s="397"/>
      <c r="AJ14" s="397"/>
      <c r="AK14" s="397"/>
      <c r="AL14" s="163"/>
      <c r="AM14" s="148" t="s">
        <v>57</v>
      </c>
      <c r="AN14" s="148" t="s">
        <v>56</v>
      </c>
    </row>
    <row r="15" spans="1:40" x14ac:dyDescent="0.25">
      <c r="A15" s="122">
        <v>2111</v>
      </c>
      <c r="B15" s="153">
        <v>211</v>
      </c>
      <c r="C15" s="154">
        <v>9</v>
      </c>
      <c r="D15" s="154">
        <v>253183</v>
      </c>
      <c r="E15" s="154">
        <v>126</v>
      </c>
      <c r="F15" s="154">
        <v>152</v>
      </c>
      <c r="G15" s="154">
        <v>16</v>
      </c>
      <c r="H15" s="154">
        <v>16</v>
      </c>
      <c r="I15" s="155">
        <v>2</v>
      </c>
      <c r="J15" s="155">
        <v>1</v>
      </c>
      <c r="K15" s="155">
        <v>2</v>
      </c>
      <c r="L15" s="155">
        <v>2</v>
      </c>
      <c r="M15" s="155">
        <v>2</v>
      </c>
      <c r="N15" s="155">
        <v>2</v>
      </c>
      <c r="O15" s="155"/>
      <c r="P15" s="172">
        <f t="shared" si="7"/>
        <v>2121.0216049382716</v>
      </c>
      <c r="Q15" s="172">
        <f t="shared" si="8"/>
        <v>2121.0216049382716</v>
      </c>
      <c r="R15" s="172">
        <f t="shared" si="9"/>
        <v>1257.3862213239097</v>
      </c>
      <c r="S15" s="106"/>
      <c r="T15" s="173">
        <f t="shared" si="10"/>
        <v>4.4789737067654619E-3</v>
      </c>
      <c r="U15" s="173">
        <f t="shared" si="11"/>
        <v>0.10526315789473684</v>
      </c>
      <c r="V15" s="173">
        <f t="shared" si="12"/>
        <v>4.7147091650162756E-4</v>
      </c>
      <c r="W15" s="173">
        <f t="shared" si="13"/>
        <v>1</v>
      </c>
      <c r="X15" s="167"/>
      <c r="Y15" s="106">
        <f t="shared" si="1"/>
        <v>92.109100634807447</v>
      </c>
      <c r="Z15" s="106">
        <f t="shared" si="2"/>
        <v>46.054550317403724</v>
      </c>
      <c r="AA15" s="106">
        <f t="shared" si="3"/>
        <v>92.109100634807447</v>
      </c>
      <c r="AB15" s="106">
        <f t="shared" si="4"/>
        <v>92.109100634807447</v>
      </c>
      <c r="AC15" s="106">
        <f t="shared" si="5"/>
        <v>92.109100634807447</v>
      </c>
      <c r="AD15" s="106">
        <f t="shared" si="6"/>
        <v>92.109100634807447</v>
      </c>
      <c r="AF15" s="175">
        <f t="array" ref="AF15:AK20">+MINVERSE(AF8:AK13)</f>
        <v>8.5800800173917731E-6</v>
      </c>
      <c r="AG15" s="175">
        <v>-1.4297760153895614E-7</v>
      </c>
      <c r="AH15" s="175">
        <v>3.4200903195313673E-6</v>
      </c>
      <c r="AI15" s="175">
        <v>-3.8366581855763994E-6</v>
      </c>
      <c r="AJ15" s="175">
        <v>-8.8573706209386885E-6</v>
      </c>
      <c r="AK15" s="175">
        <v>-2.0728081294256709E-6</v>
      </c>
      <c r="AM15" s="106">
        <f>I4-SUMPRODUCT($Q8:$Q302,I8:I302)</f>
        <v>40631.946162791806</v>
      </c>
      <c r="AN15" s="174">
        <f t="array" ref="AN15:AN20">+MMULT(AF15:AK20,AM15:AM20)</f>
        <v>0.27014759396429594</v>
      </c>
    </row>
    <row r="16" spans="1:40" x14ac:dyDescent="0.25">
      <c r="A16" s="122">
        <v>2112</v>
      </c>
      <c r="B16" s="153">
        <v>211</v>
      </c>
      <c r="C16" s="154">
        <v>9</v>
      </c>
      <c r="D16" s="154">
        <v>253183</v>
      </c>
      <c r="E16" s="154">
        <v>121</v>
      </c>
      <c r="F16" s="154">
        <v>132</v>
      </c>
      <c r="G16" s="154">
        <v>16</v>
      </c>
      <c r="H16" s="154">
        <v>15</v>
      </c>
      <c r="I16" s="155">
        <v>4</v>
      </c>
      <c r="J16" s="155">
        <v>2</v>
      </c>
      <c r="K16" s="155">
        <v>1</v>
      </c>
      <c r="L16" s="155">
        <v>3</v>
      </c>
      <c r="M16" s="155">
        <v>2</v>
      </c>
      <c r="N16" s="155">
        <v>1</v>
      </c>
      <c r="O16" s="155"/>
      <c r="P16" s="172">
        <f t="shared" si="7"/>
        <v>1918.0530303030303</v>
      </c>
      <c r="Q16" s="172">
        <f t="shared" si="8"/>
        <v>2045.9232323232322</v>
      </c>
      <c r="R16" s="172">
        <f t="shared" si="9"/>
        <v>2400.7712136072314</v>
      </c>
      <c r="S16" s="106"/>
      <c r="T16" s="173">
        <f t="shared" si="10"/>
        <v>4.3012366549096898E-3</v>
      </c>
      <c r="U16" s="173">
        <f t="shared" si="11"/>
        <v>0.12121212121212122</v>
      </c>
      <c r="V16" s="173">
        <f t="shared" si="12"/>
        <v>5.2136201877693209E-4</v>
      </c>
      <c r="W16" s="173">
        <f t="shared" si="13"/>
        <v>0.9375</v>
      </c>
      <c r="X16" s="167"/>
      <c r="Y16" s="106">
        <f t="shared" si="1"/>
        <v>180.92753167268853</v>
      </c>
      <c r="Z16" s="106">
        <f t="shared" si="2"/>
        <v>90.463765836344265</v>
      </c>
      <c r="AA16" s="106">
        <f t="shared" si="3"/>
        <v>45.231882918172133</v>
      </c>
      <c r="AB16" s="106">
        <f t="shared" si="4"/>
        <v>135.69564875451641</v>
      </c>
      <c r="AC16" s="106">
        <f t="shared" si="5"/>
        <v>90.463765836344265</v>
      </c>
      <c r="AD16" s="106">
        <f t="shared" si="6"/>
        <v>45.231882918172133</v>
      </c>
      <c r="AF16" s="175">
        <v>-1.429776015389712E-7</v>
      </c>
      <c r="AG16" s="175">
        <v>1.2488667366362691E-5</v>
      </c>
      <c r="AH16" s="175">
        <v>1.1064614326026391E-6</v>
      </c>
      <c r="AI16" s="175">
        <v>-3.6225483869521104E-6</v>
      </c>
      <c r="AJ16" s="175">
        <v>-3.2987306138644004E-6</v>
      </c>
      <c r="AK16" s="175">
        <v>-5.440680937834186E-6</v>
      </c>
      <c r="AM16" s="106">
        <f>+J4-SUMPRODUCT($Q8:$Q302,J8:J302)</f>
        <v>-1.7295258513768204</v>
      </c>
      <c r="AN16" s="174">
        <v>-0.11008954429163499</v>
      </c>
    </row>
    <row r="17" spans="1:40" x14ac:dyDescent="0.25">
      <c r="A17" s="122">
        <v>2113</v>
      </c>
      <c r="B17" s="153">
        <v>211</v>
      </c>
      <c r="C17" s="154">
        <v>9</v>
      </c>
      <c r="D17" s="154">
        <v>253183</v>
      </c>
      <c r="E17" s="154">
        <v>131</v>
      </c>
      <c r="F17" s="154">
        <v>159</v>
      </c>
      <c r="G17" s="154">
        <v>16</v>
      </c>
      <c r="H17" s="154">
        <v>16</v>
      </c>
      <c r="I17" s="155">
        <v>3</v>
      </c>
      <c r="J17" s="155">
        <v>1</v>
      </c>
      <c r="K17" s="155">
        <v>3</v>
      </c>
      <c r="L17" s="155">
        <v>2</v>
      </c>
      <c r="M17" s="155">
        <v>2</v>
      </c>
      <c r="N17" s="155">
        <v>2</v>
      </c>
      <c r="O17" s="155"/>
      <c r="P17" s="172">
        <f t="shared" si="7"/>
        <v>2134.0170165394402</v>
      </c>
      <c r="Q17" s="172">
        <f t="shared" si="8"/>
        <v>2134.0170165394402</v>
      </c>
      <c r="R17" s="172">
        <f t="shared" si="9"/>
        <v>2664.6846553474311</v>
      </c>
      <c r="S17" s="106"/>
      <c r="T17" s="173">
        <f t="shared" si="10"/>
        <v>4.6567107586212341E-3</v>
      </c>
      <c r="U17" s="173">
        <f t="shared" si="11"/>
        <v>0.10062893081761007</v>
      </c>
      <c r="V17" s="173">
        <f t="shared" si="12"/>
        <v>4.6859982476691665E-4</v>
      </c>
      <c r="W17" s="173">
        <f t="shared" si="13"/>
        <v>1</v>
      </c>
      <c r="X17" s="167"/>
      <c r="Y17" s="106">
        <f t="shared" si="1"/>
        <v>138.58626609031273</v>
      </c>
      <c r="Z17" s="106">
        <f t="shared" si="2"/>
        <v>46.19542203010424</v>
      </c>
      <c r="AA17" s="106">
        <f t="shared" si="3"/>
        <v>138.58626609031273</v>
      </c>
      <c r="AB17" s="106">
        <f t="shared" si="4"/>
        <v>92.39084406020848</v>
      </c>
      <c r="AC17" s="106">
        <f t="shared" si="5"/>
        <v>92.39084406020848</v>
      </c>
      <c r="AD17" s="106">
        <f t="shared" si="6"/>
        <v>92.39084406020848</v>
      </c>
      <c r="AF17" s="175">
        <v>3.4200903195313724E-6</v>
      </c>
      <c r="AG17" s="175">
        <v>1.1064614326026214E-6</v>
      </c>
      <c r="AH17" s="175">
        <v>1.6291803061838593E-5</v>
      </c>
      <c r="AI17" s="175">
        <v>2.798819171530362E-6</v>
      </c>
      <c r="AJ17" s="175">
        <v>-1.3307484957253051E-5</v>
      </c>
      <c r="AK17" s="175">
        <v>-1.2509833042245011E-5</v>
      </c>
      <c r="AM17" s="106">
        <f>+K4-SUMPRODUCT($Q8:$Q302,K8:K302)</f>
        <v>8157.659457511676</v>
      </c>
      <c r="AN17" s="174">
        <v>0.38570213442650014</v>
      </c>
    </row>
    <row r="18" spans="1:40" x14ac:dyDescent="0.25">
      <c r="A18" s="122">
        <v>2114</v>
      </c>
      <c r="B18" s="153">
        <v>211</v>
      </c>
      <c r="C18" s="154">
        <v>9</v>
      </c>
      <c r="D18" s="154">
        <v>253183</v>
      </c>
      <c r="E18" s="154">
        <v>121</v>
      </c>
      <c r="F18" s="154">
        <v>123</v>
      </c>
      <c r="G18" s="154">
        <v>16</v>
      </c>
      <c r="H18" s="154">
        <v>16</v>
      </c>
      <c r="I18" s="155">
        <v>5</v>
      </c>
      <c r="J18" s="155">
        <v>3</v>
      </c>
      <c r="K18" s="155">
        <v>1</v>
      </c>
      <c r="L18" s="155">
        <v>4</v>
      </c>
      <c r="M18" s="155">
        <v>2</v>
      </c>
      <c r="N18" s="155">
        <v>2</v>
      </c>
      <c r="O18" s="155"/>
      <c r="P18" s="172">
        <f t="shared" si="7"/>
        <v>1787.2766873278233</v>
      </c>
      <c r="Q18" s="172">
        <f t="shared" si="8"/>
        <v>1787.2766873278233</v>
      </c>
      <c r="R18" s="172">
        <f t="shared" si="9"/>
        <v>2310.6706822551805</v>
      </c>
      <c r="S18" s="106"/>
      <c r="T18" s="173">
        <f t="shared" si="10"/>
        <v>4.3012366549096898E-3</v>
      </c>
      <c r="U18" s="173">
        <f t="shared" si="11"/>
        <v>0.13008130081300814</v>
      </c>
      <c r="V18" s="173">
        <f t="shared" si="12"/>
        <v>5.5951045917524431E-4</v>
      </c>
      <c r="W18" s="173">
        <f t="shared" si="13"/>
        <v>1</v>
      </c>
      <c r="X18" s="167"/>
      <c r="Y18" s="106">
        <f t="shared" si="1"/>
        <v>211.38097639852927</v>
      </c>
      <c r="Z18" s="106">
        <f t="shared" si="2"/>
        <v>126.82858583911755</v>
      </c>
      <c r="AA18" s="106">
        <f t="shared" si="3"/>
        <v>42.276195279705853</v>
      </c>
      <c r="AB18" s="106">
        <f t="shared" si="4"/>
        <v>169.10478111882341</v>
      </c>
      <c r="AC18" s="106">
        <f t="shared" si="5"/>
        <v>84.552390559411705</v>
      </c>
      <c r="AD18" s="106">
        <f t="shared" si="6"/>
        <v>84.552390559411705</v>
      </c>
      <c r="AF18" s="175">
        <v>-3.8366581855763927E-6</v>
      </c>
      <c r="AG18" s="175">
        <v>-3.622548386952137E-6</v>
      </c>
      <c r="AH18" s="175">
        <v>2.7988191715303519E-6</v>
      </c>
      <c r="AI18" s="175">
        <v>1.1329559728218513E-5</v>
      </c>
      <c r="AJ18" s="175">
        <v>-6.4819084018183922E-6</v>
      </c>
      <c r="AK18" s="175">
        <v>-3.4542310635908364E-6</v>
      </c>
      <c r="AM18" s="106">
        <f>+L4-SUMPRODUCT($Q8:$Q302,L8:L302)</f>
        <v>32510.330770224449</v>
      </c>
      <c r="AN18" s="174">
        <v>0.24773091069207576</v>
      </c>
    </row>
    <row r="19" spans="1:40" x14ac:dyDescent="0.25">
      <c r="A19" s="122">
        <v>2115</v>
      </c>
      <c r="B19" s="153">
        <v>211</v>
      </c>
      <c r="C19" s="154">
        <v>9</v>
      </c>
      <c r="D19" s="154">
        <v>253183</v>
      </c>
      <c r="E19" s="154">
        <v>105</v>
      </c>
      <c r="F19" s="154">
        <v>143</v>
      </c>
      <c r="G19" s="154">
        <v>16</v>
      </c>
      <c r="H19" s="154">
        <v>16</v>
      </c>
      <c r="I19" s="155">
        <v>2</v>
      </c>
      <c r="J19" s="155">
        <v>2</v>
      </c>
      <c r="K19" s="155">
        <v>1</v>
      </c>
      <c r="L19" s="155">
        <v>3</v>
      </c>
      <c r="M19" s="155">
        <v>2</v>
      </c>
      <c r="N19" s="155">
        <v>2</v>
      </c>
      <c r="O19" s="155"/>
      <c r="P19" s="172">
        <f t="shared" si="7"/>
        <v>2394.5217592592594</v>
      </c>
      <c r="Q19" s="172">
        <f t="shared" si="8"/>
        <v>2394.5217592592594</v>
      </c>
      <c r="R19" s="172">
        <f t="shared" si="9"/>
        <v>825.53595899555637</v>
      </c>
      <c r="S19" s="106"/>
      <c r="T19" s="173">
        <f t="shared" si="10"/>
        <v>3.7324780889712184E-3</v>
      </c>
      <c r="U19" s="173">
        <f t="shared" si="11"/>
        <v>0.11188811188811189</v>
      </c>
      <c r="V19" s="173">
        <f t="shared" si="12"/>
        <v>4.176199260387377E-4</v>
      </c>
      <c r="W19" s="173">
        <f t="shared" si="13"/>
        <v>1</v>
      </c>
      <c r="X19" s="167"/>
      <c r="Y19" s="106">
        <f t="shared" si="1"/>
        <v>97.86770170509287</v>
      </c>
      <c r="Z19" s="106">
        <f t="shared" si="2"/>
        <v>97.86770170509287</v>
      </c>
      <c r="AA19" s="106">
        <f t="shared" si="3"/>
        <v>48.933850852546435</v>
      </c>
      <c r="AB19" s="106">
        <f t="shared" si="4"/>
        <v>146.8015525576393</v>
      </c>
      <c r="AC19" s="106">
        <f t="shared" si="5"/>
        <v>97.86770170509287</v>
      </c>
      <c r="AD19" s="106">
        <f t="shared" si="6"/>
        <v>97.86770170509287</v>
      </c>
      <c r="AF19" s="175">
        <v>-8.857370620938675E-6</v>
      </c>
      <c r="AG19" s="175">
        <v>-3.298730613864391E-6</v>
      </c>
      <c r="AH19" s="175">
        <v>-1.3307484957253003E-5</v>
      </c>
      <c r="AI19" s="175">
        <v>-6.4819084018183804E-6</v>
      </c>
      <c r="AJ19" s="175">
        <v>3.8915218006976664E-5</v>
      </c>
      <c r="AK19" s="175">
        <v>1.2962244197954323E-6</v>
      </c>
      <c r="AM19" s="106">
        <f>+M4-SUMPRODUCT($Q8:$Q302,M8:M302)</f>
        <v>-2189.8433411250007</v>
      </c>
      <c r="AN19" s="174">
        <v>-0.76373931028306452</v>
      </c>
    </row>
    <row r="20" spans="1:40" x14ac:dyDescent="0.25">
      <c r="A20" s="122">
        <v>2116</v>
      </c>
      <c r="B20" s="153">
        <v>211</v>
      </c>
      <c r="C20" s="154">
        <v>9</v>
      </c>
      <c r="D20" s="154">
        <v>253183</v>
      </c>
      <c r="E20" s="154">
        <v>119</v>
      </c>
      <c r="F20" s="154">
        <v>125</v>
      </c>
      <c r="G20" s="154">
        <v>16</v>
      </c>
      <c r="H20" s="154">
        <v>16</v>
      </c>
      <c r="I20" s="155">
        <v>2</v>
      </c>
      <c r="J20" s="155">
        <v>2</v>
      </c>
      <c r="K20" s="155">
        <v>1</v>
      </c>
      <c r="L20" s="155">
        <v>3</v>
      </c>
      <c r="M20" s="155">
        <v>1</v>
      </c>
      <c r="N20" s="155">
        <v>1</v>
      </c>
      <c r="O20" s="155"/>
      <c r="P20" s="172">
        <f t="shared" si="7"/>
        <v>1846.8647875816994</v>
      </c>
      <c r="Q20" s="172">
        <f t="shared" si="8"/>
        <v>1846.8647875816994</v>
      </c>
      <c r="R20" s="172">
        <f t="shared" si="9"/>
        <v>2579.8588564569282</v>
      </c>
      <c r="S20" s="106"/>
      <c r="T20" s="173">
        <f t="shared" si="10"/>
        <v>4.2301418341673808E-3</v>
      </c>
      <c r="U20" s="173">
        <f t="shared" si="11"/>
        <v>0.128</v>
      </c>
      <c r="V20" s="173">
        <f t="shared" si="12"/>
        <v>5.4145815477342474E-4</v>
      </c>
      <c r="W20" s="173">
        <f t="shared" si="13"/>
        <v>1</v>
      </c>
      <c r="X20" s="167"/>
      <c r="Y20" s="106">
        <f t="shared" si="1"/>
        <v>85.950329553334456</v>
      </c>
      <c r="Z20" s="106">
        <f t="shared" si="2"/>
        <v>85.950329553334456</v>
      </c>
      <c r="AA20" s="106">
        <f t="shared" si="3"/>
        <v>42.975164776667228</v>
      </c>
      <c r="AB20" s="106">
        <f t="shared" si="4"/>
        <v>128.9254943300017</v>
      </c>
      <c r="AC20" s="106">
        <f t="shared" si="5"/>
        <v>42.975164776667228</v>
      </c>
      <c r="AD20" s="106">
        <f t="shared" si="6"/>
        <v>42.975164776667228</v>
      </c>
      <c r="AF20" s="175">
        <v>-2.0728081294256879E-6</v>
      </c>
      <c r="AG20" s="175">
        <v>-5.4406809378341632E-6</v>
      </c>
      <c r="AH20" s="175">
        <v>-1.2509833042245049E-5</v>
      </c>
      <c r="AI20" s="175">
        <v>-3.4542310635908758E-6</v>
      </c>
      <c r="AJ20" s="175">
        <v>1.2962244197955314E-6</v>
      </c>
      <c r="AK20" s="175">
        <v>2.586029048723764E-5</v>
      </c>
      <c r="AM20" s="106">
        <f>+N4-SUMPRODUCT($Q8:$Q302,N8:N302)</f>
        <v>503.26038039493142</v>
      </c>
      <c r="AN20" s="174">
        <v>-0.28838603957193887</v>
      </c>
    </row>
    <row r="21" spans="1:40" ht="17.25" x14ac:dyDescent="0.35">
      <c r="A21" s="122">
        <v>2117</v>
      </c>
      <c r="B21" s="153">
        <v>211</v>
      </c>
      <c r="C21" s="154">
        <v>9</v>
      </c>
      <c r="D21" s="154">
        <v>253183</v>
      </c>
      <c r="E21" s="154">
        <v>73</v>
      </c>
      <c r="F21" s="154">
        <v>67</v>
      </c>
      <c r="G21" s="154">
        <v>16</v>
      </c>
      <c r="H21" s="154">
        <v>16</v>
      </c>
      <c r="I21" s="155">
        <v>4</v>
      </c>
      <c r="J21" s="155">
        <v>2</v>
      </c>
      <c r="K21" s="155">
        <v>2</v>
      </c>
      <c r="L21" s="155">
        <v>4</v>
      </c>
      <c r="M21" s="155">
        <v>2</v>
      </c>
      <c r="N21" s="155">
        <v>2</v>
      </c>
      <c r="O21" s="155"/>
      <c r="P21" s="172">
        <f t="shared" si="7"/>
        <v>1613.7044330289193</v>
      </c>
      <c r="Q21" s="172">
        <f t="shared" si="8"/>
        <v>1613.7044330289193</v>
      </c>
      <c r="R21" s="172">
        <f t="shared" si="9"/>
        <v>2450.3916226386041</v>
      </c>
      <c r="S21" s="106"/>
      <c r="T21" s="173">
        <f t="shared" si="10"/>
        <v>2.5949609570942757E-3</v>
      </c>
      <c r="U21" s="173">
        <f t="shared" si="11"/>
        <v>0.23880597014925373</v>
      </c>
      <c r="V21" s="173">
        <f t="shared" si="12"/>
        <v>6.1969216885833446E-4</v>
      </c>
      <c r="W21" s="173">
        <f t="shared" si="13"/>
        <v>1</v>
      </c>
      <c r="X21" s="167"/>
      <c r="Y21" s="106">
        <f t="shared" si="1"/>
        <v>160.68376062459674</v>
      </c>
      <c r="Z21" s="106">
        <f t="shared" si="2"/>
        <v>80.341880312298372</v>
      </c>
      <c r="AA21" s="106">
        <f t="shared" si="3"/>
        <v>80.341880312298372</v>
      </c>
      <c r="AB21" s="106">
        <f t="shared" si="4"/>
        <v>160.68376062459674</v>
      </c>
      <c r="AC21" s="106">
        <f t="shared" si="5"/>
        <v>80.341880312298372</v>
      </c>
      <c r="AD21" s="106">
        <f t="shared" si="6"/>
        <v>80.341880312298372</v>
      </c>
      <c r="AF21" s="390" t="s">
        <v>53</v>
      </c>
      <c r="AG21" s="390"/>
      <c r="AH21" s="390"/>
      <c r="AI21" s="390"/>
      <c r="AJ21" s="390"/>
      <c r="AK21" s="390"/>
      <c r="AL21" s="164"/>
      <c r="AM21" s="390" t="s">
        <v>308</v>
      </c>
      <c r="AN21" s="390"/>
    </row>
    <row r="22" spans="1:40" x14ac:dyDescent="0.25">
      <c r="A22" s="122">
        <v>2118</v>
      </c>
      <c r="B22" s="153">
        <v>211</v>
      </c>
      <c r="C22" s="154">
        <v>9</v>
      </c>
      <c r="D22" s="154">
        <v>253183</v>
      </c>
      <c r="E22" s="154">
        <v>108</v>
      </c>
      <c r="F22" s="154">
        <v>156</v>
      </c>
      <c r="G22" s="154">
        <v>16</v>
      </c>
      <c r="H22" s="154">
        <v>15</v>
      </c>
      <c r="I22" s="155">
        <v>2</v>
      </c>
      <c r="J22" s="155">
        <v>2</v>
      </c>
      <c r="K22" s="155">
        <v>2</v>
      </c>
      <c r="L22" s="155">
        <v>2</v>
      </c>
      <c r="M22" s="155">
        <v>1</v>
      </c>
      <c r="N22" s="155">
        <v>2</v>
      </c>
      <c r="O22" s="155"/>
      <c r="P22" s="172">
        <f t="shared" si="7"/>
        <v>2539.6442901234568</v>
      </c>
      <c r="Q22" s="172">
        <f t="shared" si="8"/>
        <v>2708.9539094650204</v>
      </c>
      <c r="R22" s="172">
        <f t="shared" si="9"/>
        <v>3376.6319471153188</v>
      </c>
      <c r="S22" s="106"/>
      <c r="T22" s="173">
        <f t="shared" si="10"/>
        <v>3.839120320084682E-3</v>
      </c>
      <c r="U22" s="173">
        <f t="shared" si="11"/>
        <v>0.10256410256410256</v>
      </c>
      <c r="V22" s="173">
        <f t="shared" si="12"/>
        <v>3.9375593026509556E-4</v>
      </c>
      <c r="W22" s="173">
        <f t="shared" si="13"/>
        <v>0.9375</v>
      </c>
      <c r="X22" s="167"/>
      <c r="Y22" s="106">
        <f t="shared" si="1"/>
        <v>104.09522389552789</v>
      </c>
      <c r="Z22" s="106">
        <f t="shared" si="2"/>
        <v>104.09522389552789</v>
      </c>
      <c r="AA22" s="106">
        <f t="shared" si="3"/>
        <v>104.09522389552789</v>
      </c>
      <c r="AB22" s="106">
        <f t="shared" si="4"/>
        <v>104.09522389552789</v>
      </c>
      <c r="AC22" s="106">
        <f t="shared" si="5"/>
        <v>52.047611947763947</v>
      </c>
      <c r="AD22" s="106">
        <f t="shared" si="6"/>
        <v>104.09522389552789</v>
      </c>
      <c r="AF22" s="174">
        <f t="array" ref="AF22:AK22">+TRANSPOSE(AN15:AN20)</f>
        <v>0.27014759396429594</v>
      </c>
      <c r="AG22" s="174">
        <v>-0.11008954429163499</v>
      </c>
      <c r="AH22" s="174">
        <v>0.38570213442650014</v>
      </c>
      <c r="AI22" s="174">
        <v>0.24773091069207576</v>
      </c>
      <c r="AJ22" s="174">
        <v>-0.76373931028306452</v>
      </c>
      <c r="AK22" s="174">
        <v>-0.28838603957193887</v>
      </c>
      <c r="AL22" s="156"/>
      <c r="AM22" s="106">
        <v>0</v>
      </c>
      <c r="AN22" s="106">
        <f>QUARTILE(R$8:R$216,AM22)</f>
        <v>0</v>
      </c>
    </row>
    <row r="23" spans="1:40" x14ac:dyDescent="0.25">
      <c r="A23" s="122">
        <v>2119</v>
      </c>
      <c r="B23" s="153">
        <v>211</v>
      </c>
      <c r="C23" s="154">
        <v>9</v>
      </c>
      <c r="D23" s="154">
        <v>253183</v>
      </c>
      <c r="E23" s="154">
        <v>136</v>
      </c>
      <c r="F23" s="154">
        <v>162</v>
      </c>
      <c r="G23" s="154">
        <v>16</v>
      </c>
      <c r="H23" s="154">
        <v>15</v>
      </c>
      <c r="I23" s="155">
        <v>2</v>
      </c>
      <c r="J23" s="155">
        <v>2</v>
      </c>
      <c r="K23" s="155">
        <v>1</v>
      </c>
      <c r="L23" s="155">
        <v>3</v>
      </c>
      <c r="M23" s="155">
        <v>2</v>
      </c>
      <c r="N23" s="155">
        <v>2</v>
      </c>
      <c r="O23" s="155"/>
      <c r="P23" s="172">
        <f t="shared" si="7"/>
        <v>2094.3446691176468</v>
      </c>
      <c r="Q23" s="172">
        <f t="shared" si="8"/>
        <v>2233.9676470588233</v>
      </c>
      <c r="R23" s="172">
        <f t="shared" si="9"/>
        <v>770.18328054377696</v>
      </c>
      <c r="S23" s="106"/>
      <c r="T23" s="173">
        <f t="shared" si="10"/>
        <v>4.8344478104770071E-3</v>
      </c>
      <c r="U23" s="173">
        <f t="shared" si="11"/>
        <v>9.8765432098765427E-2</v>
      </c>
      <c r="V23" s="173">
        <f t="shared" si="12"/>
        <v>4.7747632696069203E-4</v>
      </c>
      <c r="W23" s="173">
        <f t="shared" si="13"/>
        <v>0.9375</v>
      </c>
      <c r="X23" s="167"/>
      <c r="Y23" s="106">
        <f t="shared" si="1"/>
        <v>94.529733884293222</v>
      </c>
      <c r="Z23" s="106">
        <f t="shared" si="2"/>
        <v>94.529733884293222</v>
      </c>
      <c r="AA23" s="106">
        <f t="shared" si="3"/>
        <v>47.264866942146611</v>
      </c>
      <c r="AB23" s="106">
        <f t="shared" si="4"/>
        <v>141.79460082643982</v>
      </c>
      <c r="AC23" s="106">
        <f t="shared" si="5"/>
        <v>94.529733884293222</v>
      </c>
      <c r="AD23" s="106">
        <f t="shared" si="6"/>
        <v>94.529733884293222</v>
      </c>
      <c r="AK23" s="106"/>
      <c r="AL23" s="106"/>
      <c r="AM23">
        <v>1</v>
      </c>
      <c r="AN23" s="106">
        <f>QUARTILE(R$8:R$216,AM23)</f>
        <v>339.90607808463454</v>
      </c>
    </row>
    <row r="24" spans="1:40" x14ac:dyDescent="0.25">
      <c r="A24" s="122">
        <v>1128</v>
      </c>
      <c r="B24" s="153">
        <v>112</v>
      </c>
      <c r="C24" s="154">
        <v>4</v>
      </c>
      <c r="D24" s="154">
        <v>15793</v>
      </c>
      <c r="E24" s="154">
        <v>168</v>
      </c>
      <c r="F24" s="154">
        <v>221</v>
      </c>
      <c r="G24" s="154">
        <v>16</v>
      </c>
      <c r="H24" s="154">
        <v>14</v>
      </c>
      <c r="I24" s="155">
        <v>1</v>
      </c>
      <c r="J24" s="155">
        <v>2</v>
      </c>
      <c r="K24" s="155">
        <v>2</v>
      </c>
      <c r="L24" s="155">
        <v>3</v>
      </c>
      <c r="M24" s="155">
        <v>1</v>
      </c>
      <c r="N24" s="155">
        <v>3</v>
      </c>
      <c r="O24" s="155"/>
      <c r="P24" s="172">
        <f t="shared" si="7"/>
        <v>324.6143043154762</v>
      </c>
      <c r="Q24" s="172">
        <f t="shared" si="8"/>
        <v>370.98777636054422</v>
      </c>
      <c r="R24" s="172">
        <f t="shared" si="9"/>
        <v>347.12141941329179</v>
      </c>
      <c r="S24" s="106"/>
      <c r="T24" s="173">
        <f t="shared" si="10"/>
        <v>4.2550497055657568E-2</v>
      </c>
      <c r="U24" s="173">
        <f t="shared" si="11"/>
        <v>7.2398190045248875E-2</v>
      </c>
      <c r="V24" s="173">
        <f t="shared" si="12"/>
        <v>3.0805789723552992E-3</v>
      </c>
      <c r="W24" s="173">
        <f t="shared" si="13"/>
        <v>0.875</v>
      </c>
      <c r="X24" s="167"/>
      <c r="Y24" s="106">
        <f t="shared" si="1"/>
        <v>19.261042971774508</v>
      </c>
      <c r="Z24" s="106">
        <f t="shared" si="2"/>
        <v>38.522085943549015</v>
      </c>
      <c r="AA24" s="106">
        <f t="shared" si="3"/>
        <v>38.522085943549015</v>
      </c>
      <c r="AB24" s="106">
        <f t="shared" si="4"/>
        <v>57.783128915323523</v>
      </c>
      <c r="AC24" s="106">
        <f t="shared" si="5"/>
        <v>19.261042971774508</v>
      </c>
      <c r="AD24" s="106">
        <f t="shared" si="6"/>
        <v>57.783128915323523</v>
      </c>
      <c r="AM24" s="106">
        <v>2</v>
      </c>
      <c r="AN24" s="106">
        <f>QUARTILE(R$8:R$216,AM24)</f>
        <v>825.69080723045727</v>
      </c>
    </row>
    <row r="25" spans="1:40" x14ac:dyDescent="0.25">
      <c r="A25" s="122">
        <v>1129</v>
      </c>
      <c r="B25" s="153">
        <v>112</v>
      </c>
      <c r="C25" s="154">
        <v>4</v>
      </c>
      <c r="D25" s="154">
        <v>15793</v>
      </c>
      <c r="E25" s="154">
        <v>101</v>
      </c>
      <c r="F25" s="154">
        <v>99</v>
      </c>
      <c r="G25" s="154">
        <v>16</v>
      </c>
      <c r="H25" s="154">
        <v>14</v>
      </c>
      <c r="I25" s="155">
        <v>5</v>
      </c>
      <c r="J25" s="155">
        <v>3</v>
      </c>
      <c r="K25" s="155">
        <v>1</v>
      </c>
      <c r="L25" s="155">
        <v>4</v>
      </c>
      <c r="M25" s="155">
        <v>2</v>
      </c>
      <c r="N25" s="155">
        <v>2</v>
      </c>
      <c r="O25" s="155"/>
      <c r="P25" s="172">
        <f t="shared" si="7"/>
        <v>241.879176980198</v>
      </c>
      <c r="Q25" s="172">
        <f t="shared" si="8"/>
        <v>276.43334512022631</v>
      </c>
      <c r="R25" s="172">
        <f t="shared" si="9"/>
        <v>357.38530620126409</v>
      </c>
      <c r="S25" s="106"/>
      <c r="T25" s="173">
        <f t="shared" si="10"/>
        <v>2.5580953587032228E-2</v>
      </c>
      <c r="U25" s="173">
        <f t="shared" si="11"/>
        <v>0.16161616161616163</v>
      </c>
      <c r="V25" s="173">
        <f t="shared" si="12"/>
        <v>4.1342955292173302E-3</v>
      </c>
      <c r="W25" s="173">
        <f t="shared" si="13"/>
        <v>0.875</v>
      </c>
      <c r="X25" s="167"/>
      <c r="Y25" s="106">
        <f t="shared" si="1"/>
        <v>83.131423830015422</v>
      </c>
      <c r="Z25" s="106">
        <f t="shared" si="2"/>
        <v>49.878854298009259</v>
      </c>
      <c r="AA25" s="106">
        <f t="shared" si="3"/>
        <v>16.626284766003085</v>
      </c>
      <c r="AB25" s="106">
        <f t="shared" si="4"/>
        <v>66.50513906401234</v>
      </c>
      <c r="AC25" s="106">
        <f t="shared" si="5"/>
        <v>33.25256953200617</v>
      </c>
      <c r="AD25" s="106">
        <f t="shared" si="6"/>
        <v>33.25256953200617</v>
      </c>
      <c r="AK25" s="106"/>
      <c r="AL25" s="106"/>
      <c r="AM25" s="106">
        <v>3</v>
      </c>
      <c r="AN25" s="106">
        <f>QUARTILE(R$8:R$216,AM25)</f>
        <v>1339.4549799835447</v>
      </c>
    </row>
    <row r="26" spans="1:40" x14ac:dyDescent="0.25">
      <c r="A26" s="122">
        <v>11210</v>
      </c>
      <c r="B26" s="153">
        <v>112</v>
      </c>
      <c r="C26" s="154">
        <v>4</v>
      </c>
      <c r="D26" s="154">
        <v>15793</v>
      </c>
      <c r="E26" s="154">
        <v>132</v>
      </c>
      <c r="F26" s="154">
        <v>64</v>
      </c>
      <c r="G26" s="154">
        <v>16</v>
      </c>
      <c r="H26" s="154">
        <v>14</v>
      </c>
      <c r="I26" s="155">
        <v>1</v>
      </c>
      <c r="J26" s="155">
        <v>2</v>
      </c>
      <c r="K26" s="155">
        <v>2</v>
      </c>
      <c r="L26" s="155">
        <v>3</v>
      </c>
      <c r="M26" s="155">
        <v>1</v>
      </c>
      <c r="N26" s="155">
        <v>3</v>
      </c>
      <c r="O26" s="155"/>
      <c r="P26" s="172">
        <f t="shared" si="7"/>
        <v>119.64393939393939</v>
      </c>
      <c r="Q26" s="172">
        <f t="shared" si="8"/>
        <v>136.73593073593074</v>
      </c>
      <c r="R26" s="172">
        <f t="shared" si="9"/>
        <v>127.9394454110693</v>
      </c>
      <c r="S26" s="106"/>
      <c r="T26" s="173">
        <f t="shared" si="10"/>
        <v>3.3432533400873807E-2</v>
      </c>
      <c r="U26" s="173">
        <f t="shared" si="11"/>
        <v>0.25</v>
      </c>
      <c r="V26" s="173">
        <f t="shared" si="12"/>
        <v>8.3581333502184517E-3</v>
      </c>
      <c r="W26" s="173">
        <f t="shared" si="13"/>
        <v>0.875</v>
      </c>
      <c r="X26" s="167"/>
      <c r="Y26" s="106">
        <f t="shared" si="1"/>
        <v>11.693413989760678</v>
      </c>
      <c r="Z26" s="106">
        <f t="shared" si="2"/>
        <v>23.386827979521357</v>
      </c>
      <c r="AA26" s="106">
        <f t="shared" si="3"/>
        <v>23.386827979521357</v>
      </c>
      <c r="AB26" s="106">
        <f t="shared" si="4"/>
        <v>35.080241969282035</v>
      </c>
      <c r="AC26" s="106">
        <f t="shared" si="5"/>
        <v>11.693413989760678</v>
      </c>
      <c r="AD26" s="106">
        <f t="shared" si="6"/>
        <v>35.080241969282035</v>
      </c>
      <c r="AK26" s="106"/>
      <c r="AL26" s="106"/>
      <c r="AM26" s="106">
        <v>4</v>
      </c>
      <c r="AN26" s="106">
        <f>QUARTILE(R$8:R$216,AM26)</f>
        <v>4192.7824138150672</v>
      </c>
    </row>
    <row r="27" spans="1:40" x14ac:dyDescent="0.25">
      <c r="A27" s="122">
        <v>11211</v>
      </c>
      <c r="B27" s="153">
        <v>112</v>
      </c>
      <c r="C27" s="154">
        <v>4</v>
      </c>
      <c r="D27" s="154">
        <v>15793</v>
      </c>
      <c r="E27" s="154">
        <v>132</v>
      </c>
      <c r="F27" s="154">
        <v>294</v>
      </c>
      <c r="G27" s="154">
        <v>16</v>
      </c>
      <c r="H27" s="154">
        <v>14</v>
      </c>
      <c r="I27" s="155">
        <v>2</v>
      </c>
      <c r="J27" s="155">
        <v>2</v>
      </c>
      <c r="K27" s="155">
        <v>1</v>
      </c>
      <c r="L27" s="155">
        <v>3</v>
      </c>
      <c r="M27" s="155">
        <v>2</v>
      </c>
      <c r="N27" s="155">
        <v>2</v>
      </c>
      <c r="O27" s="155"/>
      <c r="P27" s="172">
        <f t="shared" si="7"/>
        <v>549.61434659090912</v>
      </c>
      <c r="Q27" s="172">
        <f t="shared" si="8"/>
        <v>628.13068181818187</v>
      </c>
      <c r="R27" s="172">
        <f t="shared" si="9"/>
        <v>216.55450103310659</v>
      </c>
      <c r="S27" s="106"/>
      <c r="T27" s="173">
        <f t="shared" si="10"/>
        <v>3.3432533400873807E-2</v>
      </c>
      <c r="U27" s="173">
        <f t="shared" si="11"/>
        <v>5.4421768707482991E-2</v>
      </c>
      <c r="V27" s="173">
        <f t="shared" si="12"/>
        <v>1.819457600047554E-3</v>
      </c>
      <c r="W27" s="173">
        <f t="shared" si="13"/>
        <v>0.875</v>
      </c>
      <c r="X27" s="167"/>
      <c r="Y27" s="106">
        <f t="shared" si="1"/>
        <v>50.125070845563172</v>
      </c>
      <c r="Z27" s="106">
        <f t="shared" si="2"/>
        <v>50.125070845563172</v>
      </c>
      <c r="AA27" s="106">
        <f t="shared" si="3"/>
        <v>25.062535422781586</v>
      </c>
      <c r="AB27" s="106">
        <f t="shared" si="4"/>
        <v>75.187606268344751</v>
      </c>
      <c r="AC27" s="106">
        <f t="shared" si="5"/>
        <v>50.125070845563172</v>
      </c>
      <c r="AD27" s="106">
        <f t="shared" si="6"/>
        <v>50.125070845563172</v>
      </c>
      <c r="AK27" s="106"/>
      <c r="AL27" s="106"/>
      <c r="AM27" s="390" t="s">
        <v>553</v>
      </c>
      <c r="AN27" s="390"/>
    </row>
    <row r="28" spans="1:40" x14ac:dyDescent="0.25">
      <c r="A28" s="122">
        <v>21210</v>
      </c>
      <c r="B28" s="153">
        <v>212</v>
      </c>
      <c r="C28" s="154">
        <v>4</v>
      </c>
      <c r="D28" s="154">
        <v>43040</v>
      </c>
      <c r="E28" s="154">
        <v>107</v>
      </c>
      <c r="F28" s="154">
        <v>153</v>
      </c>
      <c r="G28" s="154">
        <v>16</v>
      </c>
      <c r="H28" s="154">
        <v>15</v>
      </c>
      <c r="I28" s="155">
        <v>4</v>
      </c>
      <c r="J28" s="155">
        <v>2</v>
      </c>
      <c r="K28" s="155">
        <v>1</v>
      </c>
      <c r="L28" s="155">
        <v>3</v>
      </c>
      <c r="M28" s="155">
        <v>2</v>
      </c>
      <c r="N28" s="155">
        <v>1</v>
      </c>
      <c r="O28" s="155"/>
      <c r="P28" s="172">
        <f t="shared" si="7"/>
        <v>961.6121495327103</v>
      </c>
      <c r="Q28" s="172">
        <f t="shared" si="8"/>
        <v>1025.7196261682243</v>
      </c>
      <c r="R28" s="172">
        <f t="shared" si="9"/>
        <v>1203.6219701852401</v>
      </c>
      <c r="S28" s="106"/>
      <c r="T28" s="173">
        <f t="shared" si="10"/>
        <v>9.9442379182156128E-3</v>
      </c>
      <c r="U28" s="173">
        <f t="shared" si="11"/>
        <v>0.10457516339869281</v>
      </c>
      <c r="V28" s="173">
        <f t="shared" si="12"/>
        <v>1.0399203051728746E-3</v>
      </c>
      <c r="W28" s="173">
        <f t="shared" si="13"/>
        <v>0.9375</v>
      </c>
      <c r="X28" s="167"/>
      <c r="Y28" s="106">
        <f t="shared" si="1"/>
        <v>128.1074315513803</v>
      </c>
      <c r="Z28" s="106">
        <f t="shared" si="2"/>
        <v>64.053715775690151</v>
      </c>
      <c r="AA28" s="106">
        <f t="shared" si="3"/>
        <v>32.026857887845075</v>
      </c>
      <c r="AB28" s="106">
        <f t="shared" si="4"/>
        <v>96.080573663535233</v>
      </c>
      <c r="AC28" s="106">
        <f t="shared" si="5"/>
        <v>64.053715775690151</v>
      </c>
      <c r="AD28" s="106">
        <f t="shared" si="6"/>
        <v>32.026857887845075</v>
      </c>
      <c r="AK28" s="106"/>
      <c r="AL28" s="106"/>
      <c r="AM28" s="106" t="s">
        <v>552</v>
      </c>
      <c r="AN28" s="106">
        <f>+AN25-AN23</f>
        <v>999.54890189891012</v>
      </c>
    </row>
    <row r="29" spans="1:40" x14ac:dyDescent="0.25">
      <c r="A29" s="122">
        <v>21211</v>
      </c>
      <c r="B29" s="153">
        <v>212</v>
      </c>
      <c r="C29" s="154">
        <v>4</v>
      </c>
      <c r="D29" s="154">
        <v>43040</v>
      </c>
      <c r="E29" s="154">
        <v>88</v>
      </c>
      <c r="F29" s="154">
        <v>118</v>
      </c>
      <c r="G29" s="154">
        <v>16</v>
      </c>
      <c r="H29" s="154">
        <v>15</v>
      </c>
      <c r="I29" s="155">
        <v>2</v>
      </c>
      <c r="J29" s="155">
        <v>2</v>
      </c>
      <c r="K29" s="155">
        <v>2</v>
      </c>
      <c r="L29" s="155">
        <v>2</v>
      </c>
      <c r="M29" s="155">
        <v>1</v>
      </c>
      <c r="N29" s="155">
        <v>2</v>
      </c>
      <c r="O29" s="155"/>
      <c r="P29" s="172">
        <f t="shared" si="7"/>
        <v>901.76136363636351</v>
      </c>
      <c r="Q29" s="172">
        <f t="shared" si="8"/>
        <v>961.87878787878776</v>
      </c>
      <c r="R29" s="172">
        <f t="shared" si="9"/>
        <v>1198.9538223799052</v>
      </c>
      <c r="S29" s="106"/>
      <c r="T29" s="173">
        <f t="shared" si="10"/>
        <v>8.1784386617100371E-3</v>
      </c>
      <c r="U29" s="173">
        <f t="shared" si="11"/>
        <v>0.13559322033898305</v>
      </c>
      <c r="V29" s="173">
        <f t="shared" si="12"/>
        <v>1.1089408354861068E-3</v>
      </c>
      <c r="W29" s="173">
        <f t="shared" si="13"/>
        <v>0.9375</v>
      </c>
      <c r="X29" s="167"/>
      <c r="Y29" s="106">
        <f t="shared" si="1"/>
        <v>62.028341518334592</v>
      </c>
      <c r="Z29" s="106">
        <f t="shared" si="2"/>
        <v>62.028341518334592</v>
      </c>
      <c r="AA29" s="106">
        <f t="shared" si="3"/>
        <v>62.028341518334592</v>
      </c>
      <c r="AB29" s="106">
        <f t="shared" si="4"/>
        <v>62.028341518334592</v>
      </c>
      <c r="AC29" s="106">
        <f t="shared" si="5"/>
        <v>31.014170759167296</v>
      </c>
      <c r="AD29" s="106">
        <f t="shared" si="6"/>
        <v>62.028341518334592</v>
      </c>
      <c r="AM29" t="s">
        <v>554</v>
      </c>
      <c r="AN29" s="167">
        <f>+AN24+5*AN28</f>
        <v>5823.4353167250083</v>
      </c>
    </row>
    <row r="30" spans="1:40" x14ac:dyDescent="0.25">
      <c r="A30" s="122">
        <v>21212</v>
      </c>
      <c r="B30" s="153">
        <v>212</v>
      </c>
      <c r="C30" s="154">
        <v>4</v>
      </c>
      <c r="D30" s="154">
        <v>43040</v>
      </c>
      <c r="E30" s="154">
        <v>145</v>
      </c>
      <c r="F30" s="154">
        <v>130</v>
      </c>
      <c r="G30" s="154">
        <v>16</v>
      </c>
      <c r="H30" s="154">
        <v>14</v>
      </c>
      <c r="I30" s="155">
        <v>5</v>
      </c>
      <c r="J30" s="155">
        <v>3</v>
      </c>
      <c r="K30" s="155">
        <v>1</v>
      </c>
      <c r="L30" s="155">
        <v>4</v>
      </c>
      <c r="M30" s="155">
        <v>2</v>
      </c>
      <c r="N30" s="155">
        <v>2</v>
      </c>
      <c r="O30" s="155"/>
      <c r="P30" s="172">
        <f t="shared" si="7"/>
        <v>602.93103448275861</v>
      </c>
      <c r="Q30" s="172">
        <f t="shared" si="8"/>
        <v>689.06403940886696</v>
      </c>
      <c r="R30" s="172">
        <f t="shared" si="9"/>
        <v>890.85259453527181</v>
      </c>
      <c r="S30" s="106"/>
      <c r="T30" s="173">
        <f t="shared" si="10"/>
        <v>1.3475836431226766E-2</v>
      </c>
      <c r="U30" s="173">
        <f t="shared" si="11"/>
        <v>0.12307692307692308</v>
      </c>
      <c r="V30" s="173">
        <f t="shared" si="12"/>
        <v>1.6585644838432944E-3</v>
      </c>
      <c r="W30" s="173">
        <f t="shared" si="13"/>
        <v>0.875</v>
      </c>
      <c r="X30" s="167"/>
      <c r="Y30" s="106">
        <f t="shared" si="1"/>
        <v>131.25014661028641</v>
      </c>
      <c r="Z30" s="106">
        <f t="shared" si="2"/>
        <v>78.750087966171833</v>
      </c>
      <c r="AA30" s="106">
        <f t="shared" si="3"/>
        <v>26.25002932205728</v>
      </c>
      <c r="AB30" s="106">
        <f t="shared" si="4"/>
        <v>105.00011728822912</v>
      </c>
      <c r="AC30" s="106">
        <f t="shared" si="5"/>
        <v>52.50005864411456</v>
      </c>
      <c r="AD30" s="106">
        <f t="shared" si="6"/>
        <v>52.50005864411456</v>
      </c>
      <c r="AM30" t="s">
        <v>555</v>
      </c>
      <c r="AN30">
        <f>COUNTIF(R8:R216,"&gt;=5766")</f>
        <v>0</v>
      </c>
    </row>
    <row r="31" spans="1:40" x14ac:dyDescent="0.25">
      <c r="A31" s="122">
        <v>21213</v>
      </c>
      <c r="B31" s="153">
        <v>212</v>
      </c>
      <c r="C31" s="154">
        <v>4</v>
      </c>
      <c r="D31" s="154">
        <v>43040</v>
      </c>
      <c r="E31" s="154">
        <v>35</v>
      </c>
      <c r="F31" s="154">
        <v>79</v>
      </c>
      <c r="G31" s="154">
        <v>16</v>
      </c>
      <c r="H31" s="154">
        <v>16</v>
      </c>
      <c r="I31" s="155">
        <v>4</v>
      </c>
      <c r="J31" s="155">
        <v>1</v>
      </c>
      <c r="K31" s="155">
        <v>2</v>
      </c>
      <c r="L31" s="155">
        <v>3</v>
      </c>
      <c r="M31" s="155">
        <v>2</v>
      </c>
      <c r="N31" s="155">
        <v>2</v>
      </c>
      <c r="O31" s="155"/>
      <c r="P31" s="172">
        <f t="shared" si="7"/>
        <v>1517.9285714285713</v>
      </c>
      <c r="Q31" s="172">
        <f t="shared" si="8"/>
        <v>1517.9285714285713</v>
      </c>
      <c r="R31" s="172">
        <f t="shared" si="9"/>
        <v>2096.0273156292242</v>
      </c>
      <c r="S31" s="106"/>
      <c r="T31" s="173">
        <f t="shared" si="10"/>
        <v>3.2527881040892194E-3</v>
      </c>
      <c r="U31" s="173">
        <f t="shared" si="11"/>
        <v>0.20253164556962025</v>
      </c>
      <c r="V31" s="173">
        <f t="shared" si="12"/>
        <v>6.5879252741047483E-4</v>
      </c>
      <c r="W31" s="173">
        <f t="shared" si="13"/>
        <v>1</v>
      </c>
      <c r="X31" s="167"/>
      <c r="Y31" s="106">
        <f t="shared" si="1"/>
        <v>155.8424112456463</v>
      </c>
      <c r="Z31" s="106">
        <f t="shared" si="2"/>
        <v>38.960602811411576</v>
      </c>
      <c r="AA31" s="106">
        <f t="shared" si="3"/>
        <v>77.921205622823152</v>
      </c>
      <c r="AB31" s="106">
        <f t="shared" si="4"/>
        <v>116.88180843423473</v>
      </c>
      <c r="AC31" s="106">
        <f t="shared" si="5"/>
        <v>77.921205622823152</v>
      </c>
      <c r="AD31" s="106">
        <f t="shared" si="6"/>
        <v>77.921205622823152</v>
      </c>
    </row>
    <row r="32" spans="1:40" x14ac:dyDescent="0.25">
      <c r="A32" s="122">
        <v>11312</v>
      </c>
      <c r="B32" s="153">
        <v>113</v>
      </c>
      <c r="C32" s="154">
        <v>15</v>
      </c>
      <c r="D32" s="154">
        <v>250199</v>
      </c>
      <c r="E32" s="154">
        <v>100</v>
      </c>
      <c r="F32" s="154">
        <v>157</v>
      </c>
      <c r="G32" s="154">
        <v>16</v>
      </c>
      <c r="H32" s="154">
        <v>15</v>
      </c>
      <c r="I32" s="155">
        <v>3</v>
      </c>
      <c r="J32" s="155">
        <v>3</v>
      </c>
      <c r="K32" s="155">
        <v>1</v>
      </c>
      <c r="L32" s="155">
        <v>4</v>
      </c>
      <c r="M32" s="155">
        <v>2</v>
      </c>
      <c r="N32" s="155">
        <v>2</v>
      </c>
      <c r="O32" s="155"/>
      <c r="P32" s="172">
        <f t="shared" si="7"/>
        <v>1636.7184583333333</v>
      </c>
      <c r="Q32" s="172">
        <f t="shared" si="8"/>
        <v>1745.8330222222221</v>
      </c>
      <c r="R32" s="172">
        <f t="shared" si="9"/>
        <v>1313.8252904763428</v>
      </c>
      <c r="S32" s="106"/>
      <c r="T32" s="173">
        <f t="shared" si="10"/>
        <v>5.9952277986722565E-3</v>
      </c>
      <c r="U32" s="173">
        <f t="shared" si="11"/>
        <v>0.10191082802547771</v>
      </c>
      <c r="V32" s="173">
        <f t="shared" si="12"/>
        <v>6.1097862916405167E-4</v>
      </c>
      <c r="W32" s="173">
        <f t="shared" si="13"/>
        <v>0.9375</v>
      </c>
      <c r="X32" s="167"/>
      <c r="Y32" s="106">
        <f t="shared" si="1"/>
        <v>125.34950019844514</v>
      </c>
      <c r="Z32" s="106">
        <f t="shared" si="2"/>
        <v>125.34950019844514</v>
      </c>
      <c r="AA32" s="106">
        <f t="shared" si="3"/>
        <v>41.783166732815047</v>
      </c>
      <c r="AB32" s="106">
        <f t="shared" si="4"/>
        <v>167.13266693126019</v>
      </c>
      <c r="AC32" s="106">
        <f t="shared" si="5"/>
        <v>83.566333465630095</v>
      </c>
      <c r="AD32" s="106">
        <f t="shared" si="6"/>
        <v>83.566333465630095</v>
      </c>
    </row>
    <row r="33" spans="1:30" x14ac:dyDescent="0.25">
      <c r="A33" s="122">
        <v>11313</v>
      </c>
      <c r="B33" s="153">
        <v>113</v>
      </c>
      <c r="C33" s="154">
        <v>15</v>
      </c>
      <c r="D33" s="154">
        <v>250199</v>
      </c>
      <c r="E33" s="154">
        <v>152</v>
      </c>
      <c r="F33" s="154">
        <v>157</v>
      </c>
      <c r="G33" s="154">
        <v>16</v>
      </c>
      <c r="H33" s="154">
        <v>16</v>
      </c>
      <c r="I33" s="155">
        <v>3</v>
      </c>
      <c r="J33" s="155">
        <v>1</v>
      </c>
      <c r="K33" s="155">
        <v>3</v>
      </c>
      <c r="L33" s="155">
        <v>2</v>
      </c>
      <c r="M33" s="155">
        <v>2</v>
      </c>
      <c r="N33" s="155">
        <v>2</v>
      </c>
      <c r="O33" s="155"/>
      <c r="P33" s="172">
        <f t="shared" si="7"/>
        <v>1076.7884594298246</v>
      </c>
      <c r="Q33" s="172">
        <f t="shared" si="8"/>
        <v>1076.7884594298246</v>
      </c>
      <c r="R33" s="172">
        <f t="shared" si="9"/>
        <v>1344.5542667465529</v>
      </c>
      <c r="S33" s="106"/>
      <c r="T33" s="173">
        <f t="shared" si="10"/>
        <v>9.1127462539818301E-3</v>
      </c>
      <c r="U33" s="173">
        <f t="shared" si="11"/>
        <v>0.10191082802547771</v>
      </c>
      <c r="V33" s="173">
        <f t="shared" si="12"/>
        <v>9.2868751632935848E-4</v>
      </c>
      <c r="W33" s="173">
        <f t="shared" si="13"/>
        <v>1</v>
      </c>
      <c r="X33" s="167"/>
      <c r="Y33" s="106">
        <f t="shared" si="1"/>
        <v>98.443365113492646</v>
      </c>
      <c r="Z33" s="106">
        <f t="shared" si="2"/>
        <v>32.814455037830882</v>
      </c>
      <c r="AA33" s="106">
        <f t="shared" si="3"/>
        <v>98.443365113492646</v>
      </c>
      <c r="AB33" s="106">
        <f t="shared" si="4"/>
        <v>65.628910075661764</v>
      </c>
      <c r="AC33" s="106">
        <f t="shared" si="5"/>
        <v>65.628910075661764</v>
      </c>
      <c r="AD33" s="106">
        <f t="shared" si="6"/>
        <v>65.628910075661764</v>
      </c>
    </row>
    <row r="34" spans="1:30" x14ac:dyDescent="0.25">
      <c r="A34" s="122">
        <v>11314</v>
      </c>
      <c r="B34" s="153">
        <v>113</v>
      </c>
      <c r="C34" s="154">
        <v>15</v>
      </c>
      <c r="D34" s="154">
        <v>250199</v>
      </c>
      <c r="E34" s="154">
        <v>160</v>
      </c>
      <c r="F34" s="154">
        <v>161</v>
      </c>
      <c r="G34" s="154">
        <v>16</v>
      </c>
      <c r="H34" s="154">
        <v>13</v>
      </c>
      <c r="I34" s="155">
        <v>4</v>
      </c>
      <c r="J34" s="155">
        <v>2</v>
      </c>
      <c r="K34" s="155">
        <v>1</v>
      </c>
      <c r="L34" s="155">
        <v>3</v>
      </c>
      <c r="M34" s="155">
        <v>2</v>
      </c>
      <c r="N34" s="155">
        <v>1</v>
      </c>
      <c r="O34" s="155"/>
      <c r="P34" s="172">
        <f t="shared" si="7"/>
        <v>1049.0114322916668</v>
      </c>
      <c r="Q34" s="172">
        <f t="shared" si="8"/>
        <v>1291.0909935897437</v>
      </c>
      <c r="R34" s="172">
        <f t="shared" si="9"/>
        <v>1515.0197439412584</v>
      </c>
      <c r="S34" s="106"/>
      <c r="T34" s="173">
        <f t="shared" si="10"/>
        <v>9.5923644778756114E-3</v>
      </c>
      <c r="U34" s="173">
        <f t="shared" si="11"/>
        <v>9.9378881987577633E-2</v>
      </c>
      <c r="V34" s="173">
        <f t="shared" si="12"/>
        <v>9.5327845742863208E-4</v>
      </c>
      <c r="W34" s="173">
        <f t="shared" si="13"/>
        <v>0.8125</v>
      </c>
      <c r="X34" s="167"/>
      <c r="Y34" s="106">
        <f t="shared" si="1"/>
        <v>143.72701867580744</v>
      </c>
      <c r="Z34" s="106">
        <f t="shared" si="2"/>
        <v>71.863509337903722</v>
      </c>
      <c r="AA34" s="106">
        <f t="shared" si="3"/>
        <v>35.931754668951861</v>
      </c>
      <c r="AB34" s="106">
        <f t="shared" si="4"/>
        <v>107.79526400685558</v>
      </c>
      <c r="AC34" s="106">
        <f t="shared" si="5"/>
        <v>71.863509337903722</v>
      </c>
      <c r="AD34" s="106">
        <f t="shared" si="6"/>
        <v>35.931754668951861</v>
      </c>
    </row>
    <row r="35" spans="1:30" x14ac:dyDescent="0.25">
      <c r="A35" s="122">
        <v>11315</v>
      </c>
      <c r="B35" s="153">
        <v>113</v>
      </c>
      <c r="C35" s="154">
        <v>15</v>
      </c>
      <c r="D35" s="154">
        <v>250199</v>
      </c>
      <c r="E35" s="154">
        <v>142</v>
      </c>
      <c r="F35" s="154">
        <v>123</v>
      </c>
      <c r="G35" s="154">
        <v>16</v>
      </c>
      <c r="H35" s="154">
        <v>16</v>
      </c>
      <c r="I35" s="155">
        <v>4</v>
      </c>
      <c r="J35" s="155">
        <v>3</v>
      </c>
      <c r="K35" s="155">
        <v>1</v>
      </c>
      <c r="L35" s="155">
        <v>3</v>
      </c>
      <c r="M35" s="155">
        <v>2</v>
      </c>
      <c r="N35" s="155">
        <v>2</v>
      </c>
      <c r="O35" s="155"/>
      <c r="P35" s="172">
        <f t="shared" si="7"/>
        <v>903.00695422535193</v>
      </c>
      <c r="Q35" s="172">
        <f t="shared" si="8"/>
        <v>903.00695422535193</v>
      </c>
      <c r="R35" s="172">
        <f t="shared" si="9"/>
        <v>699.79960581440116</v>
      </c>
      <c r="S35" s="106"/>
      <c r="T35" s="173">
        <f t="shared" si="10"/>
        <v>8.5132234741146055E-3</v>
      </c>
      <c r="U35" s="173">
        <f t="shared" si="11"/>
        <v>0.13008130081300814</v>
      </c>
      <c r="V35" s="173">
        <f t="shared" si="12"/>
        <v>1.1074111836246643E-3</v>
      </c>
      <c r="W35" s="173">
        <f t="shared" si="13"/>
        <v>1</v>
      </c>
      <c r="X35" s="167"/>
      <c r="Y35" s="106">
        <f t="shared" si="1"/>
        <v>120.20029645390078</v>
      </c>
      <c r="Z35" s="106">
        <f t="shared" si="2"/>
        <v>90.150222340425586</v>
      </c>
      <c r="AA35" s="106">
        <f t="shared" si="3"/>
        <v>30.050074113475194</v>
      </c>
      <c r="AB35" s="106">
        <f t="shared" si="4"/>
        <v>90.150222340425586</v>
      </c>
      <c r="AC35" s="106">
        <f t="shared" si="5"/>
        <v>60.100148226950388</v>
      </c>
      <c r="AD35" s="106">
        <f t="shared" si="6"/>
        <v>60.100148226950388</v>
      </c>
    </row>
    <row r="36" spans="1:30" x14ac:dyDescent="0.25">
      <c r="A36" s="122">
        <v>11316</v>
      </c>
      <c r="B36" s="153">
        <v>113</v>
      </c>
      <c r="C36" s="154">
        <v>15</v>
      </c>
      <c r="D36" s="154">
        <v>250199</v>
      </c>
      <c r="E36" s="154">
        <v>140</v>
      </c>
      <c r="F36" s="154">
        <v>112</v>
      </c>
      <c r="G36" s="154">
        <v>16</v>
      </c>
      <c r="H36" s="154">
        <v>16</v>
      </c>
      <c r="I36" s="155">
        <v>4</v>
      </c>
      <c r="J36" s="155">
        <v>2</v>
      </c>
      <c r="K36" s="155">
        <v>1</v>
      </c>
      <c r="L36" s="155">
        <v>3</v>
      </c>
      <c r="M36" s="155">
        <v>2</v>
      </c>
      <c r="N36" s="155">
        <v>2</v>
      </c>
      <c r="O36" s="155"/>
      <c r="P36" s="172">
        <f t="shared" si="7"/>
        <v>833.99666666666678</v>
      </c>
      <c r="Q36" s="172">
        <f t="shared" si="8"/>
        <v>833.99666666666678</v>
      </c>
      <c r="R36" s="172">
        <f t="shared" si="9"/>
        <v>738.13329850672631</v>
      </c>
      <c r="S36" s="106"/>
      <c r="T36" s="173">
        <f t="shared" si="10"/>
        <v>8.3933189181411589E-3</v>
      </c>
      <c r="U36" s="173">
        <f t="shared" si="11"/>
        <v>0.14285714285714285</v>
      </c>
      <c r="V36" s="173">
        <f t="shared" si="12"/>
        <v>1.1990455597344512E-3</v>
      </c>
      <c r="W36" s="173">
        <f t="shared" si="13"/>
        <v>1</v>
      </c>
      <c r="X36" s="167"/>
      <c r="Y36" s="106">
        <f t="shared" si="1"/>
        <v>115.51600177753153</v>
      </c>
      <c r="Z36" s="106">
        <f t="shared" si="2"/>
        <v>57.758000888765764</v>
      </c>
      <c r="AA36" s="106">
        <f t="shared" si="3"/>
        <v>28.879000444382882</v>
      </c>
      <c r="AB36" s="106">
        <f t="shared" si="4"/>
        <v>86.637001333148646</v>
      </c>
      <c r="AC36" s="106">
        <f t="shared" si="5"/>
        <v>57.758000888765764</v>
      </c>
      <c r="AD36" s="106">
        <f t="shared" si="6"/>
        <v>57.758000888765764</v>
      </c>
    </row>
    <row r="37" spans="1:30" x14ac:dyDescent="0.25">
      <c r="A37" s="122">
        <v>11317</v>
      </c>
      <c r="B37" s="153">
        <v>113</v>
      </c>
      <c r="C37" s="154">
        <v>15</v>
      </c>
      <c r="D37" s="154">
        <v>250199</v>
      </c>
      <c r="E37" s="154">
        <v>174</v>
      </c>
      <c r="F37" s="154">
        <v>155</v>
      </c>
      <c r="G37" s="154">
        <v>16</v>
      </c>
      <c r="H37" s="154">
        <v>14</v>
      </c>
      <c r="I37" s="155">
        <v>3</v>
      </c>
      <c r="J37" s="155">
        <v>1</v>
      </c>
      <c r="K37" s="155">
        <v>1</v>
      </c>
      <c r="L37" s="155">
        <v>3</v>
      </c>
      <c r="M37" s="154">
        <v>2</v>
      </c>
      <c r="N37" s="154">
        <v>1</v>
      </c>
      <c r="O37" s="154"/>
      <c r="P37" s="172">
        <f t="shared" si="7"/>
        <v>928.6600814176245</v>
      </c>
      <c r="Q37" s="172">
        <f t="shared" si="8"/>
        <v>1061.325807334428</v>
      </c>
      <c r="R37" s="172">
        <f t="shared" si="9"/>
        <v>1075.530001806465</v>
      </c>
      <c r="S37" s="106"/>
      <c r="T37" s="173">
        <f t="shared" si="10"/>
        <v>1.0431696369689727E-2</v>
      </c>
      <c r="U37" s="173">
        <f t="shared" si="11"/>
        <v>0.1032258064516129</v>
      </c>
      <c r="V37" s="173">
        <f t="shared" si="12"/>
        <v>1.0768202704195848E-3</v>
      </c>
      <c r="W37" s="173">
        <f t="shared" si="13"/>
        <v>0.875</v>
      </c>
      <c r="X37" s="167"/>
      <c r="Y37" s="106">
        <f t="shared" si="1"/>
        <v>97.73398726139159</v>
      </c>
      <c r="Z37" s="106">
        <f t="shared" si="2"/>
        <v>32.577995753797197</v>
      </c>
      <c r="AA37" s="106">
        <f t="shared" si="3"/>
        <v>32.577995753797197</v>
      </c>
      <c r="AB37" s="106">
        <f t="shared" si="4"/>
        <v>97.73398726139159</v>
      </c>
      <c r="AC37" s="106">
        <f t="shared" si="5"/>
        <v>65.155991507594393</v>
      </c>
      <c r="AD37" s="106">
        <f t="shared" si="6"/>
        <v>32.577995753797197</v>
      </c>
    </row>
    <row r="38" spans="1:30" x14ac:dyDescent="0.25">
      <c r="A38" s="122">
        <v>11318</v>
      </c>
      <c r="B38" s="153">
        <v>113</v>
      </c>
      <c r="C38" s="154">
        <v>15</v>
      </c>
      <c r="D38" s="154">
        <v>250199</v>
      </c>
      <c r="E38" s="154">
        <v>140</v>
      </c>
      <c r="F38" s="154">
        <v>115</v>
      </c>
      <c r="G38" s="154">
        <v>16</v>
      </c>
      <c r="H38" s="154">
        <v>15</v>
      </c>
      <c r="I38" s="155">
        <v>3</v>
      </c>
      <c r="J38" s="155">
        <v>1</v>
      </c>
      <c r="K38" s="155">
        <v>3</v>
      </c>
      <c r="L38" s="155">
        <v>2</v>
      </c>
      <c r="M38" s="155">
        <v>2</v>
      </c>
      <c r="N38" s="155">
        <v>2</v>
      </c>
      <c r="O38" s="155"/>
      <c r="P38" s="172">
        <f t="shared" si="7"/>
        <v>856.3358630952381</v>
      </c>
      <c r="Q38" s="172">
        <f t="shared" si="8"/>
        <v>913.42492063492068</v>
      </c>
      <c r="R38" s="172">
        <f t="shared" si="9"/>
        <v>1140.5669921858537</v>
      </c>
      <c r="S38" s="106"/>
      <c r="T38" s="173">
        <f t="shared" si="10"/>
        <v>8.3933189181411589E-3</v>
      </c>
      <c r="U38" s="173">
        <f t="shared" si="11"/>
        <v>0.1391304347826087</v>
      </c>
      <c r="V38" s="173">
        <f t="shared" si="12"/>
        <v>1.1677661103500743E-3</v>
      </c>
      <c r="W38" s="173">
        <f t="shared" si="13"/>
        <v>0.9375</v>
      </c>
      <c r="X38" s="167"/>
      <c r="Y38" s="106">
        <f t="shared" si="1"/>
        <v>90.668761355354832</v>
      </c>
      <c r="Z38" s="106">
        <f t="shared" si="2"/>
        <v>30.222920451784944</v>
      </c>
      <c r="AA38" s="106">
        <f t="shared" si="3"/>
        <v>90.668761355354832</v>
      </c>
      <c r="AB38" s="106">
        <f t="shared" si="4"/>
        <v>60.445840903569888</v>
      </c>
      <c r="AC38" s="106">
        <f t="shared" si="5"/>
        <v>60.445840903569888</v>
      </c>
      <c r="AD38" s="106">
        <f t="shared" si="6"/>
        <v>60.445840903569888</v>
      </c>
    </row>
    <row r="39" spans="1:30" x14ac:dyDescent="0.25">
      <c r="A39" s="122">
        <v>11319</v>
      </c>
      <c r="B39" s="153">
        <v>113</v>
      </c>
      <c r="C39" s="154">
        <v>15</v>
      </c>
      <c r="D39" s="154">
        <v>250199</v>
      </c>
      <c r="E39" s="154">
        <v>126</v>
      </c>
      <c r="F39" s="154">
        <v>131</v>
      </c>
      <c r="G39" s="154">
        <v>16</v>
      </c>
      <c r="H39" s="154">
        <v>14</v>
      </c>
      <c r="I39" s="155">
        <v>4</v>
      </c>
      <c r="J39" s="155">
        <v>1</v>
      </c>
      <c r="K39" s="155">
        <v>2</v>
      </c>
      <c r="L39" s="155">
        <v>3</v>
      </c>
      <c r="M39" s="155">
        <v>2</v>
      </c>
      <c r="N39" s="155">
        <v>2</v>
      </c>
      <c r="O39" s="155"/>
      <c r="P39" s="172">
        <f t="shared" si="7"/>
        <v>1083.8647156084658</v>
      </c>
      <c r="Q39" s="172">
        <f t="shared" si="8"/>
        <v>1238.702532123961</v>
      </c>
      <c r="R39" s="172">
        <f t="shared" si="9"/>
        <v>1710.4588398566054</v>
      </c>
      <c r="S39" s="106"/>
      <c r="T39" s="173">
        <f t="shared" si="10"/>
        <v>7.5539870263270437E-3</v>
      </c>
      <c r="U39" s="173">
        <f t="shared" si="11"/>
        <v>0.12213740458015267</v>
      </c>
      <c r="V39" s="173">
        <f t="shared" si="12"/>
        <v>9.2262436962773048E-4</v>
      </c>
      <c r="W39" s="173">
        <f t="shared" si="13"/>
        <v>0.875</v>
      </c>
      <c r="X39" s="167"/>
      <c r="Y39" s="106">
        <f t="shared" si="1"/>
        <v>140.78082438309337</v>
      </c>
      <c r="Z39" s="106">
        <f t="shared" si="2"/>
        <v>35.195206095773344</v>
      </c>
      <c r="AA39" s="106">
        <f t="shared" si="3"/>
        <v>70.390412191546687</v>
      </c>
      <c r="AB39" s="106">
        <f t="shared" si="4"/>
        <v>105.58561828732003</v>
      </c>
      <c r="AC39" s="106">
        <f t="shared" si="5"/>
        <v>70.390412191546687</v>
      </c>
      <c r="AD39" s="106">
        <f t="shared" si="6"/>
        <v>70.390412191546687</v>
      </c>
    </row>
    <row r="40" spans="1:30" x14ac:dyDescent="0.25">
      <c r="A40" s="122">
        <v>11320</v>
      </c>
      <c r="B40" s="153">
        <v>113</v>
      </c>
      <c r="C40" s="154">
        <v>15</v>
      </c>
      <c r="D40" s="154">
        <v>250199</v>
      </c>
      <c r="E40" s="154">
        <v>174</v>
      </c>
      <c r="F40" s="154">
        <v>164</v>
      </c>
      <c r="G40" s="154">
        <v>16</v>
      </c>
      <c r="H40" s="154">
        <v>14</v>
      </c>
      <c r="I40" s="155">
        <v>2</v>
      </c>
      <c r="J40" s="155">
        <v>2</v>
      </c>
      <c r="K40" s="155">
        <v>2</v>
      </c>
      <c r="L40" s="155">
        <v>2</v>
      </c>
      <c r="M40" s="155">
        <v>2</v>
      </c>
      <c r="N40" s="155">
        <v>2</v>
      </c>
      <c r="O40" s="155"/>
      <c r="P40" s="172">
        <f t="shared" si="7"/>
        <v>982.58227969348661</v>
      </c>
      <c r="Q40" s="172">
        <f t="shared" si="8"/>
        <v>1122.9511767925562</v>
      </c>
      <c r="R40" s="172">
        <f t="shared" si="9"/>
        <v>542.08389462711057</v>
      </c>
      <c r="S40" s="106"/>
      <c r="T40" s="173">
        <f t="shared" si="10"/>
        <v>1.0431696369689727E-2</v>
      </c>
      <c r="U40" s="173">
        <f t="shared" si="11"/>
        <v>9.7560975609756101E-2</v>
      </c>
      <c r="V40" s="173">
        <f t="shared" si="12"/>
        <v>1.0177264750916807E-3</v>
      </c>
      <c r="W40" s="173">
        <f t="shared" si="13"/>
        <v>0.875</v>
      </c>
      <c r="X40" s="167"/>
      <c r="Y40" s="106">
        <f t="shared" si="1"/>
        <v>67.020927382200739</v>
      </c>
      <c r="Z40" s="106">
        <f t="shared" si="2"/>
        <v>67.020927382200739</v>
      </c>
      <c r="AA40" s="106">
        <f t="shared" si="3"/>
        <v>67.020927382200739</v>
      </c>
      <c r="AB40" s="106">
        <f t="shared" si="4"/>
        <v>67.020927382200739</v>
      </c>
      <c r="AC40" s="106">
        <f t="shared" si="5"/>
        <v>67.020927382200739</v>
      </c>
      <c r="AD40" s="106">
        <f t="shared" si="6"/>
        <v>67.020927382200739</v>
      </c>
    </row>
    <row r="41" spans="1:30" x14ac:dyDescent="0.25">
      <c r="A41" s="122">
        <v>11321</v>
      </c>
      <c r="B41" s="153">
        <v>113</v>
      </c>
      <c r="C41" s="154">
        <v>15</v>
      </c>
      <c r="D41" s="154">
        <v>250199</v>
      </c>
      <c r="E41" s="154">
        <v>160</v>
      </c>
      <c r="F41" s="154">
        <v>130</v>
      </c>
      <c r="G41" s="154">
        <v>16</v>
      </c>
      <c r="H41" s="154">
        <v>14</v>
      </c>
      <c r="I41" s="155">
        <v>4</v>
      </c>
      <c r="J41" s="155">
        <v>3</v>
      </c>
      <c r="K41" s="155">
        <v>3</v>
      </c>
      <c r="L41" s="155">
        <v>4</v>
      </c>
      <c r="M41" s="155">
        <v>3</v>
      </c>
      <c r="N41" s="155">
        <v>2</v>
      </c>
      <c r="O41" s="155"/>
      <c r="P41" s="172">
        <f t="shared" si="7"/>
        <v>847.02786458333321</v>
      </c>
      <c r="Q41" s="172">
        <f t="shared" si="8"/>
        <v>968.03184523809512</v>
      </c>
      <c r="R41" s="172">
        <f t="shared" si="9"/>
        <v>997.42301422400374</v>
      </c>
      <c r="S41" s="106"/>
      <c r="T41" s="173">
        <f t="shared" si="10"/>
        <v>9.5923644778756114E-3</v>
      </c>
      <c r="U41" s="173">
        <f t="shared" si="11"/>
        <v>0.12307692307692308</v>
      </c>
      <c r="V41" s="173">
        <f t="shared" si="12"/>
        <v>1.1805987049693062E-3</v>
      </c>
      <c r="W41" s="173">
        <f t="shared" si="13"/>
        <v>0.875</v>
      </c>
      <c r="X41" s="167"/>
      <c r="Y41" s="106">
        <f t="shared" si="1"/>
        <v>124.45284056143323</v>
      </c>
      <c r="Z41" s="106">
        <f t="shared" si="2"/>
        <v>93.339630421074929</v>
      </c>
      <c r="AA41" s="106">
        <f t="shared" si="3"/>
        <v>93.339630421074929</v>
      </c>
      <c r="AB41" s="106">
        <f t="shared" si="4"/>
        <v>124.45284056143323</v>
      </c>
      <c r="AC41" s="106">
        <f t="shared" si="5"/>
        <v>93.339630421074929</v>
      </c>
      <c r="AD41" s="106">
        <f t="shared" si="6"/>
        <v>62.226420280716617</v>
      </c>
    </row>
    <row r="42" spans="1:30" x14ac:dyDescent="0.25">
      <c r="A42" s="122">
        <v>11322</v>
      </c>
      <c r="B42" s="153">
        <v>113</v>
      </c>
      <c r="C42" s="154">
        <v>15</v>
      </c>
      <c r="D42" s="154">
        <v>250199</v>
      </c>
      <c r="E42" s="154">
        <v>162</v>
      </c>
      <c r="F42" s="154">
        <v>110</v>
      </c>
      <c r="G42" s="154">
        <v>16</v>
      </c>
      <c r="H42" s="154">
        <v>14</v>
      </c>
      <c r="I42" s="155">
        <v>4</v>
      </c>
      <c r="J42" s="155">
        <v>1</v>
      </c>
      <c r="K42" s="155">
        <v>2</v>
      </c>
      <c r="L42" s="155">
        <v>3</v>
      </c>
      <c r="M42" s="155">
        <v>2</v>
      </c>
      <c r="N42" s="155">
        <v>2</v>
      </c>
      <c r="O42" s="155"/>
      <c r="P42" s="172">
        <f t="shared" si="7"/>
        <v>707.86754115226347</v>
      </c>
      <c r="Q42" s="172">
        <f t="shared" si="8"/>
        <v>808.99147560258677</v>
      </c>
      <c r="R42" s="172">
        <f t="shared" si="9"/>
        <v>1117.0935595331518</v>
      </c>
      <c r="S42" s="106"/>
      <c r="T42" s="173">
        <f t="shared" si="10"/>
        <v>9.7122690338490563E-3</v>
      </c>
      <c r="U42" s="173">
        <f t="shared" si="11"/>
        <v>0.14545454545454545</v>
      </c>
      <c r="V42" s="173">
        <f t="shared" si="12"/>
        <v>1.4126936776507717E-3</v>
      </c>
      <c r="W42" s="173">
        <f t="shared" si="13"/>
        <v>0.875</v>
      </c>
      <c r="X42" s="167"/>
      <c r="Y42" s="106">
        <f t="shared" si="1"/>
        <v>113.77110182133858</v>
      </c>
      <c r="Z42" s="106">
        <f t="shared" si="2"/>
        <v>28.442775455334644</v>
      </c>
      <c r="AA42" s="106">
        <f t="shared" si="3"/>
        <v>56.885550910669288</v>
      </c>
      <c r="AB42" s="106">
        <f t="shared" si="4"/>
        <v>85.328326366003935</v>
      </c>
      <c r="AC42" s="106">
        <f t="shared" si="5"/>
        <v>56.885550910669288</v>
      </c>
      <c r="AD42" s="106">
        <f t="shared" si="6"/>
        <v>56.885550910669288</v>
      </c>
    </row>
    <row r="43" spans="1:30" x14ac:dyDescent="0.25">
      <c r="A43" s="122">
        <v>11323</v>
      </c>
      <c r="B43" s="153">
        <v>113</v>
      </c>
      <c r="C43" s="154">
        <v>15</v>
      </c>
      <c r="D43" s="154">
        <v>250199</v>
      </c>
      <c r="E43" s="154">
        <v>141</v>
      </c>
      <c r="F43" s="154">
        <v>169</v>
      </c>
      <c r="G43" s="154">
        <v>16</v>
      </c>
      <c r="H43" s="154">
        <v>11</v>
      </c>
      <c r="I43" s="155">
        <v>2</v>
      </c>
      <c r="J43" s="155">
        <v>2</v>
      </c>
      <c r="K43" s="155">
        <v>2</v>
      </c>
      <c r="L43" s="155">
        <v>2</v>
      </c>
      <c r="M43" s="155">
        <v>1</v>
      </c>
      <c r="N43" s="155">
        <v>2</v>
      </c>
      <c r="O43" s="155"/>
      <c r="P43" s="172">
        <f t="shared" si="7"/>
        <v>1249.5162825059103</v>
      </c>
      <c r="Q43" s="172">
        <f t="shared" si="8"/>
        <v>1817.4782290995061</v>
      </c>
      <c r="R43" s="172">
        <f t="shared" si="9"/>
        <v>2265.4335424909195</v>
      </c>
      <c r="S43" s="106"/>
      <c r="T43" s="173">
        <f t="shared" si="10"/>
        <v>8.4532711961278813E-3</v>
      </c>
      <c r="U43" s="173">
        <f t="shared" si="11"/>
        <v>9.4674556213017749E-2</v>
      </c>
      <c r="V43" s="173">
        <f t="shared" si="12"/>
        <v>8.0030969904169294E-4</v>
      </c>
      <c r="W43" s="173">
        <f t="shared" si="13"/>
        <v>0.6875</v>
      </c>
      <c r="X43" s="167"/>
      <c r="Y43" s="106">
        <f t="shared" si="1"/>
        <v>85.263784319006291</v>
      </c>
      <c r="Z43" s="106">
        <f t="shared" si="2"/>
        <v>85.263784319006291</v>
      </c>
      <c r="AA43" s="106">
        <f t="shared" si="3"/>
        <v>85.263784319006291</v>
      </c>
      <c r="AB43" s="106">
        <f t="shared" si="4"/>
        <v>85.263784319006291</v>
      </c>
      <c r="AC43" s="106">
        <f t="shared" si="5"/>
        <v>42.631892159503145</v>
      </c>
      <c r="AD43" s="106">
        <f t="shared" si="6"/>
        <v>85.263784319006291</v>
      </c>
    </row>
    <row r="44" spans="1:30" x14ac:dyDescent="0.25">
      <c r="A44" s="122">
        <v>11324</v>
      </c>
      <c r="B44" s="153">
        <v>113</v>
      </c>
      <c r="C44" s="154">
        <v>15</v>
      </c>
      <c r="D44" s="154">
        <v>250199</v>
      </c>
      <c r="E44" s="154">
        <v>129</v>
      </c>
      <c r="F44" s="154">
        <v>150</v>
      </c>
      <c r="G44" s="154">
        <v>16</v>
      </c>
      <c r="H44" s="154">
        <v>14</v>
      </c>
      <c r="I44" s="155">
        <v>2</v>
      </c>
      <c r="J44" s="155">
        <v>1</v>
      </c>
      <c r="K44" s="155">
        <v>2</v>
      </c>
      <c r="L44" s="155">
        <v>2</v>
      </c>
      <c r="M44" s="155">
        <v>2</v>
      </c>
      <c r="N44" s="155">
        <v>2</v>
      </c>
      <c r="O44" s="155"/>
      <c r="P44" s="172">
        <f t="shared" si="7"/>
        <v>1212.2044573643411</v>
      </c>
      <c r="Q44" s="172">
        <f t="shared" si="8"/>
        <v>1385.3765227021042</v>
      </c>
      <c r="R44" s="172">
        <f t="shared" si="9"/>
        <v>821.28034289492905</v>
      </c>
      <c r="S44" s="106"/>
      <c r="T44" s="173">
        <f t="shared" si="10"/>
        <v>7.7338438602872111E-3</v>
      </c>
      <c r="U44" s="173">
        <f t="shared" si="11"/>
        <v>0.10666666666666667</v>
      </c>
      <c r="V44" s="173">
        <f t="shared" si="12"/>
        <v>8.2494334509730259E-4</v>
      </c>
      <c r="W44" s="173">
        <f t="shared" si="13"/>
        <v>0.875</v>
      </c>
      <c r="X44" s="167"/>
      <c r="Y44" s="106">
        <f t="shared" si="1"/>
        <v>74.441292914674833</v>
      </c>
      <c r="Z44" s="106">
        <f t="shared" si="2"/>
        <v>37.220646457337416</v>
      </c>
      <c r="AA44" s="106">
        <f t="shared" si="3"/>
        <v>74.441292914674833</v>
      </c>
      <c r="AB44" s="106">
        <f t="shared" si="4"/>
        <v>74.441292914674833</v>
      </c>
      <c r="AC44" s="106">
        <f t="shared" si="5"/>
        <v>74.441292914674833</v>
      </c>
      <c r="AD44" s="106">
        <f t="shared" si="6"/>
        <v>74.441292914674833</v>
      </c>
    </row>
    <row r="45" spans="1:30" x14ac:dyDescent="0.25">
      <c r="A45" s="122">
        <v>11325</v>
      </c>
      <c r="B45" s="153">
        <v>113</v>
      </c>
      <c r="C45" s="154">
        <v>15</v>
      </c>
      <c r="D45" s="154">
        <v>250199</v>
      </c>
      <c r="E45" s="154">
        <v>140</v>
      </c>
      <c r="F45" s="154">
        <v>171</v>
      </c>
      <c r="G45" s="154">
        <v>16</v>
      </c>
      <c r="H45" s="154">
        <v>16</v>
      </c>
      <c r="I45" s="155">
        <v>4</v>
      </c>
      <c r="J45" s="155">
        <v>2</v>
      </c>
      <c r="K45" s="155">
        <v>2</v>
      </c>
      <c r="L45" s="155">
        <v>3</v>
      </c>
      <c r="M45" s="155">
        <v>2</v>
      </c>
      <c r="N45" s="155">
        <v>2</v>
      </c>
      <c r="O45" s="155"/>
      <c r="P45" s="172">
        <f t="shared" si="7"/>
        <v>1273.3341964285717</v>
      </c>
      <c r="Q45" s="172">
        <f t="shared" si="8"/>
        <v>1273.3341964285717</v>
      </c>
      <c r="R45" s="172">
        <f t="shared" si="9"/>
        <v>1618.0990927994153</v>
      </c>
      <c r="S45" s="106"/>
      <c r="T45" s="173">
        <f t="shared" si="10"/>
        <v>8.3933189181411589E-3</v>
      </c>
      <c r="U45" s="173">
        <f t="shared" si="11"/>
        <v>9.3567251461988299E-2</v>
      </c>
      <c r="V45" s="173">
        <f t="shared" si="12"/>
        <v>7.8533978181437737E-4</v>
      </c>
      <c r="W45" s="173">
        <f t="shared" si="13"/>
        <v>1</v>
      </c>
      <c r="X45" s="167"/>
      <c r="Y45" s="106">
        <f t="shared" si="1"/>
        <v>142.73523441273056</v>
      </c>
      <c r="Z45" s="106">
        <f t="shared" si="2"/>
        <v>71.367617206365281</v>
      </c>
      <c r="AA45" s="106">
        <f t="shared" si="3"/>
        <v>71.367617206365281</v>
      </c>
      <c r="AB45" s="106">
        <f t="shared" si="4"/>
        <v>107.05142580954792</v>
      </c>
      <c r="AC45" s="106">
        <f t="shared" si="5"/>
        <v>71.367617206365281</v>
      </c>
      <c r="AD45" s="106">
        <f t="shared" si="6"/>
        <v>71.367617206365281</v>
      </c>
    </row>
    <row r="46" spans="1:30" x14ac:dyDescent="0.25">
      <c r="A46" s="122">
        <v>11326</v>
      </c>
      <c r="B46" s="153">
        <v>113</v>
      </c>
      <c r="C46" s="154">
        <v>15</v>
      </c>
      <c r="D46" s="154">
        <v>250199</v>
      </c>
      <c r="E46" s="154">
        <v>191</v>
      </c>
      <c r="F46" s="154">
        <v>176</v>
      </c>
      <c r="G46" s="154">
        <v>16</v>
      </c>
      <c r="H46" s="154">
        <v>15</v>
      </c>
      <c r="I46" s="155">
        <v>4</v>
      </c>
      <c r="J46" s="155">
        <v>3</v>
      </c>
      <c r="K46" s="155">
        <v>3</v>
      </c>
      <c r="L46" s="155">
        <v>4</v>
      </c>
      <c r="M46" s="155">
        <v>3</v>
      </c>
      <c r="N46" s="155">
        <v>2</v>
      </c>
      <c r="O46" s="155"/>
      <c r="P46" s="172">
        <f t="shared" si="7"/>
        <v>960.62443280977323</v>
      </c>
      <c r="Q46" s="172">
        <f t="shared" si="8"/>
        <v>1024.666061663758</v>
      </c>
      <c r="R46" s="172">
        <f t="shared" si="9"/>
        <v>1055.7767462147169</v>
      </c>
      <c r="S46" s="106"/>
      <c r="T46" s="173">
        <f t="shared" si="10"/>
        <v>1.1450885095464011E-2</v>
      </c>
      <c r="U46" s="173">
        <f t="shared" si="11"/>
        <v>9.0909090909090912E-2</v>
      </c>
      <c r="V46" s="173">
        <f t="shared" si="12"/>
        <v>1.0409895541330918E-3</v>
      </c>
      <c r="W46" s="173">
        <f t="shared" si="13"/>
        <v>0.9375</v>
      </c>
      <c r="X46" s="167"/>
      <c r="Y46" s="106">
        <f t="shared" si="1"/>
        <v>128.04162208680475</v>
      </c>
      <c r="Z46" s="106">
        <f t="shared" si="2"/>
        <v>96.031216565103563</v>
      </c>
      <c r="AA46" s="106">
        <f t="shared" si="3"/>
        <v>96.031216565103563</v>
      </c>
      <c r="AB46" s="106">
        <f t="shared" si="4"/>
        <v>128.04162208680475</v>
      </c>
      <c r="AC46" s="106">
        <f t="shared" si="5"/>
        <v>96.031216565103563</v>
      </c>
      <c r="AD46" s="106">
        <f t="shared" si="6"/>
        <v>64.020811043402375</v>
      </c>
    </row>
    <row r="47" spans="1:30" x14ac:dyDescent="0.25">
      <c r="A47" s="122">
        <v>21314</v>
      </c>
      <c r="B47" s="153">
        <v>213</v>
      </c>
      <c r="C47" s="154">
        <v>1</v>
      </c>
      <c r="D47" s="154">
        <v>4667</v>
      </c>
      <c r="E47" s="154">
        <v>124</v>
      </c>
      <c r="F47" s="154">
        <v>120</v>
      </c>
      <c r="G47" s="154">
        <v>16</v>
      </c>
      <c r="H47" s="154">
        <v>16</v>
      </c>
      <c r="I47" s="155">
        <v>3</v>
      </c>
      <c r="J47" s="155">
        <v>2</v>
      </c>
      <c r="K47" s="155">
        <v>2</v>
      </c>
      <c r="L47" s="155">
        <v>3</v>
      </c>
      <c r="M47" s="155">
        <v>2</v>
      </c>
      <c r="N47" s="155">
        <v>2</v>
      </c>
      <c r="O47" s="155"/>
      <c r="P47" s="172">
        <f t="shared" si="7"/>
        <v>282.27822580645159</v>
      </c>
      <c r="Q47" s="172">
        <f t="shared" si="8"/>
        <v>282.27822580645159</v>
      </c>
      <c r="R47" s="172">
        <f t="shared" si="9"/>
        <v>282.45041397980384</v>
      </c>
      <c r="S47" s="106"/>
      <c r="T47" s="173">
        <f t="shared" si="10"/>
        <v>2.656953074780373E-2</v>
      </c>
      <c r="U47" s="173">
        <f t="shared" si="11"/>
        <v>0.13333333333333333</v>
      </c>
      <c r="V47" s="173">
        <f t="shared" si="12"/>
        <v>3.5426040997071639E-3</v>
      </c>
      <c r="W47" s="173">
        <f t="shared" si="13"/>
        <v>1</v>
      </c>
      <c r="X47" s="167"/>
      <c r="Y47" s="106">
        <f t="shared" si="1"/>
        <v>50.40341290287855</v>
      </c>
      <c r="Z47" s="106">
        <f t="shared" si="2"/>
        <v>33.6022752685857</v>
      </c>
      <c r="AA47" s="106">
        <f t="shared" si="3"/>
        <v>33.6022752685857</v>
      </c>
      <c r="AB47" s="106">
        <f t="shared" si="4"/>
        <v>50.40341290287855</v>
      </c>
      <c r="AC47" s="106">
        <f t="shared" si="5"/>
        <v>33.6022752685857</v>
      </c>
      <c r="AD47" s="106">
        <f t="shared" si="6"/>
        <v>33.6022752685857</v>
      </c>
    </row>
    <row r="48" spans="1:30" x14ac:dyDescent="0.25">
      <c r="A48" s="122">
        <v>11427</v>
      </c>
      <c r="B48" s="153">
        <v>114</v>
      </c>
      <c r="C48" s="154">
        <v>4</v>
      </c>
      <c r="D48" s="154">
        <v>13639</v>
      </c>
      <c r="E48" s="154">
        <v>144</v>
      </c>
      <c r="F48" s="154">
        <v>149</v>
      </c>
      <c r="G48" s="154">
        <v>16</v>
      </c>
      <c r="H48" s="154">
        <v>15</v>
      </c>
      <c r="I48" s="155">
        <v>3</v>
      </c>
      <c r="J48" s="155">
        <v>1</v>
      </c>
      <c r="K48" s="155">
        <v>1</v>
      </c>
      <c r="L48" s="155">
        <v>3</v>
      </c>
      <c r="M48" s="154">
        <v>2</v>
      </c>
      <c r="N48" s="154">
        <v>1</v>
      </c>
      <c r="O48" s="154"/>
      <c r="P48" s="172">
        <f t="shared" si="7"/>
        <v>220.50900607638889</v>
      </c>
      <c r="Q48" s="172">
        <f t="shared" si="8"/>
        <v>235.20960648148147</v>
      </c>
      <c r="R48" s="172">
        <f t="shared" si="9"/>
        <v>238.35752107007067</v>
      </c>
      <c r="S48" s="106"/>
      <c r="T48" s="173">
        <f t="shared" si="10"/>
        <v>4.223183517853215E-2</v>
      </c>
      <c r="U48" s="173">
        <f t="shared" si="11"/>
        <v>0.10738255033557047</v>
      </c>
      <c r="V48" s="173">
        <f t="shared" si="12"/>
        <v>4.5349621668222444E-3</v>
      </c>
      <c r="W48" s="173">
        <f t="shared" si="13"/>
        <v>0.9375</v>
      </c>
      <c r="X48" s="167"/>
      <c r="Y48" s="106">
        <f t="shared" si="1"/>
        <v>46.00963440773392</v>
      </c>
      <c r="Z48" s="106">
        <f t="shared" si="2"/>
        <v>15.336544802577974</v>
      </c>
      <c r="AA48" s="106">
        <f t="shared" si="3"/>
        <v>15.336544802577974</v>
      </c>
      <c r="AB48" s="106">
        <f t="shared" si="4"/>
        <v>46.00963440773392</v>
      </c>
      <c r="AC48" s="106">
        <f t="shared" si="5"/>
        <v>30.673089605155948</v>
      </c>
      <c r="AD48" s="106">
        <f t="shared" si="6"/>
        <v>15.336544802577974</v>
      </c>
    </row>
    <row r="49" spans="1:30" x14ac:dyDescent="0.25">
      <c r="A49" s="122">
        <v>11428</v>
      </c>
      <c r="B49" s="153">
        <v>114</v>
      </c>
      <c r="C49" s="154">
        <v>4</v>
      </c>
      <c r="D49" s="154">
        <v>13639</v>
      </c>
      <c r="E49" s="154">
        <v>117</v>
      </c>
      <c r="F49" s="154">
        <v>127</v>
      </c>
      <c r="G49" s="154">
        <v>16</v>
      </c>
      <c r="H49" s="154">
        <v>16</v>
      </c>
      <c r="I49" s="155">
        <v>2</v>
      </c>
      <c r="J49" s="155">
        <v>2</v>
      </c>
      <c r="K49" s="155">
        <v>2</v>
      </c>
      <c r="L49" s="155">
        <v>2</v>
      </c>
      <c r="M49" s="155">
        <v>1</v>
      </c>
      <c r="N49" s="155">
        <v>2</v>
      </c>
      <c r="O49" s="155"/>
      <c r="P49" s="172">
        <f t="shared" si="7"/>
        <v>231.32385149572647</v>
      </c>
      <c r="Q49" s="172">
        <f t="shared" si="8"/>
        <v>231.32385149572647</v>
      </c>
      <c r="R49" s="172">
        <f t="shared" si="9"/>
        <v>288.3384262689375</v>
      </c>
      <c r="S49" s="106"/>
      <c r="T49" s="173">
        <f t="shared" si="10"/>
        <v>3.4313366082557376E-2</v>
      </c>
      <c r="U49" s="173">
        <f t="shared" si="11"/>
        <v>0.12598425196850394</v>
      </c>
      <c r="V49" s="173">
        <f t="shared" si="12"/>
        <v>4.3229437584324255E-3</v>
      </c>
      <c r="W49" s="173">
        <f t="shared" si="13"/>
        <v>1</v>
      </c>
      <c r="X49" s="167"/>
      <c r="Y49" s="106">
        <f t="shared" si="1"/>
        <v>30.418668708260491</v>
      </c>
      <c r="Z49" s="106">
        <f t="shared" si="2"/>
        <v>30.418668708260491</v>
      </c>
      <c r="AA49" s="106">
        <f t="shared" si="3"/>
        <v>30.418668708260491</v>
      </c>
      <c r="AB49" s="106">
        <f t="shared" si="4"/>
        <v>30.418668708260491</v>
      </c>
      <c r="AC49" s="106">
        <f t="shared" si="5"/>
        <v>15.209334354130245</v>
      </c>
      <c r="AD49" s="106">
        <f t="shared" si="6"/>
        <v>30.418668708260491</v>
      </c>
    </row>
    <row r="50" spans="1:30" x14ac:dyDescent="0.25">
      <c r="A50" s="122">
        <v>11429</v>
      </c>
      <c r="B50" s="153">
        <v>114</v>
      </c>
      <c r="C50" s="154">
        <v>4</v>
      </c>
      <c r="D50" s="154">
        <v>13639</v>
      </c>
      <c r="E50" s="154">
        <v>131</v>
      </c>
      <c r="F50" s="154">
        <v>220</v>
      </c>
      <c r="G50" s="154">
        <v>16</v>
      </c>
      <c r="H50" s="154">
        <v>13</v>
      </c>
      <c r="I50" s="155">
        <v>4</v>
      </c>
      <c r="J50" s="155">
        <v>2</v>
      </c>
      <c r="K50" s="155">
        <v>2</v>
      </c>
      <c r="L50" s="155">
        <v>4</v>
      </c>
      <c r="M50" s="155">
        <v>2</v>
      </c>
      <c r="N50" s="155">
        <v>2</v>
      </c>
      <c r="O50" s="155"/>
      <c r="P50" s="172">
        <f t="shared" si="7"/>
        <v>357.89360687022906</v>
      </c>
      <c r="Q50" s="172">
        <f t="shared" si="8"/>
        <v>440.4844392248973</v>
      </c>
      <c r="R50" s="172">
        <f t="shared" si="9"/>
        <v>668.87055503305317</v>
      </c>
      <c r="S50" s="106"/>
      <c r="T50" s="173">
        <f t="shared" si="10"/>
        <v>3.8419238947136884E-2</v>
      </c>
      <c r="U50" s="173">
        <f t="shared" si="11"/>
        <v>7.2727272727272724E-2</v>
      </c>
      <c r="V50" s="173">
        <f t="shared" si="12"/>
        <v>2.7941264688826823E-3</v>
      </c>
      <c r="W50" s="173">
        <f t="shared" si="13"/>
        <v>0.8125</v>
      </c>
      <c r="X50" s="167"/>
      <c r="Y50" s="106">
        <f t="shared" si="1"/>
        <v>83.95088461474576</v>
      </c>
      <c r="Z50" s="106">
        <f t="shared" si="2"/>
        <v>41.97544230737288</v>
      </c>
      <c r="AA50" s="106">
        <f t="shared" si="3"/>
        <v>41.97544230737288</v>
      </c>
      <c r="AB50" s="106">
        <f t="shared" si="4"/>
        <v>83.95088461474576</v>
      </c>
      <c r="AC50" s="106">
        <f t="shared" si="5"/>
        <v>41.97544230737288</v>
      </c>
      <c r="AD50" s="106">
        <f t="shared" si="6"/>
        <v>41.97544230737288</v>
      </c>
    </row>
    <row r="51" spans="1:30" x14ac:dyDescent="0.25">
      <c r="A51" s="122">
        <v>11430</v>
      </c>
      <c r="B51" s="153">
        <v>114</v>
      </c>
      <c r="C51" s="154">
        <v>4</v>
      </c>
      <c r="D51" s="154">
        <v>13639</v>
      </c>
      <c r="E51" s="154">
        <v>186</v>
      </c>
      <c r="F51" s="154">
        <v>221</v>
      </c>
      <c r="G51" s="154">
        <v>16</v>
      </c>
      <c r="H51" s="154">
        <v>15</v>
      </c>
      <c r="I51" s="155">
        <v>2</v>
      </c>
      <c r="J51" s="155">
        <v>2</v>
      </c>
      <c r="K51" s="155">
        <v>2</v>
      </c>
      <c r="L51" s="155">
        <v>2</v>
      </c>
      <c r="M51" s="155">
        <v>2</v>
      </c>
      <c r="N51" s="155">
        <v>2</v>
      </c>
      <c r="O51" s="155"/>
      <c r="P51" s="172">
        <f t="shared" si="7"/>
        <v>253.21060147849457</v>
      </c>
      <c r="Q51" s="172">
        <f t="shared" si="8"/>
        <v>270.09130824372755</v>
      </c>
      <c r="R51" s="172">
        <f t="shared" si="9"/>
        <v>130.38157963009829</v>
      </c>
      <c r="S51" s="106"/>
      <c r="T51" s="173">
        <f t="shared" si="10"/>
        <v>5.4549453772270697E-2</v>
      </c>
      <c r="U51" s="173">
        <f t="shared" si="11"/>
        <v>7.2398190045248875E-2</v>
      </c>
      <c r="V51" s="173">
        <f t="shared" si="12"/>
        <v>3.9492817210693724E-3</v>
      </c>
      <c r="W51" s="173">
        <f t="shared" si="13"/>
        <v>0.9375</v>
      </c>
      <c r="X51" s="167"/>
      <c r="Y51" s="106">
        <f t="shared" si="1"/>
        <v>32.868909823340815</v>
      </c>
      <c r="Z51" s="106">
        <f t="shared" si="2"/>
        <v>32.868909823340815</v>
      </c>
      <c r="AA51" s="106">
        <f t="shared" si="3"/>
        <v>32.868909823340815</v>
      </c>
      <c r="AB51" s="106">
        <f t="shared" si="4"/>
        <v>32.868909823340815</v>
      </c>
      <c r="AC51" s="106">
        <f t="shared" si="5"/>
        <v>32.868909823340815</v>
      </c>
      <c r="AD51" s="106">
        <f t="shared" si="6"/>
        <v>32.868909823340815</v>
      </c>
    </row>
    <row r="52" spans="1:30" x14ac:dyDescent="0.25">
      <c r="A52" s="122">
        <v>21415</v>
      </c>
      <c r="B52" s="153">
        <v>214</v>
      </c>
      <c r="C52" s="154">
        <v>4</v>
      </c>
      <c r="D52" s="154">
        <v>53933</v>
      </c>
      <c r="E52" s="154">
        <v>151</v>
      </c>
      <c r="F52" s="154">
        <v>56</v>
      </c>
      <c r="G52" s="154">
        <v>16</v>
      </c>
      <c r="H52" s="154">
        <v>13</v>
      </c>
      <c r="I52" s="155">
        <v>4</v>
      </c>
      <c r="J52" s="155">
        <v>2</v>
      </c>
      <c r="K52" s="155">
        <v>1</v>
      </c>
      <c r="L52" s="155">
        <v>3</v>
      </c>
      <c r="M52" s="155">
        <v>2</v>
      </c>
      <c r="N52" s="155">
        <v>1</v>
      </c>
      <c r="O52" s="155"/>
      <c r="P52" s="172">
        <f t="shared" si="7"/>
        <v>312.52566225165566</v>
      </c>
      <c r="Q52" s="172">
        <f t="shared" si="8"/>
        <v>384.64696892511466</v>
      </c>
      <c r="R52" s="172">
        <f t="shared" si="9"/>
        <v>451.36071373903644</v>
      </c>
      <c r="S52" s="106"/>
      <c r="T52" s="173">
        <f t="shared" si="10"/>
        <v>1.1199080340422376E-2</v>
      </c>
      <c r="U52" s="173">
        <f t="shared" si="11"/>
        <v>0.2857142857142857</v>
      </c>
      <c r="V52" s="173">
        <f t="shared" si="12"/>
        <v>3.1997372401206788E-3</v>
      </c>
      <c r="W52" s="173">
        <f t="shared" si="13"/>
        <v>0.8125</v>
      </c>
      <c r="X52" s="167"/>
      <c r="Y52" s="106">
        <f t="shared" si="1"/>
        <v>78.449674969382983</v>
      </c>
      <c r="Z52" s="106">
        <f t="shared" si="2"/>
        <v>39.224837484691491</v>
      </c>
      <c r="AA52" s="106">
        <f t="shared" si="3"/>
        <v>19.612418742345746</v>
      </c>
      <c r="AB52" s="106">
        <f t="shared" si="4"/>
        <v>58.837256227037237</v>
      </c>
      <c r="AC52" s="106">
        <f t="shared" si="5"/>
        <v>39.224837484691491</v>
      </c>
      <c r="AD52" s="106">
        <f t="shared" si="6"/>
        <v>19.612418742345746</v>
      </c>
    </row>
    <row r="53" spans="1:30" x14ac:dyDescent="0.25">
      <c r="A53" s="122">
        <v>21416</v>
      </c>
      <c r="B53" s="153">
        <v>214</v>
      </c>
      <c r="C53" s="154">
        <v>4</v>
      </c>
      <c r="D53" s="154">
        <v>53933</v>
      </c>
      <c r="E53" s="154">
        <v>155</v>
      </c>
      <c r="F53" s="154">
        <v>184</v>
      </c>
      <c r="G53" s="154">
        <v>16</v>
      </c>
      <c r="H53" s="154">
        <v>16</v>
      </c>
      <c r="I53" s="155">
        <v>3</v>
      </c>
      <c r="J53" s="155">
        <v>1</v>
      </c>
      <c r="K53" s="155">
        <v>1</v>
      </c>
      <c r="L53" s="155">
        <v>3</v>
      </c>
      <c r="M53" s="154">
        <v>2</v>
      </c>
      <c r="N53" s="154">
        <v>1</v>
      </c>
      <c r="O53" s="154"/>
      <c r="P53" s="172">
        <f t="shared" si="7"/>
        <v>1000.3701612903227</v>
      </c>
      <c r="Q53" s="172">
        <f t="shared" si="8"/>
        <v>1000.3701612903227</v>
      </c>
      <c r="R53" s="172">
        <f t="shared" si="9"/>
        <v>1013.7585592891224</v>
      </c>
      <c r="S53" s="106"/>
      <c r="T53" s="173">
        <f t="shared" si="10"/>
        <v>1.1495744720301114E-2</v>
      </c>
      <c r="U53" s="173">
        <f t="shared" si="11"/>
        <v>8.6956521739130432E-2</v>
      </c>
      <c r="V53" s="173">
        <f t="shared" si="12"/>
        <v>9.9962997567835769E-4</v>
      </c>
      <c r="W53" s="173">
        <f t="shared" si="13"/>
        <v>1</v>
      </c>
      <c r="X53" s="167"/>
      <c r="Y53" s="106">
        <f t="shared" si="1"/>
        <v>94.885886472187764</v>
      </c>
      <c r="Z53" s="106">
        <f t="shared" si="2"/>
        <v>31.628628824062588</v>
      </c>
      <c r="AA53" s="106">
        <f t="shared" si="3"/>
        <v>31.628628824062588</v>
      </c>
      <c r="AB53" s="106">
        <f t="shared" si="4"/>
        <v>94.885886472187764</v>
      </c>
      <c r="AC53" s="106">
        <f t="shared" si="5"/>
        <v>63.257257648125176</v>
      </c>
      <c r="AD53" s="106">
        <f t="shared" si="6"/>
        <v>31.628628824062588</v>
      </c>
    </row>
    <row r="54" spans="1:30" x14ac:dyDescent="0.25">
      <c r="A54" s="122">
        <v>21417</v>
      </c>
      <c r="B54" s="153">
        <v>214</v>
      </c>
      <c r="C54" s="154">
        <v>4</v>
      </c>
      <c r="D54" s="154">
        <v>53933</v>
      </c>
      <c r="E54" s="154">
        <v>88</v>
      </c>
      <c r="F54" s="154">
        <v>200</v>
      </c>
      <c r="G54" s="154">
        <v>16</v>
      </c>
      <c r="H54" s="154">
        <v>16</v>
      </c>
      <c r="I54" s="155">
        <v>3</v>
      </c>
      <c r="J54" s="155">
        <v>1</v>
      </c>
      <c r="K54" s="155">
        <v>3</v>
      </c>
      <c r="L54" s="155">
        <v>2</v>
      </c>
      <c r="M54" s="155">
        <v>2</v>
      </c>
      <c r="N54" s="155">
        <v>2</v>
      </c>
      <c r="O54" s="155"/>
      <c r="P54" s="172">
        <f t="shared" si="7"/>
        <v>1915.234375</v>
      </c>
      <c r="Q54" s="172">
        <f t="shared" si="8"/>
        <v>1915.234375</v>
      </c>
      <c r="R54" s="172">
        <f t="shared" si="9"/>
        <v>2391.4971675026036</v>
      </c>
      <c r="S54" s="106"/>
      <c r="T54" s="173">
        <f t="shared" si="10"/>
        <v>6.5266163573322452E-3</v>
      </c>
      <c r="U54" s="173">
        <f t="shared" si="11"/>
        <v>0.08</v>
      </c>
      <c r="V54" s="173">
        <f t="shared" si="12"/>
        <v>5.2212930858657966E-4</v>
      </c>
      <c r="W54" s="173">
        <f t="shared" si="13"/>
        <v>1</v>
      </c>
      <c r="X54" s="167"/>
      <c r="Y54" s="106">
        <f t="shared" si="1"/>
        <v>131.2901724235291</v>
      </c>
      <c r="Z54" s="106">
        <f t="shared" si="2"/>
        <v>43.763390807843031</v>
      </c>
      <c r="AA54" s="106">
        <f t="shared" si="3"/>
        <v>131.2901724235291</v>
      </c>
      <c r="AB54" s="106">
        <f t="shared" si="4"/>
        <v>87.526781615686062</v>
      </c>
      <c r="AC54" s="106">
        <f t="shared" si="5"/>
        <v>87.526781615686062</v>
      </c>
      <c r="AD54" s="106">
        <f t="shared" si="6"/>
        <v>87.526781615686062</v>
      </c>
    </row>
    <row r="55" spans="1:30" x14ac:dyDescent="0.25">
      <c r="A55" s="122">
        <v>21418</v>
      </c>
      <c r="B55" s="153">
        <v>214</v>
      </c>
      <c r="C55" s="154">
        <v>4</v>
      </c>
      <c r="D55" s="154">
        <v>53933</v>
      </c>
      <c r="E55" s="154">
        <v>130</v>
      </c>
      <c r="F55" s="154">
        <v>179</v>
      </c>
      <c r="G55" s="154">
        <v>16</v>
      </c>
      <c r="H55" s="154">
        <v>16</v>
      </c>
      <c r="I55" s="155">
        <v>2</v>
      </c>
      <c r="J55" s="155">
        <v>2</v>
      </c>
      <c r="K55" s="155">
        <v>1</v>
      </c>
      <c r="L55" s="155">
        <v>3</v>
      </c>
      <c r="M55" s="155">
        <v>2</v>
      </c>
      <c r="N55" s="155">
        <v>2</v>
      </c>
      <c r="O55" s="155"/>
      <c r="P55" s="172">
        <f t="shared" si="7"/>
        <v>1160.3373798076923</v>
      </c>
      <c r="Q55" s="172">
        <f t="shared" si="8"/>
        <v>1160.3373798076923</v>
      </c>
      <c r="R55" s="172">
        <f t="shared" si="9"/>
        <v>400.03822387241911</v>
      </c>
      <c r="S55" s="106"/>
      <c r="T55" s="173">
        <f t="shared" si="10"/>
        <v>9.6415923460589983E-3</v>
      </c>
      <c r="U55" s="173">
        <f t="shared" si="11"/>
        <v>8.9385474860335198E-2</v>
      </c>
      <c r="V55" s="173">
        <f t="shared" si="12"/>
        <v>8.6181831026225684E-4</v>
      </c>
      <c r="W55" s="173">
        <f t="shared" si="13"/>
        <v>1</v>
      </c>
      <c r="X55" s="167"/>
      <c r="Y55" s="106">
        <f t="shared" si="1"/>
        <v>68.127450555783824</v>
      </c>
      <c r="Z55" s="106">
        <f t="shared" si="2"/>
        <v>68.127450555783824</v>
      </c>
      <c r="AA55" s="106">
        <f t="shared" si="3"/>
        <v>34.063725277891912</v>
      </c>
      <c r="AB55" s="106">
        <f t="shared" si="4"/>
        <v>102.19117583367574</v>
      </c>
      <c r="AC55" s="106">
        <f t="shared" si="5"/>
        <v>68.127450555783824</v>
      </c>
      <c r="AD55" s="106">
        <f t="shared" si="6"/>
        <v>68.127450555783824</v>
      </c>
    </row>
    <row r="56" spans="1:30" x14ac:dyDescent="0.25">
      <c r="A56" s="122">
        <v>11531</v>
      </c>
      <c r="B56" s="153">
        <v>115</v>
      </c>
      <c r="C56" s="154">
        <v>9</v>
      </c>
      <c r="D56" s="154">
        <v>81655</v>
      </c>
      <c r="E56" s="154">
        <v>136</v>
      </c>
      <c r="F56" s="154">
        <v>156</v>
      </c>
      <c r="G56" s="154">
        <v>16</v>
      </c>
      <c r="H56" s="154">
        <v>15</v>
      </c>
      <c r="I56" s="155">
        <v>2</v>
      </c>
      <c r="J56" s="155">
        <v>2</v>
      </c>
      <c r="K56" s="155">
        <v>2</v>
      </c>
      <c r="L56" s="155">
        <v>2</v>
      </c>
      <c r="M56" s="155">
        <v>2</v>
      </c>
      <c r="N56" s="155">
        <v>2</v>
      </c>
      <c r="O56" s="155"/>
      <c r="P56" s="172">
        <f t="shared" si="7"/>
        <v>650.43811274509812</v>
      </c>
      <c r="Q56" s="172">
        <f t="shared" si="8"/>
        <v>693.80065359477135</v>
      </c>
      <c r="R56" s="172">
        <f t="shared" si="9"/>
        <v>334.91942318429523</v>
      </c>
      <c r="S56" s="106"/>
      <c r="T56" s="173">
        <f t="shared" si="10"/>
        <v>1.4989896515828792E-2</v>
      </c>
      <c r="U56" s="173">
        <f t="shared" si="11"/>
        <v>0.10256410256410256</v>
      </c>
      <c r="V56" s="173">
        <f t="shared" si="12"/>
        <v>1.5374252836747478E-3</v>
      </c>
      <c r="W56" s="173">
        <f t="shared" si="13"/>
        <v>0.9375</v>
      </c>
      <c r="X56" s="167"/>
      <c r="Y56" s="106">
        <f t="shared" si="1"/>
        <v>52.680191859740653</v>
      </c>
      <c r="Z56" s="106">
        <f t="shared" si="2"/>
        <v>52.680191859740653</v>
      </c>
      <c r="AA56" s="106">
        <f t="shared" si="3"/>
        <v>52.680191859740653</v>
      </c>
      <c r="AB56" s="106">
        <f t="shared" si="4"/>
        <v>52.680191859740653</v>
      </c>
      <c r="AC56" s="106">
        <f t="shared" si="5"/>
        <v>52.680191859740653</v>
      </c>
      <c r="AD56" s="106">
        <f t="shared" si="6"/>
        <v>52.680191859740653</v>
      </c>
    </row>
    <row r="57" spans="1:30" x14ac:dyDescent="0.25">
      <c r="A57" s="122">
        <v>11532</v>
      </c>
      <c r="B57" s="153">
        <v>115</v>
      </c>
      <c r="C57" s="154">
        <v>9</v>
      </c>
      <c r="D57" s="154">
        <v>81655</v>
      </c>
      <c r="E57" s="154">
        <v>91</v>
      </c>
      <c r="F57" s="154">
        <v>86</v>
      </c>
      <c r="G57" s="154">
        <v>16</v>
      </c>
      <c r="H57" s="154">
        <v>16</v>
      </c>
      <c r="I57" s="155">
        <v>2</v>
      </c>
      <c r="J57" s="155">
        <v>3</v>
      </c>
      <c r="K57" s="155">
        <v>1</v>
      </c>
      <c r="L57" s="155">
        <v>3</v>
      </c>
      <c r="M57" s="155">
        <v>2</v>
      </c>
      <c r="N57" s="155">
        <v>1</v>
      </c>
      <c r="O57" s="155"/>
      <c r="P57" s="172">
        <f t="shared" si="7"/>
        <v>535.892094017094</v>
      </c>
      <c r="Q57" s="172">
        <f t="shared" si="8"/>
        <v>535.892094017094</v>
      </c>
      <c r="R57" s="172">
        <f t="shared" si="9"/>
        <v>280.30198316627718</v>
      </c>
      <c r="S57" s="106"/>
      <c r="T57" s="173">
        <f t="shared" si="10"/>
        <v>1.0030004286326617E-2</v>
      </c>
      <c r="U57" s="173">
        <f t="shared" si="11"/>
        <v>0.18604651162790697</v>
      </c>
      <c r="V57" s="173">
        <f t="shared" si="12"/>
        <v>1.8660473090840218E-3</v>
      </c>
      <c r="W57" s="173">
        <f t="shared" si="13"/>
        <v>1</v>
      </c>
      <c r="X57" s="167"/>
      <c r="Y57" s="106">
        <f t="shared" si="1"/>
        <v>46.298686547982932</v>
      </c>
      <c r="Z57" s="106">
        <f t="shared" si="2"/>
        <v>69.448029821974401</v>
      </c>
      <c r="AA57" s="106">
        <f t="shared" si="3"/>
        <v>23.149343273991466</v>
      </c>
      <c r="AB57" s="106">
        <f t="shared" si="4"/>
        <v>69.448029821974401</v>
      </c>
      <c r="AC57" s="106">
        <f t="shared" si="5"/>
        <v>46.298686547982932</v>
      </c>
      <c r="AD57" s="106">
        <f t="shared" si="6"/>
        <v>23.149343273991466</v>
      </c>
    </row>
    <row r="58" spans="1:30" x14ac:dyDescent="0.25">
      <c r="A58" s="122">
        <v>11533</v>
      </c>
      <c r="B58" s="153">
        <v>115</v>
      </c>
      <c r="C58" s="154">
        <v>9</v>
      </c>
      <c r="D58" s="154">
        <v>81655</v>
      </c>
      <c r="E58" s="154">
        <v>140</v>
      </c>
      <c r="F58" s="154">
        <v>129</v>
      </c>
      <c r="G58" s="154">
        <v>16</v>
      </c>
      <c r="H58" s="154">
        <v>16</v>
      </c>
      <c r="I58" s="155">
        <v>4</v>
      </c>
      <c r="J58" s="155">
        <v>2</v>
      </c>
      <c r="K58" s="155">
        <v>2</v>
      </c>
      <c r="L58" s="155">
        <v>4</v>
      </c>
      <c r="M58" s="155">
        <v>2</v>
      </c>
      <c r="N58" s="155">
        <v>2</v>
      </c>
      <c r="O58" s="155"/>
      <c r="P58" s="172">
        <f t="shared" si="7"/>
        <v>522.49479166666674</v>
      </c>
      <c r="Q58" s="172">
        <f t="shared" si="8"/>
        <v>522.49479166666674</v>
      </c>
      <c r="R58" s="172">
        <f t="shared" si="9"/>
        <v>793.40233203000582</v>
      </c>
      <c r="S58" s="106"/>
      <c r="T58" s="173">
        <f t="shared" si="10"/>
        <v>1.5430775825117874E-2</v>
      </c>
      <c r="U58" s="173">
        <f t="shared" si="11"/>
        <v>0.12403100775193798</v>
      </c>
      <c r="V58" s="173">
        <f t="shared" si="12"/>
        <v>1.9138946759836122E-3</v>
      </c>
      <c r="W58" s="173">
        <f t="shared" si="13"/>
        <v>1</v>
      </c>
      <c r="X58" s="167"/>
      <c r="Y58" s="106">
        <f t="shared" si="1"/>
        <v>91.432579897248161</v>
      </c>
      <c r="Z58" s="106">
        <f t="shared" si="2"/>
        <v>45.71628994862408</v>
      </c>
      <c r="AA58" s="106">
        <f t="shared" si="3"/>
        <v>45.71628994862408</v>
      </c>
      <c r="AB58" s="106">
        <f t="shared" si="4"/>
        <v>91.432579897248161</v>
      </c>
      <c r="AC58" s="106">
        <f t="shared" si="5"/>
        <v>45.71628994862408</v>
      </c>
      <c r="AD58" s="106">
        <f t="shared" si="6"/>
        <v>45.71628994862408</v>
      </c>
    </row>
    <row r="59" spans="1:30" x14ac:dyDescent="0.25">
      <c r="A59" s="122">
        <v>11534</v>
      </c>
      <c r="B59" s="153">
        <v>115</v>
      </c>
      <c r="C59" s="154">
        <v>9</v>
      </c>
      <c r="D59" s="154">
        <v>81655</v>
      </c>
      <c r="E59" s="154">
        <v>132</v>
      </c>
      <c r="F59" s="154">
        <v>161</v>
      </c>
      <c r="G59" s="154">
        <v>16</v>
      </c>
      <c r="H59" s="154">
        <v>16</v>
      </c>
      <c r="I59" s="155">
        <v>5</v>
      </c>
      <c r="J59" s="155">
        <v>2</v>
      </c>
      <c r="K59" s="155">
        <v>1</v>
      </c>
      <c r="L59" s="155">
        <v>4</v>
      </c>
      <c r="M59" s="155">
        <v>3</v>
      </c>
      <c r="N59" s="155">
        <v>2</v>
      </c>
      <c r="O59" s="155"/>
      <c r="P59" s="172">
        <f t="shared" si="7"/>
        <v>691.62747264309769</v>
      </c>
      <c r="Q59" s="172">
        <f t="shared" si="8"/>
        <v>691.62747264309769</v>
      </c>
      <c r="R59" s="172">
        <f t="shared" si="9"/>
        <v>442.08457922750983</v>
      </c>
      <c r="S59" s="106"/>
      <c r="T59" s="173">
        <f t="shared" si="10"/>
        <v>1.454901720653971E-2</v>
      </c>
      <c r="U59" s="173">
        <f t="shared" si="11"/>
        <v>9.9378881987577633E-2</v>
      </c>
      <c r="V59" s="173">
        <f t="shared" si="12"/>
        <v>1.4458650640039462E-3</v>
      </c>
      <c r="W59" s="173">
        <f t="shared" si="13"/>
        <v>1</v>
      </c>
      <c r="X59" s="167"/>
      <c r="Y59" s="106">
        <f t="shared" si="1"/>
        <v>131.49405620056535</v>
      </c>
      <c r="Z59" s="106">
        <f t="shared" si="2"/>
        <v>52.597622480226143</v>
      </c>
      <c r="AA59" s="106">
        <f t="shared" si="3"/>
        <v>26.298811240113071</v>
      </c>
      <c r="AB59" s="106">
        <f t="shared" si="4"/>
        <v>105.19524496045229</v>
      </c>
      <c r="AC59" s="106">
        <f t="shared" si="5"/>
        <v>78.896433720339218</v>
      </c>
      <c r="AD59" s="106">
        <f t="shared" si="6"/>
        <v>52.597622480226143</v>
      </c>
    </row>
    <row r="60" spans="1:30" x14ac:dyDescent="0.25">
      <c r="A60" s="122">
        <v>11535</v>
      </c>
      <c r="B60" s="153">
        <v>115</v>
      </c>
      <c r="C60" s="154">
        <v>9</v>
      </c>
      <c r="D60" s="154">
        <v>81655</v>
      </c>
      <c r="E60" s="154">
        <v>144</v>
      </c>
      <c r="F60" s="154">
        <v>161</v>
      </c>
      <c r="G60" s="154">
        <v>16</v>
      </c>
      <c r="H60" s="154">
        <v>15</v>
      </c>
      <c r="I60" s="155">
        <v>3</v>
      </c>
      <c r="J60" s="155">
        <v>1</v>
      </c>
      <c r="K60" s="155">
        <v>3</v>
      </c>
      <c r="L60" s="155">
        <v>2</v>
      </c>
      <c r="M60" s="155">
        <v>2</v>
      </c>
      <c r="N60" s="155">
        <v>2</v>
      </c>
      <c r="O60" s="155"/>
      <c r="P60" s="172">
        <f t="shared" si="7"/>
        <v>633.99184992283949</v>
      </c>
      <c r="Q60" s="172">
        <f t="shared" si="8"/>
        <v>676.25797325102883</v>
      </c>
      <c r="R60" s="172">
        <f t="shared" si="9"/>
        <v>844.42355914319205</v>
      </c>
      <c r="S60" s="106"/>
      <c r="T60" s="173">
        <f t="shared" si="10"/>
        <v>1.5871655134406956E-2</v>
      </c>
      <c r="U60" s="173">
        <f t="shared" si="11"/>
        <v>9.9378881987577633E-2</v>
      </c>
      <c r="V60" s="173">
        <f t="shared" si="12"/>
        <v>1.5773073425497596E-3</v>
      </c>
      <c r="W60" s="173">
        <f t="shared" si="13"/>
        <v>0.9375</v>
      </c>
      <c r="X60" s="167"/>
      <c r="Y60" s="106">
        <f t="shared" si="1"/>
        <v>78.014881652536388</v>
      </c>
      <c r="Z60" s="106">
        <f t="shared" si="2"/>
        <v>26.004960550845464</v>
      </c>
      <c r="AA60" s="106">
        <f t="shared" si="3"/>
        <v>78.014881652536388</v>
      </c>
      <c r="AB60" s="106">
        <f t="shared" si="4"/>
        <v>52.009921101690928</v>
      </c>
      <c r="AC60" s="106">
        <f t="shared" si="5"/>
        <v>52.009921101690928</v>
      </c>
      <c r="AD60" s="106">
        <f t="shared" si="6"/>
        <v>52.009921101690928</v>
      </c>
    </row>
    <row r="61" spans="1:30" x14ac:dyDescent="0.25">
      <c r="A61" s="122">
        <v>11536</v>
      </c>
      <c r="B61" s="153">
        <v>115</v>
      </c>
      <c r="C61" s="154">
        <v>9</v>
      </c>
      <c r="D61" s="154">
        <v>81655</v>
      </c>
      <c r="E61" s="154">
        <v>132</v>
      </c>
      <c r="F61" s="154">
        <v>178</v>
      </c>
      <c r="G61" s="154">
        <v>16</v>
      </c>
      <c r="H61" s="154">
        <v>15</v>
      </c>
      <c r="I61" s="155">
        <v>4</v>
      </c>
      <c r="J61" s="155">
        <v>2</v>
      </c>
      <c r="K61" s="155">
        <v>1</v>
      </c>
      <c r="L61" s="155">
        <v>3</v>
      </c>
      <c r="M61" s="155">
        <v>2</v>
      </c>
      <c r="N61" s="155">
        <v>1</v>
      </c>
      <c r="O61" s="155"/>
      <c r="P61" s="172">
        <f t="shared" si="7"/>
        <v>764.65646043771039</v>
      </c>
      <c r="Q61" s="172">
        <f t="shared" si="8"/>
        <v>815.63355780022437</v>
      </c>
      <c r="R61" s="172">
        <f t="shared" si="9"/>
        <v>957.09826032683884</v>
      </c>
      <c r="S61" s="106"/>
      <c r="T61" s="173">
        <f t="shared" si="10"/>
        <v>1.454901720653971E-2</v>
      </c>
      <c r="U61" s="173">
        <f t="shared" si="11"/>
        <v>8.98876404494382E-2</v>
      </c>
      <c r="V61" s="173">
        <f t="shared" si="12"/>
        <v>1.3077768275541312E-3</v>
      </c>
      <c r="W61" s="173">
        <f t="shared" si="13"/>
        <v>0.9375</v>
      </c>
      <c r="X61" s="167"/>
      <c r="Y61" s="106">
        <f t="shared" si="1"/>
        <v>114.23719588997092</v>
      </c>
      <c r="Z61" s="106">
        <f t="shared" si="2"/>
        <v>57.11859794498546</v>
      </c>
      <c r="AA61" s="106">
        <f t="shared" si="3"/>
        <v>28.55929897249273</v>
      </c>
      <c r="AB61" s="106">
        <f t="shared" si="4"/>
        <v>85.677896917478193</v>
      </c>
      <c r="AC61" s="106">
        <f t="shared" si="5"/>
        <v>57.11859794498546</v>
      </c>
      <c r="AD61" s="106">
        <f t="shared" si="6"/>
        <v>28.55929897249273</v>
      </c>
    </row>
    <row r="62" spans="1:30" x14ac:dyDescent="0.25">
      <c r="A62" s="122">
        <v>11537</v>
      </c>
      <c r="B62" s="153">
        <v>115</v>
      </c>
      <c r="C62" s="154">
        <v>9</v>
      </c>
      <c r="D62" s="154">
        <v>81655</v>
      </c>
      <c r="E62" s="154">
        <v>135</v>
      </c>
      <c r="F62" s="154">
        <v>171</v>
      </c>
      <c r="G62" s="154">
        <v>16</v>
      </c>
      <c r="H62" s="154">
        <v>16</v>
      </c>
      <c r="I62" s="155">
        <v>2</v>
      </c>
      <c r="J62" s="155">
        <v>2</v>
      </c>
      <c r="K62" s="155">
        <v>1</v>
      </c>
      <c r="L62" s="155">
        <v>3</v>
      </c>
      <c r="M62" s="155">
        <v>1</v>
      </c>
      <c r="N62" s="155">
        <v>1</v>
      </c>
      <c r="O62" s="155"/>
      <c r="P62" s="172">
        <f t="shared" si="7"/>
        <v>718.26157407407425</v>
      </c>
      <c r="Q62" s="172">
        <f t="shared" si="8"/>
        <v>718.26157407407425</v>
      </c>
      <c r="R62" s="172">
        <f t="shared" si="9"/>
        <v>1003.3292613445981</v>
      </c>
      <c r="S62" s="106"/>
      <c r="T62" s="173">
        <f t="shared" si="10"/>
        <v>1.4879676688506521E-2</v>
      </c>
      <c r="U62" s="173">
        <f t="shared" si="11"/>
        <v>9.3567251461988299E-2</v>
      </c>
      <c r="V62" s="173">
        <f t="shared" si="12"/>
        <v>1.3922504503865749E-3</v>
      </c>
      <c r="W62" s="173">
        <f t="shared" si="13"/>
        <v>1</v>
      </c>
      <c r="X62" s="167"/>
      <c r="Y62" s="106">
        <f t="shared" si="1"/>
        <v>53.600804996719006</v>
      </c>
      <c r="Z62" s="106">
        <f t="shared" si="2"/>
        <v>53.600804996719006</v>
      </c>
      <c r="AA62" s="106">
        <f t="shared" si="3"/>
        <v>26.800402498359503</v>
      </c>
      <c r="AB62" s="106">
        <f t="shared" si="4"/>
        <v>80.401207495078509</v>
      </c>
      <c r="AC62" s="106">
        <f t="shared" si="5"/>
        <v>26.800402498359503</v>
      </c>
      <c r="AD62" s="106">
        <f t="shared" si="6"/>
        <v>26.800402498359503</v>
      </c>
    </row>
    <row r="63" spans="1:30" x14ac:dyDescent="0.25">
      <c r="A63" s="122">
        <v>11538</v>
      </c>
      <c r="B63" s="153">
        <v>115</v>
      </c>
      <c r="C63" s="154">
        <v>9</v>
      </c>
      <c r="D63" s="154">
        <v>81655</v>
      </c>
      <c r="E63" s="154">
        <v>122</v>
      </c>
      <c r="F63" s="154">
        <v>97</v>
      </c>
      <c r="G63" s="154">
        <v>16</v>
      </c>
      <c r="H63" s="154">
        <v>16</v>
      </c>
      <c r="I63" s="155">
        <v>2</v>
      </c>
      <c r="J63" s="155">
        <v>2</v>
      </c>
      <c r="K63" s="155">
        <v>1</v>
      </c>
      <c r="L63" s="155">
        <v>3</v>
      </c>
      <c r="M63" s="155">
        <v>2</v>
      </c>
      <c r="N63" s="155">
        <v>2</v>
      </c>
      <c r="O63" s="155"/>
      <c r="P63" s="172">
        <f t="shared" si="7"/>
        <v>450.8501252276867</v>
      </c>
      <c r="Q63" s="172">
        <f t="shared" si="8"/>
        <v>450.8501252276867</v>
      </c>
      <c r="R63" s="172">
        <f t="shared" si="9"/>
        <v>155.43520916186714</v>
      </c>
      <c r="S63" s="106"/>
      <c r="T63" s="173">
        <f t="shared" si="10"/>
        <v>1.3446818933317005E-2</v>
      </c>
      <c r="U63" s="173">
        <f t="shared" si="11"/>
        <v>0.16494845360824742</v>
      </c>
      <c r="V63" s="173">
        <f t="shared" si="12"/>
        <v>2.2180319890007429E-3</v>
      </c>
      <c r="W63" s="173">
        <f t="shared" si="13"/>
        <v>1</v>
      </c>
      <c r="X63" s="167"/>
      <c r="Y63" s="106">
        <f t="shared" si="1"/>
        <v>42.466463249377703</v>
      </c>
      <c r="Z63" s="106">
        <f t="shared" si="2"/>
        <v>42.466463249377703</v>
      </c>
      <c r="AA63" s="106">
        <f t="shared" si="3"/>
        <v>21.233231624688852</v>
      </c>
      <c r="AB63" s="106">
        <f t="shared" si="4"/>
        <v>63.699694874066552</v>
      </c>
      <c r="AC63" s="106">
        <f t="shared" si="5"/>
        <v>42.466463249377703</v>
      </c>
      <c r="AD63" s="106">
        <f t="shared" si="6"/>
        <v>42.466463249377703</v>
      </c>
    </row>
    <row r="64" spans="1:30" x14ac:dyDescent="0.25">
      <c r="A64" s="122">
        <v>11539</v>
      </c>
      <c r="B64" s="153">
        <v>115</v>
      </c>
      <c r="C64" s="154">
        <v>9</v>
      </c>
      <c r="D64" s="154">
        <v>81655</v>
      </c>
      <c r="E64" s="154">
        <v>111</v>
      </c>
      <c r="F64" s="154">
        <v>121</v>
      </c>
      <c r="G64" s="154">
        <v>16</v>
      </c>
      <c r="H64" s="154">
        <v>15</v>
      </c>
      <c r="I64" s="155">
        <v>2</v>
      </c>
      <c r="J64" s="155">
        <v>2</v>
      </c>
      <c r="K64" s="155">
        <v>2</v>
      </c>
      <c r="L64" s="155">
        <v>4</v>
      </c>
      <c r="M64" s="155">
        <v>2</v>
      </c>
      <c r="N64" s="155">
        <v>1</v>
      </c>
      <c r="O64" s="155"/>
      <c r="P64" s="172">
        <f t="shared" si="7"/>
        <v>618.13407157157155</v>
      </c>
      <c r="Q64" s="172">
        <f t="shared" si="8"/>
        <v>659.34300967634294</v>
      </c>
      <c r="R64" s="172">
        <f t="shared" si="9"/>
        <v>835.11024116920953</v>
      </c>
      <c r="S64" s="106"/>
      <c r="T64" s="173">
        <f t="shared" si="10"/>
        <v>1.2234400832772028E-2</v>
      </c>
      <c r="U64" s="173">
        <f t="shared" si="11"/>
        <v>0.13223140495867769</v>
      </c>
      <c r="V64" s="173">
        <f t="shared" si="12"/>
        <v>1.6177720109450617E-3</v>
      </c>
      <c r="W64" s="173">
        <f t="shared" si="13"/>
        <v>0.9375</v>
      </c>
      <c r="X64" s="167"/>
      <c r="Y64" s="106">
        <f t="shared" si="1"/>
        <v>51.3553506336523</v>
      </c>
      <c r="Z64" s="106">
        <f t="shared" si="2"/>
        <v>51.3553506336523</v>
      </c>
      <c r="AA64" s="106">
        <f t="shared" si="3"/>
        <v>51.3553506336523</v>
      </c>
      <c r="AB64" s="106">
        <f t="shared" si="4"/>
        <v>102.7107012673046</v>
      </c>
      <c r="AC64" s="106">
        <f t="shared" si="5"/>
        <v>51.3553506336523</v>
      </c>
      <c r="AD64" s="106">
        <f t="shared" si="6"/>
        <v>25.67767531682615</v>
      </c>
    </row>
    <row r="65" spans="1:30" x14ac:dyDescent="0.25">
      <c r="A65" s="122">
        <v>21519</v>
      </c>
      <c r="B65" s="153">
        <v>215</v>
      </c>
      <c r="C65" s="154">
        <v>10</v>
      </c>
      <c r="D65" s="154">
        <v>286077</v>
      </c>
      <c r="E65" s="154">
        <v>127</v>
      </c>
      <c r="F65" s="154">
        <v>165</v>
      </c>
      <c r="G65" s="154">
        <v>16</v>
      </c>
      <c r="H65" s="154">
        <v>16</v>
      </c>
      <c r="I65" s="155">
        <v>4</v>
      </c>
      <c r="J65" s="155">
        <v>2</v>
      </c>
      <c r="K65" s="155">
        <v>2</v>
      </c>
      <c r="L65" s="155">
        <v>4</v>
      </c>
      <c r="M65" s="155">
        <v>2</v>
      </c>
      <c r="N65" s="155">
        <v>2</v>
      </c>
      <c r="O65" s="155"/>
      <c r="P65" s="172">
        <f t="shared" si="7"/>
        <v>2322.9677657480315</v>
      </c>
      <c r="Q65" s="172">
        <f t="shared" si="8"/>
        <v>2322.9677657480315</v>
      </c>
      <c r="R65" s="172">
        <f t="shared" si="9"/>
        <v>3527.3998362663492</v>
      </c>
      <c r="S65" s="106"/>
      <c r="T65" s="173">
        <f t="shared" si="10"/>
        <v>4.4393642271136789E-3</v>
      </c>
      <c r="U65" s="173">
        <f t="shared" si="11"/>
        <v>9.696969696969697E-2</v>
      </c>
      <c r="V65" s="173">
        <f t="shared" si="12"/>
        <v>4.3048380384132646E-4</v>
      </c>
      <c r="W65" s="173">
        <f t="shared" si="13"/>
        <v>1</v>
      </c>
      <c r="X65" s="167"/>
      <c r="Y65" s="106">
        <f t="shared" si="1"/>
        <v>192.78870364201453</v>
      </c>
      <c r="Z65" s="106">
        <f t="shared" si="2"/>
        <v>96.394351821007263</v>
      </c>
      <c r="AA65" s="106">
        <f t="shared" si="3"/>
        <v>96.394351821007263</v>
      </c>
      <c r="AB65" s="106">
        <f t="shared" si="4"/>
        <v>192.78870364201453</v>
      </c>
      <c r="AC65" s="106">
        <f t="shared" si="5"/>
        <v>96.394351821007263</v>
      </c>
      <c r="AD65" s="106">
        <f t="shared" si="6"/>
        <v>96.394351821007263</v>
      </c>
    </row>
    <row r="66" spans="1:30" x14ac:dyDescent="0.25">
      <c r="A66" s="122">
        <v>21520</v>
      </c>
      <c r="B66" s="153">
        <v>215</v>
      </c>
      <c r="C66" s="154">
        <v>10</v>
      </c>
      <c r="D66" s="154">
        <v>286077</v>
      </c>
      <c r="E66" s="154">
        <v>163</v>
      </c>
      <c r="F66" s="154">
        <v>200</v>
      </c>
      <c r="G66" s="154">
        <v>16</v>
      </c>
      <c r="H66" s="154">
        <v>16</v>
      </c>
      <c r="I66" s="155">
        <v>2</v>
      </c>
      <c r="J66" s="155">
        <v>1</v>
      </c>
      <c r="K66" s="155">
        <v>2</v>
      </c>
      <c r="L66" s="155">
        <v>2</v>
      </c>
      <c r="M66" s="155">
        <v>2</v>
      </c>
      <c r="N66" s="155">
        <v>2</v>
      </c>
      <c r="O66" s="155"/>
      <c r="P66" s="172">
        <f t="shared" si="7"/>
        <v>2193.8420245398775</v>
      </c>
      <c r="Q66" s="172">
        <f t="shared" si="8"/>
        <v>2193.8420245398775</v>
      </c>
      <c r="R66" s="172">
        <f t="shared" si="9"/>
        <v>1300.5556977803974</v>
      </c>
      <c r="S66" s="106"/>
      <c r="T66" s="173">
        <f t="shared" si="10"/>
        <v>5.697766685193147E-3</v>
      </c>
      <c r="U66" s="173">
        <f t="shared" si="11"/>
        <v>0.08</v>
      </c>
      <c r="V66" s="173">
        <f t="shared" si="12"/>
        <v>4.5582133481545176E-4</v>
      </c>
      <c r="W66" s="173">
        <f t="shared" si="13"/>
        <v>1</v>
      </c>
      <c r="X66" s="167"/>
      <c r="Y66" s="106">
        <f t="shared" si="1"/>
        <v>93.676934717995067</v>
      </c>
      <c r="Z66" s="106">
        <f t="shared" si="2"/>
        <v>46.838467358997534</v>
      </c>
      <c r="AA66" s="106">
        <f t="shared" si="3"/>
        <v>93.676934717995067</v>
      </c>
      <c r="AB66" s="106">
        <f t="shared" si="4"/>
        <v>93.676934717995067</v>
      </c>
      <c r="AC66" s="106">
        <f t="shared" si="5"/>
        <v>93.676934717995067</v>
      </c>
      <c r="AD66" s="106">
        <f t="shared" si="6"/>
        <v>93.676934717995067</v>
      </c>
    </row>
    <row r="67" spans="1:30" x14ac:dyDescent="0.25">
      <c r="A67" s="122">
        <v>21521</v>
      </c>
      <c r="B67" s="153">
        <v>215</v>
      </c>
      <c r="C67" s="154">
        <v>10</v>
      </c>
      <c r="D67" s="154">
        <v>286077</v>
      </c>
      <c r="E67" s="154">
        <v>125</v>
      </c>
      <c r="F67" s="154">
        <v>217</v>
      </c>
      <c r="G67" s="154">
        <v>16</v>
      </c>
      <c r="H67" s="154">
        <v>16</v>
      </c>
      <c r="I67" s="155">
        <v>2</v>
      </c>
      <c r="J67" s="155">
        <v>3</v>
      </c>
      <c r="K67" s="155">
        <v>3</v>
      </c>
      <c r="L67" s="155">
        <v>1</v>
      </c>
      <c r="M67" s="155">
        <v>2</v>
      </c>
      <c r="N67" s="155">
        <v>2</v>
      </c>
      <c r="O67" s="155"/>
      <c r="P67" s="172">
        <f t="shared" si="7"/>
        <v>3103.9354499999999</v>
      </c>
      <c r="Q67" s="172">
        <f t="shared" si="8"/>
        <v>3103.9354499999999</v>
      </c>
      <c r="R67" s="172">
        <f t="shared" si="9"/>
        <v>1584.910317474476</v>
      </c>
      <c r="S67" s="106"/>
      <c r="T67" s="173">
        <f t="shared" si="10"/>
        <v>4.3694529794425976E-3</v>
      </c>
      <c r="U67" s="173">
        <f t="shared" si="11"/>
        <v>7.3732718894009217E-2</v>
      </c>
      <c r="V67" s="173">
        <f t="shared" si="12"/>
        <v>3.2217164825383207E-4</v>
      </c>
      <c r="W67" s="173">
        <f t="shared" si="13"/>
        <v>1</v>
      </c>
      <c r="X67" s="167"/>
      <c r="Y67" s="106">
        <f t="shared" si="1"/>
        <v>111.42594760647091</v>
      </c>
      <c r="Z67" s="106">
        <f t="shared" si="2"/>
        <v>167.13892140970637</v>
      </c>
      <c r="AA67" s="106">
        <f t="shared" si="3"/>
        <v>167.13892140970637</v>
      </c>
      <c r="AB67" s="106">
        <f t="shared" si="4"/>
        <v>55.712973803235457</v>
      </c>
      <c r="AC67" s="106">
        <f t="shared" si="5"/>
        <v>111.42594760647091</v>
      </c>
      <c r="AD67" s="106">
        <f t="shared" si="6"/>
        <v>111.42594760647091</v>
      </c>
    </row>
    <row r="68" spans="1:30" x14ac:dyDescent="0.25">
      <c r="A68" s="122">
        <v>21522</v>
      </c>
      <c r="B68" s="153">
        <v>215</v>
      </c>
      <c r="C68" s="154">
        <v>10</v>
      </c>
      <c r="D68" s="154">
        <v>286077</v>
      </c>
      <c r="E68" s="154">
        <v>139</v>
      </c>
      <c r="F68" s="154">
        <v>208</v>
      </c>
      <c r="G68" s="154">
        <v>16</v>
      </c>
      <c r="H68" s="154">
        <v>16</v>
      </c>
      <c r="I68" s="155">
        <v>2</v>
      </c>
      <c r="J68" s="155">
        <v>2</v>
      </c>
      <c r="K68" s="155">
        <v>2</v>
      </c>
      <c r="L68" s="155">
        <v>2</v>
      </c>
      <c r="M68" s="155">
        <v>1</v>
      </c>
      <c r="N68" s="155">
        <v>2</v>
      </c>
      <c r="O68" s="155"/>
      <c r="P68" s="172">
        <f t="shared" si="7"/>
        <v>2675.5402877697843</v>
      </c>
      <c r="Q68" s="172">
        <f t="shared" si="8"/>
        <v>2675.5402877697843</v>
      </c>
      <c r="R68" s="172">
        <f t="shared" si="9"/>
        <v>3334.9828433447638</v>
      </c>
      <c r="S68" s="106"/>
      <c r="T68" s="173">
        <f t="shared" si="10"/>
        <v>4.8588317131401685E-3</v>
      </c>
      <c r="U68" s="173">
        <f t="shared" si="11"/>
        <v>7.6923076923076927E-2</v>
      </c>
      <c r="V68" s="173">
        <f t="shared" si="12"/>
        <v>3.7375628562616681E-4</v>
      </c>
      <c r="W68" s="173">
        <f t="shared" si="13"/>
        <v>1</v>
      </c>
      <c r="X68" s="167"/>
      <c r="Y68" s="106">
        <f t="shared" si="1"/>
        <v>103.45125011849368</v>
      </c>
      <c r="Z68" s="106">
        <f t="shared" si="2"/>
        <v>103.45125011849368</v>
      </c>
      <c r="AA68" s="106">
        <f t="shared" si="3"/>
        <v>103.45125011849368</v>
      </c>
      <c r="AB68" s="106">
        <f t="shared" si="4"/>
        <v>103.45125011849368</v>
      </c>
      <c r="AC68" s="106">
        <f t="shared" si="5"/>
        <v>51.725625059246838</v>
      </c>
      <c r="AD68" s="106">
        <f t="shared" si="6"/>
        <v>103.45125011849368</v>
      </c>
    </row>
    <row r="69" spans="1:30" x14ac:dyDescent="0.25">
      <c r="A69" s="122">
        <v>21523</v>
      </c>
      <c r="B69" s="153">
        <v>215</v>
      </c>
      <c r="C69" s="154">
        <v>10</v>
      </c>
      <c r="D69" s="154">
        <v>286077</v>
      </c>
      <c r="E69" s="154">
        <v>104</v>
      </c>
      <c r="F69" s="154">
        <v>122</v>
      </c>
      <c r="G69" s="154">
        <v>16</v>
      </c>
      <c r="H69" s="154">
        <v>16</v>
      </c>
      <c r="I69" s="155">
        <v>4</v>
      </c>
      <c r="J69" s="155">
        <v>2</v>
      </c>
      <c r="K69" s="155">
        <v>2</v>
      </c>
      <c r="L69" s="155">
        <v>4</v>
      </c>
      <c r="M69" s="155">
        <v>2</v>
      </c>
      <c r="N69" s="155">
        <v>2</v>
      </c>
      <c r="O69" s="155"/>
      <c r="P69" s="172">
        <f t="shared" si="7"/>
        <v>2097.4395432692309</v>
      </c>
      <c r="Q69" s="172">
        <f t="shared" si="8"/>
        <v>2097.4395432692309</v>
      </c>
      <c r="R69" s="172">
        <f t="shared" si="9"/>
        <v>3184.937824190607</v>
      </c>
      <c r="S69" s="106"/>
      <c r="T69" s="173">
        <f t="shared" si="10"/>
        <v>3.6353848788962411E-3</v>
      </c>
      <c r="U69" s="173">
        <f t="shared" si="11"/>
        <v>0.13114754098360656</v>
      </c>
      <c r="V69" s="173">
        <f t="shared" si="12"/>
        <v>4.7677178739622837E-4</v>
      </c>
      <c r="W69" s="173">
        <f t="shared" si="13"/>
        <v>1</v>
      </c>
      <c r="X69" s="167"/>
      <c r="Y69" s="106">
        <f t="shared" si="1"/>
        <v>183.19124622183151</v>
      </c>
      <c r="Z69" s="106">
        <f t="shared" si="2"/>
        <v>91.595623110915753</v>
      </c>
      <c r="AA69" s="106">
        <f t="shared" si="3"/>
        <v>91.595623110915753</v>
      </c>
      <c r="AB69" s="106">
        <f t="shared" si="4"/>
        <v>183.19124622183151</v>
      </c>
      <c r="AC69" s="106">
        <f t="shared" si="5"/>
        <v>91.595623110915753</v>
      </c>
      <c r="AD69" s="106">
        <f t="shared" si="6"/>
        <v>91.595623110915753</v>
      </c>
    </row>
    <row r="70" spans="1:30" x14ac:dyDescent="0.25">
      <c r="A70" s="122">
        <v>21524</v>
      </c>
      <c r="B70" s="153">
        <v>215</v>
      </c>
      <c r="C70" s="154">
        <v>10</v>
      </c>
      <c r="D70" s="154">
        <v>286077</v>
      </c>
      <c r="E70" s="154">
        <v>138</v>
      </c>
      <c r="F70" s="154">
        <v>148</v>
      </c>
      <c r="G70" s="154">
        <v>16</v>
      </c>
      <c r="H70" s="154">
        <v>16</v>
      </c>
      <c r="I70" s="155">
        <v>2</v>
      </c>
      <c r="J70" s="155">
        <v>2</v>
      </c>
      <c r="K70" s="155">
        <v>1</v>
      </c>
      <c r="L70" s="155">
        <v>3</v>
      </c>
      <c r="M70" s="155">
        <v>1</v>
      </c>
      <c r="N70" s="155">
        <v>1</v>
      </c>
      <c r="O70" s="155"/>
      <c r="P70" s="172">
        <f t="shared" si="7"/>
        <v>1917.5451086956523</v>
      </c>
      <c r="Q70" s="172">
        <f t="shared" si="8"/>
        <v>1917.5451086956523</v>
      </c>
      <c r="R70" s="172">
        <f t="shared" si="9"/>
        <v>2678.5911803547788</v>
      </c>
      <c r="S70" s="106"/>
      <c r="T70" s="173">
        <f t="shared" si="10"/>
        <v>4.8238760893046274E-3</v>
      </c>
      <c r="U70" s="173">
        <f t="shared" si="11"/>
        <v>0.10810810810810811</v>
      </c>
      <c r="V70" s="173">
        <f t="shared" si="12"/>
        <v>5.2150011776266241E-4</v>
      </c>
      <c r="W70" s="173">
        <f t="shared" si="13"/>
        <v>1</v>
      </c>
      <c r="X70" s="167"/>
      <c r="Y70" s="106">
        <f t="shared" si="1"/>
        <v>87.579566308486648</v>
      </c>
      <c r="Z70" s="106">
        <f t="shared" si="2"/>
        <v>87.579566308486648</v>
      </c>
      <c r="AA70" s="106">
        <f t="shared" si="3"/>
        <v>43.789783154243324</v>
      </c>
      <c r="AB70" s="106">
        <f t="shared" si="4"/>
        <v>131.36934946272999</v>
      </c>
      <c r="AC70" s="106">
        <f t="shared" si="5"/>
        <v>43.789783154243324</v>
      </c>
      <c r="AD70" s="106">
        <f t="shared" si="6"/>
        <v>43.789783154243324</v>
      </c>
    </row>
    <row r="71" spans="1:30" x14ac:dyDescent="0.25">
      <c r="A71" s="122">
        <v>21525</v>
      </c>
      <c r="B71" s="153">
        <v>215</v>
      </c>
      <c r="C71" s="154">
        <v>10</v>
      </c>
      <c r="D71" s="154">
        <v>286077</v>
      </c>
      <c r="E71" s="154">
        <v>135</v>
      </c>
      <c r="F71" s="154">
        <v>271</v>
      </c>
      <c r="G71" s="154">
        <v>16</v>
      </c>
      <c r="H71" s="154">
        <v>16</v>
      </c>
      <c r="I71" s="155">
        <v>3</v>
      </c>
      <c r="J71" s="155">
        <v>3</v>
      </c>
      <c r="K71" s="155">
        <v>1</v>
      </c>
      <c r="L71" s="155">
        <v>4</v>
      </c>
      <c r="M71" s="155">
        <v>2</v>
      </c>
      <c r="N71" s="155">
        <v>2</v>
      </c>
      <c r="O71" s="155"/>
      <c r="P71" s="172">
        <f t="shared" si="7"/>
        <v>3589.206805555556</v>
      </c>
      <c r="Q71" s="172">
        <f t="shared" si="8"/>
        <v>3589.206805555556</v>
      </c>
      <c r="R71" s="172">
        <f t="shared" si="9"/>
        <v>2701.0548052793451</v>
      </c>
      <c r="S71" s="106"/>
      <c r="T71" s="173">
        <f t="shared" si="10"/>
        <v>4.719009217798005E-3</v>
      </c>
      <c r="U71" s="173">
        <f t="shared" si="11"/>
        <v>5.9040590405904057E-2</v>
      </c>
      <c r="V71" s="173">
        <f t="shared" si="12"/>
        <v>2.786130903496977E-4</v>
      </c>
      <c r="W71" s="173">
        <f t="shared" si="13"/>
        <v>1</v>
      </c>
      <c r="X71" s="167"/>
      <c r="Y71" s="106">
        <f t="shared" si="1"/>
        <v>179.7299675902714</v>
      </c>
      <c r="Z71" s="106">
        <f t="shared" si="2"/>
        <v>179.7299675902714</v>
      </c>
      <c r="AA71" s="106">
        <f t="shared" si="3"/>
        <v>59.909989196757131</v>
      </c>
      <c r="AB71" s="106">
        <f t="shared" si="4"/>
        <v>239.63995678702852</v>
      </c>
      <c r="AC71" s="106">
        <f t="shared" si="5"/>
        <v>119.81997839351426</v>
      </c>
      <c r="AD71" s="106">
        <f t="shared" si="6"/>
        <v>119.81997839351426</v>
      </c>
    </row>
    <row r="72" spans="1:30" x14ac:dyDescent="0.25">
      <c r="A72" s="122">
        <v>21526</v>
      </c>
      <c r="B72" s="153">
        <v>215</v>
      </c>
      <c r="C72" s="154">
        <v>10</v>
      </c>
      <c r="D72" s="154">
        <v>286077</v>
      </c>
      <c r="E72" s="154">
        <v>142</v>
      </c>
      <c r="F72" s="154">
        <v>162</v>
      </c>
      <c r="G72" s="154">
        <v>16</v>
      </c>
      <c r="H72" s="154">
        <v>16</v>
      </c>
      <c r="I72" s="155">
        <v>2</v>
      </c>
      <c r="J72" s="155">
        <v>2</v>
      </c>
      <c r="K72" s="155">
        <v>2</v>
      </c>
      <c r="L72" s="155">
        <v>2</v>
      </c>
      <c r="M72" s="155">
        <v>2</v>
      </c>
      <c r="N72" s="155">
        <v>2</v>
      </c>
      <c r="O72" s="155"/>
      <c r="P72" s="172">
        <f t="shared" si="7"/>
        <v>2039.8095950704228</v>
      </c>
      <c r="Q72" s="172">
        <f t="shared" si="8"/>
        <v>2039.8095950704228</v>
      </c>
      <c r="R72" s="172">
        <f t="shared" si="9"/>
        <v>984.68032488449853</v>
      </c>
      <c r="S72" s="106"/>
      <c r="T72" s="173">
        <f t="shared" si="10"/>
        <v>4.9636985846467909E-3</v>
      </c>
      <c r="U72" s="173">
        <f t="shared" si="11"/>
        <v>9.8765432098765427E-2</v>
      </c>
      <c r="V72" s="173">
        <f t="shared" si="12"/>
        <v>4.9024183552067065E-4</v>
      </c>
      <c r="W72" s="173">
        <f t="shared" si="13"/>
        <v>1</v>
      </c>
      <c r="X72" s="167"/>
      <c r="Y72" s="106">
        <f t="shared" ref="Y72:Y135" si="14">+SQRT($Q72)*I72</f>
        <v>90.328502590719893</v>
      </c>
      <c r="Z72" s="106">
        <f t="shared" ref="Z72:Z135" si="15">+SQRT($Q72)*J72</f>
        <v>90.328502590719893</v>
      </c>
      <c r="AA72" s="106">
        <f t="shared" ref="AA72:AA135" si="16">+SQRT($Q72)*K72</f>
        <v>90.328502590719893</v>
      </c>
      <c r="AB72" s="106">
        <f t="shared" ref="AB72:AB135" si="17">+SQRT($Q72)*L72</f>
        <v>90.328502590719893</v>
      </c>
      <c r="AC72" s="106">
        <f t="shared" ref="AC72:AC135" si="18">+SQRT($Q72)*M72</f>
        <v>90.328502590719893</v>
      </c>
      <c r="AD72" s="106">
        <f t="shared" ref="AD72:AD135" si="19">+SQRT($Q72)*N72</f>
        <v>90.328502590719893</v>
      </c>
    </row>
    <row r="73" spans="1:30" x14ac:dyDescent="0.25">
      <c r="A73" s="122">
        <v>21527</v>
      </c>
      <c r="B73" s="153">
        <v>215</v>
      </c>
      <c r="C73" s="154">
        <v>10</v>
      </c>
      <c r="D73" s="154">
        <v>286077</v>
      </c>
      <c r="E73" s="154">
        <v>140</v>
      </c>
      <c r="F73" s="154">
        <v>243</v>
      </c>
      <c r="G73" s="154">
        <v>16</v>
      </c>
      <c r="H73" s="154">
        <v>15</v>
      </c>
      <c r="I73" s="155">
        <v>2</v>
      </c>
      <c r="J73" s="155">
        <v>2</v>
      </c>
      <c r="K73" s="155">
        <v>2</v>
      </c>
      <c r="L73" s="155">
        <v>4</v>
      </c>
      <c r="M73" s="155">
        <v>2</v>
      </c>
      <c r="N73" s="155">
        <v>1</v>
      </c>
      <c r="O73" s="155"/>
      <c r="P73" s="172">
        <f t="shared" ref="P73:P136" si="20">1/V73</f>
        <v>3103.4245982142852</v>
      </c>
      <c r="Q73" s="172">
        <f t="shared" ref="Q73:Q136" si="21">+IF(W73=0,0,P73/W73)</f>
        <v>3310.3195714285707</v>
      </c>
      <c r="R73" s="172">
        <f t="shared" ref="R73:R136" si="22">+Q73*(1+SUMPRODUCT(I73:N73,AF$22:AK$22))</f>
        <v>4192.7824138150672</v>
      </c>
      <c r="S73" s="106"/>
      <c r="T73" s="173">
        <f t="shared" ref="T73:T136" si="23">+C73*E73/D73</f>
        <v>4.8937873369757096E-3</v>
      </c>
      <c r="U73" s="173">
        <f t="shared" ref="U73:U136" si="24">+G73/F73</f>
        <v>6.584362139917696E-2</v>
      </c>
      <c r="V73" s="173">
        <f t="shared" ref="V73:V136" si="25">+T73*U73</f>
        <v>3.2222468062391505E-4</v>
      </c>
      <c r="W73" s="173">
        <f t="shared" ref="W73:W136" si="26">+IF(G73=0,0,H73/G73)</f>
        <v>0.9375</v>
      </c>
      <c r="X73" s="167"/>
      <c r="Y73" s="106">
        <f t="shared" si="14"/>
        <v>115.07075338987872</v>
      </c>
      <c r="Z73" s="106">
        <f t="shared" si="15"/>
        <v>115.07075338987872</v>
      </c>
      <c r="AA73" s="106">
        <f t="shared" si="16"/>
        <v>115.07075338987872</v>
      </c>
      <c r="AB73" s="106">
        <f t="shared" si="17"/>
        <v>230.14150677975744</v>
      </c>
      <c r="AC73" s="106">
        <f t="shared" si="18"/>
        <v>115.07075338987872</v>
      </c>
      <c r="AD73" s="106">
        <f t="shared" si="19"/>
        <v>57.535376694939359</v>
      </c>
    </row>
    <row r="74" spans="1:30" x14ac:dyDescent="0.25">
      <c r="A74" s="122">
        <v>21528</v>
      </c>
      <c r="B74" s="153">
        <v>215</v>
      </c>
      <c r="C74" s="154">
        <v>10</v>
      </c>
      <c r="D74" s="154">
        <v>286077</v>
      </c>
      <c r="E74" s="154">
        <v>152</v>
      </c>
      <c r="F74" s="154">
        <v>163</v>
      </c>
      <c r="G74" s="154">
        <v>16</v>
      </c>
      <c r="H74" s="154">
        <v>16</v>
      </c>
      <c r="I74" s="155">
        <v>2</v>
      </c>
      <c r="J74" s="155">
        <v>3</v>
      </c>
      <c r="K74" s="155">
        <v>3</v>
      </c>
      <c r="L74" s="155">
        <v>1</v>
      </c>
      <c r="M74" s="155">
        <v>2</v>
      </c>
      <c r="N74" s="155">
        <v>2</v>
      </c>
      <c r="O74" s="155"/>
      <c r="P74" s="172">
        <f t="shared" si="20"/>
        <v>1917.3746299342106</v>
      </c>
      <c r="Q74" s="172">
        <f t="shared" si="21"/>
        <v>1917.3746299342106</v>
      </c>
      <c r="R74" s="172">
        <f t="shared" si="22"/>
        <v>979.03673655537386</v>
      </c>
      <c r="S74" s="106"/>
      <c r="T74" s="173">
        <f t="shared" si="23"/>
        <v>5.3132548230021984E-3</v>
      </c>
      <c r="U74" s="173">
        <f t="shared" si="24"/>
        <v>9.815950920245399E-2</v>
      </c>
      <c r="V74" s="173">
        <f t="shared" si="25"/>
        <v>5.2154648569346733E-4</v>
      </c>
      <c r="W74" s="173">
        <f t="shared" si="26"/>
        <v>1</v>
      </c>
      <c r="X74" s="167"/>
      <c r="Y74" s="106">
        <f t="shared" si="14"/>
        <v>87.575673104674692</v>
      </c>
      <c r="Z74" s="106">
        <f t="shared" si="15"/>
        <v>131.36350965701203</v>
      </c>
      <c r="AA74" s="106">
        <f t="shared" si="16"/>
        <v>131.36350965701203</v>
      </c>
      <c r="AB74" s="106">
        <f t="shared" si="17"/>
        <v>43.787836552337346</v>
      </c>
      <c r="AC74" s="106">
        <f t="shared" si="18"/>
        <v>87.575673104674692</v>
      </c>
      <c r="AD74" s="106">
        <f t="shared" si="19"/>
        <v>87.575673104674692</v>
      </c>
    </row>
    <row r="75" spans="1:30" x14ac:dyDescent="0.25">
      <c r="A75" s="122">
        <v>11640</v>
      </c>
      <c r="B75" s="153">
        <v>116</v>
      </c>
      <c r="C75" s="154">
        <v>3</v>
      </c>
      <c r="D75" s="154">
        <v>8020</v>
      </c>
      <c r="E75" s="154">
        <v>66</v>
      </c>
      <c r="F75" s="154">
        <v>111</v>
      </c>
      <c r="G75" s="154">
        <v>16</v>
      </c>
      <c r="H75" s="154">
        <v>14</v>
      </c>
      <c r="I75" s="155">
        <v>4</v>
      </c>
      <c r="J75" s="155">
        <v>2</v>
      </c>
      <c r="K75" s="155">
        <v>1</v>
      </c>
      <c r="L75" s="155">
        <v>3</v>
      </c>
      <c r="M75" s="155">
        <v>2</v>
      </c>
      <c r="N75" s="155">
        <v>2</v>
      </c>
      <c r="O75" s="155"/>
      <c r="P75" s="172">
        <f t="shared" si="20"/>
        <v>281.00378787878788</v>
      </c>
      <c r="Q75" s="172">
        <f t="shared" si="21"/>
        <v>321.14718614718612</v>
      </c>
      <c r="R75" s="172">
        <f t="shared" si="22"/>
        <v>284.2330686577198</v>
      </c>
      <c r="S75" s="106"/>
      <c r="T75" s="173">
        <f t="shared" si="23"/>
        <v>2.4688279301745636E-2</v>
      </c>
      <c r="U75" s="173">
        <f t="shared" si="24"/>
        <v>0.14414414414414414</v>
      </c>
      <c r="V75" s="173">
        <f t="shared" si="25"/>
        <v>3.5586708903417134E-3</v>
      </c>
      <c r="W75" s="173">
        <f t="shared" si="26"/>
        <v>0.875</v>
      </c>
      <c r="X75" s="167"/>
      <c r="Y75" s="106">
        <f t="shared" si="14"/>
        <v>71.682319844958826</v>
      </c>
      <c r="Z75" s="106">
        <f t="shared" si="15"/>
        <v>35.841159922479413</v>
      </c>
      <c r="AA75" s="106">
        <f t="shared" si="16"/>
        <v>17.920579961239707</v>
      </c>
      <c r="AB75" s="106">
        <f t="shared" si="17"/>
        <v>53.761739883719116</v>
      </c>
      <c r="AC75" s="106">
        <f t="shared" si="18"/>
        <v>35.841159922479413</v>
      </c>
      <c r="AD75" s="106">
        <f t="shared" si="19"/>
        <v>35.841159922479413</v>
      </c>
    </row>
    <row r="76" spans="1:30" x14ac:dyDescent="0.25">
      <c r="A76" s="122">
        <v>11641</v>
      </c>
      <c r="B76" s="153">
        <v>116</v>
      </c>
      <c r="C76" s="154">
        <v>3</v>
      </c>
      <c r="D76" s="154">
        <v>8020</v>
      </c>
      <c r="E76" s="154">
        <v>194</v>
      </c>
      <c r="F76" s="154">
        <v>162</v>
      </c>
      <c r="G76" s="154">
        <v>16</v>
      </c>
      <c r="H76" s="154">
        <v>15</v>
      </c>
      <c r="I76" s="155">
        <v>2</v>
      </c>
      <c r="J76" s="155">
        <v>3</v>
      </c>
      <c r="K76" s="155">
        <v>1</v>
      </c>
      <c r="L76" s="155">
        <v>3</v>
      </c>
      <c r="M76" s="155">
        <v>2</v>
      </c>
      <c r="N76" s="155">
        <v>1</v>
      </c>
      <c r="O76" s="155"/>
      <c r="P76" s="172">
        <f t="shared" si="20"/>
        <v>139.5231958762887</v>
      </c>
      <c r="Q76" s="172">
        <f t="shared" si="21"/>
        <v>148.82474226804126</v>
      </c>
      <c r="R76" s="172">
        <f t="shared" si="22"/>
        <v>77.843787709641745</v>
      </c>
      <c r="S76" s="106"/>
      <c r="T76" s="173">
        <f t="shared" si="23"/>
        <v>7.2568578553615953E-2</v>
      </c>
      <c r="U76" s="173">
        <f t="shared" si="24"/>
        <v>9.8765432098765427E-2</v>
      </c>
      <c r="V76" s="173">
        <f t="shared" si="25"/>
        <v>7.167267017641081E-3</v>
      </c>
      <c r="W76" s="173">
        <f t="shared" si="26"/>
        <v>0.9375</v>
      </c>
      <c r="X76" s="167"/>
      <c r="Y76" s="106">
        <f t="shared" si="14"/>
        <v>24.39874933418033</v>
      </c>
      <c r="Z76" s="106">
        <f t="shared" si="15"/>
        <v>36.598124001270492</v>
      </c>
      <c r="AA76" s="106">
        <f t="shared" si="16"/>
        <v>12.199374667090165</v>
      </c>
      <c r="AB76" s="106">
        <f t="shared" si="17"/>
        <v>36.598124001270492</v>
      </c>
      <c r="AC76" s="106">
        <f t="shared" si="18"/>
        <v>24.39874933418033</v>
      </c>
      <c r="AD76" s="106">
        <f t="shared" si="19"/>
        <v>12.199374667090165</v>
      </c>
    </row>
    <row r="77" spans="1:30" x14ac:dyDescent="0.25">
      <c r="A77" s="122">
        <v>11642</v>
      </c>
      <c r="B77" s="153">
        <v>116</v>
      </c>
      <c r="C77" s="154">
        <v>3</v>
      </c>
      <c r="D77" s="154">
        <v>8020</v>
      </c>
      <c r="E77" s="154">
        <v>228</v>
      </c>
      <c r="F77" s="154">
        <v>0</v>
      </c>
      <c r="G77" s="154">
        <v>0</v>
      </c>
      <c r="H77" s="154">
        <v>0</v>
      </c>
      <c r="I77" s="155">
        <v>5</v>
      </c>
      <c r="J77" s="155">
        <v>3</v>
      </c>
      <c r="K77" s="155">
        <v>1</v>
      </c>
      <c r="L77" s="155">
        <v>4</v>
      </c>
      <c r="M77" s="155">
        <v>2</v>
      </c>
      <c r="N77" s="155">
        <v>2</v>
      </c>
      <c r="O77" s="155"/>
      <c r="P77" s="172" t="e">
        <f t="shared" si="20"/>
        <v>#DIV/0!</v>
      </c>
      <c r="Q77" s="172">
        <f t="shared" si="21"/>
        <v>0</v>
      </c>
      <c r="R77" s="172">
        <f t="shared" si="22"/>
        <v>0</v>
      </c>
      <c r="S77" s="106"/>
      <c r="T77" s="173">
        <f t="shared" si="23"/>
        <v>8.528678304239401E-2</v>
      </c>
      <c r="U77" s="173" t="e">
        <f t="shared" si="24"/>
        <v>#DIV/0!</v>
      </c>
      <c r="V77" s="173" t="e">
        <f t="shared" si="25"/>
        <v>#DIV/0!</v>
      </c>
      <c r="W77" s="173">
        <f t="shared" si="26"/>
        <v>0</v>
      </c>
      <c r="X77" s="167"/>
      <c r="Y77" s="106">
        <f t="shared" si="14"/>
        <v>0</v>
      </c>
      <c r="Z77" s="106">
        <f t="shared" si="15"/>
        <v>0</v>
      </c>
      <c r="AA77" s="106">
        <f t="shared" si="16"/>
        <v>0</v>
      </c>
      <c r="AB77" s="106">
        <f t="shared" si="17"/>
        <v>0</v>
      </c>
      <c r="AC77" s="106">
        <f t="shared" si="18"/>
        <v>0</v>
      </c>
      <c r="AD77" s="106">
        <f t="shared" si="19"/>
        <v>0</v>
      </c>
    </row>
    <row r="78" spans="1:30" x14ac:dyDescent="0.25">
      <c r="A78" s="122">
        <v>21629</v>
      </c>
      <c r="B78" s="153">
        <v>216</v>
      </c>
      <c r="C78" s="154">
        <v>4</v>
      </c>
      <c r="D78" s="154">
        <v>51008</v>
      </c>
      <c r="E78" s="154">
        <v>121</v>
      </c>
      <c r="F78" s="154">
        <v>41</v>
      </c>
      <c r="G78" s="154">
        <v>16</v>
      </c>
      <c r="H78" s="154">
        <v>6</v>
      </c>
      <c r="I78" s="155">
        <v>1</v>
      </c>
      <c r="J78" s="155">
        <v>2</v>
      </c>
      <c r="K78" s="155">
        <v>2</v>
      </c>
      <c r="L78" s="155">
        <v>3</v>
      </c>
      <c r="M78" s="155">
        <v>1</v>
      </c>
      <c r="N78" s="155">
        <v>3</v>
      </c>
      <c r="O78" s="155"/>
      <c r="P78" s="172">
        <f t="shared" si="20"/>
        <v>270.05785123966939</v>
      </c>
      <c r="Q78" s="172">
        <f t="shared" si="21"/>
        <v>720.15426997245174</v>
      </c>
      <c r="R78" s="172">
        <f t="shared" si="22"/>
        <v>673.82536115269886</v>
      </c>
      <c r="S78" s="106"/>
      <c r="T78" s="173">
        <f t="shared" si="23"/>
        <v>9.4887076537013802E-3</v>
      </c>
      <c r="U78" s="173">
        <f t="shared" si="24"/>
        <v>0.3902439024390244</v>
      </c>
      <c r="V78" s="173">
        <f t="shared" si="25"/>
        <v>3.7029103038834655E-3</v>
      </c>
      <c r="W78" s="173">
        <f t="shared" si="26"/>
        <v>0.375</v>
      </c>
      <c r="X78" s="167"/>
      <c r="Y78" s="106">
        <f t="shared" si="14"/>
        <v>26.835690227241255</v>
      </c>
      <c r="Z78" s="106">
        <f t="shared" si="15"/>
        <v>53.671380454482509</v>
      </c>
      <c r="AA78" s="106">
        <f t="shared" si="16"/>
        <v>53.671380454482509</v>
      </c>
      <c r="AB78" s="106">
        <f t="shared" si="17"/>
        <v>80.507070681723761</v>
      </c>
      <c r="AC78" s="106">
        <f t="shared" si="18"/>
        <v>26.835690227241255</v>
      </c>
      <c r="AD78" s="106">
        <f t="shared" si="19"/>
        <v>80.507070681723761</v>
      </c>
    </row>
    <row r="79" spans="1:30" x14ac:dyDescent="0.25">
      <c r="A79" s="122">
        <v>21630</v>
      </c>
      <c r="B79" s="153">
        <v>216</v>
      </c>
      <c r="C79" s="154">
        <v>4</v>
      </c>
      <c r="D79" s="154">
        <v>51008</v>
      </c>
      <c r="E79" s="154">
        <v>182</v>
      </c>
      <c r="F79" s="154">
        <v>71</v>
      </c>
      <c r="G79" s="154">
        <v>16</v>
      </c>
      <c r="H79" s="154">
        <v>15</v>
      </c>
      <c r="I79" s="155">
        <v>5</v>
      </c>
      <c r="J79" s="155">
        <v>2</v>
      </c>
      <c r="K79" s="155">
        <v>1</v>
      </c>
      <c r="L79" s="155">
        <v>4</v>
      </c>
      <c r="M79" s="155">
        <v>3</v>
      </c>
      <c r="N79" s="155">
        <v>2</v>
      </c>
      <c r="O79" s="155"/>
      <c r="P79" s="172">
        <f t="shared" si="20"/>
        <v>310.91758241758242</v>
      </c>
      <c r="Q79" s="172">
        <f t="shared" si="21"/>
        <v>331.64542124542123</v>
      </c>
      <c r="R79" s="172">
        <f t="shared" si="22"/>
        <v>211.98597843968321</v>
      </c>
      <c r="S79" s="106"/>
      <c r="T79" s="173">
        <f t="shared" si="23"/>
        <v>1.4272271016311167E-2</v>
      </c>
      <c r="U79" s="173">
        <f t="shared" si="24"/>
        <v>0.22535211267605634</v>
      </c>
      <c r="V79" s="173">
        <f t="shared" si="25"/>
        <v>3.2162864262109672E-3</v>
      </c>
      <c r="W79" s="173">
        <f t="shared" si="26"/>
        <v>0.9375</v>
      </c>
      <c r="X79" s="167"/>
      <c r="Y79" s="106">
        <f t="shared" si="14"/>
        <v>91.055672701570501</v>
      </c>
      <c r="Z79" s="106">
        <f t="shared" si="15"/>
        <v>36.422269080628197</v>
      </c>
      <c r="AA79" s="106">
        <f t="shared" si="16"/>
        <v>18.211134540314099</v>
      </c>
      <c r="AB79" s="106">
        <f t="shared" si="17"/>
        <v>72.844538161256395</v>
      </c>
      <c r="AC79" s="106">
        <f t="shared" si="18"/>
        <v>54.633403620942296</v>
      </c>
      <c r="AD79" s="106">
        <f t="shared" si="19"/>
        <v>36.422269080628197</v>
      </c>
    </row>
    <row r="80" spans="1:30" x14ac:dyDescent="0.25">
      <c r="A80" s="122">
        <v>21631</v>
      </c>
      <c r="B80" s="153">
        <v>216</v>
      </c>
      <c r="C80" s="154">
        <v>4</v>
      </c>
      <c r="D80" s="154">
        <v>51008</v>
      </c>
      <c r="E80" s="154">
        <v>231</v>
      </c>
      <c r="F80" s="154">
        <v>0</v>
      </c>
      <c r="G80" s="154">
        <v>0</v>
      </c>
      <c r="H80" s="154">
        <v>0</v>
      </c>
      <c r="I80" s="155">
        <v>2</v>
      </c>
      <c r="J80" s="155">
        <v>2</v>
      </c>
      <c r="K80" s="155">
        <v>2</v>
      </c>
      <c r="L80" s="155">
        <v>4</v>
      </c>
      <c r="M80" s="155">
        <v>2</v>
      </c>
      <c r="N80" s="155">
        <v>1</v>
      </c>
      <c r="O80" s="155"/>
      <c r="P80" s="172" t="e">
        <f t="shared" si="20"/>
        <v>#DIV/0!</v>
      </c>
      <c r="Q80" s="172">
        <f t="shared" si="21"/>
        <v>0</v>
      </c>
      <c r="R80" s="172">
        <f t="shared" si="22"/>
        <v>0</v>
      </c>
      <c r="S80" s="106"/>
      <c r="T80" s="173">
        <f t="shared" si="23"/>
        <v>1.8114805520702635E-2</v>
      </c>
      <c r="U80" s="173" t="e">
        <f t="shared" si="24"/>
        <v>#DIV/0!</v>
      </c>
      <c r="V80" s="173" t="e">
        <f t="shared" si="25"/>
        <v>#DIV/0!</v>
      </c>
      <c r="W80" s="173">
        <f t="shared" si="26"/>
        <v>0</v>
      </c>
      <c r="X80" s="167"/>
      <c r="Y80" s="106">
        <f t="shared" si="14"/>
        <v>0</v>
      </c>
      <c r="Z80" s="106">
        <f t="shared" si="15"/>
        <v>0</v>
      </c>
      <c r="AA80" s="106">
        <f t="shared" si="16"/>
        <v>0</v>
      </c>
      <c r="AB80" s="106">
        <f t="shared" si="17"/>
        <v>0</v>
      </c>
      <c r="AC80" s="106">
        <f t="shared" si="18"/>
        <v>0</v>
      </c>
      <c r="AD80" s="106">
        <f t="shared" si="19"/>
        <v>0</v>
      </c>
    </row>
    <row r="81" spans="1:30" x14ac:dyDescent="0.25">
      <c r="A81" s="122">
        <v>21632</v>
      </c>
      <c r="B81" s="153">
        <v>216</v>
      </c>
      <c r="C81" s="154">
        <v>4</v>
      </c>
      <c r="D81" s="154">
        <v>51008</v>
      </c>
      <c r="E81" s="154">
        <v>265</v>
      </c>
      <c r="F81" s="154">
        <v>85</v>
      </c>
      <c r="G81" s="154">
        <v>16</v>
      </c>
      <c r="H81" s="154">
        <v>0</v>
      </c>
      <c r="I81" s="155">
        <v>4</v>
      </c>
      <c r="J81" s="155">
        <v>2</v>
      </c>
      <c r="K81" s="155">
        <v>2</v>
      </c>
      <c r="L81" s="155">
        <v>3</v>
      </c>
      <c r="M81" s="155">
        <v>2</v>
      </c>
      <c r="N81" s="155">
        <v>2</v>
      </c>
      <c r="O81" s="155"/>
      <c r="P81" s="172">
        <f t="shared" si="20"/>
        <v>255.64150943396226</v>
      </c>
      <c r="Q81" s="172">
        <f t="shared" si="21"/>
        <v>0</v>
      </c>
      <c r="R81" s="172">
        <f t="shared" si="22"/>
        <v>0</v>
      </c>
      <c r="S81" s="106"/>
      <c r="T81" s="173">
        <f t="shared" si="23"/>
        <v>2.0781053952321205E-2</v>
      </c>
      <c r="U81" s="173">
        <f t="shared" si="24"/>
        <v>0.18823529411764706</v>
      </c>
      <c r="V81" s="173">
        <f t="shared" si="25"/>
        <v>3.9117278027898739E-3</v>
      </c>
      <c r="W81" s="173">
        <f t="shared" si="26"/>
        <v>0</v>
      </c>
      <c r="X81" s="167"/>
      <c r="Y81" s="106">
        <f t="shared" si="14"/>
        <v>0</v>
      </c>
      <c r="Z81" s="106">
        <f t="shared" si="15"/>
        <v>0</v>
      </c>
      <c r="AA81" s="106">
        <f t="shared" si="16"/>
        <v>0</v>
      </c>
      <c r="AB81" s="106">
        <f t="shared" si="17"/>
        <v>0</v>
      </c>
      <c r="AC81" s="106">
        <f t="shared" si="18"/>
        <v>0</v>
      </c>
      <c r="AD81" s="106">
        <f t="shared" si="19"/>
        <v>0</v>
      </c>
    </row>
    <row r="82" spans="1:30" x14ac:dyDescent="0.25">
      <c r="A82" s="122">
        <v>11743</v>
      </c>
      <c r="B82" s="153">
        <v>117</v>
      </c>
      <c r="C82" s="154">
        <v>4</v>
      </c>
      <c r="D82" s="154">
        <v>17838</v>
      </c>
      <c r="E82" s="154">
        <v>133</v>
      </c>
      <c r="F82" s="154">
        <v>105</v>
      </c>
      <c r="G82" s="154">
        <v>16</v>
      </c>
      <c r="H82" s="154">
        <v>16</v>
      </c>
      <c r="I82" s="155">
        <v>3</v>
      </c>
      <c r="J82" s="155">
        <v>3</v>
      </c>
      <c r="K82" s="155">
        <v>1</v>
      </c>
      <c r="L82" s="155">
        <v>4</v>
      </c>
      <c r="M82" s="155">
        <v>2</v>
      </c>
      <c r="N82" s="155">
        <v>2</v>
      </c>
      <c r="O82" s="155"/>
      <c r="P82" s="172">
        <f t="shared" si="20"/>
        <v>220.04111842105263</v>
      </c>
      <c r="Q82" s="172">
        <f t="shared" si="21"/>
        <v>220.04111842105263</v>
      </c>
      <c r="R82" s="172">
        <f t="shared" si="22"/>
        <v>165.59177346656963</v>
      </c>
      <c r="S82" s="106"/>
      <c r="T82" s="173">
        <f t="shared" si="23"/>
        <v>2.982397129723063E-2</v>
      </c>
      <c r="U82" s="173">
        <f t="shared" si="24"/>
        <v>0.15238095238095239</v>
      </c>
      <c r="V82" s="173">
        <f t="shared" si="25"/>
        <v>4.5446051500541915E-3</v>
      </c>
      <c r="W82" s="173">
        <f t="shared" si="26"/>
        <v>1</v>
      </c>
      <c r="X82" s="167"/>
      <c r="Y82" s="106">
        <f t="shared" si="14"/>
        <v>44.501349033366097</v>
      </c>
      <c r="Z82" s="106">
        <f t="shared" si="15"/>
        <v>44.501349033366097</v>
      </c>
      <c r="AA82" s="106">
        <f t="shared" si="16"/>
        <v>14.833783011122032</v>
      </c>
      <c r="AB82" s="106">
        <f t="shared" si="17"/>
        <v>59.335132044488127</v>
      </c>
      <c r="AC82" s="106">
        <f t="shared" si="18"/>
        <v>29.667566022244063</v>
      </c>
      <c r="AD82" s="106">
        <f t="shared" si="19"/>
        <v>29.667566022244063</v>
      </c>
    </row>
    <row r="83" spans="1:30" x14ac:dyDescent="0.25">
      <c r="A83" s="122">
        <v>11744</v>
      </c>
      <c r="B83" s="153">
        <v>117</v>
      </c>
      <c r="C83" s="154">
        <v>4</v>
      </c>
      <c r="D83" s="154">
        <v>17838</v>
      </c>
      <c r="E83" s="154">
        <v>95</v>
      </c>
      <c r="F83" s="154">
        <v>102</v>
      </c>
      <c r="G83" s="154">
        <v>16</v>
      </c>
      <c r="H83" s="154">
        <v>15</v>
      </c>
      <c r="I83" s="155">
        <v>4</v>
      </c>
      <c r="J83" s="155">
        <v>3</v>
      </c>
      <c r="K83" s="155">
        <v>1</v>
      </c>
      <c r="L83" s="155">
        <v>3</v>
      </c>
      <c r="M83" s="155">
        <v>2</v>
      </c>
      <c r="N83" s="155">
        <v>2</v>
      </c>
      <c r="O83" s="155"/>
      <c r="P83" s="172">
        <f t="shared" si="20"/>
        <v>299.25592105263155</v>
      </c>
      <c r="Q83" s="172">
        <f t="shared" si="21"/>
        <v>319.20631578947365</v>
      </c>
      <c r="R83" s="172">
        <f t="shared" si="22"/>
        <v>247.37401292171523</v>
      </c>
      <c r="S83" s="106"/>
      <c r="T83" s="173">
        <f t="shared" si="23"/>
        <v>2.1302836640879022E-2</v>
      </c>
      <c r="U83" s="173">
        <f t="shared" si="24"/>
        <v>0.15686274509803921</v>
      </c>
      <c r="V83" s="173">
        <f t="shared" si="25"/>
        <v>3.3416214338633761E-3</v>
      </c>
      <c r="W83" s="173">
        <f t="shared" si="26"/>
        <v>0.9375</v>
      </c>
      <c r="X83" s="167"/>
      <c r="Y83" s="106">
        <f t="shared" si="14"/>
        <v>71.465383596756681</v>
      </c>
      <c r="Z83" s="106">
        <f t="shared" si="15"/>
        <v>53.59903769756751</v>
      </c>
      <c r="AA83" s="106">
        <f t="shared" si="16"/>
        <v>17.86634589918917</v>
      </c>
      <c r="AB83" s="106">
        <f t="shared" si="17"/>
        <v>53.59903769756751</v>
      </c>
      <c r="AC83" s="106">
        <f t="shared" si="18"/>
        <v>35.73269179837834</v>
      </c>
      <c r="AD83" s="106">
        <f t="shared" si="19"/>
        <v>35.73269179837834</v>
      </c>
    </row>
    <row r="84" spans="1:30" x14ac:dyDescent="0.25">
      <c r="A84" s="122">
        <v>11745</v>
      </c>
      <c r="B84" s="153">
        <v>117</v>
      </c>
      <c r="C84" s="154">
        <v>4</v>
      </c>
      <c r="D84" s="154">
        <v>17838</v>
      </c>
      <c r="E84" s="154">
        <v>247</v>
      </c>
      <c r="F84" s="154">
        <v>63</v>
      </c>
      <c r="G84" s="154">
        <v>16</v>
      </c>
      <c r="H84" s="154">
        <v>16</v>
      </c>
      <c r="I84" s="155">
        <v>2</v>
      </c>
      <c r="J84" s="155">
        <v>2</v>
      </c>
      <c r="K84" s="155">
        <v>1</v>
      </c>
      <c r="L84" s="155">
        <v>3</v>
      </c>
      <c r="M84" s="155">
        <v>2</v>
      </c>
      <c r="N84" s="155">
        <v>2</v>
      </c>
      <c r="O84" s="155"/>
      <c r="P84" s="172">
        <f t="shared" si="20"/>
        <v>71.090207489878551</v>
      </c>
      <c r="Q84" s="172">
        <f t="shared" si="21"/>
        <v>71.090207489878551</v>
      </c>
      <c r="R84" s="172">
        <f t="shared" si="22"/>
        <v>24.509078854019204</v>
      </c>
      <c r="S84" s="106"/>
      <c r="T84" s="173">
        <f t="shared" si="23"/>
        <v>5.5387375266285455E-2</v>
      </c>
      <c r="U84" s="173">
        <f t="shared" si="24"/>
        <v>0.25396825396825395</v>
      </c>
      <c r="V84" s="173">
        <f t="shared" si="25"/>
        <v>1.4066634988262971E-2</v>
      </c>
      <c r="W84" s="173">
        <f t="shared" si="26"/>
        <v>1</v>
      </c>
      <c r="X84" s="167"/>
      <c r="Y84" s="106">
        <f t="shared" si="14"/>
        <v>16.86300180749306</v>
      </c>
      <c r="Z84" s="106">
        <f t="shared" si="15"/>
        <v>16.86300180749306</v>
      </c>
      <c r="AA84" s="106">
        <f t="shared" si="16"/>
        <v>8.4315009037465298</v>
      </c>
      <c r="AB84" s="106">
        <f t="shared" si="17"/>
        <v>25.294502711239588</v>
      </c>
      <c r="AC84" s="106">
        <f t="shared" si="18"/>
        <v>16.86300180749306</v>
      </c>
      <c r="AD84" s="106">
        <f t="shared" si="19"/>
        <v>16.86300180749306</v>
      </c>
    </row>
    <row r="85" spans="1:30" x14ac:dyDescent="0.25">
      <c r="A85" s="122">
        <v>11746</v>
      </c>
      <c r="B85" s="153">
        <v>117</v>
      </c>
      <c r="C85" s="154">
        <v>4</v>
      </c>
      <c r="D85" s="154">
        <v>17838</v>
      </c>
      <c r="E85" s="154">
        <v>144</v>
      </c>
      <c r="F85" s="154">
        <v>83</v>
      </c>
      <c r="G85" s="154">
        <v>16</v>
      </c>
      <c r="H85" s="154">
        <v>15</v>
      </c>
      <c r="I85" s="155">
        <v>2</v>
      </c>
      <c r="J85" s="155">
        <v>2</v>
      </c>
      <c r="K85" s="155">
        <v>2</v>
      </c>
      <c r="L85" s="155">
        <v>4</v>
      </c>
      <c r="M85" s="155">
        <v>2</v>
      </c>
      <c r="N85" s="155">
        <v>1</v>
      </c>
      <c r="O85" s="155"/>
      <c r="P85" s="172">
        <f t="shared" si="20"/>
        <v>160.650390625</v>
      </c>
      <c r="Q85" s="172">
        <f t="shared" si="21"/>
        <v>171.36041666666668</v>
      </c>
      <c r="R85" s="172">
        <f t="shared" si="22"/>
        <v>217.04156529937777</v>
      </c>
      <c r="S85" s="106"/>
      <c r="T85" s="173">
        <f t="shared" si="23"/>
        <v>3.2290615539858729E-2</v>
      </c>
      <c r="U85" s="173">
        <f t="shared" si="24"/>
        <v>0.19277108433734941</v>
      </c>
      <c r="V85" s="173">
        <f t="shared" si="25"/>
        <v>6.2246969715390324E-3</v>
      </c>
      <c r="W85" s="173">
        <f t="shared" si="26"/>
        <v>0.9375</v>
      </c>
      <c r="X85" s="167"/>
      <c r="Y85" s="106">
        <f t="shared" si="14"/>
        <v>26.180940904915293</v>
      </c>
      <c r="Z85" s="106">
        <f t="shared" si="15"/>
        <v>26.180940904915293</v>
      </c>
      <c r="AA85" s="106">
        <f t="shared" si="16"/>
        <v>26.180940904915293</v>
      </c>
      <c r="AB85" s="106">
        <f t="shared" si="17"/>
        <v>52.361881809830585</v>
      </c>
      <c r="AC85" s="106">
        <f t="shared" si="18"/>
        <v>26.180940904915293</v>
      </c>
      <c r="AD85" s="106">
        <f t="shared" si="19"/>
        <v>13.090470452457646</v>
      </c>
    </row>
    <row r="86" spans="1:30" x14ac:dyDescent="0.25">
      <c r="A86" s="122">
        <v>21733</v>
      </c>
      <c r="B86" s="153">
        <v>217</v>
      </c>
      <c r="C86" s="154">
        <v>8</v>
      </c>
      <c r="D86" s="154">
        <v>177134</v>
      </c>
      <c r="E86" s="154">
        <v>142</v>
      </c>
      <c r="F86" s="154">
        <v>134</v>
      </c>
      <c r="G86" s="154">
        <v>16</v>
      </c>
      <c r="H86" s="154">
        <v>16</v>
      </c>
      <c r="I86" s="155">
        <v>4</v>
      </c>
      <c r="J86" s="155">
        <v>1</v>
      </c>
      <c r="K86" s="155">
        <v>2</v>
      </c>
      <c r="L86" s="155">
        <v>3</v>
      </c>
      <c r="M86" s="155">
        <v>2</v>
      </c>
      <c r="N86" s="155">
        <v>2</v>
      </c>
      <c r="O86" s="155"/>
      <c r="P86" s="172">
        <f t="shared" si="20"/>
        <v>1305.8954665492959</v>
      </c>
      <c r="Q86" s="172">
        <f t="shared" si="21"/>
        <v>1305.8954665492959</v>
      </c>
      <c r="R86" s="172">
        <f t="shared" si="22"/>
        <v>1803.2420107012242</v>
      </c>
      <c r="S86" s="106"/>
      <c r="T86" s="173">
        <f t="shared" si="23"/>
        <v>6.4132238870008018E-3</v>
      </c>
      <c r="U86" s="173">
        <f t="shared" si="24"/>
        <v>0.11940298507462686</v>
      </c>
      <c r="V86" s="173">
        <f t="shared" si="25"/>
        <v>7.657580760597972E-4</v>
      </c>
      <c r="W86" s="173">
        <f t="shared" si="26"/>
        <v>1</v>
      </c>
      <c r="X86" s="167"/>
      <c r="Y86" s="106">
        <f t="shared" si="14"/>
        <v>144.54870274336167</v>
      </c>
      <c r="Z86" s="106">
        <f t="shared" si="15"/>
        <v>36.137175685840418</v>
      </c>
      <c r="AA86" s="106">
        <f t="shared" si="16"/>
        <v>72.274351371680837</v>
      </c>
      <c r="AB86" s="106">
        <f t="shared" si="17"/>
        <v>108.41152705752125</v>
      </c>
      <c r="AC86" s="106">
        <f t="shared" si="18"/>
        <v>72.274351371680837</v>
      </c>
      <c r="AD86" s="106">
        <f t="shared" si="19"/>
        <v>72.274351371680837</v>
      </c>
    </row>
    <row r="87" spans="1:30" x14ac:dyDescent="0.25">
      <c r="A87" s="122">
        <v>21734</v>
      </c>
      <c r="B87" s="153">
        <v>217</v>
      </c>
      <c r="C87" s="154">
        <v>8</v>
      </c>
      <c r="D87" s="154">
        <v>177134</v>
      </c>
      <c r="E87" s="154">
        <v>108</v>
      </c>
      <c r="F87" s="154">
        <v>183</v>
      </c>
      <c r="G87" s="154">
        <v>16</v>
      </c>
      <c r="H87" s="154">
        <v>16</v>
      </c>
      <c r="I87" s="155">
        <v>3</v>
      </c>
      <c r="J87" s="154">
        <v>2</v>
      </c>
      <c r="K87" s="154">
        <v>2</v>
      </c>
      <c r="L87" s="154">
        <v>3</v>
      </c>
      <c r="M87" s="154">
        <v>2</v>
      </c>
      <c r="N87" s="154">
        <v>2</v>
      </c>
      <c r="O87" s="154"/>
      <c r="P87" s="172">
        <f t="shared" si="20"/>
        <v>2344.8728298611113</v>
      </c>
      <c r="Q87" s="172">
        <f t="shared" si="21"/>
        <v>2344.8728298611113</v>
      </c>
      <c r="R87" s="172">
        <f t="shared" si="22"/>
        <v>2346.3031894581491</v>
      </c>
      <c r="S87" s="106"/>
      <c r="T87" s="173">
        <f t="shared" si="23"/>
        <v>4.8776632380006096E-3</v>
      </c>
      <c r="U87" s="173">
        <f t="shared" si="24"/>
        <v>8.7431693989071038E-2</v>
      </c>
      <c r="V87" s="173">
        <f t="shared" si="25"/>
        <v>4.2646235960661067E-4</v>
      </c>
      <c r="W87" s="173">
        <f t="shared" si="26"/>
        <v>1</v>
      </c>
      <c r="X87" s="167"/>
      <c r="Y87" s="106">
        <f t="shared" si="14"/>
        <v>145.27166092789744</v>
      </c>
      <c r="Z87" s="106">
        <f t="shared" si="15"/>
        <v>96.847773951931629</v>
      </c>
      <c r="AA87" s="106">
        <f t="shared" si="16"/>
        <v>96.847773951931629</v>
      </c>
      <c r="AB87" s="106">
        <f t="shared" si="17"/>
        <v>145.27166092789744</v>
      </c>
      <c r="AC87" s="106">
        <f t="shared" si="18"/>
        <v>96.847773951931629</v>
      </c>
      <c r="AD87" s="106">
        <f t="shared" si="19"/>
        <v>96.847773951931629</v>
      </c>
    </row>
    <row r="88" spans="1:30" x14ac:dyDescent="0.25">
      <c r="A88" s="122">
        <v>21735</v>
      </c>
      <c r="B88" s="153">
        <v>217</v>
      </c>
      <c r="C88" s="154">
        <v>8</v>
      </c>
      <c r="D88" s="154">
        <v>177134</v>
      </c>
      <c r="E88" s="154">
        <v>120</v>
      </c>
      <c r="F88" s="154">
        <v>160</v>
      </c>
      <c r="G88" s="154">
        <v>16</v>
      </c>
      <c r="H88" s="154">
        <v>16</v>
      </c>
      <c r="I88" s="155">
        <v>5</v>
      </c>
      <c r="J88" s="155">
        <v>3</v>
      </c>
      <c r="K88" s="155">
        <v>1</v>
      </c>
      <c r="L88" s="155">
        <v>4</v>
      </c>
      <c r="M88" s="155">
        <v>2</v>
      </c>
      <c r="N88" s="155">
        <v>2</v>
      </c>
      <c r="O88" s="155"/>
      <c r="P88" s="172">
        <f t="shared" si="20"/>
        <v>1845.145833333333</v>
      </c>
      <c r="Q88" s="172">
        <f t="shared" si="21"/>
        <v>1845.145833333333</v>
      </c>
      <c r="R88" s="172">
        <f t="shared" si="22"/>
        <v>2385.4864844363174</v>
      </c>
      <c r="S88" s="106"/>
      <c r="T88" s="173">
        <f t="shared" si="23"/>
        <v>5.4196258200006776E-3</v>
      </c>
      <c r="U88" s="173">
        <f t="shared" si="24"/>
        <v>0.1</v>
      </c>
      <c r="V88" s="173">
        <f t="shared" si="25"/>
        <v>5.4196258200006782E-4</v>
      </c>
      <c r="W88" s="173">
        <f t="shared" si="26"/>
        <v>1</v>
      </c>
      <c r="X88" s="167"/>
      <c r="Y88" s="106">
        <f t="shared" si="14"/>
        <v>214.77580364960417</v>
      </c>
      <c r="Z88" s="106">
        <f t="shared" si="15"/>
        <v>128.8654821897625</v>
      </c>
      <c r="AA88" s="106">
        <f t="shared" si="16"/>
        <v>42.955160729920834</v>
      </c>
      <c r="AB88" s="106">
        <f t="shared" si="17"/>
        <v>171.82064291968334</v>
      </c>
      <c r="AC88" s="106">
        <f t="shared" si="18"/>
        <v>85.910321459841668</v>
      </c>
      <c r="AD88" s="106">
        <f t="shared" si="19"/>
        <v>85.910321459841668</v>
      </c>
    </row>
    <row r="89" spans="1:30" x14ac:dyDescent="0.25">
      <c r="A89" s="122">
        <v>21736</v>
      </c>
      <c r="B89" s="153">
        <v>217</v>
      </c>
      <c r="C89" s="154">
        <v>8</v>
      </c>
      <c r="D89" s="154">
        <v>177134</v>
      </c>
      <c r="E89" s="154">
        <v>100</v>
      </c>
      <c r="F89" s="154">
        <v>101</v>
      </c>
      <c r="G89" s="154">
        <v>16</v>
      </c>
      <c r="H89" s="154">
        <v>16</v>
      </c>
      <c r="I89" s="155">
        <v>4</v>
      </c>
      <c r="J89" s="155">
        <v>2</v>
      </c>
      <c r="K89" s="155">
        <v>2</v>
      </c>
      <c r="L89" s="155">
        <v>4</v>
      </c>
      <c r="M89" s="155">
        <v>2</v>
      </c>
      <c r="N89" s="155">
        <v>2</v>
      </c>
      <c r="O89" s="155"/>
      <c r="P89" s="172">
        <f t="shared" si="20"/>
        <v>1397.69796875</v>
      </c>
      <c r="Q89" s="172">
        <f t="shared" si="21"/>
        <v>1397.69796875</v>
      </c>
      <c r="R89" s="172">
        <f t="shared" si="22"/>
        <v>2122.3882908814044</v>
      </c>
      <c r="S89" s="106"/>
      <c r="T89" s="173">
        <f t="shared" si="23"/>
        <v>4.5163548500005649E-3</v>
      </c>
      <c r="U89" s="173">
        <f t="shared" si="24"/>
        <v>0.15841584158415842</v>
      </c>
      <c r="V89" s="173">
        <f t="shared" si="25"/>
        <v>7.1546215445553499E-4</v>
      </c>
      <c r="W89" s="173">
        <f t="shared" si="26"/>
        <v>1</v>
      </c>
      <c r="X89" s="167"/>
      <c r="Y89" s="106">
        <f t="shared" si="14"/>
        <v>149.54319610065849</v>
      </c>
      <c r="Z89" s="106">
        <f t="shared" si="15"/>
        <v>74.771598050329246</v>
      </c>
      <c r="AA89" s="106">
        <f t="shared" si="16"/>
        <v>74.771598050329246</v>
      </c>
      <c r="AB89" s="106">
        <f t="shared" si="17"/>
        <v>149.54319610065849</v>
      </c>
      <c r="AC89" s="106">
        <f t="shared" si="18"/>
        <v>74.771598050329246</v>
      </c>
      <c r="AD89" s="106">
        <f t="shared" si="19"/>
        <v>74.771598050329246</v>
      </c>
    </row>
    <row r="90" spans="1:30" x14ac:dyDescent="0.25">
      <c r="A90" s="122">
        <v>21737</v>
      </c>
      <c r="B90" s="153">
        <v>217</v>
      </c>
      <c r="C90" s="154">
        <v>8</v>
      </c>
      <c r="D90" s="154">
        <v>177134</v>
      </c>
      <c r="E90" s="154">
        <v>148</v>
      </c>
      <c r="F90" s="154">
        <v>214</v>
      </c>
      <c r="G90" s="154">
        <v>16</v>
      </c>
      <c r="H90" s="154">
        <v>16</v>
      </c>
      <c r="I90" s="155">
        <v>4</v>
      </c>
      <c r="J90" s="155">
        <v>2</v>
      </c>
      <c r="K90" s="155">
        <v>2</v>
      </c>
      <c r="L90" s="155">
        <v>4</v>
      </c>
      <c r="M90" s="155">
        <v>2</v>
      </c>
      <c r="N90" s="155">
        <v>2</v>
      </c>
      <c r="O90" s="155"/>
      <c r="P90" s="172">
        <f t="shared" si="20"/>
        <v>2000.9858530405409</v>
      </c>
      <c r="Q90" s="172">
        <f t="shared" si="21"/>
        <v>2000.9858530405409</v>
      </c>
      <c r="R90" s="172">
        <f t="shared" si="22"/>
        <v>3038.4740048743683</v>
      </c>
      <c r="S90" s="106"/>
      <c r="T90" s="173">
        <f t="shared" si="23"/>
        <v>6.6842051780008358E-3</v>
      </c>
      <c r="U90" s="173">
        <f t="shared" si="24"/>
        <v>7.476635514018691E-2</v>
      </c>
      <c r="V90" s="173">
        <f t="shared" si="25"/>
        <v>4.9975365816828671E-4</v>
      </c>
      <c r="W90" s="173">
        <f t="shared" si="26"/>
        <v>1</v>
      </c>
      <c r="X90" s="167"/>
      <c r="Y90" s="106">
        <f t="shared" si="14"/>
        <v>178.92952145649039</v>
      </c>
      <c r="Z90" s="106">
        <f t="shared" si="15"/>
        <v>89.464760728245196</v>
      </c>
      <c r="AA90" s="106">
        <f t="shared" si="16"/>
        <v>89.464760728245196</v>
      </c>
      <c r="AB90" s="106">
        <f t="shared" si="17"/>
        <v>178.92952145649039</v>
      </c>
      <c r="AC90" s="106">
        <f t="shared" si="18"/>
        <v>89.464760728245196</v>
      </c>
      <c r="AD90" s="106">
        <f t="shared" si="19"/>
        <v>89.464760728245196</v>
      </c>
    </row>
    <row r="91" spans="1:30" x14ac:dyDescent="0.25">
      <c r="A91" s="122">
        <v>21738</v>
      </c>
      <c r="B91" s="153">
        <v>217</v>
      </c>
      <c r="C91" s="154">
        <v>8</v>
      </c>
      <c r="D91" s="154">
        <v>177134</v>
      </c>
      <c r="E91" s="154">
        <v>107</v>
      </c>
      <c r="F91" s="154">
        <v>133</v>
      </c>
      <c r="G91" s="154">
        <v>16</v>
      </c>
      <c r="H91" s="154">
        <v>16</v>
      </c>
      <c r="I91" s="155">
        <v>2</v>
      </c>
      <c r="J91" s="155">
        <v>2</v>
      </c>
      <c r="K91" s="155">
        <v>2</v>
      </c>
      <c r="L91" s="155">
        <v>2</v>
      </c>
      <c r="M91" s="155">
        <v>1</v>
      </c>
      <c r="N91" s="155">
        <v>2</v>
      </c>
      <c r="O91" s="155"/>
      <c r="P91" s="172">
        <f t="shared" si="20"/>
        <v>1720.1242698598132</v>
      </c>
      <c r="Q91" s="172">
        <f t="shared" si="21"/>
        <v>1720.1242698598132</v>
      </c>
      <c r="R91" s="172">
        <f t="shared" si="22"/>
        <v>2144.0846750191104</v>
      </c>
      <c r="S91" s="106"/>
      <c r="T91" s="173">
        <f t="shared" si="23"/>
        <v>4.8324996895006038E-3</v>
      </c>
      <c r="U91" s="173">
        <f t="shared" si="24"/>
        <v>0.12030075187969924</v>
      </c>
      <c r="V91" s="173">
        <f t="shared" si="25"/>
        <v>5.8135334610533575E-4</v>
      </c>
      <c r="W91" s="173">
        <f t="shared" si="26"/>
        <v>1</v>
      </c>
      <c r="X91" s="167"/>
      <c r="Y91" s="106">
        <f t="shared" si="14"/>
        <v>82.948761771585552</v>
      </c>
      <c r="Z91" s="106">
        <f t="shared" si="15"/>
        <v>82.948761771585552</v>
      </c>
      <c r="AA91" s="106">
        <f t="shared" si="16"/>
        <v>82.948761771585552</v>
      </c>
      <c r="AB91" s="106">
        <f t="shared" si="17"/>
        <v>82.948761771585552</v>
      </c>
      <c r="AC91" s="106">
        <f t="shared" si="18"/>
        <v>41.474380885792776</v>
      </c>
      <c r="AD91" s="106">
        <f t="shared" si="19"/>
        <v>82.948761771585552</v>
      </c>
    </row>
    <row r="92" spans="1:30" x14ac:dyDescent="0.25">
      <c r="A92" s="122">
        <v>21739</v>
      </c>
      <c r="B92" s="153">
        <v>217</v>
      </c>
      <c r="C92" s="154">
        <v>8</v>
      </c>
      <c r="D92" s="154">
        <v>177134</v>
      </c>
      <c r="E92" s="154">
        <v>125</v>
      </c>
      <c r="F92" s="154">
        <v>136</v>
      </c>
      <c r="G92" s="154">
        <v>16</v>
      </c>
      <c r="H92" s="154">
        <v>15</v>
      </c>
      <c r="I92" s="155">
        <v>3</v>
      </c>
      <c r="J92" s="154">
        <v>2</v>
      </c>
      <c r="K92" s="154">
        <v>2</v>
      </c>
      <c r="L92" s="154">
        <v>3</v>
      </c>
      <c r="M92" s="154">
        <v>2</v>
      </c>
      <c r="N92" s="154">
        <v>2</v>
      </c>
      <c r="O92" s="154"/>
      <c r="P92" s="172">
        <f t="shared" si="20"/>
        <v>1505.6390000000001</v>
      </c>
      <c r="Q92" s="172">
        <f t="shared" si="21"/>
        <v>1606.0149333333334</v>
      </c>
      <c r="R92" s="172">
        <f t="shared" si="22"/>
        <v>1606.9945936559</v>
      </c>
      <c r="S92" s="106"/>
      <c r="T92" s="173">
        <f t="shared" si="23"/>
        <v>5.6454435625007057E-3</v>
      </c>
      <c r="U92" s="173">
        <f t="shared" si="24"/>
        <v>0.11764705882352941</v>
      </c>
      <c r="V92" s="173">
        <f t="shared" si="25"/>
        <v>6.6416983088243592E-4</v>
      </c>
      <c r="W92" s="173">
        <f t="shared" si="26"/>
        <v>0.9375</v>
      </c>
      <c r="X92" s="167"/>
      <c r="Y92" s="106">
        <f t="shared" si="14"/>
        <v>120.22534840872785</v>
      </c>
      <c r="Z92" s="106">
        <f t="shared" si="15"/>
        <v>80.150232272485241</v>
      </c>
      <c r="AA92" s="106">
        <f t="shared" si="16"/>
        <v>80.150232272485241</v>
      </c>
      <c r="AB92" s="106">
        <f t="shared" si="17"/>
        <v>120.22534840872785</v>
      </c>
      <c r="AC92" s="106">
        <f t="shared" si="18"/>
        <v>80.150232272485241</v>
      </c>
      <c r="AD92" s="106">
        <f t="shared" si="19"/>
        <v>80.150232272485241</v>
      </c>
    </row>
    <row r="93" spans="1:30" x14ac:dyDescent="0.25">
      <c r="A93" s="122">
        <v>21740</v>
      </c>
      <c r="B93" s="153">
        <v>217</v>
      </c>
      <c r="C93" s="154">
        <v>8</v>
      </c>
      <c r="D93" s="154">
        <v>177134</v>
      </c>
      <c r="E93" s="154">
        <v>128</v>
      </c>
      <c r="F93" s="154">
        <v>159</v>
      </c>
      <c r="G93" s="154">
        <v>16</v>
      </c>
      <c r="H93" s="154">
        <v>16</v>
      </c>
      <c r="I93" s="155">
        <v>3</v>
      </c>
      <c r="J93" s="154">
        <v>2</v>
      </c>
      <c r="K93" s="154">
        <v>2</v>
      </c>
      <c r="L93" s="154">
        <v>3</v>
      </c>
      <c r="M93" s="154">
        <v>2</v>
      </c>
      <c r="N93" s="154">
        <v>2</v>
      </c>
      <c r="O93" s="154"/>
      <c r="P93" s="172">
        <f t="shared" si="20"/>
        <v>1719.0128173828125</v>
      </c>
      <c r="Q93" s="172">
        <f t="shared" si="21"/>
        <v>1719.0128173828125</v>
      </c>
      <c r="R93" s="172">
        <f t="shared" si="22"/>
        <v>1720.0614057964196</v>
      </c>
      <c r="S93" s="106"/>
      <c r="T93" s="173">
        <f t="shared" si="23"/>
        <v>5.7809342080007223E-3</v>
      </c>
      <c r="U93" s="173">
        <f t="shared" si="24"/>
        <v>0.10062893081761007</v>
      </c>
      <c r="V93" s="173">
        <f t="shared" si="25"/>
        <v>5.8172922847806016E-4</v>
      </c>
      <c r="W93" s="173">
        <f t="shared" si="26"/>
        <v>1</v>
      </c>
      <c r="X93" s="167"/>
      <c r="Y93" s="106">
        <f t="shared" si="14"/>
        <v>124.38293836553834</v>
      </c>
      <c r="Z93" s="106">
        <f t="shared" si="15"/>
        <v>82.921958910358896</v>
      </c>
      <c r="AA93" s="106">
        <f t="shared" si="16"/>
        <v>82.921958910358896</v>
      </c>
      <c r="AB93" s="106">
        <f t="shared" si="17"/>
        <v>124.38293836553834</v>
      </c>
      <c r="AC93" s="106">
        <f t="shared" si="18"/>
        <v>82.921958910358896</v>
      </c>
      <c r="AD93" s="106">
        <f t="shared" si="19"/>
        <v>82.921958910358896</v>
      </c>
    </row>
    <row r="94" spans="1:30" x14ac:dyDescent="0.25">
      <c r="A94" s="122">
        <v>11847</v>
      </c>
      <c r="B94" s="153">
        <v>118</v>
      </c>
      <c r="C94" s="154">
        <v>10</v>
      </c>
      <c r="D94" s="154">
        <v>112760</v>
      </c>
      <c r="E94" s="154">
        <v>128</v>
      </c>
      <c r="F94" s="154">
        <v>156</v>
      </c>
      <c r="G94" s="154">
        <v>16</v>
      </c>
      <c r="H94" s="154">
        <v>14</v>
      </c>
      <c r="I94" s="155">
        <v>4</v>
      </c>
      <c r="J94" s="155">
        <v>2</v>
      </c>
      <c r="K94" s="155">
        <v>2</v>
      </c>
      <c r="L94" s="155">
        <v>3</v>
      </c>
      <c r="M94" s="155">
        <v>2</v>
      </c>
      <c r="N94" s="155">
        <v>2</v>
      </c>
      <c r="O94" s="155"/>
      <c r="P94" s="172">
        <f t="shared" si="20"/>
        <v>858.9140625</v>
      </c>
      <c r="Q94" s="172">
        <f t="shared" si="21"/>
        <v>981.61607142857144</v>
      </c>
      <c r="R94" s="172">
        <f t="shared" si="22"/>
        <v>1247.3960717546763</v>
      </c>
      <c r="S94" s="106"/>
      <c r="T94" s="173">
        <f t="shared" si="23"/>
        <v>1.1351543100390209E-2</v>
      </c>
      <c r="U94" s="173">
        <f t="shared" si="24"/>
        <v>0.10256410256410256</v>
      </c>
      <c r="V94" s="173">
        <f t="shared" si="25"/>
        <v>1.1642608308092522E-3</v>
      </c>
      <c r="W94" s="173">
        <f t="shared" si="26"/>
        <v>0.875</v>
      </c>
      <c r="X94" s="167"/>
      <c r="Y94" s="106">
        <f t="shared" si="14"/>
        <v>125.323011226419</v>
      </c>
      <c r="Z94" s="106">
        <f t="shared" si="15"/>
        <v>62.661505613209499</v>
      </c>
      <c r="AA94" s="106">
        <f t="shared" si="16"/>
        <v>62.661505613209499</v>
      </c>
      <c r="AB94" s="106">
        <f t="shared" si="17"/>
        <v>93.992258419814249</v>
      </c>
      <c r="AC94" s="106">
        <f t="shared" si="18"/>
        <v>62.661505613209499</v>
      </c>
      <c r="AD94" s="106">
        <f t="shared" si="19"/>
        <v>62.661505613209499</v>
      </c>
    </row>
    <row r="95" spans="1:30" x14ac:dyDescent="0.25">
      <c r="A95" s="122">
        <v>11848</v>
      </c>
      <c r="B95" s="153">
        <v>118</v>
      </c>
      <c r="C95" s="154">
        <v>10</v>
      </c>
      <c r="D95" s="154">
        <v>112760</v>
      </c>
      <c r="E95" s="154">
        <v>119</v>
      </c>
      <c r="F95" s="154">
        <v>108</v>
      </c>
      <c r="G95" s="154">
        <v>16</v>
      </c>
      <c r="H95" s="154">
        <v>15</v>
      </c>
      <c r="I95" s="155">
        <v>4</v>
      </c>
      <c r="J95" s="155">
        <v>2</v>
      </c>
      <c r="K95" s="155">
        <v>2</v>
      </c>
      <c r="L95" s="155">
        <v>4</v>
      </c>
      <c r="M95" s="155">
        <v>2</v>
      </c>
      <c r="N95" s="155">
        <v>2</v>
      </c>
      <c r="O95" s="155"/>
      <c r="P95" s="172">
        <f t="shared" si="20"/>
        <v>639.60504201680681</v>
      </c>
      <c r="Q95" s="172">
        <f t="shared" si="21"/>
        <v>682.24537815126064</v>
      </c>
      <c r="R95" s="172">
        <f t="shared" si="22"/>
        <v>1035.981760344954</v>
      </c>
      <c r="S95" s="106"/>
      <c r="T95" s="173">
        <f t="shared" si="23"/>
        <v>1.0553387726144023E-2</v>
      </c>
      <c r="U95" s="173">
        <f t="shared" si="24"/>
        <v>0.14814814814814814</v>
      </c>
      <c r="V95" s="173">
        <f t="shared" si="25"/>
        <v>1.5634648483176328E-3</v>
      </c>
      <c r="W95" s="173">
        <f t="shared" si="26"/>
        <v>0.9375</v>
      </c>
      <c r="X95" s="167"/>
      <c r="Y95" s="106">
        <f t="shared" si="14"/>
        <v>104.47930919765966</v>
      </c>
      <c r="Z95" s="106">
        <f t="shared" si="15"/>
        <v>52.23965459882983</v>
      </c>
      <c r="AA95" s="106">
        <f t="shared" si="16"/>
        <v>52.23965459882983</v>
      </c>
      <c r="AB95" s="106">
        <f t="shared" si="17"/>
        <v>104.47930919765966</v>
      </c>
      <c r="AC95" s="106">
        <f t="shared" si="18"/>
        <v>52.23965459882983</v>
      </c>
      <c r="AD95" s="106">
        <f t="shared" si="19"/>
        <v>52.23965459882983</v>
      </c>
    </row>
    <row r="96" spans="1:30" x14ac:dyDescent="0.25">
      <c r="A96" s="122">
        <v>11849</v>
      </c>
      <c r="B96" s="153">
        <v>118</v>
      </c>
      <c r="C96" s="154">
        <v>10</v>
      </c>
      <c r="D96" s="154">
        <v>112760</v>
      </c>
      <c r="E96" s="154">
        <v>187</v>
      </c>
      <c r="F96" s="154">
        <v>177</v>
      </c>
      <c r="G96" s="154">
        <v>16</v>
      </c>
      <c r="H96" s="154">
        <v>16</v>
      </c>
      <c r="I96" s="155">
        <v>5</v>
      </c>
      <c r="J96" s="155">
        <v>2</v>
      </c>
      <c r="K96" s="155">
        <v>1</v>
      </c>
      <c r="L96" s="155">
        <v>4</v>
      </c>
      <c r="M96" s="155">
        <v>3</v>
      </c>
      <c r="N96" s="155">
        <v>2</v>
      </c>
      <c r="O96" s="155"/>
      <c r="P96" s="172">
        <f t="shared" si="20"/>
        <v>667.06283422459887</v>
      </c>
      <c r="Q96" s="172">
        <f t="shared" si="21"/>
        <v>667.06283422459887</v>
      </c>
      <c r="R96" s="172">
        <f t="shared" si="22"/>
        <v>426.38299380954322</v>
      </c>
      <c r="S96" s="106"/>
      <c r="T96" s="173">
        <f t="shared" si="23"/>
        <v>1.6583894998226323E-2</v>
      </c>
      <c r="U96" s="173">
        <f t="shared" si="24"/>
        <v>9.03954802259887E-2</v>
      </c>
      <c r="V96" s="173">
        <f t="shared" si="25"/>
        <v>1.4991091523820406E-3</v>
      </c>
      <c r="W96" s="173">
        <f t="shared" si="26"/>
        <v>1</v>
      </c>
      <c r="X96" s="167"/>
      <c r="Y96" s="106">
        <f t="shared" si="14"/>
        <v>129.13779793544171</v>
      </c>
      <c r="Z96" s="106">
        <f t="shared" si="15"/>
        <v>51.655119174176683</v>
      </c>
      <c r="AA96" s="106">
        <f t="shared" si="16"/>
        <v>25.827559587088341</v>
      </c>
      <c r="AB96" s="106">
        <f t="shared" si="17"/>
        <v>103.31023834835337</v>
      </c>
      <c r="AC96" s="106">
        <f t="shared" si="18"/>
        <v>77.482678761265021</v>
      </c>
      <c r="AD96" s="106">
        <f t="shared" si="19"/>
        <v>51.655119174176683</v>
      </c>
    </row>
    <row r="97" spans="1:30" x14ac:dyDescent="0.25">
      <c r="A97" s="122">
        <v>11850</v>
      </c>
      <c r="B97" s="153">
        <v>118</v>
      </c>
      <c r="C97" s="154">
        <v>10</v>
      </c>
      <c r="D97" s="154">
        <v>112760</v>
      </c>
      <c r="E97" s="154">
        <v>111</v>
      </c>
      <c r="F97" s="154">
        <v>152</v>
      </c>
      <c r="G97" s="154">
        <v>16</v>
      </c>
      <c r="H97" s="154">
        <v>16</v>
      </c>
      <c r="I97" s="155">
        <v>4</v>
      </c>
      <c r="J97" s="155">
        <v>3</v>
      </c>
      <c r="K97" s="155">
        <v>1</v>
      </c>
      <c r="L97" s="155">
        <v>3</v>
      </c>
      <c r="M97" s="155">
        <v>2</v>
      </c>
      <c r="N97" s="155">
        <v>2</v>
      </c>
      <c r="O97" s="155"/>
      <c r="P97" s="172">
        <f t="shared" si="20"/>
        <v>965.06306306306328</v>
      </c>
      <c r="Q97" s="172">
        <f t="shared" si="21"/>
        <v>965.06306306306328</v>
      </c>
      <c r="R97" s="172">
        <f t="shared" si="22"/>
        <v>747.89097465691452</v>
      </c>
      <c r="S97" s="106"/>
      <c r="T97" s="173">
        <f t="shared" si="23"/>
        <v>9.843916282369634E-3</v>
      </c>
      <c r="U97" s="173">
        <f t="shared" si="24"/>
        <v>0.10526315789473684</v>
      </c>
      <c r="V97" s="173">
        <f t="shared" si="25"/>
        <v>1.0362017139336455E-3</v>
      </c>
      <c r="W97" s="173">
        <f t="shared" si="26"/>
        <v>1</v>
      </c>
      <c r="X97" s="167"/>
      <c r="Y97" s="106">
        <f t="shared" si="14"/>
        <v>124.26185661339932</v>
      </c>
      <c r="Z97" s="106">
        <f t="shared" si="15"/>
        <v>93.196392460049481</v>
      </c>
      <c r="AA97" s="106">
        <f t="shared" si="16"/>
        <v>31.065464153349829</v>
      </c>
      <c r="AB97" s="106">
        <f t="shared" si="17"/>
        <v>93.196392460049481</v>
      </c>
      <c r="AC97" s="106">
        <f t="shared" si="18"/>
        <v>62.130928306699658</v>
      </c>
      <c r="AD97" s="106">
        <f t="shared" si="19"/>
        <v>62.130928306699658</v>
      </c>
    </row>
    <row r="98" spans="1:30" x14ac:dyDescent="0.25">
      <c r="A98" s="122">
        <v>11851</v>
      </c>
      <c r="B98" s="153">
        <v>118</v>
      </c>
      <c r="C98" s="154">
        <v>10</v>
      </c>
      <c r="D98" s="154">
        <v>112760</v>
      </c>
      <c r="E98" s="154">
        <v>154</v>
      </c>
      <c r="F98" s="154">
        <v>212</v>
      </c>
      <c r="G98" s="154">
        <v>16</v>
      </c>
      <c r="H98" s="154">
        <v>16</v>
      </c>
      <c r="I98" s="155">
        <v>1</v>
      </c>
      <c r="J98" s="155">
        <v>2</v>
      </c>
      <c r="K98" s="155">
        <v>2</v>
      </c>
      <c r="L98" s="155">
        <v>3</v>
      </c>
      <c r="M98" s="155">
        <v>1</v>
      </c>
      <c r="N98" s="155">
        <v>3</v>
      </c>
      <c r="O98" s="155"/>
      <c r="P98" s="172">
        <f t="shared" si="20"/>
        <v>970.17532467532476</v>
      </c>
      <c r="Q98" s="172">
        <f t="shared" si="21"/>
        <v>970.17532467532476</v>
      </c>
      <c r="R98" s="172">
        <f t="shared" si="22"/>
        <v>907.76208069389759</v>
      </c>
      <c r="S98" s="106"/>
      <c r="T98" s="173">
        <f t="shared" si="23"/>
        <v>1.3657325292656971E-2</v>
      </c>
      <c r="U98" s="173">
        <f t="shared" si="24"/>
        <v>7.5471698113207544E-2</v>
      </c>
      <c r="V98" s="173">
        <f t="shared" si="25"/>
        <v>1.0307415315212807E-3</v>
      </c>
      <c r="W98" s="173">
        <f t="shared" si="26"/>
        <v>1</v>
      </c>
      <c r="X98" s="167"/>
      <c r="Y98" s="106">
        <f t="shared" si="14"/>
        <v>31.147637545652234</v>
      </c>
      <c r="Z98" s="106">
        <f t="shared" si="15"/>
        <v>62.295275091304468</v>
      </c>
      <c r="AA98" s="106">
        <f t="shared" si="16"/>
        <v>62.295275091304468</v>
      </c>
      <c r="AB98" s="106">
        <f t="shared" si="17"/>
        <v>93.442912636956706</v>
      </c>
      <c r="AC98" s="106">
        <f t="shared" si="18"/>
        <v>31.147637545652234</v>
      </c>
      <c r="AD98" s="106">
        <f t="shared" si="19"/>
        <v>93.442912636956706</v>
      </c>
    </row>
    <row r="99" spans="1:30" x14ac:dyDescent="0.25">
      <c r="A99" s="122">
        <v>11852</v>
      </c>
      <c r="B99" s="153">
        <v>118</v>
      </c>
      <c r="C99" s="154">
        <v>10</v>
      </c>
      <c r="D99" s="154">
        <v>112760</v>
      </c>
      <c r="E99" s="154">
        <v>166</v>
      </c>
      <c r="F99" s="154">
        <v>151</v>
      </c>
      <c r="G99" s="154">
        <v>16</v>
      </c>
      <c r="H99" s="154">
        <v>16</v>
      </c>
      <c r="I99" s="155">
        <v>5</v>
      </c>
      <c r="J99" s="155">
        <v>2</v>
      </c>
      <c r="K99" s="155">
        <v>1</v>
      </c>
      <c r="L99" s="155">
        <v>4</v>
      </c>
      <c r="M99" s="155">
        <v>3</v>
      </c>
      <c r="N99" s="155">
        <v>2</v>
      </c>
      <c r="O99" s="155"/>
      <c r="P99" s="172">
        <f t="shared" si="20"/>
        <v>641.06777108433744</v>
      </c>
      <c r="Q99" s="172">
        <f t="shared" si="21"/>
        <v>641.06777108433744</v>
      </c>
      <c r="R99" s="172">
        <f t="shared" si="22"/>
        <v>409.76708856442974</v>
      </c>
      <c r="S99" s="106"/>
      <c r="T99" s="173">
        <f t="shared" si="23"/>
        <v>1.4721532458318552E-2</v>
      </c>
      <c r="U99" s="173">
        <f t="shared" si="24"/>
        <v>0.10596026490066225</v>
      </c>
      <c r="V99" s="173">
        <f t="shared" si="25"/>
        <v>1.5598974790271313E-3</v>
      </c>
      <c r="W99" s="173">
        <f t="shared" si="26"/>
        <v>1</v>
      </c>
      <c r="X99" s="167"/>
      <c r="Y99" s="106">
        <f t="shared" si="14"/>
        <v>126.5965808270841</v>
      </c>
      <c r="Z99" s="106">
        <f t="shared" si="15"/>
        <v>50.638632330833637</v>
      </c>
      <c r="AA99" s="106">
        <f t="shared" si="16"/>
        <v>25.319316165416819</v>
      </c>
      <c r="AB99" s="106">
        <f t="shared" si="17"/>
        <v>101.27726466166727</v>
      </c>
      <c r="AC99" s="106">
        <f t="shared" si="18"/>
        <v>75.957948496250452</v>
      </c>
      <c r="AD99" s="106">
        <f t="shared" si="19"/>
        <v>50.638632330833637</v>
      </c>
    </row>
    <row r="100" spans="1:30" x14ac:dyDescent="0.25">
      <c r="A100" s="122">
        <v>11853</v>
      </c>
      <c r="B100" s="153">
        <v>118</v>
      </c>
      <c r="C100" s="154">
        <v>10</v>
      </c>
      <c r="D100" s="154">
        <v>112760</v>
      </c>
      <c r="E100" s="154">
        <v>139</v>
      </c>
      <c r="F100" s="154">
        <v>185</v>
      </c>
      <c r="G100" s="154">
        <v>16</v>
      </c>
      <c r="H100" s="154">
        <v>16</v>
      </c>
      <c r="I100" s="155">
        <v>4</v>
      </c>
      <c r="J100" s="155">
        <v>2</v>
      </c>
      <c r="K100" s="155">
        <v>1</v>
      </c>
      <c r="L100" s="155">
        <v>3</v>
      </c>
      <c r="M100" s="155">
        <v>2</v>
      </c>
      <c r="N100" s="155">
        <v>2</v>
      </c>
      <c r="O100" s="155"/>
      <c r="P100" s="172">
        <f t="shared" si="20"/>
        <v>937.976618705036</v>
      </c>
      <c r="Q100" s="172">
        <f t="shared" si="21"/>
        <v>937.976618705036</v>
      </c>
      <c r="R100" s="172">
        <f t="shared" si="22"/>
        <v>830.16132217187203</v>
      </c>
      <c r="S100" s="106"/>
      <c r="T100" s="173">
        <f t="shared" si="23"/>
        <v>1.2327066335579994E-2</v>
      </c>
      <c r="U100" s="173">
        <f t="shared" si="24"/>
        <v>8.6486486486486491E-2</v>
      </c>
      <c r="V100" s="173">
        <f t="shared" si="25"/>
        <v>1.0661246560501616E-3</v>
      </c>
      <c r="W100" s="173">
        <f t="shared" si="26"/>
        <v>1</v>
      </c>
      <c r="X100" s="167"/>
      <c r="Y100" s="106">
        <f t="shared" si="14"/>
        <v>122.50561578670823</v>
      </c>
      <c r="Z100" s="106">
        <f t="shared" si="15"/>
        <v>61.252807893354117</v>
      </c>
      <c r="AA100" s="106">
        <f t="shared" si="16"/>
        <v>30.626403946677058</v>
      </c>
      <c r="AB100" s="106">
        <f t="shared" si="17"/>
        <v>91.879211840031175</v>
      </c>
      <c r="AC100" s="106">
        <f t="shared" si="18"/>
        <v>61.252807893354117</v>
      </c>
      <c r="AD100" s="106">
        <f t="shared" si="19"/>
        <v>61.252807893354117</v>
      </c>
    </row>
    <row r="101" spans="1:30" x14ac:dyDescent="0.25">
      <c r="A101" s="122">
        <v>11854</v>
      </c>
      <c r="B101" s="153">
        <v>118</v>
      </c>
      <c r="C101" s="154">
        <v>10</v>
      </c>
      <c r="D101" s="154">
        <v>112760</v>
      </c>
      <c r="E101" s="154">
        <v>120</v>
      </c>
      <c r="F101" s="154">
        <v>204</v>
      </c>
      <c r="G101" s="154">
        <v>16</v>
      </c>
      <c r="H101" s="154">
        <v>16</v>
      </c>
      <c r="I101" s="155">
        <v>3</v>
      </c>
      <c r="J101" s="155">
        <v>3</v>
      </c>
      <c r="K101" s="155">
        <v>1</v>
      </c>
      <c r="L101" s="155">
        <v>4</v>
      </c>
      <c r="M101" s="155">
        <v>2</v>
      </c>
      <c r="N101" s="155">
        <v>2</v>
      </c>
      <c r="O101" s="155"/>
      <c r="P101" s="172">
        <f t="shared" si="20"/>
        <v>1198.0749999999998</v>
      </c>
      <c r="Q101" s="172">
        <f t="shared" si="21"/>
        <v>1198.0749999999998</v>
      </c>
      <c r="R101" s="172">
        <f t="shared" si="22"/>
        <v>901.61041454231724</v>
      </c>
      <c r="S101" s="106"/>
      <c r="T101" s="173">
        <f t="shared" si="23"/>
        <v>1.0642071656615822E-2</v>
      </c>
      <c r="U101" s="173">
        <f t="shared" si="24"/>
        <v>7.8431372549019607E-2</v>
      </c>
      <c r="V101" s="173">
        <f t="shared" si="25"/>
        <v>8.3467228679339779E-4</v>
      </c>
      <c r="W101" s="173">
        <f t="shared" si="26"/>
        <v>1</v>
      </c>
      <c r="X101" s="167"/>
      <c r="Y101" s="106">
        <f t="shared" si="14"/>
        <v>103.83966005337265</v>
      </c>
      <c r="Z101" s="106">
        <f t="shared" si="15"/>
        <v>103.83966005337265</v>
      </c>
      <c r="AA101" s="106">
        <f t="shared" si="16"/>
        <v>34.613220017790887</v>
      </c>
      <c r="AB101" s="106">
        <f t="shared" si="17"/>
        <v>138.45288007116355</v>
      </c>
      <c r="AC101" s="106">
        <f t="shared" si="18"/>
        <v>69.226440035581774</v>
      </c>
      <c r="AD101" s="106">
        <f t="shared" si="19"/>
        <v>69.226440035581774</v>
      </c>
    </row>
    <row r="102" spans="1:30" x14ac:dyDescent="0.25">
      <c r="A102" s="122">
        <v>11855</v>
      </c>
      <c r="B102" s="153">
        <v>118</v>
      </c>
      <c r="C102" s="154">
        <v>10</v>
      </c>
      <c r="D102" s="154">
        <v>112760</v>
      </c>
      <c r="E102" s="154">
        <v>120</v>
      </c>
      <c r="F102" s="154">
        <v>172</v>
      </c>
      <c r="G102" s="154">
        <v>16</v>
      </c>
      <c r="H102" s="154">
        <v>16</v>
      </c>
      <c r="I102" s="155">
        <v>4</v>
      </c>
      <c r="J102" s="155">
        <v>3</v>
      </c>
      <c r="K102" s="155">
        <v>3</v>
      </c>
      <c r="L102" s="155">
        <v>4</v>
      </c>
      <c r="M102" s="155">
        <v>3</v>
      </c>
      <c r="N102" s="155">
        <v>2</v>
      </c>
      <c r="O102" s="155"/>
      <c r="P102" s="172">
        <f t="shared" si="20"/>
        <v>1010.1416666666665</v>
      </c>
      <c r="Q102" s="172">
        <f t="shared" si="21"/>
        <v>1010.1416666666665</v>
      </c>
      <c r="R102" s="172">
        <f t="shared" si="22"/>
        <v>1040.8113647460775</v>
      </c>
      <c r="S102" s="106"/>
      <c r="T102" s="173">
        <f t="shared" si="23"/>
        <v>1.0642071656615822E-2</v>
      </c>
      <c r="U102" s="173">
        <f t="shared" si="24"/>
        <v>9.3023255813953487E-2</v>
      </c>
      <c r="V102" s="173">
        <f t="shared" si="25"/>
        <v>9.8996015410379745E-4</v>
      </c>
      <c r="W102" s="173">
        <f t="shared" si="26"/>
        <v>1</v>
      </c>
      <c r="X102" s="167"/>
      <c r="Y102" s="106">
        <f t="shared" si="14"/>
        <v>127.13090366494947</v>
      </c>
      <c r="Z102" s="106">
        <f t="shared" si="15"/>
        <v>95.348177748712104</v>
      </c>
      <c r="AA102" s="106">
        <f t="shared" si="16"/>
        <v>95.348177748712104</v>
      </c>
      <c r="AB102" s="106">
        <f t="shared" si="17"/>
        <v>127.13090366494947</v>
      </c>
      <c r="AC102" s="106">
        <f t="shared" si="18"/>
        <v>95.348177748712104</v>
      </c>
      <c r="AD102" s="106">
        <f t="shared" si="19"/>
        <v>63.565451832474736</v>
      </c>
    </row>
    <row r="103" spans="1:30" x14ac:dyDescent="0.25">
      <c r="A103" s="122">
        <v>11856</v>
      </c>
      <c r="B103" s="153">
        <v>118</v>
      </c>
      <c r="C103" s="154">
        <v>10</v>
      </c>
      <c r="D103" s="154">
        <v>112760</v>
      </c>
      <c r="E103" s="154">
        <v>116</v>
      </c>
      <c r="F103" s="154">
        <v>147</v>
      </c>
      <c r="G103" s="154">
        <v>16</v>
      </c>
      <c r="H103" s="154">
        <v>16</v>
      </c>
      <c r="I103" s="155">
        <v>2</v>
      </c>
      <c r="J103" s="155">
        <v>2</v>
      </c>
      <c r="K103" s="155">
        <v>1</v>
      </c>
      <c r="L103" s="155">
        <v>3</v>
      </c>
      <c r="M103" s="155">
        <v>1</v>
      </c>
      <c r="N103" s="155">
        <v>1</v>
      </c>
      <c r="O103" s="155"/>
      <c r="P103" s="172">
        <f t="shared" si="20"/>
        <v>893.08836206896547</v>
      </c>
      <c r="Q103" s="172">
        <f t="shared" si="21"/>
        <v>893.08836206896547</v>
      </c>
      <c r="R103" s="172">
        <f t="shared" si="22"/>
        <v>1247.5422867849275</v>
      </c>
      <c r="S103" s="106"/>
      <c r="T103" s="173">
        <f t="shared" si="23"/>
        <v>1.0287335934728628E-2</v>
      </c>
      <c r="U103" s="173">
        <f t="shared" si="24"/>
        <v>0.10884353741496598</v>
      </c>
      <c r="V103" s="173">
        <f t="shared" si="25"/>
        <v>1.1197100337119595E-3</v>
      </c>
      <c r="W103" s="173">
        <f t="shared" si="26"/>
        <v>1</v>
      </c>
      <c r="X103" s="167"/>
      <c r="Y103" s="106">
        <f t="shared" si="14"/>
        <v>59.769168040686843</v>
      </c>
      <c r="Z103" s="106">
        <f t="shared" si="15"/>
        <v>59.769168040686843</v>
      </c>
      <c r="AA103" s="106">
        <f t="shared" si="16"/>
        <v>29.884584020343421</v>
      </c>
      <c r="AB103" s="106">
        <f t="shared" si="17"/>
        <v>89.653752061030261</v>
      </c>
      <c r="AC103" s="106">
        <f t="shared" si="18"/>
        <v>29.884584020343421</v>
      </c>
      <c r="AD103" s="106">
        <f t="shared" si="19"/>
        <v>29.884584020343421</v>
      </c>
    </row>
    <row r="104" spans="1:30" x14ac:dyDescent="0.25">
      <c r="A104" s="122">
        <v>21841</v>
      </c>
      <c r="B104" s="153">
        <v>218</v>
      </c>
      <c r="C104" s="154">
        <v>9</v>
      </c>
      <c r="D104" s="154">
        <v>236549</v>
      </c>
      <c r="E104" s="154">
        <v>112</v>
      </c>
      <c r="F104" s="154">
        <v>128</v>
      </c>
      <c r="G104" s="154">
        <v>16</v>
      </c>
      <c r="H104" s="154">
        <v>16</v>
      </c>
      <c r="I104" s="155">
        <v>3</v>
      </c>
      <c r="J104" s="155">
        <v>2</v>
      </c>
      <c r="K104" s="155">
        <v>2</v>
      </c>
      <c r="L104" s="155">
        <v>3</v>
      </c>
      <c r="M104" s="155">
        <v>2</v>
      </c>
      <c r="N104" s="155">
        <v>2</v>
      </c>
      <c r="O104" s="155"/>
      <c r="P104" s="172">
        <f t="shared" si="20"/>
        <v>1877.3730158730159</v>
      </c>
      <c r="Q104" s="172">
        <f t="shared" si="21"/>
        <v>1877.3730158730159</v>
      </c>
      <c r="R104" s="172">
        <f t="shared" si="22"/>
        <v>1878.5182031412878</v>
      </c>
      <c r="S104" s="106"/>
      <c r="T104" s="173">
        <f t="shared" si="23"/>
        <v>4.2612735627713498E-3</v>
      </c>
      <c r="U104" s="173">
        <f t="shared" si="24"/>
        <v>0.125</v>
      </c>
      <c r="V104" s="173">
        <f t="shared" si="25"/>
        <v>5.3265919534641873E-4</v>
      </c>
      <c r="W104" s="173">
        <f t="shared" si="26"/>
        <v>1</v>
      </c>
      <c r="X104" s="167"/>
      <c r="Y104" s="106">
        <f t="shared" si="14"/>
        <v>129.98598825587757</v>
      </c>
      <c r="Z104" s="106">
        <f t="shared" si="15"/>
        <v>86.657325503918386</v>
      </c>
      <c r="AA104" s="106">
        <f t="shared" si="16"/>
        <v>86.657325503918386</v>
      </c>
      <c r="AB104" s="106">
        <f t="shared" si="17"/>
        <v>129.98598825587757</v>
      </c>
      <c r="AC104" s="106">
        <f t="shared" si="18"/>
        <v>86.657325503918386</v>
      </c>
      <c r="AD104" s="106">
        <f t="shared" si="19"/>
        <v>86.657325503918386</v>
      </c>
    </row>
    <row r="105" spans="1:30" x14ac:dyDescent="0.25">
      <c r="A105" s="122">
        <v>21842</v>
      </c>
      <c r="B105" s="153">
        <v>218</v>
      </c>
      <c r="C105" s="154">
        <v>9</v>
      </c>
      <c r="D105" s="154">
        <v>236549</v>
      </c>
      <c r="E105" s="154">
        <v>127</v>
      </c>
      <c r="F105" s="154">
        <v>223</v>
      </c>
      <c r="G105" s="154">
        <v>16</v>
      </c>
      <c r="H105" s="154">
        <v>16</v>
      </c>
      <c r="I105" s="155">
        <v>4</v>
      </c>
      <c r="J105" s="155">
        <v>2</v>
      </c>
      <c r="K105" s="155">
        <v>1</v>
      </c>
      <c r="L105" s="155">
        <v>3</v>
      </c>
      <c r="M105" s="155">
        <v>2</v>
      </c>
      <c r="N105" s="155">
        <v>2</v>
      </c>
      <c r="O105" s="155"/>
      <c r="P105" s="172">
        <f t="shared" si="20"/>
        <v>2884.4284230096237</v>
      </c>
      <c r="Q105" s="172">
        <f t="shared" si="21"/>
        <v>2884.4284230096237</v>
      </c>
      <c r="R105" s="172">
        <f t="shared" si="22"/>
        <v>2552.8791076494886</v>
      </c>
      <c r="S105" s="106"/>
      <c r="T105" s="173">
        <f t="shared" si="23"/>
        <v>4.8319798434996557E-3</v>
      </c>
      <c r="U105" s="173">
        <f t="shared" si="24"/>
        <v>7.1748878923766815E-2</v>
      </c>
      <c r="V105" s="173">
        <f t="shared" si="25"/>
        <v>3.4668913675333854E-4</v>
      </c>
      <c r="W105" s="173">
        <f t="shared" si="26"/>
        <v>1</v>
      </c>
      <c r="X105" s="167"/>
      <c r="Y105" s="106">
        <f t="shared" si="14"/>
        <v>214.8275000277059</v>
      </c>
      <c r="Z105" s="106">
        <f t="shared" si="15"/>
        <v>107.41375001385295</v>
      </c>
      <c r="AA105" s="106">
        <f t="shared" si="16"/>
        <v>53.706875006926474</v>
      </c>
      <c r="AB105" s="106">
        <f t="shared" si="17"/>
        <v>161.12062502077941</v>
      </c>
      <c r="AC105" s="106">
        <f t="shared" si="18"/>
        <v>107.41375001385295</v>
      </c>
      <c r="AD105" s="106">
        <f t="shared" si="19"/>
        <v>107.41375001385295</v>
      </c>
    </row>
    <row r="106" spans="1:30" x14ac:dyDescent="0.25">
      <c r="A106" s="122">
        <v>21843</v>
      </c>
      <c r="B106" s="153">
        <v>218</v>
      </c>
      <c r="C106" s="154">
        <v>9</v>
      </c>
      <c r="D106" s="154">
        <v>236549</v>
      </c>
      <c r="E106" s="154">
        <v>154</v>
      </c>
      <c r="F106" s="154">
        <v>253</v>
      </c>
      <c r="G106" s="154">
        <v>16</v>
      </c>
      <c r="H106" s="154">
        <v>13</v>
      </c>
      <c r="I106" s="155">
        <v>4</v>
      </c>
      <c r="J106" s="155">
        <v>2</v>
      </c>
      <c r="K106" s="155">
        <v>1</v>
      </c>
      <c r="L106" s="155">
        <v>3</v>
      </c>
      <c r="M106" s="155">
        <v>2</v>
      </c>
      <c r="N106" s="155">
        <v>1</v>
      </c>
      <c r="O106" s="155"/>
      <c r="P106" s="172">
        <f t="shared" si="20"/>
        <v>2698.7237103174607</v>
      </c>
      <c r="Q106" s="172">
        <f t="shared" si="21"/>
        <v>3321.5061050061054</v>
      </c>
      <c r="R106" s="172">
        <f t="shared" si="22"/>
        <v>3897.5930849880042</v>
      </c>
      <c r="S106" s="106"/>
      <c r="T106" s="173">
        <f t="shared" si="23"/>
        <v>5.8592511488106055E-3</v>
      </c>
      <c r="U106" s="173">
        <f t="shared" si="24"/>
        <v>6.3241106719367585E-2</v>
      </c>
      <c r="V106" s="173">
        <f t="shared" si="25"/>
        <v>3.7054552719750864E-4</v>
      </c>
      <c r="W106" s="173">
        <f t="shared" si="26"/>
        <v>0.8125</v>
      </c>
      <c r="X106" s="167"/>
      <c r="Y106" s="106">
        <f t="shared" si="14"/>
        <v>230.53003639460454</v>
      </c>
      <c r="Z106" s="106">
        <f t="shared" si="15"/>
        <v>115.26501819730227</v>
      </c>
      <c r="AA106" s="106">
        <f t="shared" si="16"/>
        <v>57.632509098651134</v>
      </c>
      <c r="AB106" s="106">
        <f t="shared" si="17"/>
        <v>172.89752729595341</v>
      </c>
      <c r="AC106" s="106">
        <f t="shared" si="18"/>
        <v>115.26501819730227</v>
      </c>
      <c r="AD106" s="106">
        <f t="shared" si="19"/>
        <v>57.632509098651134</v>
      </c>
    </row>
    <row r="107" spans="1:30" x14ac:dyDescent="0.25">
      <c r="A107" s="122">
        <v>21844</v>
      </c>
      <c r="B107" s="153">
        <v>218</v>
      </c>
      <c r="C107" s="154">
        <v>9</v>
      </c>
      <c r="D107" s="154">
        <v>236549</v>
      </c>
      <c r="E107" s="154">
        <v>138</v>
      </c>
      <c r="F107" s="154">
        <v>145</v>
      </c>
      <c r="G107" s="154">
        <v>16</v>
      </c>
      <c r="H107" s="154">
        <v>16</v>
      </c>
      <c r="I107" s="155">
        <v>2</v>
      </c>
      <c r="J107" s="155">
        <v>3</v>
      </c>
      <c r="K107" s="155">
        <v>3</v>
      </c>
      <c r="L107" s="155">
        <v>1</v>
      </c>
      <c r="M107" s="155">
        <v>2</v>
      </c>
      <c r="N107" s="155">
        <v>2</v>
      </c>
      <c r="O107" s="155"/>
      <c r="P107" s="172">
        <f t="shared" si="20"/>
        <v>1726.0268216586151</v>
      </c>
      <c r="Q107" s="172">
        <f t="shared" si="21"/>
        <v>1726.0268216586151</v>
      </c>
      <c r="R107" s="172">
        <f t="shared" si="22"/>
        <v>881.33202573024403</v>
      </c>
      <c r="S107" s="106"/>
      <c r="T107" s="173">
        <f t="shared" si="23"/>
        <v>5.250497782700413E-3</v>
      </c>
      <c r="U107" s="173">
        <f t="shared" si="24"/>
        <v>0.1103448275862069</v>
      </c>
      <c r="V107" s="173">
        <f t="shared" si="25"/>
        <v>5.793652725738387E-4</v>
      </c>
      <c r="W107" s="173">
        <f t="shared" si="26"/>
        <v>1</v>
      </c>
      <c r="X107" s="167"/>
      <c r="Y107" s="106">
        <f t="shared" si="14"/>
        <v>83.090957911402498</v>
      </c>
      <c r="Z107" s="106">
        <f t="shared" si="15"/>
        <v>124.63643686710375</v>
      </c>
      <c r="AA107" s="106">
        <f t="shared" si="16"/>
        <v>124.63643686710375</v>
      </c>
      <c r="AB107" s="106">
        <f t="shared" si="17"/>
        <v>41.545478955701249</v>
      </c>
      <c r="AC107" s="106">
        <f t="shared" si="18"/>
        <v>83.090957911402498</v>
      </c>
      <c r="AD107" s="106">
        <f t="shared" si="19"/>
        <v>83.090957911402498</v>
      </c>
    </row>
    <row r="108" spans="1:30" x14ac:dyDescent="0.25">
      <c r="A108" s="122">
        <v>21845</v>
      </c>
      <c r="B108" s="153">
        <v>218</v>
      </c>
      <c r="C108" s="154">
        <v>9</v>
      </c>
      <c r="D108" s="154">
        <v>236549</v>
      </c>
      <c r="E108" s="154">
        <v>144</v>
      </c>
      <c r="F108" s="154">
        <v>144</v>
      </c>
      <c r="G108" s="154">
        <v>16</v>
      </c>
      <c r="H108" s="154">
        <v>16</v>
      </c>
      <c r="I108" s="155">
        <v>3</v>
      </c>
      <c r="J108" s="154">
        <v>2</v>
      </c>
      <c r="K108" s="154">
        <v>2</v>
      </c>
      <c r="L108" s="154">
        <v>3</v>
      </c>
      <c r="M108" s="154">
        <v>2</v>
      </c>
      <c r="N108" s="154">
        <v>2</v>
      </c>
      <c r="O108" s="154"/>
      <c r="P108" s="172">
        <f t="shared" si="20"/>
        <v>1642.7013888888891</v>
      </c>
      <c r="Q108" s="172">
        <f t="shared" si="21"/>
        <v>1642.7013888888891</v>
      </c>
      <c r="R108" s="172">
        <f t="shared" si="22"/>
        <v>1643.7034277486271</v>
      </c>
      <c r="S108" s="106"/>
      <c r="T108" s="173">
        <f t="shared" si="23"/>
        <v>5.478780294991735E-3</v>
      </c>
      <c r="U108" s="173">
        <f t="shared" si="24"/>
        <v>0.1111111111111111</v>
      </c>
      <c r="V108" s="173">
        <f t="shared" si="25"/>
        <v>6.0875336611019269E-4</v>
      </c>
      <c r="W108" s="173">
        <f t="shared" si="26"/>
        <v>1</v>
      </c>
      <c r="X108" s="167"/>
      <c r="Y108" s="106">
        <f t="shared" si="14"/>
        <v>121.5907582836788</v>
      </c>
      <c r="Z108" s="106">
        <f t="shared" si="15"/>
        <v>81.06050552245253</v>
      </c>
      <c r="AA108" s="106">
        <f t="shared" si="16"/>
        <v>81.06050552245253</v>
      </c>
      <c r="AB108" s="106">
        <f t="shared" si="17"/>
        <v>121.5907582836788</v>
      </c>
      <c r="AC108" s="106">
        <f t="shared" si="18"/>
        <v>81.06050552245253</v>
      </c>
      <c r="AD108" s="106">
        <f t="shared" si="19"/>
        <v>81.06050552245253</v>
      </c>
    </row>
    <row r="109" spans="1:30" x14ac:dyDescent="0.25">
      <c r="A109" s="122">
        <v>21846</v>
      </c>
      <c r="B109" s="153">
        <v>218</v>
      </c>
      <c r="C109" s="154">
        <v>9</v>
      </c>
      <c r="D109" s="154">
        <v>236549</v>
      </c>
      <c r="E109" s="154">
        <v>149</v>
      </c>
      <c r="F109" s="154">
        <v>226</v>
      </c>
      <c r="G109" s="154">
        <v>16</v>
      </c>
      <c r="H109" s="154">
        <v>16</v>
      </c>
      <c r="I109" s="155">
        <v>3</v>
      </c>
      <c r="J109" s="155">
        <v>2</v>
      </c>
      <c r="K109" s="155">
        <v>2</v>
      </c>
      <c r="L109" s="155">
        <v>3</v>
      </c>
      <c r="M109" s="155">
        <v>2</v>
      </c>
      <c r="N109" s="155">
        <v>2</v>
      </c>
      <c r="O109" s="155"/>
      <c r="P109" s="172">
        <f t="shared" si="20"/>
        <v>2491.6141871737514</v>
      </c>
      <c r="Q109" s="172">
        <f t="shared" si="21"/>
        <v>2491.6141871737514</v>
      </c>
      <c r="R109" s="172">
        <f t="shared" si="22"/>
        <v>2493.1340581959043</v>
      </c>
      <c r="S109" s="106"/>
      <c r="T109" s="173">
        <f t="shared" si="23"/>
        <v>5.6690157219011703E-3</v>
      </c>
      <c r="U109" s="173">
        <f t="shared" si="24"/>
        <v>7.0796460176991149E-2</v>
      </c>
      <c r="V109" s="173">
        <f t="shared" si="25"/>
        <v>4.0134624579831293E-4</v>
      </c>
      <c r="W109" s="173">
        <f t="shared" si="26"/>
        <v>1</v>
      </c>
      <c r="X109" s="167"/>
      <c r="Y109" s="106">
        <f t="shared" si="14"/>
        <v>149.7482142950752</v>
      </c>
      <c r="Z109" s="106">
        <f t="shared" si="15"/>
        <v>99.832142863383467</v>
      </c>
      <c r="AA109" s="106">
        <f t="shared" si="16"/>
        <v>99.832142863383467</v>
      </c>
      <c r="AB109" s="106">
        <f t="shared" si="17"/>
        <v>149.7482142950752</v>
      </c>
      <c r="AC109" s="106">
        <f t="shared" si="18"/>
        <v>99.832142863383467</v>
      </c>
      <c r="AD109" s="106">
        <f t="shared" si="19"/>
        <v>99.832142863383467</v>
      </c>
    </row>
    <row r="110" spans="1:30" x14ac:dyDescent="0.25">
      <c r="A110" s="122">
        <v>21847</v>
      </c>
      <c r="B110" s="153">
        <v>218</v>
      </c>
      <c r="C110" s="154">
        <v>9</v>
      </c>
      <c r="D110" s="154">
        <v>236549</v>
      </c>
      <c r="E110" s="154">
        <v>155</v>
      </c>
      <c r="F110" s="154">
        <v>140</v>
      </c>
      <c r="G110" s="154">
        <v>16</v>
      </c>
      <c r="H110" s="154">
        <v>16</v>
      </c>
      <c r="I110" s="155">
        <v>2</v>
      </c>
      <c r="J110" s="155">
        <v>1</v>
      </c>
      <c r="K110" s="155">
        <v>2</v>
      </c>
      <c r="L110" s="155">
        <v>2</v>
      </c>
      <c r="M110" s="155">
        <v>2</v>
      </c>
      <c r="N110" s="155">
        <v>2</v>
      </c>
      <c r="O110" s="155"/>
      <c r="P110" s="172">
        <f t="shared" si="20"/>
        <v>1483.7302867383512</v>
      </c>
      <c r="Q110" s="172">
        <f t="shared" si="21"/>
        <v>1483.7302867383512</v>
      </c>
      <c r="R110" s="172">
        <f t="shared" si="22"/>
        <v>879.58652300482902</v>
      </c>
      <c r="S110" s="106"/>
      <c r="T110" s="173">
        <f t="shared" si="23"/>
        <v>5.8972982341924931E-3</v>
      </c>
      <c r="U110" s="173">
        <f t="shared" si="24"/>
        <v>0.11428571428571428</v>
      </c>
      <c r="V110" s="173">
        <f t="shared" si="25"/>
        <v>6.7397694105057065E-4</v>
      </c>
      <c r="W110" s="173">
        <f t="shared" si="26"/>
        <v>1</v>
      </c>
      <c r="X110" s="167"/>
      <c r="Y110" s="106">
        <f t="shared" si="14"/>
        <v>77.038439411461368</v>
      </c>
      <c r="Z110" s="106">
        <f t="shared" si="15"/>
        <v>38.519219705730684</v>
      </c>
      <c r="AA110" s="106">
        <f t="shared" si="16"/>
        <v>77.038439411461368</v>
      </c>
      <c r="AB110" s="106">
        <f t="shared" si="17"/>
        <v>77.038439411461368</v>
      </c>
      <c r="AC110" s="106">
        <f t="shared" si="18"/>
        <v>77.038439411461368</v>
      </c>
      <c r="AD110" s="106">
        <f t="shared" si="19"/>
        <v>77.038439411461368</v>
      </c>
    </row>
    <row r="111" spans="1:30" x14ac:dyDescent="0.25">
      <c r="A111" s="122">
        <v>21848</v>
      </c>
      <c r="B111" s="153">
        <v>218</v>
      </c>
      <c r="C111" s="154">
        <v>9</v>
      </c>
      <c r="D111" s="154">
        <v>236549</v>
      </c>
      <c r="E111" s="154">
        <v>76</v>
      </c>
      <c r="F111" s="154">
        <v>87</v>
      </c>
      <c r="G111" s="154">
        <v>16</v>
      </c>
      <c r="H111" s="154">
        <v>16</v>
      </c>
      <c r="I111" s="155">
        <v>2</v>
      </c>
      <c r="J111" s="155">
        <v>2</v>
      </c>
      <c r="K111" s="155">
        <v>2</v>
      </c>
      <c r="L111" s="155">
        <v>2</v>
      </c>
      <c r="M111" s="155">
        <v>2</v>
      </c>
      <c r="N111" s="155">
        <v>2</v>
      </c>
      <c r="O111" s="155"/>
      <c r="P111" s="172">
        <f t="shared" si="20"/>
        <v>1880.4608004385964</v>
      </c>
      <c r="Q111" s="172">
        <f t="shared" si="21"/>
        <v>1880.4608004385964</v>
      </c>
      <c r="R111" s="172">
        <f t="shared" si="22"/>
        <v>907.75764384249521</v>
      </c>
      <c r="S111" s="106"/>
      <c r="T111" s="173">
        <f t="shared" si="23"/>
        <v>2.8915784890234161E-3</v>
      </c>
      <c r="U111" s="173">
        <f t="shared" si="24"/>
        <v>0.18390804597701149</v>
      </c>
      <c r="V111" s="173">
        <f t="shared" si="25"/>
        <v>5.3178454970545584E-4</v>
      </c>
      <c r="W111" s="173">
        <f t="shared" si="26"/>
        <v>1</v>
      </c>
      <c r="X111" s="167"/>
      <c r="Y111" s="106">
        <f t="shared" si="14"/>
        <v>86.72856047320505</v>
      </c>
      <c r="Z111" s="106">
        <f t="shared" si="15"/>
        <v>86.72856047320505</v>
      </c>
      <c r="AA111" s="106">
        <f t="shared" si="16"/>
        <v>86.72856047320505</v>
      </c>
      <c r="AB111" s="106">
        <f t="shared" si="17"/>
        <v>86.72856047320505</v>
      </c>
      <c r="AC111" s="106">
        <f t="shared" si="18"/>
        <v>86.72856047320505</v>
      </c>
      <c r="AD111" s="106">
        <f t="shared" si="19"/>
        <v>86.72856047320505</v>
      </c>
    </row>
    <row r="112" spans="1:30" x14ac:dyDescent="0.25">
      <c r="A112" s="122">
        <v>21849</v>
      </c>
      <c r="B112" s="153">
        <v>218</v>
      </c>
      <c r="C112" s="154">
        <v>9</v>
      </c>
      <c r="D112" s="154">
        <v>236549</v>
      </c>
      <c r="E112" s="154">
        <v>142</v>
      </c>
      <c r="F112" s="154">
        <v>84</v>
      </c>
      <c r="G112" s="154">
        <v>16</v>
      </c>
      <c r="H112" s="154">
        <v>16</v>
      </c>
      <c r="I112" s="155">
        <v>4</v>
      </c>
      <c r="J112" s="155">
        <v>3</v>
      </c>
      <c r="K112" s="155">
        <v>3</v>
      </c>
      <c r="L112" s="155">
        <v>4</v>
      </c>
      <c r="M112" s="155">
        <v>3</v>
      </c>
      <c r="N112" s="155">
        <v>2</v>
      </c>
      <c r="O112" s="155"/>
      <c r="P112" s="172">
        <f t="shared" si="20"/>
        <v>971.73884976525824</v>
      </c>
      <c r="Q112" s="172">
        <f t="shared" si="21"/>
        <v>971.73884976525824</v>
      </c>
      <c r="R112" s="172">
        <f t="shared" si="22"/>
        <v>1001.2425700035097</v>
      </c>
      <c r="S112" s="106"/>
      <c r="T112" s="173">
        <f t="shared" si="23"/>
        <v>5.4026861242279615E-3</v>
      </c>
      <c r="U112" s="173">
        <f t="shared" si="24"/>
        <v>0.19047619047619047</v>
      </c>
      <c r="V112" s="173">
        <f t="shared" si="25"/>
        <v>1.0290830712815164E-3</v>
      </c>
      <c r="W112" s="173">
        <f t="shared" si="26"/>
        <v>1</v>
      </c>
      <c r="X112" s="167"/>
      <c r="Y112" s="106">
        <f t="shared" si="14"/>
        <v>124.69090422418201</v>
      </c>
      <c r="Z112" s="106">
        <f t="shared" si="15"/>
        <v>93.518178168136501</v>
      </c>
      <c r="AA112" s="106">
        <f t="shared" si="16"/>
        <v>93.518178168136501</v>
      </c>
      <c r="AB112" s="106">
        <f t="shared" si="17"/>
        <v>124.69090422418201</v>
      </c>
      <c r="AC112" s="106">
        <f t="shared" si="18"/>
        <v>93.518178168136501</v>
      </c>
      <c r="AD112" s="106">
        <f t="shared" si="19"/>
        <v>62.345452112091003</v>
      </c>
    </row>
    <row r="113" spans="1:30" x14ac:dyDescent="0.25">
      <c r="A113" s="122">
        <v>11957</v>
      </c>
      <c r="B113" s="153">
        <v>119</v>
      </c>
      <c r="C113" s="154">
        <v>8</v>
      </c>
      <c r="D113" s="154">
        <v>59787</v>
      </c>
      <c r="E113" s="154">
        <v>112</v>
      </c>
      <c r="F113" s="154">
        <v>158</v>
      </c>
      <c r="G113" s="154">
        <v>16</v>
      </c>
      <c r="H113" s="154">
        <v>16</v>
      </c>
      <c r="I113" s="155">
        <v>4</v>
      </c>
      <c r="J113" s="155">
        <v>2</v>
      </c>
      <c r="K113" s="155">
        <v>2</v>
      </c>
      <c r="L113" s="155">
        <v>3</v>
      </c>
      <c r="M113" s="155">
        <v>2</v>
      </c>
      <c r="N113" s="155">
        <v>2</v>
      </c>
      <c r="O113" s="155"/>
      <c r="P113" s="172">
        <f t="shared" si="20"/>
        <v>658.9248046875</v>
      </c>
      <c r="Q113" s="172">
        <f t="shared" si="21"/>
        <v>658.9248046875</v>
      </c>
      <c r="R113" s="172">
        <f t="shared" si="22"/>
        <v>837.33369580299734</v>
      </c>
      <c r="S113" s="106"/>
      <c r="T113" s="173">
        <f t="shared" si="23"/>
        <v>1.498653553448074E-2</v>
      </c>
      <c r="U113" s="173">
        <f t="shared" si="24"/>
        <v>0.10126582278481013</v>
      </c>
      <c r="V113" s="173">
        <f t="shared" si="25"/>
        <v>1.5176238515929863E-3</v>
      </c>
      <c r="W113" s="173">
        <f t="shared" si="26"/>
        <v>1</v>
      </c>
      <c r="X113" s="167"/>
      <c r="Y113" s="106">
        <f t="shared" si="14"/>
        <v>102.67812266982681</v>
      </c>
      <c r="Z113" s="106">
        <f t="shared" si="15"/>
        <v>51.339061334913403</v>
      </c>
      <c r="AA113" s="106">
        <f t="shared" si="16"/>
        <v>51.339061334913403</v>
      </c>
      <c r="AB113" s="106">
        <f t="shared" si="17"/>
        <v>77.008592002370108</v>
      </c>
      <c r="AC113" s="106">
        <f t="shared" si="18"/>
        <v>51.339061334913403</v>
      </c>
      <c r="AD113" s="106">
        <f t="shared" si="19"/>
        <v>51.339061334913403</v>
      </c>
    </row>
    <row r="114" spans="1:30" x14ac:dyDescent="0.25">
      <c r="A114" s="122">
        <v>11958</v>
      </c>
      <c r="B114" s="153">
        <v>119</v>
      </c>
      <c r="C114" s="154">
        <v>8</v>
      </c>
      <c r="D114" s="154">
        <v>59787</v>
      </c>
      <c r="E114" s="154">
        <v>123</v>
      </c>
      <c r="F114" s="154">
        <v>125</v>
      </c>
      <c r="G114" s="154">
        <v>16</v>
      </c>
      <c r="H114" s="154">
        <v>15</v>
      </c>
      <c r="I114" s="155">
        <v>4</v>
      </c>
      <c r="J114" s="155">
        <v>3</v>
      </c>
      <c r="K114" s="155">
        <v>1</v>
      </c>
      <c r="L114" s="155">
        <v>3</v>
      </c>
      <c r="M114" s="155">
        <v>2</v>
      </c>
      <c r="N114" s="155">
        <v>2</v>
      </c>
      <c r="O114" s="155"/>
      <c r="P114" s="172">
        <f t="shared" si="20"/>
        <v>474.68083079268285</v>
      </c>
      <c r="Q114" s="172">
        <f t="shared" si="21"/>
        <v>506.32621951219505</v>
      </c>
      <c r="R114" s="172">
        <f t="shared" si="22"/>
        <v>392.38555934720432</v>
      </c>
      <c r="S114" s="106"/>
      <c r="T114" s="173">
        <f t="shared" si="23"/>
        <v>1.6458427417331528E-2</v>
      </c>
      <c r="U114" s="173">
        <f t="shared" si="24"/>
        <v>0.128</v>
      </c>
      <c r="V114" s="173">
        <f t="shared" si="25"/>
        <v>2.1066787094184357E-3</v>
      </c>
      <c r="W114" s="173">
        <f t="shared" si="26"/>
        <v>0.9375</v>
      </c>
      <c r="X114" s="167"/>
      <c r="Y114" s="106">
        <f t="shared" si="14"/>
        <v>90.006774812761293</v>
      </c>
      <c r="Z114" s="106">
        <f t="shared" si="15"/>
        <v>67.505081109570966</v>
      </c>
      <c r="AA114" s="106">
        <f t="shared" si="16"/>
        <v>22.501693703190323</v>
      </c>
      <c r="AB114" s="106">
        <f t="shared" si="17"/>
        <v>67.505081109570966</v>
      </c>
      <c r="AC114" s="106">
        <f t="shared" si="18"/>
        <v>45.003387406380646</v>
      </c>
      <c r="AD114" s="106">
        <f t="shared" si="19"/>
        <v>45.003387406380646</v>
      </c>
    </row>
    <row r="115" spans="1:30" x14ac:dyDescent="0.25">
      <c r="A115" s="122">
        <v>11959</v>
      </c>
      <c r="B115" s="153">
        <v>119</v>
      </c>
      <c r="C115" s="154">
        <v>8</v>
      </c>
      <c r="D115" s="154">
        <v>59787</v>
      </c>
      <c r="E115" s="154">
        <v>152</v>
      </c>
      <c r="F115" s="154">
        <v>129</v>
      </c>
      <c r="G115" s="154">
        <v>16</v>
      </c>
      <c r="H115" s="154">
        <v>16</v>
      </c>
      <c r="I115" s="155">
        <v>1</v>
      </c>
      <c r="J115" s="155">
        <v>2</v>
      </c>
      <c r="K115" s="155">
        <v>2</v>
      </c>
      <c r="L115" s="155">
        <v>3</v>
      </c>
      <c r="M115" s="155">
        <v>1</v>
      </c>
      <c r="N115" s="155">
        <v>3</v>
      </c>
      <c r="O115" s="155"/>
      <c r="P115" s="172">
        <f t="shared" si="20"/>
        <v>396.40846011513162</v>
      </c>
      <c r="Q115" s="172">
        <f t="shared" si="21"/>
        <v>396.40846011513162</v>
      </c>
      <c r="R115" s="172">
        <f t="shared" si="22"/>
        <v>370.90674170588704</v>
      </c>
      <c r="S115" s="106"/>
      <c r="T115" s="173">
        <f t="shared" si="23"/>
        <v>2.0338869653938146E-2</v>
      </c>
      <c r="U115" s="173">
        <f t="shared" si="24"/>
        <v>0.12403100775193798</v>
      </c>
      <c r="V115" s="173">
        <f t="shared" si="25"/>
        <v>2.5226504997132582E-3</v>
      </c>
      <c r="W115" s="173">
        <f t="shared" si="26"/>
        <v>1</v>
      </c>
      <c r="X115" s="167"/>
      <c r="Y115" s="106">
        <f t="shared" si="14"/>
        <v>19.91000904357232</v>
      </c>
      <c r="Z115" s="106">
        <f t="shared" si="15"/>
        <v>39.820018087144639</v>
      </c>
      <c r="AA115" s="106">
        <f t="shared" si="16"/>
        <v>39.820018087144639</v>
      </c>
      <c r="AB115" s="106">
        <f t="shared" si="17"/>
        <v>59.730027130716962</v>
      </c>
      <c r="AC115" s="106">
        <f t="shared" si="18"/>
        <v>19.91000904357232</v>
      </c>
      <c r="AD115" s="106">
        <f t="shared" si="19"/>
        <v>59.730027130716962</v>
      </c>
    </row>
    <row r="116" spans="1:30" x14ac:dyDescent="0.25">
      <c r="A116" s="122">
        <v>11960</v>
      </c>
      <c r="B116" s="153">
        <v>119</v>
      </c>
      <c r="C116" s="154">
        <v>8</v>
      </c>
      <c r="D116" s="154">
        <v>59787</v>
      </c>
      <c r="E116" s="154">
        <v>135</v>
      </c>
      <c r="F116" s="154">
        <v>111</v>
      </c>
      <c r="G116" s="154">
        <v>16</v>
      </c>
      <c r="H116" s="154">
        <v>14</v>
      </c>
      <c r="I116" s="155">
        <v>2</v>
      </c>
      <c r="J116" s="155">
        <v>2</v>
      </c>
      <c r="K116" s="155">
        <v>1</v>
      </c>
      <c r="L116" s="155">
        <v>3</v>
      </c>
      <c r="M116" s="155">
        <v>1</v>
      </c>
      <c r="N116" s="155">
        <v>1</v>
      </c>
      <c r="O116" s="155"/>
      <c r="P116" s="172">
        <f t="shared" si="20"/>
        <v>384.04843750000003</v>
      </c>
      <c r="Q116" s="172">
        <f t="shared" si="21"/>
        <v>438.91250000000002</v>
      </c>
      <c r="R116" s="172">
        <f t="shared" si="22"/>
        <v>613.11055792954789</v>
      </c>
      <c r="S116" s="106"/>
      <c r="T116" s="173">
        <f t="shared" si="23"/>
        <v>1.8064127653168748E-2</v>
      </c>
      <c r="U116" s="173">
        <f t="shared" si="24"/>
        <v>0.14414414414414414</v>
      </c>
      <c r="V116" s="173">
        <f t="shared" si="25"/>
        <v>2.6038382202765763E-3</v>
      </c>
      <c r="W116" s="173">
        <f t="shared" si="26"/>
        <v>0.875</v>
      </c>
      <c r="X116" s="167"/>
      <c r="Y116" s="106">
        <f t="shared" si="14"/>
        <v>41.90047732425014</v>
      </c>
      <c r="Z116" s="106">
        <f t="shared" si="15"/>
        <v>41.90047732425014</v>
      </c>
      <c r="AA116" s="106">
        <f t="shared" si="16"/>
        <v>20.95023866212507</v>
      </c>
      <c r="AB116" s="106">
        <f t="shared" si="17"/>
        <v>62.850715986375207</v>
      </c>
      <c r="AC116" s="106">
        <f t="shared" si="18"/>
        <v>20.95023866212507</v>
      </c>
      <c r="AD116" s="106">
        <f t="shared" si="19"/>
        <v>20.95023866212507</v>
      </c>
    </row>
    <row r="117" spans="1:30" x14ac:dyDescent="0.25">
      <c r="A117" s="122">
        <v>11961</v>
      </c>
      <c r="B117" s="153">
        <v>119</v>
      </c>
      <c r="C117" s="154">
        <v>8</v>
      </c>
      <c r="D117" s="154">
        <v>59787</v>
      </c>
      <c r="E117" s="154">
        <v>141</v>
      </c>
      <c r="F117" s="154">
        <v>133</v>
      </c>
      <c r="G117" s="154">
        <v>16</v>
      </c>
      <c r="H117" s="154">
        <v>15</v>
      </c>
      <c r="I117" s="155">
        <v>3</v>
      </c>
      <c r="J117" s="155">
        <v>1</v>
      </c>
      <c r="K117" s="155">
        <v>3</v>
      </c>
      <c r="L117" s="155">
        <v>2</v>
      </c>
      <c r="M117" s="155">
        <v>2</v>
      </c>
      <c r="N117" s="155">
        <v>2</v>
      </c>
      <c r="O117" s="155"/>
      <c r="P117" s="172">
        <f t="shared" si="20"/>
        <v>440.584607712766</v>
      </c>
      <c r="Q117" s="172">
        <f t="shared" si="21"/>
        <v>469.95691489361707</v>
      </c>
      <c r="R117" s="172">
        <f t="shared" si="22"/>
        <v>586.8214592881601</v>
      </c>
      <c r="S117" s="106"/>
      <c r="T117" s="173">
        <f t="shared" si="23"/>
        <v>1.8866977771087361E-2</v>
      </c>
      <c r="U117" s="173">
        <f t="shared" si="24"/>
        <v>0.12030075187969924</v>
      </c>
      <c r="V117" s="173">
        <f t="shared" si="25"/>
        <v>2.2697116115593815E-3</v>
      </c>
      <c r="W117" s="173">
        <f t="shared" si="26"/>
        <v>0.9375</v>
      </c>
      <c r="X117" s="167"/>
      <c r="Y117" s="106">
        <f t="shared" si="14"/>
        <v>65.035469046071725</v>
      </c>
      <c r="Z117" s="106">
        <f t="shared" si="15"/>
        <v>21.678489682023908</v>
      </c>
      <c r="AA117" s="106">
        <f t="shared" si="16"/>
        <v>65.035469046071725</v>
      </c>
      <c r="AB117" s="106">
        <f t="shared" si="17"/>
        <v>43.356979364047817</v>
      </c>
      <c r="AC117" s="106">
        <f t="shared" si="18"/>
        <v>43.356979364047817</v>
      </c>
      <c r="AD117" s="106">
        <f t="shared" si="19"/>
        <v>43.356979364047817</v>
      </c>
    </row>
    <row r="118" spans="1:30" x14ac:dyDescent="0.25">
      <c r="A118" s="122">
        <v>11962</v>
      </c>
      <c r="B118" s="153">
        <v>119</v>
      </c>
      <c r="C118" s="154">
        <v>8</v>
      </c>
      <c r="D118" s="154">
        <v>59787</v>
      </c>
      <c r="E118" s="154">
        <v>99</v>
      </c>
      <c r="F118" s="154">
        <v>72</v>
      </c>
      <c r="G118" s="154">
        <v>16</v>
      </c>
      <c r="H118" s="154">
        <v>16</v>
      </c>
      <c r="I118" s="155">
        <v>3</v>
      </c>
      <c r="J118" s="155">
        <v>2</v>
      </c>
      <c r="K118" s="155">
        <v>2</v>
      </c>
      <c r="L118" s="155">
        <v>3</v>
      </c>
      <c r="M118" s="155">
        <v>2</v>
      </c>
      <c r="N118" s="155">
        <v>2</v>
      </c>
      <c r="O118" s="155"/>
      <c r="P118" s="172">
        <f t="shared" si="20"/>
        <v>339.69886363636363</v>
      </c>
      <c r="Q118" s="172">
        <f t="shared" si="21"/>
        <v>339.69886363636363</v>
      </c>
      <c r="R118" s="172">
        <f t="shared" si="22"/>
        <v>339.90607808463454</v>
      </c>
      <c r="S118" s="106"/>
      <c r="T118" s="173">
        <f t="shared" si="23"/>
        <v>1.3247026945657082E-2</v>
      </c>
      <c r="U118" s="173">
        <f t="shared" si="24"/>
        <v>0.22222222222222221</v>
      </c>
      <c r="V118" s="173">
        <f t="shared" si="25"/>
        <v>2.9437837657015739E-3</v>
      </c>
      <c r="W118" s="173">
        <f t="shared" si="26"/>
        <v>1</v>
      </c>
      <c r="X118" s="167"/>
      <c r="Y118" s="106">
        <f t="shared" si="14"/>
        <v>55.292764198647845</v>
      </c>
      <c r="Z118" s="106">
        <f t="shared" si="15"/>
        <v>36.861842799098561</v>
      </c>
      <c r="AA118" s="106">
        <f t="shared" si="16"/>
        <v>36.861842799098561</v>
      </c>
      <c r="AB118" s="106">
        <f t="shared" si="17"/>
        <v>55.292764198647845</v>
      </c>
      <c r="AC118" s="106">
        <f t="shared" si="18"/>
        <v>36.861842799098561</v>
      </c>
      <c r="AD118" s="106">
        <f t="shared" si="19"/>
        <v>36.861842799098561</v>
      </c>
    </row>
    <row r="119" spans="1:30" x14ac:dyDescent="0.25">
      <c r="A119" s="122">
        <v>11963</v>
      </c>
      <c r="B119" s="153">
        <v>119</v>
      </c>
      <c r="C119" s="154">
        <v>8</v>
      </c>
      <c r="D119" s="154">
        <v>59787</v>
      </c>
      <c r="E119" s="154">
        <v>144</v>
      </c>
      <c r="F119" s="154">
        <v>168</v>
      </c>
      <c r="G119" s="154">
        <v>16</v>
      </c>
      <c r="H119" s="154">
        <v>15</v>
      </c>
      <c r="I119" s="155">
        <v>2</v>
      </c>
      <c r="J119" s="155">
        <v>3</v>
      </c>
      <c r="K119" s="155">
        <v>1</v>
      </c>
      <c r="L119" s="155">
        <v>3</v>
      </c>
      <c r="M119" s="155">
        <v>2</v>
      </c>
      <c r="N119" s="155">
        <v>1</v>
      </c>
      <c r="O119" s="155"/>
      <c r="P119" s="172">
        <f t="shared" si="20"/>
        <v>544.93359375</v>
      </c>
      <c r="Q119" s="172">
        <f t="shared" si="21"/>
        <v>581.26250000000005</v>
      </c>
      <c r="R119" s="172">
        <f t="shared" si="22"/>
        <v>304.03328078393156</v>
      </c>
      <c r="S119" s="106"/>
      <c r="T119" s="173">
        <f t="shared" si="23"/>
        <v>1.9268402830046667E-2</v>
      </c>
      <c r="U119" s="173">
        <f t="shared" si="24"/>
        <v>9.5238095238095233E-2</v>
      </c>
      <c r="V119" s="173">
        <f t="shared" si="25"/>
        <v>1.8350859838139682E-3</v>
      </c>
      <c r="W119" s="173">
        <f t="shared" si="26"/>
        <v>0.9375</v>
      </c>
      <c r="X119" s="167"/>
      <c r="Y119" s="106">
        <f t="shared" si="14"/>
        <v>48.218772278024666</v>
      </c>
      <c r="Z119" s="106">
        <f t="shared" si="15"/>
        <v>72.328158417037002</v>
      </c>
      <c r="AA119" s="106">
        <f t="shared" si="16"/>
        <v>24.109386139012333</v>
      </c>
      <c r="AB119" s="106">
        <f t="shared" si="17"/>
        <v>72.328158417037002</v>
      </c>
      <c r="AC119" s="106">
        <f t="shared" si="18"/>
        <v>48.218772278024666</v>
      </c>
      <c r="AD119" s="106">
        <f t="shared" si="19"/>
        <v>24.109386139012333</v>
      </c>
    </row>
    <row r="120" spans="1:30" x14ac:dyDescent="0.25">
      <c r="A120" s="122">
        <v>11964</v>
      </c>
      <c r="B120" s="153">
        <v>119</v>
      </c>
      <c r="C120" s="154">
        <v>8</v>
      </c>
      <c r="D120" s="154">
        <v>59787</v>
      </c>
      <c r="E120" s="154">
        <v>114</v>
      </c>
      <c r="F120" s="154">
        <v>106</v>
      </c>
      <c r="G120" s="154">
        <v>16</v>
      </c>
      <c r="H120" s="154">
        <v>16</v>
      </c>
      <c r="I120" s="155">
        <v>4</v>
      </c>
      <c r="J120" s="155">
        <v>2</v>
      </c>
      <c r="K120" s="155">
        <v>1</v>
      </c>
      <c r="L120" s="155">
        <v>3</v>
      </c>
      <c r="M120" s="155">
        <v>2</v>
      </c>
      <c r="N120" s="155">
        <v>2</v>
      </c>
      <c r="O120" s="155"/>
      <c r="P120" s="172">
        <f t="shared" si="20"/>
        <v>434.30797697368428</v>
      </c>
      <c r="Q120" s="172">
        <f t="shared" si="21"/>
        <v>434.30797697368428</v>
      </c>
      <c r="R120" s="172">
        <f t="shared" si="22"/>
        <v>384.38664376520558</v>
      </c>
      <c r="S120" s="106"/>
      <c r="T120" s="173">
        <f t="shared" si="23"/>
        <v>1.525415224045361E-2</v>
      </c>
      <c r="U120" s="173">
        <f t="shared" si="24"/>
        <v>0.15094339622641509</v>
      </c>
      <c r="V120" s="173">
        <f t="shared" si="25"/>
        <v>2.3025135457288466E-3</v>
      </c>
      <c r="W120" s="173">
        <f t="shared" si="26"/>
        <v>1</v>
      </c>
      <c r="X120" s="167"/>
      <c r="Y120" s="106">
        <f t="shared" si="14"/>
        <v>83.360228116164294</v>
      </c>
      <c r="Z120" s="106">
        <f t="shared" si="15"/>
        <v>41.680114058082147</v>
      </c>
      <c r="AA120" s="106">
        <f t="shared" si="16"/>
        <v>20.840057029041073</v>
      </c>
      <c r="AB120" s="106">
        <f t="shared" si="17"/>
        <v>62.520171087123217</v>
      </c>
      <c r="AC120" s="106">
        <f t="shared" si="18"/>
        <v>41.680114058082147</v>
      </c>
      <c r="AD120" s="106">
        <f t="shared" si="19"/>
        <v>41.680114058082147</v>
      </c>
    </row>
    <row r="121" spans="1:30" x14ac:dyDescent="0.25">
      <c r="A121" s="122">
        <v>21950</v>
      </c>
      <c r="B121" s="153">
        <v>219</v>
      </c>
      <c r="C121" s="154">
        <v>5</v>
      </c>
      <c r="D121" s="154">
        <v>65022</v>
      </c>
      <c r="E121" s="154">
        <v>128</v>
      </c>
      <c r="F121" s="154">
        <v>126</v>
      </c>
      <c r="G121" s="154">
        <v>16</v>
      </c>
      <c r="H121" s="154">
        <v>15</v>
      </c>
      <c r="I121" s="155">
        <v>4</v>
      </c>
      <c r="J121" s="155">
        <v>1</v>
      </c>
      <c r="K121" s="155">
        <v>2</v>
      </c>
      <c r="L121" s="155">
        <v>3</v>
      </c>
      <c r="M121" s="155">
        <v>2</v>
      </c>
      <c r="N121" s="155">
        <v>2</v>
      </c>
      <c r="O121" s="155"/>
      <c r="P121" s="172">
        <f t="shared" si="20"/>
        <v>800.07539062499995</v>
      </c>
      <c r="Q121" s="172">
        <f t="shared" si="21"/>
        <v>853.41374999999994</v>
      </c>
      <c r="R121" s="172">
        <f t="shared" si="22"/>
        <v>1178.4339297665981</v>
      </c>
      <c r="S121" s="106"/>
      <c r="T121" s="173">
        <f t="shared" si="23"/>
        <v>9.8428224293316113E-3</v>
      </c>
      <c r="U121" s="173">
        <f t="shared" si="24"/>
        <v>0.12698412698412698</v>
      </c>
      <c r="V121" s="173">
        <f t="shared" si="25"/>
        <v>1.2498822132484585E-3</v>
      </c>
      <c r="W121" s="173">
        <f t="shared" si="26"/>
        <v>0.9375</v>
      </c>
      <c r="X121" s="167"/>
      <c r="Y121" s="106">
        <f t="shared" si="14"/>
        <v>116.85298455751996</v>
      </c>
      <c r="Z121" s="106">
        <f t="shared" si="15"/>
        <v>29.21324613937999</v>
      </c>
      <c r="AA121" s="106">
        <f t="shared" si="16"/>
        <v>58.42649227875998</v>
      </c>
      <c r="AB121" s="106">
        <f t="shared" si="17"/>
        <v>87.63973841813997</v>
      </c>
      <c r="AC121" s="106">
        <f t="shared" si="18"/>
        <v>58.42649227875998</v>
      </c>
      <c r="AD121" s="106">
        <f t="shared" si="19"/>
        <v>58.42649227875998</v>
      </c>
    </row>
    <row r="122" spans="1:30" x14ac:dyDescent="0.25">
      <c r="A122" s="122">
        <v>21951</v>
      </c>
      <c r="B122" s="153">
        <v>219</v>
      </c>
      <c r="C122" s="154">
        <v>5</v>
      </c>
      <c r="D122" s="154">
        <v>65022</v>
      </c>
      <c r="E122" s="154">
        <v>83</v>
      </c>
      <c r="F122" s="154">
        <v>97</v>
      </c>
      <c r="G122" s="154">
        <v>16</v>
      </c>
      <c r="H122" s="154">
        <v>16</v>
      </c>
      <c r="I122" s="155">
        <v>4</v>
      </c>
      <c r="J122" s="155">
        <v>2</v>
      </c>
      <c r="K122" s="155">
        <v>2</v>
      </c>
      <c r="L122" s="155">
        <v>4</v>
      </c>
      <c r="M122" s="155">
        <v>2</v>
      </c>
      <c r="N122" s="155">
        <v>2</v>
      </c>
      <c r="O122" s="155"/>
      <c r="P122" s="172">
        <f t="shared" si="20"/>
        <v>949.86957831325299</v>
      </c>
      <c r="Q122" s="172">
        <f t="shared" si="21"/>
        <v>949.86957831325299</v>
      </c>
      <c r="R122" s="172">
        <f t="shared" si="22"/>
        <v>1442.3660303945799</v>
      </c>
      <c r="S122" s="106"/>
      <c r="T122" s="173">
        <f t="shared" si="23"/>
        <v>6.3824551690197162E-3</v>
      </c>
      <c r="U122" s="173">
        <f t="shared" si="24"/>
        <v>0.16494845360824742</v>
      </c>
      <c r="V122" s="173">
        <f t="shared" si="25"/>
        <v>1.0527761103537676E-3</v>
      </c>
      <c r="W122" s="173">
        <f t="shared" si="26"/>
        <v>1</v>
      </c>
      <c r="X122" s="167"/>
      <c r="Y122" s="106">
        <f t="shared" si="14"/>
        <v>123.27981689235286</v>
      </c>
      <c r="Z122" s="106">
        <f t="shared" si="15"/>
        <v>61.639908446176428</v>
      </c>
      <c r="AA122" s="106">
        <f t="shared" si="16"/>
        <v>61.639908446176428</v>
      </c>
      <c r="AB122" s="106">
        <f t="shared" si="17"/>
        <v>123.27981689235286</v>
      </c>
      <c r="AC122" s="106">
        <f t="shared" si="18"/>
        <v>61.639908446176428</v>
      </c>
      <c r="AD122" s="106">
        <f t="shared" si="19"/>
        <v>61.639908446176428</v>
      </c>
    </row>
    <row r="123" spans="1:30" x14ac:dyDescent="0.25">
      <c r="A123" s="122">
        <v>21952</v>
      </c>
      <c r="B123" s="153">
        <v>219</v>
      </c>
      <c r="C123" s="154">
        <v>5</v>
      </c>
      <c r="D123" s="154">
        <v>65022</v>
      </c>
      <c r="E123" s="154">
        <v>133</v>
      </c>
      <c r="F123" s="154">
        <v>133</v>
      </c>
      <c r="G123" s="154">
        <v>16</v>
      </c>
      <c r="H123" s="154">
        <v>16</v>
      </c>
      <c r="I123" s="155">
        <v>3</v>
      </c>
      <c r="J123" s="155">
        <v>2</v>
      </c>
      <c r="K123" s="155">
        <v>2</v>
      </c>
      <c r="L123" s="155">
        <v>3</v>
      </c>
      <c r="M123" s="155">
        <v>2</v>
      </c>
      <c r="N123" s="155">
        <v>2</v>
      </c>
      <c r="O123" s="155"/>
      <c r="P123" s="172">
        <f t="shared" si="20"/>
        <v>812.77499999999998</v>
      </c>
      <c r="Q123" s="172">
        <f t="shared" si="21"/>
        <v>812.77499999999998</v>
      </c>
      <c r="R123" s="172">
        <f t="shared" si="22"/>
        <v>813.2707883031768</v>
      </c>
      <c r="S123" s="106"/>
      <c r="T123" s="173">
        <f t="shared" si="23"/>
        <v>1.0227307680477377E-2</v>
      </c>
      <c r="U123" s="173">
        <f t="shared" si="24"/>
        <v>0.12030075187969924</v>
      </c>
      <c r="V123" s="173">
        <f t="shared" si="25"/>
        <v>1.2303528036664514E-3</v>
      </c>
      <c r="W123" s="173">
        <f t="shared" si="26"/>
        <v>1</v>
      </c>
      <c r="X123" s="167"/>
      <c r="Y123" s="106">
        <f t="shared" si="14"/>
        <v>85.527627115453171</v>
      </c>
      <c r="Z123" s="106">
        <f t="shared" si="15"/>
        <v>57.018418076968779</v>
      </c>
      <c r="AA123" s="106">
        <f t="shared" si="16"/>
        <v>57.018418076968779</v>
      </c>
      <c r="AB123" s="106">
        <f t="shared" si="17"/>
        <v>85.527627115453171</v>
      </c>
      <c r="AC123" s="106">
        <f t="shared" si="18"/>
        <v>57.018418076968779</v>
      </c>
      <c r="AD123" s="106">
        <f t="shared" si="19"/>
        <v>57.018418076968779</v>
      </c>
    </row>
    <row r="124" spans="1:30" x14ac:dyDescent="0.25">
      <c r="A124" s="122">
        <v>21953</v>
      </c>
      <c r="B124" s="153">
        <v>219</v>
      </c>
      <c r="C124" s="154">
        <v>5</v>
      </c>
      <c r="D124" s="154">
        <v>65022</v>
      </c>
      <c r="E124" s="154">
        <v>129</v>
      </c>
      <c r="F124" s="154">
        <v>157</v>
      </c>
      <c r="G124" s="154">
        <v>16</v>
      </c>
      <c r="H124" s="154">
        <v>15</v>
      </c>
      <c r="I124" s="155">
        <v>3</v>
      </c>
      <c r="J124" s="155">
        <v>1</v>
      </c>
      <c r="K124" s="155">
        <v>1</v>
      </c>
      <c r="L124" s="155">
        <v>3</v>
      </c>
      <c r="M124" s="154">
        <v>2</v>
      </c>
      <c r="N124" s="154">
        <v>1</v>
      </c>
      <c r="O124" s="154"/>
      <c r="P124" s="172">
        <f t="shared" si="20"/>
        <v>989.19127906976735</v>
      </c>
      <c r="Q124" s="172">
        <f t="shared" si="21"/>
        <v>1055.1373643410852</v>
      </c>
      <c r="R124" s="172">
        <f t="shared" si="22"/>
        <v>1069.2587361330845</v>
      </c>
      <c r="S124" s="106"/>
      <c r="T124" s="173">
        <f t="shared" si="23"/>
        <v>9.9197194795607648E-3</v>
      </c>
      <c r="U124" s="173">
        <f t="shared" si="24"/>
        <v>0.10191082802547771</v>
      </c>
      <c r="V124" s="173">
        <f t="shared" si="25"/>
        <v>1.0109268259424983E-3</v>
      </c>
      <c r="W124" s="173">
        <f t="shared" si="26"/>
        <v>0.9375</v>
      </c>
      <c r="X124" s="167"/>
      <c r="Y124" s="106">
        <f t="shared" si="14"/>
        <v>97.448634054407194</v>
      </c>
      <c r="Z124" s="106">
        <f t="shared" si="15"/>
        <v>32.482878018135729</v>
      </c>
      <c r="AA124" s="106">
        <f t="shared" si="16"/>
        <v>32.482878018135729</v>
      </c>
      <c r="AB124" s="106">
        <f t="shared" si="17"/>
        <v>97.448634054407194</v>
      </c>
      <c r="AC124" s="106">
        <f t="shared" si="18"/>
        <v>64.965756036271458</v>
      </c>
      <c r="AD124" s="106">
        <f t="shared" si="19"/>
        <v>32.482878018135729</v>
      </c>
    </row>
    <row r="125" spans="1:30" x14ac:dyDescent="0.25">
      <c r="A125" s="122">
        <v>21954</v>
      </c>
      <c r="B125" s="153">
        <v>219</v>
      </c>
      <c r="C125" s="154">
        <v>5</v>
      </c>
      <c r="D125" s="154">
        <v>65022</v>
      </c>
      <c r="E125" s="154">
        <v>145</v>
      </c>
      <c r="F125" s="154">
        <v>143</v>
      </c>
      <c r="G125" s="154">
        <v>16</v>
      </c>
      <c r="H125" s="154">
        <v>14</v>
      </c>
      <c r="I125" s="155">
        <v>3</v>
      </c>
      <c r="J125" s="155">
        <v>2</v>
      </c>
      <c r="K125" s="155">
        <v>2</v>
      </c>
      <c r="L125" s="155">
        <v>3</v>
      </c>
      <c r="M125" s="155">
        <v>2</v>
      </c>
      <c r="N125" s="155">
        <v>2</v>
      </c>
      <c r="O125" s="155"/>
      <c r="P125" s="172">
        <f t="shared" si="20"/>
        <v>801.56431034482762</v>
      </c>
      <c r="Q125" s="172">
        <f t="shared" si="21"/>
        <v>916.07349753694587</v>
      </c>
      <c r="R125" s="172">
        <f t="shared" si="22"/>
        <v>916.63229735845755</v>
      </c>
      <c r="S125" s="106"/>
      <c r="T125" s="173">
        <f t="shared" si="23"/>
        <v>1.1150072283227215E-2</v>
      </c>
      <c r="U125" s="173">
        <f t="shared" si="24"/>
        <v>0.11188811188811189</v>
      </c>
      <c r="V125" s="173">
        <f t="shared" si="25"/>
        <v>1.2475605351862618E-3</v>
      </c>
      <c r="W125" s="173">
        <f t="shared" si="26"/>
        <v>0.875</v>
      </c>
      <c r="X125" s="167"/>
      <c r="Y125" s="106">
        <f t="shared" si="14"/>
        <v>90.800118269925804</v>
      </c>
      <c r="Z125" s="106">
        <f t="shared" si="15"/>
        <v>60.533412179950531</v>
      </c>
      <c r="AA125" s="106">
        <f t="shared" si="16"/>
        <v>60.533412179950531</v>
      </c>
      <c r="AB125" s="106">
        <f t="shared" si="17"/>
        <v>90.800118269925804</v>
      </c>
      <c r="AC125" s="106">
        <f t="shared" si="18"/>
        <v>60.533412179950531</v>
      </c>
      <c r="AD125" s="106">
        <f t="shared" si="19"/>
        <v>60.533412179950531</v>
      </c>
    </row>
    <row r="126" spans="1:30" x14ac:dyDescent="0.25">
      <c r="A126" s="122">
        <v>12065</v>
      </c>
      <c r="B126" s="153">
        <v>120</v>
      </c>
      <c r="C126" s="154">
        <v>5</v>
      </c>
      <c r="D126" s="154">
        <v>25002</v>
      </c>
      <c r="E126" s="154">
        <v>120</v>
      </c>
      <c r="F126" s="154">
        <v>136</v>
      </c>
      <c r="G126" s="154">
        <v>16</v>
      </c>
      <c r="H126" s="154">
        <v>16</v>
      </c>
      <c r="I126" s="155">
        <v>4</v>
      </c>
      <c r="J126" s="155">
        <v>3</v>
      </c>
      <c r="K126" s="155">
        <v>1</v>
      </c>
      <c r="L126" s="155">
        <v>3</v>
      </c>
      <c r="M126" s="155">
        <v>2</v>
      </c>
      <c r="N126" s="155">
        <v>2</v>
      </c>
      <c r="O126" s="155"/>
      <c r="P126" s="172">
        <f t="shared" si="20"/>
        <v>354.19499999999999</v>
      </c>
      <c r="Q126" s="172">
        <f t="shared" si="21"/>
        <v>354.19499999999999</v>
      </c>
      <c r="R126" s="172">
        <f t="shared" si="22"/>
        <v>274.48905041275594</v>
      </c>
      <c r="S126" s="106"/>
      <c r="T126" s="173">
        <f t="shared" si="23"/>
        <v>2.3998080153587713E-2</v>
      </c>
      <c r="U126" s="173">
        <f t="shared" si="24"/>
        <v>0.11764705882352941</v>
      </c>
      <c r="V126" s="173">
        <f t="shared" si="25"/>
        <v>2.8233035474809075E-3</v>
      </c>
      <c r="W126" s="173">
        <f t="shared" si="26"/>
        <v>1</v>
      </c>
      <c r="X126" s="167"/>
      <c r="Y126" s="106">
        <f t="shared" si="14"/>
        <v>75.280276301299537</v>
      </c>
      <c r="Z126" s="106">
        <f t="shared" si="15"/>
        <v>56.460207225974656</v>
      </c>
      <c r="AA126" s="106">
        <f t="shared" si="16"/>
        <v>18.820069075324884</v>
      </c>
      <c r="AB126" s="106">
        <f t="shared" si="17"/>
        <v>56.460207225974656</v>
      </c>
      <c r="AC126" s="106">
        <f t="shared" si="18"/>
        <v>37.640138150649769</v>
      </c>
      <c r="AD126" s="106">
        <f t="shared" si="19"/>
        <v>37.640138150649769</v>
      </c>
    </row>
    <row r="127" spans="1:30" x14ac:dyDescent="0.25">
      <c r="A127" s="122">
        <v>12066</v>
      </c>
      <c r="B127" s="153">
        <v>120</v>
      </c>
      <c r="C127" s="154">
        <v>5</v>
      </c>
      <c r="D127" s="154">
        <v>25002</v>
      </c>
      <c r="E127" s="154">
        <v>134</v>
      </c>
      <c r="F127" s="154">
        <v>186</v>
      </c>
      <c r="G127" s="154">
        <v>16</v>
      </c>
      <c r="H127" s="154">
        <v>14</v>
      </c>
      <c r="I127" s="155">
        <v>5</v>
      </c>
      <c r="J127" s="155">
        <v>3</v>
      </c>
      <c r="K127" s="155">
        <v>1</v>
      </c>
      <c r="L127" s="155">
        <v>4</v>
      </c>
      <c r="M127" s="155">
        <v>2</v>
      </c>
      <c r="N127" s="155">
        <v>2</v>
      </c>
      <c r="O127" s="155"/>
      <c r="P127" s="172">
        <f t="shared" si="20"/>
        <v>433.80335820895516</v>
      </c>
      <c r="Q127" s="172">
        <f t="shared" si="21"/>
        <v>495.77526652452019</v>
      </c>
      <c r="R127" s="172">
        <f t="shared" si="22"/>
        <v>640.96028413945021</v>
      </c>
      <c r="S127" s="106"/>
      <c r="T127" s="173">
        <f t="shared" si="23"/>
        <v>2.679785617150628E-2</v>
      </c>
      <c r="U127" s="173">
        <f t="shared" si="24"/>
        <v>8.6021505376344093E-2</v>
      </c>
      <c r="V127" s="173">
        <f t="shared" si="25"/>
        <v>2.3051919287317233E-3</v>
      </c>
      <c r="W127" s="173">
        <f t="shared" si="26"/>
        <v>0.875</v>
      </c>
      <c r="X127" s="167"/>
      <c r="Y127" s="106">
        <f t="shared" si="14"/>
        <v>111.33005732107122</v>
      </c>
      <c r="Z127" s="106">
        <f t="shared" si="15"/>
        <v>66.798034392642734</v>
      </c>
      <c r="AA127" s="106">
        <f t="shared" si="16"/>
        <v>22.266011464214245</v>
      </c>
      <c r="AB127" s="106">
        <f t="shared" si="17"/>
        <v>89.064045856856978</v>
      </c>
      <c r="AC127" s="106">
        <f t="shared" si="18"/>
        <v>44.532022928428489</v>
      </c>
      <c r="AD127" s="106">
        <f t="shared" si="19"/>
        <v>44.532022928428489</v>
      </c>
    </row>
    <row r="128" spans="1:30" x14ac:dyDescent="0.25">
      <c r="A128" s="122">
        <v>12067</v>
      </c>
      <c r="B128" s="153">
        <v>120</v>
      </c>
      <c r="C128" s="154">
        <v>5</v>
      </c>
      <c r="D128" s="154">
        <v>25002</v>
      </c>
      <c r="E128" s="154">
        <v>100</v>
      </c>
      <c r="F128" s="154">
        <v>108</v>
      </c>
      <c r="G128" s="154">
        <v>16</v>
      </c>
      <c r="H128" s="154">
        <v>12</v>
      </c>
      <c r="I128" s="155">
        <v>4</v>
      </c>
      <c r="J128" s="155">
        <v>2</v>
      </c>
      <c r="K128" s="155">
        <v>2</v>
      </c>
      <c r="L128" s="155">
        <v>4</v>
      </c>
      <c r="M128" s="155">
        <v>2</v>
      </c>
      <c r="N128" s="155">
        <v>2</v>
      </c>
      <c r="O128" s="155"/>
      <c r="P128" s="172">
        <f t="shared" si="20"/>
        <v>337.52700000000004</v>
      </c>
      <c r="Q128" s="172">
        <f t="shared" si="21"/>
        <v>450.03600000000006</v>
      </c>
      <c r="R128" s="172">
        <f t="shared" si="22"/>
        <v>683.37449021931536</v>
      </c>
      <c r="S128" s="106"/>
      <c r="T128" s="173">
        <f t="shared" si="23"/>
        <v>1.9998400127989761E-2</v>
      </c>
      <c r="U128" s="173">
        <f t="shared" si="24"/>
        <v>0.14814814814814814</v>
      </c>
      <c r="V128" s="173">
        <f t="shared" si="25"/>
        <v>2.9627259448873717E-3</v>
      </c>
      <c r="W128" s="173">
        <f t="shared" si="26"/>
        <v>0.75</v>
      </c>
      <c r="X128" s="167"/>
      <c r="Y128" s="106">
        <f t="shared" si="14"/>
        <v>84.856207787055865</v>
      </c>
      <c r="Z128" s="106">
        <f t="shared" si="15"/>
        <v>42.428103893527933</v>
      </c>
      <c r="AA128" s="106">
        <f t="shared" si="16"/>
        <v>42.428103893527933</v>
      </c>
      <c r="AB128" s="106">
        <f t="shared" si="17"/>
        <v>84.856207787055865</v>
      </c>
      <c r="AC128" s="106">
        <f t="shared" si="18"/>
        <v>42.428103893527933</v>
      </c>
      <c r="AD128" s="106">
        <f t="shared" si="19"/>
        <v>42.428103893527933</v>
      </c>
    </row>
    <row r="129" spans="1:30" x14ac:dyDescent="0.25">
      <c r="A129" s="122">
        <v>12068</v>
      </c>
      <c r="B129" s="153">
        <v>120</v>
      </c>
      <c r="C129" s="154">
        <v>5</v>
      </c>
      <c r="D129" s="154">
        <v>25002</v>
      </c>
      <c r="E129" s="154">
        <v>145</v>
      </c>
      <c r="F129" s="154">
        <v>208</v>
      </c>
      <c r="G129" s="154">
        <v>16</v>
      </c>
      <c r="H129" s="154">
        <v>12</v>
      </c>
      <c r="I129" s="155">
        <v>3</v>
      </c>
      <c r="J129" s="155">
        <v>3</v>
      </c>
      <c r="K129" s="155">
        <v>1</v>
      </c>
      <c r="L129" s="155">
        <v>4</v>
      </c>
      <c r="M129" s="155">
        <v>2</v>
      </c>
      <c r="N129" s="155">
        <v>2</v>
      </c>
      <c r="O129" s="155"/>
      <c r="P129" s="172">
        <f t="shared" si="20"/>
        <v>448.31172413793104</v>
      </c>
      <c r="Q129" s="172">
        <f t="shared" si="21"/>
        <v>597.74896551724134</v>
      </c>
      <c r="R129" s="172">
        <f t="shared" si="22"/>
        <v>449.83552164283651</v>
      </c>
      <c r="S129" s="106"/>
      <c r="T129" s="173">
        <f t="shared" si="23"/>
        <v>2.8997680185585153E-2</v>
      </c>
      <c r="U129" s="173">
        <f t="shared" si="24"/>
        <v>7.6923076923076927E-2</v>
      </c>
      <c r="V129" s="173">
        <f t="shared" si="25"/>
        <v>2.2305907835065502E-3</v>
      </c>
      <c r="W129" s="173">
        <f t="shared" si="26"/>
        <v>0.75</v>
      </c>
      <c r="X129" s="167"/>
      <c r="Y129" s="106">
        <f t="shared" si="14"/>
        <v>73.346715602371546</v>
      </c>
      <c r="Z129" s="106">
        <f t="shared" si="15"/>
        <v>73.346715602371546</v>
      </c>
      <c r="AA129" s="106">
        <f t="shared" si="16"/>
        <v>24.448905200790513</v>
      </c>
      <c r="AB129" s="106">
        <f t="shared" si="17"/>
        <v>97.795620803162052</v>
      </c>
      <c r="AC129" s="106">
        <f t="shared" si="18"/>
        <v>48.897810401581026</v>
      </c>
      <c r="AD129" s="106">
        <f t="shared" si="19"/>
        <v>48.897810401581026</v>
      </c>
    </row>
    <row r="130" spans="1:30" x14ac:dyDescent="0.25">
      <c r="A130" s="122">
        <v>12069</v>
      </c>
      <c r="B130" s="153">
        <v>120</v>
      </c>
      <c r="C130" s="154">
        <v>5</v>
      </c>
      <c r="D130" s="154">
        <v>25002</v>
      </c>
      <c r="E130" s="154">
        <v>172</v>
      </c>
      <c r="F130" s="154">
        <v>132</v>
      </c>
      <c r="G130" s="154">
        <v>16</v>
      </c>
      <c r="H130" s="154">
        <v>14</v>
      </c>
      <c r="I130" s="155">
        <v>2</v>
      </c>
      <c r="J130" s="155">
        <v>2</v>
      </c>
      <c r="K130" s="155">
        <v>2</v>
      </c>
      <c r="L130" s="155">
        <v>2</v>
      </c>
      <c r="M130" s="155">
        <v>2</v>
      </c>
      <c r="N130" s="155">
        <v>2</v>
      </c>
      <c r="O130" s="155"/>
      <c r="P130" s="172">
        <f t="shared" si="20"/>
        <v>239.84476744186048</v>
      </c>
      <c r="Q130" s="172">
        <f t="shared" si="21"/>
        <v>274.10830564784055</v>
      </c>
      <c r="R130" s="172">
        <f t="shared" si="22"/>
        <v>132.32071077179958</v>
      </c>
      <c r="S130" s="106"/>
      <c r="T130" s="173">
        <f t="shared" si="23"/>
        <v>3.4397248220142389E-2</v>
      </c>
      <c r="U130" s="173">
        <f t="shared" si="24"/>
        <v>0.12121212121212122</v>
      </c>
      <c r="V130" s="173">
        <f t="shared" si="25"/>
        <v>4.1693634206233197E-3</v>
      </c>
      <c r="W130" s="173">
        <f t="shared" si="26"/>
        <v>0.875</v>
      </c>
      <c r="X130" s="167"/>
      <c r="Y130" s="106">
        <f t="shared" si="14"/>
        <v>33.112433051519517</v>
      </c>
      <c r="Z130" s="106">
        <f t="shared" si="15"/>
        <v>33.112433051519517</v>
      </c>
      <c r="AA130" s="106">
        <f t="shared" si="16"/>
        <v>33.112433051519517</v>
      </c>
      <c r="AB130" s="106">
        <f t="shared" si="17"/>
        <v>33.112433051519517</v>
      </c>
      <c r="AC130" s="106">
        <f t="shared" si="18"/>
        <v>33.112433051519517</v>
      </c>
      <c r="AD130" s="106">
        <f t="shared" si="19"/>
        <v>33.112433051519517</v>
      </c>
    </row>
    <row r="131" spans="1:30" x14ac:dyDescent="0.25">
      <c r="A131" s="122">
        <v>22055</v>
      </c>
      <c r="B131" s="153">
        <v>220</v>
      </c>
      <c r="C131" s="154">
        <v>7</v>
      </c>
      <c r="D131" s="154">
        <v>162763</v>
      </c>
      <c r="E131" s="154">
        <v>115</v>
      </c>
      <c r="F131" s="154">
        <v>121</v>
      </c>
      <c r="G131" s="154">
        <v>16</v>
      </c>
      <c r="H131" s="154">
        <v>13</v>
      </c>
      <c r="I131" s="155">
        <v>1</v>
      </c>
      <c r="J131" s="155">
        <v>2</v>
      </c>
      <c r="K131" s="155">
        <v>2</v>
      </c>
      <c r="L131" s="155">
        <v>3</v>
      </c>
      <c r="M131" s="155">
        <v>1</v>
      </c>
      <c r="N131" s="155">
        <v>3</v>
      </c>
      <c r="O131" s="155"/>
      <c r="P131" s="172">
        <f t="shared" si="20"/>
        <v>1529.0623447204969</v>
      </c>
      <c r="Q131" s="172">
        <f t="shared" si="21"/>
        <v>1881.9228858098422</v>
      </c>
      <c r="R131" s="172">
        <f t="shared" si="22"/>
        <v>1760.8551682139644</v>
      </c>
      <c r="S131" s="106"/>
      <c r="T131" s="173">
        <f t="shared" si="23"/>
        <v>4.9458414996037181E-3</v>
      </c>
      <c r="U131" s="173">
        <f t="shared" si="24"/>
        <v>0.13223140495867769</v>
      </c>
      <c r="V131" s="173">
        <f t="shared" si="25"/>
        <v>6.5399557019553303E-4</v>
      </c>
      <c r="W131" s="173">
        <f t="shared" si="26"/>
        <v>0.8125</v>
      </c>
      <c r="X131" s="167"/>
      <c r="Y131" s="106">
        <f t="shared" si="14"/>
        <v>43.38113513740555</v>
      </c>
      <c r="Z131" s="106">
        <f t="shared" si="15"/>
        <v>86.762270274811101</v>
      </c>
      <c r="AA131" s="106">
        <f t="shared" si="16"/>
        <v>86.762270274811101</v>
      </c>
      <c r="AB131" s="106">
        <f t="shared" si="17"/>
        <v>130.14340541221665</v>
      </c>
      <c r="AC131" s="106">
        <f t="shared" si="18"/>
        <v>43.38113513740555</v>
      </c>
      <c r="AD131" s="106">
        <f t="shared" si="19"/>
        <v>130.14340541221665</v>
      </c>
    </row>
    <row r="132" spans="1:30" x14ac:dyDescent="0.25">
      <c r="A132" s="122">
        <v>22056</v>
      </c>
      <c r="B132" s="153">
        <v>220</v>
      </c>
      <c r="C132" s="154">
        <v>7</v>
      </c>
      <c r="D132" s="154">
        <v>162763</v>
      </c>
      <c r="E132" s="154">
        <v>143</v>
      </c>
      <c r="F132" s="154">
        <v>221</v>
      </c>
      <c r="G132" s="154">
        <v>16</v>
      </c>
      <c r="H132" s="154">
        <v>15</v>
      </c>
      <c r="I132" s="155">
        <v>2</v>
      </c>
      <c r="J132" s="155">
        <v>1</v>
      </c>
      <c r="K132" s="155">
        <v>2</v>
      </c>
      <c r="L132" s="155">
        <v>2</v>
      </c>
      <c r="M132" s="155">
        <v>2</v>
      </c>
      <c r="N132" s="155">
        <v>2</v>
      </c>
      <c r="O132" s="155"/>
      <c r="P132" s="172">
        <f t="shared" si="20"/>
        <v>2245.918019480519</v>
      </c>
      <c r="Q132" s="172">
        <f t="shared" si="21"/>
        <v>2395.6458874458867</v>
      </c>
      <c r="R132" s="172">
        <f t="shared" si="22"/>
        <v>1420.1892724866486</v>
      </c>
      <c r="S132" s="106"/>
      <c r="T132" s="173">
        <f t="shared" si="23"/>
        <v>6.1500463864637544E-3</v>
      </c>
      <c r="U132" s="173">
        <f t="shared" si="24"/>
        <v>7.2398190045248875E-2</v>
      </c>
      <c r="V132" s="173">
        <f t="shared" si="25"/>
        <v>4.4525222707429902E-4</v>
      </c>
      <c r="W132" s="173">
        <f t="shared" si="26"/>
        <v>0.9375</v>
      </c>
      <c r="X132" s="167"/>
      <c r="Y132" s="106">
        <f t="shared" si="14"/>
        <v>97.890671413488363</v>
      </c>
      <c r="Z132" s="106">
        <f t="shared" si="15"/>
        <v>48.945335706744181</v>
      </c>
      <c r="AA132" s="106">
        <f t="shared" si="16"/>
        <v>97.890671413488363</v>
      </c>
      <c r="AB132" s="106">
        <f t="shared" si="17"/>
        <v>97.890671413488363</v>
      </c>
      <c r="AC132" s="106">
        <f t="shared" si="18"/>
        <v>97.890671413488363</v>
      </c>
      <c r="AD132" s="106">
        <f t="shared" si="19"/>
        <v>97.890671413488363</v>
      </c>
    </row>
    <row r="133" spans="1:30" x14ac:dyDescent="0.25">
      <c r="A133" s="122">
        <v>22057</v>
      </c>
      <c r="B133" s="153">
        <v>220</v>
      </c>
      <c r="C133" s="154">
        <v>7</v>
      </c>
      <c r="D133" s="154">
        <v>162763</v>
      </c>
      <c r="E133" s="154">
        <v>104</v>
      </c>
      <c r="F133" s="154">
        <v>129</v>
      </c>
      <c r="G133" s="154">
        <v>16</v>
      </c>
      <c r="H133" s="154">
        <v>16</v>
      </c>
      <c r="I133" s="155">
        <v>5</v>
      </c>
      <c r="J133" s="155">
        <v>3</v>
      </c>
      <c r="K133" s="155">
        <v>1</v>
      </c>
      <c r="L133" s="155">
        <v>4</v>
      </c>
      <c r="M133" s="155">
        <v>2</v>
      </c>
      <c r="N133" s="155">
        <v>2</v>
      </c>
      <c r="O133" s="155"/>
      <c r="P133" s="172">
        <f t="shared" si="20"/>
        <v>1802.5778674450548</v>
      </c>
      <c r="Q133" s="172">
        <f t="shared" si="21"/>
        <v>1802.5778674450548</v>
      </c>
      <c r="R133" s="172">
        <f t="shared" si="22"/>
        <v>2330.4527275039518</v>
      </c>
      <c r="S133" s="106"/>
      <c r="T133" s="173">
        <f t="shared" si="23"/>
        <v>4.4727610083372758E-3</v>
      </c>
      <c r="U133" s="173">
        <f t="shared" si="24"/>
        <v>0.12403100775193798</v>
      </c>
      <c r="V133" s="173">
        <f t="shared" si="25"/>
        <v>5.5476105529764664E-4</v>
      </c>
      <c r="W133" s="173">
        <f t="shared" si="26"/>
        <v>1</v>
      </c>
      <c r="X133" s="167"/>
      <c r="Y133" s="106">
        <f t="shared" si="14"/>
        <v>212.28388230415982</v>
      </c>
      <c r="Z133" s="106">
        <f t="shared" si="15"/>
        <v>127.37032938249588</v>
      </c>
      <c r="AA133" s="106">
        <f t="shared" si="16"/>
        <v>42.456776460831961</v>
      </c>
      <c r="AB133" s="106">
        <f t="shared" si="17"/>
        <v>169.82710584332784</v>
      </c>
      <c r="AC133" s="106">
        <f t="shared" si="18"/>
        <v>84.913552921663921</v>
      </c>
      <c r="AD133" s="106">
        <f t="shared" si="19"/>
        <v>84.913552921663921</v>
      </c>
    </row>
    <row r="134" spans="1:30" x14ac:dyDescent="0.25">
      <c r="A134" s="122">
        <v>22058</v>
      </c>
      <c r="B134" s="153">
        <v>220</v>
      </c>
      <c r="C134" s="154">
        <v>7</v>
      </c>
      <c r="D134" s="154">
        <v>162763</v>
      </c>
      <c r="E134" s="154">
        <v>131</v>
      </c>
      <c r="F134" s="154">
        <v>194</v>
      </c>
      <c r="G134" s="154">
        <v>16</v>
      </c>
      <c r="H134" s="154">
        <v>16</v>
      </c>
      <c r="I134" s="155">
        <v>5</v>
      </c>
      <c r="J134" s="155">
        <v>3</v>
      </c>
      <c r="K134" s="155">
        <v>1</v>
      </c>
      <c r="L134" s="155">
        <v>4</v>
      </c>
      <c r="M134" s="155">
        <v>2</v>
      </c>
      <c r="N134" s="155">
        <v>2</v>
      </c>
      <c r="O134" s="155"/>
      <c r="P134" s="172">
        <f t="shared" si="20"/>
        <v>2152.1279989094878</v>
      </c>
      <c r="Q134" s="172">
        <f t="shared" si="21"/>
        <v>2152.1279989094878</v>
      </c>
      <c r="R134" s="172">
        <f t="shared" si="22"/>
        <v>2782.3666625314954</v>
      </c>
      <c r="S134" s="106"/>
      <c r="T134" s="173">
        <f t="shared" si="23"/>
        <v>5.6339585778094527E-3</v>
      </c>
      <c r="U134" s="173">
        <f t="shared" si="24"/>
        <v>8.247422680412371E-2</v>
      </c>
      <c r="V134" s="173">
        <f t="shared" si="25"/>
        <v>4.6465637755129506E-4</v>
      </c>
      <c r="W134" s="173">
        <f t="shared" si="26"/>
        <v>1</v>
      </c>
      <c r="X134" s="167"/>
      <c r="Y134" s="106">
        <f t="shared" si="14"/>
        <v>231.95516802334282</v>
      </c>
      <c r="Z134" s="106">
        <f t="shared" si="15"/>
        <v>139.17310081400569</v>
      </c>
      <c r="AA134" s="106">
        <f t="shared" si="16"/>
        <v>46.391033604668564</v>
      </c>
      <c r="AB134" s="106">
        <f t="shared" si="17"/>
        <v>185.56413441867426</v>
      </c>
      <c r="AC134" s="106">
        <f t="shared" si="18"/>
        <v>92.782067209337129</v>
      </c>
      <c r="AD134" s="106">
        <f t="shared" si="19"/>
        <v>92.782067209337129</v>
      </c>
    </row>
    <row r="135" spans="1:30" x14ac:dyDescent="0.25">
      <c r="A135" s="122">
        <v>22059</v>
      </c>
      <c r="B135" s="153">
        <v>220</v>
      </c>
      <c r="C135" s="154">
        <v>7</v>
      </c>
      <c r="D135" s="154">
        <v>162763</v>
      </c>
      <c r="E135" s="154">
        <v>126</v>
      </c>
      <c r="F135" s="154">
        <v>183</v>
      </c>
      <c r="G135" s="154">
        <v>16</v>
      </c>
      <c r="H135" s="154">
        <v>16</v>
      </c>
      <c r="I135" s="155">
        <v>5</v>
      </c>
      <c r="J135" s="155">
        <v>3</v>
      </c>
      <c r="K135" s="155">
        <v>1</v>
      </c>
      <c r="L135" s="155">
        <v>4</v>
      </c>
      <c r="M135" s="155">
        <v>2</v>
      </c>
      <c r="N135" s="155">
        <v>2</v>
      </c>
      <c r="O135" s="155"/>
      <c r="P135" s="172">
        <f t="shared" si="20"/>
        <v>2110.6596513605441</v>
      </c>
      <c r="Q135" s="172">
        <f t="shared" si="21"/>
        <v>2110.6596513605441</v>
      </c>
      <c r="R135" s="172">
        <f t="shared" si="22"/>
        <v>2728.7545410271446</v>
      </c>
      <c r="S135" s="106"/>
      <c r="T135" s="173">
        <f t="shared" si="23"/>
        <v>5.4189219908701612E-3</v>
      </c>
      <c r="U135" s="173">
        <f t="shared" si="24"/>
        <v>8.7431693989071038E-2</v>
      </c>
      <c r="V135" s="173">
        <f t="shared" si="25"/>
        <v>4.7378552925640753E-4</v>
      </c>
      <c r="W135" s="173">
        <f t="shared" si="26"/>
        <v>1</v>
      </c>
      <c r="X135" s="167"/>
      <c r="Y135" s="106">
        <f t="shared" si="14"/>
        <v>229.70958030524889</v>
      </c>
      <c r="Z135" s="106">
        <f t="shared" si="15"/>
        <v>137.82574818314936</v>
      </c>
      <c r="AA135" s="106">
        <f t="shared" si="16"/>
        <v>45.941916061049781</v>
      </c>
      <c r="AB135" s="106">
        <f t="shared" si="17"/>
        <v>183.76766424419912</v>
      </c>
      <c r="AC135" s="106">
        <f t="shared" si="18"/>
        <v>91.883832122099562</v>
      </c>
      <c r="AD135" s="106">
        <f t="shared" si="19"/>
        <v>91.883832122099562</v>
      </c>
    </row>
    <row r="136" spans="1:30" x14ac:dyDescent="0.25">
      <c r="A136" s="122">
        <v>22060</v>
      </c>
      <c r="B136" s="153">
        <v>220</v>
      </c>
      <c r="C136" s="154">
        <v>7</v>
      </c>
      <c r="D136" s="154">
        <v>162763</v>
      </c>
      <c r="E136" s="154">
        <v>92</v>
      </c>
      <c r="F136" s="154">
        <v>83</v>
      </c>
      <c r="G136" s="154">
        <v>16</v>
      </c>
      <c r="H136" s="154">
        <v>16</v>
      </c>
      <c r="I136" s="155">
        <v>5</v>
      </c>
      <c r="J136" s="155">
        <v>3</v>
      </c>
      <c r="K136" s="155">
        <v>1</v>
      </c>
      <c r="L136" s="155">
        <v>4</v>
      </c>
      <c r="M136" s="155">
        <v>2</v>
      </c>
      <c r="N136" s="155">
        <v>2</v>
      </c>
      <c r="O136" s="155"/>
      <c r="P136" s="172">
        <f t="shared" si="20"/>
        <v>1311.076184006211</v>
      </c>
      <c r="Q136" s="172">
        <f t="shared" si="21"/>
        <v>1311.076184006211</v>
      </c>
      <c r="R136" s="172">
        <f t="shared" si="22"/>
        <v>1695.0175213864263</v>
      </c>
      <c r="S136" s="106"/>
      <c r="T136" s="173">
        <f t="shared" si="23"/>
        <v>3.956673199682975E-3</v>
      </c>
      <c r="U136" s="173">
        <f t="shared" si="24"/>
        <v>0.19277108433734941</v>
      </c>
      <c r="V136" s="173">
        <f t="shared" si="25"/>
        <v>7.6273218307141687E-4</v>
      </c>
      <c r="W136" s="173">
        <f t="shared" si="26"/>
        <v>1</v>
      </c>
      <c r="X136" s="167"/>
      <c r="Y136" s="106">
        <f t="shared" ref="Y136:Y199" si="27">+SQRT($Q136)*I136</f>
        <v>181.04393002847476</v>
      </c>
      <c r="Z136" s="106">
        <f t="shared" ref="Z136:Z199" si="28">+SQRT($Q136)*J136</f>
        <v>108.62635801708487</v>
      </c>
      <c r="AA136" s="106">
        <f t="shared" ref="AA136:AA199" si="29">+SQRT($Q136)*K136</f>
        <v>36.208786005694954</v>
      </c>
      <c r="AB136" s="106">
        <f t="shared" ref="AB136:AB199" si="30">+SQRT($Q136)*L136</f>
        <v>144.83514402277982</v>
      </c>
      <c r="AC136" s="106">
        <f t="shared" ref="AC136:AC199" si="31">+SQRT($Q136)*M136</f>
        <v>72.417572011389908</v>
      </c>
      <c r="AD136" s="106">
        <f t="shared" ref="AD136:AD199" si="32">+SQRT($Q136)*N136</f>
        <v>72.417572011389908</v>
      </c>
    </row>
    <row r="137" spans="1:30" x14ac:dyDescent="0.25">
      <c r="A137" s="122">
        <v>22061</v>
      </c>
      <c r="B137" s="153">
        <v>220</v>
      </c>
      <c r="C137" s="154">
        <v>7</v>
      </c>
      <c r="D137" s="154">
        <v>162763</v>
      </c>
      <c r="E137" s="154">
        <v>111</v>
      </c>
      <c r="F137" s="154">
        <v>120</v>
      </c>
      <c r="G137" s="154">
        <v>16</v>
      </c>
      <c r="H137" s="154">
        <v>16</v>
      </c>
      <c r="I137" s="155">
        <v>5</v>
      </c>
      <c r="J137" s="155">
        <v>2</v>
      </c>
      <c r="K137" s="155">
        <v>1</v>
      </c>
      <c r="L137" s="155">
        <v>4</v>
      </c>
      <c r="M137" s="155">
        <v>3</v>
      </c>
      <c r="N137" s="155">
        <v>2</v>
      </c>
      <c r="O137" s="155"/>
      <c r="P137" s="172">
        <f t="shared" ref="P137:P200" si="33">1/V137</f>
        <v>1571.0714285714287</v>
      </c>
      <c r="Q137" s="172">
        <f t="shared" ref="Q137:Q200" si="34">+IF(W137=0,0,P137/W137)</f>
        <v>1571.0714285714287</v>
      </c>
      <c r="R137" s="172">
        <f t="shared" ref="R137:R200" si="35">+Q137*(1+SUMPRODUCT(I137:N137,AF$22:AK$22))</f>
        <v>1004.2204494597504</v>
      </c>
      <c r="S137" s="106"/>
      <c r="T137" s="173">
        <f t="shared" ref="T137:T200" si="36">+C137*E137/D137</f>
        <v>4.7738122300522842E-3</v>
      </c>
      <c r="U137" s="173">
        <f t="shared" ref="U137:U200" si="37">+G137/F137</f>
        <v>0.13333333333333333</v>
      </c>
      <c r="V137" s="173">
        <f t="shared" ref="V137:V200" si="38">+T137*U137</f>
        <v>6.3650829734030454E-4</v>
      </c>
      <c r="W137" s="173">
        <f t="shared" ref="W137:W200" si="39">+IF(G137=0,0,H137/G137)</f>
        <v>1</v>
      </c>
      <c r="X137" s="167"/>
      <c r="Y137" s="106">
        <f t="shared" si="27"/>
        <v>198.18371707656945</v>
      </c>
      <c r="Z137" s="106">
        <f t="shared" si="28"/>
        <v>79.273486830627775</v>
      </c>
      <c r="AA137" s="106">
        <f t="shared" si="29"/>
        <v>39.636743415313887</v>
      </c>
      <c r="AB137" s="106">
        <f t="shared" si="30"/>
        <v>158.54697366125555</v>
      </c>
      <c r="AC137" s="106">
        <f t="shared" si="31"/>
        <v>118.91023024594166</v>
      </c>
      <c r="AD137" s="106">
        <f t="shared" si="32"/>
        <v>79.273486830627775</v>
      </c>
    </row>
    <row r="138" spans="1:30" x14ac:dyDescent="0.25">
      <c r="A138" s="122">
        <v>12170</v>
      </c>
      <c r="B138" s="153">
        <v>121</v>
      </c>
      <c r="C138" s="154">
        <v>3</v>
      </c>
      <c r="D138" s="154">
        <v>8821</v>
      </c>
      <c r="E138" s="154">
        <v>120</v>
      </c>
      <c r="F138" s="154">
        <v>97</v>
      </c>
      <c r="G138" s="154">
        <v>16</v>
      </c>
      <c r="H138" s="154">
        <v>16</v>
      </c>
      <c r="I138" s="155">
        <v>4</v>
      </c>
      <c r="J138" s="155">
        <v>1</v>
      </c>
      <c r="K138" s="155">
        <v>2</v>
      </c>
      <c r="L138" s="155">
        <v>3</v>
      </c>
      <c r="M138" s="155">
        <v>2</v>
      </c>
      <c r="N138" s="155">
        <v>2</v>
      </c>
      <c r="O138" s="155"/>
      <c r="P138" s="172">
        <f t="shared" si="33"/>
        <v>148.54809027777776</v>
      </c>
      <c r="Q138" s="172">
        <f t="shared" si="34"/>
        <v>148.54809027777776</v>
      </c>
      <c r="R138" s="172">
        <f t="shared" si="35"/>
        <v>205.12220454072252</v>
      </c>
      <c r="S138" s="106"/>
      <c r="T138" s="173">
        <f t="shared" si="36"/>
        <v>4.0811699353814762E-2</v>
      </c>
      <c r="U138" s="173">
        <f t="shared" si="37"/>
        <v>0.16494845360824742</v>
      </c>
      <c r="V138" s="173">
        <f t="shared" si="38"/>
        <v>6.7318266975364555E-3</v>
      </c>
      <c r="W138" s="173">
        <f t="shared" si="39"/>
        <v>1</v>
      </c>
      <c r="X138" s="167"/>
      <c r="Y138" s="106">
        <f t="shared" si="27"/>
        <v>48.752122460919011</v>
      </c>
      <c r="Z138" s="106">
        <f t="shared" si="28"/>
        <v>12.188030615229753</v>
      </c>
      <c r="AA138" s="106">
        <f t="shared" si="29"/>
        <v>24.376061230459506</v>
      </c>
      <c r="AB138" s="106">
        <f t="shared" si="30"/>
        <v>36.564091845689262</v>
      </c>
      <c r="AC138" s="106">
        <f t="shared" si="31"/>
        <v>24.376061230459506</v>
      </c>
      <c r="AD138" s="106">
        <f t="shared" si="32"/>
        <v>24.376061230459506</v>
      </c>
    </row>
    <row r="139" spans="1:30" x14ac:dyDescent="0.25">
      <c r="A139" s="122">
        <v>12171</v>
      </c>
      <c r="B139" s="153">
        <v>121</v>
      </c>
      <c r="C139" s="154">
        <v>3</v>
      </c>
      <c r="D139" s="154">
        <v>8821</v>
      </c>
      <c r="E139" s="154">
        <v>123</v>
      </c>
      <c r="F139" s="154">
        <v>115</v>
      </c>
      <c r="G139" s="154">
        <v>16</v>
      </c>
      <c r="H139" s="154">
        <v>15</v>
      </c>
      <c r="I139" s="155">
        <v>3</v>
      </c>
      <c r="J139" s="155">
        <v>1</v>
      </c>
      <c r="K139" s="155">
        <v>3</v>
      </c>
      <c r="L139" s="155">
        <v>2</v>
      </c>
      <c r="M139" s="155">
        <v>2</v>
      </c>
      <c r="N139" s="155">
        <v>2</v>
      </c>
      <c r="O139" s="155"/>
      <c r="P139" s="172">
        <f t="shared" si="33"/>
        <v>171.81825880758808</v>
      </c>
      <c r="Q139" s="172">
        <f t="shared" si="34"/>
        <v>183.27280939476063</v>
      </c>
      <c r="R139" s="172">
        <f t="shared" si="35"/>
        <v>228.84739866253423</v>
      </c>
      <c r="S139" s="106"/>
      <c r="T139" s="173">
        <f t="shared" si="36"/>
        <v>4.1831991837660128E-2</v>
      </c>
      <c r="U139" s="173">
        <f t="shared" si="37"/>
        <v>0.1391304347826087</v>
      </c>
      <c r="V139" s="173">
        <f t="shared" si="38"/>
        <v>5.8201032121961921E-3</v>
      </c>
      <c r="W139" s="173">
        <f t="shared" si="39"/>
        <v>0.9375</v>
      </c>
      <c r="X139" s="167"/>
      <c r="Y139" s="106">
        <f t="shared" si="27"/>
        <v>40.613486486053439</v>
      </c>
      <c r="Z139" s="106">
        <f t="shared" si="28"/>
        <v>13.53782882868448</v>
      </c>
      <c r="AA139" s="106">
        <f t="shared" si="29"/>
        <v>40.613486486053439</v>
      </c>
      <c r="AB139" s="106">
        <f t="shared" si="30"/>
        <v>27.075657657368961</v>
      </c>
      <c r="AC139" s="106">
        <f t="shared" si="31"/>
        <v>27.075657657368961</v>
      </c>
      <c r="AD139" s="106">
        <f t="shared" si="32"/>
        <v>27.075657657368961</v>
      </c>
    </row>
    <row r="140" spans="1:30" x14ac:dyDescent="0.25">
      <c r="A140" s="122">
        <v>12172</v>
      </c>
      <c r="B140" s="153">
        <v>121</v>
      </c>
      <c r="C140" s="154">
        <v>3</v>
      </c>
      <c r="D140" s="154">
        <v>8821</v>
      </c>
      <c r="E140" s="154">
        <v>86</v>
      </c>
      <c r="F140" s="154">
        <v>105</v>
      </c>
      <c r="G140" s="154">
        <v>16</v>
      </c>
      <c r="H140" s="154">
        <v>15</v>
      </c>
      <c r="I140" s="155">
        <v>2</v>
      </c>
      <c r="J140" s="155">
        <v>3</v>
      </c>
      <c r="K140" s="155">
        <v>1</v>
      </c>
      <c r="L140" s="155">
        <v>3</v>
      </c>
      <c r="M140" s="155">
        <v>2</v>
      </c>
      <c r="N140" s="155">
        <v>1</v>
      </c>
      <c r="O140" s="155"/>
      <c r="P140" s="172">
        <f t="shared" si="33"/>
        <v>224.37136627906975</v>
      </c>
      <c r="Q140" s="172">
        <f t="shared" si="34"/>
        <v>239.32945736434107</v>
      </c>
      <c r="R140" s="172">
        <f t="shared" si="35"/>
        <v>125.18289088100244</v>
      </c>
      <c r="S140" s="106"/>
      <c r="T140" s="173">
        <f t="shared" si="36"/>
        <v>2.9248384536900578E-2</v>
      </c>
      <c r="U140" s="173">
        <f t="shared" si="37"/>
        <v>0.15238095238095239</v>
      </c>
      <c r="V140" s="173">
        <f t="shared" si="38"/>
        <v>4.4568966913372315E-3</v>
      </c>
      <c r="W140" s="173">
        <f t="shared" si="39"/>
        <v>0.9375</v>
      </c>
      <c r="X140" s="167"/>
      <c r="Y140" s="106">
        <f t="shared" si="27"/>
        <v>30.940553153706936</v>
      </c>
      <c r="Z140" s="106">
        <f t="shared" si="28"/>
        <v>46.410829730560408</v>
      </c>
      <c r="AA140" s="106">
        <f t="shared" si="29"/>
        <v>15.470276576853468</v>
      </c>
      <c r="AB140" s="106">
        <f t="shared" si="30"/>
        <v>46.410829730560408</v>
      </c>
      <c r="AC140" s="106">
        <f t="shared" si="31"/>
        <v>30.940553153706936</v>
      </c>
      <c r="AD140" s="106">
        <f t="shared" si="32"/>
        <v>15.470276576853468</v>
      </c>
    </row>
    <row r="141" spans="1:30" x14ac:dyDescent="0.25">
      <c r="A141" s="122">
        <v>22162</v>
      </c>
      <c r="B141" s="153">
        <v>221</v>
      </c>
      <c r="C141" s="154">
        <v>4</v>
      </c>
      <c r="D141" s="154">
        <v>44244</v>
      </c>
      <c r="E141" s="154">
        <v>79</v>
      </c>
      <c r="F141" s="154">
        <v>91</v>
      </c>
      <c r="G141" s="154">
        <v>16</v>
      </c>
      <c r="H141" s="154">
        <v>16</v>
      </c>
      <c r="I141" s="155">
        <v>5</v>
      </c>
      <c r="J141" s="155">
        <v>2</v>
      </c>
      <c r="K141" s="155">
        <v>1</v>
      </c>
      <c r="L141" s="155">
        <v>4</v>
      </c>
      <c r="M141" s="155">
        <v>3</v>
      </c>
      <c r="N141" s="155">
        <v>2</v>
      </c>
      <c r="O141" s="155"/>
      <c r="P141" s="172">
        <f t="shared" si="33"/>
        <v>796.32199367088594</v>
      </c>
      <c r="Q141" s="172">
        <f t="shared" si="34"/>
        <v>796.32199367088594</v>
      </c>
      <c r="R141" s="172">
        <f t="shared" si="35"/>
        <v>509.00475678945497</v>
      </c>
      <c r="S141" s="106"/>
      <c r="T141" s="173">
        <f t="shared" si="36"/>
        <v>7.1422113732935539E-3</v>
      </c>
      <c r="U141" s="173">
        <f t="shared" si="37"/>
        <v>0.17582417582417584</v>
      </c>
      <c r="V141" s="173">
        <f t="shared" si="38"/>
        <v>1.2557734282713942E-3</v>
      </c>
      <c r="W141" s="173">
        <f t="shared" si="39"/>
        <v>1</v>
      </c>
      <c r="X141" s="167"/>
      <c r="Y141" s="106">
        <f t="shared" si="27"/>
        <v>141.09588881952638</v>
      </c>
      <c r="Z141" s="106">
        <f t="shared" si="28"/>
        <v>56.43835552781055</v>
      </c>
      <c r="AA141" s="106">
        <f t="shared" si="29"/>
        <v>28.219177763905275</v>
      </c>
      <c r="AB141" s="106">
        <f t="shared" si="30"/>
        <v>112.8767110556211</v>
      </c>
      <c r="AC141" s="106">
        <f t="shared" si="31"/>
        <v>84.657533291715822</v>
      </c>
      <c r="AD141" s="106">
        <f t="shared" si="32"/>
        <v>56.43835552781055</v>
      </c>
    </row>
    <row r="142" spans="1:30" x14ac:dyDescent="0.25">
      <c r="A142" s="122">
        <v>22163</v>
      </c>
      <c r="B142" s="153">
        <v>221</v>
      </c>
      <c r="C142" s="154">
        <v>4</v>
      </c>
      <c r="D142" s="154">
        <v>44244</v>
      </c>
      <c r="E142" s="154">
        <v>72</v>
      </c>
      <c r="F142" s="154">
        <v>120</v>
      </c>
      <c r="G142" s="154">
        <v>16</v>
      </c>
      <c r="H142" s="154">
        <v>15</v>
      </c>
      <c r="I142" s="155">
        <v>4</v>
      </c>
      <c r="J142" s="155">
        <v>2</v>
      </c>
      <c r="K142" s="155">
        <v>2</v>
      </c>
      <c r="L142" s="155">
        <v>4</v>
      </c>
      <c r="M142" s="155">
        <v>2</v>
      </c>
      <c r="N142" s="155">
        <v>2</v>
      </c>
      <c r="O142" s="155"/>
      <c r="P142" s="172">
        <f t="shared" si="33"/>
        <v>1152.1875</v>
      </c>
      <c r="Q142" s="172">
        <f t="shared" si="34"/>
        <v>1229</v>
      </c>
      <c r="R142" s="172">
        <f t="shared" si="35"/>
        <v>1866.2223654986233</v>
      </c>
      <c r="S142" s="106"/>
      <c r="T142" s="173">
        <f t="shared" si="36"/>
        <v>6.5093572009764034E-3</v>
      </c>
      <c r="U142" s="173">
        <f t="shared" si="37"/>
        <v>0.13333333333333333</v>
      </c>
      <c r="V142" s="173">
        <f t="shared" si="38"/>
        <v>8.6791429346352042E-4</v>
      </c>
      <c r="W142" s="173">
        <f t="shared" si="39"/>
        <v>0.9375</v>
      </c>
      <c r="X142" s="167"/>
      <c r="Y142" s="106">
        <f t="shared" si="27"/>
        <v>140.22838514366484</v>
      </c>
      <c r="Z142" s="106">
        <f t="shared" si="28"/>
        <v>70.114192571832419</v>
      </c>
      <c r="AA142" s="106">
        <f t="shared" si="29"/>
        <v>70.114192571832419</v>
      </c>
      <c r="AB142" s="106">
        <f t="shared" si="30"/>
        <v>140.22838514366484</v>
      </c>
      <c r="AC142" s="106">
        <f t="shared" si="31"/>
        <v>70.114192571832419</v>
      </c>
      <c r="AD142" s="106">
        <f t="shared" si="32"/>
        <v>70.114192571832419</v>
      </c>
    </row>
    <row r="143" spans="1:30" x14ac:dyDescent="0.25">
      <c r="A143" s="122">
        <v>22164</v>
      </c>
      <c r="B143" s="153">
        <v>221</v>
      </c>
      <c r="C143" s="154">
        <v>4</v>
      </c>
      <c r="D143" s="154">
        <v>44244</v>
      </c>
      <c r="E143" s="154">
        <v>97</v>
      </c>
      <c r="F143" s="154">
        <v>95</v>
      </c>
      <c r="G143" s="154">
        <v>16</v>
      </c>
      <c r="H143" s="154">
        <v>15</v>
      </c>
      <c r="I143" s="155">
        <v>4</v>
      </c>
      <c r="J143" s="155">
        <v>2</v>
      </c>
      <c r="K143" s="155">
        <v>1</v>
      </c>
      <c r="L143" s="155">
        <v>3</v>
      </c>
      <c r="M143" s="155">
        <v>2</v>
      </c>
      <c r="N143" s="155">
        <v>2</v>
      </c>
      <c r="O143" s="155"/>
      <c r="P143" s="172">
        <f t="shared" si="33"/>
        <v>677.05863402061846</v>
      </c>
      <c r="Q143" s="172">
        <f t="shared" si="34"/>
        <v>722.19587628865963</v>
      </c>
      <c r="R143" s="172">
        <f t="shared" si="35"/>
        <v>639.18339921371057</v>
      </c>
      <c r="S143" s="106"/>
      <c r="T143" s="173">
        <f t="shared" si="36"/>
        <v>8.7695506735376554E-3</v>
      </c>
      <c r="U143" s="173">
        <f t="shared" si="37"/>
        <v>0.16842105263157894</v>
      </c>
      <c r="V143" s="173">
        <f t="shared" si="38"/>
        <v>1.4769769555431841E-3</v>
      </c>
      <c r="W143" s="173">
        <f t="shared" si="39"/>
        <v>0.9375</v>
      </c>
      <c r="X143" s="167"/>
      <c r="Y143" s="106">
        <f t="shared" si="27"/>
        <v>107.49480927290654</v>
      </c>
      <c r="Z143" s="106">
        <f t="shared" si="28"/>
        <v>53.747404636453268</v>
      </c>
      <c r="AA143" s="106">
        <f t="shared" si="29"/>
        <v>26.873702318226634</v>
      </c>
      <c r="AB143" s="106">
        <f t="shared" si="30"/>
        <v>80.621106954679902</v>
      </c>
      <c r="AC143" s="106">
        <f t="shared" si="31"/>
        <v>53.747404636453268</v>
      </c>
      <c r="AD143" s="106">
        <f t="shared" si="32"/>
        <v>53.747404636453268</v>
      </c>
    </row>
    <row r="144" spans="1:30" x14ac:dyDescent="0.25">
      <c r="A144" s="122">
        <v>22165</v>
      </c>
      <c r="B144" s="153">
        <v>221</v>
      </c>
      <c r="C144" s="154">
        <v>4</v>
      </c>
      <c r="D144" s="154">
        <v>44244</v>
      </c>
      <c r="E144" s="154">
        <v>106</v>
      </c>
      <c r="F144" s="154">
        <v>57</v>
      </c>
      <c r="G144" s="154">
        <v>16</v>
      </c>
      <c r="H144" s="154">
        <v>16</v>
      </c>
      <c r="I144" s="155">
        <v>2</v>
      </c>
      <c r="J144" s="155">
        <v>3</v>
      </c>
      <c r="K144" s="155">
        <v>1</v>
      </c>
      <c r="L144" s="155">
        <v>3</v>
      </c>
      <c r="M144" s="155">
        <v>2</v>
      </c>
      <c r="N144" s="155">
        <v>1</v>
      </c>
      <c r="O144" s="155"/>
      <c r="P144" s="172">
        <f t="shared" si="33"/>
        <v>371.74351415094344</v>
      </c>
      <c r="Q144" s="172">
        <f t="shared" si="34"/>
        <v>371.74351415094344</v>
      </c>
      <c r="R144" s="172">
        <f t="shared" si="35"/>
        <v>194.44295859006769</v>
      </c>
      <c r="S144" s="106"/>
      <c r="T144" s="173">
        <f t="shared" si="36"/>
        <v>9.5832203236597049E-3</v>
      </c>
      <c r="U144" s="173">
        <f t="shared" si="37"/>
        <v>0.2807017543859649</v>
      </c>
      <c r="V144" s="173">
        <f t="shared" si="38"/>
        <v>2.6900267575185135E-3</v>
      </c>
      <c r="W144" s="173">
        <f t="shared" si="39"/>
        <v>1</v>
      </c>
      <c r="X144" s="167"/>
      <c r="Y144" s="106">
        <f t="shared" si="27"/>
        <v>38.561302579189075</v>
      </c>
      <c r="Z144" s="106">
        <f t="shared" si="28"/>
        <v>57.841953868783612</v>
      </c>
      <c r="AA144" s="106">
        <f t="shared" si="29"/>
        <v>19.280651289594537</v>
      </c>
      <c r="AB144" s="106">
        <f t="shared" si="30"/>
        <v>57.841953868783612</v>
      </c>
      <c r="AC144" s="106">
        <f t="shared" si="31"/>
        <v>38.561302579189075</v>
      </c>
      <c r="AD144" s="106">
        <f t="shared" si="32"/>
        <v>19.280651289594537</v>
      </c>
    </row>
    <row r="145" spans="1:30" x14ac:dyDescent="0.25">
      <c r="A145" s="122">
        <v>12273</v>
      </c>
      <c r="B145" s="153">
        <v>122</v>
      </c>
      <c r="C145" s="154">
        <v>4</v>
      </c>
      <c r="D145" s="154">
        <v>14022</v>
      </c>
      <c r="E145" s="154">
        <v>179</v>
      </c>
      <c r="F145" s="154">
        <v>211</v>
      </c>
      <c r="G145" s="154">
        <v>16</v>
      </c>
      <c r="H145" s="154">
        <v>15</v>
      </c>
      <c r="I145" s="155">
        <v>2</v>
      </c>
      <c r="J145" s="155">
        <v>3</v>
      </c>
      <c r="K145" s="155">
        <v>1</v>
      </c>
      <c r="L145" s="155">
        <v>3</v>
      </c>
      <c r="M145" s="155">
        <v>2</v>
      </c>
      <c r="N145" s="155">
        <v>1</v>
      </c>
      <c r="O145" s="155"/>
      <c r="P145" s="172">
        <f t="shared" si="33"/>
        <v>258.2613477653631</v>
      </c>
      <c r="Q145" s="172">
        <f t="shared" si="34"/>
        <v>275.47877094972063</v>
      </c>
      <c r="R145" s="172">
        <f t="shared" si="35"/>
        <v>144.09103377246731</v>
      </c>
      <c r="S145" s="106"/>
      <c r="T145" s="173">
        <f t="shared" si="36"/>
        <v>5.1062615889316786E-2</v>
      </c>
      <c r="U145" s="173">
        <f t="shared" si="37"/>
        <v>7.582938388625593E-2</v>
      </c>
      <c r="V145" s="173">
        <f t="shared" si="38"/>
        <v>3.8720467025074343E-3</v>
      </c>
      <c r="W145" s="173">
        <f t="shared" si="39"/>
        <v>0.9375</v>
      </c>
      <c r="X145" s="167"/>
      <c r="Y145" s="106">
        <f t="shared" si="27"/>
        <v>33.195106323054347</v>
      </c>
      <c r="Z145" s="106">
        <f t="shared" si="28"/>
        <v>49.79265948458152</v>
      </c>
      <c r="AA145" s="106">
        <f t="shared" si="29"/>
        <v>16.597553161527173</v>
      </c>
      <c r="AB145" s="106">
        <f t="shared" si="30"/>
        <v>49.79265948458152</v>
      </c>
      <c r="AC145" s="106">
        <f t="shared" si="31"/>
        <v>33.195106323054347</v>
      </c>
      <c r="AD145" s="106">
        <f t="shared" si="32"/>
        <v>16.597553161527173</v>
      </c>
    </row>
    <row r="146" spans="1:30" x14ac:dyDescent="0.25">
      <c r="A146" s="122">
        <v>12274</v>
      </c>
      <c r="B146" s="153">
        <v>122</v>
      </c>
      <c r="C146" s="154">
        <v>4</v>
      </c>
      <c r="D146" s="154">
        <v>14022</v>
      </c>
      <c r="E146" s="154">
        <v>201</v>
      </c>
      <c r="F146" s="154">
        <v>117</v>
      </c>
      <c r="G146" s="154">
        <v>16</v>
      </c>
      <c r="H146" s="154">
        <v>16</v>
      </c>
      <c r="I146" s="155">
        <v>4</v>
      </c>
      <c r="J146" s="155">
        <v>2</v>
      </c>
      <c r="K146" s="155">
        <v>2</v>
      </c>
      <c r="L146" s="155">
        <v>4</v>
      </c>
      <c r="M146" s="155">
        <v>2</v>
      </c>
      <c r="N146" s="155">
        <v>2</v>
      </c>
      <c r="O146" s="155"/>
      <c r="P146" s="172">
        <f t="shared" si="33"/>
        <v>127.53218283582086</v>
      </c>
      <c r="Q146" s="172">
        <f t="shared" si="34"/>
        <v>127.53218283582086</v>
      </c>
      <c r="R146" s="172">
        <f t="shared" si="35"/>
        <v>193.65615291217944</v>
      </c>
      <c r="S146" s="106"/>
      <c r="T146" s="173">
        <f t="shared" si="36"/>
        <v>5.7338468121523323E-2</v>
      </c>
      <c r="U146" s="173">
        <f t="shared" si="37"/>
        <v>0.13675213675213677</v>
      </c>
      <c r="V146" s="173">
        <f t="shared" si="38"/>
        <v>7.8411580337125926E-3</v>
      </c>
      <c r="W146" s="173">
        <f t="shared" si="39"/>
        <v>1</v>
      </c>
      <c r="X146" s="167"/>
      <c r="Y146" s="106">
        <f t="shared" si="27"/>
        <v>45.17205912257193</v>
      </c>
      <c r="Z146" s="106">
        <f t="shared" si="28"/>
        <v>22.586029561285965</v>
      </c>
      <c r="AA146" s="106">
        <f t="shared" si="29"/>
        <v>22.586029561285965</v>
      </c>
      <c r="AB146" s="106">
        <f t="shared" si="30"/>
        <v>45.17205912257193</v>
      </c>
      <c r="AC146" s="106">
        <f t="shared" si="31"/>
        <v>22.586029561285965</v>
      </c>
      <c r="AD146" s="106">
        <f t="shared" si="32"/>
        <v>22.586029561285965</v>
      </c>
    </row>
    <row r="147" spans="1:30" x14ac:dyDescent="0.25">
      <c r="A147" s="122">
        <v>12275</v>
      </c>
      <c r="B147" s="153">
        <v>122</v>
      </c>
      <c r="C147" s="154">
        <v>4</v>
      </c>
      <c r="D147" s="154">
        <v>14022</v>
      </c>
      <c r="E147" s="154">
        <v>151</v>
      </c>
      <c r="F147" s="154">
        <v>202</v>
      </c>
      <c r="G147" s="154">
        <v>16</v>
      </c>
      <c r="H147" s="154">
        <v>14</v>
      </c>
      <c r="I147" s="155">
        <v>3</v>
      </c>
      <c r="J147" s="154">
        <v>2</v>
      </c>
      <c r="K147" s="154">
        <v>2</v>
      </c>
      <c r="L147" s="154">
        <v>3</v>
      </c>
      <c r="M147" s="154">
        <v>2</v>
      </c>
      <c r="N147" s="154">
        <v>2</v>
      </c>
      <c r="O147" s="154"/>
      <c r="P147" s="172">
        <f t="shared" si="33"/>
        <v>293.0923013245033</v>
      </c>
      <c r="Q147" s="172">
        <f t="shared" si="34"/>
        <v>334.9626300851466</v>
      </c>
      <c r="R147" s="172">
        <f t="shared" si="35"/>
        <v>335.16695545686395</v>
      </c>
      <c r="S147" s="106"/>
      <c r="T147" s="173">
        <f t="shared" si="36"/>
        <v>4.3075167593781202E-2</v>
      </c>
      <c r="U147" s="173">
        <f t="shared" si="37"/>
        <v>7.9207920792079209E-2</v>
      </c>
      <c r="V147" s="173">
        <f t="shared" si="38"/>
        <v>3.4118944628737588E-3</v>
      </c>
      <c r="W147" s="173">
        <f t="shared" si="39"/>
        <v>0.875</v>
      </c>
      <c r="X147" s="167"/>
      <c r="Y147" s="106">
        <f t="shared" si="27"/>
        <v>54.905952962919415</v>
      </c>
      <c r="Z147" s="106">
        <f t="shared" si="28"/>
        <v>36.603968641946274</v>
      </c>
      <c r="AA147" s="106">
        <f t="shared" si="29"/>
        <v>36.603968641946274</v>
      </c>
      <c r="AB147" s="106">
        <f t="shared" si="30"/>
        <v>54.905952962919415</v>
      </c>
      <c r="AC147" s="106">
        <f t="shared" si="31"/>
        <v>36.603968641946274</v>
      </c>
      <c r="AD147" s="106">
        <f t="shared" si="32"/>
        <v>36.603968641946274</v>
      </c>
    </row>
    <row r="148" spans="1:30" x14ac:dyDescent="0.25">
      <c r="A148" s="122">
        <v>12276</v>
      </c>
      <c r="B148" s="153">
        <v>122</v>
      </c>
      <c r="C148" s="154">
        <v>4</v>
      </c>
      <c r="D148" s="154">
        <v>14022</v>
      </c>
      <c r="E148" s="154">
        <v>182</v>
      </c>
      <c r="F148" s="154">
        <v>308</v>
      </c>
      <c r="G148" s="154">
        <v>16</v>
      </c>
      <c r="H148" s="154">
        <v>16</v>
      </c>
      <c r="I148" s="155">
        <v>3</v>
      </c>
      <c r="J148" s="154">
        <v>2</v>
      </c>
      <c r="K148" s="154">
        <v>2</v>
      </c>
      <c r="L148" s="154">
        <v>3</v>
      </c>
      <c r="M148" s="154">
        <v>2</v>
      </c>
      <c r="N148" s="154">
        <v>2</v>
      </c>
      <c r="O148" s="154"/>
      <c r="P148" s="172">
        <f t="shared" si="33"/>
        <v>370.77403846153845</v>
      </c>
      <c r="Q148" s="172">
        <f t="shared" si="34"/>
        <v>370.77403846153845</v>
      </c>
      <c r="R148" s="172">
        <f t="shared" si="35"/>
        <v>371.00020859643541</v>
      </c>
      <c r="S148" s="106"/>
      <c r="T148" s="173">
        <f t="shared" si="36"/>
        <v>5.1918413920981316E-2</v>
      </c>
      <c r="U148" s="173">
        <f t="shared" si="37"/>
        <v>5.1948051948051951E-2</v>
      </c>
      <c r="V148" s="173">
        <f t="shared" si="38"/>
        <v>2.6970604634276008E-3</v>
      </c>
      <c r="W148" s="173">
        <f t="shared" si="39"/>
        <v>1</v>
      </c>
      <c r="X148" s="167"/>
      <c r="Y148" s="106">
        <f t="shared" si="27"/>
        <v>57.766481164719096</v>
      </c>
      <c r="Z148" s="106">
        <f t="shared" si="28"/>
        <v>38.510987443146064</v>
      </c>
      <c r="AA148" s="106">
        <f t="shared" si="29"/>
        <v>38.510987443146064</v>
      </c>
      <c r="AB148" s="106">
        <f t="shared" si="30"/>
        <v>57.766481164719096</v>
      </c>
      <c r="AC148" s="106">
        <f t="shared" si="31"/>
        <v>38.510987443146064</v>
      </c>
      <c r="AD148" s="106">
        <f t="shared" si="32"/>
        <v>38.510987443146064</v>
      </c>
    </row>
    <row r="149" spans="1:30" x14ac:dyDescent="0.25">
      <c r="A149" s="122">
        <v>22266</v>
      </c>
      <c r="B149" s="153">
        <v>222</v>
      </c>
      <c r="C149" s="154">
        <v>5</v>
      </c>
      <c r="D149" s="154">
        <v>71455</v>
      </c>
      <c r="E149" s="154">
        <v>95</v>
      </c>
      <c r="F149" s="154">
        <v>55</v>
      </c>
      <c r="G149" s="154">
        <v>16</v>
      </c>
      <c r="H149" s="154">
        <v>15</v>
      </c>
      <c r="I149" s="155">
        <v>2</v>
      </c>
      <c r="J149" s="155">
        <v>2</v>
      </c>
      <c r="K149" s="155">
        <v>2</v>
      </c>
      <c r="L149" s="155">
        <v>2</v>
      </c>
      <c r="M149" s="155">
        <v>2</v>
      </c>
      <c r="N149" s="155">
        <v>2</v>
      </c>
      <c r="O149" s="155"/>
      <c r="P149" s="172">
        <f t="shared" si="33"/>
        <v>517.10855263157896</v>
      </c>
      <c r="Q149" s="172">
        <f t="shared" si="34"/>
        <v>551.58245614035093</v>
      </c>
      <c r="R149" s="172">
        <f t="shared" si="35"/>
        <v>266.26622084014622</v>
      </c>
      <c r="S149" s="106"/>
      <c r="T149" s="173">
        <f t="shared" si="36"/>
        <v>6.6475404100482822E-3</v>
      </c>
      <c r="U149" s="173">
        <f t="shared" si="37"/>
        <v>0.29090909090909089</v>
      </c>
      <c r="V149" s="173">
        <f t="shared" si="38"/>
        <v>1.933829937468591E-3</v>
      </c>
      <c r="W149" s="173">
        <f t="shared" si="39"/>
        <v>0.9375</v>
      </c>
      <c r="X149" s="167"/>
      <c r="Y149" s="106">
        <f t="shared" si="27"/>
        <v>46.971585288995769</v>
      </c>
      <c r="Z149" s="106">
        <f t="shared" si="28"/>
        <v>46.971585288995769</v>
      </c>
      <c r="AA149" s="106">
        <f t="shared" si="29"/>
        <v>46.971585288995769</v>
      </c>
      <c r="AB149" s="106">
        <f t="shared" si="30"/>
        <v>46.971585288995769</v>
      </c>
      <c r="AC149" s="106">
        <f t="shared" si="31"/>
        <v>46.971585288995769</v>
      </c>
      <c r="AD149" s="106">
        <f t="shared" si="32"/>
        <v>46.971585288995769</v>
      </c>
    </row>
    <row r="150" spans="1:30" x14ac:dyDescent="0.25">
      <c r="A150" s="122">
        <v>22267</v>
      </c>
      <c r="B150" s="153">
        <v>222</v>
      </c>
      <c r="C150" s="154">
        <v>5</v>
      </c>
      <c r="D150" s="154">
        <v>71455</v>
      </c>
      <c r="E150" s="154">
        <v>94</v>
      </c>
      <c r="F150" s="154">
        <v>149</v>
      </c>
      <c r="G150" s="154">
        <v>16</v>
      </c>
      <c r="H150" s="154">
        <v>16</v>
      </c>
      <c r="I150" s="155">
        <v>4</v>
      </c>
      <c r="J150" s="155">
        <v>2</v>
      </c>
      <c r="K150" s="155">
        <v>2</v>
      </c>
      <c r="L150" s="155">
        <v>4</v>
      </c>
      <c r="M150" s="155">
        <v>2</v>
      </c>
      <c r="N150" s="155">
        <v>2</v>
      </c>
      <c r="O150" s="155"/>
      <c r="P150" s="172">
        <f t="shared" si="33"/>
        <v>1415.7972074468084</v>
      </c>
      <c r="Q150" s="172">
        <f t="shared" si="34"/>
        <v>1415.7972074468084</v>
      </c>
      <c r="R150" s="172">
        <f t="shared" si="35"/>
        <v>2149.8717766865157</v>
      </c>
      <c r="S150" s="106"/>
      <c r="T150" s="173">
        <f t="shared" si="36"/>
        <v>6.5775663004688269E-3</v>
      </c>
      <c r="U150" s="173">
        <f t="shared" si="37"/>
        <v>0.10738255033557047</v>
      </c>
      <c r="V150" s="173">
        <f t="shared" si="38"/>
        <v>7.0631584434564581E-4</v>
      </c>
      <c r="W150" s="173">
        <f t="shared" si="39"/>
        <v>1</v>
      </c>
      <c r="X150" s="167"/>
      <c r="Y150" s="106">
        <f t="shared" si="27"/>
        <v>150.50832308928611</v>
      </c>
      <c r="Z150" s="106">
        <f t="shared" si="28"/>
        <v>75.254161544643054</v>
      </c>
      <c r="AA150" s="106">
        <f t="shared" si="29"/>
        <v>75.254161544643054</v>
      </c>
      <c r="AB150" s="106">
        <f t="shared" si="30"/>
        <v>150.50832308928611</v>
      </c>
      <c r="AC150" s="106">
        <f t="shared" si="31"/>
        <v>75.254161544643054</v>
      </c>
      <c r="AD150" s="106">
        <f t="shared" si="32"/>
        <v>75.254161544643054</v>
      </c>
    </row>
    <row r="151" spans="1:30" x14ac:dyDescent="0.25">
      <c r="A151" s="122">
        <v>22268</v>
      </c>
      <c r="B151" s="153">
        <v>222</v>
      </c>
      <c r="C151" s="154">
        <v>5</v>
      </c>
      <c r="D151" s="154">
        <v>71455</v>
      </c>
      <c r="E151" s="154">
        <v>117</v>
      </c>
      <c r="F151" s="154">
        <v>78</v>
      </c>
      <c r="G151" s="154">
        <v>16</v>
      </c>
      <c r="H151" s="154">
        <v>15</v>
      </c>
      <c r="I151" s="155">
        <v>3</v>
      </c>
      <c r="J151" s="155">
        <v>1</v>
      </c>
      <c r="K151" s="155">
        <v>1</v>
      </c>
      <c r="L151" s="155">
        <v>3</v>
      </c>
      <c r="M151" s="154">
        <v>2</v>
      </c>
      <c r="N151" s="154">
        <v>1</v>
      </c>
      <c r="O151" s="154"/>
      <c r="P151" s="172">
        <f t="shared" si="33"/>
        <v>595.45833333333326</v>
      </c>
      <c r="Q151" s="172">
        <f t="shared" si="34"/>
        <v>635.15555555555545</v>
      </c>
      <c r="R151" s="172">
        <f t="shared" si="35"/>
        <v>643.65612434297122</v>
      </c>
      <c r="S151" s="106"/>
      <c r="T151" s="173">
        <f t="shared" si="36"/>
        <v>8.1869708207963059E-3</v>
      </c>
      <c r="U151" s="173">
        <f t="shared" si="37"/>
        <v>0.20512820512820512</v>
      </c>
      <c r="V151" s="173">
        <f t="shared" si="38"/>
        <v>1.6793786299069346E-3</v>
      </c>
      <c r="W151" s="173">
        <f t="shared" si="39"/>
        <v>0.9375</v>
      </c>
      <c r="X151" s="167"/>
      <c r="Y151" s="106">
        <f t="shared" si="27"/>
        <v>75.60687799400263</v>
      </c>
      <c r="Z151" s="106">
        <f t="shared" si="28"/>
        <v>25.202292664667542</v>
      </c>
      <c r="AA151" s="106">
        <f t="shared" si="29"/>
        <v>25.202292664667542</v>
      </c>
      <c r="AB151" s="106">
        <f t="shared" si="30"/>
        <v>75.60687799400263</v>
      </c>
      <c r="AC151" s="106">
        <f t="shared" si="31"/>
        <v>50.404585329335085</v>
      </c>
      <c r="AD151" s="106">
        <f t="shared" si="32"/>
        <v>25.202292664667542</v>
      </c>
    </row>
    <row r="152" spans="1:30" x14ac:dyDescent="0.25">
      <c r="A152" s="122">
        <v>22269</v>
      </c>
      <c r="B152" s="153">
        <v>222</v>
      </c>
      <c r="C152" s="154">
        <v>5</v>
      </c>
      <c r="D152" s="154">
        <v>71455</v>
      </c>
      <c r="E152" s="154">
        <v>135</v>
      </c>
      <c r="F152" s="154">
        <v>189</v>
      </c>
      <c r="G152" s="154">
        <v>16</v>
      </c>
      <c r="H152" s="154">
        <v>16</v>
      </c>
      <c r="I152" s="155">
        <v>3</v>
      </c>
      <c r="J152" s="155">
        <v>3</v>
      </c>
      <c r="K152" s="155">
        <v>1</v>
      </c>
      <c r="L152" s="155">
        <v>4</v>
      </c>
      <c r="M152" s="155">
        <v>2</v>
      </c>
      <c r="N152" s="155">
        <v>2</v>
      </c>
      <c r="O152" s="155"/>
      <c r="P152" s="172">
        <f t="shared" si="33"/>
        <v>1250.4625000000001</v>
      </c>
      <c r="Q152" s="172">
        <f t="shared" si="34"/>
        <v>1250.4625000000001</v>
      </c>
      <c r="R152" s="172">
        <f t="shared" si="35"/>
        <v>941.03458714573173</v>
      </c>
      <c r="S152" s="106"/>
      <c r="T152" s="173">
        <f t="shared" si="36"/>
        <v>9.4465047932265067E-3</v>
      </c>
      <c r="U152" s="173">
        <f t="shared" si="37"/>
        <v>8.4656084656084651E-2</v>
      </c>
      <c r="V152" s="173">
        <f t="shared" si="38"/>
        <v>7.9970410947949257E-4</v>
      </c>
      <c r="W152" s="173">
        <f t="shared" si="39"/>
        <v>1</v>
      </c>
      <c r="X152" s="167"/>
      <c r="Y152" s="106">
        <f t="shared" si="27"/>
        <v>106.08563757644104</v>
      </c>
      <c r="Z152" s="106">
        <f t="shared" si="28"/>
        <v>106.08563757644104</v>
      </c>
      <c r="AA152" s="106">
        <f t="shared" si="29"/>
        <v>35.361879192147015</v>
      </c>
      <c r="AB152" s="106">
        <f t="shared" si="30"/>
        <v>141.44751676858806</v>
      </c>
      <c r="AC152" s="106">
        <f t="shared" si="31"/>
        <v>70.72375838429403</v>
      </c>
      <c r="AD152" s="106">
        <f t="shared" si="32"/>
        <v>70.72375838429403</v>
      </c>
    </row>
    <row r="153" spans="1:30" x14ac:dyDescent="0.25">
      <c r="A153" s="122">
        <v>22270</v>
      </c>
      <c r="B153" s="153">
        <v>222</v>
      </c>
      <c r="C153" s="154">
        <v>5</v>
      </c>
      <c r="D153" s="154">
        <v>71455</v>
      </c>
      <c r="E153" s="154">
        <v>156</v>
      </c>
      <c r="F153" s="154">
        <v>162</v>
      </c>
      <c r="G153" s="154">
        <v>16</v>
      </c>
      <c r="H153" s="154">
        <v>16</v>
      </c>
      <c r="I153" s="155">
        <v>2</v>
      </c>
      <c r="J153" s="155">
        <v>2</v>
      </c>
      <c r="K153" s="155">
        <v>2</v>
      </c>
      <c r="L153" s="155">
        <v>4</v>
      </c>
      <c r="M153" s="155">
        <v>2</v>
      </c>
      <c r="N153" s="155">
        <v>1</v>
      </c>
      <c r="O153" s="155"/>
      <c r="P153" s="172">
        <f t="shared" si="33"/>
        <v>927.54086538461547</v>
      </c>
      <c r="Q153" s="172">
        <f t="shared" si="34"/>
        <v>927.54086538461547</v>
      </c>
      <c r="R153" s="172">
        <f t="shared" si="35"/>
        <v>1174.8041071458044</v>
      </c>
      <c r="S153" s="106"/>
      <c r="T153" s="173">
        <f t="shared" si="36"/>
        <v>1.0915961094395073E-2</v>
      </c>
      <c r="U153" s="173">
        <f t="shared" si="37"/>
        <v>9.8765432098765427E-2</v>
      </c>
      <c r="V153" s="173">
        <f t="shared" si="38"/>
        <v>1.0781196142612417E-3</v>
      </c>
      <c r="W153" s="173">
        <f t="shared" si="39"/>
        <v>1</v>
      </c>
      <c r="X153" s="167"/>
      <c r="Y153" s="106">
        <f t="shared" si="27"/>
        <v>60.911111150088715</v>
      </c>
      <c r="Z153" s="106">
        <f t="shared" si="28"/>
        <v>60.911111150088715</v>
      </c>
      <c r="AA153" s="106">
        <f t="shared" si="29"/>
        <v>60.911111150088715</v>
      </c>
      <c r="AB153" s="106">
        <f t="shared" si="30"/>
        <v>121.82222230017743</v>
      </c>
      <c r="AC153" s="106">
        <f t="shared" si="31"/>
        <v>60.911111150088715</v>
      </c>
      <c r="AD153" s="106">
        <f t="shared" si="32"/>
        <v>30.455555575044357</v>
      </c>
    </row>
    <row r="154" spans="1:30" x14ac:dyDescent="0.25">
      <c r="A154" s="122">
        <v>12377</v>
      </c>
      <c r="B154" s="153">
        <v>123</v>
      </c>
      <c r="C154" s="154">
        <v>2</v>
      </c>
      <c r="D154" s="154">
        <v>3504</v>
      </c>
      <c r="E154" s="154">
        <v>129</v>
      </c>
      <c r="F154" s="154">
        <v>119</v>
      </c>
      <c r="G154" s="154">
        <v>16</v>
      </c>
      <c r="H154" s="154">
        <v>16</v>
      </c>
      <c r="I154" s="155">
        <v>3</v>
      </c>
      <c r="J154" s="154">
        <v>2</v>
      </c>
      <c r="K154" s="154">
        <v>2</v>
      </c>
      <c r="L154" s="154">
        <v>3</v>
      </c>
      <c r="M154" s="154">
        <v>2</v>
      </c>
      <c r="N154" s="154">
        <v>2</v>
      </c>
      <c r="O154" s="154"/>
      <c r="P154" s="172">
        <f t="shared" si="33"/>
        <v>101.01162790697674</v>
      </c>
      <c r="Q154" s="172">
        <f t="shared" si="34"/>
        <v>101.01162790697674</v>
      </c>
      <c r="R154" s="172">
        <f t="shared" si="35"/>
        <v>101.07324444734908</v>
      </c>
      <c r="S154" s="106"/>
      <c r="T154" s="173">
        <f t="shared" si="36"/>
        <v>7.3630136986301373E-2</v>
      </c>
      <c r="U154" s="173">
        <f t="shared" si="37"/>
        <v>0.13445378151260504</v>
      </c>
      <c r="V154" s="173">
        <f t="shared" si="38"/>
        <v>9.899850351099344E-3</v>
      </c>
      <c r="W154" s="173">
        <f t="shared" si="39"/>
        <v>1</v>
      </c>
      <c r="X154" s="167"/>
      <c r="Y154" s="106">
        <f t="shared" si="27"/>
        <v>30.151362343396539</v>
      </c>
      <c r="Z154" s="106">
        <f t="shared" si="28"/>
        <v>20.100908228931026</v>
      </c>
      <c r="AA154" s="106">
        <f t="shared" si="29"/>
        <v>20.100908228931026</v>
      </c>
      <c r="AB154" s="106">
        <f t="shared" si="30"/>
        <v>30.151362343396539</v>
      </c>
      <c r="AC154" s="106">
        <f t="shared" si="31"/>
        <v>20.100908228931026</v>
      </c>
      <c r="AD154" s="106">
        <f t="shared" si="32"/>
        <v>20.100908228931026</v>
      </c>
    </row>
    <row r="155" spans="1:30" x14ac:dyDescent="0.25">
      <c r="A155" s="122">
        <v>12378</v>
      </c>
      <c r="B155" s="153">
        <v>123</v>
      </c>
      <c r="C155" s="154">
        <v>2</v>
      </c>
      <c r="D155" s="154">
        <v>3504</v>
      </c>
      <c r="E155" s="154">
        <v>117</v>
      </c>
      <c r="F155" s="154">
        <v>161</v>
      </c>
      <c r="G155" s="154">
        <v>16</v>
      </c>
      <c r="H155" s="154">
        <v>16</v>
      </c>
      <c r="I155" s="155">
        <v>3</v>
      </c>
      <c r="J155" s="155">
        <v>3</v>
      </c>
      <c r="K155" s="155">
        <v>1</v>
      </c>
      <c r="L155" s="155">
        <v>4</v>
      </c>
      <c r="M155" s="155">
        <v>2</v>
      </c>
      <c r="N155" s="155">
        <v>2</v>
      </c>
      <c r="O155" s="155"/>
      <c r="P155" s="172">
        <f t="shared" si="33"/>
        <v>150.67948717948718</v>
      </c>
      <c r="Q155" s="172">
        <f t="shared" si="34"/>
        <v>150.67948717948718</v>
      </c>
      <c r="R155" s="172">
        <f t="shared" si="35"/>
        <v>113.39373152675853</v>
      </c>
      <c r="S155" s="106"/>
      <c r="T155" s="173">
        <f t="shared" si="36"/>
        <v>6.6780821917808222E-2</v>
      </c>
      <c r="U155" s="173">
        <f t="shared" si="37"/>
        <v>9.9378881987577633E-2</v>
      </c>
      <c r="V155" s="173">
        <f t="shared" si="38"/>
        <v>6.6366034204033012E-3</v>
      </c>
      <c r="W155" s="173">
        <f t="shared" si="39"/>
        <v>1</v>
      </c>
      <c r="X155" s="167"/>
      <c r="Y155" s="106">
        <f t="shared" si="27"/>
        <v>36.825471953735835</v>
      </c>
      <c r="Z155" s="106">
        <f t="shared" si="28"/>
        <v>36.825471953735835</v>
      </c>
      <c r="AA155" s="106">
        <f t="shared" si="29"/>
        <v>12.275157317911946</v>
      </c>
      <c r="AB155" s="106">
        <f t="shared" si="30"/>
        <v>49.100629271647783</v>
      </c>
      <c r="AC155" s="106">
        <f t="shared" si="31"/>
        <v>24.550314635823892</v>
      </c>
      <c r="AD155" s="106">
        <f t="shared" si="32"/>
        <v>24.550314635823892</v>
      </c>
    </row>
    <row r="156" spans="1:30" x14ac:dyDescent="0.25">
      <c r="A156" s="122">
        <v>22371</v>
      </c>
      <c r="B156" s="153">
        <v>223</v>
      </c>
      <c r="C156" s="154">
        <v>6</v>
      </c>
      <c r="D156" s="154">
        <v>113948</v>
      </c>
      <c r="E156" s="154">
        <v>160</v>
      </c>
      <c r="F156" s="154">
        <v>200</v>
      </c>
      <c r="G156" s="154">
        <v>16</v>
      </c>
      <c r="H156" s="154">
        <v>16</v>
      </c>
      <c r="I156" s="155">
        <v>4</v>
      </c>
      <c r="J156" s="155">
        <v>3</v>
      </c>
      <c r="K156" s="155">
        <v>1</v>
      </c>
      <c r="L156" s="155">
        <v>3</v>
      </c>
      <c r="M156" s="155">
        <v>2</v>
      </c>
      <c r="N156" s="155">
        <v>2</v>
      </c>
      <c r="O156" s="155"/>
      <c r="P156" s="172">
        <f t="shared" si="33"/>
        <v>1483.697916666667</v>
      </c>
      <c r="Q156" s="172">
        <f t="shared" si="34"/>
        <v>1483.697916666667</v>
      </c>
      <c r="R156" s="172">
        <f t="shared" si="35"/>
        <v>1149.815305820855</v>
      </c>
      <c r="S156" s="106"/>
      <c r="T156" s="173">
        <f t="shared" si="36"/>
        <v>8.4248955663987074E-3</v>
      </c>
      <c r="U156" s="173">
        <f t="shared" si="37"/>
        <v>0.08</v>
      </c>
      <c r="V156" s="173">
        <f t="shared" si="38"/>
        <v>6.7399164531189656E-4</v>
      </c>
      <c r="W156" s="173">
        <f t="shared" si="39"/>
        <v>1</v>
      </c>
      <c r="X156" s="167"/>
      <c r="Y156" s="106">
        <f t="shared" si="27"/>
        <v>154.07519809062933</v>
      </c>
      <c r="Z156" s="106">
        <f t="shared" si="28"/>
        <v>115.556398567972</v>
      </c>
      <c r="AA156" s="106">
        <f t="shared" si="29"/>
        <v>38.518799522657332</v>
      </c>
      <c r="AB156" s="106">
        <f t="shared" si="30"/>
        <v>115.556398567972</v>
      </c>
      <c r="AC156" s="106">
        <f t="shared" si="31"/>
        <v>77.037599045314664</v>
      </c>
      <c r="AD156" s="106">
        <f t="shared" si="32"/>
        <v>77.037599045314664</v>
      </c>
    </row>
    <row r="157" spans="1:30" x14ac:dyDescent="0.25">
      <c r="A157" s="122">
        <v>22372</v>
      </c>
      <c r="B157" s="153">
        <v>223</v>
      </c>
      <c r="C157" s="154">
        <v>6</v>
      </c>
      <c r="D157" s="154">
        <v>113948</v>
      </c>
      <c r="E157" s="154">
        <v>94</v>
      </c>
      <c r="F157" s="154">
        <v>117</v>
      </c>
      <c r="G157" s="154">
        <v>16</v>
      </c>
      <c r="H157" s="154">
        <v>16</v>
      </c>
      <c r="I157" s="155">
        <v>2</v>
      </c>
      <c r="J157" s="155">
        <v>2</v>
      </c>
      <c r="K157" s="155">
        <v>2</v>
      </c>
      <c r="L157" s="155">
        <v>2</v>
      </c>
      <c r="M157" s="155">
        <v>1</v>
      </c>
      <c r="N157" s="155">
        <v>2</v>
      </c>
      <c r="O157" s="155"/>
      <c r="P157" s="172">
        <f t="shared" si="33"/>
        <v>1477.3843085106382</v>
      </c>
      <c r="Q157" s="172">
        <f t="shared" si="34"/>
        <v>1477.3843085106382</v>
      </c>
      <c r="R157" s="172">
        <f t="shared" si="35"/>
        <v>1841.5164011664817</v>
      </c>
      <c r="S157" s="106"/>
      <c r="T157" s="173">
        <f t="shared" si="36"/>
        <v>4.9496261452592408E-3</v>
      </c>
      <c r="U157" s="173">
        <f t="shared" si="37"/>
        <v>0.13675213675213677</v>
      </c>
      <c r="V157" s="173">
        <f t="shared" si="38"/>
        <v>6.7687195148844327E-4</v>
      </c>
      <c r="W157" s="173">
        <f t="shared" si="39"/>
        <v>1</v>
      </c>
      <c r="X157" s="167"/>
      <c r="Y157" s="106">
        <f t="shared" si="27"/>
        <v>76.873514516005784</v>
      </c>
      <c r="Z157" s="106">
        <f t="shared" si="28"/>
        <v>76.873514516005784</v>
      </c>
      <c r="AA157" s="106">
        <f t="shared" si="29"/>
        <v>76.873514516005784</v>
      </c>
      <c r="AB157" s="106">
        <f t="shared" si="30"/>
        <v>76.873514516005784</v>
      </c>
      <c r="AC157" s="106">
        <f t="shared" si="31"/>
        <v>38.436757258002892</v>
      </c>
      <c r="AD157" s="106">
        <f t="shared" si="32"/>
        <v>76.873514516005784</v>
      </c>
    </row>
    <row r="158" spans="1:30" x14ac:dyDescent="0.25">
      <c r="A158" s="122">
        <v>22373</v>
      </c>
      <c r="B158" s="153">
        <v>223</v>
      </c>
      <c r="C158" s="154">
        <v>6</v>
      </c>
      <c r="D158" s="154">
        <v>113948</v>
      </c>
      <c r="E158" s="154">
        <v>148</v>
      </c>
      <c r="F158" s="154">
        <v>205</v>
      </c>
      <c r="G158" s="154">
        <v>16</v>
      </c>
      <c r="H158" s="154">
        <v>14</v>
      </c>
      <c r="I158" s="155">
        <v>4</v>
      </c>
      <c r="J158" s="155">
        <v>2</v>
      </c>
      <c r="K158" s="155">
        <v>2</v>
      </c>
      <c r="L158" s="155">
        <v>4</v>
      </c>
      <c r="M158" s="155">
        <v>2</v>
      </c>
      <c r="N158" s="155">
        <v>2</v>
      </c>
      <c r="O158" s="155"/>
      <c r="P158" s="172">
        <f t="shared" si="33"/>
        <v>1644.0976914414414</v>
      </c>
      <c r="Q158" s="172">
        <f t="shared" si="34"/>
        <v>1878.9687902187902</v>
      </c>
      <c r="R158" s="172">
        <f t="shared" si="35"/>
        <v>2853.1924982751807</v>
      </c>
      <c r="S158" s="106"/>
      <c r="T158" s="173">
        <f t="shared" si="36"/>
        <v>7.7930283989188047E-3</v>
      </c>
      <c r="U158" s="173">
        <f t="shared" si="37"/>
        <v>7.8048780487804878E-2</v>
      </c>
      <c r="V158" s="173">
        <f t="shared" si="38"/>
        <v>6.0823636284244333E-4</v>
      </c>
      <c r="W158" s="173">
        <f t="shared" si="39"/>
        <v>0.875</v>
      </c>
      <c r="X158" s="167"/>
      <c r="Y158" s="106">
        <f t="shared" si="27"/>
        <v>173.38829442468324</v>
      </c>
      <c r="Z158" s="106">
        <f t="shared" si="28"/>
        <v>86.694147212341619</v>
      </c>
      <c r="AA158" s="106">
        <f t="shared" si="29"/>
        <v>86.694147212341619</v>
      </c>
      <c r="AB158" s="106">
        <f t="shared" si="30"/>
        <v>173.38829442468324</v>
      </c>
      <c r="AC158" s="106">
        <f t="shared" si="31"/>
        <v>86.694147212341619</v>
      </c>
      <c r="AD158" s="106">
        <f t="shared" si="32"/>
        <v>86.694147212341619</v>
      </c>
    </row>
    <row r="159" spans="1:30" x14ac:dyDescent="0.25">
      <c r="A159" s="122">
        <v>22374</v>
      </c>
      <c r="B159" s="153">
        <v>223</v>
      </c>
      <c r="C159" s="154">
        <v>6</v>
      </c>
      <c r="D159" s="154">
        <v>113948</v>
      </c>
      <c r="E159" s="154">
        <v>168</v>
      </c>
      <c r="F159" s="154">
        <v>181</v>
      </c>
      <c r="G159" s="154">
        <v>16</v>
      </c>
      <c r="H159" s="154">
        <v>16</v>
      </c>
      <c r="I159" s="155">
        <v>2</v>
      </c>
      <c r="J159" s="155">
        <v>2</v>
      </c>
      <c r="K159" s="155">
        <v>2</v>
      </c>
      <c r="L159" s="155">
        <v>2</v>
      </c>
      <c r="M159" s="155">
        <v>1</v>
      </c>
      <c r="N159" s="155">
        <v>2</v>
      </c>
      <c r="O159" s="155"/>
      <c r="P159" s="172">
        <f t="shared" si="33"/>
        <v>1278.8062996031747</v>
      </c>
      <c r="Q159" s="172">
        <f t="shared" si="34"/>
        <v>1278.8062996031747</v>
      </c>
      <c r="R159" s="172">
        <f t="shared" si="35"/>
        <v>1593.9947115103034</v>
      </c>
      <c r="S159" s="106"/>
      <c r="T159" s="173">
        <f t="shared" si="36"/>
        <v>8.8461403447186431E-3</v>
      </c>
      <c r="U159" s="173">
        <f t="shared" si="37"/>
        <v>8.8397790055248615E-2</v>
      </c>
      <c r="V159" s="173">
        <f t="shared" si="38"/>
        <v>7.8197925699170323E-4</v>
      </c>
      <c r="W159" s="173">
        <f t="shared" si="39"/>
        <v>1</v>
      </c>
      <c r="X159" s="167"/>
      <c r="Y159" s="106">
        <f t="shared" si="27"/>
        <v>71.520802557107103</v>
      </c>
      <c r="Z159" s="106">
        <f t="shared" si="28"/>
        <v>71.520802557107103</v>
      </c>
      <c r="AA159" s="106">
        <f t="shared" si="29"/>
        <v>71.520802557107103</v>
      </c>
      <c r="AB159" s="106">
        <f t="shared" si="30"/>
        <v>71.520802557107103</v>
      </c>
      <c r="AC159" s="106">
        <f t="shared" si="31"/>
        <v>35.760401278553552</v>
      </c>
      <c r="AD159" s="106">
        <f t="shared" si="32"/>
        <v>71.520802557107103</v>
      </c>
    </row>
    <row r="160" spans="1:30" x14ac:dyDescent="0.25">
      <c r="A160" s="122">
        <v>22375</v>
      </c>
      <c r="B160" s="153">
        <v>223</v>
      </c>
      <c r="C160" s="154">
        <v>6</v>
      </c>
      <c r="D160" s="154">
        <v>113948</v>
      </c>
      <c r="E160" s="154">
        <v>135</v>
      </c>
      <c r="F160" s="154">
        <v>222</v>
      </c>
      <c r="G160" s="154">
        <v>16</v>
      </c>
      <c r="H160" s="154">
        <v>16</v>
      </c>
      <c r="I160" s="155">
        <v>2</v>
      </c>
      <c r="J160" s="155">
        <v>3</v>
      </c>
      <c r="K160" s="155">
        <v>1</v>
      </c>
      <c r="L160" s="155">
        <v>3</v>
      </c>
      <c r="M160" s="155">
        <v>2</v>
      </c>
      <c r="N160" s="155">
        <v>1</v>
      </c>
      <c r="O160" s="155"/>
      <c r="P160" s="172">
        <f t="shared" si="33"/>
        <v>1951.8870370370371</v>
      </c>
      <c r="Q160" s="172">
        <f t="shared" si="34"/>
        <v>1951.8870370370371</v>
      </c>
      <c r="R160" s="172">
        <f t="shared" si="35"/>
        <v>1020.9477122470445</v>
      </c>
      <c r="S160" s="106"/>
      <c r="T160" s="173">
        <f t="shared" si="36"/>
        <v>7.1085056341489098E-3</v>
      </c>
      <c r="U160" s="173">
        <f t="shared" si="37"/>
        <v>7.2072072072072071E-2</v>
      </c>
      <c r="V160" s="173">
        <f t="shared" si="38"/>
        <v>5.1232473038911061E-4</v>
      </c>
      <c r="W160" s="173">
        <f t="shared" si="39"/>
        <v>1</v>
      </c>
      <c r="X160" s="167"/>
      <c r="Y160" s="106">
        <f t="shared" si="27"/>
        <v>88.360331303974576</v>
      </c>
      <c r="Z160" s="106">
        <f t="shared" si="28"/>
        <v>132.54049695596186</v>
      </c>
      <c r="AA160" s="106">
        <f t="shared" si="29"/>
        <v>44.180165651987288</v>
      </c>
      <c r="AB160" s="106">
        <f t="shared" si="30"/>
        <v>132.54049695596186</v>
      </c>
      <c r="AC160" s="106">
        <f t="shared" si="31"/>
        <v>88.360331303974576</v>
      </c>
      <c r="AD160" s="106">
        <f t="shared" si="32"/>
        <v>44.180165651987288</v>
      </c>
    </row>
    <row r="161" spans="1:30" x14ac:dyDescent="0.25">
      <c r="A161" s="122">
        <v>22376</v>
      </c>
      <c r="B161" s="153">
        <v>223</v>
      </c>
      <c r="C161" s="154">
        <v>6</v>
      </c>
      <c r="D161" s="154">
        <v>113948</v>
      </c>
      <c r="E161" s="154">
        <v>112</v>
      </c>
      <c r="F161" s="154">
        <v>166</v>
      </c>
      <c r="G161" s="154">
        <v>16</v>
      </c>
      <c r="H161" s="154">
        <v>15</v>
      </c>
      <c r="I161" s="155">
        <v>4</v>
      </c>
      <c r="J161" s="155">
        <v>3</v>
      </c>
      <c r="K161" s="155">
        <v>1</v>
      </c>
      <c r="L161" s="155">
        <v>3</v>
      </c>
      <c r="M161" s="155">
        <v>2</v>
      </c>
      <c r="N161" s="155">
        <v>2</v>
      </c>
      <c r="O161" s="155"/>
      <c r="P161" s="172">
        <f t="shared" si="33"/>
        <v>1759.2418154761904</v>
      </c>
      <c r="Q161" s="172">
        <f t="shared" si="34"/>
        <v>1876.524603174603</v>
      </c>
      <c r="R161" s="172">
        <f t="shared" si="35"/>
        <v>1454.242596314376</v>
      </c>
      <c r="S161" s="106"/>
      <c r="T161" s="173">
        <f t="shared" si="36"/>
        <v>5.8974268964790957E-3</v>
      </c>
      <c r="U161" s="173">
        <f t="shared" si="37"/>
        <v>9.6385542168674704E-2</v>
      </c>
      <c r="V161" s="173">
        <f t="shared" si="38"/>
        <v>5.6842668881726226E-4</v>
      </c>
      <c r="W161" s="173">
        <f t="shared" si="39"/>
        <v>0.9375</v>
      </c>
      <c r="X161" s="167"/>
      <c r="Y161" s="106">
        <f t="shared" si="27"/>
        <v>173.27548485228269</v>
      </c>
      <c r="Z161" s="106">
        <f t="shared" si="28"/>
        <v>129.95661363921201</v>
      </c>
      <c r="AA161" s="106">
        <f t="shared" si="29"/>
        <v>43.318871213070672</v>
      </c>
      <c r="AB161" s="106">
        <f t="shared" si="30"/>
        <v>129.95661363921201</v>
      </c>
      <c r="AC161" s="106">
        <f t="shared" si="31"/>
        <v>86.637742426141344</v>
      </c>
      <c r="AD161" s="106">
        <f t="shared" si="32"/>
        <v>86.637742426141344</v>
      </c>
    </row>
    <row r="162" spans="1:30" x14ac:dyDescent="0.25">
      <c r="A162" s="122">
        <v>12479</v>
      </c>
      <c r="B162" s="153">
        <v>124</v>
      </c>
      <c r="C162" s="154">
        <v>9</v>
      </c>
      <c r="D162" s="154">
        <v>90667</v>
      </c>
      <c r="E162" s="154">
        <v>161</v>
      </c>
      <c r="F162" s="154">
        <v>162</v>
      </c>
      <c r="G162" s="154">
        <v>16</v>
      </c>
      <c r="H162" s="154">
        <v>16</v>
      </c>
      <c r="I162" s="155">
        <v>4</v>
      </c>
      <c r="J162" s="155">
        <v>2</v>
      </c>
      <c r="K162" s="155">
        <v>1</v>
      </c>
      <c r="L162" s="155">
        <v>3</v>
      </c>
      <c r="M162" s="155">
        <v>2</v>
      </c>
      <c r="N162" s="155">
        <v>1</v>
      </c>
      <c r="O162" s="155"/>
      <c r="P162" s="172">
        <f t="shared" si="33"/>
        <v>633.54270186335407</v>
      </c>
      <c r="Q162" s="172">
        <f t="shared" si="34"/>
        <v>633.54270186335407</v>
      </c>
      <c r="R162" s="172">
        <f t="shared" si="35"/>
        <v>743.42529435835149</v>
      </c>
      <c r="S162" s="106"/>
      <c r="T162" s="173">
        <f t="shared" si="36"/>
        <v>1.5981558891327605E-2</v>
      </c>
      <c r="U162" s="173">
        <f t="shared" si="37"/>
        <v>9.8765432098765427E-2</v>
      </c>
      <c r="V162" s="173">
        <f t="shared" si="38"/>
        <v>1.5784255695138374E-3</v>
      </c>
      <c r="W162" s="173">
        <f t="shared" si="39"/>
        <v>1</v>
      </c>
      <c r="X162" s="167"/>
      <c r="Y162" s="106">
        <f t="shared" si="27"/>
        <v>100.68109668559269</v>
      </c>
      <c r="Z162" s="106">
        <f t="shared" si="28"/>
        <v>50.340548342796346</v>
      </c>
      <c r="AA162" s="106">
        <f t="shared" si="29"/>
        <v>25.170274171398173</v>
      </c>
      <c r="AB162" s="106">
        <f t="shared" si="30"/>
        <v>75.510822514194516</v>
      </c>
      <c r="AC162" s="106">
        <f t="shared" si="31"/>
        <v>50.340548342796346</v>
      </c>
      <c r="AD162" s="106">
        <f t="shared" si="32"/>
        <v>25.170274171398173</v>
      </c>
    </row>
    <row r="163" spans="1:30" x14ac:dyDescent="0.25">
      <c r="A163" s="122">
        <v>12480</v>
      </c>
      <c r="B163" s="153">
        <v>124</v>
      </c>
      <c r="C163" s="154">
        <v>9</v>
      </c>
      <c r="D163" s="154">
        <v>90667</v>
      </c>
      <c r="E163" s="154">
        <v>140</v>
      </c>
      <c r="F163" s="154">
        <v>156</v>
      </c>
      <c r="G163" s="154">
        <v>16</v>
      </c>
      <c r="H163" s="154">
        <v>15</v>
      </c>
      <c r="I163" s="155">
        <v>1</v>
      </c>
      <c r="J163" s="155">
        <v>2</v>
      </c>
      <c r="K163" s="155">
        <v>2</v>
      </c>
      <c r="L163" s="155">
        <v>3</v>
      </c>
      <c r="M163" s="155">
        <v>1</v>
      </c>
      <c r="N163" s="155">
        <v>3</v>
      </c>
      <c r="O163" s="155"/>
      <c r="P163" s="172">
        <f t="shared" si="33"/>
        <v>701.58988095238089</v>
      </c>
      <c r="Q163" s="172">
        <f t="shared" si="34"/>
        <v>748.36253968253959</v>
      </c>
      <c r="R163" s="172">
        <f t="shared" si="35"/>
        <v>700.21893863661739</v>
      </c>
      <c r="S163" s="106"/>
      <c r="T163" s="173">
        <f t="shared" si="36"/>
        <v>1.3897007731589223E-2</v>
      </c>
      <c r="U163" s="173">
        <f t="shared" si="37"/>
        <v>0.10256410256410256</v>
      </c>
      <c r="V163" s="173">
        <f t="shared" si="38"/>
        <v>1.4253341263168434E-3</v>
      </c>
      <c r="W163" s="173">
        <f t="shared" si="39"/>
        <v>0.9375</v>
      </c>
      <c r="X163" s="167"/>
      <c r="Y163" s="106">
        <f t="shared" si="27"/>
        <v>27.356215741263256</v>
      </c>
      <c r="Z163" s="106">
        <f t="shared" si="28"/>
        <v>54.712431482526512</v>
      </c>
      <c r="AA163" s="106">
        <f t="shared" si="29"/>
        <v>54.712431482526512</v>
      </c>
      <c r="AB163" s="106">
        <f t="shared" si="30"/>
        <v>82.068647223789768</v>
      </c>
      <c r="AC163" s="106">
        <f t="shared" si="31"/>
        <v>27.356215741263256</v>
      </c>
      <c r="AD163" s="106">
        <f t="shared" si="32"/>
        <v>82.068647223789768</v>
      </c>
    </row>
    <row r="164" spans="1:30" x14ac:dyDescent="0.25">
      <c r="A164" s="122">
        <v>12481</v>
      </c>
      <c r="B164" s="153">
        <v>124</v>
      </c>
      <c r="C164" s="154">
        <v>9</v>
      </c>
      <c r="D164" s="154">
        <v>90667</v>
      </c>
      <c r="E164" s="154">
        <v>139</v>
      </c>
      <c r="F164" s="154">
        <v>89</v>
      </c>
      <c r="G164" s="154">
        <v>16</v>
      </c>
      <c r="H164" s="154">
        <v>13</v>
      </c>
      <c r="I164" s="155">
        <v>2</v>
      </c>
      <c r="J164" s="155">
        <v>3</v>
      </c>
      <c r="K164" s="155">
        <v>3</v>
      </c>
      <c r="L164" s="155">
        <v>1</v>
      </c>
      <c r="M164" s="155">
        <v>2</v>
      </c>
      <c r="N164" s="155">
        <v>2</v>
      </c>
      <c r="O164" s="155"/>
      <c r="P164" s="172">
        <f t="shared" si="33"/>
        <v>403.14563349320548</v>
      </c>
      <c r="Q164" s="172">
        <f t="shared" si="34"/>
        <v>496.17924122240674</v>
      </c>
      <c r="R164" s="172">
        <f t="shared" si="35"/>
        <v>253.35565490901215</v>
      </c>
      <c r="S164" s="106"/>
      <c r="T164" s="173">
        <f t="shared" si="36"/>
        <v>1.3797743390649299E-2</v>
      </c>
      <c r="U164" s="173">
        <f t="shared" si="37"/>
        <v>0.1797752808988764</v>
      </c>
      <c r="V164" s="173">
        <f t="shared" si="38"/>
        <v>2.4804931938245929E-3</v>
      </c>
      <c r="W164" s="173">
        <f t="shared" si="39"/>
        <v>0.8125</v>
      </c>
      <c r="X164" s="167"/>
      <c r="Y164" s="106">
        <f t="shared" si="27"/>
        <v>44.550162344144461</v>
      </c>
      <c r="Z164" s="106">
        <f t="shared" si="28"/>
        <v>66.825243516216688</v>
      </c>
      <c r="AA164" s="106">
        <f t="shared" si="29"/>
        <v>66.825243516216688</v>
      </c>
      <c r="AB164" s="106">
        <f t="shared" si="30"/>
        <v>22.27508117207223</v>
      </c>
      <c r="AC164" s="106">
        <f t="shared" si="31"/>
        <v>44.550162344144461</v>
      </c>
      <c r="AD164" s="106">
        <f t="shared" si="32"/>
        <v>44.550162344144461</v>
      </c>
    </row>
    <row r="165" spans="1:30" x14ac:dyDescent="0.25">
      <c r="A165" s="122">
        <v>12482</v>
      </c>
      <c r="B165" s="153">
        <v>124</v>
      </c>
      <c r="C165" s="154">
        <v>9</v>
      </c>
      <c r="D165" s="154">
        <v>90667</v>
      </c>
      <c r="E165" s="154">
        <v>162</v>
      </c>
      <c r="F165" s="154">
        <v>189</v>
      </c>
      <c r="G165" s="154">
        <v>16</v>
      </c>
      <c r="H165" s="154">
        <v>13</v>
      </c>
      <c r="I165" s="155">
        <v>5</v>
      </c>
      <c r="J165" s="155">
        <v>3</v>
      </c>
      <c r="K165" s="155">
        <v>1</v>
      </c>
      <c r="L165" s="155">
        <v>4</v>
      </c>
      <c r="M165" s="155">
        <v>2</v>
      </c>
      <c r="N165" s="155">
        <v>2</v>
      </c>
      <c r="O165" s="155"/>
      <c r="P165" s="172">
        <f t="shared" si="33"/>
        <v>734.57060185185185</v>
      </c>
      <c r="Q165" s="172">
        <f t="shared" si="34"/>
        <v>904.08689458689457</v>
      </c>
      <c r="R165" s="172">
        <f t="shared" si="35"/>
        <v>1168.8436918272705</v>
      </c>
      <c r="S165" s="106"/>
      <c r="T165" s="173">
        <f t="shared" si="36"/>
        <v>1.6080823232267529E-2</v>
      </c>
      <c r="U165" s="173">
        <f t="shared" si="37"/>
        <v>8.4656084656084651E-2</v>
      </c>
      <c r="V165" s="173">
        <f t="shared" si="38"/>
        <v>1.3613395328903727E-3</v>
      </c>
      <c r="W165" s="173">
        <f t="shared" si="39"/>
        <v>0.8125</v>
      </c>
      <c r="X165" s="167"/>
      <c r="Y165" s="106">
        <f t="shared" si="27"/>
        <v>150.34018878753733</v>
      </c>
      <c r="Z165" s="106">
        <f t="shared" si="28"/>
        <v>90.204113272522392</v>
      </c>
      <c r="AA165" s="106">
        <f t="shared" si="29"/>
        <v>30.068037757507465</v>
      </c>
      <c r="AB165" s="106">
        <f t="shared" si="30"/>
        <v>120.27215103002986</v>
      </c>
      <c r="AC165" s="106">
        <f t="shared" si="31"/>
        <v>60.13607551501493</v>
      </c>
      <c r="AD165" s="106">
        <f t="shared" si="32"/>
        <v>60.13607551501493</v>
      </c>
    </row>
    <row r="166" spans="1:30" x14ac:dyDescent="0.25">
      <c r="A166" s="122">
        <v>12483</v>
      </c>
      <c r="B166" s="153">
        <v>124</v>
      </c>
      <c r="C166" s="154">
        <v>9</v>
      </c>
      <c r="D166" s="154">
        <v>90667</v>
      </c>
      <c r="E166" s="154">
        <v>156</v>
      </c>
      <c r="F166" s="154">
        <v>212</v>
      </c>
      <c r="G166" s="154">
        <v>16</v>
      </c>
      <c r="H166" s="154">
        <v>15</v>
      </c>
      <c r="I166" s="155">
        <v>2</v>
      </c>
      <c r="J166" s="155">
        <v>3</v>
      </c>
      <c r="K166" s="155">
        <v>1</v>
      </c>
      <c r="L166" s="155">
        <v>3</v>
      </c>
      <c r="M166" s="155">
        <v>2</v>
      </c>
      <c r="N166" s="155">
        <v>1</v>
      </c>
      <c r="O166" s="155"/>
      <c r="P166" s="172">
        <f t="shared" si="33"/>
        <v>855.65366809116813</v>
      </c>
      <c r="Q166" s="172">
        <f t="shared" si="34"/>
        <v>912.69724596391268</v>
      </c>
      <c r="R166" s="172">
        <f t="shared" si="35"/>
        <v>477.39246562932806</v>
      </c>
      <c r="S166" s="106"/>
      <c r="T166" s="173">
        <f t="shared" si="36"/>
        <v>1.548523718662799E-2</v>
      </c>
      <c r="U166" s="173">
        <f t="shared" si="37"/>
        <v>7.5471698113207544E-2</v>
      </c>
      <c r="V166" s="173">
        <f t="shared" si="38"/>
        <v>1.1686971461606029E-3</v>
      </c>
      <c r="W166" s="173">
        <f t="shared" si="39"/>
        <v>0.9375</v>
      </c>
      <c r="X166" s="167"/>
      <c r="Y166" s="106">
        <f t="shared" si="27"/>
        <v>60.421759191996806</v>
      </c>
      <c r="Z166" s="106">
        <f t="shared" si="28"/>
        <v>90.632638787995205</v>
      </c>
      <c r="AA166" s="106">
        <f t="shared" si="29"/>
        <v>30.210879595998403</v>
      </c>
      <c r="AB166" s="106">
        <f t="shared" si="30"/>
        <v>90.632638787995205</v>
      </c>
      <c r="AC166" s="106">
        <f t="shared" si="31"/>
        <v>60.421759191996806</v>
      </c>
      <c r="AD166" s="106">
        <f t="shared" si="32"/>
        <v>30.210879595998403</v>
      </c>
    </row>
    <row r="167" spans="1:30" x14ac:dyDescent="0.25">
      <c r="A167" s="122">
        <v>12484</v>
      </c>
      <c r="B167" s="153">
        <v>124</v>
      </c>
      <c r="C167" s="154">
        <v>9</v>
      </c>
      <c r="D167" s="154">
        <v>90667</v>
      </c>
      <c r="E167" s="154">
        <v>146</v>
      </c>
      <c r="F167" s="154">
        <v>183</v>
      </c>
      <c r="G167" s="154">
        <v>16</v>
      </c>
      <c r="H167" s="154">
        <v>15</v>
      </c>
      <c r="I167" s="155">
        <v>5</v>
      </c>
      <c r="J167" s="155">
        <v>3</v>
      </c>
      <c r="K167" s="155">
        <v>1</v>
      </c>
      <c r="L167" s="155">
        <v>4</v>
      </c>
      <c r="M167" s="155">
        <v>2</v>
      </c>
      <c r="N167" s="155">
        <v>2</v>
      </c>
      <c r="O167" s="155"/>
      <c r="P167" s="172">
        <f t="shared" si="33"/>
        <v>789.19620433789964</v>
      </c>
      <c r="Q167" s="172">
        <f t="shared" si="34"/>
        <v>841.80928462709301</v>
      </c>
      <c r="R167" s="172">
        <f t="shared" si="35"/>
        <v>1088.3284316466054</v>
      </c>
      <c r="S167" s="106"/>
      <c r="T167" s="173">
        <f t="shared" si="36"/>
        <v>1.449259377722876E-2</v>
      </c>
      <c r="U167" s="173">
        <f t="shared" si="37"/>
        <v>8.7431693989071038E-2</v>
      </c>
      <c r="V167" s="173">
        <f t="shared" si="38"/>
        <v>1.26711202423858E-3</v>
      </c>
      <c r="W167" s="173">
        <f t="shared" si="39"/>
        <v>0.9375</v>
      </c>
      <c r="X167" s="167"/>
      <c r="Y167" s="106">
        <f t="shared" si="27"/>
        <v>145.06974914046458</v>
      </c>
      <c r="Z167" s="106">
        <f t="shared" si="28"/>
        <v>87.041849484278742</v>
      </c>
      <c r="AA167" s="106">
        <f t="shared" si="29"/>
        <v>29.013949828092915</v>
      </c>
      <c r="AB167" s="106">
        <f t="shared" si="30"/>
        <v>116.05579931237166</v>
      </c>
      <c r="AC167" s="106">
        <f t="shared" si="31"/>
        <v>58.027899656185831</v>
      </c>
      <c r="AD167" s="106">
        <f t="shared" si="32"/>
        <v>58.027899656185831</v>
      </c>
    </row>
    <row r="168" spans="1:30" x14ac:dyDescent="0.25">
      <c r="A168" s="122">
        <v>12485</v>
      </c>
      <c r="B168" s="153">
        <v>124</v>
      </c>
      <c r="C168" s="154">
        <v>9</v>
      </c>
      <c r="D168" s="154">
        <v>90667</v>
      </c>
      <c r="E168" s="154">
        <v>164</v>
      </c>
      <c r="F168" s="154">
        <v>215</v>
      </c>
      <c r="G168" s="154">
        <v>16</v>
      </c>
      <c r="H168" s="154">
        <v>14</v>
      </c>
      <c r="I168" s="155">
        <v>2</v>
      </c>
      <c r="J168" s="155">
        <v>3</v>
      </c>
      <c r="K168" s="155">
        <v>3</v>
      </c>
      <c r="L168" s="155">
        <v>1</v>
      </c>
      <c r="M168" s="155">
        <v>2</v>
      </c>
      <c r="N168" s="155">
        <v>2</v>
      </c>
      <c r="O168" s="155"/>
      <c r="P168" s="172">
        <f t="shared" si="33"/>
        <v>825.43212228997299</v>
      </c>
      <c r="Q168" s="172">
        <f t="shared" si="34"/>
        <v>943.3509969028263</v>
      </c>
      <c r="R168" s="172">
        <f t="shared" si="35"/>
        <v>481.68744230525863</v>
      </c>
      <c r="S168" s="106"/>
      <c r="T168" s="173">
        <f t="shared" si="36"/>
        <v>1.6279351914147373E-2</v>
      </c>
      <c r="U168" s="173">
        <f t="shared" si="37"/>
        <v>7.441860465116279E-2</v>
      </c>
      <c r="V168" s="173">
        <f t="shared" si="38"/>
        <v>1.2114866540760836E-3</v>
      </c>
      <c r="W168" s="173">
        <f t="shared" si="39"/>
        <v>0.875</v>
      </c>
      <c r="X168" s="167"/>
      <c r="Y168" s="106">
        <f t="shared" si="27"/>
        <v>61.428039099513057</v>
      </c>
      <c r="Z168" s="106">
        <f t="shared" si="28"/>
        <v>92.142058649269586</v>
      </c>
      <c r="AA168" s="106">
        <f t="shared" si="29"/>
        <v>92.142058649269586</v>
      </c>
      <c r="AB168" s="106">
        <f t="shared" si="30"/>
        <v>30.714019549756529</v>
      </c>
      <c r="AC168" s="106">
        <f t="shared" si="31"/>
        <v>61.428039099513057</v>
      </c>
      <c r="AD168" s="106">
        <f t="shared" si="32"/>
        <v>61.428039099513057</v>
      </c>
    </row>
    <row r="169" spans="1:30" x14ac:dyDescent="0.25">
      <c r="A169" s="122">
        <v>12486</v>
      </c>
      <c r="B169" s="153">
        <v>124</v>
      </c>
      <c r="C169" s="154">
        <v>9</v>
      </c>
      <c r="D169" s="154">
        <v>90667</v>
      </c>
      <c r="E169" s="154">
        <v>145</v>
      </c>
      <c r="F169" s="154">
        <v>219</v>
      </c>
      <c r="G169" s="154">
        <v>16</v>
      </c>
      <c r="H169" s="154">
        <v>16</v>
      </c>
      <c r="I169" s="155">
        <v>3</v>
      </c>
      <c r="J169" s="154">
        <v>2</v>
      </c>
      <c r="K169" s="154">
        <v>2</v>
      </c>
      <c r="L169" s="154">
        <v>3</v>
      </c>
      <c r="M169" s="154">
        <v>2</v>
      </c>
      <c r="N169" s="154">
        <v>2</v>
      </c>
      <c r="O169" s="154"/>
      <c r="P169" s="172">
        <f t="shared" si="33"/>
        <v>950.9613505747127</v>
      </c>
      <c r="Q169" s="172">
        <f t="shared" si="34"/>
        <v>950.9613505747127</v>
      </c>
      <c r="R169" s="172">
        <f t="shared" si="35"/>
        <v>951.5414317957003</v>
      </c>
      <c r="S169" s="106"/>
      <c r="T169" s="173">
        <f t="shared" si="36"/>
        <v>1.4393329436288837E-2</v>
      </c>
      <c r="U169" s="173">
        <f t="shared" si="37"/>
        <v>7.3059360730593603E-2</v>
      </c>
      <c r="V169" s="173">
        <f t="shared" si="38"/>
        <v>1.0515674474000977E-3</v>
      </c>
      <c r="W169" s="173">
        <f t="shared" si="39"/>
        <v>1</v>
      </c>
      <c r="X169" s="167"/>
      <c r="Y169" s="106">
        <f t="shared" si="27"/>
        <v>92.512983711327863</v>
      </c>
      <c r="Z169" s="106">
        <f t="shared" si="28"/>
        <v>61.675322474218575</v>
      </c>
      <c r="AA169" s="106">
        <f t="shared" si="29"/>
        <v>61.675322474218575</v>
      </c>
      <c r="AB169" s="106">
        <f t="shared" si="30"/>
        <v>92.512983711327863</v>
      </c>
      <c r="AC169" s="106">
        <f t="shared" si="31"/>
        <v>61.675322474218575</v>
      </c>
      <c r="AD169" s="106">
        <f t="shared" si="32"/>
        <v>61.675322474218575</v>
      </c>
    </row>
    <row r="170" spans="1:30" x14ac:dyDescent="0.25">
      <c r="A170" s="122">
        <v>12487</v>
      </c>
      <c r="B170" s="153">
        <v>124</v>
      </c>
      <c r="C170" s="154">
        <v>9</v>
      </c>
      <c r="D170" s="154">
        <v>90667</v>
      </c>
      <c r="E170" s="154">
        <v>154</v>
      </c>
      <c r="F170" s="154">
        <v>212</v>
      </c>
      <c r="G170" s="154">
        <v>16</v>
      </c>
      <c r="H170" s="154">
        <v>16</v>
      </c>
      <c r="I170" s="155">
        <v>4</v>
      </c>
      <c r="J170" s="155">
        <v>3</v>
      </c>
      <c r="K170" s="155">
        <v>3</v>
      </c>
      <c r="L170" s="155">
        <v>4</v>
      </c>
      <c r="M170" s="155">
        <v>3</v>
      </c>
      <c r="N170" s="155">
        <v>2</v>
      </c>
      <c r="O170" s="155"/>
      <c r="P170" s="172">
        <f t="shared" si="33"/>
        <v>866.76605339105345</v>
      </c>
      <c r="Q170" s="172">
        <f t="shared" si="34"/>
        <v>866.76605339105345</v>
      </c>
      <c r="R170" s="172">
        <f t="shared" si="35"/>
        <v>893.08261278089424</v>
      </c>
      <c r="S170" s="106"/>
      <c r="T170" s="173">
        <f t="shared" si="36"/>
        <v>1.5286708504748144E-2</v>
      </c>
      <c r="U170" s="173">
        <f t="shared" si="37"/>
        <v>7.5471698113207544E-2</v>
      </c>
      <c r="V170" s="173">
        <f t="shared" si="38"/>
        <v>1.1537138494149542E-3</v>
      </c>
      <c r="W170" s="173">
        <f t="shared" si="39"/>
        <v>1</v>
      </c>
      <c r="X170" s="167"/>
      <c r="Y170" s="106">
        <f t="shared" si="27"/>
        <v>117.76356335580567</v>
      </c>
      <c r="Z170" s="106">
        <f t="shared" si="28"/>
        <v>88.322672516854254</v>
      </c>
      <c r="AA170" s="106">
        <f t="shared" si="29"/>
        <v>88.322672516854254</v>
      </c>
      <c r="AB170" s="106">
        <f t="shared" si="30"/>
        <v>117.76356335580567</v>
      </c>
      <c r="AC170" s="106">
        <f t="shared" si="31"/>
        <v>88.322672516854254</v>
      </c>
      <c r="AD170" s="106">
        <f t="shared" si="32"/>
        <v>58.881781677902836</v>
      </c>
    </row>
    <row r="171" spans="1:30" x14ac:dyDescent="0.25">
      <c r="A171" s="122">
        <v>12588</v>
      </c>
      <c r="B171" s="153">
        <v>125</v>
      </c>
      <c r="C171" s="154">
        <v>3</v>
      </c>
      <c r="D171" s="154">
        <v>9314</v>
      </c>
      <c r="E171" s="154">
        <v>117</v>
      </c>
      <c r="F171" s="154">
        <v>85</v>
      </c>
      <c r="G171" s="154">
        <v>16</v>
      </c>
      <c r="H171" s="154">
        <v>15</v>
      </c>
      <c r="I171" s="155">
        <v>2</v>
      </c>
      <c r="J171" s="155">
        <v>2</v>
      </c>
      <c r="K171" s="155">
        <v>1</v>
      </c>
      <c r="L171" s="155">
        <v>3</v>
      </c>
      <c r="M171" s="155">
        <v>1</v>
      </c>
      <c r="N171" s="155">
        <v>1</v>
      </c>
      <c r="O171" s="155"/>
      <c r="P171" s="172">
        <f t="shared" si="33"/>
        <v>140.9704415954416</v>
      </c>
      <c r="Q171" s="172">
        <f t="shared" si="34"/>
        <v>150.3684710351377</v>
      </c>
      <c r="R171" s="172">
        <f t="shared" si="35"/>
        <v>210.04755428785083</v>
      </c>
      <c r="S171" s="106"/>
      <c r="T171" s="173">
        <f t="shared" si="36"/>
        <v>3.7685205067640115E-2</v>
      </c>
      <c r="U171" s="173">
        <f t="shared" si="37"/>
        <v>0.18823529411764706</v>
      </c>
      <c r="V171" s="173">
        <f t="shared" si="38"/>
        <v>7.09368565979108E-3</v>
      </c>
      <c r="W171" s="173">
        <f t="shared" si="39"/>
        <v>0.9375</v>
      </c>
      <c r="X171" s="167"/>
      <c r="Y171" s="106">
        <f t="shared" si="27"/>
        <v>24.524964508446303</v>
      </c>
      <c r="Z171" s="106">
        <f t="shared" si="28"/>
        <v>24.524964508446303</v>
      </c>
      <c r="AA171" s="106">
        <f t="shared" si="29"/>
        <v>12.262482254223151</v>
      </c>
      <c r="AB171" s="106">
        <f t="shared" si="30"/>
        <v>36.787446762669454</v>
      </c>
      <c r="AC171" s="106">
        <f t="shared" si="31"/>
        <v>12.262482254223151</v>
      </c>
      <c r="AD171" s="106">
        <f t="shared" si="32"/>
        <v>12.262482254223151</v>
      </c>
    </row>
    <row r="172" spans="1:30" x14ac:dyDescent="0.25">
      <c r="A172" s="122">
        <v>12589</v>
      </c>
      <c r="B172" s="153">
        <v>125</v>
      </c>
      <c r="C172" s="154">
        <v>3</v>
      </c>
      <c r="D172" s="154">
        <v>9314</v>
      </c>
      <c r="E172" s="154">
        <v>153</v>
      </c>
      <c r="F172" s="154">
        <v>222</v>
      </c>
      <c r="G172" s="154">
        <v>16</v>
      </c>
      <c r="H172" s="154">
        <v>16</v>
      </c>
      <c r="I172" s="155">
        <v>2</v>
      </c>
      <c r="J172" s="155">
        <v>2</v>
      </c>
      <c r="K172" s="155">
        <v>2</v>
      </c>
      <c r="L172" s="155">
        <v>4</v>
      </c>
      <c r="M172" s="155">
        <v>2</v>
      </c>
      <c r="N172" s="155">
        <v>1</v>
      </c>
      <c r="O172" s="155"/>
      <c r="P172" s="172">
        <f t="shared" si="33"/>
        <v>281.55065359477123</v>
      </c>
      <c r="Q172" s="172">
        <f t="shared" si="34"/>
        <v>281.55065359477123</v>
      </c>
      <c r="R172" s="172">
        <f t="shared" si="35"/>
        <v>356.60624405542131</v>
      </c>
      <c r="S172" s="106"/>
      <c r="T172" s="173">
        <f t="shared" si="36"/>
        <v>4.9280652780760145E-2</v>
      </c>
      <c r="U172" s="173">
        <f t="shared" si="37"/>
        <v>7.2072072072072071E-2</v>
      </c>
      <c r="V172" s="173">
        <f t="shared" si="38"/>
        <v>3.5517587589737041E-3</v>
      </c>
      <c r="W172" s="173">
        <f t="shared" si="39"/>
        <v>1</v>
      </c>
      <c r="X172" s="167"/>
      <c r="Y172" s="106">
        <f t="shared" si="27"/>
        <v>33.558942390651779</v>
      </c>
      <c r="Z172" s="106">
        <f t="shared" si="28"/>
        <v>33.558942390651779</v>
      </c>
      <c r="AA172" s="106">
        <f t="shared" si="29"/>
        <v>33.558942390651779</v>
      </c>
      <c r="AB172" s="106">
        <f t="shared" si="30"/>
        <v>67.117884781303559</v>
      </c>
      <c r="AC172" s="106">
        <f t="shared" si="31"/>
        <v>33.558942390651779</v>
      </c>
      <c r="AD172" s="106">
        <f t="shared" si="32"/>
        <v>16.77947119532589</v>
      </c>
    </row>
    <row r="173" spans="1:30" x14ac:dyDescent="0.25">
      <c r="A173" s="122">
        <v>12590</v>
      </c>
      <c r="B173" s="153">
        <v>125</v>
      </c>
      <c r="C173" s="154">
        <v>3</v>
      </c>
      <c r="D173" s="154">
        <v>9314</v>
      </c>
      <c r="E173" s="154">
        <v>151</v>
      </c>
      <c r="F173" s="154">
        <v>206</v>
      </c>
      <c r="G173" s="154">
        <v>16</v>
      </c>
      <c r="H173" s="154">
        <v>15</v>
      </c>
      <c r="I173" s="155">
        <v>4</v>
      </c>
      <c r="J173" s="155">
        <v>2</v>
      </c>
      <c r="K173" s="155">
        <v>2</v>
      </c>
      <c r="L173" s="155">
        <v>4</v>
      </c>
      <c r="M173" s="155">
        <v>2</v>
      </c>
      <c r="N173" s="155">
        <v>2</v>
      </c>
      <c r="O173" s="155"/>
      <c r="P173" s="172">
        <f t="shared" si="33"/>
        <v>264.71909492273733</v>
      </c>
      <c r="Q173" s="172">
        <f t="shared" si="34"/>
        <v>282.36703458425313</v>
      </c>
      <c r="R173" s="172">
        <f t="shared" si="35"/>
        <v>428.77109456522084</v>
      </c>
      <c r="S173" s="106"/>
      <c r="T173" s="173">
        <f t="shared" si="36"/>
        <v>4.8636461241142369E-2</v>
      </c>
      <c r="U173" s="173">
        <f t="shared" si="37"/>
        <v>7.7669902912621352E-2</v>
      </c>
      <c r="V173" s="173">
        <f t="shared" si="38"/>
        <v>3.7775892226129992E-3</v>
      </c>
      <c r="W173" s="173">
        <f t="shared" si="39"/>
        <v>0.9375</v>
      </c>
      <c r="X173" s="167"/>
      <c r="Y173" s="106">
        <f t="shared" si="27"/>
        <v>67.215121463462751</v>
      </c>
      <c r="Z173" s="106">
        <f t="shared" si="28"/>
        <v>33.607560731731375</v>
      </c>
      <c r="AA173" s="106">
        <f t="shared" si="29"/>
        <v>33.607560731731375</v>
      </c>
      <c r="AB173" s="106">
        <f t="shared" si="30"/>
        <v>67.215121463462751</v>
      </c>
      <c r="AC173" s="106">
        <f t="shared" si="31"/>
        <v>33.607560731731375</v>
      </c>
      <c r="AD173" s="106">
        <f t="shared" si="32"/>
        <v>33.607560731731375</v>
      </c>
    </row>
    <row r="174" spans="1:30" x14ac:dyDescent="0.25">
      <c r="A174" s="122">
        <v>22577</v>
      </c>
      <c r="B174" s="153">
        <v>225</v>
      </c>
      <c r="C174" s="154">
        <v>6</v>
      </c>
      <c r="D174" s="154">
        <v>95699</v>
      </c>
      <c r="E174" s="154">
        <v>133</v>
      </c>
      <c r="F174" s="154">
        <v>177</v>
      </c>
      <c r="G174" s="154">
        <v>16</v>
      </c>
      <c r="H174" s="154">
        <v>13</v>
      </c>
      <c r="I174" s="155">
        <v>3</v>
      </c>
      <c r="J174" s="155">
        <v>2</v>
      </c>
      <c r="K174" s="155">
        <v>2</v>
      </c>
      <c r="L174" s="155">
        <v>3</v>
      </c>
      <c r="M174" s="155">
        <v>2</v>
      </c>
      <c r="N174" s="155">
        <v>2</v>
      </c>
      <c r="O174" s="155"/>
      <c r="P174" s="172">
        <f t="shared" si="33"/>
        <v>1326.6543703007519</v>
      </c>
      <c r="Q174" s="172">
        <f t="shared" si="34"/>
        <v>1632.8053788316947</v>
      </c>
      <c r="R174" s="172">
        <f t="shared" si="35"/>
        <v>1633.8013811794406</v>
      </c>
      <c r="S174" s="106"/>
      <c r="T174" s="173">
        <f t="shared" si="36"/>
        <v>8.3386451269083263E-3</v>
      </c>
      <c r="U174" s="173">
        <f t="shared" si="37"/>
        <v>9.03954802259887E-2</v>
      </c>
      <c r="V174" s="173">
        <f t="shared" si="38"/>
        <v>7.5377583068097869E-4</v>
      </c>
      <c r="W174" s="173">
        <f t="shared" si="39"/>
        <v>0.8125</v>
      </c>
      <c r="X174" s="167"/>
      <c r="Y174" s="106">
        <f t="shared" si="27"/>
        <v>121.22395971706771</v>
      </c>
      <c r="Z174" s="106">
        <f t="shared" si="28"/>
        <v>80.815973144711805</v>
      </c>
      <c r="AA174" s="106">
        <f t="shared" si="29"/>
        <v>80.815973144711805</v>
      </c>
      <c r="AB174" s="106">
        <f t="shared" si="30"/>
        <v>121.22395971706771</v>
      </c>
      <c r="AC174" s="106">
        <f t="shared" si="31"/>
        <v>80.815973144711805</v>
      </c>
      <c r="AD174" s="106">
        <f t="shared" si="32"/>
        <v>80.815973144711805</v>
      </c>
    </row>
    <row r="175" spans="1:30" x14ac:dyDescent="0.25">
      <c r="A175" s="122">
        <v>22578</v>
      </c>
      <c r="B175" s="153">
        <v>225</v>
      </c>
      <c r="C175" s="154">
        <v>6</v>
      </c>
      <c r="D175" s="154">
        <v>95699</v>
      </c>
      <c r="E175" s="154">
        <v>127</v>
      </c>
      <c r="F175" s="154">
        <v>166</v>
      </c>
      <c r="G175" s="154">
        <v>16</v>
      </c>
      <c r="H175" s="154">
        <v>16</v>
      </c>
      <c r="I175" s="155">
        <v>4</v>
      </c>
      <c r="J175" s="155">
        <v>2</v>
      </c>
      <c r="K175" s="155">
        <v>2</v>
      </c>
      <c r="L175" s="155">
        <v>3</v>
      </c>
      <c r="M175" s="155">
        <v>2</v>
      </c>
      <c r="N175" s="155">
        <v>2</v>
      </c>
      <c r="O175" s="155"/>
      <c r="P175" s="172">
        <f t="shared" si="33"/>
        <v>1302.9883530183724</v>
      </c>
      <c r="Q175" s="172">
        <f t="shared" si="34"/>
        <v>1302.9883530183724</v>
      </c>
      <c r="R175" s="172">
        <f t="shared" si="35"/>
        <v>1655.7823373162685</v>
      </c>
      <c r="S175" s="106"/>
      <c r="T175" s="173">
        <f t="shared" si="36"/>
        <v>7.9624656474989296E-3</v>
      </c>
      <c r="U175" s="173">
        <f t="shared" si="37"/>
        <v>9.6385542168674704E-2</v>
      </c>
      <c r="V175" s="173">
        <f t="shared" si="38"/>
        <v>7.6746656843363183E-4</v>
      </c>
      <c r="W175" s="173">
        <f t="shared" si="39"/>
        <v>1</v>
      </c>
      <c r="X175" s="167"/>
      <c r="Y175" s="106">
        <f t="shared" si="27"/>
        <v>144.38771986666305</v>
      </c>
      <c r="Z175" s="106">
        <f t="shared" si="28"/>
        <v>72.193859933331524</v>
      </c>
      <c r="AA175" s="106">
        <f t="shared" si="29"/>
        <v>72.193859933331524</v>
      </c>
      <c r="AB175" s="106">
        <f t="shared" si="30"/>
        <v>108.29078989999729</v>
      </c>
      <c r="AC175" s="106">
        <f t="shared" si="31"/>
        <v>72.193859933331524</v>
      </c>
      <c r="AD175" s="106">
        <f t="shared" si="32"/>
        <v>72.193859933331524</v>
      </c>
    </row>
    <row r="176" spans="1:30" x14ac:dyDescent="0.25">
      <c r="A176" s="122">
        <v>22579</v>
      </c>
      <c r="B176" s="153">
        <v>225</v>
      </c>
      <c r="C176" s="154">
        <v>6</v>
      </c>
      <c r="D176" s="154">
        <v>95699</v>
      </c>
      <c r="E176" s="154">
        <v>118</v>
      </c>
      <c r="F176" s="154">
        <v>93</v>
      </c>
      <c r="G176" s="154">
        <v>16</v>
      </c>
      <c r="H176" s="154">
        <v>16</v>
      </c>
      <c r="I176" s="155">
        <v>3</v>
      </c>
      <c r="J176" s="155">
        <v>1</v>
      </c>
      <c r="K176" s="155">
        <v>1</v>
      </c>
      <c r="L176" s="155">
        <v>3</v>
      </c>
      <c r="M176" s="154">
        <v>2</v>
      </c>
      <c r="N176" s="154">
        <v>1</v>
      </c>
      <c r="O176" s="154"/>
      <c r="P176" s="172">
        <f t="shared" si="33"/>
        <v>785.66445974576277</v>
      </c>
      <c r="Q176" s="172">
        <f t="shared" si="34"/>
        <v>785.66445974576277</v>
      </c>
      <c r="R176" s="172">
        <f t="shared" si="35"/>
        <v>796.179356018779</v>
      </c>
      <c r="S176" s="106"/>
      <c r="T176" s="173">
        <f t="shared" si="36"/>
        <v>7.3981964283848312E-3</v>
      </c>
      <c r="U176" s="173">
        <f t="shared" si="37"/>
        <v>0.17204301075268819</v>
      </c>
      <c r="V176" s="173">
        <f t="shared" si="38"/>
        <v>1.2728079876791107E-3</v>
      </c>
      <c r="W176" s="173">
        <f t="shared" si="39"/>
        <v>1</v>
      </c>
      <c r="X176" s="167"/>
      <c r="Y176" s="106">
        <f t="shared" si="27"/>
        <v>84.089120210119134</v>
      </c>
      <c r="Z176" s="106">
        <f t="shared" si="28"/>
        <v>28.029706736706377</v>
      </c>
      <c r="AA176" s="106">
        <f t="shared" si="29"/>
        <v>28.029706736706377</v>
      </c>
      <c r="AB176" s="106">
        <f t="shared" si="30"/>
        <v>84.089120210119134</v>
      </c>
      <c r="AC176" s="106">
        <f t="shared" si="31"/>
        <v>56.059413473412754</v>
      </c>
      <c r="AD176" s="106">
        <f t="shared" si="32"/>
        <v>28.029706736706377</v>
      </c>
    </row>
    <row r="177" spans="1:30" x14ac:dyDescent="0.25">
      <c r="A177" s="122">
        <v>22580</v>
      </c>
      <c r="B177" s="153">
        <v>225</v>
      </c>
      <c r="C177" s="154">
        <v>6</v>
      </c>
      <c r="D177" s="154">
        <v>95699</v>
      </c>
      <c r="E177" s="154">
        <v>111</v>
      </c>
      <c r="F177" s="154">
        <v>0</v>
      </c>
      <c r="G177" s="154">
        <v>0</v>
      </c>
      <c r="H177" s="154">
        <v>0</v>
      </c>
      <c r="I177" s="155">
        <v>2</v>
      </c>
      <c r="J177" s="155">
        <v>3</v>
      </c>
      <c r="K177" s="155">
        <v>3</v>
      </c>
      <c r="L177" s="155">
        <v>1</v>
      </c>
      <c r="M177" s="155">
        <v>2</v>
      </c>
      <c r="N177" s="155">
        <v>2</v>
      </c>
      <c r="O177" s="155"/>
      <c r="P177" s="172" t="e">
        <f t="shared" si="33"/>
        <v>#DIV/0!</v>
      </c>
      <c r="Q177" s="172">
        <f t="shared" si="34"/>
        <v>0</v>
      </c>
      <c r="R177" s="172">
        <f t="shared" si="35"/>
        <v>0</v>
      </c>
      <c r="S177" s="106"/>
      <c r="T177" s="173">
        <f t="shared" si="36"/>
        <v>6.9593203690738667E-3</v>
      </c>
      <c r="U177" s="173" t="e">
        <f t="shared" si="37"/>
        <v>#DIV/0!</v>
      </c>
      <c r="V177" s="173" t="e">
        <f t="shared" si="38"/>
        <v>#DIV/0!</v>
      </c>
      <c r="W177" s="173">
        <f t="shared" si="39"/>
        <v>0</v>
      </c>
      <c r="X177" s="167"/>
      <c r="Y177" s="106">
        <f t="shared" si="27"/>
        <v>0</v>
      </c>
      <c r="Z177" s="106">
        <f t="shared" si="28"/>
        <v>0</v>
      </c>
      <c r="AA177" s="106">
        <f t="shared" si="29"/>
        <v>0</v>
      </c>
      <c r="AB177" s="106">
        <f t="shared" si="30"/>
        <v>0</v>
      </c>
      <c r="AC177" s="106">
        <f t="shared" si="31"/>
        <v>0</v>
      </c>
      <c r="AD177" s="106">
        <f t="shared" si="32"/>
        <v>0</v>
      </c>
    </row>
    <row r="178" spans="1:30" x14ac:dyDescent="0.25">
      <c r="A178" s="122">
        <v>22581</v>
      </c>
      <c r="B178" s="153">
        <v>225</v>
      </c>
      <c r="C178" s="154">
        <v>6</v>
      </c>
      <c r="D178" s="154">
        <v>95699</v>
      </c>
      <c r="E178" s="154">
        <v>134</v>
      </c>
      <c r="F178" s="154">
        <v>89</v>
      </c>
      <c r="G178" s="154">
        <v>16</v>
      </c>
      <c r="H178" s="154">
        <v>16</v>
      </c>
      <c r="I178" s="155">
        <v>5</v>
      </c>
      <c r="J178" s="155">
        <v>2</v>
      </c>
      <c r="K178" s="155">
        <v>1</v>
      </c>
      <c r="L178" s="155">
        <v>4</v>
      </c>
      <c r="M178" s="155">
        <v>3</v>
      </c>
      <c r="N178" s="155">
        <v>2</v>
      </c>
      <c r="O178" s="155"/>
      <c r="P178" s="172">
        <f t="shared" si="33"/>
        <v>662.0966262437812</v>
      </c>
      <c r="Q178" s="172">
        <f t="shared" si="34"/>
        <v>662.0966262437812</v>
      </c>
      <c r="R178" s="172">
        <f t="shared" si="35"/>
        <v>423.20862024516481</v>
      </c>
      <c r="S178" s="106"/>
      <c r="T178" s="173">
        <f t="shared" si="36"/>
        <v>8.4013417068098933E-3</v>
      </c>
      <c r="U178" s="173">
        <f t="shared" si="37"/>
        <v>0.1797752808988764</v>
      </c>
      <c r="V178" s="173">
        <f t="shared" si="38"/>
        <v>1.5103535652691942E-3</v>
      </c>
      <c r="W178" s="173">
        <f t="shared" si="39"/>
        <v>1</v>
      </c>
      <c r="X178" s="167"/>
      <c r="Y178" s="106">
        <f t="shared" si="27"/>
        <v>128.65619167414576</v>
      </c>
      <c r="Z178" s="106">
        <f t="shared" si="28"/>
        <v>51.462476669658301</v>
      </c>
      <c r="AA178" s="106">
        <f t="shared" si="29"/>
        <v>25.73123833482915</v>
      </c>
      <c r="AB178" s="106">
        <f t="shared" si="30"/>
        <v>102.9249533393166</v>
      </c>
      <c r="AC178" s="106">
        <f t="shared" si="31"/>
        <v>77.193715004487444</v>
      </c>
      <c r="AD178" s="106">
        <f t="shared" si="32"/>
        <v>51.462476669658301</v>
      </c>
    </row>
    <row r="179" spans="1:30" x14ac:dyDescent="0.25">
      <c r="A179" s="122">
        <v>22582</v>
      </c>
      <c r="B179" s="153">
        <v>225</v>
      </c>
      <c r="C179" s="154">
        <v>6</v>
      </c>
      <c r="D179" s="154">
        <v>95699</v>
      </c>
      <c r="E179" s="154">
        <v>132</v>
      </c>
      <c r="F179" s="154">
        <v>170</v>
      </c>
      <c r="G179" s="154">
        <v>16</v>
      </c>
      <c r="H179" s="154">
        <v>16</v>
      </c>
      <c r="I179" s="155">
        <v>4</v>
      </c>
      <c r="J179" s="155">
        <v>3</v>
      </c>
      <c r="K179" s="155">
        <v>1</v>
      </c>
      <c r="L179" s="155">
        <v>3</v>
      </c>
      <c r="M179" s="155">
        <v>2</v>
      </c>
      <c r="N179" s="155">
        <v>2</v>
      </c>
      <c r="O179" s="155"/>
      <c r="P179" s="172">
        <f t="shared" si="33"/>
        <v>1283.8407512626263</v>
      </c>
      <c r="Q179" s="172">
        <f t="shared" si="34"/>
        <v>1283.8407512626263</v>
      </c>
      <c r="R179" s="172">
        <f t="shared" si="35"/>
        <v>994.93281580845996</v>
      </c>
      <c r="S179" s="106"/>
      <c r="T179" s="173">
        <f t="shared" si="36"/>
        <v>8.2759485470067611E-3</v>
      </c>
      <c r="U179" s="173">
        <f t="shared" si="37"/>
        <v>9.4117647058823528E-2</v>
      </c>
      <c r="V179" s="173">
        <f t="shared" si="38"/>
        <v>7.7891280442416572E-4</v>
      </c>
      <c r="W179" s="173">
        <f t="shared" si="39"/>
        <v>1</v>
      </c>
      <c r="X179" s="167"/>
      <c r="Y179" s="106">
        <f t="shared" si="27"/>
        <v>143.32289426397313</v>
      </c>
      <c r="Z179" s="106">
        <f t="shared" si="28"/>
        <v>107.49217069797984</v>
      </c>
      <c r="AA179" s="106">
        <f t="shared" si="29"/>
        <v>35.830723565993281</v>
      </c>
      <c r="AB179" s="106">
        <f t="shared" si="30"/>
        <v>107.49217069797984</v>
      </c>
      <c r="AC179" s="106">
        <f t="shared" si="31"/>
        <v>71.661447131986563</v>
      </c>
      <c r="AD179" s="106">
        <f t="shared" si="32"/>
        <v>71.661447131986563</v>
      </c>
    </row>
    <row r="180" spans="1:30" x14ac:dyDescent="0.25">
      <c r="A180" s="122">
        <v>12691</v>
      </c>
      <c r="B180" s="153">
        <v>126</v>
      </c>
      <c r="C180" s="154">
        <v>2</v>
      </c>
      <c r="D180" s="154">
        <v>3887</v>
      </c>
      <c r="E180" s="154">
        <v>143</v>
      </c>
      <c r="F180" s="154">
        <v>95</v>
      </c>
      <c r="G180" s="154">
        <v>16</v>
      </c>
      <c r="H180" s="154">
        <v>15</v>
      </c>
      <c r="I180" s="155">
        <v>4</v>
      </c>
      <c r="J180" s="155">
        <v>3</v>
      </c>
      <c r="K180" s="155">
        <v>3</v>
      </c>
      <c r="L180" s="155">
        <v>4</v>
      </c>
      <c r="M180" s="155">
        <v>3</v>
      </c>
      <c r="N180" s="155">
        <v>2</v>
      </c>
      <c r="O180" s="155"/>
      <c r="P180" s="172">
        <f t="shared" si="33"/>
        <v>80.69602272727272</v>
      </c>
      <c r="Q180" s="172">
        <f t="shared" si="34"/>
        <v>86.075757575757564</v>
      </c>
      <c r="R180" s="172">
        <f t="shared" si="35"/>
        <v>88.689170707716002</v>
      </c>
      <c r="S180" s="106"/>
      <c r="T180" s="173">
        <f t="shared" si="36"/>
        <v>7.3578595317725759E-2</v>
      </c>
      <c r="U180" s="173">
        <f t="shared" si="37"/>
        <v>0.16842105263157894</v>
      </c>
      <c r="V180" s="173">
        <f t="shared" si="38"/>
        <v>1.2392184474564338E-2</v>
      </c>
      <c r="W180" s="173">
        <f t="shared" si="39"/>
        <v>0.9375</v>
      </c>
      <c r="X180" s="167"/>
      <c r="Y180" s="106">
        <f t="shared" si="27"/>
        <v>37.110808684426715</v>
      </c>
      <c r="Z180" s="106">
        <f t="shared" si="28"/>
        <v>27.833106513320036</v>
      </c>
      <c r="AA180" s="106">
        <f t="shared" si="29"/>
        <v>27.833106513320036</v>
      </c>
      <c r="AB180" s="106">
        <f t="shared" si="30"/>
        <v>37.110808684426715</v>
      </c>
      <c r="AC180" s="106">
        <f t="shared" si="31"/>
        <v>27.833106513320036</v>
      </c>
      <c r="AD180" s="106">
        <f t="shared" si="32"/>
        <v>18.555404342213357</v>
      </c>
    </row>
    <row r="181" spans="1:30" x14ac:dyDescent="0.25">
      <c r="A181" s="122">
        <v>12692</v>
      </c>
      <c r="B181" s="153">
        <v>126</v>
      </c>
      <c r="C181" s="154">
        <v>2</v>
      </c>
      <c r="D181" s="154">
        <v>3887</v>
      </c>
      <c r="E181" s="154">
        <v>137</v>
      </c>
      <c r="F181" s="154">
        <v>72</v>
      </c>
      <c r="G181" s="154">
        <v>16</v>
      </c>
      <c r="H181" s="154">
        <v>13</v>
      </c>
      <c r="I181" s="155">
        <v>2</v>
      </c>
      <c r="J181" s="155">
        <v>2</v>
      </c>
      <c r="K181" s="155">
        <v>1</v>
      </c>
      <c r="L181" s="155">
        <v>3</v>
      </c>
      <c r="M181" s="155">
        <v>2</v>
      </c>
      <c r="N181" s="155">
        <v>2</v>
      </c>
      <c r="O181" s="155"/>
      <c r="P181" s="172">
        <f t="shared" si="33"/>
        <v>63.837591240875916</v>
      </c>
      <c r="Q181" s="172">
        <f t="shared" si="34"/>
        <v>78.569343065693431</v>
      </c>
      <c r="R181" s="172">
        <f t="shared" si="35"/>
        <v>27.087587625619644</v>
      </c>
      <c r="S181" s="106"/>
      <c r="T181" s="173">
        <f t="shared" si="36"/>
        <v>7.0491381528170832E-2</v>
      </c>
      <c r="U181" s="173">
        <f t="shared" si="37"/>
        <v>0.22222222222222221</v>
      </c>
      <c r="V181" s="173">
        <f t="shared" si="38"/>
        <v>1.5664751450704627E-2</v>
      </c>
      <c r="W181" s="173">
        <f t="shared" si="39"/>
        <v>0.8125</v>
      </c>
      <c r="X181" s="167"/>
      <c r="Y181" s="106">
        <f t="shared" si="27"/>
        <v>17.727869930219303</v>
      </c>
      <c r="Z181" s="106">
        <f t="shared" si="28"/>
        <v>17.727869930219303</v>
      </c>
      <c r="AA181" s="106">
        <f t="shared" si="29"/>
        <v>8.8639349651096513</v>
      </c>
      <c r="AB181" s="106">
        <f t="shared" si="30"/>
        <v>26.591804895328956</v>
      </c>
      <c r="AC181" s="106">
        <f t="shared" si="31"/>
        <v>17.727869930219303</v>
      </c>
      <c r="AD181" s="106">
        <f t="shared" si="32"/>
        <v>17.727869930219303</v>
      </c>
    </row>
    <row r="182" spans="1:30" x14ac:dyDescent="0.25">
      <c r="A182" s="122">
        <v>22683</v>
      </c>
      <c r="B182" s="153">
        <v>226</v>
      </c>
      <c r="C182" s="154">
        <v>3</v>
      </c>
      <c r="D182" s="154">
        <v>24141</v>
      </c>
      <c r="E182" s="154">
        <v>101</v>
      </c>
      <c r="F182" s="154">
        <v>25</v>
      </c>
      <c r="G182" s="154">
        <v>16</v>
      </c>
      <c r="H182" s="154">
        <v>16</v>
      </c>
      <c r="I182" s="155">
        <v>2</v>
      </c>
      <c r="J182" s="155">
        <v>2</v>
      </c>
      <c r="K182" s="155">
        <v>1</v>
      </c>
      <c r="L182" s="155">
        <v>3</v>
      </c>
      <c r="M182" s="155">
        <v>1</v>
      </c>
      <c r="N182" s="155">
        <v>1</v>
      </c>
      <c r="O182" s="155"/>
      <c r="P182" s="172">
        <f t="shared" si="33"/>
        <v>124.48948019801979</v>
      </c>
      <c r="Q182" s="172">
        <f t="shared" si="34"/>
        <v>124.48948019801979</v>
      </c>
      <c r="R182" s="172">
        <f t="shared" si="35"/>
        <v>173.89756423106499</v>
      </c>
      <c r="S182" s="106"/>
      <c r="T182" s="173">
        <f t="shared" si="36"/>
        <v>1.2551261339629676E-2</v>
      </c>
      <c r="U182" s="173">
        <f t="shared" si="37"/>
        <v>0.64</v>
      </c>
      <c r="V182" s="173">
        <f t="shared" si="38"/>
        <v>8.0328072573629932E-3</v>
      </c>
      <c r="W182" s="173">
        <f t="shared" si="39"/>
        <v>1</v>
      </c>
      <c r="X182" s="167"/>
      <c r="Y182" s="106">
        <f t="shared" si="27"/>
        <v>22.314970777307309</v>
      </c>
      <c r="Z182" s="106">
        <f t="shared" si="28"/>
        <v>22.314970777307309</v>
      </c>
      <c r="AA182" s="106">
        <f t="shared" si="29"/>
        <v>11.157485388653654</v>
      </c>
      <c r="AB182" s="106">
        <f t="shared" si="30"/>
        <v>33.472456165960963</v>
      </c>
      <c r="AC182" s="106">
        <f t="shared" si="31"/>
        <v>11.157485388653654</v>
      </c>
      <c r="AD182" s="106">
        <f t="shared" si="32"/>
        <v>11.157485388653654</v>
      </c>
    </row>
    <row r="183" spans="1:30" x14ac:dyDescent="0.25">
      <c r="A183" s="122">
        <v>22684</v>
      </c>
      <c r="B183" s="153">
        <v>226</v>
      </c>
      <c r="C183" s="154">
        <v>3</v>
      </c>
      <c r="D183" s="154">
        <v>24141</v>
      </c>
      <c r="E183" s="154">
        <v>190</v>
      </c>
      <c r="F183" s="154">
        <v>182</v>
      </c>
      <c r="G183" s="154">
        <v>16</v>
      </c>
      <c r="H183" s="154">
        <v>15</v>
      </c>
      <c r="I183" s="155">
        <v>2</v>
      </c>
      <c r="J183" s="155">
        <v>2</v>
      </c>
      <c r="K183" s="155">
        <v>1</v>
      </c>
      <c r="L183" s="155">
        <v>3</v>
      </c>
      <c r="M183" s="155">
        <v>2</v>
      </c>
      <c r="N183" s="155">
        <v>2</v>
      </c>
      <c r="O183" s="155"/>
      <c r="P183" s="172">
        <f t="shared" si="33"/>
        <v>481.76118421052627</v>
      </c>
      <c r="Q183" s="172">
        <f t="shared" si="34"/>
        <v>513.878596491228</v>
      </c>
      <c r="R183" s="172">
        <f t="shared" si="35"/>
        <v>177.16492168895959</v>
      </c>
      <c r="S183" s="106"/>
      <c r="T183" s="173">
        <f t="shared" si="36"/>
        <v>2.3611283708214241E-2</v>
      </c>
      <c r="U183" s="173">
        <f t="shared" si="37"/>
        <v>8.7912087912087919E-2</v>
      </c>
      <c r="V183" s="173">
        <f t="shared" si="38"/>
        <v>2.0757172490737798E-3</v>
      </c>
      <c r="W183" s="173">
        <f t="shared" si="39"/>
        <v>0.9375</v>
      </c>
      <c r="X183" s="167"/>
      <c r="Y183" s="106">
        <f t="shared" si="27"/>
        <v>45.337780999569354</v>
      </c>
      <c r="Z183" s="106">
        <f t="shared" si="28"/>
        <v>45.337780999569354</v>
      </c>
      <c r="AA183" s="106">
        <f t="shared" si="29"/>
        <v>22.668890499784677</v>
      </c>
      <c r="AB183" s="106">
        <f t="shared" si="30"/>
        <v>68.006671499354027</v>
      </c>
      <c r="AC183" s="106">
        <f t="shared" si="31"/>
        <v>45.337780999569354</v>
      </c>
      <c r="AD183" s="106">
        <f t="shared" si="32"/>
        <v>45.337780999569354</v>
      </c>
    </row>
    <row r="184" spans="1:30" x14ac:dyDescent="0.25">
      <c r="A184" s="122">
        <v>22685</v>
      </c>
      <c r="B184" s="153">
        <v>226</v>
      </c>
      <c r="C184" s="154">
        <v>3</v>
      </c>
      <c r="D184" s="154">
        <v>24141</v>
      </c>
      <c r="E184" s="154">
        <v>101</v>
      </c>
      <c r="F184" s="154">
        <v>134</v>
      </c>
      <c r="G184" s="154">
        <v>16</v>
      </c>
      <c r="H184" s="154">
        <v>14</v>
      </c>
      <c r="I184" s="155">
        <v>3</v>
      </c>
      <c r="J184" s="154">
        <v>2</v>
      </c>
      <c r="K184" s="154">
        <v>2</v>
      </c>
      <c r="L184" s="154">
        <v>3</v>
      </c>
      <c r="M184" s="154">
        <v>2</v>
      </c>
      <c r="N184" s="154">
        <v>2</v>
      </c>
      <c r="O184" s="154"/>
      <c r="P184" s="172">
        <f t="shared" si="33"/>
        <v>667.26361386138615</v>
      </c>
      <c r="Q184" s="172">
        <f t="shared" si="34"/>
        <v>762.58698727015565</v>
      </c>
      <c r="R184" s="172">
        <f t="shared" si="35"/>
        <v>763.05216116015401</v>
      </c>
      <c r="S184" s="106"/>
      <c r="T184" s="173">
        <f t="shared" si="36"/>
        <v>1.2551261339629676E-2</v>
      </c>
      <c r="U184" s="173">
        <f t="shared" si="37"/>
        <v>0.11940298507462686</v>
      </c>
      <c r="V184" s="173">
        <f t="shared" si="38"/>
        <v>1.4986580704035434E-3</v>
      </c>
      <c r="W184" s="173">
        <f t="shared" si="39"/>
        <v>0.875</v>
      </c>
      <c r="X184" s="167"/>
      <c r="Y184" s="106">
        <f t="shared" si="27"/>
        <v>82.844932768585196</v>
      </c>
      <c r="Z184" s="106">
        <f t="shared" si="28"/>
        <v>55.229955179056795</v>
      </c>
      <c r="AA184" s="106">
        <f t="shared" si="29"/>
        <v>55.229955179056795</v>
      </c>
      <c r="AB184" s="106">
        <f t="shared" si="30"/>
        <v>82.844932768585196</v>
      </c>
      <c r="AC184" s="106">
        <f t="shared" si="31"/>
        <v>55.229955179056795</v>
      </c>
      <c r="AD184" s="106">
        <f t="shared" si="32"/>
        <v>55.229955179056795</v>
      </c>
    </row>
    <row r="185" spans="1:30" x14ac:dyDescent="0.25">
      <c r="A185" s="122">
        <v>12793</v>
      </c>
      <c r="B185" s="153">
        <v>127</v>
      </c>
      <c r="C185" s="154">
        <v>2</v>
      </c>
      <c r="D185" s="154">
        <v>4649</v>
      </c>
      <c r="E185" s="154">
        <v>113</v>
      </c>
      <c r="F185" s="154">
        <v>152</v>
      </c>
      <c r="G185" s="154">
        <v>16</v>
      </c>
      <c r="H185" s="154">
        <v>16</v>
      </c>
      <c r="I185" s="155">
        <v>2</v>
      </c>
      <c r="J185" s="155">
        <v>2</v>
      </c>
      <c r="K185" s="155">
        <v>1</v>
      </c>
      <c r="L185" s="155">
        <v>3</v>
      </c>
      <c r="M185" s="155">
        <v>2</v>
      </c>
      <c r="N185" s="155">
        <v>2</v>
      </c>
      <c r="O185" s="155"/>
      <c r="P185" s="172">
        <f t="shared" si="33"/>
        <v>195.42256637168146</v>
      </c>
      <c r="Q185" s="172">
        <f t="shared" si="34"/>
        <v>195.42256637168146</v>
      </c>
      <c r="R185" s="172">
        <f t="shared" si="35"/>
        <v>67.373935991680213</v>
      </c>
      <c r="S185" s="106"/>
      <c r="T185" s="173">
        <f t="shared" si="36"/>
        <v>4.8612604861260483E-2</v>
      </c>
      <c r="U185" s="173">
        <f t="shared" si="37"/>
        <v>0.10526315789473684</v>
      </c>
      <c r="V185" s="173">
        <f t="shared" si="38"/>
        <v>5.1171163011853133E-3</v>
      </c>
      <c r="W185" s="173">
        <f t="shared" si="39"/>
        <v>1</v>
      </c>
      <c r="X185" s="167"/>
      <c r="Y185" s="106">
        <f t="shared" si="27"/>
        <v>27.958724317942796</v>
      </c>
      <c r="Z185" s="106">
        <f t="shared" si="28"/>
        <v>27.958724317942796</v>
      </c>
      <c r="AA185" s="106">
        <f t="shared" si="29"/>
        <v>13.979362158971398</v>
      </c>
      <c r="AB185" s="106">
        <f t="shared" si="30"/>
        <v>41.938086476914194</v>
      </c>
      <c r="AC185" s="106">
        <f t="shared" si="31"/>
        <v>27.958724317942796</v>
      </c>
      <c r="AD185" s="106">
        <f t="shared" si="32"/>
        <v>27.958724317942796</v>
      </c>
    </row>
    <row r="186" spans="1:30" x14ac:dyDescent="0.25">
      <c r="A186" s="122">
        <v>12794</v>
      </c>
      <c r="B186" s="153">
        <v>127</v>
      </c>
      <c r="C186" s="154">
        <v>2</v>
      </c>
      <c r="D186" s="154">
        <v>4649</v>
      </c>
      <c r="E186" s="154">
        <v>134</v>
      </c>
      <c r="F186" s="154">
        <v>179</v>
      </c>
      <c r="G186" s="154">
        <v>16</v>
      </c>
      <c r="H186" s="154">
        <v>16</v>
      </c>
      <c r="I186" s="155">
        <v>4</v>
      </c>
      <c r="J186" s="155">
        <v>2</v>
      </c>
      <c r="K186" s="155">
        <v>1</v>
      </c>
      <c r="L186" s="155">
        <v>3</v>
      </c>
      <c r="M186" s="155">
        <v>2</v>
      </c>
      <c r="N186" s="155">
        <v>1</v>
      </c>
      <c r="O186" s="155"/>
      <c r="P186" s="172">
        <f t="shared" si="33"/>
        <v>194.06972947761193</v>
      </c>
      <c r="Q186" s="172">
        <f t="shared" si="34"/>
        <v>194.06972947761193</v>
      </c>
      <c r="R186" s="172">
        <f t="shared" si="35"/>
        <v>227.7294732282428</v>
      </c>
      <c r="S186" s="106"/>
      <c r="T186" s="173">
        <f t="shared" si="36"/>
        <v>5.7646805764680578E-2</v>
      </c>
      <c r="U186" s="173">
        <f t="shared" si="37"/>
        <v>8.9385474860335198E-2</v>
      </c>
      <c r="V186" s="173">
        <f t="shared" si="38"/>
        <v>5.152787107457482E-3</v>
      </c>
      <c r="W186" s="173">
        <f t="shared" si="39"/>
        <v>1</v>
      </c>
      <c r="X186" s="167"/>
      <c r="Y186" s="106">
        <f t="shared" si="27"/>
        <v>55.723564778662457</v>
      </c>
      <c r="Z186" s="106">
        <f t="shared" si="28"/>
        <v>27.861782389331228</v>
      </c>
      <c r="AA186" s="106">
        <f t="shared" si="29"/>
        <v>13.930891194665614</v>
      </c>
      <c r="AB186" s="106">
        <f t="shared" si="30"/>
        <v>41.792673583996844</v>
      </c>
      <c r="AC186" s="106">
        <f t="shared" si="31"/>
        <v>27.861782389331228</v>
      </c>
      <c r="AD186" s="106">
        <f t="shared" si="32"/>
        <v>13.930891194665614</v>
      </c>
    </row>
    <row r="187" spans="1:30" x14ac:dyDescent="0.25">
      <c r="A187" s="122">
        <v>22786</v>
      </c>
      <c r="B187" s="153">
        <v>227</v>
      </c>
      <c r="C187" s="154">
        <v>5</v>
      </c>
      <c r="D187" s="154">
        <v>64464</v>
      </c>
      <c r="E187" s="154">
        <v>127</v>
      </c>
      <c r="F187" s="154">
        <v>167</v>
      </c>
      <c r="G187" s="154">
        <v>16</v>
      </c>
      <c r="H187" s="154">
        <v>16</v>
      </c>
      <c r="I187" s="155">
        <v>4</v>
      </c>
      <c r="J187" s="155">
        <v>2</v>
      </c>
      <c r="K187" s="155">
        <v>2</v>
      </c>
      <c r="L187" s="155">
        <v>3</v>
      </c>
      <c r="M187" s="155">
        <v>2</v>
      </c>
      <c r="N187" s="155">
        <v>2</v>
      </c>
      <c r="O187" s="155"/>
      <c r="P187" s="172">
        <f t="shared" si="33"/>
        <v>1059.5952755905512</v>
      </c>
      <c r="Q187" s="172">
        <f t="shared" si="34"/>
        <v>1059.5952755905512</v>
      </c>
      <c r="R187" s="172">
        <f t="shared" si="35"/>
        <v>1346.4887371881673</v>
      </c>
      <c r="S187" s="106"/>
      <c r="T187" s="173">
        <f t="shared" si="36"/>
        <v>9.8504591710101754E-3</v>
      </c>
      <c r="U187" s="173">
        <f t="shared" si="37"/>
        <v>9.580838323353294E-2</v>
      </c>
      <c r="V187" s="173">
        <f t="shared" si="38"/>
        <v>9.4375656728241204E-4</v>
      </c>
      <c r="W187" s="173">
        <f t="shared" si="39"/>
        <v>1</v>
      </c>
      <c r="X187" s="167"/>
      <c r="Y187" s="106">
        <f t="shared" si="27"/>
        <v>130.2057003723294</v>
      </c>
      <c r="Z187" s="106">
        <f t="shared" si="28"/>
        <v>65.102850186164702</v>
      </c>
      <c r="AA187" s="106">
        <f t="shared" si="29"/>
        <v>65.102850186164702</v>
      </c>
      <c r="AB187" s="106">
        <f t="shared" si="30"/>
        <v>97.654275279247059</v>
      </c>
      <c r="AC187" s="106">
        <f t="shared" si="31"/>
        <v>65.102850186164702</v>
      </c>
      <c r="AD187" s="106">
        <f t="shared" si="32"/>
        <v>65.102850186164702</v>
      </c>
    </row>
    <row r="188" spans="1:30" x14ac:dyDescent="0.25">
      <c r="A188" s="122">
        <v>22787</v>
      </c>
      <c r="B188" s="153">
        <v>227</v>
      </c>
      <c r="C188" s="154">
        <v>5</v>
      </c>
      <c r="D188" s="154">
        <v>64464</v>
      </c>
      <c r="E188" s="154">
        <v>96</v>
      </c>
      <c r="F188" s="154">
        <v>120</v>
      </c>
      <c r="G188" s="154">
        <v>16</v>
      </c>
      <c r="H188" s="154">
        <v>16</v>
      </c>
      <c r="I188" s="155">
        <v>4</v>
      </c>
      <c r="J188" s="155">
        <v>2</v>
      </c>
      <c r="K188" s="155">
        <v>1</v>
      </c>
      <c r="L188" s="155">
        <v>3</v>
      </c>
      <c r="M188" s="155">
        <v>2</v>
      </c>
      <c r="N188" s="155">
        <v>2</v>
      </c>
      <c r="O188" s="155"/>
      <c r="P188" s="172">
        <f t="shared" si="33"/>
        <v>1007.2499999999999</v>
      </c>
      <c r="Q188" s="172">
        <f t="shared" si="34"/>
        <v>1007.2499999999999</v>
      </c>
      <c r="R188" s="172">
        <f t="shared" si="35"/>
        <v>891.47210610861748</v>
      </c>
      <c r="S188" s="106"/>
      <c r="T188" s="173">
        <f t="shared" si="36"/>
        <v>7.446016381236039E-3</v>
      </c>
      <c r="U188" s="173">
        <f t="shared" si="37"/>
        <v>0.13333333333333333</v>
      </c>
      <c r="V188" s="173">
        <f t="shared" si="38"/>
        <v>9.9280218416480524E-4</v>
      </c>
      <c r="W188" s="173">
        <f t="shared" si="39"/>
        <v>1</v>
      </c>
      <c r="X188" s="167"/>
      <c r="Y188" s="106">
        <f t="shared" si="27"/>
        <v>126.94880858046679</v>
      </c>
      <c r="Z188" s="106">
        <f t="shared" si="28"/>
        <v>63.474404290233394</v>
      </c>
      <c r="AA188" s="106">
        <f t="shared" si="29"/>
        <v>31.737202145116697</v>
      </c>
      <c r="AB188" s="106">
        <f t="shared" si="30"/>
        <v>95.211606435350092</v>
      </c>
      <c r="AC188" s="106">
        <f t="shared" si="31"/>
        <v>63.474404290233394</v>
      </c>
      <c r="AD188" s="106">
        <f t="shared" si="32"/>
        <v>63.474404290233394</v>
      </c>
    </row>
    <row r="189" spans="1:30" x14ac:dyDescent="0.25">
      <c r="A189" s="122">
        <v>22788</v>
      </c>
      <c r="B189" s="153">
        <v>227</v>
      </c>
      <c r="C189" s="154">
        <v>5</v>
      </c>
      <c r="D189" s="154">
        <v>64464</v>
      </c>
      <c r="E189" s="154">
        <v>153</v>
      </c>
      <c r="F189" s="154">
        <v>174</v>
      </c>
      <c r="G189" s="154">
        <v>16</v>
      </c>
      <c r="H189" s="154">
        <v>15</v>
      </c>
      <c r="I189" s="155">
        <v>2</v>
      </c>
      <c r="J189" s="155">
        <v>1</v>
      </c>
      <c r="K189" s="155">
        <v>2</v>
      </c>
      <c r="L189" s="155">
        <v>2</v>
      </c>
      <c r="M189" s="155">
        <v>2</v>
      </c>
      <c r="N189" s="155">
        <v>2</v>
      </c>
      <c r="O189" s="155"/>
      <c r="P189" s="172">
        <f t="shared" si="33"/>
        <v>916.4</v>
      </c>
      <c r="Q189" s="172">
        <f t="shared" si="34"/>
        <v>977.49333333333334</v>
      </c>
      <c r="R189" s="172">
        <f t="shared" si="35"/>
        <v>579.47860875518199</v>
      </c>
      <c r="S189" s="106"/>
      <c r="T189" s="173">
        <f t="shared" si="36"/>
        <v>1.1867088607594937E-2</v>
      </c>
      <c r="U189" s="173">
        <f t="shared" si="37"/>
        <v>9.1954022988505746E-2</v>
      </c>
      <c r="V189" s="173">
        <f t="shared" si="38"/>
        <v>1.0912265386294195E-3</v>
      </c>
      <c r="W189" s="173">
        <f t="shared" si="39"/>
        <v>0.9375</v>
      </c>
      <c r="X189" s="167"/>
      <c r="Y189" s="106">
        <f t="shared" si="27"/>
        <v>62.529779572083356</v>
      </c>
      <c r="Z189" s="106">
        <f t="shared" si="28"/>
        <v>31.264889786041678</v>
      </c>
      <c r="AA189" s="106">
        <f t="shared" si="29"/>
        <v>62.529779572083356</v>
      </c>
      <c r="AB189" s="106">
        <f t="shared" si="30"/>
        <v>62.529779572083356</v>
      </c>
      <c r="AC189" s="106">
        <f t="shared" si="31"/>
        <v>62.529779572083356</v>
      </c>
      <c r="AD189" s="106">
        <f t="shared" si="32"/>
        <v>62.529779572083356</v>
      </c>
    </row>
    <row r="190" spans="1:30" x14ac:dyDescent="0.25">
      <c r="A190" s="122">
        <v>22789</v>
      </c>
      <c r="B190" s="153">
        <v>227</v>
      </c>
      <c r="C190" s="154">
        <v>5</v>
      </c>
      <c r="D190" s="154">
        <v>64464</v>
      </c>
      <c r="E190" s="154">
        <v>106</v>
      </c>
      <c r="F190" s="154">
        <v>133</v>
      </c>
      <c r="G190" s="154">
        <v>16</v>
      </c>
      <c r="H190" s="154">
        <v>16</v>
      </c>
      <c r="I190" s="155">
        <v>4</v>
      </c>
      <c r="J190" s="155">
        <v>2</v>
      </c>
      <c r="K190" s="155">
        <v>2</v>
      </c>
      <c r="L190" s="155">
        <v>4</v>
      </c>
      <c r="M190" s="155">
        <v>2</v>
      </c>
      <c r="N190" s="155">
        <v>2</v>
      </c>
      <c r="O190" s="155"/>
      <c r="P190" s="172">
        <f t="shared" si="33"/>
        <v>1011.0509433962266</v>
      </c>
      <c r="Q190" s="172">
        <f t="shared" si="34"/>
        <v>1011.0509433962266</v>
      </c>
      <c r="R190" s="172">
        <f t="shared" si="35"/>
        <v>1535.2692296375269</v>
      </c>
      <c r="S190" s="106"/>
      <c r="T190" s="173">
        <f t="shared" si="36"/>
        <v>8.2216430876147929E-3</v>
      </c>
      <c r="U190" s="173">
        <f t="shared" si="37"/>
        <v>0.12030075187969924</v>
      </c>
      <c r="V190" s="173">
        <f t="shared" si="38"/>
        <v>9.8906984512659151E-4</v>
      </c>
      <c r="W190" s="173">
        <f t="shared" si="39"/>
        <v>1</v>
      </c>
      <c r="X190" s="167"/>
      <c r="Y190" s="106">
        <f t="shared" si="27"/>
        <v>127.18810909176858</v>
      </c>
      <c r="Z190" s="106">
        <f t="shared" si="28"/>
        <v>63.594054545884291</v>
      </c>
      <c r="AA190" s="106">
        <f t="shared" si="29"/>
        <v>63.594054545884291</v>
      </c>
      <c r="AB190" s="106">
        <f t="shared" si="30"/>
        <v>127.18810909176858</v>
      </c>
      <c r="AC190" s="106">
        <f t="shared" si="31"/>
        <v>63.594054545884291</v>
      </c>
      <c r="AD190" s="106">
        <f t="shared" si="32"/>
        <v>63.594054545884291</v>
      </c>
    </row>
    <row r="191" spans="1:30" x14ac:dyDescent="0.25">
      <c r="A191" s="122">
        <v>22790</v>
      </c>
      <c r="B191" s="153">
        <v>227</v>
      </c>
      <c r="C191" s="154">
        <v>5</v>
      </c>
      <c r="D191" s="154">
        <v>64464</v>
      </c>
      <c r="E191" s="154">
        <v>97</v>
      </c>
      <c r="F191" s="154">
        <v>113</v>
      </c>
      <c r="G191" s="154">
        <v>16</v>
      </c>
      <c r="H191" s="154">
        <v>16</v>
      </c>
      <c r="I191" s="155">
        <v>1</v>
      </c>
      <c r="J191" s="155">
        <v>2</v>
      </c>
      <c r="K191" s="155">
        <v>2</v>
      </c>
      <c r="L191" s="155">
        <v>3</v>
      </c>
      <c r="M191" s="155">
        <v>1</v>
      </c>
      <c r="N191" s="155">
        <v>3</v>
      </c>
      <c r="O191" s="155"/>
      <c r="P191" s="172">
        <f t="shared" si="33"/>
        <v>938.71546391752577</v>
      </c>
      <c r="Q191" s="172">
        <f t="shared" si="34"/>
        <v>938.71546391752577</v>
      </c>
      <c r="R191" s="172">
        <f t="shared" si="35"/>
        <v>878.32609326616432</v>
      </c>
      <c r="S191" s="106"/>
      <c r="T191" s="173">
        <f t="shared" si="36"/>
        <v>7.5235790518739139E-3</v>
      </c>
      <c r="U191" s="173">
        <f t="shared" si="37"/>
        <v>0.1415929203539823</v>
      </c>
      <c r="V191" s="173">
        <f t="shared" si="38"/>
        <v>1.0652855294688728E-3</v>
      </c>
      <c r="W191" s="173">
        <f t="shared" si="39"/>
        <v>1</v>
      </c>
      <c r="X191" s="167"/>
      <c r="Y191" s="106">
        <f t="shared" si="27"/>
        <v>30.638463798263871</v>
      </c>
      <c r="Z191" s="106">
        <f t="shared" si="28"/>
        <v>61.276927596527742</v>
      </c>
      <c r="AA191" s="106">
        <f t="shared" si="29"/>
        <v>61.276927596527742</v>
      </c>
      <c r="AB191" s="106">
        <f t="shared" si="30"/>
        <v>91.915391394791612</v>
      </c>
      <c r="AC191" s="106">
        <f t="shared" si="31"/>
        <v>30.638463798263871</v>
      </c>
      <c r="AD191" s="106">
        <f t="shared" si="32"/>
        <v>91.915391394791612</v>
      </c>
    </row>
    <row r="192" spans="1:30" x14ac:dyDescent="0.25">
      <c r="A192" s="122">
        <v>12895</v>
      </c>
      <c r="B192" s="153">
        <v>128</v>
      </c>
      <c r="C192" s="154">
        <v>2</v>
      </c>
      <c r="D192" s="154">
        <v>5808</v>
      </c>
      <c r="E192" s="154">
        <v>181</v>
      </c>
      <c r="F192" s="154">
        <v>167</v>
      </c>
      <c r="G192" s="154">
        <v>16</v>
      </c>
      <c r="H192" s="154">
        <v>16</v>
      </c>
      <c r="I192" s="155">
        <v>4</v>
      </c>
      <c r="J192" s="155">
        <v>2</v>
      </c>
      <c r="K192" s="155">
        <v>2</v>
      </c>
      <c r="L192" s="155">
        <v>3</v>
      </c>
      <c r="M192" s="155">
        <v>2</v>
      </c>
      <c r="N192" s="155">
        <v>2</v>
      </c>
      <c r="O192" s="155"/>
      <c r="P192" s="172">
        <f t="shared" si="33"/>
        <v>167.46132596685081</v>
      </c>
      <c r="Q192" s="172">
        <f t="shared" si="34"/>
        <v>167.46132596685081</v>
      </c>
      <c r="R192" s="172">
        <f t="shared" si="35"/>
        <v>212.80275075149811</v>
      </c>
      <c r="S192" s="106"/>
      <c r="T192" s="173">
        <f t="shared" si="36"/>
        <v>6.2327823691460053E-2</v>
      </c>
      <c r="U192" s="173">
        <f t="shared" si="37"/>
        <v>9.580838323353294E-2</v>
      </c>
      <c r="V192" s="173">
        <f t="shared" si="38"/>
        <v>5.9715280183434789E-3</v>
      </c>
      <c r="W192" s="173">
        <f t="shared" si="39"/>
        <v>1</v>
      </c>
      <c r="X192" s="167"/>
      <c r="Y192" s="106">
        <f t="shared" si="27"/>
        <v>51.762739644165016</v>
      </c>
      <c r="Z192" s="106">
        <f t="shared" si="28"/>
        <v>25.881369822082508</v>
      </c>
      <c r="AA192" s="106">
        <f t="shared" si="29"/>
        <v>25.881369822082508</v>
      </c>
      <c r="AB192" s="106">
        <f t="shared" si="30"/>
        <v>38.822054733123764</v>
      </c>
      <c r="AC192" s="106">
        <f t="shared" si="31"/>
        <v>25.881369822082508</v>
      </c>
      <c r="AD192" s="106">
        <f t="shared" si="32"/>
        <v>25.881369822082508</v>
      </c>
    </row>
    <row r="193" spans="1:30" x14ac:dyDescent="0.25">
      <c r="A193" s="122">
        <v>12896</v>
      </c>
      <c r="B193" s="153">
        <v>128</v>
      </c>
      <c r="C193" s="154">
        <v>2</v>
      </c>
      <c r="D193" s="154">
        <v>5808</v>
      </c>
      <c r="E193" s="154">
        <v>106</v>
      </c>
      <c r="F193" s="154">
        <v>195</v>
      </c>
      <c r="G193" s="154">
        <v>16</v>
      </c>
      <c r="H193" s="154">
        <v>16</v>
      </c>
      <c r="I193" s="155">
        <v>3</v>
      </c>
      <c r="J193" s="155">
        <v>3</v>
      </c>
      <c r="K193" s="155">
        <v>1</v>
      </c>
      <c r="L193" s="155">
        <v>4</v>
      </c>
      <c r="M193" s="155">
        <v>2</v>
      </c>
      <c r="N193" s="155">
        <v>2</v>
      </c>
      <c r="O193" s="155"/>
      <c r="P193" s="172">
        <f t="shared" si="33"/>
        <v>333.89150943396226</v>
      </c>
      <c r="Q193" s="172">
        <f t="shared" si="34"/>
        <v>333.89150943396226</v>
      </c>
      <c r="R193" s="172">
        <f t="shared" si="35"/>
        <v>251.26979716037374</v>
      </c>
      <c r="S193" s="106"/>
      <c r="T193" s="173">
        <f t="shared" si="36"/>
        <v>3.6501377410468321E-2</v>
      </c>
      <c r="U193" s="173">
        <f t="shared" si="37"/>
        <v>8.2051282051282051E-2</v>
      </c>
      <c r="V193" s="173">
        <f t="shared" si="38"/>
        <v>2.9949848131666313E-3</v>
      </c>
      <c r="W193" s="173">
        <f t="shared" si="39"/>
        <v>1</v>
      </c>
      <c r="X193" s="167"/>
      <c r="Y193" s="106">
        <f t="shared" si="27"/>
        <v>54.818095414795835</v>
      </c>
      <c r="Z193" s="106">
        <f t="shared" si="28"/>
        <v>54.818095414795835</v>
      </c>
      <c r="AA193" s="106">
        <f t="shared" si="29"/>
        <v>18.272698471598613</v>
      </c>
      <c r="AB193" s="106">
        <f t="shared" si="30"/>
        <v>73.090793886394451</v>
      </c>
      <c r="AC193" s="106">
        <f t="shared" si="31"/>
        <v>36.545396943197225</v>
      </c>
      <c r="AD193" s="106">
        <f t="shared" si="32"/>
        <v>36.545396943197225</v>
      </c>
    </row>
    <row r="194" spans="1:30" x14ac:dyDescent="0.25">
      <c r="A194" s="122">
        <v>22891</v>
      </c>
      <c r="B194" s="153">
        <v>228</v>
      </c>
      <c r="C194" s="154">
        <v>2</v>
      </c>
      <c r="D194" s="154">
        <v>8125</v>
      </c>
      <c r="E194" s="154">
        <v>109</v>
      </c>
      <c r="F194" s="154">
        <v>74</v>
      </c>
      <c r="G194" s="154">
        <v>16</v>
      </c>
      <c r="H194" s="154">
        <v>15</v>
      </c>
      <c r="I194" s="155">
        <v>5</v>
      </c>
      <c r="J194" s="155">
        <v>2</v>
      </c>
      <c r="K194" s="155">
        <v>1</v>
      </c>
      <c r="L194" s="155">
        <v>4</v>
      </c>
      <c r="M194" s="155">
        <v>3</v>
      </c>
      <c r="N194" s="155">
        <v>2</v>
      </c>
      <c r="O194" s="155"/>
      <c r="P194" s="172">
        <f t="shared" si="33"/>
        <v>172.37672018348624</v>
      </c>
      <c r="Q194" s="172">
        <f t="shared" si="34"/>
        <v>183.868501529052</v>
      </c>
      <c r="R194" s="172">
        <f t="shared" si="35"/>
        <v>117.52776219404117</v>
      </c>
      <c r="S194" s="106"/>
      <c r="T194" s="173">
        <f t="shared" si="36"/>
        <v>2.6830769230769231E-2</v>
      </c>
      <c r="U194" s="173">
        <f t="shared" si="37"/>
        <v>0.21621621621621623</v>
      </c>
      <c r="V194" s="173">
        <f t="shared" si="38"/>
        <v>5.8012474012474015E-3</v>
      </c>
      <c r="W194" s="173">
        <f t="shared" si="39"/>
        <v>0.9375</v>
      </c>
      <c r="X194" s="167"/>
      <c r="Y194" s="106">
        <f t="shared" si="27"/>
        <v>67.799060009902064</v>
      </c>
      <c r="Z194" s="106">
        <f t="shared" si="28"/>
        <v>27.119624003960823</v>
      </c>
      <c r="AA194" s="106">
        <f t="shared" si="29"/>
        <v>13.559812001980411</v>
      </c>
      <c r="AB194" s="106">
        <f t="shared" si="30"/>
        <v>54.239248007921645</v>
      </c>
      <c r="AC194" s="106">
        <f t="shared" si="31"/>
        <v>40.679436005941234</v>
      </c>
      <c r="AD194" s="106">
        <f t="shared" si="32"/>
        <v>27.119624003960823</v>
      </c>
    </row>
    <row r="195" spans="1:30" x14ac:dyDescent="0.25">
      <c r="A195" s="122">
        <v>22892</v>
      </c>
      <c r="B195" s="153">
        <v>228</v>
      </c>
      <c r="C195" s="154">
        <v>2</v>
      </c>
      <c r="D195" s="154">
        <v>8125</v>
      </c>
      <c r="E195" s="154">
        <v>108</v>
      </c>
      <c r="F195" s="154">
        <v>90</v>
      </c>
      <c r="G195" s="154">
        <v>16</v>
      </c>
      <c r="H195" s="154">
        <v>16</v>
      </c>
      <c r="I195" s="155">
        <v>4</v>
      </c>
      <c r="J195" s="155">
        <v>2</v>
      </c>
      <c r="K195" s="155">
        <v>1</v>
      </c>
      <c r="L195" s="155">
        <v>3</v>
      </c>
      <c r="M195" s="155">
        <v>2</v>
      </c>
      <c r="N195" s="155">
        <v>2</v>
      </c>
      <c r="O195" s="155"/>
      <c r="P195" s="172">
        <f t="shared" si="33"/>
        <v>211.58854166666666</v>
      </c>
      <c r="Q195" s="172">
        <f t="shared" si="34"/>
        <v>211.58854166666666</v>
      </c>
      <c r="R195" s="172">
        <f t="shared" si="35"/>
        <v>187.26759282008865</v>
      </c>
      <c r="S195" s="106"/>
      <c r="T195" s="173">
        <f t="shared" si="36"/>
        <v>2.6584615384615384E-2</v>
      </c>
      <c r="U195" s="173">
        <f t="shared" si="37"/>
        <v>0.17777777777777778</v>
      </c>
      <c r="V195" s="173">
        <f t="shared" si="38"/>
        <v>4.7261538461538461E-3</v>
      </c>
      <c r="W195" s="173">
        <f t="shared" si="39"/>
        <v>1</v>
      </c>
      <c r="X195" s="167"/>
      <c r="Y195" s="106">
        <f t="shared" si="27"/>
        <v>58.184333515703919</v>
      </c>
      <c r="Z195" s="106">
        <f t="shared" si="28"/>
        <v>29.09216675785196</v>
      </c>
      <c r="AA195" s="106">
        <f t="shared" si="29"/>
        <v>14.54608337892598</v>
      </c>
      <c r="AB195" s="106">
        <f t="shared" si="30"/>
        <v>43.638250136777941</v>
      </c>
      <c r="AC195" s="106">
        <f t="shared" si="31"/>
        <v>29.09216675785196</v>
      </c>
      <c r="AD195" s="106">
        <f t="shared" si="32"/>
        <v>29.09216675785196</v>
      </c>
    </row>
    <row r="196" spans="1:30" x14ac:dyDescent="0.25">
      <c r="A196" s="122">
        <v>12997</v>
      </c>
      <c r="B196" s="153">
        <v>129</v>
      </c>
      <c r="C196" s="154">
        <v>4</v>
      </c>
      <c r="D196" s="154">
        <v>19373</v>
      </c>
      <c r="E196" s="154">
        <v>96</v>
      </c>
      <c r="F196" s="154">
        <v>96</v>
      </c>
      <c r="G196" s="154">
        <v>16</v>
      </c>
      <c r="H196" s="154">
        <v>16</v>
      </c>
      <c r="I196" s="155">
        <v>2</v>
      </c>
      <c r="J196" s="155">
        <v>1</v>
      </c>
      <c r="K196" s="155">
        <v>2</v>
      </c>
      <c r="L196" s="155">
        <v>2</v>
      </c>
      <c r="M196" s="155">
        <v>2</v>
      </c>
      <c r="N196" s="155">
        <v>2</v>
      </c>
      <c r="O196" s="155"/>
      <c r="P196" s="172">
        <f t="shared" si="33"/>
        <v>302.70312500000006</v>
      </c>
      <c r="Q196" s="172">
        <f t="shared" si="34"/>
        <v>302.70312500000006</v>
      </c>
      <c r="R196" s="172">
        <f t="shared" si="35"/>
        <v>179.44877960720549</v>
      </c>
      <c r="S196" s="106"/>
      <c r="T196" s="173">
        <f t="shared" si="36"/>
        <v>1.9821400918804521E-2</v>
      </c>
      <c r="U196" s="173">
        <f t="shared" si="37"/>
        <v>0.16666666666666666</v>
      </c>
      <c r="V196" s="173">
        <f t="shared" si="38"/>
        <v>3.3035668198007533E-3</v>
      </c>
      <c r="W196" s="173">
        <f t="shared" si="39"/>
        <v>1</v>
      </c>
      <c r="X196" s="167"/>
      <c r="Y196" s="106">
        <f t="shared" si="27"/>
        <v>34.796731168315226</v>
      </c>
      <c r="Z196" s="106">
        <f t="shared" si="28"/>
        <v>17.398365584157613</v>
      </c>
      <c r="AA196" s="106">
        <f t="shared" si="29"/>
        <v>34.796731168315226</v>
      </c>
      <c r="AB196" s="106">
        <f t="shared" si="30"/>
        <v>34.796731168315226</v>
      </c>
      <c r="AC196" s="106">
        <f t="shared" si="31"/>
        <v>34.796731168315226</v>
      </c>
      <c r="AD196" s="106">
        <f t="shared" si="32"/>
        <v>34.796731168315226</v>
      </c>
    </row>
    <row r="197" spans="1:30" x14ac:dyDescent="0.25">
      <c r="A197" s="122">
        <v>12998</v>
      </c>
      <c r="B197" s="153">
        <v>129</v>
      </c>
      <c r="C197" s="154">
        <v>4</v>
      </c>
      <c r="D197" s="154">
        <v>19373</v>
      </c>
      <c r="E197" s="154">
        <v>129</v>
      </c>
      <c r="F197" s="154">
        <v>159</v>
      </c>
      <c r="G197" s="154">
        <v>16</v>
      </c>
      <c r="H197" s="154">
        <v>16</v>
      </c>
      <c r="I197" s="155">
        <v>2</v>
      </c>
      <c r="J197" s="155">
        <v>2</v>
      </c>
      <c r="K197" s="155">
        <v>2</v>
      </c>
      <c r="L197" s="155">
        <v>4</v>
      </c>
      <c r="M197" s="155">
        <v>2</v>
      </c>
      <c r="N197" s="155">
        <v>1</v>
      </c>
      <c r="O197" s="155"/>
      <c r="P197" s="172">
        <f t="shared" si="33"/>
        <v>373.09920058139534</v>
      </c>
      <c r="Q197" s="172">
        <f t="shared" si="34"/>
        <v>373.09920058139534</v>
      </c>
      <c r="R197" s="172">
        <f t="shared" si="35"/>
        <v>472.55974326703739</v>
      </c>
      <c r="S197" s="106"/>
      <c r="T197" s="173">
        <f t="shared" si="36"/>
        <v>2.6635007484643577E-2</v>
      </c>
      <c r="U197" s="173">
        <f t="shared" si="37"/>
        <v>0.10062893081761007</v>
      </c>
      <c r="V197" s="173">
        <f t="shared" si="38"/>
        <v>2.6802523254987249E-3</v>
      </c>
      <c r="W197" s="173">
        <f t="shared" si="39"/>
        <v>1</v>
      </c>
      <c r="X197" s="167"/>
      <c r="Y197" s="106">
        <f t="shared" si="27"/>
        <v>38.631551901594392</v>
      </c>
      <c r="Z197" s="106">
        <f t="shared" si="28"/>
        <v>38.631551901594392</v>
      </c>
      <c r="AA197" s="106">
        <f t="shared" si="29"/>
        <v>38.631551901594392</v>
      </c>
      <c r="AB197" s="106">
        <f t="shared" si="30"/>
        <v>77.263103803188784</v>
      </c>
      <c r="AC197" s="106">
        <f t="shared" si="31"/>
        <v>38.631551901594392</v>
      </c>
      <c r="AD197" s="106">
        <f t="shared" si="32"/>
        <v>19.315775950797196</v>
      </c>
    </row>
    <row r="198" spans="1:30" x14ac:dyDescent="0.25">
      <c r="A198" s="122">
        <v>12999</v>
      </c>
      <c r="B198" s="153">
        <v>129</v>
      </c>
      <c r="C198" s="154">
        <v>4</v>
      </c>
      <c r="D198" s="154">
        <v>19373</v>
      </c>
      <c r="E198" s="154">
        <v>168</v>
      </c>
      <c r="F198" s="154">
        <v>92</v>
      </c>
      <c r="G198" s="154">
        <v>16</v>
      </c>
      <c r="H198" s="154">
        <v>15</v>
      </c>
      <c r="I198" s="155">
        <v>4</v>
      </c>
      <c r="J198" s="155">
        <v>1</v>
      </c>
      <c r="K198" s="155">
        <v>2</v>
      </c>
      <c r="L198" s="155">
        <v>3</v>
      </c>
      <c r="M198" s="155">
        <v>2</v>
      </c>
      <c r="N198" s="155">
        <v>2</v>
      </c>
      <c r="O198" s="155"/>
      <c r="P198" s="172">
        <f t="shared" si="33"/>
        <v>165.76599702380952</v>
      </c>
      <c r="Q198" s="172">
        <f t="shared" si="34"/>
        <v>176.81706349206348</v>
      </c>
      <c r="R198" s="172">
        <f t="shared" si="35"/>
        <v>244.15733515043843</v>
      </c>
      <c r="S198" s="106"/>
      <c r="T198" s="173">
        <f t="shared" si="36"/>
        <v>3.4687451607907913E-2</v>
      </c>
      <c r="U198" s="173">
        <f t="shared" si="37"/>
        <v>0.17391304347826086</v>
      </c>
      <c r="V198" s="173">
        <f t="shared" si="38"/>
        <v>6.0326002796361588E-3</v>
      </c>
      <c r="W198" s="173">
        <f t="shared" si="39"/>
        <v>0.9375</v>
      </c>
      <c r="X198" s="167"/>
      <c r="Y198" s="106">
        <f t="shared" si="27"/>
        <v>53.189030973246879</v>
      </c>
      <c r="Z198" s="106">
        <f t="shared" si="28"/>
        <v>13.29725774331172</v>
      </c>
      <c r="AA198" s="106">
        <f t="shared" si="29"/>
        <v>26.59451548662344</v>
      </c>
      <c r="AB198" s="106">
        <f t="shared" si="30"/>
        <v>39.891773229935161</v>
      </c>
      <c r="AC198" s="106">
        <f t="shared" si="31"/>
        <v>26.59451548662344</v>
      </c>
      <c r="AD198" s="106">
        <f t="shared" si="32"/>
        <v>26.59451548662344</v>
      </c>
    </row>
    <row r="199" spans="1:30" x14ac:dyDescent="0.25">
      <c r="A199" s="122">
        <v>129100</v>
      </c>
      <c r="B199" s="153">
        <v>129</v>
      </c>
      <c r="C199" s="154">
        <v>4</v>
      </c>
      <c r="D199" s="154">
        <v>19373</v>
      </c>
      <c r="E199" s="154">
        <v>144</v>
      </c>
      <c r="F199" s="154">
        <v>88</v>
      </c>
      <c r="G199" s="154">
        <v>16</v>
      </c>
      <c r="H199" s="154">
        <v>15</v>
      </c>
      <c r="I199" s="155">
        <v>2</v>
      </c>
      <c r="J199" s="155">
        <v>3</v>
      </c>
      <c r="K199" s="155">
        <v>3</v>
      </c>
      <c r="L199" s="155">
        <v>1</v>
      </c>
      <c r="M199" s="155">
        <v>2</v>
      </c>
      <c r="N199" s="155">
        <v>2</v>
      </c>
      <c r="O199" s="155"/>
      <c r="P199" s="172">
        <f t="shared" si="33"/>
        <v>184.98524305555557</v>
      </c>
      <c r="Q199" s="172">
        <f t="shared" si="34"/>
        <v>197.3175925925926</v>
      </c>
      <c r="R199" s="172">
        <f t="shared" si="35"/>
        <v>100.75296131536024</v>
      </c>
      <c r="S199" s="106"/>
      <c r="T199" s="173">
        <f t="shared" si="36"/>
        <v>2.9732101378206782E-2</v>
      </c>
      <c r="U199" s="173">
        <f t="shared" si="37"/>
        <v>0.18181818181818182</v>
      </c>
      <c r="V199" s="173">
        <f t="shared" si="38"/>
        <v>5.4058366142194147E-3</v>
      </c>
      <c r="W199" s="173">
        <f t="shared" si="39"/>
        <v>0.9375</v>
      </c>
      <c r="X199" s="167"/>
      <c r="Y199" s="106">
        <f t="shared" si="27"/>
        <v>28.093956118182614</v>
      </c>
      <c r="Z199" s="106">
        <f t="shared" si="28"/>
        <v>42.14093417727392</v>
      </c>
      <c r="AA199" s="106">
        <f t="shared" si="29"/>
        <v>42.14093417727392</v>
      </c>
      <c r="AB199" s="106">
        <f t="shared" si="30"/>
        <v>14.046978059091307</v>
      </c>
      <c r="AC199" s="106">
        <f t="shared" si="31"/>
        <v>28.093956118182614</v>
      </c>
      <c r="AD199" s="106">
        <f t="shared" si="32"/>
        <v>28.093956118182614</v>
      </c>
    </row>
    <row r="200" spans="1:30" x14ac:dyDescent="0.25">
      <c r="A200" s="122">
        <v>22993</v>
      </c>
      <c r="B200" s="153">
        <v>229</v>
      </c>
      <c r="C200" s="154">
        <v>5</v>
      </c>
      <c r="D200" s="154">
        <v>87359</v>
      </c>
      <c r="E200" s="154">
        <v>138</v>
      </c>
      <c r="F200" s="154">
        <v>0</v>
      </c>
      <c r="G200" s="154">
        <v>0</v>
      </c>
      <c r="H200" s="154">
        <v>0</v>
      </c>
      <c r="I200" s="155">
        <v>3</v>
      </c>
      <c r="J200" s="155">
        <v>2</v>
      </c>
      <c r="K200" s="155">
        <v>2</v>
      </c>
      <c r="L200" s="155">
        <v>3</v>
      </c>
      <c r="M200" s="155">
        <v>2</v>
      </c>
      <c r="N200" s="155">
        <v>2</v>
      </c>
      <c r="O200" s="155"/>
      <c r="P200" s="172" t="e">
        <f t="shared" si="33"/>
        <v>#DIV/0!</v>
      </c>
      <c r="Q200" s="172">
        <f t="shared" si="34"/>
        <v>0</v>
      </c>
      <c r="R200" s="172">
        <f t="shared" si="35"/>
        <v>0</v>
      </c>
      <c r="S200" s="106"/>
      <c r="T200" s="173">
        <f t="shared" si="36"/>
        <v>7.8984420609210272E-3</v>
      </c>
      <c r="U200" s="173" t="e">
        <f t="shared" si="37"/>
        <v>#DIV/0!</v>
      </c>
      <c r="V200" s="173" t="e">
        <f t="shared" si="38"/>
        <v>#DIV/0!</v>
      </c>
      <c r="W200" s="173">
        <f t="shared" si="39"/>
        <v>0</v>
      </c>
      <c r="X200" s="167"/>
      <c r="Y200" s="106">
        <f t="shared" ref="Y200:Y216" si="40">+SQRT($Q200)*I200</f>
        <v>0</v>
      </c>
      <c r="Z200" s="106">
        <f t="shared" ref="Z200:Z216" si="41">+SQRT($Q200)*J200</f>
        <v>0</v>
      </c>
      <c r="AA200" s="106">
        <f t="shared" ref="AA200:AA216" si="42">+SQRT($Q200)*K200</f>
        <v>0</v>
      </c>
      <c r="AB200" s="106">
        <f t="shared" ref="AB200:AB216" si="43">+SQRT($Q200)*L200</f>
        <v>0</v>
      </c>
      <c r="AC200" s="106">
        <f t="shared" ref="AC200:AC216" si="44">+SQRT($Q200)*M200</f>
        <v>0</v>
      </c>
      <c r="AD200" s="106">
        <f t="shared" ref="AD200:AD216" si="45">+SQRT($Q200)*N200</f>
        <v>0</v>
      </c>
    </row>
    <row r="201" spans="1:30" x14ac:dyDescent="0.25">
      <c r="A201" s="122">
        <v>22994</v>
      </c>
      <c r="B201" s="153">
        <v>229</v>
      </c>
      <c r="C201" s="154">
        <v>5</v>
      </c>
      <c r="D201" s="154">
        <v>87359</v>
      </c>
      <c r="E201" s="154">
        <v>101</v>
      </c>
      <c r="F201" s="154">
        <v>56</v>
      </c>
      <c r="G201" s="154">
        <v>16</v>
      </c>
      <c r="H201" s="154">
        <v>16</v>
      </c>
      <c r="I201" s="155">
        <v>3</v>
      </c>
      <c r="J201" s="155">
        <v>1</v>
      </c>
      <c r="K201" s="155">
        <v>1</v>
      </c>
      <c r="L201" s="155">
        <v>3</v>
      </c>
      <c r="M201" s="154">
        <v>2</v>
      </c>
      <c r="N201" s="154">
        <v>1</v>
      </c>
      <c r="O201" s="154"/>
      <c r="P201" s="172">
        <f t="shared" ref="P201:P216" si="46">1/V201</f>
        <v>605.45841584158416</v>
      </c>
      <c r="Q201" s="172">
        <f t="shared" ref="Q201:Q216" si="47">+IF(W201=0,0,P201/W201)</f>
        <v>605.45841584158416</v>
      </c>
      <c r="R201" s="172">
        <f t="shared" ref="R201:R216" si="48">+Q201*(1+SUMPRODUCT(I201:N201,AF$22:AK$22))</f>
        <v>613.56153462369014</v>
      </c>
      <c r="S201" s="106"/>
      <c r="T201" s="173">
        <f t="shared" ref="T201:T216" si="49">+C201*E201/D201</f>
        <v>5.7807438271958245E-3</v>
      </c>
      <c r="U201" s="173">
        <f t="shared" ref="U201:U216" si="50">+G201/F201</f>
        <v>0.2857142857142857</v>
      </c>
      <c r="V201" s="173">
        <f t="shared" ref="V201:V216" si="51">+T201*U201</f>
        <v>1.6516410934845213E-3</v>
      </c>
      <c r="W201" s="173">
        <f t="shared" ref="W201:W216" si="52">+IF(G201=0,0,H201/G201)</f>
        <v>1</v>
      </c>
      <c r="X201" s="167"/>
      <c r="Y201" s="106">
        <f t="shared" si="40"/>
        <v>73.818193845245617</v>
      </c>
      <c r="Z201" s="106">
        <f t="shared" si="41"/>
        <v>24.60606461508187</v>
      </c>
      <c r="AA201" s="106">
        <f t="shared" si="42"/>
        <v>24.60606461508187</v>
      </c>
      <c r="AB201" s="106">
        <f t="shared" si="43"/>
        <v>73.818193845245617</v>
      </c>
      <c r="AC201" s="106">
        <f t="shared" si="44"/>
        <v>49.21212923016374</v>
      </c>
      <c r="AD201" s="106">
        <f t="shared" si="45"/>
        <v>24.60606461508187</v>
      </c>
    </row>
    <row r="202" spans="1:30" x14ac:dyDescent="0.25">
      <c r="A202" s="122">
        <v>22995</v>
      </c>
      <c r="B202" s="153">
        <v>229</v>
      </c>
      <c r="C202" s="154">
        <v>5</v>
      </c>
      <c r="D202" s="154">
        <v>87359</v>
      </c>
      <c r="E202" s="154">
        <v>112</v>
      </c>
      <c r="F202" s="154">
        <v>125</v>
      </c>
      <c r="G202" s="154">
        <v>16</v>
      </c>
      <c r="H202" s="154">
        <v>15</v>
      </c>
      <c r="I202" s="155">
        <v>4</v>
      </c>
      <c r="J202" s="155">
        <v>3</v>
      </c>
      <c r="K202" s="155">
        <v>3</v>
      </c>
      <c r="L202" s="155">
        <v>4</v>
      </c>
      <c r="M202" s="155">
        <v>3</v>
      </c>
      <c r="N202" s="155">
        <v>2</v>
      </c>
      <c r="O202" s="155"/>
      <c r="P202" s="172">
        <f t="shared" si="46"/>
        <v>1218.7360491071429</v>
      </c>
      <c r="Q202" s="172">
        <f t="shared" si="47"/>
        <v>1299.985119047619</v>
      </c>
      <c r="R202" s="172">
        <f t="shared" si="48"/>
        <v>1339.4549799835447</v>
      </c>
      <c r="S202" s="106"/>
      <c r="T202" s="173">
        <f t="shared" si="49"/>
        <v>6.4103297885735868E-3</v>
      </c>
      <c r="U202" s="173">
        <f t="shared" si="50"/>
        <v>0.128</v>
      </c>
      <c r="V202" s="173">
        <f t="shared" si="51"/>
        <v>8.2052221293741918E-4</v>
      </c>
      <c r="W202" s="173">
        <f t="shared" si="52"/>
        <v>0.9375</v>
      </c>
      <c r="X202" s="167"/>
      <c r="Y202" s="106">
        <f t="shared" si="40"/>
        <v>144.22122556947679</v>
      </c>
      <c r="Z202" s="106">
        <f t="shared" si="41"/>
        <v>108.16591917710758</v>
      </c>
      <c r="AA202" s="106">
        <f t="shared" si="42"/>
        <v>108.16591917710758</v>
      </c>
      <c r="AB202" s="106">
        <f t="shared" si="43"/>
        <v>144.22122556947679</v>
      </c>
      <c r="AC202" s="106">
        <f t="shared" si="44"/>
        <v>108.16591917710758</v>
      </c>
      <c r="AD202" s="106">
        <f t="shared" si="45"/>
        <v>72.110612784738393</v>
      </c>
    </row>
    <row r="203" spans="1:30" x14ac:dyDescent="0.25">
      <c r="A203" s="122">
        <v>22996</v>
      </c>
      <c r="B203" s="153">
        <v>229</v>
      </c>
      <c r="C203" s="154">
        <v>5</v>
      </c>
      <c r="D203" s="154">
        <v>87359</v>
      </c>
      <c r="E203" s="154">
        <v>185</v>
      </c>
      <c r="F203" s="154">
        <v>162</v>
      </c>
      <c r="G203" s="154">
        <v>16</v>
      </c>
      <c r="H203" s="154">
        <v>15</v>
      </c>
      <c r="I203" s="155">
        <v>5</v>
      </c>
      <c r="J203" s="155">
        <v>3</v>
      </c>
      <c r="K203" s="155">
        <v>1</v>
      </c>
      <c r="L203" s="155">
        <v>4</v>
      </c>
      <c r="M203" s="155">
        <v>2</v>
      </c>
      <c r="N203" s="155">
        <v>2</v>
      </c>
      <c r="O203" s="155"/>
      <c r="P203" s="172">
        <f t="shared" si="46"/>
        <v>956.22689189189191</v>
      </c>
      <c r="Q203" s="172">
        <f t="shared" si="47"/>
        <v>1019.9753513513514</v>
      </c>
      <c r="R203" s="172">
        <f t="shared" si="48"/>
        <v>1318.6694358522698</v>
      </c>
      <c r="S203" s="106"/>
      <c r="T203" s="173">
        <f t="shared" si="49"/>
        <v>1.0588491168626014E-2</v>
      </c>
      <c r="U203" s="173">
        <f t="shared" si="50"/>
        <v>9.8765432098765427E-2</v>
      </c>
      <c r="V203" s="173">
        <f t="shared" si="51"/>
        <v>1.04577690554331E-3</v>
      </c>
      <c r="W203" s="173">
        <f t="shared" si="52"/>
        <v>0.9375</v>
      </c>
      <c r="X203" s="167"/>
      <c r="Y203" s="106">
        <f t="shared" si="40"/>
        <v>159.68526476724077</v>
      </c>
      <c r="Z203" s="106">
        <f t="shared" si="41"/>
        <v>95.811158860344449</v>
      </c>
      <c r="AA203" s="106">
        <f t="shared" si="42"/>
        <v>31.937052953448152</v>
      </c>
      <c r="AB203" s="106">
        <f t="shared" si="43"/>
        <v>127.74821181379261</v>
      </c>
      <c r="AC203" s="106">
        <f t="shared" si="44"/>
        <v>63.874105906896304</v>
      </c>
      <c r="AD203" s="106">
        <f t="shared" si="45"/>
        <v>63.874105906896304</v>
      </c>
    </row>
    <row r="204" spans="1:30" x14ac:dyDescent="0.25">
      <c r="A204" s="122">
        <v>22997</v>
      </c>
      <c r="B204" s="153">
        <v>229</v>
      </c>
      <c r="C204" s="154">
        <v>5</v>
      </c>
      <c r="D204" s="154">
        <v>87359</v>
      </c>
      <c r="E204" s="154">
        <v>88</v>
      </c>
      <c r="F204" s="154">
        <v>113</v>
      </c>
      <c r="G204" s="154">
        <v>16</v>
      </c>
      <c r="H204" s="154">
        <v>16</v>
      </c>
      <c r="I204" s="155">
        <v>5</v>
      </c>
      <c r="J204" s="155">
        <v>3</v>
      </c>
      <c r="K204" s="155">
        <v>1</v>
      </c>
      <c r="L204" s="155">
        <v>4</v>
      </c>
      <c r="M204" s="155">
        <v>2</v>
      </c>
      <c r="N204" s="155">
        <v>2</v>
      </c>
      <c r="O204" s="155"/>
      <c r="P204" s="172">
        <f t="shared" si="46"/>
        <v>1402.2112215909092</v>
      </c>
      <c r="Q204" s="172">
        <f t="shared" si="47"/>
        <v>1402.2112215909092</v>
      </c>
      <c r="R204" s="172">
        <f t="shared" si="48"/>
        <v>1812.8409456867964</v>
      </c>
      <c r="S204" s="106"/>
      <c r="T204" s="173">
        <f t="shared" si="49"/>
        <v>5.0366876910221039E-3</v>
      </c>
      <c r="U204" s="173">
        <f t="shared" si="50"/>
        <v>0.1415929203539823</v>
      </c>
      <c r="V204" s="173">
        <f t="shared" si="51"/>
        <v>7.1315931908277571E-4</v>
      </c>
      <c r="W204" s="173">
        <f t="shared" si="52"/>
        <v>1</v>
      </c>
      <c r="X204" s="167"/>
      <c r="Y204" s="106">
        <f t="shared" si="40"/>
        <v>187.23055450372607</v>
      </c>
      <c r="Z204" s="106">
        <f t="shared" si="41"/>
        <v>112.33833270223563</v>
      </c>
      <c r="AA204" s="106">
        <f t="shared" si="42"/>
        <v>37.446110900745211</v>
      </c>
      <c r="AB204" s="106">
        <f t="shared" si="43"/>
        <v>149.78444360298084</v>
      </c>
      <c r="AC204" s="106">
        <f t="shared" si="44"/>
        <v>74.892221801490422</v>
      </c>
      <c r="AD204" s="106">
        <f t="shared" si="45"/>
        <v>74.892221801490422</v>
      </c>
    </row>
    <row r="205" spans="1:30" x14ac:dyDescent="0.25">
      <c r="A205" s="122">
        <v>130101</v>
      </c>
      <c r="B205" s="153">
        <v>130</v>
      </c>
      <c r="C205" s="154">
        <v>3</v>
      </c>
      <c r="D205" s="154">
        <v>8332</v>
      </c>
      <c r="E205" s="154">
        <v>128</v>
      </c>
      <c r="F205" s="154">
        <v>202</v>
      </c>
      <c r="G205" s="154">
        <v>16</v>
      </c>
      <c r="H205" s="154">
        <v>16</v>
      </c>
      <c r="I205" s="155">
        <v>4</v>
      </c>
      <c r="J205" s="155">
        <v>2</v>
      </c>
      <c r="K205" s="155">
        <v>2</v>
      </c>
      <c r="L205" s="155">
        <v>4</v>
      </c>
      <c r="M205" s="155">
        <v>2</v>
      </c>
      <c r="N205" s="155">
        <v>2</v>
      </c>
      <c r="O205" s="155"/>
      <c r="P205" s="172">
        <f t="shared" si="46"/>
        <v>273.93619791666669</v>
      </c>
      <c r="Q205" s="172">
        <f t="shared" si="47"/>
        <v>273.93619791666669</v>
      </c>
      <c r="R205" s="172">
        <f t="shared" si="48"/>
        <v>415.9689660469819</v>
      </c>
      <c r="S205" s="106"/>
      <c r="T205" s="173">
        <f t="shared" si="49"/>
        <v>4.6087373979836775E-2</v>
      </c>
      <c r="U205" s="173">
        <f t="shared" si="50"/>
        <v>7.9207920792079209E-2</v>
      </c>
      <c r="V205" s="173">
        <f t="shared" si="51"/>
        <v>3.6504850677098436E-3</v>
      </c>
      <c r="W205" s="173">
        <f t="shared" si="52"/>
        <v>1</v>
      </c>
      <c r="X205" s="167"/>
      <c r="Y205" s="106">
        <f t="shared" si="40"/>
        <v>66.204072130546976</v>
      </c>
      <c r="Z205" s="106">
        <f t="shared" si="41"/>
        <v>33.102036065273488</v>
      </c>
      <c r="AA205" s="106">
        <f t="shared" si="42"/>
        <v>33.102036065273488</v>
      </c>
      <c r="AB205" s="106">
        <f t="shared" si="43"/>
        <v>66.204072130546976</v>
      </c>
      <c r="AC205" s="106">
        <f t="shared" si="44"/>
        <v>33.102036065273488</v>
      </c>
      <c r="AD205" s="106">
        <f t="shared" si="45"/>
        <v>33.102036065273488</v>
      </c>
    </row>
    <row r="206" spans="1:30" x14ac:dyDescent="0.25">
      <c r="A206" s="122">
        <v>130102</v>
      </c>
      <c r="B206" s="153">
        <v>130</v>
      </c>
      <c r="C206" s="154">
        <v>3</v>
      </c>
      <c r="D206" s="154">
        <v>8332</v>
      </c>
      <c r="E206" s="154">
        <v>139</v>
      </c>
      <c r="F206" s="154">
        <v>147</v>
      </c>
      <c r="G206" s="154">
        <v>16</v>
      </c>
      <c r="H206" s="154">
        <v>16</v>
      </c>
      <c r="I206" s="155">
        <v>2</v>
      </c>
      <c r="J206" s="155">
        <v>3</v>
      </c>
      <c r="K206" s="155">
        <v>3</v>
      </c>
      <c r="L206" s="155">
        <v>1</v>
      </c>
      <c r="M206" s="155">
        <v>2</v>
      </c>
      <c r="N206" s="155">
        <v>2</v>
      </c>
      <c r="O206" s="155"/>
      <c r="P206" s="172">
        <f t="shared" si="46"/>
        <v>183.57374100719426</v>
      </c>
      <c r="Q206" s="172">
        <f t="shared" si="47"/>
        <v>183.57374100719426</v>
      </c>
      <c r="R206" s="172">
        <f t="shared" si="48"/>
        <v>93.735169698741473</v>
      </c>
      <c r="S206" s="106"/>
      <c r="T206" s="173">
        <f t="shared" si="49"/>
        <v>5.0048007681228995E-2</v>
      </c>
      <c r="U206" s="173">
        <f t="shared" si="50"/>
        <v>0.10884353741496598</v>
      </c>
      <c r="V206" s="173">
        <f t="shared" si="51"/>
        <v>5.4474021965963534E-3</v>
      </c>
      <c r="W206" s="173">
        <f t="shared" si="52"/>
        <v>1</v>
      </c>
      <c r="X206" s="167"/>
      <c r="Y206" s="106">
        <f t="shared" si="40"/>
        <v>27.097877481986981</v>
      </c>
      <c r="Z206" s="106">
        <f t="shared" si="41"/>
        <v>40.646816222980469</v>
      </c>
      <c r="AA206" s="106">
        <f t="shared" si="42"/>
        <v>40.646816222980469</v>
      </c>
      <c r="AB206" s="106">
        <f t="shared" si="43"/>
        <v>13.54893874099349</v>
      </c>
      <c r="AC206" s="106">
        <f t="shared" si="44"/>
        <v>27.097877481986981</v>
      </c>
      <c r="AD206" s="106">
        <f t="shared" si="45"/>
        <v>27.097877481986981</v>
      </c>
    </row>
    <row r="207" spans="1:30" x14ac:dyDescent="0.25">
      <c r="A207" s="122">
        <v>130103</v>
      </c>
      <c r="B207" s="153">
        <v>130</v>
      </c>
      <c r="C207" s="154">
        <v>3</v>
      </c>
      <c r="D207" s="154">
        <v>8332</v>
      </c>
      <c r="E207" s="154">
        <v>112</v>
      </c>
      <c r="F207" s="154">
        <v>130</v>
      </c>
      <c r="G207" s="154">
        <v>16</v>
      </c>
      <c r="H207" s="154">
        <v>16</v>
      </c>
      <c r="I207" s="155">
        <v>3</v>
      </c>
      <c r="J207" s="155">
        <v>1</v>
      </c>
      <c r="K207" s="155">
        <v>1</v>
      </c>
      <c r="L207" s="155">
        <v>3</v>
      </c>
      <c r="M207" s="154">
        <v>2</v>
      </c>
      <c r="N207" s="154">
        <v>1</v>
      </c>
      <c r="O207" s="154"/>
      <c r="P207" s="172">
        <f t="shared" si="46"/>
        <v>201.48065476190476</v>
      </c>
      <c r="Q207" s="172">
        <f t="shared" si="47"/>
        <v>201.48065476190476</v>
      </c>
      <c r="R207" s="172">
        <f t="shared" si="48"/>
        <v>204.17715981512606</v>
      </c>
      <c r="S207" s="106"/>
      <c r="T207" s="173">
        <f t="shared" si="49"/>
        <v>4.0326452232357174E-2</v>
      </c>
      <c r="U207" s="173">
        <f t="shared" si="50"/>
        <v>0.12307692307692308</v>
      </c>
      <c r="V207" s="173">
        <f t="shared" si="51"/>
        <v>4.9632556593670373E-3</v>
      </c>
      <c r="W207" s="173">
        <f t="shared" si="52"/>
        <v>1</v>
      </c>
      <c r="X207" s="167"/>
      <c r="Y207" s="106">
        <f t="shared" si="40"/>
        <v>42.583164429820656</v>
      </c>
      <c r="Z207" s="106">
        <f t="shared" si="41"/>
        <v>14.194388143273551</v>
      </c>
      <c r="AA207" s="106">
        <f t="shared" si="42"/>
        <v>14.194388143273551</v>
      </c>
      <c r="AB207" s="106">
        <f t="shared" si="43"/>
        <v>42.583164429820656</v>
      </c>
      <c r="AC207" s="106">
        <f t="shared" si="44"/>
        <v>28.388776286547103</v>
      </c>
      <c r="AD207" s="106">
        <f t="shared" si="45"/>
        <v>14.194388143273551</v>
      </c>
    </row>
    <row r="208" spans="1:30" x14ac:dyDescent="0.25">
      <c r="A208" s="122">
        <v>23098</v>
      </c>
      <c r="B208" s="153">
        <v>230</v>
      </c>
      <c r="C208" s="154">
        <v>4</v>
      </c>
      <c r="D208" s="154">
        <v>51562</v>
      </c>
      <c r="E208" s="154">
        <v>137</v>
      </c>
      <c r="F208" s="154">
        <v>184</v>
      </c>
      <c r="G208" s="154">
        <v>16</v>
      </c>
      <c r="H208" s="154">
        <v>16</v>
      </c>
      <c r="I208" s="155">
        <v>4</v>
      </c>
      <c r="J208" s="155">
        <v>3</v>
      </c>
      <c r="K208" s="155">
        <v>1</v>
      </c>
      <c r="L208" s="155">
        <v>3</v>
      </c>
      <c r="M208" s="155">
        <v>2</v>
      </c>
      <c r="N208" s="155">
        <v>2</v>
      </c>
      <c r="O208" s="155"/>
      <c r="P208" s="172">
        <f t="shared" si="46"/>
        <v>1082.0492700729926</v>
      </c>
      <c r="Q208" s="172">
        <f t="shared" si="47"/>
        <v>1082.0492700729926</v>
      </c>
      <c r="R208" s="172">
        <f t="shared" si="48"/>
        <v>838.55129700349084</v>
      </c>
      <c r="S208" s="106"/>
      <c r="T208" s="173">
        <f t="shared" si="49"/>
        <v>1.06279818470967E-2</v>
      </c>
      <c r="U208" s="173">
        <f t="shared" si="50"/>
        <v>8.6956521739130432E-2</v>
      </c>
      <c r="V208" s="173">
        <f t="shared" si="51"/>
        <v>9.2417233453014785E-4</v>
      </c>
      <c r="W208" s="173">
        <f t="shared" si="52"/>
        <v>1</v>
      </c>
      <c r="X208" s="167"/>
      <c r="Y208" s="106">
        <f t="shared" si="40"/>
        <v>131.57806930171867</v>
      </c>
      <c r="Z208" s="106">
        <f t="shared" si="41"/>
        <v>98.68355197628901</v>
      </c>
      <c r="AA208" s="106">
        <f t="shared" si="42"/>
        <v>32.894517325429668</v>
      </c>
      <c r="AB208" s="106">
        <f t="shared" si="43"/>
        <v>98.68355197628901</v>
      </c>
      <c r="AC208" s="106">
        <f t="shared" si="44"/>
        <v>65.789034650859335</v>
      </c>
      <c r="AD208" s="106">
        <f t="shared" si="45"/>
        <v>65.789034650859335</v>
      </c>
    </row>
    <row r="209" spans="1:30" x14ac:dyDescent="0.25">
      <c r="A209" s="122">
        <v>23099</v>
      </c>
      <c r="B209" s="153">
        <v>230</v>
      </c>
      <c r="C209" s="154">
        <v>4</v>
      </c>
      <c r="D209" s="154">
        <v>51562</v>
      </c>
      <c r="E209" s="154">
        <v>133</v>
      </c>
      <c r="F209" s="154">
        <v>186</v>
      </c>
      <c r="G209" s="154">
        <v>16</v>
      </c>
      <c r="H209" s="154">
        <v>14</v>
      </c>
      <c r="I209" s="155">
        <v>3</v>
      </c>
      <c r="J209" s="155">
        <v>1</v>
      </c>
      <c r="K209" s="155">
        <v>3</v>
      </c>
      <c r="L209" s="155">
        <v>2</v>
      </c>
      <c r="M209" s="155">
        <v>2</v>
      </c>
      <c r="N209" s="155">
        <v>2</v>
      </c>
      <c r="O209" s="155"/>
      <c r="P209" s="172">
        <f t="shared" si="46"/>
        <v>1126.7072368421052</v>
      </c>
      <c r="Q209" s="172">
        <f t="shared" si="47"/>
        <v>1287.6654135338345</v>
      </c>
      <c r="R209" s="172">
        <f t="shared" si="48"/>
        <v>1607.8701538328612</v>
      </c>
      <c r="S209" s="106"/>
      <c r="T209" s="173">
        <f t="shared" si="49"/>
        <v>1.0317675807765408E-2</v>
      </c>
      <c r="U209" s="173">
        <f t="shared" si="50"/>
        <v>8.6021505376344093E-2</v>
      </c>
      <c r="V209" s="173">
        <f t="shared" si="51"/>
        <v>8.8754200496906743E-4</v>
      </c>
      <c r="W209" s="173">
        <f t="shared" si="52"/>
        <v>0.875</v>
      </c>
      <c r="X209" s="167"/>
      <c r="Y209" s="106">
        <f t="shared" si="40"/>
        <v>107.65216543016916</v>
      </c>
      <c r="Z209" s="106">
        <f t="shared" si="41"/>
        <v>35.884055143389723</v>
      </c>
      <c r="AA209" s="106">
        <f t="shared" si="42"/>
        <v>107.65216543016916</v>
      </c>
      <c r="AB209" s="106">
        <f t="shared" si="43"/>
        <v>71.768110286779446</v>
      </c>
      <c r="AC209" s="106">
        <f t="shared" si="44"/>
        <v>71.768110286779446</v>
      </c>
      <c r="AD209" s="106">
        <f t="shared" si="45"/>
        <v>71.768110286779446</v>
      </c>
    </row>
    <row r="210" spans="1:30" x14ac:dyDescent="0.25">
      <c r="A210" s="122">
        <v>230100</v>
      </c>
      <c r="B210" s="153">
        <v>230</v>
      </c>
      <c r="C210" s="154">
        <v>4</v>
      </c>
      <c r="D210" s="154">
        <v>51562</v>
      </c>
      <c r="E210" s="154">
        <v>145</v>
      </c>
      <c r="F210" s="154">
        <v>120</v>
      </c>
      <c r="G210" s="154">
        <v>16</v>
      </c>
      <c r="H210" s="154">
        <v>15</v>
      </c>
      <c r="I210" s="155">
        <v>2</v>
      </c>
      <c r="J210" s="155">
        <v>2</v>
      </c>
      <c r="K210" s="155">
        <v>2</v>
      </c>
      <c r="L210" s="155">
        <v>4</v>
      </c>
      <c r="M210" s="155">
        <v>2</v>
      </c>
      <c r="N210" s="155">
        <v>1</v>
      </c>
      <c r="O210" s="155"/>
      <c r="P210" s="172">
        <f t="shared" si="46"/>
        <v>666.75000000000011</v>
      </c>
      <c r="Q210" s="172">
        <f t="shared" si="47"/>
        <v>711.20000000000016</v>
      </c>
      <c r="R210" s="172">
        <f t="shared" si="48"/>
        <v>900.79123430927007</v>
      </c>
      <c r="S210" s="106"/>
      <c r="T210" s="173">
        <f t="shared" si="49"/>
        <v>1.1248593925759279E-2</v>
      </c>
      <c r="U210" s="173">
        <f t="shared" si="50"/>
        <v>0.13333333333333333</v>
      </c>
      <c r="V210" s="173">
        <f t="shared" si="51"/>
        <v>1.4998125234345705E-3</v>
      </c>
      <c r="W210" s="173">
        <f t="shared" si="52"/>
        <v>0.9375</v>
      </c>
      <c r="X210" s="167"/>
      <c r="Y210" s="106">
        <f t="shared" si="40"/>
        <v>53.336666562506515</v>
      </c>
      <c r="Z210" s="106">
        <f t="shared" si="41"/>
        <v>53.336666562506515</v>
      </c>
      <c r="AA210" s="106">
        <f t="shared" si="42"/>
        <v>53.336666562506515</v>
      </c>
      <c r="AB210" s="106">
        <f t="shared" si="43"/>
        <v>106.67333312501303</v>
      </c>
      <c r="AC210" s="106">
        <f t="shared" si="44"/>
        <v>53.336666562506515</v>
      </c>
      <c r="AD210" s="106">
        <f t="shared" si="45"/>
        <v>26.668333281253258</v>
      </c>
    </row>
    <row r="211" spans="1:30" x14ac:dyDescent="0.25">
      <c r="A211" s="122">
        <v>230101</v>
      </c>
      <c r="B211" s="153">
        <v>230</v>
      </c>
      <c r="C211" s="154">
        <v>4</v>
      </c>
      <c r="D211" s="154">
        <v>51562</v>
      </c>
      <c r="E211" s="154">
        <v>117</v>
      </c>
      <c r="F211" s="154">
        <v>158</v>
      </c>
      <c r="G211" s="154">
        <v>16</v>
      </c>
      <c r="H211" s="154">
        <v>16</v>
      </c>
      <c r="I211" s="155">
        <v>4</v>
      </c>
      <c r="J211" s="155">
        <v>3</v>
      </c>
      <c r="K211" s="155">
        <v>3</v>
      </c>
      <c r="L211" s="155">
        <v>4</v>
      </c>
      <c r="M211" s="155">
        <v>3</v>
      </c>
      <c r="N211" s="155">
        <v>2</v>
      </c>
      <c r="O211" s="155"/>
      <c r="P211" s="172">
        <f t="shared" si="46"/>
        <v>1087.9802350427351</v>
      </c>
      <c r="Q211" s="172">
        <f t="shared" si="47"/>
        <v>1087.9802350427351</v>
      </c>
      <c r="R211" s="172">
        <f t="shared" si="48"/>
        <v>1121.0132505357374</v>
      </c>
      <c r="S211" s="106"/>
      <c r="T211" s="173">
        <f t="shared" si="49"/>
        <v>9.0764516504402461E-3</v>
      </c>
      <c r="U211" s="173">
        <f t="shared" si="50"/>
        <v>0.10126582278481013</v>
      </c>
      <c r="V211" s="173">
        <f t="shared" si="51"/>
        <v>9.1913434434837929E-4</v>
      </c>
      <c r="W211" s="173">
        <f t="shared" si="52"/>
        <v>1</v>
      </c>
      <c r="X211" s="167"/>
      <c r="Y211" s="106">
        <f t="shared" si="40"/>
        <v>131.93818158775633</v>
      </c>
      <c r="Z211" s="106">
        <f t="shared" si="41"/>
        <v>98.953636190817249</v>
      </c>
      <c r="AA211" s="106">
        <f t="shared" si="42"/>
        <v>98.953636190817249</v>
      </c>
      <c r="AB211" s="106">
        <f t="shared" si="43"/>
        <v>131.93818158775633</v>
      </c>
      <c r="AC211" s="106">
        <f t="shared" si="44"/>
        <v>98.953636190817249</v>
      </c>
      <c r="AD211" s="106">
        <f t="shared" si="45"/>
        <v>65.969090793878166</v>
      </c>
    </row>
    <row r="212" spans="1:30" x14ac:dyDescent="0.25">
      <c r="A212" s="122">
        <v>131104</v>
      </c>
      <c r="B212" s="153">
        <v>131</v>
      </c>
      <c r="C212" s="154">
        <v>1</v>
      </c>
      <c r="D212" s="154">
        <v>577</v>
      </c>
      <c r="E212" s="154">
        <v>113</v>
      </c>
      <c r="F212" s="154">
        <v>184</v>
      </c>
      <c r="G212" s="154">
        <v>16</v>
      </c>
      <c r="H212" s="154">
        <v>14</v>
      </c>
      <c r="I212" s="155">
        <v>5</v>
      </c>
      <c r="J212" s="155">
        <v>3</v>
      </c>
      <c r="K212" s="155">
        <v>1</v>
      </c>
      <c r="L212" s="155">
        <v>4</v>
      </c>
      <c r="M212" s="155">
        <v>2</v>
      </c>
      <c r="N212" s="155">
        <v>2</v>
      </c>
      <c r="O212" s="155"/>
      <c r="P212" s="172">
        <f t="shared" si="46"/>
        <v>58.721238938053098</v>
      </c>
      <c r="Q212" s="172">
        <f t="shared" si="47"/>
        <v>67.109987357774969</v>
      </c>
      <c r="R212" s="172">
        <f t="shared" si="48"/>
        <v>86.762772308059297</v>
      </c>
      <c r="S212" s="106"/>
      <c r="T212" s="173">
        <f t="shared" si="49"/>
        <v>0.19584055459272098</v>
      </c>
      <c r="U212" s="173">
        <f t="shared" si="50"/>
        <v>8.6956521739130432E-2</v>
      </c>
      <c r="V212" s="173">
        <f t="shared" si="51"/>
        <v>1.7029613442845301E-2</v>
      </c>
      <c r="W212" s="173">
        <f t="shared" si="52"/>
        <v>0.875</v>
      </c>
      <c r="X212" s="167"/>
      <c r="Y212" s="106">
        <f t="shared" si="40"/>
        <v>40.960342820151958</v>
      </c>
      <c r="Z212" s="106">
        <f t="shared" si="41"/>
        <v>24.576205692091172</v>
      </c>
      <c r="AA212" s="106">
        <f t="shared" si="42"/>
        <v>8.1920685640303912</v>
      </c>
      <c r="AB212" s="106">
        <f t="shared" si="43"/>
        <v>32.768274256121565</v>
      </c>
      <c r="AC212" s="106">
        <f t="shared" si="44"/>
        <v>16.384137128060782</v>
      </c>
      <c r="AD212" s="106">
        <f t="shared" si="45"/>
        <v>16.384137128060782</v>
      </c>
    </row>
    <row r="213" spans="1:30" x14ac:dyDescent="0.25">
      <c r="A213" s="122">
        <v>231102</v>
      </c>
      <c r="B213" s="153">
        <v>231</v>
      </c>
      <c r="C213" s="154">
        <v>4</v>
      </c>
      <c r="D213" s="154">
        <v>55744</v>
      </c>
      <c r="E213" s="154">
        <v>146</v>
      </c>
      <c r="F213" s="154">
        <v>174</v>
      </c>
      <c r="G213" s="154">
        <v>16</v>
      </c>
      <c r="H213" s="154">
        <v>15</v>
      </c>
      <c r="I213" s="155">
        <v>2</v>
      </c>
      <c r="J213" s="155">
        <v>1</v>
      </c>
      <c r="K213" s="155">
        <v>2</v>
      </c>
      <c r="L213" s="155">
        <v>2</v>
      </c>
      <c r="M213" s="155">
        <v>2</v>
      </c>
      <c r="N213" s="155">
        <v>2</v>
      </c>
      <c r="O213" s="155"/>
      <c r="P213" s="172">
        <f t="shared" si="46"/>
        <v>1038.041095890411</v>
      </c>
      <c r="Q213" s="172">
        <f t="shared" si="47"/>
        <v>1107.2438356164384</v>
      </c>
      <c r="R213" s="172">
        <f t="shared" si="48"/>
        <v>656.39743570196401</v>
      </c>
      <c r="S213" s="106"/>
      <c r="T213" s="173">
        <f t="shared" si="49"/>
        <v>1.0476463834672789E-2</v>
      </c>
      <c r="U213" s="173">
        <f t="shared" si="50"/>
        <v>9.1954022988505746E-2</v>
      </c>
      <c r="V213" s="173">
        <f t="shared" si="51"/>
        <v>9.6335299629175071E-4</v>
      </c>
      <c r="W213" s="173">
        <f t="shared" si="52"/>
        <v>0.9375</v>
      </c>
      <c r="X213" s="167"/>
      <c r="Y213" s="106">
        <f t="shared" si="40"/>
        <v>66.550547273976292</v>
      </c>
      <c r="Z213" s="106">
        <f t="shared" si="41"/>
        <v>33.275273636988146</v>
      </c>
      <c r="AA213" s="106">
        <f t="shared" si="42"/>
        <v>66.550547273976292</v>
      </c>
      <c r="AB213" s="106">
        <f t="shared" si="43"/>
        <v>66.550547273976292</v>
      </c>
      <c r="AC213" s="106">
        <f t="shared" si="44"/>
        <v>66.550547273976292</v>
      </c>
      <c r="AD213" s="106">
        <f t="shared" si="45"/>
        <v>66.550547273976292</v>
      </c>
    </row>
    <row r="214" spans="1:30" x14ac:dyDescent="0.25">
      <c r="A214" s="122">
        <v>231103</v>
      </c>
      <c r="B214" s="153">
        <v>231</v>
      </c>
      <c r="C214" s="154">
        <v>4</v>
      </c>
      <c r="D214" s="154">
        <v>55744</v>
      </c>
      <c r="E214" s="154">
        <v>94</v>
      </c>
      <c r="F214" s="154">
        <v>98</v>
      </c>
      <c r="G214" s="154">
        <v>16</v>
      </c>
      <c r="H214" s="154">
        <v>15</v>
      </c>
      <c r="I214" s="155">
        <v>2</v>
      </c>
      <c r="J214" s="155">
        <v>1</v>
      </c>
      <c r="K214" s="155">
        <v>2</v>
      </c>
      <c r="L214" s="155">
        <v>2</v>
      </c>
      <c r="M214" s="155">
        <v>2</v>
      </c>
      <c r="N214" s="155">
        <v>2</v>
      </c>
      <c r="O214" s="155"/>
      <c r="P214" s="172">
        <f t="shared" si="46"/>
        <v>908.06382978723411</v>
      </c>
      <c r="Q214" s="172">
        <f t="shared" si="47"/>
        <v>968.60141843971644</v>
      </c>
      <c r="R214" s="172">
        <f t="shared" si="48"/>
        <v>574.20729457224888</v>
      </c>
      <c r="S214" s="106"/>
      <c r="T214" s="173">
        <f t="shared" si="49"/>
        <v>6.7451205510907003E-3</v>
      </c>
      <c r="U214" s="173">
        <f t="shared" si="50"/>
        <v>0.16326530612244897</v>
      </c>
      <c r="V214" s="173">
        <f t="shared" si="51"/>
        <v>1.1012441716066448E-3</v>
      </c>
      <c r="W214" s="173">
        <f t="shared" si="52"/>
        <v>0.9375</v>
      </c>
      <c r="X214" s="167"/>
      <c r="Y214" s="106">
        <f t="shared" si="40"/>
        <v>62.244724063641456</v>
      </c>
      <c r="Z214" s="106">
        <f t="shared" si="41"/>
        <v>31.122362031820728</v>
      </c>
      <c r="AA214" s="106">
        <f t="shared" si="42"/>
        <v>62.244724063641456</v>
      </c>
      <c r="AB214" s="106">
        <f t="shared" si="43"/>
        <v>62.244724063641456</v>
      </c>
      <c r="AC214" s="106">
        <f t="shared" si="44"/>
        <v>62.244724063641456</v>
      </c>
      <c r="AD214" s="106">
        <f t="shared" si="45"/>
        <v>62.244724063641456</v>
      </c>
    </row>
    <row r="215" spans="1:30" x14ac:dyDescent="0.25">
      <c r="A215" s="122">
        <v>231104</v>
      </c>
      <c r="B215" s="153">
        <v>231</v>
      </c>
      <c r="C215" s="154">
        <v>4</v>
      </c>
      <c r="D215" s="154">
        <v>55744</v>
      </c>
      <c r="E215" s="154">
        <v>88</v>
      </c>
      <c r="F215" s="154">
        <v>94</v>
      </c>
      <c r="G215" s="154">
        <v>16</v>
      </c>
      <c r="H215" s="154">
        <v>16</v>
      </c>
      <c r="I215" s="155">
        <v>2</v>
      </c>
      <c r="J215" s="155">
        <v>2</v>
      </c>
      <c r="K215" s="155">
        <v>2</v>
      </c>
      <c r="L215" s="155">
        <v>2</v>
      </c>
      <c r="M215" s="155">
        <v>2</v>
      </c>
      <c r="N215" s="155">
        <v>2</v>
      </c>
      <c r="O215" s="155"/>
      <c r="P215" s="172">
        <f t="shared" si="46"/>
        <v>930.38636363636374</v>
      </c>
      <c r="Q215" s="172">
        <f t="shared" si="47"/>
        <v>930.38636363636374</v>
      </c>
      <c r="R215" s="172">
        <f t="shared" si="48"/>
        <v>449.12679547520855</v>
      </c>
      <c r="S215" s="106"/>
      <c r="T215" s="173">
        <f t="shared" si="49"/>
        <v>6.3145809414466127E-3</v>
      </c>
      <c r="U215" s="173">
        <f t="shared" si="50"/>
        <v>0.1702127659574468</v>
      </c>
      <c r="V215" s="173">
        <f t="shared" si="51"/>
        <v>1.0748222879058064E-3</v>
      </c>
      <c r="W215" s="173">
        <f t="shared" si="52"/>
        <v>1</v>
      </c>
      <c r="X215" s="167"/>
      <c r="Y215" s="106">
        <f t="shared" si="40"/>
        <v>61.004470775062501</v>
      </c>
      <c r="Z215" s="106">
        <f t="shared" si="41"/>
        <v>61.004470775062501</v>
      </c>
      <c r="AA215" s="106">
        <f t="shared" si="42"/>
        <v>61.004470775062501</v>
      </c>
      <c r="AB215" s="106">
        <f t="shared" si="43"/>
        <v>61.004470775062501</v>
      </c>
      <c r="AC215" s="106">
        <f t="shared" si="44"/>
        <v>61.004470775062501</v>
      </c>
      <c r="AD215" s="106">
        <f t="shared" si="45"/>
        <v>61.004470775062501</v>
      </c>
    </row>
    <row r="216" spans="1:30" x14ac:dyDescent="0.25">
      <c r="A216" s="122">
        <v>231105</v>
      </c>
      <c r="B216" s="153">
        <v>231</v>
      </c>
      <c r="C216" s="154">
        <v>4</v>
      </c>
      <c r="D216" s="154">
        <v>55744</v>
      </c>
      <c r="E216" s="154">
        <v>96</v>
      </c>
      <c r="F216" s="154">
        <v>97</v>
      </c>
      <c r="G216" s="154">
        <v>16</v>
      </c>
      <c r="H216" s="154">
        <v>16</v>
      </c>
      <c r="I216" s="155">
        <v>4</v>
      </c>
      <c r="J216" s="155">
        <v>2</v>
      </c>
      <c r="K216" s="155">
        <v>1</v>
      </c>
      <c r="L216" s="155">
        <v>3</v>
      </c>
      <c r="M216" s="155">
        <v>2</v>
      </c>
      <c r="N216" s="155">
        <v>1</v>
      </c>
      <c r="O216" s="155"/>
      <c r="P216" s="172">
        <f t="shared" si="46"/>
        <v>880.07291666666674</v>
      </c>
      <c r="Q216" s="172">
        <f t="shared" si="47"/>
        <v>880.07291666666674</v>
      </c>
      <c r="R216" s="172">
        <f t="shared" si="48"/>
        <v>1032.714077844189</v>
      </c>
      <c r="S216" s="106"/>
      <c r="T216" s="173">
        <f t="shared" si="49"/>
        <v>6.8886337543053958E-3</v>
      </c>
      <c r="U216" s="173">
        <f t="shared" si="50"/>
        <v>0.16494845360824742</v>
      </c>
      <c r="V216" s="173">
        <f t="shared" si="51"/>
        <v>1.1362694852462508E-3</v>
      </c>
      <c r="W216" s="173">
        <f t="shared" si="52"/>
        <v>1</v>
      </c>
      <c r="X216" s="167"/>
      <c r="Y216" s="106">
        <f t="shared" si="40"/>
        <v>118.66409173236303</v>
      </c>
      <c r="Z216" s="106">
        <f t="shared" si="41"/>
        <v>59.332045866181517</v>
      </c>
      <c r="AA216" s="106">
        <f t="shared" si="42"/>
        <v>29.666022933090758</v>
      </c>
      <c r="AB216" s="106">
        <f t="shared" si="43"/>
        <v>88.998068799272275</v>
      </c>
      <c r="AC216" s="106">
        <f t="shared" si="44"/>
        <v>59.332045866181517</v>
      </c>
      <c r="AD216" s="106">
        <f t="shared" si="45"/>
        <v>29.666022933090758</v>
      </c>
    </row>
    <row r="217" spans="1:30" x14ac:dyDescent="0.25">
      <c r="I217" s="155"/>
      <c r="J217" s="155"/>
      <c r="K217" s="155"/>
      <c r="L217" s="155"/>
      <c r="M217" s="155"/>
      <c r="N217" s="155"/>
      <c r="O217" s="155"/>
      <c r="Q217" s="154"/>
    </row>
    <row r="218" spans="1:30" x14ac:dyDescent="0.25">
      <c r="I218" s="155"/>
      <c r="J218" s="155"/>
      <c r="K218" s="155"/>
      <c r="L218" s="155"/>
      <c r="M218" s="155"/>
      <c r="N218" s="155"/>
      <c r="O218" s="155"/>
      <c r="Q218" s="154"/>
    </row>
    <row r="219" spans="1:30" x14ac:dyDescent="0.25">
      <c r="I219" s="155"/>
      <c r="J219" s="155"/>
      <c r="K219" s="155"/>
      <c r="L219" s="155"/>
      <c r="M219" s="155"/>
      <c r="N219" s="155"/>
      <c r="O219" s="155"/>
      <c r="Q219" s="154"/>
    </row>
    <row r="220" spans="1:30" x14ac:dyDescent="0.25">
      <c r="I220" s="155"/>
      <c r="J220" s="155"/>
      <c r="K220" s="155"/>
      <c r="L220" s="155"/>
      <c r="M220" s="155"/>
      <c r="N220" s="155"/>
      <c r="O220" s="155"/>
      <c r="Q220" s="154"/>
    </row>
    <row r="221" spans="1:30" x14ac:dyDescent="0.25">
      <c r="I221" s="155"/>
      <c r="J221" s="155"/>
      <c r="K221" s="155"/>
      <c r="L221" s="155"/>
      <c r="M221" s="155"/>
      <c r="N221" s="155"/>
      <c r="O221" s="155"/>
      <c r="Q221" s="154"/>
    </row>
    <row r="222" spans="1:30" x14ac:dyDescent="0.25">
      <c r="I222" s="155"/>
      <c r="J222" s="155"/>
      <c r="K222" s="155"/>
      <c r="L222" s="155"/>
      <c r="M222" s="155"/>
      <c r="N222" s="155"/>
      <c r="O222" s="155"/>
      <c r="Q222" s="154"/>
    </row>
    <row r="223" spans="1:30" x14ac:dyDescent="0.25">
      <c r="I223" s="155"/>
      <c r="J223" s="155"/>
      <c r="K223" s="155"/>
      <c r="L223" s="155"/>
      <c r="M223" s="155"/>
      <c r="N223" s="155"/>
      <c r="O223" s="155"/>
      <c r="Q223" s="154"/>
    </row>
    <row r="224" spans="1:30" x14ac:dyDescent="0.25">
      <c r="I224" s="155"/>
      <c r="J224" s="155"/>
      <c r="K224" s="155"/>
      <c r="L224" s="155"/>
      <c r="M224" s="155"/>
      <c r="N224" s="155"/>
      <c r="O224" s="155"/>
      <c r="Q224" s="154"/>
    </row>
    <row r="225" spans="9:17" x14ac:dyDescent="0.25">
      <c r="I225" s="155"/>
      <c r="J225" s="155"/>
      <c r="K225" s="155"/>
      <c r="L225" s="155"/>
      <c r="M225" s="155"/>
      <c r="N225" s="155"/>
      <c r="O225" s="155"/>
      <c r="Q225" s="154"/>
    </row>
    <row r="226" spans="9:17" x14ac:dyDescent="0.25">
      <c r="I226" s="155"/>
      <c r="J226" s="155"/>
      <c r="K226" s="155"/>
      <c r="L226" s="155"/>
      <c r="M226" s="155"/>
      <c r="N226" s="155"/>
      <c r="O226" s="155"/>
      <c r="Q226" s="154"/>
    </row>
    <row r="227" spans="9:17" x14ac:dyDescent="0.25">
      <c r="I227" s="155"/>
      <c r="J227" s="155"/>
      <c r="K227" s="155"/>
      <c r="L227" s="155"/>
      <c r="M227" s="155"/>
      <c r="N227" s="155"/>
      <c r="O227" s="155"/>
      <c r="Q227" s="154"/>
    </row>
    <row r="228" spans="9:17" x14ac:dyDescent="0.25">
      <c r="I228" s="155"/>
      <c r="J228" s="155"/>
      <c r="K228" s="155"/>
      <c r="L228" s="155"/>
      <c r="M228" s="155"/>
      <c r="N228" s="155"/>
      <c r="O228" s="155"/>
      <c r="Q228" s="154"/>
    </row>
    <row r="229" spans="9:17" x14ac:dyDescent="0.25">
      <c r="I229" s="155"/>
      <c r="J229" s="155"/>
      <c r="K229" s="155"/>
      <c r="L229" s="155"/>
      <c r="M229" s="155"/>
      <c r="N229" s="155"/>
      <c r="O229" s="155"/>
      <c r="Q229" s="154"/>
    </row>
    <row r="230" spans="9:17" x14ac:dyDescent="0.25">
      <c r="I230" s="155"/>
      <c r="J230" s="155"/>
      <c r="K230" s="155"/>
      <c r="L230" s="155"/>
      <c r="M230" s="155"/>
      <c r="N230" s="155"/>
      <c r="O230" s="155"/>
      <c r="Q230" s="154"/>
    </row>
    <row r="231" spans="9:17" x14ac:dyDescent="0.25">
      <c r="I231" s="155"/>
      <c r="J231" s="155"/>
      <c r="K231" s="155"/>
      <c r="L231" s="155"/>
      <c r="M231" s="155"/>
      <c r="N231" s="155"/>
      <c r="O231" s="155"/>
      <c r="Q231" s="154"/>
    </row>
    <row r="232" spans="9:17" x14ac:dyDescent="0.25">
      <c r="I232" s="155"/>
      <c r="J232" s="155"/>
      <c r="K232" s="155"/>
      <c r="L232" s="155"/>
      <c r="M232" s="155"/>
      <c r="N232" s="155"/>
      <c r="O232" s="155"/>
      <c r="Q232" s="154"/>
    </row>
    <row r="233" spans="9:17" x14ac:dyDescent="0.25">
      <c r="I233" s="154"/>
      <c r="J233" s="154"/>
      <c r="K233" s="154"/>
      <c r="L233" s="154"/>
      <c r="M233" s="154"/>
    </row>
    <row r="234" spans="9:17" x14ac:dyDescent="0.25">
      <c r="I234" s="154"/>
      <c r="J234" s="154"/>
      <c r="K234" s="154"/>
      <c r="L234" s="154"/>
      <c r="M234" s="154"/>
    </row>
    <row r="235" spans="9:17" x14ac:dyDescent="0.25">
      <c r="I235" s="154"/>
      <c r="J235" s="154"/>
      <c r="K235" s="154"/>
      <c r="L235" s="154"/>
      <c r="M235" s="154"/>
    </row>
    <row r="236" spans="9:17" x14ac:dyDescent="0.25">
      <c r="I236" s="154"/>
      <c r="J236" s="154"/>
      <c r="K236" s="154"/>
      <c r="L236" s="154"/>
      <c r="M236" s="154"/>
    </row>
    <row r="237" spans="9:17" x14ac:dyDescent="0.25">
      <c r="I237" s="154"/>
      <c r="J237" s="154"/>
      <c r="K237" s="154"/>
      <c r="L237" s="154"/>
      <c r="M237" s="154"/>
    </row>
    <row r="238" spans="9:17" x14ac:dyDescent="0.25">
      <c r="I238" s="154"/>
      <c r="J238" s="154"/>
      <c r="K238" s="154"/>
      <c r="L238" s="154"/>
      <c r="M238" s="154"/>
    </row>
    <row r="239" spans="9:17" x14ac:dyDescent="0.25">
      <c r="I239" s="154"/>
      <c r="J239" s="154"/>
      <c r="K239" s="154"/>
      <c r="L239" s="154"/>
      <c r="M239" s="154"/>
    </row>
    <row r="240" spans="9:17" x14ac:dyDescent="0.25">
      <c r="I240" s="154"/>
      <c r="J240" s="154"/>
      <c r="K240" s="154"/>
      <c r="L240" s="154"/>
      <c r="M240" s="154"/>
    </row>
    <row r="241" spans="9:13" x14ac:dyDescent="0.25">
      <c r="I241" s="154"/>
      <c r="J241" s="154"/>
      <c r="K241" s="154"/>
      <c r="L241" s="154"/>
      <c r="M241" s="154"/>
    </row>
    <row r="242" spans="9:13" x14ac:dyDescent="0.25">
      <c r="I242" s="154"/>
      <c r="J242" s="154"/>
      <c r="K242" s="154"/>
      <c r="L242" s="154"/>
      <c r="M242" s="154"/>
    </row>
    <row r="243" spans="9:13" x14ac:dyDescent="0.25">
      <c r="I243" s="154"/>
      <c r="J243" s="154"/>
      <c r="K243" s="154"/>
      <c r="L243" s="154"/>
      <c r="M243" s="154"/>
    </row>
    <row r="244" spans="9:13" x14ac:dyDescent="0.25">
      <c r="I244" s="154"/>
      <c r="J244" s="154"/>
      <c r="K244" s="154"/>
      <c r="L244" s="154"/>
      <c r="M244" s="154"/>
    </row>
    <row r="245" spans="9:13" x14ac:dyDescent="0.25">
      <c r="I245" s="154"/>
      <c r="J245" s="154"/>
      <c r="K245" s="154"/>
      <c r="L245" s="154"/>
      <c r="M245" s="154"/>
    </row>
    <row r="246" spans="9:13" x14ac:dyDescent="0.25">
      <c r="I246" s="154"/>
      <c r="J246" s="154"/>
      <c r="K246" s="154"/>
      <c r="L246" s="154"/>
      <c r="M246" s="154"/>
    </row>
    <row r="247" spans="9:13" x14ac:dyDescent="0.25">
      <c r="I247" s="154"/>
      <c r="J247" s="154"/>
      <c r="K247" s="154"/>
      <c r="L247" s="154"/>
      <c r="M247" s="154"/>
    </row>
    <row r="248" spans="9:13" x14ac:dyDescent="0.25">
      <c r="I248" s="154"/>
      <c r="J248" s="154"/>
      <c r="K248" s="154"/>
      <c r="L248" s="154"/>
      <c r="M248" s="154"/>
    </row>
    <row r="249" spans="9:13" x14ac:dyDescent="0.25">
      <c r="I249" s="154"/>
      <c r="J249" s="154"/>
      <c r="K249" s="154"/>
      <c r="L249" s="154"/>
      <c r="M249" s="154"/>
    </row>
    <row r="250" spans="9:13" x14ac:dyDescent="0.25">
      <c r="I250" s="154"/>
      <c r="J250" s="154"/>
      <c r="K250" s="154"/>
      <c r="L250" s="154"/>
      <c r="M250" s="154"/>
    </row>
    <row r="251" spans="9:13" x14ac:dyDescent="0.25">
      <c r="I251" s="154"/>
      <c r="J251" s="154"/>
      <c r="K251" s="154"/>
      <c r="L251" s="154"/>
      <c r="M251" s="154"/>
    </row>
    <row r="252" spans="9:13" x14ac:dyDescent="0.25">
      <c r="I252" s="154"/>
      <c r="J252" s="154"/>
      <c r="K252" s="154"/>
      <c r="L252" s="154"/>
      <c r="M252" s="154"/>
    </row>
    <row r="253" spans="9:13" x14ac:dyDescent="0.25">
      <c r="I253" s="154"/>
      <c r="J253" s="154"/>
      <c r="K253" s="154"/>
      <c r="L253" s="154"/>
      <c r="M253" s="154"/>
    </row>
    <row r="254" spans="9:13" x14ac:dyDescent="0.25">
      <c r="I254" s="154"/>
      <c r="J254" s="154"/>
      <c r="K254" s="154"/>
      <c r="L254" s="154"/>
      <c r="M254" s="154"/>
    </row>
    <row r="255" spans="9:13" x14ac:dyDescent="0.25">
      <c r="I255" s="154"/>
      <c r="J255" s="154"/>
      <c r="K255" s="154"/>
      <c r="L255" s="154"/>
      <c r="M255" s="154"/>
    </row>
    <row r="256" spans="9:13" x14ac:dyDescent="0.25">
      <c r="I256" s="154"/>
      <c r="J256" s="154"/>
      <c r="K256" s="154"/>
      <c r="L256" s="154"/>
      <c r="M256" s="154"/>
    </row>
    <row r="257" spans="9:13" x14ac:dyDescent="0.25">
      <c r="I257" s="154"/>
      <c r="J257" s="154"/>
      <c r="K257" s="154"/>
      <c r="L257" s="154"/>
      <c r="M257" s="154"/>
    </row>
    <row r="258" spans="9:13" x14ac:dyDescent="0.25">
      <c r="I258" s="154"/>
      <c r="J258" s="154"/>
      <c r="K258" s="154"/>
      <c r="L258" s="154"/>
      <c r="M258" s="154"/>
    </row>
    <row r="259" spans="9:13" x14ac:dyDescent="0.25">
      <c r="I259" s="154"/>
      <c r="J259" s="154"/>
      <c r="K259" s="154"/>
      <c r="L259" s="154"/>
      <c r="M259" s="154"/>
    </row>
    <row r="260" spans="9:13" x14ac:dyDescent="0.25">
      <c r="I260" s="154"/>
      <c r="J260" s="154"/>
      <c r="K260" s="154"/>
      <c r="L260" s="154"/>
      <c r="M260" s="154"/>
    </row>
    <row r="261" spans="9:13" x14ac:dyDescent="0.25">
      <c r="I261" s="154"/>
      <c r="J261" s="154"/>
      <c r="K261" s="154"/>
      <c r="L261" s="154"/>
      <c r="M261" s="154"/>
    </row>
    <row r="262" spans="9:13" x14ac:dyDescent="0.25">
      <c r="I262" s="154"/>
      <c r="J262" s="154"/>
      <c r="K262" s="154"/>
      <c r="L262" s="154"/>
      <c r="M262" s="154"/>
    </row>
    <row r="263" spans="9:13" x14ac:dyDescent="0.25">
      <c r="I263" s="154"/>
      <c r="J263" s="154"/>
      <c r="K263" s="154"/>
      <c r="L263" s="154"/>
      <c r="M263" s="154"/>
    </row>
    <row r="264" spans="9:13" x14ac:dyDescent="0.25">
      <c r="I264" s="154"/>
      <c r="J264" s="154"/>
      <c r="K264" s="154"/>
      <c r="L264" s="154"/>
      <c r="M264" s="154"/>
    </row>
    <row r="265" spans="9:13" x14ac:dyDescent="0.25">
      <c r="I265" s="154"/>
      <c r="J265" s="154"/>
      <c r="K265" s="154"/>
      <c r="L265" s="154"/>
      <c r="M265" s="154"/>
    </row>
    <row r="266" spans="9:13" x14ac:dyDescent="0.25">
      <c r="I266" s="154"/>
      <c r="J266" s="154"/>
      <c r="K266" s="154"/>
      <c r="L266" s="154"/>
      <c r="M266" s="154"/>
    </row>
    <row r="267" spans="9:13" x14ac:dyDescent="0.25">
      <c r="I267" s="154"/>
      <c r="J267" s="154"/>
      <c r="K267" s="154"/>
      <c r="L267" s="154"/>
      <c r="M267" s="154"/>
    </row>
    <row r="268" spans="9:13" x14ac:dyDescent="0.25">
      <c r="I268" s="154"/>
      <c r="J268" s="154"/>
      <c r="K268" s="154"/>
      <c r="L268" s="154"/>
      <c r="M268" s="154"/>
    </row>
    <row r="269" spans="9:13" x14ac:dyDescent="0.25">
      <c r="I269" s="154"/>
      <c r="J269" s="154"/>
      <c r="K269" s="154"/>
      <c r="L269" s="154"/>
      <c r="M269" s="154"/>
    </row>
    <row r="270" spans="9:13" x14ac:dyDescent="0.25">
      <c r="I270" s="154"/>
      <c r="J270" s="154"/>
      <c r="K270" s="154"/>
      <c r="L270" s="154"/>
      <c r="M270" s="154"/>
    </row>
    <row r="271" spans="9:13" x14ac:dyDescent="0.25">
      <c r="I271" s="154"/>
      <c r="J271" s="154"/>
      <c r="K271" s="154"/>
      <c r="L271" s="154"/>
      <c r="M271" s="154"/>
    </row>
    <row r="272" spans="9:13" x14ac:dyDescent="0.25">
      <c r="I272" s="154"/>
      <c r="J272" s="154"/>
      <c r="K272" s="154"/>
      <c r="L272" s="154"/>
      <c r="M272" s="154"/>
    </row>
    <row r="273" spans="9:13" x14ac:dyDescent="0.25">
      <c r="I273" s="154"/>
      <c r="J273" s="154"/>
      <c r="K273" s="154"/>
      <c r="L273" s="154"/>
      <c r="M273" s="154"/>
    </row>
    <row r="274" spans="9:13" x14ac:dyDescent="0.25">
      <c r="I274" s="154"/>
      <c r="J274" s="154"/>
      <c r="K274" s="154"/>
      <c r="L274" s="154"/>
      <c r="M274" s="154"/>
    </row>
    <row r="275" spans="9:13" x14ac:dyDescent="0.25">
      <c r="I275" s="154"/>
      <c r="J275" s="154"/>
      <c r="K275" s="154"/>
      <c r="L275" s="154"/>
      <c r="M275" s="154"/>
    </row>
    <row r="276" spans="9:13" x14ac:dyDescent="0.25">
      <c r="I276" s="154"/>
      <c r="J276" s="154"/>
      <c r="K276" s="154"/>
      <c r="L276" s="154"/>
      <c r="M276" s="154"/>
    </row>
    <row r="277" spans="9:13" x14ac:dyDescent="0.25">
      <c r="I277" s="154"/>
      <c r="J277" s="154"/>
      <c r="K277" s="154"/>
      <c r="L277" s="154"/>
      <c r="M277" s="154"/>
    </row>
    <row r="278" spans="9:13" x14ac:dyDescent="0.25">
      <c r="I278" s="154"/>
      <c r="J278" s="154"/>
      <c r="K278" s="154"/>
      <c r="L278" s="154"/>
      <c r="M278" s="154"/>
    </row>
    <row r="279" spans="9:13" x14ac:dyDescent="0.25">
      <c r="I279" s="154"/>
      <c r="J279" s="154"/>
      <c r="K279" s="154"/>
      <c r="L279" s="154"/>
      <c r="M279" s="154"/>
    </row>
    <row r="280" spans="9:13" x14ac:dyDescent="0.25">
      <c r="I280" s="154"/>
      <c r="J280" s="154"/>
      <c r="K280" s="154"/>
      <c r="L280" s="154"/>
      <c r="M280" s="154"/>
    </row>
    <row r="281" spans="9:13" x14ac:dyDescent="0.25">
      <c r="I281" s="154"/>
      <c r="J281" s="154"/>
      <c r="K281" s="154"/>
      <c r="L281" s="154"/>
      <c r="M281" s="154"/>
    </row>
    <row r="282" spans="9:13" x14ac:dyDescent="0.25">
      <c r="I282" s="154"/>
      <c r="J282" s="154"/>
      <c r="K282" s="154"/>
      <c r="L282" s="154"/>
      <c r="M282" s="154"/>
    </row>
    <row r="283" spans="9:13" x14ac:dyDescent="0.25">
      <c r="I283" s="154"/>
      <c r="J283" s="154"/>
      <c r="K283" s="154"/>
      <c r="L283" s="154"/>
      <c r="M283" s="154"/>
    </row>
    <row r="284" spans="9:13" x14ac:dyDescent="0.25">
      <c r="I284" s="154"/>
      <c r="J284" s="154"/>
      <c r="K284" s="154"/>
      <c r="L284" s="154"/>
      <c r="M284" s="154"/>
    </row>
    <row r="285" spans="9:13" x14ac:dyDescent="0.25">
      <c r="I285" s="154"/>
      <c r="J285" s="154"/>
      <c r="K285" s="154"/>
      <c r="L285" s="154"/>
      <c r="M285" s="154"/>
    </row>
    <row r="286" spans="9:13" x14ac:dyDescent="0.25">
      <c r="I286" s="154"/>
      <c r="J286" s="154"/>
      <c r="K286" s="154"/>
      <c r="L286" s="154"/>
      <c r="M286" s="154"/>
    </row>
    <row r="287" spans="9:13" x14ac:dyDescent="0.25">
      <c r="I287" s="154"/>
      <c r="J287" s="154"/>
      <c r="K287" s="154"/>
      <c r="L287" s="154"/>
      <c r="M287" s="154"/>
    </row>
    <row r="288" spans="9:13" x14ac:dyDescent="0.25">
      <c r="I288" s="154"/>
      <c r="J288" s="154"/>
      <c r="K288" s="154"/>
      <c r="L288" s="154"/>
      <c r="M288" s="154"/>
    </row>
    <row r="289" spans="9:13" x14ac:dyDescent="0.25">
      <c r="I289" s="154"/>
      <c r="J289" s="154"/>
      <c r="K289" s="154"/>
      <c r="L289" s="154"/>
      <c r="M289" s="154"/>
    </row>
    <row r="290" spans="9:13" x14ac:dyDescent="0.25">
      <c r="I290" s="154"/>
      <c r="J290" s="154"/>
      <c r="K290" s="154"/>
      <c r="L290" s="154"/>
      <c r="M290" s="154"/>
    </row>
    <row r="291" spans="9:13" x14ac:dyDescent="0.25">
      <c r="I291" s="154"/>
      <c r="J291" s="154"/>
      <c r="K291" s="154"/>
      <c r="L291" s="154"/>
      <c r="M291" s="154"/>
    </row>
    <row r="292" spans="9:13" x14ac:dyDescent="0.25">
      <c r="I292" s="154"/>
      <c r="J292" s="154"/>
      <c r="K292" s="154"/>
      <c r="L292" s="154"/>
      <c r="M292" s="154"/>
    </row>
    <row r="293" spans="9:13" x14ac:dyDescent="0.25">
      <c r="I293" s="154"/>
      <c r="J293" s="154"/>
      <c r="K293" s="154"/>
      <c r="L293" s="154"/>
      <c r="M293" s="154"/>
    </row>
    <row r="294" spans="9:13" x14ac:dyDescent="0.25">
      <c r="I294" s="154"/>
      <c r="J294" s="154"/>
      <c r="K294" s="154"/>
      <c r="L294" s="154"/>
      <c r="M294" s="154"/>
    </row>
    <row r="295" spans="9:13" x14ac:dyDescent="0.25">
      <c r="I295" s="154"/>
      <c r="J295" s="154"/>
      <c r="K295" s="154"/>
      <c r="L295" s="154"/>
      <c r="M295" s="154"/>
    </row>
    <row r="296" spans="9:13" x14ac:dyDescent="0.25">
      <c r="I296" s="154"/>
      <c r="J296" s="154"/>
      <c r="K296" s="154"/>
      <c r="L296" s="154"/>
      <c r="M296" s="154"/>
    </row>
    <row r="297" spans="9:13" x14ac:dyDescent="0.25">
      <c r="I297" s="154"/>
      <c r="J297" s="154"/>
      <c r="K297" s="154"/>
      <c r="L297" s="154"/>
      <c r="M297" s="154"/>
    </row>
    <row r="298" spans="9:13" x14ac:dyDescent="0.25">
      <c r="I298" s="154"/>
      <c r="J298" s="154"/>
      <c r="K298" s="154"/>
      <c r="L298" s="154"/>
      <c r="M298" s="154"/>
    </row>
    <row r="299" spans="9:13" x14ac:dyDescent="0.25">
      <c r="I299" s="154"/>
      <c r="J299" s="154"/>
      <c r="K299" s="154"/>
      <c r="L299" s="154"/>
      <c r="M299" s="154"/>
    </row>
    <row r="300" spans="9:13" x14ac:dyDescent="0.25">
      <c r="I300" s="154"/>
      <c r="J300" s="154"/>
      <c r="K300" s="154"/>
      <c r="L300" s="154"/>
      <c r="M300" s="154"/>
    </row>
    <row r="301" spans="9:13" x14ac:dyDescent="0.25">
      <c r="I301" s="154"/>
      <c r="J301" s="154"/>
      <c r="K301" s="154"/>
      <c r="L301" s="154"/>
      <c r="M301" s="154"/>
    </row>
    <row r="302" spans="9:13" x14ac:dyDescent="0.25">
      <c r="I302" s="154"/>
      <c r="J302" s="154"/>
      <c r="K302" s="154"/>
      <c r="L302" s="154"/>
      <c r="M302" s="154"/>
    </row>
    <row r="303" spans="9:13" x14ac:dyDescent="0.25">
      <c r="I303" s="154"/>
      <c r="J303" s="154"/>
      <c r="K303" s="154"/>
      <c r="L303" s="154"/>
      <c r="M303" s="154"/>
    </row>
    <row r="304" spans="9:13" x14ac:dyDescent="0.25">
      <c r="I304" s="154"/>
      <c r="J304" s="154"/>
      <c r="K304" s="154"/>
      <c r="L304" s="154"/>
      <c r="M304" s="154"/>
    </row>
    <row r="305" spans="9:13" x14ac:dyDescent="0.25">
      <c r="I305" s="154"/>
      <c r="J305" s="154"/>
      <c r="K305" s="154"/>
      <c r="L305" s="154"/>
      <c r="M305" s="154"/>
    </row>
    <row r="306" spans="9:13" x14ac:dyDescent="0.25">
      <c r="I306" s="154"/>
      <c r="J306" s="154"/>
      <c r="K306" s="154"/>
      <c r="L306" s="154"/>
      <c r="M306" s="154"/>
    </row>
    <row r="307" spans="9:13" x14ac:dyDescent="0.25">
      <c r="I307" s="154"/>
      <c r="J307" s="154"/>
      <c r="K307" s="154"/>
      <c r="L307" s="154"/>
      <c r="M307" s="154"/>
    </row>
    <row r="308" spans="9:13" x14ac:dyDescent="0.25">
      <c r="I308" s="154"/>
      <c r="J308" s="154"/>
      <c r="K308" s="154"/>
      <c r="L308" s="154"/>
      <c r="M308" s="154"/>
    </row>
    <row r="309" spans="9:13" x14ac:dyDescent="0.25">
      <c r="I309" s="154"/>
      <c r="J309" s="154"/>
      <c r="K309" s="154"/>
      <c r="L309" s="154"/>
      <c r="M309" s="154"/>
    </row>
    <row r="310" spans="9:13" x14ac:dyDescent="0.25">
      <c r="I310" s="154"/>
      <c r="J310" s="154"/>
      <c r="K310" s="154"/>
      <c r="L310" s="154"/>
      <c r="M310" s="154"/>
    </row>
    <row r="311" spans="9:13" x14ac:dyDescent="0.25">
      <c r="I311" s="154"/>
      <c r="J311" s="154"/>
      <c r="K311" s="154"/>
      <c r="L311" s="154"/>
      <c r="M311" s="154"/>
    </row>
    <row r="312" spans="9:13" x14ac:dyDescent="0.25">
      <c r="I312" s="154"/>
      <c r="J312" s="154"/>
      <c r="K312" s="154"/>
      <c r="L312" s="154"/>
      <c r="M312" s="154"/>
    </row>
    <row r="313" spans="9:13" x14ac:dyDescent="0.25">
      <c r="I313" s="154"/>
      <c r="J313" s="154"/>
      <c r="K313" s="154"/>
      <c r="L313" s="154"/>
      <c r="M313" s="154"/>
    </row>
  </sheetData>
  <mergeCells count="25">
    <mergeCell ref="T1:AN1"/>
    <mergeCell ref="A1:R1"/>
    <mergeCell ref="I5:N5"/>
    <mergeCell ref="A3:G3"/>
    <mergeCell ref="T3:W3"/>
    <mergeCell ref="C5:E5"/>
    <mergeCell ref="A5:B5"/>
    <mergeCell ref="Y3:AD3"/>
    <mergeCell ref="AF3:AN3"/>
    <mergeCell ref="I3:N3"/>
    <mergeCell ref="F5:G5"/>
    <mergeCell ref="H5"/>
    <mergeCell ref="AM27:AN27"/>
    <mergeCell ref="P3:R3"/>
    <mergeCell ref="AM21:AN21"/>
    <mergeCell ref="AF21:AK21"/>
    <mergeCell ref="AM5:AM6"/>
    <mergeCell ref="AN5:AN6"/>
    <mergeCell ref="Y6:AD6"/>
    <mergeCell ref="Y5:AD5"/>
    <mergeCell ref="AF14:AK14"/>
    <mergeCell ref="AF6:AK6"/>
    <mergeCell ref="AF5:AK5"/>
    <mergeCell ref="P5:R5"/>
    <mergeCell ref="T5:W5"/>
  </mergeCells>
  <phoneticPr fontId="18" type="noConversion"/>
  <pageMargins left="0.75000000000000011" right="0.75000000000000011" top="1" bottom="1" header="0.5" footer="0.5"/>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Z319"/>
  <sheetViews>
    <sheetView tabSelected="1" zoomScale="150" zoomScaleNormal="70" zoomScalePageLayoutView="70" workbookViewId="0">
      <selection activeCell="DA8" sqref="DA8"/>
    </sheetView>
  </sheetViews>
  <sheetFormatPr defaultColWidth="11" defaultRowHeight="15.75" x14ac:dyDescent="0.25"/>
  <cols>
    <col min="11" max="11" width="1.875" customWidth="1"/>
    <col min="12" max="12" width="32" customWidth="1"/>
    <col min="15" max="17" width="9.5" customWidth="1"/>
    <col min="18" max="18" width="1.875" customWidth="1"/>
    <col min="26" max="26" width="1.875" customWidth="1"/>
    <col min="33" max="33" width="11.375" customWidth="1"/>
    <col min="34" max="34" width="1.875" customWidth="1"/>
    <col min="36" max="36" width="9.5" customWidth="1"/>
    <col min="44" max="44" width="1.875" customWidth="1"/>
    <col min="52" max="52" width="1.875" customWidth="1"/>
    <col min="53" max="53" width="12" customWidth="1"/>
    <col min="54" max="54" width="11.125" bestFit="1" customWidth="1"/>
    <col min="60" max="60" width="1.875" customWidth="1"/>
    <col min="61" max="61" width="9.5" customWidth="1"/>
    <col min="63" max="64" width="9.5" customWidth="1"/>
    <col min="68" max="68" width="1.875" customWidth="1"/>
    <col min="69" max="70" width="9.5" customWidth="1"/>
    <col min="76" max="76" width="1.875" customWidth="1"/>
    <col min="86" max="86" width="1.875" customWidth="1"/>
    <col min="88" max="88" width="9.5" customWidth="1"/>
    <col min="94" max="94" width="1.875" customWidth="1"/>
    <col min="102" max="102" width="1.875" customWidth="1"/>
    <col min="104" max="104" width="10.875" customWidth="1"/>
  </cols>
  <sheetData>
    <row r="1" spans="1:104" ht="26.1" customHeight="1" x14ac:dyDescent="0.25">
      <c r="A1" s="402" t="s">
        <v>122</v>
      </c>
      <c r="B1" s="339"/>
      <c r="C1" s="339"/>
      <c r="D1" s="339"/>
      <c r="E1" s="339"/>
      <c r="F1" s="339"/>
      <c r="G1" s="339"/>
      <c r="H1" s="339"/>
      <c r="I1" s="339"/>
      <c r="J1" s="339"/>
      <c r="K1" s="339"/>
      <c r="L1" s="339"/>
      <c r="M1" s="339"/>
      <c r="N1" s="339"/>
      <c r="O1" s="339"/>
      <c r="P1" s="339"/>
      <c r="Q1" s="339"/>
      <c r="R1" s="210"/>
      <c r="S1" s="212"/>
      <c r="T1" s="212"/>
      <c r="U1" s="212"/>
      <c r="V1" s="212"/>
      <c r="W1" s="212"/>
      <c r="X1" s="212"/>
      <c r="Y1" s="212"/>
      <c r="Z1" s="212"/>
      <c r="AA1" s="212"/>
      <c r="AB1" s="212"/>
      <c r="AC1" s="212"/>
      <c r="AD1" s="212"/>
      <c r="AE1" s="212"/>
      <c r="AF1" s="212"/>
      <c r="AG1" s="212"/>
      <c r="AH1" s="212"/>
      <c r="AI1" s="430"/>
      <c r="AJ1" s="430"/>
      <c r="AK1" s="430"/>
      <c r="AL1" s="430"/>
      <c r="AM1" s="430"/>
      <c r="AN1" s="430"/>
      <c r="AO1" s="430"/>
      <c r="AP1" s="430"/>
      <c r="AQ1" s="430"/>
      <c r="AR1" s="430"/>
      <c r="AS1" s="430"/>
      <c r="AT1" s="430"/>
      <c r="AU1" s="430"/>
      <c r="AV1" s="430"/>
      <c r="AW1" s="430"/>
      <c r="AX1" s="430"/>
      <c r="AY1" s="430"/>
      <c r="AZ1" s="430"/>
      <c r="BA1" s="430"/>
      <c r="BB1" s="430"/>
      <c r="BC1" s="430"/>
      <c r="BD1" s="430"/>
      <c r="BE1" s="430"/>
      <c r="BF1" s="430"/>
      <c r="BG1" s="430"/>
      <c r="BH1" s="430"/>
      <c r="BI1" s="430"/>
      <c r="BJ1" s="430"/>
      <c r="BK1" s="430"/>
      <c r="BL1" s="430"/>
      <c r="BM1" s="430"/>
      <c r="BN1" s="430"/>
      <c r="BO1" s="430"/>
      <c r="BP1" s="430"/>
      <c r="BQ1" s="430"/>
      <c r="BR1" s="430"/>
      <c r="BS1" s="430"/>
      <c r="BT1" s="430"/>
      <c r="BU1" s="430"/>
      <c r="BV1" s="430"/>
      <c r="BW1" s="430"/>
      <c r="BX1" s="430"/>
      <c r="BY1" s="430"/>
      <c r="BZ1" s="430"/>
      <c r="CA1" s="430"/>
      <c r="CB1" s="430"/>
      <c r="CC1" s="430"/>
      <c r="CD1" s="430"/>
      <c r="CE1" s="430"/>
      <c r="CF1" s="430"/>
      <c r="CG1" s="430"/>
      <c r="CH1" s="430"/>
      <c r="CI1" s="430"/>
      <c r="CJ1" s="430"/>
      <c r="CK1" s="430"/>
      <c r="CL1" s="430"/>
      <c r="CM1" s="430"/>
      <c r="CN1" s="430"/>
      <c r="CO1" s="430"/>
      <c r="CP1" s="430"/>
      <c r="CQ1" s="430"/>
      <c r="CR1" s="430"/>
      <c r="CS1" s="430"/>
      <c r="CT1" s="430"/>
      <c r="CU1" s="430"/>
      <c r="CV1" s="430"/>
      <c r="CW1" s="430"/>
      <c r="CX1" s="339"/>
      <c r="CY1" s="339"/>
      <c r="CZ1" s="339"/>
    </row>
    <row r="2" spans="1:104" ht="15" customHeight="1" x14ac:dyDescent="0.25">
      <c r="A2" s="141"/>
      <c r="B2" s="142"/>
      <c r="C2" s="142"/>
      <c r="K2" s="142"/>
      <c r="S2" s="179"/>
      <c r="T2" s="179"/>
      <c r="U2" s="179"/>
      <c r="V2" s="179"/>
      <c r="W2" s="179"/>
      <c r="X2" s="179"/>
      <c r="Y2" s="179"/>
    </row>
    <row r="3" spans="1:104" ht="15" customHeight="1" x14ac:dyDescent="0.25">
      <c r="A3" s="402" t="s">
        <v>259</v>
      </c>
      <c r="B3" s="356"/>
      <c r="C3" s="356"/>
      <c r="D3" s="356"/>
      <c r="E3" s="356"/>
      <c r="F3" s="356"/>
      <c r="G3" s="356"/>
      <c r="H3" s="356"/>
      <c r="I3" s="356"/>
      <c r="J3" s="429"/>
      <c r="K3" s="180"/>
      <c r="L3" s="421" t="s">
        <v>319</v>
      </c>
      <c r="M3" s="421"/>
      <c r="N3" s="421"/>
      <c r="O3" s="421"/>
      <c r="P3" s="421"/>
      <c r="Q3" s="422"/>
      <c r="R3" s="177"/>
      <c r="S3" s="410" t="s">
        <v>334</v>
      </c>
      <c r="T3" s="411"/>
      <c r="U3" s="411"/>
      <c r="V3" s="411"/>
      <c r="W3" s="411"/>
      <c r="X3" s="411"/>
      <c r="Y3" s="412"/>
      <c r="Z3" s="177"/>
      <c r="AA3" s="410" t="s">
        <v>334</v>
      </c>
      <c r="AB3" s="359"/>
      <c r="AC3" s="359"/>
      <c r="AD3" s="359"/>
      <c r="AE3" s="359"/>
      <c r="AF3" s="359"/>
      <c r="AG3" s="359"/>
      <c r="AH3" s="211"/>
      <c r="AI3" s="432" t="s">
        <v>224</v>
      </c>
      <c r="AJ3" s="432"/>
      <c r="AK3" s="432"/>
      <c r="AL3" s="432"/>
      <c r="AM3" s="432"/>
      <c r="AN3" s="432"/>
      <c r="AO3" s="432"/>
      <c r="AP3" s="432"/>
      <c r="AQ3" s="432"/>
      <c r="AS3" s="432" t="s">
        <v>225</v>
      </c>
      <c r="AT3" s="432"/>
      <c r="AU3" s="432"/>
      <c r="AV3" s="432"/>
      <c r="AW3" s="432"/>
      <c r="AX3" s="432"/>
      <c r="AY3" s="432"/>
      <c r="BA3" s="432" t="s">
        <v>225</v>
      </c>
      <c r="BB3" s="432"/>
      <c r="BC3" s="432"/>
      <c r="BD3" s="432"/>
      <c r="BE3" s="432"/>
      <c r="BF3" s="432"/>
      <c r="BG3" s="432"/>
      <c r="BI3" s="410" t="s">
        <v>550</v>
      </c>
      <c r="BJ3" s="411"/>
      <c r="BK3" s="411"/>
      <c r="BL3" s="411"/>
      <c r="BM3" s="411"/>
      <c r="BN3" s="411"/>
      <c r="BO3" s="412"/>
      <c r="BP3" s="177"/>
      <c r="BQ3" s="410" t="s">
        <v>550</v>
      </c>
      <c r="BR3" s="411"/>
      <c r="BS3" s="411"/>
      <c r="BT3" s="411"/>
      <c r="BU3" s="411"/>
      <c r="BV3" s="411"/>
      <c r="BW3" s="412"/>
      <c r="BX3" s="177"/>
      <c r="BY3" s="433" t="s">
        <v>550</v>
      </c>
      <c r="BZ3" s="363"/>
      <c r="CA3" s="363"/>
      <c r="CB3" s="363"/>
      <c r="CC3" s="363"/>
      <c r="CD3" s="363"/>
      <c r="CE3" s="363"/>
      <c r="CF3" s="356"/>
      <c r="CG3" s="356"/>
      <c r="CH3" s="213"/>
      <c r="CI3" s="432" t="s">
        <v>225</v>
      </c>
      <c r="CJ3" s="432"/>
      <c r="CK3" s="432"/>
      <c r="CL3" s="432"/>
      <c r="CM3" s="432"/>
      <c r="CN3" s="432"/>
      <c r="CO3" s="432"/>
      <c r="CQ3" s="432" t="s">
        <v>225</v>
      </c>
      <c r="CR3" s="432"/>
      <c r="CS3" s="432"/>
      <c r="CT3" s="432"/>
      <c r="CU3" s="432"/>
      <c r="CV3" s="432"/>
      <c r="CW3" s="432"/>
      <c r="CY3" s="432" t="s">
        <v>87</v>
      </c>
      <c r="CZ3" s="432"/>
    </row>
    <row r="4" spans="1:104" x14ac:dyDescent="0.25">
      <c r="A4" s="145"/>
      <c r="B4" s="145"/>
      <c r="C4" s="145"/>
      <c r="I4" s="136" t="s">
        <v>86</v>
      </c>
      <c r="J4" s="136">
        <v>2</v>
      </c>
      <c r="L4" s="185"/>
      <c r="M4" s="185"/>
      <c r="N4" s="185"/>
      <c r="P4" s="226"/>
      <c r="Q4" s="116"/>
      <c r="R4" s="116"/>
      <c r="T4" s="185"/>
      <c r="U4" s="185"/>
      <c r="V4" s="185"/>
      <c r="W4" s="185"/>
      <c r="X4" s="185"/>
      <c r="Y4" s="185"/>
      <c r="Z4" s="167"/>
      <c r="AS4" s="188"/>
      <c r="AT4" s="188"/>
      <c r="AU4" s="188"/>
      <c r="AV4" s="188"/>
      <c r="AW4" s="188"/>
      <c r="AX4" s="188"/>
      <c r="AY4" s="188"/>
    </row>
    <row r="5" spans="1:104" ht="12.95" customHeight="1" x14ac:dyDescent="0.25">
      <c r="A5" s="404" t="s">
        <v>526</v>
      </c>
      <c r="B5" s="409"/>
      <c r="C5" s="182"/>
      <c r="D5" s="404" t="s">
        <v>237</v>
      </c>
      <c r="E5" s="405"/>
      <c r="F5" s="405"/>
      <c r="G5" s="405"/>
      <c r="H5" s="405"/>
      <c r="I5" s="405"/>
      <c r="J5" s="409"/>
      <c r="K5" s="146"/>
      <c r="L5" s="426"/>
      <c r="M5" s="427"/>
      <c r="N5" s="428"/>
      <c r="O5" s="191"/>
      <c r="P5" s="419" t="s">
        <v>46</v>
      </c>
      <c r="Q5" s="420"/>
      <c r="R5" s="147"/>
      <c r="S5" s="423" t="s">
        <v>357</v>
      </c>
      <c r="T5" s="424"/>
      <c r="U5" s="424"/>
      <c r="V5" s="424"/>
      <c r="W5" s="424"/>
      <c r="X5" s="424"/>
      <c r="Y5" s="425"/>
      <c r="Z5" s="114"/>
      <c r="AA5" s="434" t="s">
        <v>358</v>
      </c>
      <c r="AB5" s="435"/>
      <c r="AC5" s="435"/>
      <c r="AD5" s="435"/>
      <c r="AE5" s="435"/>
      <c r="AF5" s="435"/>
      <c r="AG5" s="436"/>
      <c r="AH5" s="160"/>
      <c r="AI5" s="193" t="s">
        <v>0</v>
      </c>
      <c r="AJ5" s="193" t="s">
        <v>153</v>
      </c>
      <c r="AK5" s="437" t="s">
        <v>1</v>
      </c>
      <c r="AL5" s="437"/>
      <c r="AM5" s="437"/>
      <c r="AN5" s="437"/>
      <c r="AO5" s="437"/>
      <c r="AP5" s="437"/>
      <c r="AQ5" s="437"/>
      <c r="AR5" s="192"/>
      <c r="AS5" s="437" t="s">
        <v>2</v>
      </c>
      <c r="AT5" s="437"/>
      <c r="AU5" s="437"/>
      <c r="AV5" s="437"/>
      <c r="AW5" s="437"/>
      <c r="AX5" s="437"/>
      <c r="AY5" s="437"/>
      <c r="BA5" s="437" t="s">
        <v>124</v>
      </c>
      <c r="BB5" s="437"/>
      <c r="BC5" s="437"/>
      <c r="BD5" s="437"/>
      <c r="BE5" s="437"/>
      <c r="BF5" s="437"/>
      <c r="BG5" s="437"/>
      <c r="BI5" s="438" t="s">
        <v>403</v>
      </c>
      <c r="BJ5" s="438"/>
      <c r="BK5" s="438"/>
      <c r="BL5" s="438"/>
      <c r="BM5" s="438"/>
      <c r="BN5" s="438"/>
      <c r="BO5" s="439"/>
      <c r="BP5" s="114"/>
      <c r="BQ5" s="434" t="s">
        <v>138</v>
      </c>
      <c r="BR5" s="435"/>
      <c r="BS5" s="435"/>
      <c r="BT5" s="435"/>
      <c r="BU5" s="435"/>
      <c r="BV5" s="435"/>
      <c r="BW5" s="436"/>
      <c r="BX5" s="160"/>
      <c r="BY5" s="193" t="s">
        <v>161</v>
      </c>
      <c r="BZ5" s="193" t="s">
        <v>153</v>
      </c>
      <c r="CA5" s="437" t="s">
        <v>139</v>
      </c>
      <c r="CB5" s="437"/>
      <c r="CC5" s="437"/>
      <c r="CD5" s="437"/>
      <c r="CE5" s="437"/>
      <c r="CF5" s="437"/>
      <c r="CG5" s="437"/>
      <c r="CH5" s="192"/>
      <c r="CI5" s="437" t="s">
        <v>140</v>
      </c>
      <c r="CJ5" s="437"/>
      <c r="CK5" s="437"/>
      <c r="CL5" s="437"/>
      <c r="CM5" s="437"/>
      <c r="CN5" s="437"/>
      <c r="CO5" s="437"/>
      <c r="CQ5" s="437" t="s">
        <v>124</v>
      </c>
      <c r="CR5" s="437"/>
      <c r="CS5" s="437"/>
      <c r="CT5" s="437"/>
      <c r="CU5" s="437"/>
      <c r="CV5" s="437"/>
      <c r="CW5" s="437"/>
      <c r="CY5" s="423" t="s">
        <v>130</v>
      </c>
      <c r="CZ5" s="425"/>
    </row>
    <row r="6" spans="1:104" ht="47.25" x14ac:dyDescent="0.25">
      <c r="A6" s="181" t="s">
        <v>525</v>
      </c>
      <c r="B6" s="183" t="s">
        <v>558</v>
      </c>
      <c r="C6" s="183" t="s">
        <v>341</v>
      </c>
      <c r="D6" s="157" t="s">
        <v>342</v>
      </c>
      <c r="E6" s="157" t="s">
        <v>21</v>
      </c>
      <c r="F6" s="157" t="s">
        <v>336</v>
      </c>
      <c r="G6" s="157" t="s">
        <v>485</v>
      </c>
      <c r="H6" s="157" t="s">
        <v>486</v>
      </c>
      <c r="I6" s="157" t="s">
        <v>624</v>
      </c>
      <c r="J6" s="157" t="s">
        <v>320</v>
      </c>
      <c r="K6" s="147"/>
      <c r="L6" s="186" t="s">
        <v>363</v>
      </c>
      <c r="M6" s="186" t="s">
        <v>364</v>
      </c>
      <c r="N6" s="189" t="s">
        <v>365</v>
      </c>
      <c r="O6" s="186" t="s">
        <v>47</v>
      </c>
      <c r="P6" s="186" t="s">
        <v>48</v>
      </c>
      <c r="Q6" s="186" t="s">
        <v>49</v>
      </c>
      <c r="R6" s="147"/>
      <c r="S6" s="195" t="s">
        <v>218</v>
      </c>
      <c r="T6" s="195" t="s">
        <v>219</v>
      </c>
      <c r="U6" s="195" t="s">
        <v>220</v>
      </c>
      <c r="V6" s="195" t="s">
        <v>221</v>
      </c>
      <c r="W6" s="195" t="s">
        <v>222</v>
      </c>
      <c r="X6" s="195" t="s">
        <v>223</v>
      </c>
      <c r="Y6" s="195" t="s">
        <v>146</v>
      </c>
      <c r="Z6" s="114"/>
      <c r="AA6" s="195" t="s">
        <v>218</v>
      </c>
      <c r="AB6" s="195" t="s">
        <v>219</v>
      </c>
      <c r="AC6" s="195" t="s">
        <v>220</v>
      </c>
      <c r="AD6" s="195" t="s">
        <v>221</v>
      </c>
      <c r="AE6" s="195" t="s">
        <v>222</v>
      </c>
      <c r="AF6" s="195" t="s">
        <v>223</v>
      </c>
      <c r="AG6" s="195" t="s">
        <v>146</v>
      </c>
      <c r="AH6" s="161"/>
      <c r="AI6" s="193" t="s">
        <v>216</v>
      </c>
      <c r="AJ6" s="194" t="s">
        <v>217</v>
      </c>
      <c r="AK6" s="195" t="s">
        <v>218</v>
      </c>
      <c r="AL6" s="195" t="s">
        <v>219</v>
      </c>
      <c r="AM6" s="195" t="s">
        <v>220</v>
      </c>
      <c r="AN6" s="195" t="s">
        <v>221</v>
      </c>
      <c r="AO6" s="195" t="s">
        <v>222</v>
      </c>
      <c r="AP6" s="195" t="s">
        <v>223</v>
      </c>
      <c r="AQ6" s="195" t="s">
        <v>146</v>
      </c>
      <c r="AR6" s="192"/>
      <c r="AS6" s="195" t="s">
        <v>218</v>
      </c>
      <c r="AT6" s="195" t="s">
        <v>219</v>
      </c>
      <c r="AU6" s="195" t="s">
        <v>220</v>
      </c>
      <c r="AV6" s="195" t="s">
        <v>221</v>
      </c>
      <c r="AW6" s="195" t="s">
        <v>222</v>
      </c>
      <c r="AX6" s="195" t="s">
        <v>223</v>
      </c>
      <c r="AY6" s="195" t="s">
        <v>146</v>
      </c>
      <c r="BA6" s="195" t="s">
        <v>218</v>
      </c>
      <c r="BB6" s="195" t="s">
        <v>219</v>
      </c>
      <c r="BC6" s="195" t="s">
        <v>220</v>
      </c>
      <c r="BD6" s="195" t="s">
        <v>221</v>
      </c>
      <c r="BE6" s="195" t="s">
        <v>222</v>
      </c>
      <c r="BF6" s="195" t="s">
        <v>223</v>
      </c>
      <c r="BG6" s="195" t="s">
        <v>146</v>
      </c>
      <c r="BI6" s="195" t="s">
        <v>342</v>
      </c>
      <c r="BJ6" s="195" t="s">
        <v>288</v>
      </c>
      <c r="BK6" s="195" t="s">
        <v>565</v>
      </c>
      <c r="BL6" s="195" t="s">
        <v>375</v>
      </c>
      <c r="BM6" s="195" t="s">
        <v>376</v>
      </c>
      <c r="BN6" s="195" t="s">
        <v>503</v>
      </c>
      <c r="BO6" s="195" t="s">
        <v>254</v>
      </c>
      <c r="BP6" s="114"/>
      <c r="BQ6" s="195" t="s">
        <v>152</v>
      </c>
      <c r="BR6" s="195" t="s">
        <v>141</v>
      </c>
      <c r="BS6" s="195" t="s">
        <v>565</v>
      </c>
      <c r="BT6" s="195" t="s">
        <v>375</v>
      </c>
      <c r="BU6" s="195" t="s">
        <v>376</v>
      </c>
      <c r="BV6" s="195" t="s">
        <v>503</v>
      </c>
      <c r="BW6" s="195" t="s">
        <v>254</v>
      </c>
      <c r="BX6" s="161"/>
      <c r="BY6" s="193" t="s">
        <v>332</v>
      </c>
      <c r="BZ6" s="197" t="s">
        <v>217</v>
      </c>
      <c r="CA6" s="195" t="s">
        <v>112</v>
      </c>
      <c r="CB6" s="195" t="s">
        <v>141</v>
      </c>
      <c r="CC6" s="195" t="s">
        <v>565</v>
      </c>
      <c r="CD6" s="195" t="s">
        <v>375</v>
      </c>
      <c r="CE6" s="195" t="s">
        <v>376</v>
      </c>
      <c r="CF6" s="195" t="s">
        <v>503</v>
      </c>
      <c r="CG6" s="195" t="s">
        <v>254</v>
      </c>
      <c r="CH6" s="192"/>
      <c r="CI6" s="195" t="s">
        <v>152</v>
      </c>
      <c r="CJ6" s="195" t="s">
        <v>141</v>
      </c>
      <c r="CK6" s="195" t="s">
        <v>565</v>
      </c>
      <c r="CL6" s="195" t="s">
        <v>375</v>
      </c>
      <c r="CM6" s="195" t="s">
        <v>376</v>
      </c>
      <c r="CN6" s="195" t="s">
        <v>503</v>
      </c>
      <c r="CO6" s="195" t="s">
        <v>254</v>
      </c>
      <c r="CQ6" s="195" t="s">
        <v>152</v>
      </c>
      <c r="CR6" s="195" t="s">
        <v>141</v>
      </c>
      <c r="CS6" s="195" t="s">
        <v>565</v>
      </c>
      <c r="CT6" s="195" t="s">
        <v>375</v>
      </c>
      <c r="CU6" s="195" t="s">
        <v>376</v>
      </c>
      <c r="CV6" s="195" t="s">
        <v>503</v>
      </c>
      <c r="CW6" s="195" t="s">
        <v>254</v>
      </c>
      <c r="CY6" s="440" t="s">
        <v>103</v>
      </c>
      <c r="CZ6" s="441"/>
    </row>
    <row r="7" spans="1:104" ht="18.75" x14ac:dyDescent="0.25">
      <c r="A7" s="150" t="s">
        <v>527</v>
      </c>
      <c r="B7" s="150" t="s">
        <v>528</v>
      </c>
      <c r="C7" s="150" t="s">
        <v>119</v>
      </c>
      <c r="D7" s="150" t="s">
        <v>321</v>
      </c>
      <c r="E7" s="150" t="s">
        <v>322</v>
      </c>
      <c r="F7" s="150" t="s">
        <v>314</v>
      </c>
      <c r="G7" s="150" t="s">
        <v>315</v>
      </c>
      <c r="H7" s="150" t="s">
        <v>316</v>
      </c>
      <c r="I7" s="150" t="s">
        <v>317</v>
      </c>
      <c r="J7" s="150" t="s">
        <v>318</v>
      </c>
      <c r="K7" s="151"/>
      <c r="L7" s="152" t="s">
        <v>340</v>
      </c>
      <c r="M7" s="152" t="s">
        <v>360</v>
      </c>
      <c r="N7" s="190" t="s">
        <v>361</v>
      </c>
      <c r="O7" s="150" t="s">
        <v>50</v>
      </c>
      <c r="P7" s="150" t="s">
        <v>35</v>
      </c>
      <c r="Q7" s="150" t="s">
        <v>36</v>
      </c>
      <c r="R7" s="151"/>
      <c r="S7" s="158" t="s">
        <v>62</v>
      </c>
      <c r="T7" s="158" t="s">
        <v>63</v>
      </c>
      <c r="U7" s="158" t="s">
        <v>157</v>
      </c>
      <c r="V7" s="158" t="s">
        <v>158</v>
      </c>
      <c r="W7" s="158" t="s">
        <v>159</v>
      </c>
      <c r="X7" s="158" t="s">
        <v>54</v>
      </c>
      <c r="Y7" s="158" t="s">
        <v>160</v>
      </c>
      <c r="Z7" s="159"/>
      <c r="AA7" s="158" t="s">
        <v>126</v>
      </c>
      <c r="AB7" s="158" t="s">
        <v>127</v>
      </c>
      <c r="AC7" s="158" t="s">
        <v>241</v>
      </c>
      <c r="AD7" s="158" t="s">
        <v>242</v>
      </c>
      <c r="AE7" s="158" t="s">
        <v>149</v>
      </c>
      <c r="AF7" s="158" t="s">
        <v>55</v>
      </c>
      <c r="AG7" s="158" t="s">
        <v>150</v>
      </c>
      <c r="AH7" s="162"/>
      <c r="AI7" s="196"/>
      <c r="AJ7" s="196"/>
      <c r="AK7" s="193"/>
      <c r="AL7" s="193"/>
      <c r="AM7" s="193"/>
      <c r="AN7" s="193"/>
      <c r="AO7" s="193"/>
      <c r="AP7" s="193"/>
      <c r="AQ7" s="193"/>
      <c r="AR7" s="192"/>
      <c r="AS7" s="193"/>
      <c r="AT7" s="193"/>
      <c r="AU7" s="193"/>
      <c r="AV7" s="193"/>
      <c r="AW7" s="193"/>
      <c r="AX7" s="193"/>
      <c r="AY7" s="193"/>
      <c r="BA7" s="193"/>
      <c r="BB7" s="193"/>
      <c r="BC7" s="193"/>
      <c r="BD7" s="193"/>
      <c r="BE7" s="193"/>
      <c r="BF7" s="193"/>
      <c r="BG7" s="193"/>
      <c r="BI7" s="158" t="s">
        <v>126</v>
      </c>
      <c r="BJ7" s="158" t="s">
        <v>63</v>
      </c>
      <c r="BK7" s="158" t="s">
        <v>157</v>
      </c>
      <c r="BL7" s="158" t="s">
        <v>158</v>
      </c>
      <c r="BM7" s="158" t="s">
        <v>159</v>
      </c>
      <c r="BN7" s="158" t="s">
        <v>160</v>
      </c>
      <c r="BO7" s="158" t="s">
        <v>160</v>
      </c>
      <c r="BP7" s="159"/>
      <c r="BQ7" s="158" t="s">
        <v>126</v>
      </c>
      <c r="BR7" s="158" t="s">
        <v>127</v>
      </c>
      <c r="BS7" s="158" t="s">
        <v>241</v>
      </c>
      <c r="BT7" s="158" t="s">
        <v>242</v>
      </c>
      <c r="BU7" s="158" t="s">
        <v>149</v>
      </c>
      <c r="BV7" s="158" t="s">
        <v>149</v>
      </c>
      <c r="BW7" s="158" t="s">
        <v>150</v>
      </c>
      <c r="BX7" s="162"/>
      <c r="BY7" s="196"/>
      <c r="BZ7" s="196"/>
      <c r="CA7" s="193"/>
      <c r="CB7" s="193"/>
      <c r="CC7" s="193"/>
      <c r="CD7" s="193"/>
      <c r="CE7" s="193"/>
      <c r="CF7" s="193"/>
      <c r="CG7" s="193"/>
      <c r="CH7" s="192"/>
      <c r="CI7" s="193"/>
      <c r="CJ7" s="193"/>
      <c r="CK7" s="193"/>
      <c r="CL7" s="193"/>
      <c r="CM7" s="193"/>
      <c r="CN7" s="193"/>
      <c r="CO7" s="193"/>
      <c r="CQ7" s="193"/>
      <c r="CR7" s="193"/>
      <c r="CS7" s="193"/>
      <c r="CT7" s="193"/>
      <c r="CU7" s="193"/>
      <c r="CV7" s="193"/>
      <c r="CW7" s="193"/>
      <c r="CY7" s="224" t="s">
        <v>549</v>
      </c>
      <c r="CZ7" s="158" t="s">
        <v>77</v>
      </c>
    </row>
    <row r="8" spans="1:104" x14ac:dyDescent="0.25">
      <c r="A8" s="122">
        <v>1111</v>
      </c>
      <c r="B8" s="153">
        <v>111</v>
      </c>
      <c r="C8" s="184">
        <f>+'Sampling Weights'!R8</f>
        <v>660.26105372923155</v>
      </c>
      <c r="D8" s="155">
        <f>+SUM('Sampling Weights'!I8:N8)</f>
        <v>11</v>
      </c>
      <c r="E8" s="155">
        <v>0</v>
      </c>
      <c r="F8" s="155">
        <v>0</v>
      </c>
      <c r="G8" s="155">
        <v>0</v>
      </c>
      <c r="H8" s="154">
        <v>0</v>
      </c>
      <c r="I8" s="154">
        <v>0</v>
      </c>
      <c r="J8" s="154">
        <v>0</v>
      </c>
      <c r="K8" s="154"/>
      <c r="L8" s="203" t="s">
        <v>255</v>
      </c>
      <c r="M8" s="204">
        <f>ROUND(SUM(AK:AK),-$J$4)</f>
        <v>2919600</v>
      </c>
      <c r="N8" s="204">
        <f>+ROUND(SQRT(SUMPRODUCT(BA:BA,BA:BA)),-$J$4)</f>
        <v>119100</v>
      </c>
      <c r="O8" s="205">
        <f>+N8/M8</f>
        <v>4.0793259350595974E-2</v>
      </c>
      <c r="P8" s="206">
        <f t="shared" ref="P8:P14" si="0">+ROUND(M8-2*N8,-$J$4)</f>
        <v>2681400</v>
      </c>
      <c r="Q8" s="206">
        <f t="shared" ref="Q8:Q14" si="1">+ROUND(M8+2*N8,-$J$4)</f>
        <v>3157800</v>
      </c>
      <c r="R8" s="167"/>
      <c r="S8" s="184">
        <f>+$C8*D8</f>
        <v>7262.8715910215469</v>
      </c>
      <c r="T8" s="184">
        <f t="shared" ref="T8:Y23" si="2">+$C8*E8</f>
        <v>0</v>
      </c>
      <c r="U8" s="184">
        <f t="shared" si="2"/>
        <v>0</v>
      </c>
      <c r="V8" s="184">
        <f t="shared" si="2"/>
        <v>0</v>
      </c>
      <c r="W8" s="184">
        <f t="shared" si="2"/>
        <v>0</v>
      </c>
      <c r="X8" s="184">
        <f t="shared" si="2"/>
        <v>0</v>
      </c>
      <c r="Y8" s="184">
        <f t="shared" si="2"/>
        <v>0</v>
      </c>
      <c r="AA8" s="167">
        <f>+S8*S8</f>
        <v>52749303.747667857</v>
      </c>
      <c r="AB8" s="167">
        <f t="shared" ref="AB8:AG8" si="3">+T8*T8</f>
        <v>0</v>
      </c>
      <c r="AC8" s="167">
        <f t="shared" si="3"/>
        <v>0</v>
      </c>
      <c r="AD8" s="167">
        <f t="shared" si="3"/>
        <v>0</v>
      </c>
      <c r="AE8" s="167">
        <f t="shared" si="3"/>
        <v>0</v>
      </c>
      <c r="AF8" s="167">
        <f t="shared" si="3"/>
        <v>0</v>
      </c>
      <c r="AG8" s="167">
        <f t="shared" si="3"/>
        <v>0</v>
      </c>
      <c r="AH8" s="167"/>
      <c r="AI8" s="153">
        <v>111</v>
      </c>
      <c r="AJ8">
        <f t="shared" ref="AJ8:AJ48" si="4">COUNTIFS(B:B,AI8,C:C,"&gt;0")</f>
        <v>7</v>
      </c>
      <c r="AK8" s="167">
        <f>SUMIF($B:$B,$AI8,S:S)</f>
        <v>72896.30476698649</v>
      </c>
      <c r="AL8" s="167">
        <f>SUMIF($B:$B,$AI8,T:T)</f>
        <v>10814.800172482897</v>
      </c>
      <c r="AM8" s="187">
        <f t="shared" ref="AM8:AQ8" si="5">SUMIF($B:$B,$AI8,U:U)</f>
        <v>8504.0562740648711</v>
      </c>
      <c r="AN8" s="187">
        <f t="shared" si="5"/>
        <v>3814.2908626404123</v>
      </c>
      <c r="AO8" s="187">
        <f t="shared" si="5"/>
        <v>6924.2065564055229</v>
      </c>
      <c r="AP8" s="187">
        <f t="shared" si="5"/>
        <v>754.15891042889086</v>
      </c>
      <c r="AQ8" s="187">
        <f t="shared" si="5"/>
        <v>825.69080723045727</v>
      </c>
      <c r="AS8" s="167">
        <f>SUMIF($B:$B,$AI8,AA:AA)</f>
        <v>804916613.33654058</v>
      </c>
      <c r="AT8" s="187">
        <f t="shared" ref="AT8:AY8" si="6">SUMIF($B:$B,$AI8,AB:AB)</f>
        <v>32067631.938532524</v>
      </c>
      <c r="AU8" s="187">
        <f t="shared" si="6"/>
        <v>18385226.458180949</v>
      </c>
      <c r="AV8" s="187">
        <f t="shared" si="6"/>
        <v>5252917.5563960858</v>
      </c>
      <c r="AW8" s="187">
        <f t="shared" si="6"/>
        <v>13496152.21984984</v>
      </c>
      <c r="AX8" s="187">
        <f t="shared" si="6"/>
        <v>568755.66217929183</v>
      </c>
      <c r="AY8" s="187">
        <f t="shared" si="6"/>
        <v>681765.30914488412</v>
      </c>
      <c r="BA8" s="167">
        <f>IF($AJ8=1,0,$AJ8*SQRT((AS8/$AJ8-(AK8/$AJ8)^2)/($AJ8-1)))</f>
        <v>7309.1842302955538</v>
      </c>
      <c r="BB8" s="167">
        <f t="shared" ref="BB8:BG8" si="7">IF($AJ8=1,0,$AJ8*SQRT((AT8/$AJ8-(AL8/$AJ8)^2)/($AJ8-1)))</f>
        <v>4233.074548500801</v>
      </c>
      <c r="BC8" s="167">
        <f t="shared" si="7"/>
        <v>3065.3333721583081</v>
      </c>
      <c r="BD8" s="167">
        <f t="shared" si="7"/>
        <v>1924.4743052736271</v>
      </c>
      <c r="BE8" s="167">
        <f t="shared" si="7"/>
        <v>2784.7330543273401</v>
      </c>
      <c r="BF8" s="167">
        <f t="shared" si="7"/>
        <v>754.15891042889086</v>
      </c>
      <c r="BG8" s="167">
        <f t="shared" si="7"/>
        <v>825.69080723045727</v>
      </c>
      <c r="BJ8" s="201">
        <f t="shared" ref="BJ8:BJ71" si="8">+(T8-$M$16*S8)/$M$8</f>
        <v>-5.014274706393318E-4</v>
      </c>
      <c r="BK8" s="201">
        <f t="shared" ref="BK8:BK71" si="9">+(U8-$M$17*S8)/$M$8</f>
        <v>-3.3459739629577843E-4</v>
      </c>
      <c r="BL8" s="209">
        <f>+(V8-$M$21*$U8)/$M$10</f>
        <v>0</v>
      </c>
      <c r="BM8" s="209">
        <f>+(W8-$M$18*$U8)/$M$10</f>
        <v>0</v>
      </c>
      <c r="BN8" s="209">
        <f>+(X8-$M$19*$U8)/$M$10</f>
        <v>0</v>
      </c>
      <c r="BO8" s="209">
        <f>+(Y8-$M$20*$U8)/$M$10</f>
        <v>0</v>
      </c>
      <c r="BQ8" s="199"/>
      <c r="BR8" s="200">
        <f>+BJ8*BJ8</f>
        <v>2.5142950831175792E-7</v>
      </c>
      <c r="BS8" s="201">
        <f>+BK8*BK8</f>
        <v>1.119554176079142E-7</v>
      </c>
      <c r="BT8" s="201">
        <f>+BL8*BL8</f>
        <v>0</v>
      </c>
      <c r="BU8" s="201">
        <f t="shared" ref="BU8:BW8" si="10">+BM8*BM8</f>
        <v>0</v>
      </c>
      <c r="BV8" s="201">
        <f t="shared" si="10"/>
        <v>0</v>
      </c>
      <c r="BW8" s="201">
        <f t="shared" si="10"/>
        <v>0</v>
      </c>
      <c r="BY8">
        <f>+AI8</f>
        <v>111</v>
      </c>
      <c r="BZ8">
        <f>+AJ8</f>
        <v>7</v>
      </c>
      <c r="CB8" s="200">
        <f>SUMIF($B:$B,$BY8,BJ:BJ)</f>
        <v>-1.3285428827403945E-3</v>
      </c>
      <c r="CC8" s="201">
        <f>SUMIF($B:$B,$BY8,BK:BK)</f>
        <v>-4.4555462194407022E-4</v>
      </c>
      <c r="CD8" s="201">
        <f>SUMIF($B:$B,$BY8,BL:BL)</f>
        <v>3.3878841902902756E-3</v>
      </c>
      <c r="CE8" s="201">
        <f t="shared" ref="CE8:CG8" si="11">SUMIF($B:$B,$BY8,BM:BM)</f>
        <v>4.6732852291472664E-3</v>
      </c>
      <c r="CF8" s="201">
        <f t="shared" si="11"/>
        <v>1.324881898087544E-3</v>
      </c>
      <c r="CG8" s="201">
        <f t="shared" si="11"/>
        <v>-5.9926526503216579E-3</v>
      </c>
      <c r="CJ8" s="201">
        <f>SUMIF($B:$B,$BY8,BR:BR)</f>
        <v>1.8870315039121288E-6</v>
      </c>
      <c r="CK8" s="201">
        <f>SUMIF($B:$B,$BY8,BS:BS)</f>
        <v>9.5598809396928494E-7</v>
      </c>
      <c r="CL8" s="201">
        <f>SUMIF($B:$B,$BY8,BT:BT)</f>
        <v>1.1154605990677811E-5</v>
      </c>
      <c r="CM8" s="201">
        <f t="shared" ref="CM8:CO8" si="12">SUMIF($B:$B,$BY8,BU:BU)</f>
        <v>1.134722660140708E-5</v>
      </c>
      <c r="CN8" s="201">
        <f t="shared" si="12"/>
        <v>3.1697022952592008E-6</v>
      </c>
      <c r="CO8" s="201">
        <f t="shared" si="12"/>
        <v>1.4470460245244572E-5</v>
      </c>
      <c r="CR8" s="201">
        <f>IF($BZ8=1,0,$BZ8*SQRT((CJ8/$BZ8-(CB8/$BZ8)^2)/($BZ8-1)))</f>
        <v>1.3810741191855433E-3</v>
      </c>
      <c r="CS8" s="243">
        <f t="shared" ref="CS8:CW23" si="13">IF($BZ8=1,0,$BZ8*SQRT((CK8/$BZ8-(CC8/$BZ8)^2)/($BZ8-1)))</f>
        <v>1.0403042613140695E-3</v>
      </c>
      <c r="CT8" s="243">
        <f t="shared" si="13"/>
        <v>3.3317783701782519E-3</v>
      </c>
      <c r="CU8" s="243">
        <f t="shared" si="13"/>
        <v>3.0981443741074951E-3</v>
      </c>
      <c r="CV8" s="243">
        <f t="shared" si="13"/>
        <v>1.8453818043490057E-3</v>
      </c>
      <c r="CW8" s="243">
        <f t="shared" si="13"/>
        <v>3.3010436715606782E-3</v>
      </c>
      <c r="CY8" s="223">
        <f>+N8^2/(M8^2)</f>
        <v>1.6640900084449856E-3</v>
      </c>
      <c r="CZ8" s="223">
        <f>1/M8</f>
        <v>3.4251267296889983E-7</v>
      </c>
    </row>
    <row r="9" spans="1:104" x14ac:dyDescent="0.25">
      <c r="A9" s="122">
        <v>1112</v>
      </c>
      <c r="B9" s="153">
        <v>111</v>
      </c>
      <c r="C9" s="184">
        <f>+'Sampling Weights'!R9</f>
        <v>1054.1653874694568</v>
      </c>
      <c r="D9" s="155">
        <f>+SUM('Sampling Weights'!I9:N9)</f>
        <v>13</v>
      </c>
      <c r="E9" s="155">
        <v>0</v>
      </c>
      <c r="F9" s="155">
        <v>0</v>
      </c>
      <c r="G9" s="155">
        <v>0</v>
      </c>
      <c r="H9" s="154">
        <v>0</v>
      </c>
      <c r="I9" s="154">
        <v>0</v>
      </c>
      <c r="J9" s="154">
        <v>0</v>
      </c>
      <c r="K9" s="155"/>
      <c r="L9" s="203" t="s">
        <v>256</v>
      </c>
      <c r="M9" s="204">
        <f>+ROUND(SUM(AL:AL),-$J$4)</f>
        <v>588500</v>
      </c>
      <c r="N9" s="204">
        <f>+ROUND(SQRT(SUMPRODUCT(BB:BB,BB:BB)),-$J$4)</f>
        <v>41100</v>
      </c>
      <c r="O9" s="205">
        <f t="shared" ref="O9:O10" si="14">+N9/M9</f>
        <v>6.9838572642310956E-2</v>
      </c>
      <c r="P9" s="206">
        <f t="shared" si="0"/>
        <v>506300</v>
      </c>
      <c r="Q9" s="206">
        <f t="shared" si="1"/>
        <v>670700</v>
      </c>
      <c r="R9" s="167"/>
      <c r="S9" s="184">
        <f t="shared" ref="S9:W72" si="15">+$C9*D9</f>
        <v>13704.15003710294</v>
      </c>
      <c r="T9" s="184">
        <f t="shared" si="2"/>
        <v>0</v>
      </c>
      <c r="U9" s="184">
        <f t="shared" si="2"/>
        <v>0</v>
      </c>
      <c r="V9" s="184">
        <f t="shared" si="2"/>
        <v>0</v>
      </c>
      <c r="W9" s="184">
        <f t="shared" si="2"/>
        <v>0</v>
      </c>
      <c r="X9" s="184">
        <f t="shared" si="2"/>
        <v>0</v>
      </c>
      <c r="Y9" s="184">
        <f t="shared" si="2"/>
        <v>0</v>
      </c>
      <c r="AA9" s="167">
        <f t="shared" ref="AA9:AA72" si="16">+S9*S9</f>
        <v>187803728.23942849</v>
      </c>
      <c r="AB9" s="167">
        <f t="shared" ref="AB9:AB72" si="17">+T9*T9</f>
        <v>0</v>
      </c>
      <c r="AC9" s="167">
        <f t="shared" ref="AC9:AC72" si="18">+U9*U9</f>
        <v>0</v>
      </c>
      <c r="AD9" s="167">
        <f t="shared" ref="AD9:AD72" si="19">+V9*V9</f>
        <v>0</v>
      </c>
      <c r="AE9" s="167">
        <f t="shared" ref="AE9:AE72" si="20">+W9*W9</f>
        <v>0</v>
      </c>
      <c r="AF9" s="167">
        <f t="shared" ref="AF9:AF72" si="21">+X9*X9</f>
        <v>0</v>
      </c>
      <c r="AG9" s="167">
        <f t="shared" ref="AG9:AG72" si="22">+Y9*Y9</f>
        <v>0</v>
      </c>
      <c r="AH9" s="167"/>
      <c r="AI9" s="153">
        <v>112</v>
      </c>
      <c r="AJ9">
        <f t="shared" si="4"/>
        <v>4</v>
      </c>
      <c r="AK9" s="187">
        <f t="shared" ref="AK9:AK48" si="23">SUMIF($B:$B,$AI9,S:S)</f>
        <v>14374.934595711102</v>
      </c>
      <c r="AL9" s="187">
        <f t="shared" ref="AL9:AL48" si="24">SUMIF($B:$B,$AI9,T:T)</f>
        <v>2225.9407895285331</v>
      </c>
      <c r="AM9" s="187">
        <f t="shared" ref="AM9:AM48" si="25">SUMIF($B:$B,$AI9,U:U)</f>
        <v>1304.8795628808703</v>
      </c>
      <c r="AN9" s="187">
        <f t="shared" ref="AN9:AN48" si="26">SUMIF($B:$B,$AI9,V:V)</f>
        <v>127.9394454110693</v>
      </c>
      <c r="AO9" s="187">
        <f t="shared" ref="AO9:AO48" si="27">SUMIF($B:$B,$AI9,W:W)</f>
        <v>600.37283726631449</v>
      </c>
      <c r="AP9" s="187">
        <f t="shared" ref="AP9:AP48" si="28">SUMIF($B:$B,$AI9,X:X)</f>
        <v>0</v>
      </c>
      <c r="AQ9" s="187">
        <f t="shared" ref="AQ9:AQ48" si="29">SUMIF($B:$B,$AI9,Y:Y)</f>
        <v>704.50672561455588</v>
      </c>
      <c r="AS9" s="187">
        <f t="shared" ref="AS9:AS48" si="30">SUMIF($B:$B,$AI9,AA:AA)</f>
        <v>63373409.5118386</v>
      </c>
      <c r="AT9" s="187">
        <f t="shared" ref="AT9:AT48" si="31">SUMIF($B:$B,$AI9,AB:AB)</f>
        <v>1327770.0705158978</v>
      </c>
      <c r="AU9" s="187">
        <f t="shared" ref="AU9:AU48" si="32">SUMIF($B:$B,$AI9,AC:AC)</f>
        <v>442429.9040505953</v>
      </c>
      <c r="AV9" s="187">
        <f t="shared" ref="AV9:AV48" si="33">SUMIF($B:$B,$AI9,AD:AD)</f>
        <v>16368.501692091981</v>
      </c>
      <c r="AW9" s="187">
        <f t="shared" ref="AW9:AW48" si="34">SUMIF($B:$B,$AI9,AE:AE)</f>
        <v>194212.36714652559</v>
      </c>
      <c r="AX9" s="187">
        <f t="shared" ref="AX9:AX48" si="35">SUMIF($B:$B,$AI9,AF:AF)</f>
        <v>0</v>
      </c>
      <c r="AY9" s="187">
        <f t="shared" ref="AY9:AY48" si="36">SUMIF($B:$B,$AI9,AG:AG)</f>
        <v>248217.53690406971</v>
      </c>
      <c r="BA9" s="167">
        <f t="shared" ref="BA9:BA48" si="37">IF($AJ9=1,0,$AJ9*SQRT((AS9/$AJ9-(AK9/$AJ9)^2)/($AJ9-1)))</f>
        <v>3951.9992162778613</v>
      </c>
      <c r="BB9" s="167">
        <f t="shared" ref="BB9:BB48" si="38">IF($AJ9=1,0,$AJ9*SQRT((AT9/$AJ9-(AL9/$AJ9)^2)/($AJ9-1)))</f>
        <v>344.60986810047569</v>
      </c>
      <c r="BC9" s="167">
        <f t="shared" ref="BC9:BC48" si="39">IF($AJ9=1,0,$AJ9*SQRT((AU9/$AJ9-(AM9/$AJ9)^2)/($AJ9-1)))</f>
        <v>149.45338468143422</v>
      </c>
      <c r="BD9" s="167">
        <f t="shared" ref="BD9:BD48" si="40">IF($AJ9=1,0,$AJ9*SQRT((AV9/$AJ9-(AN9/$AJ9)^2)/($AJ9-1)))</f>
        <v>127.9394454110693</v>
      </c>
      <c r="BE9" s="167">
        <f t="shared" ref="BE9:BE48" si="41">IF($AJ9=1,0,$AJ9*SQRT((AW9/$AJ9-(AO9/$AJ9)^2)/($AJ9-1)))</f>
        <v>372.55958130161224</v>
      </c>
      <c r="BF9" s="167">
        <f t="shared" ref="BF9:BF48" si="42">IF($AJ9=1,0,$AJ9*SQRT((AX9/$AJ9-(AP9/$AJ9)^2)/($AJ9-1)))</f>
        <v>0</v>
      </c>
      <c r="BG9" s="167">
        <f t="shared" ref="BG9:BG48" si="43">IF($AJ9=1,0,$AJ9*SQRT((AY9/$AJ9-(AQ9/$AJ9)^2)/($AJ9-1)))</f>
        <v>406.83347173839064</v>
      </c>
      <c r="BJ9" s="201">
        <f t="shared" si="8"/>
        <v>-9.4613228448940721E-4</v>
      </c>
      <c r="BK9" s="201">
        <f t="shared" si="9"/>
        <v>-6.3134434684620263E-4</v>
      </c>
      <c r="BL9" s="243">
        <f t="shared" ref="BL9:BL72" si="44">+(V9-$M$21*$U9)/$M$10</f>
        <v>0</v>
      </c>
      <c r="BM9" s="243">
        <f t="shared" ref="BM9:BM72" si="45">+(W9-$M$18*$U9)/$M$10</f>
        <v>0</v>
      </c>
      <c r="BN9" s="243">
        <f t="shared" ref="BN9:BN72" si="46">+(X9-$M$19*$U9)/$M$10</f>
        <v>0</v>
      </c>
      <c r="BO9" s="243">
        <f t="shared" ref="BO9:BO72" si="47">+(Y9-$M$20*$U9)/$M$10</f>
        <v>0</v>
      </c>
      <c r="BR9" s="200">
        <f t="shared" ref="BR9:BR72" si="48">+BJ9*BJ9</f>
        <v>8.951662997531446E-7</v>
      </c>
      <c r="BS9" s="201">
        <f t="shared" ref="BS9:BS72" si="49">+BK9*BK9</f>
        <v>3.9859568429465819E-7</v>
      </c>
      <c r="BT9" s="201">
        <f t="shared" ref="BT9:BT72" si="50">+BL9*BL9</f>
        <v>0</v>
      </c>
      <c r="BU9" s="201">
        <f t="shared" ref="BU9:BU72" si="51">+BM9*BM9</f>
        <v>0</v>
      </c>
      <c r="BV9" s="201">
        <f t="shared" ref="BV9:BV72" si="52">+BN9*BN9</f>
        <v>0</v>
      </c>
      <c r="BW9" s="201">
        <f t="shared" ref="BW9:BW72" si="53">+BO9*BO9</f>
        <v>0</v>
      </c>
      <c r="BY9">
        <f t="shared" ref="BY9:BY38" si="54">+AI9</f>
        <v>112</v>
      </c>
      <c r="BZ9">
        <f t="shared" ref="BZ9:BZ38" si="55">+AJ9</f>
        <v>4</v>
      </c>
      <c r="CB9" s="200">
        <f t="shared" ref="CB9:CB48" si="56">SUMIF($B:$B,$BY9,BJ:BJ)</f>
        <v>-2.3003021137143565E-4</v>
      </c>
      <c r="CC9" s="201">
        <f t="shared" ref="CC9:CC48" si="57">SUMIF($B:$B,$BY9,BK:BK)</f>
        <v>-2.1530931836026448E-4</v>
      </c>
      <c r="CD9" s="201">
        <f t="shared" ref="CD9:CD48" si="58">SUMIF($B:$B,$BY9,BL:BL)</f>
        <v>-6.4474252283644895E-4</v>
      </c>
      <c r="CE9" s="201">
        <f t="shared" ref="CE9:CE48" si="59">SUMIF($B:$B,$BY9,BM:BM)</f>
        <v>-4.5962500432046317E-4</v>
      </c>
      <c r="CF9" s="201">
        <f t="shared" ref="CF9:CF48" si="60">SUMIF($B:$B,$BY9,BN:BN)</f>
        <v>-9.1384466793448219E-5</v>
      </c>
      <c r="CG9" s="201">
        <f t="shared" ref="CG9:CG48" si="61">SUMIF($B:$B,$BY9,BO:BO)</f>
        <v>5.5185562358422101E-4</v>
      </c>
      <c r="CJ9" s="201">
        <f t="shared" ref="CJ9:CJ48" si="62">SUMIF($B:$B,$BY9,BR:BR)</f>
        <v>3.4591329325188996E-8</v>
      </c>
      <c r="CK9" s="201">
        <f t="shared" ref="CK9:CK48" si="63">SUMIF($B:$B,$BY9,BS:BS)</f>
        <v>3.5895847125079463E-8</v>
      </c>
      <c r="CL9" s="201">
        <f t="shared" ref="CL9:CL48" si="64">SUMIF($B:$B,$BY9,BT:BT)</f>
        <v>1.6488281536921615E-7</v>
      </c>
      <c r="CM9" s="201">
        <f t="shared" ref="CM9:CM48" si="65">SUMIF($B:$B,$BY9,BU:BU)</f>
        <v>7.7949460725892139E-7</v>
      </c>
      <c r="CN9" s="201">
        <f t="shared" ref="CN9:CN48" si="66">SUMIF($B:$B,$BY9,BV:BV)</f>
        <v>2.1699432667668462E-9</v>
      </c>
      <c r="CO9" s="201">
        <f t="shared" ref="CO9:CO48" si="67">SUMIF($B:$B,$BY9,BW:BW)</f>
        <v>8.0710018375246817E-7</v>
      </c>
      <c r="CR9" s="243">
        <f t="shared" ref="CR9:CR48" si="68">IF($BZ9=1,0,$BZ9*SQRT((CJ9/$BZ9-(CB9/$BZ9)^2)/($BZ9-1)))</f>
        <v>1.6877146200031234E-4</v>
      </c>
      <c r="CS9" s="243">
        <f t="shared" si="13"/>
        <v>1.8002341137340642E-4</v>
      </c>
      <c r="CT9" s="243">
        <f t="shared" si="13"/>
        <v>2.8509550488877447E-4</v>
      </c>
      <c r="CU9" s="243">
        <f t="shared" si="13"/>
        <v>9.8433112390074293E-4</v>
      </c>
      <c r="CV9" s="243">
        <f t="shared" si="13"/>
        <v>1.0466650147723872E-5</v>
      </c>
      <c r="CW9" s="243">
        <f t="shared" si="13"/>
        <v>9.8722778623246197E-4</v>
      </c>
      <c r="CY9" s="223">
        <f t="shared" ref="CY9:CY14" si="69">+N9^2/(M9^2)</f>
        <v>4.8774262287153451E-3</v>
      </c>
      <c r="CZ9" s="223">
        <f t="shared" ref="CZ9:CZ14" si="70">1/M9</f>
        <v>1.6992353440951572E-6</v>
      </c>
    </row>
    <row r="10" spans="1:104" x14ac:dyDescent="0.25">
      <c r="A10" s="122">
        <v>1113</v>
      </c>
      <c r="B10" s="153">
        <v>111</v>
      </c>
      <c r="C10" s="184">
        <f>+'Sampling Weights'!R10</f>
        <v>780.67792231226724</v>
      </c>
      <c r="D10" s="155">
        <f>+SUM('Sampling Weights'!I10:N10)</f>
        <v>17</v>
      </c>
      <c r="E10" s="155">
        <v>5</v>
      </c>
      <c r="F10" s="155">
        <v>3</v>
      </c>
      <c r="G10" s="155">
        <v>2</v>
      </c>
      <c r="H10" s="154">
        <v>3</v>
      </c>
      <c r="I10" s="154">
        <v>0</v>
      </c>
      <c r="J10" s="154">
        <v>0</v>
      </c>
      <c r="K10" s="155"/>
      <c r="L10" s="203" t="s">
        <v>257</v>
      </c>
      <c r="M10" s="204">
        <f>+ROUND(SUM(AM:AM),-$J$4)</f>
        <v>392700</v>
      </c>
      <c r="N10" s="204">
        <f>+ROUND(SQRT(SUMPRODUCT(BC:BC,BC:BC)),-$J$4)</f>
        <v>26500</v>
      </c>
      <c r="O10" s="205">
        <f t="shared" si="14"/>
        <v>6.7481538069773361E-2</v>
      </c>
      <c r="P10" s="206">
        <f t="shared" si="0"/>
        <v>339700</v>
      </c>
      <c r="Q10" s="206">
        <f t="shared" si="1"/>
        <v>445700</v>
      </c>
      <c r="R10" s="167"/>
      <c r="S10" s="184">
        <f t="shared" si="15"/>
        <v>13271.524679308543</v>
      </c>
      <c r="T10" s="184">
        <f t="shared" si="2"/>
        <v>3903.3896115613361</v>
      </c>
      <c r="U10" s="184">
        <f t="shared" si="2"/>
        <v>2342.0337669368018</v>
      </c>
      <c r="V10" s="184">
        <f t="shared" si="2"/>
        <v>1561.3558446245345</v>
      </c>
      <c r="W10" s="184">
        <f t="shared" si="2"/>
        <v>2342.0337669368018</v>
      </c>
      <c r="X10" s="184">
        <f t="shared" si="2"/>
        <v>0</v>
      </c>
      <c r="Y10" s="184">
        <f t="shared" si="2"/>
        <v>0</v>
      </c>
      <c r="AA10" s="167">
        <f t="shared" si="16"/>
        <v>176133367.31349573</v>
      </c>
      <c r="AB10" s="167">
        <f t="shared" si="17"/>
        <v>15236450.459644958</v>
      </c>
      <c r="AC10" s="167">
        <f t="shared" si="18"/>
        <v>5485122.1654721862</v>
      </c>
      <c r="AD10" s="167">
        <f t="shared" si="19"/>
        <v>2437832.0735431933</v>
      </c>
      <c r="AE10" s="167">
        <f t="shared" si="20"/>
        <v>5485122.1654721862</v>
      </c>
      <c r="AF10" s="167">
        <f t="shared" si="21"/>
        <v>0</v>
      </c>
      <c r="AG10" s="167">
        <f t="shared" si="22"/>
        <v>0</v>
      </c>
      <c r="AH10" s="167"/>
      <c r="AI10" s="153">
        <v>113</v>
      </c>
      <c r="AJ10">
        <f t="shared" si="4"/>
        <v>15</v>
      </c>
      <c r="AK10" s="187">
        <f t="shared" si="23"/>
        <v>247697.77758723727</v>
      </c>
      <c r="AL10" s="187">
        <f t="shared" si="24"/>
        <v>53132.136403526565</v>
      </c>
      <c r="AM10" s="187">
        <f t="shared" si="25"/>
        <v>26014.542419013633</v>
      </c>
      <c r="AN10" s="187">
        <f t="shared" si="26"/>
        <v>6824.3232182853189</v>
      </c>
      <c r="AO10" s="187">
        <f t="shared" si="27"/>
        <v>16238.692261261722</v>
      </c>
      <c r="AP10" s="187">
        <f t="shared" si="28"/>
        <v>542.08389462711057</v>
      </c>
      <c r="AQ10" s="187">
        <f t="shared" si="29"/>
        <v>9233.7662631248022</v>
      </c>
      <c r="AS10" s="187">
        <f t="shared" si="30"/>
        <v>4572186355.9845638</v>
      </c>
      <c r="AT10" s="187">
        <f t="shared" si="31"/>
        <v>299912138.80916965</v>
      </c>
      <c r="AU10" s="187">
        <f t="shared" si="32"/>
        <v>58321150.935202949</v>
      </c>
      <c r="AV10" s="187">
        <f t="shared" si="33"/>
        <v>6849633.3310139906</v>
      </c>
      <c r="AW10" s="187">
        <f t="shared" si="34"/>
        <v>36334921.213721767</v>
      </c>
      <c r="AX10" s="187">
        <f t="shared" si="35"/>
        <v>293854.94881409634</v>
      </c>
      <c r="AY10" s="187">
        <f t="shared" si="36"/>
        <v>13807914.76056431</v>
      </c>
      <c r="BA10" s="167">
        <f t="shared" si="37"/>
        <v>22722.874437937775</v>
      </c>
      <c r="BB10" s="167">
        <f t="shared" si="38"/>
        <v>10940.286504914471</v>
      </c>
      <c r="BC10" s="167">
        <f t="shared" si="39"/>
        <v>3761.2768230765969</v>
      </c>
      <c r="BD10" s="167">
        <f t="shared" si="40"/>
        <v>2003.0889106859395</v>
      </c>
      <c r="BE10" s="167">
        <f t="shared" si="41"/>
        <v>4482.7342728188405</v>
      </c>
      <c r="BF10" s="167">
        <f t="shared" si="42"/>
        <v>542.08389462711057</v>
      </c>
      <c r="BG10" s="167">
        <f t="shared" si="43"/>
        <v>2950.2576401591355</v>
      </c>
      <c r="BJ10" s="201">
        <f t="shared" si="8"/>
        <v>4.2069650918035784E-4</v>
      </c>
      <c r="BK10" s="201">
        <f t="shared" si="9"/>
        <v>1.9076276455246927E-4</v>
      </c>
      <c r="BL10" s="243">
        <f t="shared" si="44"/>
        <v>2.2340043916863682E-3</v>
      </c>
      <c r="BM10" s="243">
        <f t="shared" si="45"/>
        <v>2.394986353289873E-3</v>
      </c>
      <c r="BN10" s="243">
        <f t="shared" si="46"/>
        <v>-1.6401935710545738E-4</v>
      </c>
      <c r="BO10" s="243">
        <f t="shared" si="47"/>
        <v>-2.2294482984334396E-3</v>
      </c>
      <c r="BR10" s="200">
        <f t="shared" si="48"/>
        <v>1.7698555283653891E-7</v>
      </c>
      <c r="BS10" s="201">
        <f t="shared" si="49"/>
        <v>3.6390432339700825E-8</v>
      </c>
      <c r="BT10" s="201">
        <f t="shared" si="50"/>
        <v>4.9907756220739803E-6</v>
      </c>
      <c r="BU10" s="201">
        <f t="shared" si="51"/>
        <v>5.7359596324447244E-6</v>
      </c>
      <c r="BV10" s="201">
        <f t="shared" si="52"/>
        <v>2.6902349505287552E-8</v>
      </c>
      <c r="BW10" s="201">
        <f t="shared" si="53"/>
        <v>4.970439715387759E-6</v>
      </c>
      <c r="BY10">
        <f t="shared" si="54"/>
        <v>113</v>
      </c>
      <c r="BZ10">
        <f t="shared" si="55"/>
        <v>15</v>
      </c>
      <c r="CB10" s="200">
        <f t="shared" si="56"/>
        <v>1.0974158755800625E-3</v>
      </c>
      <c r="CC10" s="201">
        <f t="shared" si="57"/>
        <v>-2.5010205005256397E-3</v>
      </c>
      <c r="CD10" s="201">
        <f t="shared" si="58"/>
        <v>-1.9710122755322804E-3</v>
      </c>
      <c r="CE10" s="201">
        <f t="shared" si="59"/>
        <v>1.7087825733390022E-3</v>
      </c>
      <c r="CF10" s="201">
        <f t="shared" si="60"/>
        <v>-4.4147111254341938E-4</v>
      </c>
      <c r="CG10" s="201">
        <f t="shared" si="61"/>
        <v>-1.2504422646199458E-3</v>
      </c>
      <c r="CJ10" s="201">
        <f t="shared" si="62"/>
        <v>1.1126695460927191E-5</v>
      </c>
      <c r="CK10" s="201">
        <f t="shared" si="63"/>
        <v>2.255734313566575E-6</v>
      </c>
      <c r="CL10" s="201">
        <f t="shared" si="64"/>
        <v>1.7996144327392555E-5</v>
      </c>
      <c r="CM10" s="201">
        <f t="shared" si="65"/>
        <v>5.8456607825292238E-5</v>
      </c>
      <c r="CN10" s="201">
        <f t="shared" si="66"/>
        <v>2.0867416872275732E-6</v>
      </c>
      <c r="CO10" s="201">
        <f t="shared" si="67"/>
        <v>5.63316796318081E-5</v>
      </c>
      <c r="CR10" s="243">
        <f t="shared" si="68"/>
        <v>3.44026691561999E-3</v>
      </c>
      <c r="CS10" s="243">
        <f t="shared" si="13"/>
        <v>1.4035900693641975E-3</v>
      </c>
      <c r="CT10" s="243">
        <f t="shared" si="13"/>
        <v>4.3593682006242062E-3</v>
      </c>
      <c r="CU10" s="243">
        <f t="shared" si="13"/>
        <v>7.9008551955578859E-3</v>
      </c>
      <c r="CV10" s="243">
        <f t="shared" si="13"/>
        <v>1.4905950050040724E-3</v>
      </c>
      <c r="CW10" s="243">
        <f t="shared" si="13"/>
        <v>7.7616805462107684E-3</v>
      </c>
      <c r="CY10" s="223">
        <f t="shared" si="69"/>
        <v>4.5537579802622718E-3</v>
      </c>
      <c r="CZ10" s="223">
        <f t="shared" si="70"/>
        <v>2.546473134708429E-6</v>
      </c>
    </row>
    <row r="11" spans="1:104" x14ac:dyDescent="0.25">
      <c r="A11" s="122">
        <v>1114</v>
      </c>
      <c r="B11" s="153">
        <v>111</v>
      </c>
      <c r="C11" s="184">
        <f>+'Sampling Weights'!R11</f>
        <v>754.15891042889086</v>
      </c>
      <c r="D11" s="155">
        <f>+SUM('Sampling Weights'!I11:N11)</f>
        <v>10</v>
      </c>
      <c r="E11" s="155">
        <v>3</v>
      </c>
      <c r="F11" s="155">
        <v>3</v>
      </c>
      <c r="G11" s="155">
        <v>1</v>
      </c>
      <c r="H11" s="154">
        <v>2</v>
      </c>
      <c r="I11" s="154">
        <v>1</v>
      </c>
      <c r="J11" s="154">
        <v>0</v>
      </c>
      <c r="K11" s="155"/>
      <c r="L11" s="207" t="s">
        <v>421</v>
      </c>
      <c r="M11" s="204">
        <f>+ROUND(SUM(AO:AO),-$J$4)</f>
        <v>235000</v>
      </c>
      <c r="N11" s="204">
        <f>+ROUND(SQRT(SUMPRODUCT(BE:BE,BE:BE)),-$J$4)</f>
        <v>21000</v>
      </c>
      <c r="O11" s="205">
        <f>+N11/M11</f>
        <v>8.9361702127659579E-2</v>
      </c>
      <c r="P11" s="206">
        <f t="shared" si="0"/>
        <v>193000</v>
      </c>
      <c r="Q11" s="206">
        <f t="shared" si="1"/>
        <v>277000</v>
      </c>
      <c r="R11" s="167"/>
      <c r="S11" s="184">
        <f t="shared" si="15"/>
        <v>7541.5891042889089</v>
      </c>
      <c r="T11" s="184">
        <f t="shared" si="2"/>
        <v>2262.4767312866725</v>
      </c>
      <c r="U11" s="184">
        <f t="shared" si="2"/>
        <v>2262.4767312866725</v>
      </c>
      <c r="V11" s="184">
        <f t="shared" si="2"/>
        <v>754.15891042889086</v>
      </c>
      <c r="W11" s="184">
        <f t="shared" si="2"/>
        <v>1508.3178208577817</v>
      </c>
      <c r="X11" s="184">
        <f t="shared" si="2"/>
        <v>754.15891042889086</v>
      </c>
      <c r="Y11" s="184">
        <f t="shared" si="2"/>
        <v>0</v>
      </c>
      <c r="AA11" s="167">
        <f t="shared" si="16"/>
        <v>56875566.217929184</v>
      </c>
      <c r="AB11" s="167">
        <f t="shared" si="17"/>
        <v>5118800.9596136259</v>
      </c>
      <c r="AC11" s="167">
        <f t="shared" si="18"/>
        <v>5118800.9596136259</v>
      </c>
      <c r="AD11" s="167">
        <f t="shared" si="19"/>
        <v>568755.66217929183</v>
      </c>
      <c r="AE11" s="167">
        <f t="shared" si="20"/>
        <v>2275022.6487171673</v>
      </c>
      <c r="AF11" s="167">
        <f t="shared" si="21"/>
        <v>568755.66217929183</v>
      </c>
      <c r="AG11" s="167">
        <f t="shared" si="22"/>
        <v>0</v>
      </c>
      <c r="AH11" s="167"/>
      <c r="AI11" s="153">
        <v>114</v>
      </c>
      <c r="AJ11">
        <f t="shared" si="4"/>
        <v>4</v>
      </c>
      <c r="AK11" s="187">
        <f t="shared" si="23"/>
        <v>18060.163256819123</v>
      </c>
      <c r="AL11" s="187">
        <f t="shared" si="24"/>
        <v>5027.2469298036476</v>
      </c>
      <c r="AM11" s="187">
        <f t="shared" si="25"/>
        <v>3701.2988478014881</v>
      </c>
      <c r="AN11" s="187">
        <f t="shared" si="26"/>
        <v>2244.9691861692299</v>
      </c>
      <c r="AO11" s="187">
        <f t="shared" si="27"/>
        <v>1694.6871827023285</v>
      </c>
      <c r="AP11" s="187">
        <f t="shared" si="28"/>
        <v>1337.7411100661063</v>
      </c>
      <c r="AQ11" s="187">
        <f t="shared" si="29"/>
        <v>668.87055503305317</v>
      </c>
      <c r="AS11" s="187">
        <f t="shared" si="30"/>
        <v>133913545.13766633</v>
      </c>
      <c r="AT11" s="187">
        <f t="shared" si="31"/>
        <v>12181574.654426187</v>
      </c>
      <c r="AU11" s="187">
        <f t="shared" si="32"/>
        <v>7536598.8149368763</v>
      </c>
      <c r="AV11" s="187">
        <f t="shared" si="33"/>
        <v>4083304.6823626901</v>
      </c>
      <c r="AW11" s="187">
        <f t="shared" si="34"/>
        <v>825781.52408350748</v>
      </c>
      <c r="AX11" s="187">
        <f t="shared" si="35"/>
        <v>1789551.2775608983</v>
      </c>
      <c r="AY11" s="187">
        <f t="shared" si="36"/>
        <v>447387.81939022458</v>
      </c>
      <c r="BA11" s="167">
        <f t="shared" si="37"/>
        <v>8356.3286134463342</v>
      </c>
      <c r="BB11" s="167">
        <f t="shared" si="38"/>
        <v>2796.0142420050097</v>
      </c>
      <c r="BC11" s="167">
        <f t="shared" si="39"/>
        <v>2341.4227938734803</v>
      </c>
      <c r="BD11" s="167">
        <f t="shared" si="40"/>
        <v>1940.2175206748877</v>
      </c>
      <c r="BE11" s="167">
        <f t="shared" si="41"/>
        <v>379.10484438937402</v>
      </c>
      <c r="BF11" s="167">
        <f t="shared" si="42"/>
        <v>1337.7411100661063</v>
      </c>
      <c r="BG11" s="167">
        <f t="shared" si="43"/>
        <v>668.87055503305317</v>
      </c>
      <c r="BJ11" s="201">
        <f t="shared" si="8"/>
        <v>2.5425687044459624E-4</v>
      </c>
      <c r="BK11" s="201">
        <f t="shared" si="9"/>
        <v>4.2748915951499765E-4</v>
      </c>
      <c r="BL11" s="243">
        <f t="shared" si="44"/>
        <v>2.3767162380650925E-4</v>
      </c>
      <c r="BM11" s="243">
        <f t="shared" si="45"/>
        <v>3.9318515543299021E-4</v>
      </c>
      <c r="BN11" s="243">
        <f t="shared" si="46"/>
        <v>1.7619976555038116E-3</v>
      </c>
      <c r="BO11" s="243">
        <f t="shared" si="47"/>
        <v>-2.1537157021478729E-3</v>
      </c>
      <c r="BR11" s="200">
        <f t="shared" si="48"/>
        <v>6.4646556168280195E-8</v>
      </c>
      <c r="BS11" s="201">
        <f t="shared" si="49"/>
        <v>1.827469815028391E-7</v>
      </c>
      <c r="BT11" s="201">
        <f t="shared" si="50"/>
        <v>5.6487800762822856E-8</v>
      </c>
      <c r="BU11" s="201">
        <f t="shared" si="51"/>
        <v>1.5459456645286466E-7</v>
      </c>
      <c r="BV11" s="201">
        <f t="shared" si="52"/>
        <v>3.1046357380009285E-6</v>
      </c>
      <c r="BW11" s="201">
        <f t="shared" si="53"/>
        <v>4.6384913256783052E-6</v>
      </c>
      <c r="BY11">
        <f t="shared" si="54"/>
        <v>114</v>
      </c>
      <c r="BZ11">
        <f t="shared" si="55"/>
        <v>4</v>
      </c>
      <c r="CB11" s="200">
        <f t="shared" si="56"/>
        <v>4.7502505654728401E-4</v>
      </c>
      <c r="CC11" s="201">
        <f t="shared" si="57"/>
        <v>4.3571774395095083E-4</v>
      </c>
      <c r="CD11" s="201">
        <f t="shared" si="58"/>
        <v>2.9638199247667041E-3</v>
      </c>
      <c r="CE11" s="201">
        <f t="shared" si="59"/>
        <v>-1.3247987419641022E-3</v>
      </c>
      <c r="CF11" s="201">
        <f t="shared" si="60"/>
        <v>3.1473091999185271E-3</v>
      </c>
      <c r="CG11" s="201">
        <f t="shared" si="61"/>
        <v>-1.8201103413057235E-3</v>
      </c>
      <c r="CJ11" s="201">
        <f t="shared" si="62"/>
        <v>1.7056053295122452E-7</v>
      </c>
      <c r="CK11" s="201">
        <f t="shared" si="63"/>
        <v>1.8357341194605359E-7</v>
      </c>
      <c r="CL11" s="201">
        <f t="shared" si="64"/>
        <v>9.8806283957680265E-6</v>
      </c>
      <c r="CM11" s="201">
        <f t="shared" si="65"/>
        <v>6.0306657517917569E-6</v>
      </c>
      <c r="CN11" s="201">
        <f t="shared" si="66"/>
        <v>1.0364783154793406E-5</v>
      </c>
      <c r="CO11" s="201">
        <f t="shared" si="67"/>
        <v>1.0545599042490347E-6</v>
      </c>
      <c r="CR11" s="243">
        <f t="shared" si="68"/>
        <v>3.9012533347508881E-4</v>
      </c>
      <c r="CS11" s="243">
        <f t="shared" si="13"/>
        <v>4.2600614056235861E-4</v>
      </c>
      <c r="CT11" s="243">
        <f t="shared" si="13"/>
        <v>3.2009522039870156E-3</v>
      </c>
      <c r="CU11" s="243">
        <f t="shared" si="13"/>
        <v>2.7305415397229269E-3</v>
      </c>
      <c r="CV11" s="243">
        <f t="shared" si="13"/>
        <v>3.2431249035090536E-3</v>
      </c>
      <c r="CW11" s="243">
        <f t="shared" si="13"/>
        <v>5.4937478478360652E-4</v>
      </c>
      <c r="CY11" s="223">
        <f t="shared" si="69"/>
        <v>7.985513807152558E-3</v>
      </c>
      <c r="CZ11" s="223">
        <f t="shared" si="70"/>
        <v>4.2553191489361706E-6</v>
      </c>
    </row>
    <row r="12" spans="1:104" x14ac:dyDescent="0.25">
      <c r="A12" s="122">
        <v>1115</v>
      </c>
      <c r="B12" s="153">
        <v>111</v>
      </c>
      <c r="C12" s="184">
        <f>+'Sampling Weights'!R12</f>
        <v>749.38805379349367</v>
      </c>
      <c r="D12" s="155">
        <f>+SUM('Sampling Weights'!I12:N12)</f>
        <v>14</v>
      </c>
      <c r="E12" s="155">
        <v>4</v>
      </c>
      <c r="F12" s="155">
        <v>3</v>
      </c>
      <c r="G12" s="155">
        <v>2</v>
      </c>
      <c r="H12" s="154">
        <v>3</v>
      </c>
      <c r="I12" s="154">
        <v>0</v>
      </c>
      <c r="J12" s="154">
        <v>0</v>
      </c>
      <c r="K12" s="155"/>
      <c r="L12" s="207" t="s">
        <v>422</v>
      </c>
      <c r="M12" s="204">
        <f>+ROUND(SUM(AP:AP),-$J$4)</f>
        <v>10800</v>
      </c>
      <c r="N12" s="204">
        <f>+ROUND(SQRT(SUMPRODUCT(BF:BF,BF:BF)),-$J$4)</f>
        <v>4000</v>
      </c>
      <c r="O12" s="205">
        <f>+N12/M12</f>
        <v>0.37037037037037035</v>
      </c>
      <c r="P12" s="206">
        <f t="shared" si="0"/>
        <v>2800</v>
      </c>
      <c r="Q12" s="206">
        <f t="shared" si="1"/>
        <v>18800</v>
      </c>
      <c r="R12" s="167"/>
      <c r="S12" s="184">
        <f t="shared" si="15"/>
        <v>10491.432753108911</v>
      </c>
      <c r="T12" s="184">
        <f t="shared" si="2"/>
        <v>2997.5522151739747</v>
      </c>
      <c r="U12" s="184">
        <f t="shared" si="2"/>
        <v>2248.1641613804809</v>
      </c>
      <c r="V12" s="184">
        <f t="shared" si="2"/>
        <v>1498.7761075869873</v>
      </c>
      <c r="W12" s="184">
        <f t="shared" si="2"/>
        <v>2248.1641613804809</v>
      </c>
      <c r="X12" s="184">
        <f t="shared" si="2"/>
        <v>0</v>
      </c>
      <c r="Y12" s="184">
        <f t="shared" si="2"/>
        <v>0</v>
      </c>
      <c r="AA12" s="167">
        <f t="shared" si="16"/>
        <v>110070161.21300642</v>
      </c>
      <c r="AB12" s="167">
        <f t="shared" si="17"/>
        <v>8985319.2826944031</v>
      </c>
      <c r="AC12" s="167">
        <f t="shared" si="18"/>
        <v>5054242.0965156006</v>
      </c>
      <c r="AD12" s="167">
        <f t="shared" si="19"/>
        <v>2246329.8206736008</v>
      </c>
      <c r="AE12" s="167">
        <f t="shared" si="20"/>
        <v>5054242.0965156006</v>
      </c>
      <c r="AF12" s="167">
        <f t="shared" si="21"/>
        <v>0</v>
      </c>
      <c r="AG12" s="167">
        <f t="shared" si="22"/>
        <v>0</v>
      </c>
      <c r="AH12" s="167"/>
      <c r="AI12" s="153">
        <v>115</v>
      </c>
      <c r="AJ12">
        <f t="shared" si="4"/>
        <v>9</v>
      </c>
      <c r="AK12" s="187">
        <f t="shared" si="23"/>
        <v>73767.263947253145</v>
      </c>
      <c r="AL12" s="187">
        <f t="shared" si="24"/>
        <v>11596.688266386673</v>
      </c>
      <c r="AM12" s="187">
        <f t="shared" si="25"/>
        <v>9407.5717268549015</v>
      </c>
      <c r="AN12" s="187">
        <f t="shared" si="26"/>
        <v>1283.6312445108751</v>
      </c>
      <c r="AO12" s="187">
        <f t="shared" si="27"/>
        <v>6199.3395012398942</v>
      </c>
      <c r="AP12" s="187">
        <f t="shared" si="28"/>
        <v>0</v>
      </c>
      <c r="AQ12" s="187">
        <f t="shared" si="29"/>
        <v>3208.2322256150087</v>
      </c>
      <c r="AS12" s="187">
        <f t="shared" si="30"/>
        <v>742421203.13599002</v>
      </c>
      <c r="AT12" s="187">
        <f t="shared" si="31"/>
        <v>20845116.356104575</v>
      </c>
      <c r="AU12" s="187">
        <f t="shared" si="32"/>
        <v>13267804.058019465</v>
      </c>
      <c r="AV12" s="187">
        <f t="shared" si="33"/>
        <v>1085238.8084372447</v>
      </c>
      <c r="AW12" s="187">
        <f t="shared" si="34"/>
        <v>9056167.9535273314</v>
      </c>
      <c r="AX12" s="187">
        <f t="shared" si="35"/>
        <v>0</v>
      </c>
      <c r="AY12" s="187">
        <f t="shared" si="36"/>
        <v>3538609.9843355278</v>
      </c>
      <c r="BA12" s="167">
        <f t="shared" si="37"/>
        <v>12450.811208311869</v>
      </c>
      <c r="BB12" s="167">
        <f t="shared" si="38"/>
        <v>2576.8893179857087</v>
      </c>
      <c r="BC12" s="167">
        <f t="shared" si="39"/>
        <v>1965.573412717504</v>
      </c>
      <c r="BD12" s="167">
        <f t="shared" si="40"/>
        <v>1007.4373494199691</v>
      </c>
      <c r="BE12" s="167">
        <f t="shared" si="41"/>
        <v>2320.3906279469597</v>
      </c>
      <c r="BF12" s="167">
        <f t="shared" si="42"/>
        <v>0</v>
      </c>
      <c r="BG12" s="167">
        <f t="shared" si="43"/>
        <v>1641.4450891495394</v>
      </c>
      <c r="BJ12" s="201">
        <f t="shared" si="8"/>
        <v>3.0237281463838049E-4</v>
      </c>
      <c r="BK12" s="201">
        <f t="shared" si="9"/>
        <v>2.8668888426346416E-4</v>
      </c>
      <c r="BL12" s="243">
        <f t="shared" si="44"/>
        <v>2.1444646446429406E-3</v>
      </c>
      <c r="BM12" s="243">
        <f t="shared" si="45"/>
        <v>2.2989943879006911E-3</v>
      </c>
      <c r="BN12" s="243">
        <f t="shared" si="46"/>
        <v>-1.574453987909161E-4</v>
      </c>
      <c r="BO12" s="243">
        <f t="shared" si="47"/>
        <v>-2.1400911613431929E-3</v>
      </c>
      <c r="BR12" s="200">
        <f t="shared" si="48"/>
        <v>9.1429319032336406E-8</v>
      </c>
      <c r="BS12" s="201">
        <f t="shared" si="49"/>
        <v>8.2190516360229946E-8</v>
      </c>
      <c r="BT12" s="201">
        <f t="shared" si="50"/>
        <v>4.5987286121235734E-6</v>
      </c>
      <c r="BU12" s="201">
        <f t="shared" si="51"/>
        <v>5.2853751955988736E-6</v>
      </c>
      <c r="BV12" s="201">
        <f t="shared" si="52"/>
        <v>2.4789053600430602E-8</v>
      </c>
      <c r="BW12" s="201">
        <f t="shared" si="53"/>
        <v>4.5799901788592564E-6</v>
      </c>
      <c r="BY12">
        <f t="shared" si="54"/>
        <v>115</v>
      </c>
      <c r="BZ12">
        <f t="shared" si="55"/>
        <v>9</v>
      </c>
      <c r="CB12" s="200">
        <f t="shared" si="56"/>
        <v>-1.1208671815553233E-3</v>
      </c>
      <c r="CC12" s="201">
        <f t="shared" si="57"/>
        <v>-1.7621384707652585E-4</v>
      </c>
      <c r="CD12" s="201">
        <f t="shared" si="58"/>
        <v>-3.7283848062046841E-3</v>
      </c>
      <c r="CE12" s="201">
        <f t="shared" si="59"/>
        <v>1.45059654927279E-3</v>
      </c>
      <c r="CF12" s="201">
        <f t="shared" si="60"/>
        <v>-6.5883929102370463E-4</v>
      </c>
      <c r="CG12" s="201">
        <f t="shared" si="61"/>
        <v>-7.8565689444331263E-4</v>
      </c>
      <c r="CJ12" s="201">
        <f t="shared" si="62"/>
        <v>7.2491316542148734E-7</v>
      </c>
      <c r="CK12" s="201">
        <f t="shared" si="63"/>
        <v>2.8625248086712347E-7</v>
      </c>
      <c r="CL12" s="201">
        <f t="shared" si="64"/>
        <v>6.1552425426150665E-6</v>
      </c>
      <c r="CM12" s="201">
        <f t="shared" si="65"/>
        <v>1.6638740973806105E-5</v>
      </c>
      <c r="CN12" s="201">
        <f t="shared" si="66"/>
        <v>6.5073318545820479E-8</v>
      </c>
      <c r="CO12" s="201">
        <f t="shared" si="67"/>
        <v>1.6181998963545568E-5</v>
      </c>
      <c r="CR12" s="243">
        <f t="shared" si="68"/>
        <v>8.1147052088366184E-4</v>
      </c>
      <c r="CS12" s="243">
        <f t="shared" si="13"/>
        <v>5.6405019810990681E-4</v>
      </c>
      <c r="CT12" s="243">
        <f t="shared" si="13"/>
        <v>2.2775076734337708E-3</v>
      </c>
      <c r="CU12" s="243">
        <f t="shared" si="13"/>
        <v>4.2959928773144635E-3</v>
      </c>
      <c r="CV12" s="243">
        <f t="shared" si="13"/>
        <v>1.3765475632709109E-4</v>
      </c>
      <c r="CW12" s="243">
        <f t="shared" si="13"/>
        <v>4.2576509649706459E-3</v>
      </c>
      <c r="CY12" s="223">
        <f t="shared" si="69"/>
        <v>0.13717421124828533</v>
      </c>
      <c r="CZ12" s="223">
        <f t="shared" si="70"/>
        <v>9.2592592592592588E-5</v>
      </c>
    </row>
    <row r="13" spans="1:104" x14ac:dyDescent="0.25">
      <c r="A13" s="122">
        <v>1116</v>
      </c>
      <c r="B13" s="153">
        <v>111</v>
      </c>
      <c r="C13" s="184">
        <f>+'Sampling Weights'!R13</f>
        <v>825.69080723045727</v>
      </c>
      <c r="D13" s="155">
        <f>+SUM('Sampling Weights'!I13:N13)</f>
        <v>15</v>
      </c>
      <c r="E13" s="155">
        <v>2</v>
      </c>
      <c r="F13" s="155">
        <v>2</v>
      </c>
      <c r="G13" s="155">
        <v>0</v>
      </c>
      <c r="H13" s="154">
        <v>1</v>
      </c>
      <c r="I13" s="154">
        <v>0</v>
      </c>
      <c r="J13" s="154">
        <v>1</v>
      </c>
      <c r="K13" s="155"/>
      <c r="L13" s="207" t="s">
        <v>500</v>
      </c>
      <c r="M13" s="204">
        <f>+ROUND(SUM(AQ:AQ),-$J$4)</f>
        <v>146800</v>
      </c>
      <c r="N13" s="204">
        <f>+ROUND(SQRT(SUMPRODUCT(BG:BG,BG:BG)),-$J$4)</f>
        <v>18900</v>
      </c>
      <c r="O13" s="205">
        <f>+N13/M13</f>
        <v>0.1287465940054496</v>
      </c>
      <c r="P13" s="206">
        <f t="shared" si="0"/>
        <v>109000</v>
      </c>
      <c r="Q13" s="206">
        <f t="shared" si="1"/>
        <v>184600</v>
      </c>
      <c r="R13" s="167"/>
      <c r="S13" s="184">
        <f t="shared" si="15"/>
        <v>12385.362108456859</v>
      </c>
      <c r="T13" s="184">
        <f t="shared" si="2"/>
        <v>1651.3816144609145</v>
      </c>
      <c r="U13" s="184">
        <f t="shared" si="2"/>
        <v>1651.3816144609145</v>
      </c>
      <c r="V13" s="184">
        <f t="shared" si="2"/>
        <v>0</v>
      </c>
      <c r="W13" s="184">
        <f t="shared" si="2"/>
        <v>825.69080723045727</v>
      </c>
      <c r="X13" s="184">
        <f t="shared" si="2"/>
        <v>0</v>
      </c>
      <c r="Y13" s="184">
        <f t="shared" si="2"/>
        <v>825.69080723045727</v>
      </c>
      <c r="AA13" s="167">
        <f t="shared" si="16"/>
        <v>153397194.55759892</v>
      </c>
      <c r="AB13" s="167">
        <f t="shared" si="17"/>
        <v>2727061.2365795365</v>
      </c>
      <c r="AC13" s="167">
        <f t="shared" si="18"/>
        <v>2727061.2365795365</v>
      </c>
      <c r="AD13" s="167">
        <f t="shared" si="19"/>
        <v>0</v>
      </c>
      <c r="AE13" s="167">
        <f t="shared" si="20"/>
        <v>681765.30914488412</v>
      </c>
      <c r="AF13" s="167">
        <f t="shared" si="21"/>
        <v>0</v>
      </c>
      <c r="AG13" s="167">
        <f t="shared" si="22"/>
        <v>681765.30914488412</v>
      </c>
      <c r="AH13" s="167"/>
      <c r="AI13" s="153">
        <v>116</v>
      </c>
      <c r="AJ13">
        <f t="shared" si="4"/>
        <v>2</v>
      </c>
      <c r="AK13" s="187">
        <f t="shared" si="23"/>
        <v>4913.3884137237783</v>
      </c>
      <c r="AL13" s="187">
        <f t="shared" si="24"/>
        <v>1241.918144521368</v>
      </c>
      <c r="AM13" s="187">
        <f t="shared" si="25"/>
        <v>673.45200720592857</v>
      </c>
      <c r="AN13" s="187">
        <f t="shared" si="26"/>
        <v>311.37515083856698</v>
      </c>
      <c r="AO13" s="187">
        <f t="shared" si="27"/>
        <v>517.76443178664499</v>
      </c>
      <c r="AP13" s="187">
        <f t="shared" si="28"/>
        <v>0</v>
      </c>
      <c r="AQ13" s="187">
        <f t="shared" si="29"/>
        <v>155.68757541928349</v>
      </c>
      <c r="AS13" s="187">
        <f t="shared" si="30"/>
        <v>16707124.075480141</v>
      </c>
      <c r="AT13" s="187">
        <f t="shared" si="31"/>
        <v>878587.3179918509</v>
      </c>
      <c r="AU13" s="187">
        <f t="shared" si="32"/>
        <v>232279.8194431783</v>
      </c>
      <c r="AV13" s="187">
        <f t="shared" si="33"/>
        <v>96954.484559740333</v>
      </c>
      <c r="AW13" s="187">
        <f t="shared" si="34"/>
        <v>135325.33488343802</v>
      </c>
      <c r="AX13" s="187">
        <f t="shared" si="35"/>
        <v>0</v>
      </c>
      <c r="AY13" s="187">
        <f t="shared" si="36"/>
        <v>24238.621139935083</v>
      </c>
      <c r="BA13" s="167">
        <f t="shared" si="37"/>
        <v>3045.1375086923767</v>
      </c>
      <c r="BB13" s="167">
        <f t="shared" si="38"/>
        <v>463.48026742495097</v>
      </c>
      <c r="BC13" s="167">
        <f t="shared" si="39"/>
        <v>104.9858698904884</v>
      </c>
      <c r="BD13" s="167">
        <f t="shared" si="40"/>
        <v>311.37515083856698</v>
      </c>
      <c r="BE13" s="167">
        <f t="shared" si="41"/>
        <v>50.701705528795323</v>
      </c>
      <c r="BF13" s="167">
        <f t="shared" si="42"/>
        <v>0</v>
      </c>
      <c r="BG13" s="167">
        <f t="shared" si="43"/>
        <v>155.68757541928349</v>
      </c>
      <c r="BJ13" s="201">
        <f t="shared" si="8"/>
        <v>-2.8946425002586743E-4</v>
      </c>
      <c r="BK13" s="201">
        <f t="shared" si="9"/>
        <v>-4.9692186280918785E-6</v>
      </c>
      <c r="BL13" s="243">
        <f t="shared" si="44"/>
        <v>-1.2282564698455425E-3</v>
      </c>
      <c r="BM13" s="243">
        <f t="shared" si="45"/>
        <v>-4.1388066747628793E-4</v>
      </c>
      <c r="BN13" s="243">
        <f t="shared" si="46"/>
        <v>-1.1565100151989415E-4</v>
      </c>
      <c r="BO13" s="243">
        <f t="shared" si="47"/>
        <v>5.3060251160284757E-4</v>
      </c>
      <c r="BR13" s="200">
        <f t="shared" si="48"/>
        <v>8.378955204303789E-8</v>
      </c>
      <c r="BS13" s="201">
        <f t="shared" si="49"/>
        <v>2.4693133773775331E-11</v>
      </c>
      <c r="BT13" s="201">
        <f t="shared" si="50"/>
        <v>1.5086139557174341E-6</v>
      </c>
      <c r="BU13" s="201">
        <f t="shared" si="51"/>
        <v>1.7129720691061763E-7</v>
      </c>
      <c r="BV13" s="201">
        <f t="shared" si="52"/>
        <v>1.337515415255456E-8</v>
      </c>
      <c r="BW13" s="201">
        <f t="shared" si="53"/>
        <v>2.8153902531924998E-7</v>
      </c>
      <c r="BY13">
        <f t="shared" si="54"/>
        <v>116</v>
      </c>
      <c r="BZ13">
        <f t="shared" si="55"/>
        <v>2</v>
      </c>
      <c r="CB13" s="200">
        <f t="shared" si="56"/>
        <v>8.6153168193438737E-5</v>
      </c>
      <c r="CC13" s="201">
        <f t="shared" si="57"/>
        <v>4.3081386390105366E-6</v>
      </c>
      <c r="CD13" s="201">
        <f t="shared" si="58"/>
        <v>2.920116450909338E-4</v>
      </c>
      <c r="CE13" s="201">
        <f t="shared" si="59"/>
        <v>2.9222429966458991E-4</v>
      </c>
      <c r="CF13" s="201">
        <f t="shared" si="60"/>
        <v>-4.7163779968795356E-5</v>
      </c>
      <c r="CG13" s="201">
        <f t="shared" si="61"/>
        <v>-2.4462381802941685E-4</v>
      </c>
      <c r="CJ13" s="201">
        <f t="shared" si="62"/>
        <v>5.0366877612190337E-9</v>
      </c>
      <c r="CK13" s="201">
        <f t="shared" si="63"/>
        <v>1.554081374250436E-8</v>
      </c>
      <c r="CL13" s="201">
        <f t="shared" si="64"/>
        <v>2.9812106379248542E-7</v>
      </c>
      <c r="CM13" s="201">
        <f t="shared" si="65"/>
        <v>8.4485382899900748E-8</v>
      </c>
      <c r="CN13" s="201">
        <f t="shared" si="66"/>
        <v>1.1392404211196887E-9</v>
      </c>
      <c r="CO13" s="201">
        <f t="shared" si="67"/>
        <v>7.3881039320155909E-8</v>
      </c>
      <c r="CR13" s="243">
        <f t="shared" si="68"/>
        <v>5.1487931912935902E-5</v>
      </c>
      <c r="CS13" s="243">
        <f t="shared" si="13"/>
        <v>1.7624717707377836E-4</v>
      </c>
      <c r="CT13" s="243">
        <f t="shared" si="13"/>
        <v>7.148225840838112E-4</v>
      </c>
      <c r="CU13" s="243">
        <f t="shared" si="13"/>
        <v>2.8909466353660261E-4</v>
      </c>
      <c r="CV13" s="243">
        <f t="shared" si="13"/>
        <v>7.3524622606603844E-6</v>
      </c>
      <c r="CW13" s="243">
        <f t="shared" si="13"/>
        <v>2.9651520415152844E-4</v>
      </c>
      <c r="CY13" s="223">
        <f t="shared" si="69"/>
        <v>1.6575685468004069E-2</v>
      </c>
      <c r="CZ13" s="223">
        <f t="shared" si="70"/>
        <v>6.8119891008174385E-6</v>
      </c>
    </row>
    <row r="14" spans="1:104" x14ac:dyDescent="0.25">
      <c r="A14" s="122">
        <v>1117</v>
      </c>
      <c r="B14" s="153">
        <v>111</v>
      </c>
      <c r="C14" s="184">
        <f>+'Sampling Weights'!R14</f>
        <v>588.52674954991244</v>
      </c>
      <c r="D14" s="155">
        <f>+SUM('Sampling Weights'!I14:N14)</f>
        <v>14</v>
      </c>
      <c r="E14" s="155">
        <v>0</v>
      </c>
      <c r="F14" s="155">
        <v>0</v>
      </c>
      <c r="G14" s="155">
        <v>0</v>
      </c>
      <c r="H14" s="154">
        <v>0</v>
      </c>
      <c r="I14" s="154">
        <v>0</v>
      </c>
      <c r="J14" s="154">
        <v>0</v>
      </c>
      <c r="K14" s="155"/>
      <c r="L14" s="203" t="s">
        <v>635</v>
      </c>
      <c r="M14" s="204">
        <f>+ROUND(SUM(AN:AN),-$J$4)</f>
        <v>114700</v>
      </c>
      <c r="N14" s="204">
        <f>+ROUND(SQRT(SUMPRODUCT(BD:BD,BD:BD)),-$J$4)</f>
        <v>16400</v>
      </c>
      <c r="O14" s="205">
        <f>+N14/M14</f>
        <v>0.14298169136878813</v>
      </c>
      <c r="P14" s="206">
        <f t="shared" si="0"/>
        <v>81900</v>
      </c>
      <c r="Q14" s="206">
        <f t="shared" si="1"/>
        <v>147500</v>
      </c>
      <c r="R14" s="167"/>
      <c r="S14" s="184">
        <f t="shared" si="15"/>
        <v>8239.374493698775</v>
      </c>
      <c r="T14" s="184">
        <f t="shared" si="2"/>
        <v>0</v>
      </c>
      <c r="U14" s="184">
        <f t="shared" si="2"/>
        <v>0</v>
      </c>
      <c r="V14" s="184">
        <f t="shared" si="2"/>
        <v>0</v>
      </c>
      <c r="W14" s="184">
        <f t="shared" si="2"/>
        <v>0</v>
      </c>
      <c r="X14" s="184">
        <f t="shared" si="2"/>
        <v>0</v>
      </c>
      <c r="Y14" s="184">
        <f t="shared" si="2"/>
        <v>0</v>
      </c>
      <c r="AA14" s="167">
        <f t="shared" si="16"/>
        <v>67887292.047413945</v>
      </c>
      <c r="AB14" s="167">
        <f t="shared" si="17"/>
        <v>0</v>
      </c>
      <c r="AC14" s="167">
        <f t="shared" si="18"/>
        <v>0</v>
      </c>
      <c r="AD14" s="167">
        <f t="shared" si="19"/>
        <v>0</v>
      </c>
      <c r="AE14" s="167">
        <f t="shared" si="20"/>
        <v>0</v>
      </c>
      <c r="AF14" s="167">
        <f t="shared" si="21"/>
        <v>0</v>
      </c>
      <c r="AG14" s="167">
        <f t="shared" si="22"/>
        <v>0</v>
      </c>
      <c r="AH14" s="163"/>
      <c r="AI14" s="153">
        <v>117</v>
      </c>
      <c r="AJ14">
        <f t="shared" si="4"/>
        <v>4</v>
      </c>
      <c r="AK14" s="187">
        <f t="shared" si="23"/>
        <v>9310.1360909644136</v>
      </c>
      <c r="AL14" s="187">
        <f t="shared" si="24"/>
        <v>380.20170464117768</v>
      </c>
      <c r="AM14" s="187">
        <f t="shared" si="25"/>
        <v>380.20170464117768</v>
      </c>
      <c r="AN14" s="187">
        <f t="shared" si="26"/>
        <v>24.509078854019204</v>
      </c>
      <c r="AO14" s="187">
        <f t="shared" si="27"/>
        <v>380.20170464117768</v>
      </c>
      <c r="AP14" s="187">
        <f t="shared" si="28"/>
        <v>0</v>
      </c>
      <c r="AQ14" s="187">
        <f t="shared" si="29"/>
        <v>0</v>
      </c>
      <c r="AS14" s="187">
        <f t="shared" si="30"/>
        <v>27985860.99716758</v>
      </c>
      <c r="AT14" s="187">
        <f t="shared" si="31"/>
        <v>112085.32154430498</v>
      </c>
      <c r="AU14" s="187">
        <f t="shared" si="32"/>
        <v>112085.32154430498</v>
      </c>
      <c r="AV14" s="187">
        <f t="shared" si="33"/>
        <v>600.6949462725313</v>
      </c>
      <c r="AW14" s="187">
        <f t="shared" si="34"/>
        <v>112085.32154430498</v>
      </c>
      <c r="AX14" s="187">
        <f t="shared" si="35"/>
        <v>0</v>
      </c>
      <c r="AY14" s="187">
        <f t="shared" si="36"/>
        <v>0</v>
      </c>
      <c r="BA14" s="167">
        <f t="shared" si="37"/>
        <v>2901.9998826322158</v>
      </c>
      <c r="BB14" s="167">
        <f t="shared" si="38"/>
        <v>318.21792845216555</v>
      </c>
      <c r="BC14" s="167">
        <f t="shared" si="39"/>
        <v>318.21792845216555</v>
      </c>
      <c r="BD14" s="167">
        <f t="shared" si="40"/>
        <v>24.509078854019204</v>
      </c>
      <c r="BE14" s="167">
        <f t="shared" si="41"/>
        <v>318.21792845216555</v>
      </c>
      <c r="BF14" s="167">
        <f t="shared" si="42"/>
        <v>0</v>
      </c>
      <c r="BG14" s="167">
        <f t="shared" si="43"/>
        <v>0</v>
      </c>
      <c r="BJ14" s="201">
        <f t="shared" si="8"/>
        <v>-5.6884507184912236E-4</v>
      </c>
      <c r="BK14" s="201">
        <f t="shared" si="9"/>
        <v>-3.7958446850492835E-4</v>
      </c>
      <c r="BL14" s="243">
        <f t="shared" si="44"/>
        <v>0</v>
      </c>
      <c r="BM14" s="243">
        <f t="shared" si="45"/>
        <v>0</v>
      </c>
      <c r="BN14" s="243">
        <f t="shared" si="46"/>
        <v>0</v>
      </c>
      <c r="BO14" s="243">
        <f t="shared" si="47"/>
        <v>0</v>
      </c>
      <c r="BR14" s="200">
        <f t="shared" si="48"/>
        <v>3.2358471576703317E-7</v>
      </c>
      <c r="BS14" s="201">
        <f t="shared" si="49"/>
        <v>1.4408436873016894E-7</v>
      </c>
      <c r="BT14" s="201">
        <f t="shared" si="50"/>
        <v>0</v>
      </c>
      <c r="BU14" s="201">
        <f t="shared" si="51"/>
        <v>0</v>
      </c>
      <c r="BV14" s="201">
        <f t="shared" si="52"/>
        <v>0</v>
      </c>
      <c r="BW14" s="201">
        <f t="shared" si="53"/>
        <v>0</v>
      </c>
      <c r="BY14">
        <f t="shared" si="54"/>
        <v>117</v>
      </c>
      <c r="BZ14">
        <f t="shared" si="55"/>
        <v>4</v>
      </c>
      <c r="CB14" s="200">
        <f t="shared" si="56"/>
        <v>-5.1254637584311369E-4</v>
      </c>
      <c r="CC14" s="201">
        <f t="shared" si="57"/>
        <v>-2.986900964447155E-4</v>
      </c>
      <c r="CD14" s="201">
        <f t="shared" si="58"/>
        <v>-2.2037283723322251E-4</v>
      </c>
      <c r="CE14" s="201">
        <f t="shared" si="59"/>
        <v>3.8879793578046166E-4</v>
      </c>
      <c r="CF14" s="201">
        <f t="shared" si="60"/>
        <v>-2.6626618303290971E-5</v>
      </c>
      <c r="CG14" s="201">
        <f t="shared" si="61"/>
        <v>-3.6192477471510323E-4</v>
      </c>
      <c r="CJ14" s="201">
        <f t="shared" si="62"/>
        <v>1.0695706239485027E-7</v>
      </c>
      <c r="CK14" s="201">
        <f t="shared" si="63"/>
        <v>4.6130764934014756E-8</v>
      </c>
      <c r="CL14" s="201">
        <f t="shared" si="64"/>
        <v>6.135010010682251E-8</v>
      </c>
      <c r="CM14" s="201">
        <f t="shared" si="65"/>
        <v>1.1721104113501088E-7</v>
      </c>
      <c r="CN14" s="201">
        <f t="shared" si="66"/>
        <v>5.4973406309499264E-10</v>
      </c>
      <c r="CO14" s="201">
        <f t="shared" si="67"/>
        <v>1.0156808124033123E-7</v>
      </c>
      <c r="CR14" s="243">
        <f t="shared" si="68"/>
        <v>2.3460922274390006E-4</v>
      </c>
      <c r="CS14" s="243">
        <f t="shared" si="13"/>
        <v>1.7823887157585798E-4</v>
      </c>
      <c r="CT14" s="243">
        <f t="shared" si="13"/>
        <v>2.5614853310600193E-4</v>
      </c>
      <c r="CU14" s="243">
        <f t="shared" si="13"/>
        <v>3.2541272750815774E-4</v>
      </c>
      <c r="CV14" s="243">
        <f t="shared" si="13"/>
        <v>2.2285716278301226E-5</v>
      </c>
      <c r="CW14" s="243">
        <f t="shared" si="13"/>
        <v>3.0292066200505741E-4</v>
      </c>
      <c r="CY14" s="223">
        <f t="shared" si="69"/>
        <v>2.0443764066679387E-2</v>
      </c>
      <c r="CZ14" s="223">
        <f t="shared" si="70"/>
        <v>8.718395815170008E-6</v>
      </c>
    </row>
    <row r="15" spans="1:104" x14ac:dyDescent="0.25">
      <c r="A15" s="122">
        <v>2111</v>
      </c>
      <c r="B15" s="153">
        <v>211</v>
      </c>
      <c r="C15" s="184">
        <f>+'Sampling Weights'!R15</f>
        <v>1257.3862213239097</v>
      </c>
      <c r="D15" s="155">
        <f>+SUM('Sampling Weights'!I15:N15)</f>
        <v>11</v>
      </c>
      <c r="E15" s="155">
        <v>1</v>
      </c>
      <c r="F15" s="155">
        <v>1</v>
      </c>
      <c r="G15" s="155">
        <v>0</v>
      </c>
      <c r="H15" s="154">
        <v>0</v>
      </c>
      <c r="I15" s="154">
        <v>0</v>
      </c>
      <c r="J15" s="154">
        <v>1</v>
      </c>
      <c r="K15" s="155"/>
      <c r="R15" s="167"/>
      <c r="S15" s="184">
        <f t="shared" si="15"/>
        <v>13831.248434563007</v>
      </c>
      <c r="T15" s="184">
        <f t="shared" si="2"/>
        <v>1257.3862213239097</v>
      </c>
      <c r="U15" s="184">
        <f t="shared" si="2"/>
        <v>1257.3862213239097</v>
      </c>
      <c r="V15" s="184">
        <f t="shared" si="2"/>
        <v>0</v>
      </c>
      <c r="W15" s="184">
        <f t="shared" si="2"/>
        <v>0</v>
      </c>
      <c r="X15" s="184">
        <f t="shared" si="2"/>
        <v>0</v>
      </c>
      <c r="Y15" s="184">
        <f t="shared" si="2"/>
        <v>1257.3862213239097</v>
      </c>
      <c r="AA15" s="167">
        <f t="shared" si="16"/>
        <v>191303433.25860164</v>
      </c>
      <c r="AB15" s="167">
        <f t="shared" si="17"/>
        <v>1581020.1095752199</v>
      </c>
      <c r="AC15" s="167">
        <f t="shared" si="18"/>
        <v>1581020.1095752199</v>
      </c>
      <c r="AD15" s="167">
        <f t="shared" si="19"/>
        <v>0</v>
      </c>
      <c r="AE15" s="167">
        <f t="shared" si="20"/>
        <v>0</v>
      </c>
      <c r="AF15" s="167">
        <f t="shared" si="21"/>
        <v>0</v>
      </c>
      <c r="AG15" s="167">
        <f t="shared" si="22"/>
        <v>1581020.1095752199</v>
      </c>
      <c r="AI15" s="153">
        <v>118</v>
      </c>
      <c r="AJ15">
        <f t="shared" si="4"/>
        <v>10</v>
      </c>
      <c r="AK15" s="187">
        <f t="shared" si="23"/>
        <v>129009.96375694314</v>
      </c>
      <c r="AL15" s="187">
        <f t="shared" si="24"/>
        <v>38707.158251579502</v>
      </c>
      <c r="AM15" s="187">
        <f t="shared" si="25"/>
        <v>27419.576960848459</v>
      </c>
      <c r="AN15" s="187">
        <f t="shared" si="26"/>
        <v>8621.8326157818992</v>
      </c>
      <c r="AO15" s="187">
        <f t="shared" si="27"/>
        <v>10779.822934949225</v>
      </c>
      <c r="AP15" s="187">
        <f t="shared" si="28"/>
        <v>3401.3309871920878</v>
      </c>
      <c r="AQ15" s="187">
        <f t="shared" si="29"/>
        <v>13238.423038707144</v>
      </c>
      <c r="AS15" s="187">
        <f t="shared" si="30"/>
        <v>1835115304.9503534</v>
      </c>
      <c r="AT15" s="187">
        <f t="shared" si="31"/>
        <v>190375084.35662413</v>
      </c>
      <c r="AU15" s="187">
        <f t="shared" si="32"/>
        <v>105026149.76094788</v>
      </c>
      <c r="AV15" s="187">
        <f t="shared" si="33"/>
        <v>13133227.89842719</v>
      </c>
      <c r="AW15" s="187">
        <f t="shared" si="34"/>
        <v>26554525.029603317</v>
      </c>
      <c r="AX15" s="187">
        <f t="shared" si="35"/>
        <v>9117363.6264428813</v>
      </c>
      <c r="AY15" s="187">
        <f t="shared" si="36"/>
        <v>41008492.848964758</v>
      </c>
      <c r="BA15" s="167">
        <f t="shared" si="37"/>
        <v>13774.300953973636</v>
      </c>
      <c r="BB15" s="167">
        <f t="shared" si="38"/>
        <v>6712.3993363312502</v>
      </c>
      <c r="BC15" s="167">
        <f t="shared" si="39"/>
        <v>5758.3591113517286</v>
      </c>
      <c r="BD15" s="167">
        <f t="shared" si="40"/>
        <v>2516.5293854325855</v>
      </c>
      <c r="BE15" s="167">
        <f t="shared" si="41"/>
        <v>4073.5006483255193</v>
      </c>
      <c r="BF15" s="167">
        <f t="shared" si="42"/>
        <v>2974.0466965622545</v>
      </c>
      <c r="BG15" s="167">
        <f t="shared" si="43"/>
        <v>5108.0446784989772</v>
      </c>
      <c r="BJ15" s="201">
        <f t="shared" si="8"/>
        <v>-5.2423642151035177E-4</v>
      </c>
      <c r="BK15" s="201">
        <f t="shared" si="9"/>
        <v>-2.0652900018476708E-4</v>
      </c>
      <c r="BL15" s="243">
        <f t="shared" si="44"/>
        <v>-9.3521252017807568E-4</v>
      </c>
      <c r="BM15" s="243">
        <f t="shared" si="45"/>
        <v>-1.9160849367205561E-3</v>
      </c>
      <c r="BN15" s="243">
        <f t="shared" si="46"/>
        <v>-8.805837155992343E-5</v>
      </c>
      <c r="BO15" s="243">
        <f t="shared" si="47"/>
        <v>2.004958663572701E-3</v>
      </c>
      <c r="BR15" s="200">
        <f t="shared" si="48"/>
        <v>2.7482382563797921E-7</v>
      </c>
      <c r="BS15" s="201">
        <f t="shared" si="49"/>
        <v>4.2654227917319518E-8</v>
      </c>
      <c r="BT15" s="201">
        <f t="shared" si="50"/>
        <v>8.7462245789782761E-7</v>
      </c>
      <c r="BU15" s="201">
        <f t="shared" si="51"/>
        <v>3.6713814847274178E-6</v>
      </c>
      <c r="BV15" s="201">
        <f t="shared" si="52"/>
        <v>7.7542768017855323E-9</v>
      </c>
      <c r="BW15" s="201">
        <f t="shared" si="53"/>
        <v>4.0198592426352311E-6</v>
      </c>
      <c r="BY15">
        <f t="shared" si="54"/>
        <v>118</v>
      </c>
      <c r="BZ15">
        <f t="shared" si="55"/>
        <v>10</v>
      </c>
      <c r="CB15" s="200">
        <f t="shared" si="56"/>
        <v>4.3508653694073656E-3</v>
      </c>
      <c r="CC15" s="201">
        <f t="shared" si="57"/>
        <v>3.4481185941169154E-3</v>
      </c>
      <c r="CD15" s="201">
        <f t="shared" si="58"/>
        <v>1.5612674550178765E-3</v>
      </c>
      <c r="CE15" s="201">
        <f t="shared" si="59"/>
        <v>-1.4333162331500919E-2</v>
      </c>
      <c r="CF15" s="201">
        <f t="shared" si="60"/>
        <v>6.7411261862915291E-3</v>
      </c>
      <c r="CG15" s="201">
        <f t="shared" si="61"/>
        <v>7.6098164396060913E-3</v>
      </c>
      <c r="CJ15" s="201">
        <f t="shared" si="62"/>
        <v>4.4338962874671317E-6</v>
      </c>
      <c r="CK15" s="201">
        <f t="shared" si="63"/>
        <v>3.5014024782378697E-6</v>
      </c>
      <c r="CL15" s="201">
        <f t="shared" si="64"/>
        <v>1.5308344231512344E-5</v>
      </c>
      <c r="CM15" s="201">
        <f t="shared" si="65"/>
        <v>1.1736150163741596E-4</v>
      </c>
      <c r="CN15" s="201">
        <f t="shared" si="66"/>
        <v>5.4669169479320654E-5</v>
      </c>
      <c r="CO15" s="201">
        <f t="shared" si="67"/>
        <v>1.0604106796454751E-4</v>
      </c>
      <c r="CR15" s="243">
        <f t="shared" si="68"/>
        <v>1.6802424895090134E-3</v>
      </c>
      <c r="CS15" s="243">
        <f t="shared" si="13"/>
        <v>1.6029314445479043E-3</v>
      </c>
      <c r="CT15" s="243">
        <f t="shared" si="13"/>
        <v>4.0912628619348412E-3</v>
      </c>
      <c r="CU15" s="243">
        <f t="shared" si="13"/>
        <v>1.0371839405883836E-2</v>
      </c>
      <c r="CV15" s="243">
        <f t="shared" si="13"/>
        <v>7.4628629636926654E-3</v>
      </c>
      <c r="CW15" s="243">
        <f t="shared" si="13"/>
        <v>1.0554100695416796E-2</v>
      </c>
      <c r="CY15" s="225" t="s">
        <v>85</v>
      </c>
      <c r="CZ15" s="225" t="s">
        <v>84</v>
      </c>
    </row>
    <row r="16" spans="1:104" x14ac:dyDescent="0.25">
      <c r="A16" s="122">
        <v>2112</v>
      </c>
      <c r="B16" s="153">
        <v>211</v>
      </c>
      <c r="C16" s="184">
        <f>+'Sampling Weights'!R16</f>
        <v>2400.7712136072314</v>
      </c>
      <c r="D16" s="155">
        <f>+SUM('Sampling Weights'!I16:N16)</f>
        <v>13</v>
      </c>
      <c r="E16" s="155">
        <v>5</v>
      </c>
      <c r="F16" s="155">
        <v>3</v>
      </c>
      <c r="G16" s="155">
        <v>1</v>
      </c>
      <c r="H16" s="154">
        <v>3</v>
      </c>
      <c r="I16" s="154">
        <v>0</v>
      </c>
      <c r="J16" s="154">
        <v>0</v>
      </c>
      <c r="K16" s="155"/>
      <c r="L16" s="172" t="s">
        <v>344</v>
      </c>
      <c r="M16" s="202">
        <f>+M9/M8</f>
        <v>0.20156870804219756</v>
      </c>
      <c r="N16" s="202">
        <f>+SQRT(SUMPRODUCT(CR:CR,CR:CR))</f>
        <v>1.2909364404175307E-2</v>
      </c>
      <c r="O16" s="205"/>
      <c r="P16" s="202">
        <f>M16-2*N16</f>
        <v>0.17574997923384694</v>
      </c>
      <c r="Q16" s="202">
        <f>M16+2*N16</f>
        <v>0.22738743685054819</v>
      </c>
      <c r="R16" s="167"/>
      <c r="S16" s="184">
        <f t="shared" si="15"/>
        <v>31210.025776894006</v>
      </c>
      <c r="T16" s="184">
        <f t="shared" si="2"/>
        <v>12003.856068036157</v>
      </c>
      <c r="U16" s="184">
        <f t="shared" si="2"/>
        <v>7202.3136408216942</v>
      </c>
      <c r="V16" s="184">
        <f t="shared" si="2"/>
        <v>2400.7712136072314</v>
      </c>
      <c r="W16" s="184">
        <f t="shared" si="2"/>
        <v>7202.3136408216942</v>
      </c>
      <c r="X16" s="184">
        <f t="shared" si="2"/>
        <v>0</v>
      </c>
      <c r="Y16" s="184">
        <f t="shared" si="2"/>
        <v>0</v>
      </c>
      <c r="AA16" s="167">
        <f t="shared" si="16"/>
        <v>974065708.99438834</v>
      </c>
      <c r="AB16" s="167">
        <f t="shared" si="17"/>
        <v>144092560.50212848</v>
      </c>
      <c r="AC16" s="167">
        <f t="shared" si="18"/>
        <v>51873321.780766249</v>
      </c>
      <c r="AD16" s="167">
        <f t="shared" si="19"/>
        <v>5763702.4200851386</v>
      </c>
      <c r="AE16" s="167">
        <f t="shared" si="20"/>
        <v>51873321.780766249</v>
      </c>
      <c r="AF16" s="167">
        <f t="shared" si="21"/>
        <v>0</v>
      </c>
      <c r="AG16" s="167">
        <f t="shared" si="22"/>
        <v>0</v>
      </c>
      <c r="AI16" s="153">
        <v>119</v>
      </c>
      <c r="AJ16">
        <f t="shared" si="4"/>
        <v>8</v>
      </c>
      <c r="AK16" s="187">
        <f t="shared" si="23"/>
        <v>50444.951753070171</v>
      </c>
      <c r="AL16" s="187">
        <f t="shared" si="24"/>
        <v>9791.512425987572</v>
      </c>
      <c r="AM16" s="187">
        <f t="shared" si="25"/>
        <v>4931.1683182452261</v>
      </c>
      <c r="AN16" s="187">
        <f t="shared" si="26"/>
        <v>384.38664376520558</v>
      </c>
      <c r="AO16" s="187">
        <f t="shared" si="27"/>
        <v>2730.7841801124518</v>
      </c>
      <c r="AP16" s="187">
        <f t="shared" si="28"/>
        <v>1005.4961172767522</v>
      </c>
      <c r="AQ16" s="187">
        <f t="shared" si="29"/>
        <v>1194.8880208560231</v>
      </c>
      <c r="AS16" s="187">
        <f t="shared" si="30"/>
        <v>372909229.73658031</v>
      </c>
      <c r="AT16" s="187">
        <f t="shared" si="31"/>
        <v>16045948.57266942</v>
      </c>
      <c r="AU16" s="187">
        <f t="shared" si="32"/>
        <v>3883382.996946997</v>
      </c>
      <c r="AV16" s="187">
        <f t="shared" si="33"/>
        <v>147753.09190507905</v>
      </c>
      <c r="AW16" s="187">
        <f t="shared" si="34"/>
        <v>2023541.936403174</v>
      </c>
      <c r="AX16" s="187">
        <f t="shared" si="35"/>
        <v>529870.9834288999</v>
      </c>
      <c r="AY16" s="187">
        <f t="shared" si="36"/>
        <v>714104.36837804969</v>
      </c>
      <c r="BA16" s="167">
        <f t="shared" si="37"/>
        <v>7915.4521621867216</v>
      </c>
      <c r="BB16" s="167">
        <f t="shared" si="38"/>
        <v>2154.5259005533426</v>
      </c>
      <c r="BC16" s="167">
        <f t="shared" si="39"/>
        <v>982.02727578576832</v>
      </c>
      <c r="BD16" s="167">
        <f t="shared" si="40"/>
        <v>384.38664376520558</v>
      </c>
      <c r="BE16" s="167">
        <f t="shared" si="41"/>
        <v>1116.8292651758725</v>
      </c>
      <c r="BF16" s="167">
        <f t="shared" si="42"/>
        <v>679.06926067676056</v>
      </c>
      <c r="BG16" s="167">
        <f t="shared" si="43"/>
        <v>782.40266986098413</v>
      </c>
      <c r="BJ16" s="201">
        <f t="shared" si="8"/>
        <v>1.9567377360679371E-3</v>
      </c>
      <c r="BK16" s="201">
        <f t="shared" si="9"/>
        <v>1.0290511214496468E-3</v>
      </c>
      <c r="BL16" s="243">
        <f t="shared" si="44"/>
        <v>7.5659809204064999E-4</v>
      </c>
      <c r="BM16" s="243">
        <f t="shared" si="45"/>
        <v>7.3651555009142267E-3</v>
      </c>
      <c r="BN16" s="243">
        <f t="shared" si="46"/>
        <v>-5.0439872802709995E-4</v>
      </c>
      <c r="BO16" s="243">
        <f t="shared" si="47"/>
        <v>-6.8560864142942855E-3</v>
      </c>
      <c r="BR16" s="200">
        <f t="shared" si="48"/>
        <v>3.8288225677522761E-6</v>
      </c>
      <c r="BS16" s="201">
        <f t="shared" si="49"/>
        <v>1.0589462105567758E-6</v>
      </c>
      <c r="BT16" s="201">
        <f t="shared" si="50"/>
        <v>5.7244067287955188E-7</v>
      </c>
      <c r="BU16" s="201">
        <f t="shared" si="51"/>
        <v>5.4245515552647096E-5</v>
      </c>
      <c r="BV16" s="201">
        <f t="shared" si="52"/>
        <v>2.5441807683535637E-7</v>
      </c>
      <c r="BW16" s="201">
        <f t="shared" si="53"/>
        <v>4.7005920920270673E-5</v>
      </c>
      <c r="BY16">
        <f t="shared" si="54"/>
        <v>119</v>
      </c>
      <c r="BZ16">
        <f t="shared" si="55"/>
        <v>8</v>
      </c>
      <c r="CB16" s="200">
        <f t="shared" si="56"/>
        <v>-1.289941519830705E-4</v>
      </c>
      <c r="CC16" s="201">
        <f t="shared" si="57"/>
        <v>-6.3498976895099899E-4</v>
      </c>
      <c r="CD16" s="201">
        <f t="shared" si="58"/>
        <v>-2.6888497813394117E-3</v>
      </c>
      <c r="CE16" s="201">
        <f t="shared" si="59"/>
        <v>-5.6055873820906512E-4</v>
      </c>
      <c r="CF16" s="201">
        <f t="shared" si="60"/>
        <v>2.2151249572428689E-3</v>
      </c>
      <c r="CG16" s="201">
        <f t="shared" si="61"/>
        <v>-1.6513685903999523E-3</v>
      </c>
      <c r="CJ16" s="201">
        <f t="shared" si="62"/>
        <v>3.4196646496071522E-7</v>
      </c>
      <c r="CK16" s="201">
        <f t="shared" si="63"/>
        <v>1.8495688469923463E-7</v>
      </c>
      <c r="CL16" s="201">
        <f t="shared" si="64"/>
        <v>1.9870220648746981E-6</v>
      </c>
      <c r="CM16" s="201">
        <f t="shared" si="65"/>
        <v>4.0450749027279404E-6</v>
      </c>
      <c r="CN16" s="201">
        <f t="shared" si="66"/>
        <v>3.1561857509595102E-6</v>
      </c>
      <c r="CO16" s="201">
        <f t="shared" si="67"/>
        <v>4.6875600272020891E-6</v>
      </c>
      <c r="CR16" s="243">
        <f t="shared" si="68"/>
        <v>6.2325095019581341E-4</v>
      </c>
      <c r="CS16" s="243">
        <f t="shared" si="13"/>
        <v>3.9214484767774888E-4</v>
      </c>
      <c r="CT16" s="243">
        <f t="shared" si="13"/>
        <v>1.1126713911245047E-3</v>
      </c>
      <c r="CU16" s="243">
        <f t="shared" si="13"/>
        <v>2.1396385917399692E-3</v>
      </c>
      <c r="CV16" s="243">
        <f t="shared" si="13"/>
        <v>1.7047290288017649E-3</v>
      </c>
      <c r="CW16" s="243">
        <f t="shared" si="13"/>
        <v>2.2288197387937726E-3</v>
      </c>
      <c r="CY16" s="227">
        <f t="array" ref="CY16:CZ20">+LINEST(CY8:CY14,CZ8:CZ14,,TRUE)</f>
        <v>1450.3558282119343</v>
      </c>
      <c r="CZ16" s="223">
        <v>3.3759111424552964E-3</v>
      </c>
    </row>
    <row r="17" spans="1:104" x14ac:dyDescent="0.25">
      <c r="A17" s="122">
        <v>2113</v>
      </c>
      <c r="B17" s="153">
        <v>211</v>
      </c>
      <c r="C17" s="184">
        <f>+'Sampling Weights'!R17</f>
        <v>2664.6846553474311</v>
      </c>
      <c r="D17" s="155">
        <f>+SUM('Sampling Weights'!I17:N17)</f>
        <v>13</v>
      </c>
      <c r="E17" s="155">
        <v>4</v>
      </c>
      <c r="F17" s="155">
        <v>3</v>
      </c>
      <c r="G17" s="155">
        <v>2</v>
      </c>
      <c r="H17" s="154">
        <v>1</v>
      </c>
      <c r="I17" s="154">
        <v>0</v>
      </c>
      <c r="J17" s="154">
        <v>2</v>
      </c>
      <c r="K17" s="155"/>
      <c r="L17" s="172" t="s">
        <v>287</v>
      </c>
      <c r="M17" s="202">
        <f>+M10/M8</f>
        <v>0.13450472667488697</v>
      </c>
      <c r="N17" s="202">
        <f>+SQRT(SUMPRODUCT(CS:CS,CS:CS))</f>
        <v>8.7056261614079714E-3</v>
      </c>
      <c r="O17" s="205"/>
      <c r="P17" s="202">
        <f>M17-2*N17</f>
        <v>0.11709347435207103</v>
      </c>
      <c r="Q17" s="202">
        <f>M17+2*N17</f>
        <v>0.15191597899770293</v>
      </c>
      <c r="R17" s="167"/>
      <c r="S17" s="184">
        <f t="shared" si="15"/>
        <v>34640.900519516603</v>
      </c>
      <c r="T17" s="184">
        <f t="shared" si="2"/>
        <v>10658.738621389724</v>
      </c>
      <c r="U17" s="184">
        <f t="shared" si="2"/>
        <v>7994.0539660422928</v>
      </c>
      <c r="V17" s="184">
        <f t="shared" si="2"/>
        <v>5329.3693106948622</v>
      </c>
      <c r="W17" s="184">
        <f t="shared" si="2"/>
        <v>2664.6846553474311</v>
      </c>
      <c r="X17" s="184">
        <f t="shared" si="2"/>
        <v>0</v>
      </c>
      <c r="Y17" s="184">
        <f t="shared" si="2"/>
        <v>5329.3693106948622</v>
      </c>
      <c r="AA17" s="167">
        <f t="shared" si="16"/>
        <v>1199991988.8030457</v>
      </c>
      <c r="AB17" s="167">
        <f t="shared" si="17"/>
        <v>113608708.99910492</v>
      </c>
      <c r="AC17" s="167">
        <f t="shared" si="18"/>
        <v>63904898.811996512</v>
      </c>
      <c r="AD17" s="167">
        <f t="shared" si="19"/>
        <v>28402177.249776229</v>
      </c>
      <c r="AE17" s="167">
        <f t="shared" si="20"/>
        <v>7100544.3124440573</v>
      </c>
      <c r="AF17" s="167">
        <f t="shared" si="21"/>
        <v>0</v>
      </c>
      <c r="AG17" s="167">
        <f t="shared" si="22"/>
        <v>28402177.249776229</v>
      </c>
      <c r="AI17" s="153">
        <v>120</v>
      </c>
      <c r="AJ17">
        <f t="shared" si="4"/>
        <v>5</v>
      </c>
      <c r="AK17" s="187">
        <f t="shared" si="23"/>
        <v>34283.033783975181</v>
      </c>
      <c r="AL17" s="187">
        <f t="shared" si="24"/>
        <v>5125.1590896421812</v>
      </c>
      <c r="AM17" s="187">
        <f t="shared" si="25"/>
        <v>3386.2426038517069</v>
      </c>
      <c r="AN17" s="187">
        <f t="shared" si="26"/>
        <v>132.32071077179958</v>
      </c>
      <c r="AO17" s="187">
        <f t="shared" si="27"/>
        <v>1306.4808044702286</v>
      </c>
      <c r="AP17" s="187">
        <f t="shared" si="28"/>
        <v>0</v>
      </c>
      <c r="AQ17" s="187">
        <f t="shared" si="29"/>
        <v>2079.7617993814783</v>
      </c>
      <c r="AS17" s="187">
        <f t="shared" si="30"/>
        <v>303284988.34359294</v>
      </c>
      <c r="AT17" s="187">
        <f t="shared" si="31"/>
        <v>7750923.8190496853</v>
      </c>
      <c r="AU17" s="187">
        <f t="shared" si="32"/>
        <v>4107417.9200294246</v>
      </c>
      <c r="AV17" s="187">
        <f t="shared" si="33"/>
        <v>17508.770499154238</v>
      </c>
      <c r="AW17" s="187">
        <f t="shared" si="34"/>
        <v>902260.99542238214</v>
      </c>
      <c r="AX17" s="187">
        <f t="shared" si="35"/>
        <v>0</v>
      </c>
      <c r="AY17" s="187">
        <f t="shared" si="36"/>
        <v>1365617.3927639695</v>
      </c>
      <c r="BA17" s="167">
        <f t="shared" si="37"/>
        <v>9234.4265697007577</v>
      </c>
      <c r="BB17" s="167">
        <f t="shared" si="38"/>
        <v>1766.8731845485222</v>
      </c>
      <c r="BC17" s="167">
        <f t="shared" si="39"/>
        <v>1505.8594413163812</v>
      </c>
      <c r="BD17" s="167">
        <f t="shared" si="40"/>
        <v>132.32071077179958</v>
      </c>
      <c r="BE17" s="167">
        <f t="shared" si="41"/>
        <v>837.31906771892136</v>
      </c>
      <c r="BF17" s="167">
        <f t="shared" si="42"/>
        <v>0</v>
      </c>
      <c r="BG17" s="167">
        <f t="shared" si="43"/>
        <v>790.99270250321592</v>
      </c>
      <c r="BJ17" s="201">
        <f t="shared" si="8"/>
        <v>1.2591509310359201E-3</v>
      </c>
      <c r="BK17" s="201">
        <f t="shared" si="9"/>
        <v>1.1421732805496512E-3</v>
      </c>
      <c r="BL17" s="243">
        <f t="shared" si="44"/>
        <v>7.6253177557188577E-3</v>
      </c>
      <c r="BM17" s="243">
        <f t="shared" si="45"/>
        <v>-5.3962989692068874E-3</v>
      </c>
      <c r="BN17" s="243">
        <f t="shared" si="46"/>
        <v>-5.5984657893789027E-4</v>
      </c>
      <c r="BO17" s="243">
        <f t="shared" si="47"/>
        <v>5.9613293127645725E-3</v>
      </c>
      <c r="BR17" s="200">
        <f t="shared" si="48"/>
        <v>1.5854610671286245E-6</v>
      </c>
      <c r="BS17" s="201">
        <f t="shared" si="49"/>
        <v>1.3045598028015524E-6</v>
      </c>
      <c r="BT17" s="201">
        <f t="shared" si="50"/>
        <v>5.8145470875681274E-5</v>
      </c>
      <c r="BU17" s="201">
        <f t="shared" si="51"/>
        <v>2.9120042565063317E-5</v>
      </c>
      <c r="BV17" s="201">
        <f t="shared" si="52"/>
        <v>3.134281919484594E-7</v>
      </c>
      <c r="BW17" s="201">
        <f t="shared" si="53"/>
        <v>3.5537447175226131E-5</v>
      </c>
      <c r="BY17">
        <f t="shared" si="54"/>
        <v>120</v>
      </c>
      <c r="BZ17">
        <f t="shared" si="55"/>
        <v>5</v>
      </c>
      <c r="CB17" s="200">
        <f t="shared" si="56"/>
        <v>-6.1146312438714471E-4</v>
      </c>
      <c r="CC17" s="201">
        <f t="shared" si="57"/>
        <v>-4.1957373778866655E-4</v>
      </c>
      <c r="CD17" s="201">
        <f t="shared" si="58"/>
        <v>-2.1816516821715243E-3</v>
      </c>
      <c r="CE17" s="201">
        <f t="shared" si="59"/>
        <v>-1.8332531521096033E-3</v>
      </c>
      <c r="CF17" s="201">
        <f t="shared" si="60"/>
        <v>-2.3714830363581786E-4</v>
      </c>
      <c r="CG17" s="201">
        <f t="shared" si="61"/>
        <v>2.0725972733716784E-3</v>
      </c>
      <c r="CJ17" s="201">
        <f t="shared" si="62"/>
        <v>7.6958028894327122E-7</v>
      </c>
      <c r="CK17" s="201">
        <f t="shared" si="63"/>
        <v>4.3076007720789237E-7</v>
      </c>
      <c r="CL17" s="201">
        <f t="shared" si="64"/>
        <v>2.1867951962871534E-6</v>
      </c>
      <c r="CM17" s="201">
        <f t="shared" si="65"/>
        <v>1.2481171296921068E-6</v>
      </c>
      <c r="CN17" s="201">
        <f t="shared" si="66"/>
        <v>2.0145256407320239E-8</v>
      </c>
      <c r="CO17" s="201">
        <f t="shared" si="67"/>
        <v>1.4975586911595029E-6</v>
      </c>
      <c r="CR17" s="243">
        <f t="shared" si="68"/>
        <v>9.3193539103189279E-4</v>
      </c>
      <c r="CS17" s="243">
        <f t="shared" si="13"/>
        <v>7.031639681819435E-4</v>
      </c>
      <c r="CT17" s="243">
        <f t="shared" si="13"/>
        <v>1.2424141740090063E-3</v>
      </c>
      <c r="CU17" s="243">
        <f t="shared" si="13"/>
        <v>8.4849403780178946E-4</v>
      </c>
      <c r="CV17" s="243">
        <f t="shared" si="13"/>
        <v>1.0545966541675439E-4</v>
      </c>
      <c r="CW17" s="243">
        <f t="shared" si="13"/>
        <v>8.9332720743994453E-4</v>
      </c>
      <c r="CY17" s="227">
        <v>36.626453476275145</v>
      </c>
      <c r="CZ17" s="223">
        <v>1.2929707847001857E-3</v>
      </c>
    </row>
    <row r="18" spans="1:104" x14ac:dyDescent="0.25">
      <c r="A18" s="122">
        <v>2114</v>
      </c>
      <c r="B18" s="153">
        <v>211</v>
      </c>
      <c r="C18" s="184">
        <f>+'Sampling Weights'!R18</f>
        <v>2310.6706822551805</v>
      </c>
      <c r="D18" s="155">
        <f>+SUM('Sampling Weights'!I18:N18)</f>
        <v>17</v>
      </c>
      <c r="E18" s="155">
        <v>6</v>
      </c>
      <c r="F18" s="155">
        <v>4</v>
      </c>
      <c r="G18" s="155">
        <v>3</v>
      </c>
      <c r="H18" s="154">
        <v>4</v>
      </c>
      <c r="I18" s="154">
        <v>0</v>
      </c>
      <c r="J18" s="154">
        <v>0</v>
      </c>
      <c r="K18" s="155"/>
      <c r="L18" s="172" t="s">
        <v>444</v>
      </c>
      <c r="M18" s="202">
        <f>+M11/M$10</f>
        <v>0.59842118665648081</v>
      </c>
      <c r="N18" s="202">
        <f>+SQRT(SUMPRODUCT(CU:CU,CU:CU))</f>
        <v>3.8291902542032755E-2</v>
      </c>
      <c r="O18" s="205"/>
      <c r="P18" s="202">
        <f t="shared" ref="P18:P20" si="71">M18-2*N18</f>
        <v>0.52183738157241533</v>
      </c>
      <c r="Q18" s="202">
        <f t="shared" ref="Q18:Q20" si="72">M18+2*N18</f>
        <v>0.67500499174054629</v>
      </c>
      <c r="R18" s="167"/>
      <c r="S18" s="184">
        <f t="shared" si="15"/>
        <v>39281.401598338067</v>
      </c>
      <c r="T18" s="184">
        <f t="shared" si="2"/>
        <v>13864.024093531083</v>
      </c>
      <c r="U18" s="184">
        <f t="shared" si="2"/>
        <v>9242.682729020722</v>
      </c>
      <c r="V18" s="184">
        <f t="shared" si="2"/>
        <v>6932.0120467655415</v>
      </c>
      <c r="W18" s="184">
        <f t="shared" si="2"/>
        <v>9242.682729020722</v>
      </c>
      <c r="X18" s="184">
        <f t="shared" si="2"/>
        <v>0</v>
      </c>
      <c r="Y18" s="184">
        <f t="shared" si="2"/>
        <v>0</v>
      </c>
      <c r="AA18" s="167">
        <f t="shared" si="16"/>
        <v>1543028511.5299165</v>
      </c>
      <c r="AB18" s="167">
        <f t="shared" si="17"/>
        <v>192211164.06601036</v>
      </c>
      <c r="AC18" s="167">
        <f t="shared" si="18"/>
        <v>85427184.029337943</v>
      </c>
      <c r="AD18" s="167">
        <f t="shared" si="19"/>
        <v>48052791.016502589</v>
      </c>
      <c r="AE18" s="167">
        <f t="shared" si="20"/>
        <v>85427184.029337943</v>
      </c>
      <c r="AF18" s="167">
        <f t="shared" si="21"/>
        <v>0</v>
      </c>
      <c r="AG18" s="167">
        <f t="shared" si="22"/>
        <v>0</v>
      </c>
      <c r="AI18" s="153">
        <v>121</v>
      </c>
      <c r="AJ18">
        <f t="shared" si="4"/>
        <v>3</v>
      </c>
      <c r="AK18" s="187">
        <f t="shared" si="23"/>
        <v>7348.92173675509</v>
      </c>
      <c r="AL18" s="187">
        <f t="shared" si="24"/>
        <v>1174.5191077064269</v>
      </c>
      <c r="AM18" s="187">
        <f t="shared" si="25"/>
        <v>559.15249408425916</v>
      </c>
      <c r="AN18" s="187">
        <f t="shared" si="26"/>
        <v>0</v>
      </c>
      <c r="AO18" s="187">
        <f t="shared" si="27"/>
        <v>0</v>
      </c>
      <c r="AP18" s="187">
        <f t="shared" si="28"/>
        <v>0</v>
      </c>
      <c r="AQ18" s="187">
        <f t="shared" si="29"/>
        <v>559.15249408425916</v>
      </c>
      <c r="AS18" s="187">
        <f t="shared" si="30"/>
        <v>19354033.459138315</v>
      </c>
      <c r="AT18" s="187">
        <f t="shared" si="31"/>
        <v>741243.78877426998</v>
      </c>
      <c r="AU18" s="187">
        <f t="shared" si="32"/>
        <v>110117.00683957983</v>
      </c>
      <c r="AV18" s="187">
        <f t="shared" si="33"/>
        <v>0</v>
      </c>
      <c r="AW18" s="187">
        <f t="shared" si="34"/>
        <v>0</v>
      </c>
      <c r="AX18" s="187">
        <f t="shared" si="35"/>
        <v>0</v>
      </c>
      <c r="AY18" s="187">
        <f t="shared" si="36"/>
        <v>110117.00683957983</v>
      </c>
      <c r="BA18" s="167">
        <f t="shared" si="37"/>
        <v>1423.9820371871799</v>
      </c>
      <c r="BB18" s="167">
        <f t="shared" si="38"/>
        <v>649.70617665037958</v>
      </c>
      <c r="BC18" s="167">
        <f t="shared" si="39"/>
        <v>94.073133460334958</v>
      </c>
      <c r="BD18" s="167">
        <f t="shared" si="40"/>
        <v>0</v>
      </c>
      <c r="BE18" s="167">
        <f t="shared" si="41"/>
        <v>0</v>
      </c>
      <c r="BF18" s="167">
        <f t="shared" si="42"/>
        <v>0</v>
      </c>
      <c r="BG18" s="167">
        <f t="shared" si="43"/>
        <v>94.073133460334958</v>
      </c>
      <c r="BJ18" s="201">
        <f t="shared" si="8"/>
        <v>2.0366223877474189E-3</v>
      </c>
      <c r="BK18" s="201">
        <f t="shared" si="9"/>
        <v>1.3560585503595672E-3</v>
      </c>
      <c r="BL18" s="243">
        <f t="shared" si="44"/>
        <v>1.0777705486642241E-2</v>
      </c>
      <c r="BM18" s="243">
        <f t="shared" si="45"/>
        <v>9.451656639752436E-3</v>
      </c>
      <c r="BN18" s="243">
        <f t="shared" si="46"/>
        <v>-6.4729164051570258E-4</v>
      </c>
      <c r="BO18" s="243">
        <f t="shared" si="47"/>
        <v>-8.7983715581208474E-3</v>
      </c>
      <c r="BR18" s="200">
        <f t="shared" si="48"/>
        <v>4.1478307502739977E-6</v>
      </c>
      <c r="BS18" s="201">
        <f t="shared" si="49"/>
        <v>1.838894792003291E-6</v>
      </c>
      <c r="BT18" s="201">
        <f t="shared" si="50"/>
        <v>1.1615893555679826E-4</v>
      </c>
      <c r="BU18" s="201">
        <f t="shared" si="51"/>
        <v>8.9333813235776307E-5</v>
      </c>
      <c r="BV18" s="201">
        <f t="shared" si="52"/>
        <v>4.1898646788150953E-7</v>
      </c>
      <c r="BW18" s="201">
        <f t="shared" si="53"/>
        <v>7.7411342074749868E-5</v>
      </c>
      <c r="BY18">
        <f t="shared" si="54"/>
        <v>121</v>
      </c>
      <c r="BZ18">
        <f t="shared" si="55"/>
        <v>3</v>
      </c>
      <c r="CB18" s="200">
        <f t="shared" si="56"/>
        <v>-1.0508067963916955E-4</v>
      </c>
      <c r="CC18" s="201">
        <f t="shared" si="57"/>
        <v>-1.4704487445989857E-4</v>
      </c>
      <c r="CD18" s="201">
        <f t="shared" si="58"/>
        <v>-4.158836833807549E-4</v>
      </c>
      <c r="CE18" s="201">
        <f t="shared" si="59"/>
        <v>-8.5207206272430161E-4</v>
      </c>
      <c r="CF18" s="201">
        <f t="shared" si="60"/>
        <v>-3.915905649967003E-5</v>
      </c>
      <c r="CG18" s="201">
        <f t="shared" si="61"/>
        <v>8.9159370308044997E-4</v>
      </c>
      <c r="CJ18" s="201">
        <f t="shared" si="62"/>
        <v>2.6682869308336135E-8</v>
      </c>
      <c r="CK18" s="201">
        <f t="shared" si="63"/>
        <v>7.9850631359698417E-9</v>
      </c>
      <c r="CL18" s="201">
        <f t="shared" si="64"/>
        <v>6.0916876765256021E-8</v>
      </c>
      <c r="CM18" s="201">
        <f t="shared" si="65"/>
        <v>2.55709296558572E-7</v>
      </c>
      <c r="CN18" s="201">
        <f t="shared" si="66"/>
        <v>5.4008025985680106E-10</v>
      </c>
      <c r="CO18" s="201">
        <f t="shared" si="67"/>
        <v>2.7998054233120545E-7</v>
      </c>
      <c r="CR18" s="243">
        <f t="shared" si="68"/>
        <v>1.8575071829144918E-4</v>
      </c>
      <c r="CS18" s="243">
        <f t="shared" si="13"/>
        <v>3.4154021014971242E-5</v>
      </c>
      <c r="CT18" s="243">
        <f t="shared" si="13"/>
        <v>6.9969251080113982E-5</v>
      </c>
      <c r="CU18" s="243">
        <f t="shared" si="13"/>
        <v>1.4335461206474993E-4</v>
      </c>
      <c r="CV18" s="243">
        <f t="shared" si="13"/>
        <v>6.5882119587204213E-6</v>
      </c>
      <c r="CW18" s="243">
        <f t="shared" si="13"/>
        <v>1.5000382598605078E-4</v>
      </c>
      <c r="CY18" s="223">
        <v>0.99682145774113873</v>
      </c>
      <c r="CZ18" s="223">
        <v>3.0133904548210236E-3</v>
      </c>
    </row>
    <row r="19" spans="1:104" x14ac:dyDescent="0.25">
      <c r="A19" s="122">
        <v>2115</v>
      </c>
      <c r="B19" s="153">
        <v>211</v>
      </c>
      <c r="C19" s="184">
        <f>+'Sampling Weights'!R19</f>
        <v>825.53595899555637</v>
      </c>
      <c r="D19" s="155">
        <f>+SUM('Sampling Weights'!I19:N19)</f>
        <v>12</v>
      </c>
      <c r="E19" s="155">
        <v>1</v>
      </c>
      <c r="F19" s="155">
        <v>1</v>
      </c>
      <c r="G19" s="155">
        <v>0</v>
      </c>
      <c r="H19" s="154">
        <v>1</v>
      </c>
      <c r="I19" s="154">
        <v>0</v>
      </c>
      <c r="J19" s="154">
        <v>0</v>
      </c>
      <c r="K19" s="155"/>
      <c r="L19" s="172" t="s">
        <v>456</v>
      </c>
      <c r="M19" s="202">
        <f>+M12/M$10</f>
        <v>2.7501909854851032E-2</v>
      </c>
      <c r="N19" s="202">
        <f>+SQRT(SUMPRODUCT(CV:CV,CV:CV))</f>
        <v>1.0455996156248839E-2</v>
      </c>
      <c r="O19" s="205"/>
      <c r="P19" s="202">
        <f t="shared" si="71"/>
        <v>6.5899175423533539E-3</v>
      </c>
      <c r="Q19" s="202">
        <f t="shared" si="72"/>
        <v>4.8413902167348713E-2</v>
      </c>
      <c r="R19" s="167"/>
      <c r="S19" s="184">
        <f t="shared" si="15"/>
        <v>9906.431507946676</v>
      </c>
      <c r="T19" s="184">
        <f t="shared" si="2"/>
        <v>825.53595899555637</v>
      </c>
      <c r="U19" s="184">
        <f t="shared" si="2"/>
        <v>825.53595899555637</v>
      </c>
      <c r="V19" s="184">
        <f t="shared" si="2"/>
        <v>0</v>
      </c>
      <c r="W19" s="184">
        <f t="shared" si="2"/>
        <v>825.53595899555637</v>
      </c>
      <c r="X19" s="184">
        <f t="shared" si="2"/>
        <v>0</v>
      </c>
      <c r="Y19" s="184">
        <f t="shared" si="2"/>
        <v>0</v>
      </c>
      <c r="AA19" s="167">
        <f t="shared" si="16"/>
        <v>98137385.22163865</v>
      </c>
      <c r="AB19" s="167">
        <f t="shared" si="17"/>
        <v>681509.61959471297</v>
      </c>
      <c r="AC19" s="167">
        <f t="shared" si="18"/>
        <v>681509.61959471297</v>
      </c>
      <c r="AD19" s="167">
        <f t="shared" si="19"/>
        <v>0</v>
      </c>
      <c r="AE19" s="167">
        <f t="shared" si="20"/>
        <v>681509.61959471297</v>
      </c>
      <c r="AF19" s="167">
        <f t="shared" si="21"/>
        <v>0</v>
      </c>
      <c r="AG19" s="167">
        <f t="shared" si="22"/>
        <v>0</v>
      </c>
      <c r="AI19" s="153">
        <v>122</v>
      </c>
      <c r="AJ19">
        <f t="shared" si="4"/>
        <v>4</v>
      </c>
      <c r="AK19" s="187">
        <f t="shared" si="23"/>
        <v>14713.931148610671</v>
      </c>
      <c r="AL19" s="187">
        <f t="shared" si="24"/>
        <v>4671.8563168649807</v>
      </c>
      <c r="AM19" s="187">
        <f t="shared" si="25"/>
        <v>3414.7646573032071</v>
      </c>
      <c r="AN19" s="187">
        <f t="shared" si="26"/>
        <v>1484.7588555999232</v>
      </c>
      <c r="AO19" s="187">
        <f t="shared" si="27"/>
        <v>1556.425361879066</v>
      </c>
      <c r="AP19" s="187">
        <f t="shared" si="28"/>
        <v>0</v>
      </c>
      <c r="AQ19" s="187">
        <f t="shared" si="29"/>
        <v>1858.3392954241415</v>
      </c>
      <c r="AS19" s="187">
        <f t="shared" si="30"/>
        <v>61586149.560040981</v>
      </c>
      <c r="AT19" s="187">
        <f t="shared" si="31"/>
        <v>8133202.0945637729</v>
      </c>
      <c r="AU19" s="187">
        <f t="shared" si="32"/>
        <v>4271555.3334462829</v>
      </c>
      <c r="AV19" s="187">
        <f t="shared" si="33"/>
        <v>1818152.434497193</v>
      </c>
      <c r="AW19" s="187">
        <f t="shared" si="34"/>
        <v>1020674.3972489063</v>
      </c>
      <c r="AX19" s="187">
        <f t="shared" si="35"/>
        <v>0</v>
      </c>
      <c r="AY19" s="187">
        <f t="shared" si="36"/>
        <v>1269224.7566658282</v>
      </c>
      <c r="BA19" s="167">
        <f t="shared" si="37"/>
        <v>3154.088795733172</v>
      </c>
      <c r="BB19" s="167">
        <f t="shared" si="38"/>
        <v>1889.1415098596035</v>
      </c>
      <c r="BC19" s="167">
        <f t="shared" si="39"/>
        <v>1344.8176665776471</v>
      </c>
      <c r="BD19" s="167">
        <f t="shared" si="40"/>
        <v>1299.7565001063826</v>
      </c>
      <c r="BE19" s="167">
        <f t="shared" si="41"/>
        <v>743.91703880993873</v>
      </c>
      <c r="BF19" s="167">
        <f t="shared" si="42"/>
        <v>0</v>
      </c>
      <c r="BG19" s="167">
        <f t="shared" si="43"/>
        <v>735.63444040859906</v>
      </c>
      <c r="BJ19" s="201">
        <f t="shared" si="8"/>
        <v>-4.0118188839901843E-4</v>
      </c>
      <c r="BK19" s="201">
        <f t="shared" si="9"/>
        <v>-1.7362854613792972E-4</v>
      </c>
      <c r="BL19" s="243">
        <f t="shared" si="44"/>
        <v>-6.1401306266658552E-4</v>
      </c>
      <c r="BM19" s="243">
        <f t="shared" si="45"/>
        <v>8.4420104605510487E-4</v>
      </c>
      <c r="BN19" s="243">
        <f t="shared" si="46"/>
        <v>-5.7814656292930455E-5</v>
      </c>
      <c r="BO19" s="243">
        <f t="shared" si="47"/>
        <v>-7.8585106887057326E-4</v>
      </c>
      <c r="BR19" s="200">
        <f t="shared" si="48"/>
        <v>1.6094690757940248E-7</v>
      </c>
      <c r="BS19" s="201">
        <f t="shared" si="49"/>
        <v>3.0146872033971187E-8</v>
      </c>
      <c r="BT19" s="201">
        <f t="shared" si="50"/>
        <v>3.7701204112520026E-7</v>
      </c>
      <c r="BU19" s="201">
        <f t="shared" si="51"/>
        <v>7.126754061605333E-7</v>
      </c>
      <c r="BV19" s="201">
        <f t="shared" si="52"/>
        <v>3.3425344822696828E-9</v>
      </c>
      <c r="BW19" s="201">
        <f t="shared" si="53"/>
        <v>6.1756190244502253E-7</v>
      </c>
      <c r="BY19">
        <f t="shared" si="54"/>
        <v>122</v>
      </c>
      <c r="BZ19">
        <f t="shared" si="55"/>
        <v>4</v>
      </c>
      <c r="CB19" s="200">
        <f t="shared" si="56"/>
        <v>5.8432258700427447E-4</v>
      </c>
      <c r="CC19" s="201">
        <f t="shared" si="57"/>
        <v>4.9173563839095206E-4</v>
      </c>
      <c r="CD19" s="201">
        <f t="shared" si="58"/>
        <v>1.2410817277902046E-3</v>
      </c>
      <c r="CE19" s="201">
        <f t="shared" si="59"/>
        <v>-1.2402397669898913E-3</v>
      </c>
      <c r="CF19" s="201">
        <f t="shared" si="60"/>
        <v>-2.3914578502847995E-4</v>
      </c>
      <c r="CG19" s="201">
        <f t="shared" si="61"/>
        <v>1.4815998648427088E-3</v>
      </c>
      <c r="CJ19" s="201">
        <f t="shared" si="62"/>
        <v>2.5347782076758094E-7</v>
      </c>
      <c r="CK19" s="201">
        <f t="shared" si="63"/>
        <v>1.5869828317585339E-7</v>
      </c>
      <c r="CL19" s="201">
        <f t="shared" si="64"/>
        <v>5.4062863981678593E-6</v>
      </c>
      <c r="CM19" s="201">
        <f t="shared" si="65"/>
        <v>9.2664366369128343E-7</v>
      </c>
      <c r="CN19" s="201">
        <f t="shared" si="66"/>
        <v>2.0950285343672852E-8</v>
      </c>
      <c r="CO19" s="201">
        <f t="shared" si="67"/>
        <v>1.1440579714576653E-6</v>
      </c>
      <c r="CR19" s="243">
        <f t="shared" si="68"/>
        <v>4.7345481917037443E-4</v>
      </c>
      <c r="CS19" s="243">
        <f t="shared" si="13"/>
        <v>3.6193424570385544E-4</v>
      </c>
      <c r="CT19" s="243">
        <f t="shared" si="13"/>
        <v>2.5874609006782895E-3</v>
      </c>
      <c r="CU19" s="243">
        <f t="shared" si="13"/>
        <v>8.5017252663640653E-4</v>
      </c>
      <c r="CV19" s="243">
        <f t="shared" si="13"/>
        <v>9.4181447001348518E-5</v>
      </c>
      <c r="CW19" s="243">
        <f t="shared" si="13"/>
        <v>8.9089724928088237E-4</v>
      </c>
      <c r="CY19" s="246">
        <v>1568.0481437082485</v>
      </c>
      <c r="CZ19" s="228">
        <v>5</v>
      </c>
    </row>
    <row r="20" spans="1:104" x14ac:dyDescent="0.25">
      <c r="A20" s="122">
        <v>2116</v>
      </c>
      <c r="B20" s="153">
        <v>211</v>
      </c>
      <c r="C20" s="184">
        <f>+'Sampling Weights'!R20</f>
        <v>2579.8588564569282</v>
      </c>
      <c r="D20" s="155">
        <f>+SUM('Sampling Weights'!I20:N20)</f>
        <v>10</v>
      </c>
      <c r="E20" s="155">
        <v>4</v>
      </c>
      <c r="F20" s="155">
        <v>4</v>
      </c>
      <c r="G20" s="155">
        <v>2</v>
      </c>
      <c r="H20" s="154">
        <v>3</v>
      </c>
      <c r="I20" s="154">
        <v>0</v>
      </c>
      <c r="J20" s="154">
        <v>1</v>
      </c>
      <c r="K20" s="155"/>
      <c r="L20" s="172" t="s">
        <v>457</v>
      </c>
      <c r="M20" s="202">
        <f>+M13/M$10</f>
        <v>0.37382225617519738</v>
      </c>
      <c r="N20" s="202">
        <f>+SQRT(SUMPRODUCT(CW:CW,CW:CW))</f>
        <v>3.8078771832684641E-2</v>
      </c>
      <c r="O20" s="205"/>
      <c r="P20" s="202">
        <f t="shared" si="71"/>
        <v>0.29766471250982807</v>
      </c>
      <c r="Q20" s="202">
        <f t="shared" si="72"/>
        <v>0.44997979984056669</v>
      </c>
      <c r="R20" s="167"/>
      <c r="S20" s="184">
        <f t="shared" si="15"/>
        <v>25798.588564569283</v>
      </c>
      <c r="T20" s="184">
        <f t="shared" si="2"/>
        <v>10319.435425827713</v>
      </c>
      <c r="U20" s="184">
        <f t="shared" si="2"/>
        <v>10319.435425827713</v>
      </c>
      <c r="V20" s="184">
        <f t="shared" si="2"/>
        <v>5159.7177129138563</v>
      </c>
      <c r="W20" s="184">
        <f t="shared" si="2"/>
        <v>7739.5765693707845</v>
      </c>
      <c r="X20" s="184">
        <f t="shared" si="2"/>
        <v>0</v>
      </c>
      <c r="Y20" s="184">
        <f t="shared" si="2"/>
        <v>2579.8588564569282</v>
      </c>
      <c r="AA20" s="167">
        <f t="shared" si="16"/>
        <v>665567171.92392504</v>
      </c>
      <c r="AB20" s="167">
        <f t="shared" si="17"/>
        <v>106490747.50782798</v>
      </c>
      <c r="AC20" s="167">
        <f t="shared" si="18"/>
        <v>106490747.50782798</v>
      </c>
      <c r="AD20" s="167">
        <f t="shared" si="19"/>
        <v>26622686.876956996</v>
      </c>
      <c r="AE20" s="167">
        <f t="shared" si="20"/>
        <v>59901045.473153241</v>
      </c>
      <c r="AF20" s="167">
        <f t="shared" si="21"/>
        <v>0</v>
      </c>
      <c r="AG20" s="167">
        <f t="shared" si="22"/>
        <v>6655671.7192392489</v>
      </c>
      <c r="AI20" s="153">
        <v>123</v>
      </c>
      <c r="AJ20">
        <f t="shared" si="4"/>
        <v>2</v>
      </c>
      <c r="AK20" s="187">
        <f t="shared" si="23"/>
        <v>3115.9313951642653</v>
      </c>
      <c r="AL20" s="187">
        <f t="shared" si="24"/>
        <v>453.57492610703412</v>
      </c>
      <c r="AM20" s="187">
        <f t="shared" si="25"/>
        <v>226.78746305351706</v>
      </c>
      <c r="AN20" s="187">
        <f t="shared" si="26"/>
        <v>0</v>
      </c>
      <c r="AO20" s="187">
        <f t="shared" si="27"/>
        <v>0</v>
      </c>
      <c r="AP20" s="187">
        <f t="shared" si="28"/>
        <v>113.39373152675853</v>
      </c>
      <c r="AQ20" s="187">
        <f t="shared" si="29"/>
        <v>113.39373152675853</v>
      </c>
      <c r="AS20" s="187">
        <f t="shared" si="30"/>
        <v>4895378.0743018454</v>
      </c>
      <c r="AT20" s="187">
        <f t="shared" si="31"/>
        <v>205730.21359300145</v>
      </c>
      <c r="AU20" s="187">
        <f t="shared" si="32"/>
        <v>51432.553398250362</v>
      </c>
      <c r="AV20" s="187">
        <f t="shared" si="33"/>
        <v>0</v>
      </c>
      <c r="AW20" s="187">
        <f t="shared" si="34"/>
        <v>0</v>
      </c>
      <c r="AX20" s="187">
        <f t="shared" si="35"/>
        <v>12858.138349562591</v>
      </c>
      <c r="AY20" s="187">
        <f t="shared" si="36"/>
        <v>12858.138349562591</v>
      </c>
      <c r="BA20" s="167">
        <f t="shared" si="37"/>
        <v>285.88055063849026</v>
      </c>
      <c r="BB20" s="167">
        <f t="shared" si="38"/>
        <v>453.57492610703412</v>
      </c>
      <c r="BC20" s="167">
        <f t="shared" si="39"/>
        <v>226.78746305351706</v>
      </c>
      <c r="BD20" s="167">
        <f t="shared" si="40"/>
        <v>0</v>
      </c>
      <c r="BE20" s="167">
        <f t="shared" si="41"/>
        <v>0</v>
      </c>
      <c r="BF20" s="167">
        <f t="shared" si="42"/>
        <v>113.39373152675853</v>
      </c>
      <c r="BG20" s="167">
        <f t="shared" si="43"/>
        <v>113.39373152675853</v>
      </c>
      <c r="BJ20" s="201">
        <f t="shared" si="8"/>
        <v>1.7534070624589909E-3</v>
      </c>
      <c r="BK20" s="201">
        <f t="shared" si="9"/>
        <v>2.346007440181003E-3</v>
      </c>
      <c r="BL20" s="243">
        <f t="shared" si="44"/>
        <v>5.4637437701953754E-3</v>
      </c>
      <c r="BM20" s="243">
        <f t="shared" si="45"/>
        <v>3.9832130792514355E-3</v>
      </c>
      <c r="BN20" s="243">
        <f t="shared" si="46"/>
        <v>-7.226997271048384E-4</v>
      </c>
      <c r="BO20" s="243">
        <f t="shared" si="47"/>
        <v>-3.2538216880067384E-3</v>
      </c>
      <c r="BR20" s="200">
        <f t="shared" si="48"/>
        <v>3.0744363266810674E-6</v>
      </c>
      <c r="BS20" s="201">
        <f t="shared" si="49"/>
        <v>5.5037509093846218E-6</v>
      </c>
      <c r="BT20" s="201">
        <f t="shared" si="50"/>
        <v>2.9852495986348775E-5</v>
      </c>
      <c r="BU20" s="201">
        <f t="shared" si="51"/>
        <v>1.5865986434719703E-5</v>
      </c>
      <c r="BV20" s="201">
        <f t="shared" si="52"/>
        <v>5.2229489555740789E-7</v>
      </c>
      <c r="BW20" s="201">
        <f t="shared" si="53"/>
        <v>1.058735557734302E-5</v>
      </c>
      <c r="BY20">
        <f t="shared" si="54"/>
        <v>123</v>
      </c>
      <c r="BZ20">
        <f t="shared" si="55"/>
        <v>2</v>
      </c>
      <c r="CB20" s="200">
        <f t="shared" si="56"/>
        <v>-5.9768235225492846E-5</v>
      </c>
      <c r="CC20" s="201">
        <f t="shared" si="57"/>
        <v>-6.5872050140687645E-5</v>
      </c>
      <c r="CD20" s="201">
        <f t="shared" si="58"/>
        <v>-1.686788603773281E-4</v>
      </c>
      <c r="CE20" s="201">
        <f t="shared" si="59"/>
        <v>-3.4559313154901576E-4</v>
      </c>
      <c r="CF20" s="201">
        <f t="shared" si="60"/>
        <v>2.7287151301668029E-4</v>
      </c>
      <c r="CG20" s="201">
        <f t="shared" si="61"/>
        <v>7.2868679439377557E-5</v>
      </c>
      <c r="CJ20" s="201">
        <f t="shared" si="62"/>
        <v>1.0982243793827923E-8</v>
      </c>
      <c r="CK20" s="201">
        <f t="shared" si="63"/>
        <v>4.2501519620676218E-9</v>
      </c>
      <c r="CL20" s="201">
        <f t="shared" si="64"/>
        <v>2.8452557938194148E-8</v>
      </c>
      <c r="CM20" s="201">
        <f t="shared" si="65"/>
        <v>1.1943461257385532E-7</v>
      </c>
      <c r="CN20" s="201">
        <f t="shared" si="66"/>
        <v>7.4458862616012328E-8</v>
      </c>
      <c r="CO20" s="201">
        <f t="shared" si="67"/>
        <v>5.3098444432387656E-9</v>
      </c>
      <c r="CR20" s="243">
        <f t="shared" si="68"/>
        <v>1.3561801372120888E-4</v>
      </c>
      <c r="CS20" s="243">
        <f t="shared" si="13"/>
        <v>6.4507185137765671E-5</v>
      </c>
      <c r="CT20" s="243">
        <f t="shared" si="13"/>
        <v>1.686788603773281E-4</v>
      </c>
      <c r="CU20" s="243">
        <f t="shared" si="13"/>
        <v>3.4559313154901576E-4</v>
      </c>
      <c r="CV20" s="243">
        <f t="shared" si="13"/>
        <v>2.7287151301668029E-4</v>
      </c>
      <c r="CW20" s="243">
        <f t="shared" si="13"/>
        <v>7.2868679439377557E-5</v>
      </c>
      <c r="CY20" s="223">
        <v>1.4238695718071234E-2</v>
      </c>
      <c r="CZ20" s="223">
        <v>4.540261016603228E-5</v>
      </c>
    </row>
    <row r="21" spans="1:104" x14ac:dyDescent="0.25">
      <c r="A21" s="122">
        <v>2117</v>
      </c>
      <c r="B21" s="153">
        <v>211</v>
      </c>
      <c r="C21" s="184">
        <f>+'Sampling Weights'!R21</f>
        <v>2450.3916226386041</v>
      </c>
      <c r="D21" s="155">
        <f>+SUM('Sampling Weights'!I21:N21)</f>
        <v>16</v>
      </c>
      <c r="E21" s="155">
        <v>1</v>
      </c>
      <c r="F21" s="155">
        <v>1</v>
      </c>
      <c r="G21" s="155">
        <v>0</v>
      </c>
      <c r="H21" s="154">
        <v>0</v>
      </c>
      <c r="I21" s="154">
        <v>0</v>
      </c>
      <c r="J21" s="154">
        <v>1</v>
      </c>
      <c r="K21" s="155"/>
      <c r="L21" s="172" t="s">
        <v>366</v>
      </c>
      <c r="M21" s="202">
        <f>+M14/M$10</f>
        <v>0.29208046855105679</v>
      </c>
      <c r="N21" s="202">
        <f>SQRT(SUMPRODUCT(CT:CT,CT:CT))</f>
        <v>2.9449209984396103E-2</v>
      </c>
      <c r="O21" s="205"/>
      <c r="P21" s="202">
        <f>M21-2*N21</f>
        <v>0.2331820485822646</v>
      </c>
      <c r="Q21" s="202">
        <f>M21+2*N21</f>
        <v>0.35097888851984899</v>
      </c>
      <c r="R21" s="167"/>
      <c r="S21" s="184">
        <f t="shared" si="15"/>
        <v>39206.265962217665</v>
      </c>
      <c r="T21" s="184">
        <f t="shared" si="2"/>
        <v>2450.3916226386041</v>
      </c>
      <c r="U21" s="184">
        <f t="shared" si="2"/>
        <v>2450.3916226386041</v>
      </c>
      <c r="V21" s="184">
        <f t="shared" si="2"/>
        <v>0</v>
      </c>
      <c r="W21" s="184">
        <f t="shared" si="2"/>
        <v>0</v>
      </c>
      <c r="X21" s="184">
        <f t="shared" si="2"/>
        <v>0</v>
      </c>
      <c r="Y21" s="184">
        <f t="shared" si="2"/>
        <v>2450.3916226386041</v>
      </c>
      <c r="AA21" s="167">
        <f t="shared" si="16"/>
        <v>1537131290.7001474</v>
      </c>
      <c r="AB21" s="167">
        <f t="shared" si="17"/>
        <v>6004419.1042974507</v>
      </c>
      <c r="AC21" s="167">
        <f t="shared" si="18"/>
        <v>6004419.1042974507</v>
      </c>
      <c r="AD21" s="167">
        <f t="shared" si="19"/>
        <v>0</v>
      </c>
      <c r="AE21" s="167">
        <f t="shared" si="20"/>
        <v>0</v>
      </c>
      <c r="AF21" s="167">
        <f t="shared" si="21"/>
        <v>0</v>
      </c>
      <c r="AG21" s="167">
        <f t="shared" si="22"/>
        <v>6004419.1042974507</v>
      </c>
      <c r="AH21" s="164"/>
      <c r="AI21" s="153">
        <v>124</v>
      </c>
      <c r="AJ21">
        <f t="shared" si="4"/>
        <v>9</v>
      </c>
      <c r="AK21" s="187">
        <f t="shared" si="23"/>
        <v>102013.50172866814</v>
      </c>
      <c r="AL21" s="187">
        <f t="shared" si="24"/>
        <v>13033.58864602589</v>
      </c>
      <c r="AM21" s="187">
        <f t="shared" si="25"/>
        <v>9053.7785986646031</v>
      </c>
      <c r="AN21" s="187">
        <f t="shared" si="26"/>
        <v>2100.6568159098524</v>
      </c>
      <c r="AO21" s="187">
        <f t="shared" si="27"/>
        <v>4830.703497381849</v>
      </c>
      <c r="AP21" s="187">
        <f t="shared" si="28"/>
        <v>0</v>
      </c>
      <c r="AQ21" s="187">
        <f t="shared" si="29"/>
        <v>4223.0751012827523</v>
      </c>
      <c r="AS21" s="187">
        <f t="shared" si="30"/>
        <v>1449421141.7005568</v>
      </c>
      <c r="AT21" s="187">
        <f t="shared" si="31"/>
        <v>30306487.106017351</v>
      </c>
      <c r="AU21" s="187">
        <f t="shared" si="32"/>
        <v>15931163.379756318</v>
      </c>
      <c r="AV21" s="187">
        <f t="shared" si="33"/>
        <v>4412759.0582285197</v>
      </c>
      <c r="AW21" s="187">
        <f t="shared" si="34"/>
        <v>6655873.7235512836</v>
      </c>
      <c r="AX21" s="187">
        <f t="shared" si="35"/>
        <v>0</v>
      </c>
      <c r="AY21" s="187">
        <f t="shared" si="36"/>
        <v>9275289.6562050339</v>
      </c>
      <c r="BA21" s="167">
        <f t="shared" si="37"/>
        <v>18159.142808651624</v>
      </c>
      <c r="BB21" s="167">
        <f t="shared" si="38"/>
        <v>3586.1530739836871</v>
      </c>
      <c r="BC21" s="167">
        <f t="shared" si="39"/>
        <v>2770.5947805518599</v>
      </c>
      <c r="BD21" s="167">
        <f t="shared" si="40"/>
        <v>2100.6568159098524</v>
      </c>
      <c r="BE21" s="167">
        <f t="shared" si="41"/>
        <v>2137.9653654919298</v>
      </c>
      <c r="BF21" s="167">
        <f t="shared" si="42"/>
        <v>0</v>
      </c>
      <c r="BG21" s="167">
        <f t="shared" si="43"/>
        <v>2864.5078895591073</v>
      </c>
      <c r="BJ21" s="201">
        <f t="shared" si="8"/>
        <v>-1.8675040260735705E-3</v>
      </c>
      <c r="BK21" s="201">
        <f t="shared" si="9"/>
        <v>-9.6692576536251793E-4</v>
      </c>
      <c r="BL21" s="243">
        <f t="shared" si="44"/>
        <v>-1.8225401916828823E-3</v>
      </c>
      <c r="BM21" s="243">
        <f t="shared" si="45"/>
        <v>-3.7340622933345891E-3</v>
      </c>
      <c r="BN21" s="243">
        <f t="shared" si="46"/>
        <v>-1.7160796922558962E-4</v>
      </c>
      <c r="BO21" s="243">
        <f t="shared" si="47"/>
        <v>3.9072592252381924E-3</v>
      </c>
      <c r="BR21" s="200">
        <f t="shared" si="48"/>
        <v>3.4875712874009951E-6</v>
      </c>
      <c r="BS21" s="201">
        <f t="shared" si="49"/>
        <v>9.3494543572189103E-7</v>
      </c>
      <c r="BT21" s="201">
        <f t="shared" si="50"/>
        <v>3.3216527502994776E-6</v>
      </c>
      <c r="BU21" s="201">
        <f t="shared" si="51"/>
        <v>1.3943221210503171E-5</v>
      </c>
      <c r="BV21" s="201">
        <f t="shared" si="52"/>
        <v>2.9449295101730916E-8</v>
      </c>
      <c r="BW21" s="201">
        <f t="shared" si="53"/>
        <v>1.5266674653208959E-5</v>
      </c>
      <c r="BY21">
        <f t="shared" si="54"/>
        <v>124</v>
      </c>
      <c r="BZ21">
        <f t="shared" si="55"/>
        <v>9</v>
      </c>
      <c r="CB21" s="200">
        <f t="shared" si="56"/>
        <v>-2.5788262434176708E-3</v>
      </c>
      <c r="CC21" s="201">
        <f t="shared" si="57"/>
        <v>-1.5986846035409008E-3</v>
      </c>
      <c r="CD21" s="201">
        <f t="shared" si="58"/>
        <v>-1.3847086308776029E-3</v>
      </c>
      <c r="CE21" s="201">
        <f t="shared" si="59"/>
        <v>-1.4954658399696252E-3</v>
      </c>
      <c r="CF21" s="201">
        <f t="shared" si="60"/>
        <v>-6.3406214124332402E-4</v>
      </c>
      <c r="CG21" s="201">
        <f t="shared" si="61"/>
        <v>2.1353989269652001E-3</v>
      </c>
      <c r="CJ21" s="201">
        <f t="shared" si="62"/>
        <v>2.7243415001170236E-6</v>
      </c>
      <c r="CK21" s="201">
        <f t="shared" si="63"/>
        <v>1.363986508325238E-6</v>
      </c>
      <c r="CL21" s="201">
        <f t="shared" si="64"/>
        <v>1.5140376359097649E-5</v>
      </c>
      <c r="CM21" s="201">
        <f t="shared" si="65"/>
        <v>2.8498955876957411E-5</v>
      </c>
      <c r="CN21" s="201">
        <f t="shared" si="66"/>
        <v>7.8136040062317873E-8</v>
      </c>
      <c r="CO21" s="201">
        <f t="shared" si="67"/>
        <v>2.9614439004564429E-5</v>
      </c>
      <c r="CR21" s="243">
        <f t="shared" si="68"/>
        <v>1.4945203539645053E-3</v>
      </c>
      <c r="CS21" s="243">
        <f t="shared" si="13"/>
        <v>1.1022752669664921E-3</v>
      </c>
      <c r="CT21" s="243">
        <f t="shared" si="13"/>
        <v>4.09795633882689E-3</v>
      </c>
      <c r="CU21" s="243">
        <f t="shared" si="13"/>
        <v>5.6375325366477998E-3</v>
      </c>
      <c r="CV21" s="243">
        <f t="shared" si="13"/>
        <v>1.9403271682978874E-4</v>
      </c>
      <c r="CW21" s="243">
        <f t="shared" si="13"/>
        <v>5.7224341680769441E-3</v>
      </c>
      <c r="CY21" s="423" t="s">
        <v>130</v>
      </c>
      <c r="CZ21" s="425"/>
    </row>
    <row r="22" spans="1:104" x14ac:dyDescent="0.25">
      <c r="A22" s="122">
        <v>2118</v>
      </c>
      <c r="B22" s="153">
        <v>211</v>
      </c>
      <c r="C22" s="184">
        <f>+'Sampling Weights'!R22</f>
        <v>3376.6319471153188</v>
      </c>
      <c r="D22" s="155">
        <f>+SUM('Sampling Weights'!I22:N22)</f>
        <v>11</v>
      </c>
      <c r="E22" s="155">
        <v>0</v>
      </c>
      <c r="F22" s="155">
        <v>0</v>
      </c>
      <c r="G22" s="155">
        <v>0</v>
      </c>
      <c r="H22" s="154">
        <v>0</v>
      </c>
      <c r="I22" s="154">
        <v>0</v>
      </c>
      <c r="J22" s="154">
        <v>0</v>
      </c>
      <c r="K22" s="155"/>
      <c r="L22" s="172"/>
      <c r="O22" s="198"/>
      <c r="P22" s="172"/>
      <c r="Q22" s="173"/>
      <c r="R22" s="167"/>
      <c r="S22" s="184">
        <f t="shared" si="15"/>
        <v>37142.951418268509</v>
      </c>
      <c r="T22" s="184">
        <f t="shared" si="2"/>
        <v>0</v>
      </c>
      <c r="U22" s="184">
        <f t="shared" si="2"/>
        <v>0</v>
      </c>
      <c r="V22" s="184">
        <f t="shared" si="2"/>
        <v>0</v>
      </c>
      <c r="W22" s="184">
        <f t="shared" si="2"/>
        <v>0</v>
      </c>
      <c r="X22" s="184">
        <f t="shared" si="2"/>
        <v>0</v>
      </c>
      <c r="Y22" s="184">
        <f t="shared" si="2"/>
        <v>0</v>
      </c>
      <c r="AA22" s="167">
        <f t="shared" si="16"/>
        <v>1379598840.0598547</v>
      </c>
      <c r="AB22" s="167">
        <f t="shared" si="17"/>
        <v>0</v>
      </c>
      <c r="AC22" s="167">
        <f t="shared" si="18"/>
        <v>0</v>
      </c>
      <c r="AD22" s="167">
        <f t="shared" si="19"/>
        <v>0</v>
      </c>
      <c r="AE22" s="167">
        <f t="shared" si="20"/>
        <v>0</v>
      </c>
      <c r="AF22" s="167">
        <f t="shared" si="21"/>
        <v>0</v>
      </c>
      <c r="AG22" s="167">
        <f t="shared" si="22"/>
        <v>0</v>
      </c>
      <c r="AH22" s="156"/>
      <c r="AI22" s="153">
        <v>125</v>
      </c>
      <c r="AJ22">
        <f t="shared" si="4"/>
        <v>3</v>
      </c>
      <c r="AK22" s="187">
        <f t="shared" si="23"/>
        <v>13596.694228642518</v>
      </c>
      <c r="AL22" s="187">
        <f t="shared" si="24"/>
        <v>3480.7636265589517</v>
      </c>
      <c r="AM22" s="187">
        <f t="shared" si="25"/>
        <v>2128.7324895950374</v>
      </c>
      <c r="AN22" s="187">
        <f t="shared" si="26"/>
        <v>923.26004239869349</v>
      </c>
      <c r="AO22" s="187">
        <f t="shared" si="27"/>
        <v>1058.9137574287734</v>
      </c>
      <c r="AP22" s="187">
        <f t="shared" si="28"/>
        <v>0</v>
      </c>
      <c r="AQ22" s="187">
        <f t="shared" si="29"/>
        <v>1069.818732166264</v>
      </c>
      <c r="AS22" s="187">
        <f t="shared" si="30"/>
        <v>72967622.54668729</v>
      </c>
      <c r="AT22" s="187">
        <f t="shared" si="31"/>
        <v>4620498.5396184195</v>
      </c>
      <c r="AU22" s="187">
        <f t="shared" si="32"/>
        <v>1725436.5467892587</v>
      </c>
      <c r="AV22" s="187">
        <f t="shared" si="33"/>
        <v>552792.02825956652</v>
      </c>
      <c r="AW22" s="187">
        <f t="shared" si="34"/>
        <v>580924.42709542625</v>
      </c>
      <c r="AX22" s="187">
        <f t="shared" si="35"/>
        <v>0</v>
      </c>
      <c r="AY22" s="187">
        <f t="shared" si="36"/>
        <v>1144512.1196938325</v>
      </c>
      <c r="BA22" s="167">
        <f t="shared" si="37"/>
        <v>4125.092343988259</v>
      </c>
      <c r="BB22" s="167">
        <f t="shared" si="38"/>
        <v>934.28587565033729</v>
      </c>
      <c r="BC22" s="167">
        <f t="shared" si="39"/>
        <v>567.80614126226669</v>
      </c>
      <c r="BD22" s="167">
        <f t="shared" si="40"/>
        <v>634.80980572477858</v>
      </c>
      <c r="BE22" s="167">
        <f t="shared" si="41"/>
        <v>557.43830852138035</v>
      </c>
      <c r="BF22" s="167">
        <f t="shared" si="42"/>
        <v>0</v>
      </c>
      <c r="BG22" s="167">
        <f t="shared" si="43"/>
        <v>1069.818732166264</v>
      </c>
      <c r="BJ22" s="201">
        <f t="shared" si="8"/>
        <v>-2.5643433108146641E-3</v>
      </c>
      <c r="BK22" s="201">
        <f t="shared" si="9"/>
        <v>-1.711159928898757E-3</v>
      </c>
      <c r="BL22" s="243">
        <f t="shared" si="44"/>
        <v>0</v>
      </c>
      <c r="BM22" s="243">
        <f t="shared" si="45"/>
        <v>0</v>
      </c>
      <c r="BN22" s="243">
        <f t="shared" si="46"/>
        <v>0</v>
      </c>
      <c r="BO22" s="243">
        <f t="shared" si="47"/>
        <v>0</v>
      </c>
      <c r="BR22" s="200">
        <f t="shared" si="48"/>
        <v>6.5758566157199126E-6</v>
      </c>
      <c r="BS22" s="201">
        <f t="shared" si="49"/>
        <v>2.9280683022687991E-6</v>
      </c>
      <c r="BT22" s="201">
        <f t="shared" si="50"/>
        <v>0</v>
      </c>
      <c r="BU22" s="201">
        <f t="shared" si="51"/>
        <v>0</v>
      </c>
      <c r="BV22" s="201">
        <f t="shared" si="52"/>
        <v>0</v>
      </c>
      <c r="BW22" s="201">
        <f t="shared" si="53"/>
        <v>0</v>
      </c>
      <c r="BY22">
        <f t="shared" si="54"/>
        <v>125</v>
      </c>
      <c r="BZ22">
        <f t="shared" si="55"/>
        <v>3</v>
      </c>
      <c r="CB22" s="200">
        <f t="shared" si="56"/>
        <v>2.5349210071471258E-4</v>
      </c>
      <c r="CC22" s="201">
        <f t="shared" si="57"/>
        <v>1.0272395146234488E-4</v>
      </c>
      <c r="CD22" s="201">
        <f t="shared" si="58"/>
        <v>7.6775874565295974E-4</v>
      </c>
      <c r="CE22" s="201">
        <f t="shared" si="59"/>
        <v>-5.4740225380415998E-4</v>
      </c>
      <c r="CF22" s="201">
        <f t="shared" si="60"/>
        <v>-1.4908125549767081E-4</v>
      </c>
      <c r="CG22" s="201">
        <f t="shared" si="61"/>
        <v>6.9786389129717903E-4</v>
      </c>
      <c r="CJ22" s="201">
        <f t="shared" si="62"/>
        <v>1.3722813466075672E-7</v>
      </c>
      <c r="CK22" s="201">
        <f t="shared" si="63"/>
        <v>6.61667295879548E-8</v>
      </c>
      <c r="CL22" s="201">
        <f t="shared" si="64"/>
        <v>1.1474480107958077E-6</v>
      </c>
      <c r="CM22" s="201">
        <f t="shared" si="65"/>
        <v>3.2652305395933165E-6</v>
      </c>
      <c r="CN22" s="201">
        <f t="shared" si="66"/>
        <v>8.4625821687464945E-9</v>
      </c>
      <c r="CO22" s="201">
        <f t="shared" si="67"/>
        <v>3.4364206231468423E-6</v>
      </c>
      <c r="CR22" s="243">
        <f t="shared" si="68"/>
        <v>4.1678901068616976E-4</v>
      </c>
      <c r="CS22" s="243">
        <f t="shared" si="13"/>
        <v>3.0655177259300445E-4</v>
      </c>
      <c r="CT22" s="243">
        <f t="shared" si="13"/>
        <v>1.1943388423853627E-3</v>
      </c>
      <c r="CU22" s="243">
        <f t="shared" si="13"/>
        <v>2.1789954556297353E-3</v>
      </c>
      <c r="CV22" s="243">
        <f t="shared" si="13"/>
        <v>3.976509628730753E-5</v>
      </c>
      <c r="CW22" s="243">
        <f t="shared" si="13"/>
        <v>2.2161055772079189E-3</v>
      </c>
      <c r="CY22" s="440" t="s">
        <v>104</v>
      </c>
      <c r="CZ22" s="441"/>
    </row>
    <row r="23" spans="1:104" ht="18.75" x14ac:dyDescent="0.25">
      <c r="A23" s="122">
        <v>2119</v>
      </c>
      <c r="B23" s="153">
        <v>211</v>
      </c>
      <c r="C23" s="184">
        <f>+'Sampling Weights'!R23</f>
        <v>770.18328054377696</v>
      </c>
      <c r="D23" s="155">
        <f>+SUM('Sampling Weights'!I23:N23)</f>
        <v>12</v>
      </c>
      <c r="E23" s="155">
        <v>0</v>
      </c>
      <c r="F23" s="155">
        <v>0</v>
      </c>
      <c r="G23" s="155">
        <v>0</v>
      </c>
      <c r="H23" s="154">
        <v>0</v>
      </c>
      <c r="I23" s="154">
        <v>0</v>
      </c>
      <c r="J23" s="154">
        <v>0</v>
      </c>
      <c r="K23" s="155"/>
      <c r="L23" s="247" t="s">
        <v>105</v>
      </c>
      <c r="M23" s="431" t="s">
        <v>636</v>
      </c>
      <c r="N23" s="356"/>
      <c r="O23" s="356"/>
      <c r="P23" s="356"/>
      <c r="Q23" s="356"/>
      <c r="R23" s="167"/>
      <c r="S23" s="184">
        <f t="shared" si="15"/>
        <v>9242.1993665253231</v>
      </c>
      <c r="T23" s="184">
        <f t="shared" si="2"/>
        <v>0</v>
      </c>
      <c r="U23" s="184">
        <f t="shared" si="2"/>
        <v>0</v>
      </c>
      <c r="V23" s="184">
        <f t="shared" si="2"/>
        <v>0</v>
      </c>
      <c r="W23" s="184">
        <f t="shared" si="2"/>
        <v>0</v>
      </c>
      <c r="X23" s="184">
        <f t="shared" si="2"/>
        <v>0</v>
      </c>
      <c r="Y23" s="184">
        <f t="shared" si="2"/>
        <v>0</v>
      </c>
      <c r="AA23" s="167">
        <f t="shared" si="16"/>
        <v>85418249.130601078</v>
      </c>
      <c r="AB23" s="167">
        <f t="shared" si="17"/>
        <v>0</v>
      </c>
      <c r="AC23" s="167">
        <f t="shared" si="18"/>
        <v>0</v>
      </c>
      <c r="AD23" s="167">
        <f t="shared" si="19"/>
        <v>0</v>
      </c>
      <c r="AE23" s="167">
        <f t="shared" si="20"/>
        <v>0</v>
      </c>
      <c r="AF23" s="167">
        <f t="shared" si="21"/>
        <v>0</v>
      </c>
      <c r="AG23" s="167">
        <f t="shared" si="22"/>
        <v>0</v>
      </c>
      <c r="AH23" s="167"/>
      <c r="AI23" s="153">
        <v>126</v>
      </c>
      <c r="AJ23">
        <f t="shared" si="4"/>
        <v>2</v>
      </c>
      <c r="AK23" s="187">
        <f t="shared" si="23"/>
        <v>2010.1452949540396</v>
      </c>
      <c r="AL23" s="187">
        <f t="shared" si="24"/>
        <v>620.824194954012</v>
      </c>
      <c r="AM23" s="187">
        <f t="shared" si="25"/>
        <v>620.824194954012</v>
      </c>
      <c r="AN23" s="187">
        <f t="shared" si="26"/>
        <v>0</v>
      </c>
      <c r="AO23" s="187">
        <f t="shared" si="27"/>
        <v>88.689170707716002</v>
      </c>
      <c r="AP23" s="187">
        <f t="shared" si="28"/>
        <v>0</v>
      </c>
      <c r="AQ23" s="187">
        <f t="shared" si="29"/>
        <v>532.13502424629598</v>
      </c>
      <c r="AS23" s="187">
        <f t="shared" si="30"/>
        <v>2945200.7953829723</v>
      </c>
      <c r="AT23" s="187">
        <f t="shared" si="31"/>
        <v>385422.68104029709</v>
      </c>
      <c r="AU23" s="187">
        <f t="shared" si="32"/>
        <v>385422.68104029709</v>
      </c>
      <c r="AV23" s="187">
        <f t="shared" si="33"/>
        <v>0</v>
      </c>
      <c r="AW23" s="187">
        <f t="shared" si="34"/>
        <v>7865.7690008223899</v>
      </c>
      <c r="AX23" s="187">
        <f t="shared" si="35"/>
        <v>0</v>
      </c>
      <c r="AY23" s="187">
        <f t="shared" si="36"/>
        <v>283167.684029606</v>
      </c>
      <c r="BA23" s="167">
        <f t="shared" si="37"/>
        <v>1360.0431919391683</v>
      </c>
      <c r="BB23" s="167">
        <f t="shared" si="38"/>
        <v>620.824194954012</v>
      </c>
      <c r="BC23" s="167">
        <f t="shared" si="39"/>
        <v>620.824194954012</v>
      </c>
      <c r="BD23" s="167">
        <f t="shared" si="40"/>
        <v>0</v>
      </c>
      <c r="BE23" s="167">
        <f t="shared" si="41"/>
        <v>88.689170707716002</v>
      </c>
      <c r="BF23" s="167">
        <f t="shared" si="42"/>
        <v>0</v>
      </c>
      <c r="BG23" s="167">
        <f t="shared" si="43"/>
        <v>532.13502424629598</v>
      </c>
      <c r="BJ23" s="201">
        <f t="shared" si="8"/>
        <v>-6.3807993758697285E-4</v>
      </c>
      <c r="BK23" s="201">
        <f t="shared" si="9"/>
        <v>-4.2578418265149404E-4</v>
      </c>
      <c r="BL23" s="243">
        <f t="shared" si="44"/>
        <v>0</v>
      </c>
      <c r="BM23" s="243">
        <f t="shared" si="45"/>
        <v>0</v>
      </c>
      <c r="BN23" s="243">
        <f t="shared" si="46"/>
        <v>0</v>
      </c>
      <c r="BO23" s="243">
        <f t="shared" si="47"/>
        <v>0</v>
      </c>
      <c r="BR23" s="200">
        <f t="shared" si="48"/>
        <v>4.0714600675099519E-7</v>
      </c>
      <c r="BS23" s="201">
        <f t="shared" si="49"/>
        <v>1.8129217019620085E-7</v>
      </c>
      <c r="BT23" s="201">
        <f t="shared" si="50"/>
        <v>0</v>
      </c>
      <c r="BU23" s="201">
        <f t="shared" si="51"/>
        <v>0</v>
      </c>
      <c r="BV23" s="201">
        <f t="shared" si="52"/>
        <v>0</v>
      </c>
      <c r="BW23" s="201">
        <f t="shared" si="53"/>
        <v>0</v>
      </c>
      <c r="BY23">
        <f t="shared" si="54"/>
        <v>126</v>
      </c>
      <c r="BZ23">
        <f t="shared" si="55"/>
        <v>2</v>
      </c>
      <c r="CB23" s="200">
        <f t="shared" si="56"/>
        <v>7.3860050990897418E-5</v>
      </c>
      <c r="CC23" s="201">
        <f t="shared" si="57"/>
        <v>1.2003361812556819E-4</v>
      </c>
      <c r="CD23" s="201">
        <f t="shared" si="58"/>
        <v>-4.6175355678635207E-4</v>
      </c>
      <c r="CE23" s="201">
        <f t="shared" si="59"/>
        <v>-7.2020672457784112E-4</v>
      </c>
      <c r="CF23" s="201">
        <f t="shared" si="60"/>
        <v>-4.3478102992960785E-5</v>
      </c>
      <c r="CG23" s="201">
        <f t="shared" si="61"/>
        <v>7.6408740259851441E-4</v>
      </c>
      <c r="CJ23" s="201">
        <f t="shared" si="62"/>
        <v>9.7776029022613421E-9</v>
      </c>
      <c r="CK23" s="201">
        <f t="shared" si="63"/>
        <v>1.845156658311815E-8</v>
      </c>
      <c r="CL23" s="201">
        <f t="shared" si="64"/>
        <v>2.1321634720484688E-7</v>
      </c>
      <c r="CM23" s="201">
        <f t="shared" si="65"/>
        <v>5.1869772612714231E-7</v>
      </c>
      <c r="CN23" s="201">
        <f t="shared" si="66"/>
        <v>1.8903454398665056E-9</v>
      </c>
      <c r="CO23" s="201">
        <f t="shared" si="67"/>
        <v>5.8382955880974422E-7</v>
      </c>
      <c r="CR23" s="243">
        <f t="shared" si="68"/>
        <v>1.187429942023727E-4</v>
      </c>
      <c r="CS23" s="243">
        <f t="shared" si="13"/>
        <v>1.4998354471715077E-4</v>
      </c>
      <c r="CT23" s="243">
        <f t="shared" si="13"/>
        <v>4.6175355678635207E-4</v>
      </c>
      <c r="CU23" s="243">
        <f t="shared" si="13"/>
        <v>7.2020672457784112E-4</v>
      </c>
      <c r="CV23" s="243">
        <f t="shared" si="13"/>
        <v>4.3478102992960785E-5</v>
      </c>
      <c r="CW23" s="243">
        <f t="shared" si="13"/>
        <v>7.6408740259851441E-4</v>
      </c>
      <c r="CY23" s="224" t="s">
        <v>107</v>
      </c>
      <c r="CZ23" s="158" t="s">
        <v>77</v>
      </c>
    </row>
    <row r="24" spans="1:104" x14ac:dyDescent="0.25">
      <c r="A24" s="122">
        <v>1128</v>
      </c>
      <c r="B24" s="153">
        <v>112</v>
      </c>
      <c r="C24" s="184">
        <f>+'Sampling Weights'!R24</f>
        <v>347.12141941329179</v>
      </c>
      <c r="D24" s="155">
        <f>+SUM('Sampling Weights'!I24:N24)</f>
        <v>12</v>
      </c>
      <c r="E24" s="155">
        <v>2</v>
      </c>
      <c r="F24" s="155">
        <v>1</v>
      </c>
      <c r="G24" s="155">
        <v>0</v>
      </c>
      <c r="H24" s="154">
        <v>0</v>
      </c>
      <c r="I24" s="154">
        <v>0</v>
      </c>
      <c r="J24" s="154">
        <v>1</v>
      </c>
      <c r="K24" s="155"/>
      <c r="L24" s="208"/>
      <c r="M24" s="206">
        <v>2500000</v>
      </c>
      <c r="N24" s="206">
        <f t="shared" ref="N24" si="73">ROUND(SQRT(CY$16*M24+CZ$16*(M24^2)),-$J$4)</f>
        <v>157200</v>
      </c>
      <c r="O24" s="205">
        <f>+N24/M24</f>
        <v>6.2880000000000005E-2</v>
      </c>
      <c r="P24" s="206">
        <f t="shared" ref="P24:P32" si="74">+ROUND(M24-2*N24,-$J$4)</f>
        <v>2185600</v>
      </c>
      <c r="Q24" s="206">
        <f t="shared" ref="Q24:Q32" si="75">+ROUND(M24+2*N24,-$J$4)</f>
        <v>2814400</v>
      </c>
      <c r="R24" s="167"/>
      <c r="S24" s="184">
        <f t="shared" si="15"/>
        <v>4165.4570329595017</v>
      </c>
      <c r="T24" s="184">
        <f t="shared" si="15"/>
        <v>694.24283882658358</v>
      </c>
      <c r="U24" s="184">
        <f t="shared" si="15"/>
        <v>347.12141941329179</v>
      </c>
      <c r="V24" s="184">
        <f t="shared" si="15"/>
        <v>0</v>
      </c>
      <c r="W24" s="184">
        <f t="shared" si="15"/>
        <v>0</v>
      </c>
      <c r="X24" s="184">
        <f t="shared" ref="X24:Y87" si="76">+$C24*I24</f>
        <v>0</v>
      </c>
      <c r="Y24" s="184">
        <f t="shared" si="76"/>
        <v>347.12141941329179</v>
      </c>
      <c r="AA24" s="167">
        <f t="shared" si="16"/>
        <v>17351032.293431774</v>
      </c>
      <c r="AB24" s="167">
        <f t="shared" si="17"/>
        <v>481973.11926199368</v>
      </c>
      <c r="AC24" s="167">
        <f t="shared" si="18"/>
        <v>120493.27981549842</v>
      </c>
      <c r="AD24" s="167">
        <f t="shared" si="19"/>
        <v>0</v>
      </c>
      <c r="AE24" s="167">
        <f t="shared" si="20"/>
        <v>0</v>
      </c>
      <c r="AF24" s="167">
        <f t="shared" si="21"/>
        <v>0</v>
      </c>
      <c r="AG24" s="167">
        <f t="shared" si="22"/>
        <v>120493.27981549842</v>
      </c>
      <c r="AI24" s="153">
        <v>127</v>
      </c>
      <c r="AJ24">
        <f t="shared" si="4"/>
        <v>2</v>
      </c>
      <c r="AK24" s="187">
        <f t="shared" si="23"/>
        <v>3768.9703838673186</v>
      </c>
      <c r="AL24" s="187">
        <f t="shared" si="24"/>
        <v>1366.3768393694568</v>
      </c>
      <c r="AM24" s="187">
        <f t="shared" si="25"/>
        <v>1366.3768393694568</v>
      </c>
      <c r="AN24" s="187">
        <f t="shared" si="26"/>
        <v>683.18841968472839</v>
      </c>
      <c r="AO24" s="187">
        <f t="shared" si="27"/>
        <v>455.45894645648559</v>
      </c>
      <c r="AP24" s="187">
        <f t="shared" si="28"/>
        <v>0</v>
      </c>
      <c r="AQ24" s="187">
        <f t="shared" si="29"/>
        <v>910.91789291297118</v>
      </c>
      <c r="AS24" s="187">
        <f t="shared" si="30"/>
        <v>9418112.0972269736</v>
      </c>
      <c r="AT24" s="187">
        <f t="shared" si="31"/>
        <v>1866985.6671652663</v>
      </c>
      <c r="AU24" s="187">
        <f t="shared" si="32"/>
        <v>1866985.6671652663</v>
      </c>
      <c r="AV24" s="187">
        <f t="shared" si="33"/>
        <v>466746.41679131659</v>
      </c>
      <c r="AW24" s="187">
        <f t="shared" si="34"/>
        <v>207442.85190725181</v>
      </c>
      <c r="AX24" s="187">
        <f t="shared" si="35"/>
        <v>0</v>
      </c>
      <c r="AY24" s="187">
        <f t="shared" si="36"/>
        <v>829771.40762900724</v>
      </c>
      <c r="BA24" s="167">
        <f t="shared" si="37"/>
        <v>2151.9959200669932</v>
      </c>
      <c r="BB24" s="167">
        <f t="shared" si="38"/>
        <v>1366.3768393694568</v>
      </c>
      <c r="BC24" s="167">
        <f t="shared" si="39"/>
        <v>1366.3768393694568</v>
      </c>
      <c r="BD24" s="167">
        <f t="shared" si="40"/>
        <v>683.18841968472839</v>
      </c>
      <c r="BE24" s="167">
        <f t="shared" si="41"/>
        <v>455.45894645648559</v>
      </c>
      <c r="BF24" s="167">
        <f t="shared" si="42"/>
        <v>0</v>
      </c>
      <c r="BG24" s="167">
        <f t="shared" si="43"/>
        <v>910.91789291297118</v>
      </c>
      <c r="BJ24" s="201">
        <f t="shared" si="8"/>
        <v>-4.9795504080130393E-5</v>
      </c>
      <c r="BK24" s="201">
        <f t="shared" si="9"/>
        <v>-7.3007343567924233E-5</v>
      </c>
      <c r="BL24" s="243">
        <f t="shared" si="44"/>
        <v>-2.5818025675157161E-4</v>
      </c>
      <c r="BM24" s="243">
        <f t="shared" si="45"/>
        <v>-5.289656524552688E-4</v>
      </c>
      <c r="BN24" s="243">
        <f t="shared" si="46"/>
        <v>-2.430991083624214E-5</v>
      </c>
      <c r="BO24" s="243">
        <f t="shared" si="47"/>
        <v>5.5350065505851314E-4</v>
      </c>
      <c r="BR24" s="200">
        <f t="shared" si="48"/>
        <v>2.4795922265942827E-9</v>
      </c>
      <c r="BS24" s="201">
        <f t="shared" si="49"/>
        <v>5.3300722148449276E-9</v>
      </c>
      <c r="BT24" s="201">
        <f t="shared" si="50"/>
        <v>6.6657044976307433E-8</v>
      </c>
      <c r="BU24" s="201">
        <f t="shared" si="51"/>
        <v>2.7980466147742824E-7</v>
      </c>
      <c r="BV24" s="201">
        <f t="shared" si="52"/>
        <v>5.9097176486604304E-10</v>
      </c>
      <c r="BW24" s="201">
        <f t="shared" si="53"/>
        <v>3.0636297515020313E-7</v>
      </c>
      <c r="BY24">
        <f t="shared" si="54"/>
        <v>127</v>
      </c>
      <c r="BZ24">
        <f t="shared" si="55"/>
        <v>2</v>
      </c>
      <c r="CB24" s="200">
        <f t="shared" si="56"/>
        <v>2.077922826565338E-4</v>
      </c>
      <c r="CC24" s="201">
        <f t="shared" si="57"/>
        <v>2.9436652556570739E-4</v>
      </c>
      <c r="CD24" s="201">
        <f t="shared" si="58"/>
        <v>7.234439323259114E-4</v>
      </c>
      <c r="CE24" s="201">
        <f t="shared" si="59"/>
        <v>-9.2235778757045184E-4</v>
      </c>
      <c r="CF24" s="201">
        <f t="shared" si="60"/>
        <v>-9.5691297845925823E-5</v>
      </c>
      <c r="CG24" s="201">
        <f t="shared" si="61"/>
        <v>1.0189351159519877E-3</v>
      </c>
      <c r="CJ24" s="201">
        <f t="shared" si="62"/>
        <v>7.2605919525780991E-8</v>
      </c>
      <c r="CK24" s="201">
        <f t="shared" si="63"/>
        <v>1.1135461993993654E-7</v>
      </c>
      <c r="CL24" s="201">
        <f t="shared" si="64"/>
        <v>5.2337112321917783E-7</v>
      </c>
      <c r="CM24" s="201">
        <f t="shared" si="65"/>
        <v>8.5074388829185878E-7</v>
      </c>
      <c r="CN24" s="201">
        <f t="shared" si="66"/>
        <v>9.1568244834376877E-9</v>
      </c>
      <c r="CO24" s="201">
        <f t="shared" si="67"/>
        <v>1.0382287705200905E-6</v>
      </c>
      <c r="CR24" s="243">
        <f t="shared" si="68"/>
        <v>3.1942793603557777E-4</v>
      </c>
      <c r="CS24" s="243">
        <f t="shared" ref="CS24:CS48" si="77">IF($BZ24=1,0,$BZ24*SQRT((CK24/$BZ24-(CC24/$BZ24)^2)/($BZ24-1)))</f>
        <v>3.6885984940929369E-4</v>
      </c>
      <c r="CT24" s="243">
        <f t="shared" ref="CT24:CT48" si="78">IF($BZ24=1,0,$BZ24*SQRT((CL24/$BZ24-(CD24/$BZ24)^2)/($BZ24-1)))</f>
        <v>7.234439323259114E-4</v>
      </c>
      <c r="CU24" s="243">
        <f t="shared" ref="CU24:CU48" si="79">IF($BZ24=1,0,$BZ24*SQRT((CM24/$BZ24-(CE24/$BZ24)^2)/($BZ24-1)))</f>
        <v>9.2235778757045184E-4</v>
      </c>
      <c r="CV24" s="243">
        <f t="shared" ref="CV24:CV48" si="80">IF($BZ24=1,0,$BZ24*SQRT((CN24/$BZ24-(CF24/$BZ24)^2)/($BZ24-1)))</f>
        <v>9.5691297845925823E-5</v>
      </c>
      <c r="CW24" s="243">
        <f t="shared" ref="CW24:CW48" si="81">IF($BZ24=1,0,$BZ24*SQRT((CO24/$BZ24-(CG24/$BZ24)^2)/($BZ24-1)))</f>
        <v>1.0189351159519877E-3</v>
      </c>
      <c r="CY24" s="243">
        <f>+N16*N16</f>
        <v>1.6665168931978848E-4</v>
      </c>
      <c r="CZ24" s="243">
        <f>1/M8</f>
        <v>3.4251267296889983E-7</v>
      </c>
    </row>
    <row r="25" spans="1:104" x14ac:dyDescent="0.25">
      <c r="A25" s="122">
        <v>1129</v>
      </c>
      <c r="B25" s="153">
        <v>112</v>
      </c>
      <c r="C25" s="184">
        <f>+'Sampling Weights'!R25</f>
        <v>357.38530620126409</v>
      </c>
      <c r="D25" s="155">
        <f>+SUM('Sampling Weights'!I25:N25)</f>
        <v>17</v>
      </c>
      <c r="E25" s="155">
        <v>2</v>
      </c>
      <c r="F25" s="155">
        <v>1</v>
      </c>
      <c r="G25" s="155">
        <v>0</v>
      </c>
      <c r="H25" s="154">
        <v>0</v>
      </c>
      <c r="I25" s="154">
        <v>0</v>
      </c>
      <c r="J25" s="154">
        <v>1</v>
      </c>
      <c r="K25" s="155"/>
      <c r="L25" s="172"/>
      <c r="M25" s="206">
        <v>1000000</v>
      </c>
      <c r="N25" s="206">
        <f>ROUND(SQRT(CY$16*M25+CZ$16*(M25^2)),-$J$4)</f>
        <v>69500</v>
      </c>
      <c r="O25" s="205">
        <f t="shared" ref="O25:O32" si="82">+N25/M25</f>
        <v>6.9500000000000006E-2</v>
      </c>
      <c r="P25" s="206">
        <f t="shared" si="74"/>
        <v>861000</v>
      </c>
      <c r="Q25" s="206">
        <f t="shared" si="75"/>
        <v>1139000</v>
      </c>
      <c r="R25" s="167"/>
      <c r="S25" s="184">
        <f t="shared" si="15"/>
        <v>6075.5502054214894</v>
      </c>
      <c r="T25" s="184">
        <f t="shared" si="15"/>
        <v>714.77061240252817</v>
      </c>
      <c r="U25" s="184">
        <f t="shared" si="15"/>
        <v>357.38530620126409</v>
      </c>
      <c r="V25" s="184">
        <f t="shared" si="15"/>
        <v>0</v>
      </c>
      <c r="W25" s="184">
        <f t="shared" si="15"/>
        <v>0</v>
      </c>
      <c r="X25" s="184">
        <f t="shared" si="76"/>
        <v>0</v>
      </c>
      <c r="Y25" s="184">
        <f t="shared" si="76"/>
        <v>357.38530620126409</v>
      </c>
      <c r="AA25" s="167">
        <f t="shared" si="16"/>
        <v>36912310.298597105</v>
      </c>
      <c r="AB25" s="167">
        <f t="shared" si="17"/>
        <v>510897.02835428517</v>
      </c>
      <c r="AC25" s="167">
        <f t="shared" si="18"/>
        <v>127724.25708857129</v>
      </c>
      <c r="AD25" s="167">
        <f t="shared" si="19"/>
        <v>0</v>
      </c>
      <c r="AE25" s="167">
        <f t="shared" si="20"/>
        <v>0</v>
      </c>
      <c r="AF25" s="167">
        <f t="shared" si="21"/>
        <v>0</v>
      </c>
      <c r="AG25" s="167">
        <f t="shared" si="22"/>
        <v>127724.25708857129</v>
      </c>
      <c r="AH25" s="167"/>
      <c r="AI25" s="153">
        <v>128</v>
      </c>
      <c r="AJ25">
        <f t="shared" si="4"/>
        <v>2</v>
      </c>
      <c r="AK25" s="187">
        <f t="shared" si="23"/>
        <v>6961.0882186780782</v>
      </c>
      <c r="AL25" s="187">
        <f t="shared" si="24"/>
        <v>1758.8885801226161</v>
      </c>
      <c r="AM25" s="187">
        <f t="shared" si="25"/>
        <v>753.80939148112122</v>
      </c>
      <c r="AN25" s="187">
        <f t="shared" si="26"/>
        <v>502.53959432074748</v>
      </c>
      <c r="AO25" s="187">
        <f t="shared" si="27"/>
        <v>502.53959432074748</v>
      </c>
      <c r="AP25" s="187">
        <f t="shared" si="28"/>
        <v>0</v>
      </c>
      <c r="AQ25" s="187">
        <f t="shared" si="29"/>
        <v>251.26979716037374</v>
      </c>
      <c r="AS25" s="187">
        <f t="shared" si="30"/>
        <v>24394842.380794406</v>
      </c>
      <c r="AT25" s="187">
        <f t="shared" si="31"/>
        <v>3093689.0372857526</v>
      </c>
      <c r="AU25" s="187">
        <f t="shared" si="32"/>
        <v>568228.59868513828</v>
      </c>
      <c r="AV25" s="187">
        <f t="shared" si="33"/>
        <v>252546.04386006144</v>
      </c>
      <c r="AW25" s="187">
        <f t="shared" si="34"/>
        <v>252546.04386006144</v>
      </c>
      <c r="AX25" s="187">
        <f t="shared" si="35"/>
        <v>0</v>
      </c>
      <c r="AY25" s="187">
        <f t="shared" si="36"/>
        <v>63136.510965015361</v>
      </c>
      <c r="BA25" s="167">
        <f t="shared" si="37"/>
        <v>577.00569613312246</v>
      </c>
      <c r="BB25" s="167">
        <f t="shared" si="38"/>
        <v>1758.8885801226161</v>
      </c>
      <c r="BC25" s="167">
        <f t="shared" si="39"/>
        <v>753.80939148112122</v>
      </c>
      <c r="BD25" s="167">
        <f t="shared" si="40"/>
        <v>502.53959432074748</v>
      </c>
      <c r="BE25" s="167">
        <f t="shared" si="41"/>
        <v>502.53959432074748</v>
      </c>
      <c r="BF25" s="167">
        <f t="shared" si="42"/>
        <v>0</v>
      </c>
      <c r="BG25" s="167">
        <f t="shared" si="43"/>
        <v>251.26979716037374</v>
      </c>
      <c r="BJ25" s="201">
        <f t="shared" si="8"/>
        <v>-1.7463700272290366E-4</v>
      </c>
      <c r="BK25" s="201">
        <f t="shared" si="9"/>
        <v>-1.5748900999400833E-4</v>
      </c>
      <c r="BL25" s="243">
        <f t="shared" si="44"/>
        <v>-2.6581427982818467E-4</v>
      </c>
      <c r="BM25" s="243">
        <f t="shared" si="45"/>
        <v>-5.4460641464362163E-4</v>
      </c>
      <c r="BN25" s="243">
        <f t="shared" si="46"/>
        <v>-2.502872033255793E-5</v>
      </c>
      <c r="BO25" s="243">
        <f t="shared" si="47"/>
        <v>5.6986688238666616E-4</v>
      </c>
      <c r="BR25" s="200">
        <f t="shared" si="48"/>
        <v>3.0498082720039461E-8</v>
      </c>
      <c r="BS25" s="201">
        <f t="shared" si="49"/>
        <v>2.4802788268892855E-8</v>
      </c>
      <c r="BT25" s="201">
        <f t="shared" si="50"/>
        <v>7.0657231360576459E-8</v>
      </c>
      <c r="BU25" s="201">
        <f t="shared" si="51"/>
        <v>2.9659614687098031E-7</v>
      </c>
      <c r="BV25" s="201">
        <f t="shared" si="52"/>
        <v>6.2643684148539878E-10</v>
      </c>
      <c r="BW25" s="201">
        <f t="shared" si="53"/>
        <v>3.2474826364109842E-7</v>
      </c>
      <c r="BY25">
        <f t="shared" si="54"/>
        <v>128</v>
      </c>
      <c r="BZ25">
        <f t="shared" si="55"/>
        <v>2</v>
      </c>
      <c r="CB25" s="200">
        <f t="shared" si="56"/>
        <v>1.2184923322232962E-4</v>
      </c>
      <c r="CC25" s="201">
        <f t="shared" si="57"/>
        <v>-6.2505095469225053E-5</v>
      </c>
      <c r="CD25" s="201">
        <f t="shared" si="58"/>
        <v>7.1903894590973918E-4</v>
      </c>
      <c r="CE25" s="201">
        <f t="shared" si="59"/>
        <v>1.3100097722896673E-4</v>
      </c>
      <c r="CF25" s="201">
        <f t="shared" si="60"/>
        <v>-5.27914385848075E-5</v>
      </c>
      <c r="CG25" s="201">
        <f t="shared" si="61"/>
        <v>-7.7720729027633259E-5</v>
      </c>
      <c r="CJ25" s="201">
        <f t="shared" si="62"/>
        <v>1.656859513897341E-7</v>
      </c>
      <c r="CK25" s="201">
        <f t="shared" si="63"/>
        <v>2.877431303905583E-8</v>
      </c>
      <c r="CL25" s="201">
        <f t="shared" si="64"/>
        <v>5.1701700573498885E-7</v>
      </c>
      <c r="CM25" s="201">
        <f t="shared" si="65"/>
        <v>1.7161256034944261E-8</v>
      </c>
      <c r="CN25" s="201">
        <f t="shared" si="66"/>
        <v>2.7869359878535019E-9</v>
      </c>
      <c r="CO25" s="201">
        <f t="shared" si="67"/>
        <v>6.040511720586795E-9</v>
      </c>
      <c r="CR25" s="243">
        <f t="shared" si="68"/>
        <v>5.6260524983561832E-4</v>
      </c>
      <c r="CS25" s="243">
        <f t="shared" si="77"/>
        <v>2.3160686328020316E-4</v>
      </c>
      <c r="CT25" s="243">
        <f t="shared" si="78"/>
        <v>7.1903894590973918E-4</v>
      </c>
      <c r="CU25" s="243">
        <f t="shared" si="79"/>
        <v>1.3100097722896673E-4</v>
      </c>
      <c r="CV25" s="243">
        <f t="shared" si="80"/>
        <v>5.27914385848075E-5</v>
      </c>
      <c r="CW25" s="243">
        <f t="shared" si="81"/>
        <v>7.7720729027633259E-5</v>
      </c>
      <c r="CY25" s="243">
        <f>+N17*N17</f>
        <v>7.5787926862190891E-5</v>
      </c>
      <c r="CZ25" s="243">
        <f>1/M8</f>
        <v>3.4251267296889983E-7</v>
      </c>
    </row>
    <row r="26" spans="1:104" x14ac:dyDescent="0.25">
      <c r="A26" s="122">
        <v>11210</v>
      </c>
      <c r="B26" s="153">
        <v>112</v>
      </c>
      <c r="C26" s="184">
        <f>+'Sampling Weights'!R26</f>
        <v>127.9394454110693</v>
      </c>
      <c r="D26" s="155">
        <f>+SUM('Sampling Weights'!I26:N26)</f>
        <v>12</v>
      </c>
      <c r="E26" s="155">
        <v>3</v>
      </c>
      <c r="F26" s="155">
        <v>3</v>
      </c>
      <c r="G26" s="155">
        <v>1</v>
      </c>
      <c r="H26" s="154">
        <v>3</v>
      </c>
      <c r="I26" s="154">
        <v>0</v>
      </c>
      <c r="J26" s="154">
        <v>0</v>
      </c>
      <c r="K26" s="155"/>
      <c r="L26" s="172"/>
      <c r="M26" s="206">
        <v>750000</v>
      </c>
      <c r="N26" s="206">
        <f t="shared" ref="N26:N32" si="83">ROUND(SQRT(CY$16*M26+CZ$16*(M26^2)),-$J$4)</f>
        <v>54700</v>
      </c>
      <c r="O26" s="205">
        <f t="shared" si="82"/>
        <v>7.2933333333333336E-2</v>
      </c>
      <c r="P26" s="206">
        <f t="shared" si="74"/>
        <v>640600</v>
      </c>
      <c r="Q26" s="206">
        <f t="shared" si="75"/>
        <v>859400</v>
      </c>
      <c r="R26" s="167"/>
      <c r="S26" s="184">
        <f t="shared" si="15"/>
        <v>1535.2733449328316</v>
      </c>
      <c r="T26" s="184">
        <f t="shared" si="15"/>
        <v>383.8183362332079</v>
      </c>
      <c r="U26" s="184">
        <f t="shared" si="15"/>
        <v>383.8183362332079</v>
      </c>
      <c r="V26" s="184">
        <f t="shared" si="15"/>
        <v>127.9394454110693</v>
      </c>
      <c r="W26" s="184">
        <f t="shared" si="15"/>
        <v>383.8183362332079</v>
      </c>
      <c r="X26" s="184">
        <f t="shared" si="76"/>
        <v>0</v>
      </c>
      <c r="Y26" s="184">
        <f t="shared" si="76"/>
        <v>0</v>
      </c>
      <c r="AA26" s="167">
        <f t="shared" si="16"/>
        <v>2357064.2436612453</v>
      </c>
      <c r="AB26" s="167">
        <f t="shared" si="17"/>
        <v>147316.51522882783</v>
      </c>
      <c r="AC26" s="167">
        <f t="shared" si="18"/>
        <v>147316.51522882783</v>
      </c>
      <c r="AD26" s="167">
        <f t="shared" si="19"/>
        <v>16368.501692091981</v>
      </c>
      <c r="AE26" s="167">
        <f t="shared" si="20"/>
        <v>147316.51522882783</v>
      </c>
      <c r="AF26" s="167">
        <f t="shared" si="21"/>
        <v>0</v>
      </c>
      <c r="AG26" s="167">
        <f t="shared" si="22"/>
        <v>0</v>
      </c>
      <c r="AH26" s="167"/>
      <c r="AI26" s="153">
        <v>129</v>
      </c>
      <c r="AJ26">
        <f t="shared" si="4"/>
        <v>4</v>
      </c>
      <c r="AK26" s="187">
        <f t="shared" si="23"/>
        <v>12845.204427356568</v>
      </c>
      <c r="AL26" s="187">
        <f t="shared" si="24"/>
        <v>3885.8442760334592</v>
      </c>
      <c r="AM26" s="187">
        <f t="shared" si="25"/>
        <v>3068.3742363006236</v>
      </c>
      <c r="AN26" s="187">
        <f t="shared" si="26"/>
        <v>2150.1512352524273</v>
      </c>
      <c r="AO26" s="187">
        <f t="shared" si="27"/>
        <v>1045.872447849435</v>
      </c>
      <c r="AP26" s="187">
        <f t="shared" si="28"/>
        <v>0</v>
      </c>
      <c r="AQ26" s="187">
        <f t="shared" si="29"/>
        <v>2022.5017884511885</v>
      </c>
      <c r="AS26" s="187">
        <f t="shared" si="30"/>
        <v>55035929.307927459</v>
      </c>
      <c r="AT26" s="187">
        <f t="shared" si="31"/>
        <v>7164498.3145336248</v>
      </c>
      <c r="AU26" s="187">
        <f t="shared" si="32"/>
        <v>4567412.8810852068</v>
      </c>
      <c r="AV26" s="187">
        <f t="shared" si="33"/>
        <v>2546329.6373793459</v>
      </c>
      <c r="AW26" s="187">
        <f t="shared" si="34"/>
        <v>903402.0030402476</v>
      </c>
      <c r="AX26" s="187">
        <f t="shared" si="35"/>
        <v>0</v>
      </c>
      <c r="AY26" s="187">
        <f t="shared" si="36"/>
        <v>1857206.871964464</v>
      </c>
      <c r="BA26" s="167">
        <f t="shared" si="37"/>
        <v>4287.3628433311251</v>
      </c>
      <c r="BB26" s="167">
        <f t="shared" si="38"/>
        <v>2125.8886393343455</v>
      </c>
      <c r="BC26" s="167">
        <f t="shared" si="39"/>
        <v>1718.0154316679261</v>
      </c>
      <c r="BD26" s="167">
        <f t="shared" si="40"/>
        <v>1361.6372761079269</v>
      </c>
      <c r="BE26" s="167">
        <f t="shared" si="41"/>
        <v>916.47128250888136</v>
      </c>
      <c r="BF26" s="167">
        <f t="shared" si="42"/>
        <v>0</v>
      </c>
      <c r="BG26" s="167">
        <f t="shared" si="43"/>
        <v>1054.8797725443405</v>
      </c>
      <c r="BJ26" s="201">
        <f t="shared" si="8"/>
        <v>2.5467622826234385E-5</v>
      </c>
      <c r="BK26" s="201">
        <f t="shared" si="9"/>
        <v>6.0733256131585813E-5</v>
      </c>
      <c r="BL26" s="243">
        <f t="shared" si="44"/>
        <v>4.0319852115067178E-5</v>
      </c>
      <c r="BM26" s="243">
        <f t="shared" si="45"/>
        <v>3.9249633818185762E-4</v>
      </c>
      <c r="BN26" s="243">
        <f t="shared" si="46"/>
        <v>-2.6879901410044787E-5</v>
      </c>
      <c r="BO26" s="243">
        <f t="shared" si="47"/>
        <v>-3.6536754879579392E-4</v>
      </c>
      <c r="BR26" s="200">
        <f t="shared" si="48"/>
        <v>6.4859981241933475E-10</v>
      </c>
      <c r="BS26" s="201">
        <f t="shared" si="49"/>
        <v>3.6885284003448059E-9</v>
      </c>
      <c r="BT26" s="201">
        <f t="shared" si="50"/>
        <v>1.6256904745808872E-9</v>
      </c>
      <c r="BU26" s="201">
        <f t="shared" si="51"/>
        <v>1.5405337548616715E-7</v>
      </c>
      <c r="BV26" s="201">
        <f t="shared" si="52"/>
        <v>7.2252909981372772E-10</v>
      </c>
      <c r="BW26" s="201">
        <f t="shared" si="53"/>
        <v>1.3349344571304686E-7</v>
      </c>
      <c r="BY26">
        <f t="shared" si="54"/>
        <v>129</v>
      </c>
      <c r="BZ26">
        <f t="shared" si="55"/>
        <v>4</v>
      </c>
      <c r="CB26" s="200">
        <f t="shared" si="56"/>
        <v>4.4412009010593237E-4</v>
      </c>
      <c r="CC26" s="201">
        <f t="shared" si="57"/>
        <v>4.5918397236470085E-4</v>
      </c>
      <c r="CD26" s="201">
        <f t="shared" si="58"/>
        <v>3.1931221049751723E-3</v>
      </c>
      <c r="CE26" s="201">
        <f t="shared" si="59"/>
        <v>-2.0124973357365859E-3</v>
      </c>
      <c r="CF26" s="201">
        <f t="shared" si="60"/>
        <v>-2.148870681122667E-4</v>
      </c>
      <c r="CG26" s="201">
        <f t="shared" si="61"/>
        <v>2.2293740989239659E-3</v>
      </c>
      <c r="CJ26" s="201">
        <f t="shared" si="62"/>
        <v>2.0026634062529284E-7</v>
      </c>
      <c r="CK26" s="201">
        <f t="shared" si="63"/>
        <v>1.7248228440762031E-7</v>
      </c>
      <c r="CL26" s="201">
        <f t="shared" si="64"/>
        <v>6.177754126458694E-6</v>
      </c>
      <c r="CM26" s="201">
        <f t="shared" si="65"/>
        <v>2.4418720304109883E-6</v>
      </c>
      <c r="CN26" s="201">
        <f t="shared" si="66"/>
        <v>2.240134931458341E-8</v>
      </c>
      <c r="CO26" s="201">
        <f t="shared" si="67"/>
        <v>2.7981838391257002E-6</v>
      </c>
      <c r="CR26" s="243">
        <f t="shared" si="68"/>
        <v>4.4863597272379226E-4</v>
      </c>
      <c r="CS26" s="243">
        <f t="shared" si="77"/>
        <v>3.9961615631080066E-4</v>
      </c>
      <c r="CT26" s="243">
        <f t="shared" si="78"/>
        <v>2.1996202496911217E-3</v>
      </c>
      <c r="CU26" s="243">
        <f t="shared" si="79"/>
        <v>1.3805002227812325E-3</v>
      </c>
      <c r="CV26" s="243">
        <f t="shared" si="80"/>
        <v>1.2031755928437557E-4</v>
      </c>
      <c r="CW26" s="243">
        <f t="shared" si="81"/>
        <v>1.4402113830441414E-3</v>
      </c>
      <c r="CY26" s="243">
        <f>+N18*N18</f>
        <v>1.4662698002885345E-3</v>
      </c>
      <c r="CZ26" s="243">
        <f>1/M10</f>
        <v>2.546473134708429E-6</v>
      </c>
    </row>
    <row r="27" spans="1:104" x14ac:dyDescent="0.25">
      <c r="A27" s="122">
        <v>11211</v>
      </c>
      <c r="B27" s="153">
        <v>112</v>
      </c>
      <c r="C27" s="184">
        <f>+'Sampling Weights'!R27</f>
        <v>216.55450103310659</v>
      </c>
      <c r="D27" s="155">
        <f>+SUM('Sampling Weights'!I27:N27)</f>
        <v>12</v>
      </c>
      <c r="E27" s="155">
        <v>2</v>
      </c>
      <c r="F27" s="155">
        <v>1</v>
      </c>
      <c r="G27" s="155">
        <v>0</v>
      </c>
      <c r="H27" s="154">
        <v>1</v>
      </c>
      <c r="I27" s="154">
        <v>0</v>
      </c>
      <c r="J27" s="154">
        <v>0</v>
      </c>
      <c r="K27" s="155"/>
      <c r="L27" s="172"/>
      <c r="M27" s="206">
        <v>500000</v>
      </c>
      <c r="N27" s="206">
        <f t="shared" si="83"/>
        <v>39600</v>
      </c>
      <c r="O27" s="205">
        <f t="shared" si="82"/>
        <v>7.9200000000000007E-2</v>
      </c>
      <c r="P27" s="206">
        <f t="shared" si="74"/>
        <v>420800</v>
      </c>
      <c r="Q27" s="206">
        <f t="shared" si="75"/>
        <v>579200</v>
      </c>
      <c r="R27" s="167"/>
      <c r="S27" s="184">
        <f t="shared" si="15"/>
        <v>2598.6540123972791</v>
      </c>
      <c r="T27" s="184">
        <f t="shared" si="15"/>
        <v>433.10900206621318</v>
      </c>
      <c r="U27" s="184">
        <f t="shared" si="15"/>
        <v>216.55450103310659</v>
      </c>
      <c r="V27" s="184">
        <f t="shared" si="15"/>
        <v>0</v>
      </c>
      <c r="W27" s="184">
        <f t="shared" si="15"/>
        <v>216.55450103310659</v>
      </c>
      <c r="X27" s="184">
        <f t="shared" si="76"/>
        <v>0</v>
      </c>
      <c r="Y27" s="184">
        <f t="shared" si="76"/>
        <v>0</v>
      </c>
      <c r="AA27" s="167">
        <f t="shared" si="16"/>
        <v>6753002.6761484779</v>
      </c>
      <c r="AB27" s="167">
        <f t="shared" si="17"/>
        <v>187583.40767079106</v>
      </c>
      <c r="AC27" s="167">
        <f t="shared" si="18"/>
        <v>46895.851917697764</v>
      </c>
      <c r="AD27" s="167">
        <f t="shared" si="19"/>
        <v>0</v>
      </c>
      <c r="AE27" s="167">
        <f t="shared" si="20"/>
        <v>46895.851917697764</v>
      </c>
      <c r="AF27" s="167">
        <f t="shared" si="21"/>
        <v>0</v>
      </c>
      <c r="AG27" s="167">
        <f t="shared" si="22"/>
        <v>0</v>
      </c>
      <c r="AH27" s="167"/>
      <c r="AI27" s="153">
        <v>130</v>
      </c>
      <c r="AJ27">
        <f t="shared" si="4"/>
        <v>3</v>
      </c>
      <c r="AK27" s="187">
        <f t="shared" si="23"/>
        <v>10120.009420801736</v>
      </c>
      <c r="AL27" s="187">
        <f t="shared" si="24"/>
        <v>1929.8520804506925</v>
      </c>
      <c r="AM27" s="187">
        <f t="shared" si="25"/>
        <v>1215.9707848898429</v>
      </c>
      <c r="AN27" s="187">
        <f t="shared" si="26"/>
        <v>0</v>
      </c>
      <c r="AO27" s="187">
        <f t="shared" si="27"/>
        <v>824.32328567723403</v>
      </c>
      <c r="AP27" s="187">
        <f t="shared" si="28"/>
        <v>0</v>
      </c>
      <c r="AQ27" s="187">
        <f t="shared" si="29"/>
        <v>391.64749921260898</v>
      </c>
      <c r="AS27" s="187">
        <f t="shared" si="30"/>
        <v>50824893.750743091</v>
      </c>
      <c r="AT27" s="187">
        <f t="shared" si="31"/>
        <v>1438210.262645592</v>
      </c>
      <c r="AU27" s="187">
        <f t="shared" si="32"/>
        <v>583370.12217954639</v>
      </c>
      <c r="AV27" s="187">
        <f t="shared" si="33"/>
        <v>0</v>
      </c>
      <c r="AW27" s="187">
        <f t="shared" si="34"/>
        <v>339783.43107488129</v>
      </c>
      <c r="AX27" s="187">
        <f t="shared" si="35"/>
        <v>0</v>
      </c>
      <c r="AY27" s="187">
        <f t="shared" si="36"/>
        <v>76833.440743978979</v>
      </c>
      <c r="BA27" s="167">
        <f t="shared" si="37"/>
        <v>5003.0036265784074</v>
      </c>
      <c r="BB27" s="167">
        <f t="shared" si="38"/>
        <v>543.27789183663174</v>
      </c>
      <c r="BC27" s="167">
        <f t="shared" si="39"/>
        <v>368.45991426003064</v>
      </c>
      <c r="BD27" s="167">
        <f t="shared" si="40"/>
        <v>0</v>
      </c>
      <c r="BE27" s="167">
        <f t="shared" si="41"/>
        <v>412.21439440837889</v>
      </c>
      <c r="BF27" s="167">
        <f t="shared" si="42"/>
        <v>0</v>
      </c>
      <c r="BG27" s="167">
        <f t="shared" si="43"/>
        <v>196.35752925778831</v>
      </c>
      <c r="BJ27" s="201">
        <f t="shared" si="8"/>
        <v>-3.1065327394635973E-5</v>
      </c>
      <c r="BK27" s="201">
        <f t="shared" si="9"/>
        <v>-4.5546220929917726E-5</v>
      </c>
      <c r="BL27" s="243">
        <f t="shared" si="44"/>
        <v>-1.6106783837175983E-4</v>
      </c>
      <c r="BM27" s="243">
        <f t="shared" si="45"/>
        <v>2.2145072459656953E-4</v>
      </c>
      <c r="BN27" s="243">
        <f t="shared" si="46"/>
        <v>-1.5165934214603368E-5</v>
      </c>
      <c r="BO27" s="243">
        <f t="shared" si="47"/>
        <v>-2.0614436506516431E-4</v>
      </c>
      <c r="BR27" s="200">
        <f t="shared" si="48"/>
        <v>9.6505456613592025E-10</v>
      </c>
      <c r="BS27" s="201">
        <f t="shared" si="49"/>
        <v>2.0744582409968754E-9</v>
      </c>
      <c r="BT27" s="201">
        <f t="shared" si="50"/>
        <v>2.5942848557751347E-8</v>
      </c>
      <c r="BU27" s="201">
        <f t="shared" si="51"/>
        <v>4.9040423424345686E-8</v>
      </c>
      <c r="BV27" s="201">
        <f t="shared" si="52"/>
        <v>2.3000556060167708E-10</v>
      </c>
      <c r="BW27" s="201">
        <f t="shared" si="53"/>
        <v>4.2495499248119735E-8</v>
      </c>
      <c r="BY27">
        <f t="shared" si="54"/>
        <v>130</v>
      </c>
      <c r="BZ27">
        <f t="shared" si="55"/>
        <v>3</v>
      </c>
      <c r="CB27" s="200">
        <f t="shared" si="56"/>
        <v>-3.7685006122476199E-5</v>
      </c>
      <c r="CC27" s="201">
        <f t="shared" si="57"/>
        <v>-4.973911364651858E-5</v>
      </c>
      <c r="CD27" s="201">
        <f t="shared" si="58"/>
        <v>-9.0440875119689743E-4</v>
      </c>
      <c r="CE27" s="201">
        <f t="shared" si="59"/>
        <v>2.4614363545668905E-4</v>
      </c>
      <c r="CF27" s="201">
        <f t="shared" si="60"/>
        <v>-8.5157929493692177E-5</v>
      </c>
      <c r="CG27" s="201">
        <f t="shared" si="61"/>
        <v>-1.6019720661583325E-4</v>
      </c>
      <c r="CJ27" s="201">
        <f t="shared" si="62"/>
        <v>4.6158084331212245E-8</v>
      </c>
      <c r="CK27" s="201">
        <f t="shared" si="63"/>
        <v>3.8313665011720048E-8</v>
      </c>
      <c r="CL27" s="201">
        <f t="shared" si="64"/>
        <v>3.2272113873486172E-7</v>
      </c>
      <c r="CM27" s="201">
        <f t="shared" si="65"/>
        <v>2.7388692724533033E-7</v>
      </c>
      <c r="CN27" s="201">
        <f t="shared" si="66"/>
        <v>2.8611991573510277E-9</v>
      </c>
      <c r="CO27" s="201">
        <f t="shared" si="67"/>
        <v>2.5014187380325951E-7</v>
      </c>
      <c r="CR27" s="243">
        <f t="shared" si="68"/>
        <v>2.6177671144239102E-4</v>
      </c>
      <c r="CS27" s="243">
        <f t="shared" si="77"/>
        <v>2.3713605336264125E-4</v>
      </c>
      <c r="CT27" s="243">
        <f t="shared" si="78"/>
        <v>2.7405129717176439E-4</v>
      </c>
      <c r="CU27" s="243">
        <f t="shared" si="79"/>
        <v>6.1687684851198445E-4</v>
      </c>
      <c r="CV27" s="243">
        <f t="shared" si="80"/>
        <v>2.5804306969965654E-5</v>
      </c>
      <c r="CW27" s="243">
        <f t="shared" si="81"/>
        <v>6.0198109455458088E-4</v>
      </c>
      <c r="CY27" s="243">
        <f t="shared" ref="CY27:CY29" si="84">+N19*N19</f>
        <v>1.0932785561949049E-4</v>
      </c>
      <c r="CZ27" s="243">
        <f>1/M10</f>
        <v>2.546473134708429E-6</v>
      </c>
    </row>
    <row r="28" spans="1:104" x14ac:dyDescent="0.25">
      <c r="A28" s="122">
        <v>21210</v>
      </c>
      <c r="B28" s="153">
        <v>212</v>
      </c>
      <c r="C28" s="184">
        <f>+'Sampling Weights'!R28</f>
        <v>1203.6219701852401</v>
      </c>
      <c r="D28" s="155">
        <f>+SUM('Sampling Weights'!I28:N28)</f>
        <v>13</v>
      </c>
      <c r="E28" s="155">
        <v>5</v>
      </c>
      <c r="F28" s="155">
        <v>4</v>
      </c>
      <c r="G28" s="155">
        <v>2</v>
      </c>
      <c r="H28" s="154">
        <v>4</v>
      </c>
      <c r="I28" s="154">
        <v>0</v>
      </c>
      <c r="J28" s="154">
        <v>0</v>
      </c>
      <c r="K28" s="155"/>
      <c r="L28" s="172"/>
      <c r="M28" s="206">
        <v>250000</v>
      </c>
      <c r="N28" s="206">
        <f t="shared" si="83"/>
        <v>23900</v>
      </c>
      <c r="O28" s="205">
        <f t="shared" si="82"/>
        <v>9.5600000000000004E-2</v>
      </c>
      <c r="P28" s="206">
        <f t="shared" si="74"/>
        <v>202200</v>
      </c>
      <c r="Q28" s="206">
        <f t="shared" si="75"/>
        <v>297800</v>
      </c>
      <c r="R28" s="167"/>
      <c r="S28" s="184">
        <f t="shared" si="15"/>
        <v>15647.085612408122</v>
      </c>
      <c r="T28" s="184">
        <f t="shared" si="15"/>
        <v>6018.109850926201</v>
      </c>
      <c r="U28" s="184">
        <f t="shared" si="15"/>
        <v>4814.4878807409605</v>
      </c>
      <c r="V28" s="184">
        <f t="shared" si="15"/>
        <v>2407.2439403704802</v>
      </c>
      <c r="W28" s="184">
        <f t="shared" si="15"/>
        <v>4814.4878807409605</v>
      </c>
      <c r="X28" s="184">
        <f t="shared" si="76"/>
        <v>0</v>
      </c>
      <c r="Y28" s="184">
        <f t="shared" si="76"/>
        <v>0</v>
      </c>
      <c r="AA28" s="167">
        <f t="shared" si="16"/>
        <v>244831288.16202927</v>
      </c>
      <c r="AB28" s="167">
        <f t="shared" si="17"/>
        <v>36217646.177814983</v>
      </c>
      <c r="AC28" s="167">
        <f t="shared" si="18"/>
        <v>23179293.553801585</v>
      </c>
      <c r="AD28" s="167">
        <f t="shared" si="19"/>
        <v>5794823.3884503962</v>
      </c>
      <c r="AE28" s="167">
        <f t="shared" si="20"/>
        <v>23179293.553801585</v>
      </c>
      <c r="AF28" s="167">
        <f t="shared" si="21"/>
        <v>0</v>
      </c>
      <c r="AG28" s="167">
        <f t="shared" si="22"/>
        <v>0</v>
      </c>
      <c r="AH28" s="167"/>
      <c r="AI28" s="153">
        <v>131</v>
      </c>
      <c r="AJ28">
        <f t="shared" si="4"/>
        <v>1</v>
      </c>
      <c r="AK28" s="187">
        <f t="shared" si="23"/>
        <v>1474.9671292370081</v>
      </c>
      <c r="AL28" s="187">
        <f t="shared" si="24"/>
        <v>347.05108923223719</v>
      </c>
      <c r="AM28" s="187">
        <f t="shared" si="25"/>
        <v>260.28831692417788</v>
      </c>
      <c r="AN28" s="187">
        <f t="shared" si="26"/>
        <v>86.762772308059297</v>
      </c>
      <c r="AO28" s="187">
        <f t="shared" si="27"/>
        <v>86.762772308059297</v>
      </c>
      <c r="AP28" s="187">
        <f t="shared" si="28"/>
        <v>173.52554461611859</v>
      </c>
      <c r="AQ28" s="187">
        <f t="shared" si="29"/>
        <v>0</v>
      </c>
      <c r="AS28" s="187">
        <f t="shared" si="30"/>
        <v>2175528.0323296608</v>
      </c>
      <c r="AT28" s="187">
        <f t="shared" si="31"/>
        <v>120444.45853728226</v>
      </c>
      <c r="AU28" s="187">
        <f t="shared" si="32"/>
        <v>67750.007927221261</v>
      </c>
      <c r="AV28" s="187">
        <f t="shared" si="33"/>
        <v>7527.7786585801414</v>
      </c>
      <c r="AW28" s="187">
        <f t="shared" si="34"/>
        <v>7527.7786585801414</v>
      </c>
      <c r="AX28" s="187">
        <f t="shared" si="35"/>
        <v>30111.114634320566</v>
      </c>
      <c r="AY28" s="187">
        <f t="shared" si="36"/>
        <v>0</v>
      </c>
      <c r="BA28" s="167">
        <f t="shared" si="37"/>
        <v>0</v>
      </c>
      <c r="BB28" s="167">
        <f t="shared" si="38"/>
        <v>0</v>
      </c>
      <c r="BC28" s="167">
        <f t="shared" si="39"/>
        <v>0</v>
      </c>
      <c r="BD28" s="167">
        <f t="shared" si="40"/>
        <v>0</v>
      </c>
      <c r="BE28" s="167">
        <f t="shared" si="41"/>
        <v>0</v>
      </c>
      <c r="BF28" s="167">
        <f t="shared" si="42"/>
        <v>0</v>
      </c>
      <c r="BG28" s="167">
        <f t="shared" si="43"/>
        <v>0</v>
      </c>
      <c r="BJ28" s="201">
        <f t="shared" si="8"/>
        <v>9.8100665139314903E-4</v>
      </c>
      <c r="BK28" s="201">
        <f t="shared" si="9"/>
        <v>9.2816855294747562E-4</v>
      </c>
      <c r="BL28" s="243">
        <f t="shared" si="44"/>
        <v>2.5490859799599595E-3</v>
      </c>
      <c r="BM28" s="243">
        <f t="shared" si="45"/>
        <v>4.9233418131008639E-3</v>
      </c>
      <c r="BN28" s="243">
        <f t="shared" si="46"/>
        <v>-3.371724260081759E-4</v>
      </c>
      <c r="BO28" s="243">
        <f t="shared" si="47"/>
        <v>-4.5830474201852059E-3</v>
      </c>
      <c r="BR28" s="200">
        <f t="shared" si="48"/>
        <v>9.6237405007759942E-7</v>
      </c>
      <c r="BS28" s="201">
        <f t="shared" si="49"/>
        <v>8.6149686268061086E-7</v>
      </c>
      <c r="BT28" s="201">
        <f t="shared" si="50"/>
        <v>6.4978393332284271E-6</v>
      </c>
      <c r="BU28" s="201">
        <f t="shared" si="51"/>
        <v>2.4239294608627302E-5</v>
      </c>
      <c r="BV28" s="201">
        <f t="shared" si="52"/>
        <v>1.1368524486023885E-7</v>
      </c>
      <c r="BW28" s="201">
        <f t="shared" si="53"/>
        <v>2.1004323655666271E-5</v>
      </c>
      <c r="BY28">
        <f t="shared" si="54"/>
        <v>131</v>
      </c>
      <c r="BZ28">
        <f t="shared" si="55"/>
        <v>1</v>
      </c>
      <c r="CB28" s="200">
        <f t="shared" si="56"/>
        <v>1.7037906078649274E-5</v>
      </c>
      <c r="CC28" s="201">
        <f t="shared" si="57"/>
        <v>2.1200940660265589E-5</v>
      </c>
      <c r="CD28" s="201">
        <f t="shared" si="58"/>
        <v>2.7343108587928345E-5</v>
      </c>
      <c r="CE28" s="201">
        <f t="shared" si="59"/>
        <v>-1.7570479037057647E-4</v>
      </c>
      <c r="CF28" s="201">
        <f t="shared" si="60"/>
        <v>4.2364939849197597E-4</v>
      </c>
      <c r="CG28" s="201">
        <f t="shared" si="61"/>
        <v>-2.4777582350048633E-4</v>
      </c>
      <c r="CJ28" s="201">
        <f t="shared" si="62"/>
        <v>2.9029024354487385E-10</v>
      </c>
      <c r="CK28" s="201">
        <f t="shared" si="63"/>
        <v>4.4947988488010269E-10</v>
      </c>
      <c r="CL28" s="201">
        <f t="shared" si="64"/>
        <v>7.4764558725124077E-10</v>
      </c>
      <c r="CM28" s="201">
        <f t="shared" si="65"/>
        <v>3.087217335916822E-8</v>
      </c>
      <c r="CN28" s="201">
        <f t="shared" si="66"/>
        <v>1.7947881284261304E-7</v>
      </c>
      <c r="CO28" s="201">
        <f t="shared" si="67"/>
        <v>6.1392858711344159E-8</v>
      </c>
      <c r="CR28" s="243">
        <f t="shared" si="68"/>
        <v>0</v>
      </c>
      <c r="CS28" s="243">
        <f t="shared" si="77"/>
        <v>0</v>
      </c>
      <c r="CT28" s="243">
        <f t="shared" si="78"/>
        <v>0</v>
      </c>
      <c r="CU28" s="243">
        <f t="shared" si="79"/>
        <v>0</v>
      </c>
      <c r="CV28" s="243">
        <f t="shared" si="80"/>
        <v>0</v>
      </c>
      <c r="CW28" s="243">
        <f t="shared" si="81"/>
        <v>0</v>
      </c>
      <c r="CY28" s="243">
        <f t="shared" si="84"/>
        <v>1.4499928642856571E-3</v>
      </c>
      <c r="CZ28" s="243">
        <f>1/M10</f>
        <v>2.546473134708429E-6</v>
      </c>
    </row>
    <row r="29" spans="1:104" x14ac:dyDescent="0.25">
      <c r="A29" s="122">
        <v>21211</v>
      </c>
      <c r="B29" s="153">
        <v>212</v>
      </c>
      <c r="C29" s="184">
        <f>+'Sampling Weights'!R29</f>
        <v>1198.9538223799052</v>
      </c>
      <c r="D29" s="155">
        <f>+SUM('Sampling Weights'!I29:N29)</f>
        <v>11</v>
      </c>
      <c r="E29" s="155">
        <v>0</v>
      </c>
      <c r="F29" s="155">
        <v>0</v>
      </c>
      <c r="G29" s="155">
        <v>0</v>
      </c>
      <c r="H29" s="154">
        <v>0</v>
      </c>
      <c r="I29" s="154">
        <v>0</v>
      </c>
      <c r="J29" s="154">
        <v>0</v>
      </c>
      <c r="K29" s="155"/>
      <c r="L29" s="172"/>
      <c r="M29" s="206">
        <v>100000</v>
      </c>
      <c r="N29" s="206">
        <f t="shared" si="83"/>
        <v>13400</v>
      </c>
      <c r="O29" s="205">
        <f t="shared" si="82"/>
        <v>0.13400000000000001</v>
      </c>
      <c r="P29" s="206">
        <f t="shared" si="74"/>
        <v>73200</v>
      </c>
      <c r="Q29" s="206">
        <f t="shared" si="75"/>
        <v>126800</v>
      </c>
      <c r="R29" s="167"/>
      <c r="S29" s="184">
        <f t="shared" si="15"/>
        <v>13188.492046178957</v>
      </c>
      <c r="T29" s="184">
        <f t="shared" si="15"/>
        <v>0</v>
      </c>
      <c r="U29" s="184">
        <f t="shared" si="15"/>
        <v>0</v>
      </c>
      <c r="V29" s="184">
        <f t="shared" si="15"/>
        <v>0</v>
      </c>
      <c r="W29" s="184">
        <f t="shared" si="15"/>
        <v>0</v>
      </c>
      <c r="X29" s="184">
        <f t="shared" si="76"/>
        <v>0</v>
      </c>
      <c r="Y29" s="184">
        <f t="shared" si="76"/>
        <v>0</v>
      </c>
      <c r="AA29" s="167">
        <f t="shared" si="16"/>
        <v>173936322.45212561</v>
      </c>
      <c r="AB29" s="167">
        <f t="shared" si="17"/>
        <v>0</v>
      </c>
      <c r="AC29" s="167">
        <f t="shared" si="18"/>
        <v>0</v>
      </c>
      <c r="AD29" s="167">
        <f t="shared" si="19"/>
        <v>0</v>
      </c>
      <c r="AE29" s="167">
        <f t="shared" si="20"/>
        <v>0</v>
      </c>
      <c r="AF29" s="167">
        <f t="shared" si="21"/>
        <v>0</v>
      </c>
      <c r="AG29" s="167">
        <f t="shared" si="22"/>
        <v>0</v>
      </c>
      <c r="AI29" s="153">
        <v>211</v>
      </c>
      <c r="AJ29">
        <f t="shared" si="4"/>
        <v>9</v>
      </c>
      <c r="AK29" s="187">
        <f t="shared" si="23"/>
        <v>240260.01314883915</v>
      </c>
      <c r="AL29" s="187">
        <f t="shared" si="24"/>
        <v>51379.368011742743</v>
      </c>
      <c r="AM29" s="187">
        <f t="shared" si="25"/>
        <v>39291.799564670495</v>
      </c>
      <c r="AN29" s="187">
        <f t="shared" si="26"/>
        <v>19821.870283981494</v>
      </c>
      <c r="AO29" s="187">
        <f t="shared" si="27"/>
        <v>27674.793553556188</v>
      </c>
      <c r="AP29" s="187">
        <f t="shared" si="28"/>
        <v>0</v>
      </c>
      <c r="AQ29" s="187">
        <f t="shared" si="29"/>
        <v>11617.006011114305</v>
      </c>
      <c r="AS29" s="187">
        <f t="shared" si="30"/>
        <v>7674242579.6221199</v>
      </c>
      <c r="AT29" s="187">
        <f t="shared" si="31"/>
        <v>564670129.90853906</v>
      </c>
      <c r="AU29" s="187">
        <f t="shared" si="32"/>
        <v>315963100.96339607</v>
      </c>
      <c r="AV29" s="187">
        <f t="shared" si="33"/>
        <v>108841357.56332096</v>
      </c>
      <c r="AW29" s="187">
        <f t="shared" si="34"/>
        <v>204983605.21529621</v>
      </c>
      <c r="AX29" s="187">
        <f t="shared" si="35"/>
        <v>0</v>
      </c>
      <c r="AY29" s="187">
        <f t="shared" si="36"/>
        <v>42643288.18288815</v>
      </c>
      <c r="BA29" s="167">
        <f t="shared" si="37"/>
        <v>37655.194360006142</v>
      </c>
      <c r="BB29" s="167">
        <f t="shared" si="38"/>
        <v>17472.091002119487</v>
      </c>
      <c r="BC29" s="167">
        <f t="shared" si="39"/>
        <v>12746.677977223731</v>
      </c>
      <c r="BD29" s="167">
        <f t="shared" si="40"/>
        <v>8563.4811592227215</v>
      </c>
      <c r="BE29" s="167">
        <f t="shared" si="41"/>
        <v>11613.344956911158</v>
      </c>
      <c r="BF29" s="167">
        <f t="shared" si="42"/>
        <v>0</v>
      </c>
      <c r="BG29" s="167">
        <f t="shared" si="43"/>
        <v>5577.1270043783234</v>
      </c>
      <c r="BJ29" s="201">
        <f t="shared" si="8"/>
        <v>-9.1053134085939552E-4</v>
      </c>
      <c r="BK29" s="201">
        <f t="shared" si="9"/>
        <v>-6.0758820315290503E-4</v>
      </c>
      <c r="BL29" s="243">
        <f t="shared" si="44"/>
        <v>0</v>
      </c>
      <c r="BM29" s="243">
        <f t="shared" si="45"/>
        <v>0</v>
      </c>
      <c r="BN29" s="243">
        <f t="shared" si="46"/>
        <v>0</v>
      </c>
      <c r="BO29" s="243">
        <f t="shared" si="47"/>
        <v>0</v>
      </c>
      <c r="BR29" s="200">
        <f t="shared" si="48"/>
        <v>8.2906732268720871E-7</v>
      </c>
      <c r="BS29" s="201">
        <f t="shared" si="49"/>
        <v>3.691634246105758E-7</v>
      </c>
      <c r="BT29" s="201">
        <f t="shared" si="50"/>
        <v>0</v>
      </c>
      <c r="BU29" s="201">
        <f t="shared" si="51"/>
        <v>0</v>
      </c>
      <c r="BV29" s="201">
        <f t="shared" si="52"/>
        <v>0</v>
      </c>
      <c r="BW29" s="201">
        <f t="shared" si="53"/>
        <v>0</v>
      </c>
      <c r="BY29">
        <f t="shared" si="54"/>
        <v>211</v>
      </c>
      <c r="BZ29">
        <f t="shared" si="55"/>
        <v>9</v>
      </c>
      <c r="CB29" s="200">
        <f t="shared" si="56"/>
        <v>1.0105725329256903E-3</v>
      </c>
      <c r="CC29" s="201">
        <f t="shared" si="57"/>
        <v>2.3892629693044029E-3</v>
      </c>
      <c r="CD29" s="201">
        <f t="shared" si="58"/>
        <v>2.1251599330069582E-2</v>
      </c>
      <c r="CE29" s="201">
        <f t="shared" si="59"/>
        <v>1.0597780066711172E-2</v>
      </c>
      <c r="CF29" s="201">
        <f t="shared" si="60"/>
        <v>-2.7517176716639748E-3</v>
      </c>
      <c r="CG29" s="201">
        <f t="shared" si="61"/>
        <v>-7.8205835277169785E-3</v>
      </c>
      <c r="CJ29" s="201">
        <f t="shared" si="62"/>
        <v>2.3542895354925251E-5</v>
      </c>
      <c r="CK29" s="201">
        <f t="shared" si="63"/>
        <v>1.3823258722884421E-5</v>
      </c>
      <c r="CL29" s="201">
        <f t="shared" si="64"/>
        <v>2.0930263034103037E-4</v>
      </c>
      <c r="CM29" s="201">
        <f t="shared" si="65"/>
        <v>2.0689263588959757E-4</v>
      </c>
      <c r="CN29" s="201">
        <f t="shared" si="66"/>
        <v>1.5496737386085193E-6</v>
      </c>
      <c r="CO29" s="201">
        <f t="shared" si="67"/>
        <v>1.904461615458789E-4</v>
      </c>
      <c r="CR29" s="243">
        <f t="shared" si="68"/>
        <v>5.1340140405683474E-3</v>
      </c>
      <c r="CS29" s="243">
        <f t="shared" si="77"/>
        <v>3.8519597442319945E-3</v>
      </c>
      <c r="CT29" s="243">
        <f t="shared" si="78"/>
        <v>1.3379523529368765E-2</v>
      </c>
      <c r="CU29" s="243">
        <f t="shared" si="79"/>
        <v>1.4789019493631065E-2</v>
      </c>
      <c r="CV29" s="243">
        <f t="shared" si="80"/>
        <v>8.9268650032702337E-4</v>
      </c>
      <c r="CW29" s="243">
        <f t="shared" si="81"/>
        <v>1.4373821374285407E-2</v>
      </c>
      <c r="CY29" s="243">
        <f t="shared" si="84"/>
        <v>8.6725596870505513E-4</v>
      </c>
      <c r="CZ29" s="243">
        <f>1/M10</f>
        <v>2.546473134708429E-6</v>
      </c>
    </row>
    <row r="30" spans="1:104" x14ac:dyDescent="0.25">
      <c r="A30" s="122">
        <v>21212</v>
      </c>
      <c r="B30" s="153">
        <v>212</v>
      </c>
      <c r="C30" s="184">
        <f>+'Sampling Weights'!R30</f>
        <v>890.85259453527181</v>
      </c>
      <c r="D30" s="155">
        <f>+SUM('Sampling Weights'!I30:N30)</f>
        <v>17</v>
      </c>
      <c r="E30" s="155">
        <v>4</v>
      </c>
      <c r="F30" s="155">
        <v>4</v>
      </c>
      <c r="G30" s="155">
        <v>3</v>
      </c>
      <c r="H30" s="154">
        <v>3</v>
      </c>
      <c r="I30" s="154">
        <v>0</v>
      </c>
      <c r="J30" s="154">
        <v>1</v>
      </c>
      <c r="K30" s="155"/>
      <c r="L30" s="172"/>
      <c r="M30" s="206">
        <v>75000</v>
      </c>
      <c r="N30" s="206">
        <f t="shared" si="83"/>
        <v>11300</v>
      </c>
      <c r="O30" s="205">
        <f t="shared" si="82"/>
        <v>0.15066666666666667</v>
      </c>
      <c r="P30" s="206">
        <f t="shared" si="74"/>
        <v>52400</v>
      </c>
      <c r="Q30" s="206">
        <f t="shared" si="75"/>
        <v>97600</v>
      </c>
      <c r="R30" s="167"/>
      <c r="S30" s="184">
        <f t="shared" si="15"/>
        <v>15144.494107099621</v>
      </c>
      <c r="T30" s="184">
        <f t="shared" si="15"/>
        <v>3563.4103781410872</v>
      </c>
      <c r="U30" s="184">
        <f t="shared" si="15"/>
        <v>3563.4103781410872</v>
      </c>
      <c r="V30" s="184">
        <f t="shared" si="15"/>
        <v>2672.5577836058155</v>
      </c>
      <c r="W30" s="184">
        <f t="shared" si="15"/>
        <v>2672.5577836058155</v>
      </c>
      <c r="X30" s="184">
        <f t="shared" si="76"/>
        <v>0</v>
      </c>
      <c r="Y30" s="184">
        <f t="shared" si="76"/>
        <v>890.85259453527181</v>
      </c>
      <c r="AA30" s="167">
        <f t="shared" si="16"/>
        <v>229355701.75997514</v>
      </c>
      <c r="AB30" s="167">
        <f t="shared" si="17"/>
        <v>12697893.523043606</v>
      </c>
      <c r="AC30" s="167">
        <f t="shared" si="18"/>
        <v>12697893.523043606</v>
      </c>
      <c r="AD30" s="167">
        <f t="shared" si="19"/>
        <v>7142565.1067120293</v>
      </c>
      <c r="AE30" s="167">
        <f t="shared" si="20"/>
        <v>7142565.1067120293</v>
      </c>
      <c r="AF30" s="167">
        <f t="shared" si="21"/>
        <v>0</v>
      </c>
      <c r="AG30" s="167">
        <f t="shared" si="22"/>
        <v>793618.3451902254</v>
      </c>
      <c r="AI30" s="153">
        <v>212</v>
      </c>
      <c r="AJ30">
        <f t="shared" si="4"/>
        <v>4</v>
      </c>
      <c r="AK30" s="187">
        <f t="shared" si="23"/>
        <v>73324.454184495844</v>
      </c>
      <c r="AL30" s="187">
        <f t="shared" si="24"/>
        <v>11677.547544696512</v>
      </c>
      <c r="AM30" s="187">
        <f t="shared" si="25"/>
        <v>10473.925574511271</v>
      </c>
      <c r="AN30" s="187">
        <f t="shared" si="26"/>
        <v>5079.8017239762958</v>
      </c>
      <c r="AO30" s="187">
        <f t="shared" si="27"/>
        <v>7487.045664346776</v>
      </c>
      <c r="AP30" s="187">
        <f t="shared" si="28"/>
        <v>0</v>
      </c>
      <c r="AQ30" s="187">
        <f t="shared" si="29"/>
        <v>2986.8799101644959</v>
      </c>
      <c r="AS30" s="187">
        <f t="shared" si="30"/>
        <v>1509216091.9154449</v>
      </c>
      <c r="AT30" s="187">
        <f t="shared" si="31"/>
        <v>53308870.208722442</v>
      </c>
      <c r="AU30" s="187">
        <f t="shared" si="32"/>
        <v>40270517.584709041</v>
      </c>
      <c r="AV30" s="187">
        <f t="shared" si="33"/>
        <v>12937388.495162426</v>
      </c>
      <c r="AW30" s="187">
        <f t="shared" si="34"/>
        <v>30321858.660513613</v>
      </c>
      <c r="AX30" s="187">
        <f t="shared" si="35"/>
        <v>0</v>
      </c>
      <c r="AY30" s="187">
        <f t="shared" si="36"/>
        <v>5186948.8530540764</v>
      </c>
      <c r="BA30" s="167">
        <f t="shared" si="37"/>
        <v>14836.764991146702</v>
      </c>
      <c r="BB30" s="167">
        <f t="shared" si="38"/>
        <v>5061.9615491836839</v>
      </c>
      <c r="BC30" s="167">
        <f t="shared" si="39"/>
        <v>4138.3955586046022</v>
      </c>
      <c r="BD30" s="167">
        <f t="shared" si="40"/>
        <v>2940.8144238026512</v>
      </c>
      <c r="BE30" s="167">
        <f t="shared" si="41"/>
        <v>4663.0312695370376</v>
      </c>
      <c r="BF30" s="167">
        <f t="shared" si="42"/>
        <v>0</v>
      </c>
      <c r="BG30" s="167">
        <f t="shared" si="43"/>
        <v>1985.4759139370119</v>
      </c>
      <c r="BJ30" s="201">
        <f t="shared" si="8"/>
        <v>1.7493980922740857E-4</v>
      </c>
      <c r="BK30" s="201">
        <f t="shared" si="9"/>
        <v>5.2281282971510358E-4</v>
      </c>
      <c r="BL30" s="243">
        <f t="shared" si="44"/>
        <v>4.1552208065155794E-3</v>
      </c>
      <c r="BM30" s="243">
        <f t="shared" si="45"/>
        <v>1.3754456750053659E-3</v>
      </c>
      <c r="BN30" s="243">
        <f t="shared" si="46"/>
        <v>-2.4955587215553046E-4</v>
      </c>
      <c r="BO30" s="243">
        <f t="shared" si="47"/>
        <v>-1.1235791003298768E-3</v>
      </c>
      <c r="BR30" s="200">
        <f t="shared" si="48"/>
        <v>3.0603936852522105E-8</v>
      </c>
      <c r="BS30" s="201">
        <f t="shared" si="49"/>
        <v>2.7333325491471392E-7</v>
      </c>
      <c r="BT30" s="201">
        <f t="shared" si="50"/>
        <v>1.7265859950899981E-5</v>
      </c>
      <c r="BU30" s="201">
        <f t="shared" si="51"/>
        <v>1.8918508048909667E-6</v>
      </c>
      <c r="BV30" s="201">
        <f t="shared" si="52"/>
        <v>6.2278133327307457E-8</v>
      </c>
      <c r="BW30" s="201">
        <f t="shared" si="53"/>
        <v>1.2624299946980953E-6</v>
      </c>
      <c r="BY30">
        <f t="shared" si="54"/>
        <v>212</v>
      </c>
      <c r="BZ30">
        <f t="shared" si="55"/>
        <v>4</v>
      </c>
      <c r="CB30" s="200">
        <f t="shared" si="56"/>
        <v>-1.0626003401738669E-3</v>
      </c>
      <c r="CC30" s="201">
        <f t="shared" si="57"/>
        <v>2.0942591650924345E-4</v>
      </c>
      <c r="CD30" s="201">
        <f t="shared" si="58"/>
        <v>5.1453339307464905E-3</v>
      </c>
      <c r="CE30" s="201">
        <f t="shared" si="59"/>
        <v>3.1047280190885616E-3</v>
      </c>
      <c r="CF30" s="201">
        <f t="shared" si="60"/>
        <v>-7.3351911631430549E-4</v>
      </c>
      <c r="CG30" s="201">
        <f t="shared" si="61"/>
        <v>-2.3644170591046801E-3</v>
      </c>
      <c r="CJ30" s="201">
        <f t="shared" si="62"/>
        <v>3.5329497530463755E-6</v>
      </c>
      <c r="CK30" s="201">
        <f t="shared" si="63"/>
        <v>1.9059080327621579E-6</v>
      </c>
      <c r="CL30" s="201">
        <f t="shared" si="64"/>
        <v>2.6194095649028395E-5</v>
      </c>
      <c r="CM30" s="201">
        <f t="shared" si="65"/>
        <v>3.6333161305139695E-5</v>
      </c>
      <c r="CN30" s="201">
        <f t="shared" si="66"/>
        <v>1.9751092248086858E-7</v>
      </c>
      <c r="CO30" s="201">
        <f t="shared" si="67"/>
        <v>3.343711773430558E-5</v>
      </c>
      <c r="CR30" s="243">
        <f t="shared" si="68"/>
        <v>2.0818805224482252E-3</v>
      </c>
      <c r="CS30" s="243">
        <f t="shared" si="77"/>
        <v>1.5895253921158245E-3</v>
      </c>
      <c r="CT30" s="243">
        <f t="shared" si="78"/>
        <v>5.1088785898414941E-3</v>
      </c>
      <c r="CU30" s="243">
        <f t="shared" si="79"/>
        <v>6.7254072775816635E-3</v>
      </c>
      <c r="CV30" s="243">
        <f t="shared" si="80"/>
        <v>2.8982373719495713E-4</v>
      </c>
      <c r="CW30" s="243">
        <f t="shared" si="81"/>
        <v>6.5360029301257481E-3</v>
      </c>
      <c r="CY30" s="223"/>
      <c r="CZ30" s="223"/>
    </row>
    <row r="31" spans="1:104" x14ac:dyDescent="0.25">
      <c r="A31" s="122">
        <v>21213</v>
      </c>
      <c r="B31" s="153">
        <v>212</v>
      </c>
      <c r="C31" s="184">
        <f>+'Sampling Weights'!R31</f>
        <v>2096.0273156292242</v>
      </c>
      <c r="D31" s="155">
        <f>+SUM('Sampling Weights'!I31:N31)</f>
        <v>14</v>
      </c>
      <c r="E31" s="155">
        <v>1</v>
      </c>
      <c r="F31" s="155">
        <v>1</v>
      </c>
      <c r="G31" s="155">
        <v>0</v>
      </c>
      <c r="H31" s="154">
        <v>0</v>
      </c>
      <c r="I31" s="154">
        <v>0</v>
      </c>
      <c r="J31" s="154">
        <v>1</v>
      </c>
      <c r="K31" s="155"/>
      <c r="L31" s="172"/>
      <c r="M31" s="206">
        <v>50000</v>
      </c>
      <c r="N31" s="206">
        <f t="shared" si="83"/>
        <v>9000</v>
      </c>
      <c r="O31" s="205">
        <f t="shared" si="82"/>
        <v>0.18</v>
      </c>
      <c r="P31" s="206">
        <f t="shared" si="74"/>
        <v>32000</v>
      </c>
      <c r="Q31" s="206">
        <f t="shared" si="75"/>
        <v>68000</v>
      </c>
      <c r="R31" s="167"/>
      <c r="S31" s="184">
        <f t="shared" si="15"/>
        <v>29344.382418809138</v>
      </c>
      <c r="T31" s="184">
        <f t="shared" si="15"/>
        <v>2096.0273156292242</v>
      </c>
      <c r="U31" s="184">
        <f t="shared" si="15"/>
        <v>2096.0273156292242</v>
      </c>
      <c r="V31" s="184">
        <f t="shared" si="15"/>
        <v>0</v>
      </c>
      <c r="W31" s="184">
        <f t="shared" si="15"/>
        <v>0</v>
      </c>
      <c r="X31" s="184">
        <f t="shared" si="76"/>
        <v>0</v>
      </c>
      <c r="Y31" s="184">
        <f t="shared" si="76"/>
        <v>2096.0273156292242</v>
      </c>
      <c r="AA31" s="167">
        <f t="shared" si="16"/>
        <v>861092779.54131484</v>
      </c>
      <c r="AB31" s="167">
        <f t="shared" si="17"/>
        <v>4393330.5078638513</v>
      </c>
      <c r="AC31" s="167">
        <f t="shared" si="18"/>
        <v>4393330.5078638513</v>
      </c>
      <c r="AD31" s="167">
        <f t="shared" si="19"/>
        <v>0</v>
      </c>
      <c r="AE31" s="167">
        <f t="shared" si="20"/>
        <v>0</v>
      </c>
      <c r="AF31" s="167">
        <f t="shared" si="21"/>
        <v>0</v>
      </c>
      <c r="AG31" s="167">
        <f t="shared" si="22"/>
        <v>4393330.5078638513</v>
      </c>
      <c r="AI31" s="153">
        <v>213</v>
      </c>
      <c r="AJ31">
        <f t="shared" si="4"/>
        <v>1</v>
      </c>
      <c r="AK31" s="187">
        <f t="shared" si="23"/>
        <v>3954.3057957172537</v>
      </c>
      <c r="AL31" s="187">
        <f t="shared" si="24"/>
        <v>1412.2520698990193</v>
      </c>
      <c r="AM31" s="187">
        <f t="shared" si="25"/>
        <v>282.45041397980384</v>
      </c>
      <c r="AN31" s="187">
        <f t="shared" si="26"/>
        <v>0</v>
      </c>
      <c r="AO31" s="187">
        <f t="shared" si="27"/>
        <v>282.45041397980384</v>
      </c>
      <c r="AP31" s="187">
        <f t="shared" si="28"/>
        <v>0</v>
      </c>
      <c r="AQ31" s="187">
        <f t="shared" si="29"/>
        <v>0</v>
      </c>
      <c r="AS31" s="187">
        <f t="shared" si="30"/>
        <v>15636534.326043062</v>
      </c>
      <c r="AT31" s="187">
        <f t="shared" si="31"/>
        <v>1994455.9089340644</v>
      </c>
      <c r="AU31" s="187">
        <f t="shared" si="32"/>
        <v>79778.236357362563</v>
      </c>
      <c r="AV31" s="187">
        <f t="shared" si="33"/>
        <v>0</v>
      </c>
      <c r="AW31" s="187">
        <f t="shared" si="34"/>
        <v>79778.236357362563</v>
      </c>
      <c r="AX31" s="187">
        <f t="shared" si="35"/>
        <v>0</v>
      </c>
      <c r="AY31" s="187">
        <f t="shared" si="36"/>
        <v>0</v>
      </c>
      <c r="BA31" s="167">
        <f t="shared" si="37"/>
        <v>0</v>
      </c>
      <c r="BB31" s="167">
        <f t="shared" si="38"/>
        <v>0</v>
      </c>
      <c r="BC31" s="167">
        <f t="shared" si="39"/>
        <v>0</v>
      </c>
      <c r="BD31" s="167">
        <f t="shared" si="40"/>
        <v>0</v>
      </c>
      <c r="BE31" s="167">
        <f t="shared" si="41"/>
        <v>0</v>
      </c>
      <c r="BF31" s="167">
        <f t="shared" si="42"/>
        <v>0</v>
      </c>
      <c r="BG31" s="167">
        <f t="shared" si="43"/>
        <v>0</v>
      </c>
      <c r="BJ31" s="201">
        <f t="shared" si="8"/>
        <v>-1.3080154599350289E-3</v>
      </c>
      <c r="BK31" s="201">
        <f t="shared" si="9"/>
        <v>-6.3396726300043072E-4</v>
      </c>
      <c r="BL31" s="243">
        <f t="shared" si="44"/>
        <v>-1.5589728557290493E-3</v>
      </c>
      <c r="BM31" s="243">
        <f t="shared" si="45"/>
        <v>-3.1940594690176684E-3</v>
      </c>
      <c r="BN31" s="243">
        <f t="shared" si="46"/>
        <v>-1.4679081815059921E-4</v>
      </c>
      <c r="BO31" s="243">
        <f t="shared" si="47"/>
        <v>3.3422094614104026E-3</v>
      </c>
      <c r="BR31" s="200">
        <f t="shared" si="48"/>
        <v>1.7109044434290452E-6</v>
      </c>
      <c r="BS31" s="201">
        <f t="shared" si="49"/>
        <v>4.019144905562573E-7</v>
      </c>
      <c r="BT31" s="201">
        <f t="shared" si="50"/>
        <v>2.4303963648999873E-6</v>
      </c>
      <c r="BU31" s="201">
        <f t="shared" si="51"/>
        <v>1.020201589162143E-5</v>
      </c>
      <c r="BV31" s="201">
        <f t="shared" si="52"/>
        <v>2.1547544293322287E-8</v>
      </c>
      <c r="BW31" s="201">
        <f t="shared" si="53"/>
        <v>1.1170364083941213E-5</v>
      </c>
      <c r="BY31">
        <f t="shared" si="54"/>
        <v>213</v>
      </c>
      <c r="BZ31">
        <f t="shared" si="55"/>
        <v>1</v>
      </c>
      <c r="CB31" s="200">
        <f t="shared" si="56"/>
        <v>2.1070960386783066E-4</v>
      </c>
      <c r="CC31" s="201">
        <f t="shared" si="57"/>
        <v>-8.543033506715535E-5</v>
      </c>
      <c r="CD31" s="201">
        <f t="shared" si="58"/>
        <v>-2.1007957539511351E-4</v>
      </c>
      <c r="CE31" s="201">
        <f t="shared" si="59"/>
        <v>2.8883652170714379E-4</v>
      </c>
      <c r="CF31" s="201">
        <f t="shared" si="60"/>
        <v>-1.9780814422556457E-5</v>
      </c>
      <c r="CG31" s="201">
        <f t="shared" si="61"/>
        <v>-2.6887255159548963E-4</v>
      </c>
      <c r="CJ31" s="201">
        <f t="shared" si="62"/>
        <v>4.4398537162138121E-8</v>
      </c>
      <c r="CK31" s="201">
        <f t="shared" si="63"/>
        <v>7.2983421496864333E-9</v>
      </c>
      <c r="CL31" s="201">
        <f t="shared" si="64"/>
        <v>4.4133427998191181E-8</v>
      </c>
      <c r="CM31" s="201">
        <f t="shared" si="65"/>
        <v>8.3426536271881344E-8</v>
      </c>
      <c r="CN31" s="201">
        <f t="shared" si="66"/>
        <v>3.9128061921961753E-10</v>
      </c>
      <c r="CO31" s="201">
        <f t="shared" si="67"/>
        <v>7.2292449001469229E-8</v>
      </c>
      <c r="CR31" s="243">
        <f t="shared" si="68"/>
        <v>0</v>
      </c>
      <c r="CS31" s="243">
        <f t="shared" si="77"/>
        <v>0</v>
      </c>
      <c r="CT31" s="243">
        <f t="shared" si="78"/>
        <v>0</v>
      </c>
      <c r="CU31" s="243">
        <f t="shared" si="79"/>
        <v>0</v>
      </c>
      <c r="CV31" s="243">
        <f t="shared" si="80"/>
        <v>0</v>
      </c>
      <c r="CW31" s="243">
        <f t="shared" si="81"/>
        <v>0</v>
      </c>
      <c r="CY31" s="225" t="s">
        <v>85</v>
      </c>
      <c r="CZ31" s="225" t="s">
        <v>84</v>
      </c>
    </row>
    <row r="32" spans="1:104" x14ac:dyDescent="0.25">
      <c r="A32" s="122">
        <v>11312</v>
      </c>
      <c r="B32" s="153">
        <v>113</v>
      </c>
      <c r="C32" s="184">
        <f>+'Sampling Weights'!R32</f>
        <v>1313.8252904763428</v>
      </c>
      <c r="D32" s="155">
        <f>+SUM('Sampling Weights'!I32:N32)</f>
        <v>15</v>
      </c>
      <c r="E32" s="155">
        <v>0</v>
      </c>
      <c r="F32" s="155">
        <v>0</v>
      </c>
      <c r="G32" s="155">
        <v>0</v>
      </c>
      <c r="H32" s="154">
        <v>0</v>
      </c>
      <c r="I32" s="154">
        <v>0</v>
      </c>
      <c r="J32" s="154">
        <v>0</v>
      </c>
      <c r="K32" s="155"/>
      <c r="L32" s="172"/>
      <c r="M32" s="206">
        <v>25000</v>
      </c>
      <c r="N32" s="206">
        <f t="shared" si="83"/>
        <v>6200</v>
      </c>
      <c r="O32" s="205">
        <f t="shared" si="82"/>
        <v>0.248</v>
      </c>
      <c r="P32" s="206">
        <f t="shared" si="74"/>
        <v>12600</v>
      </c>
      <c r="Q32" s="206">
        <f t="shared" si="75"/>
        <v>37400</v>
      </c>
      <c r="R32" s="167"/>
      <c r="S32" s="184">
        <f t="shared" si="15"/>
        <v>19707.379357145142</v>
      </c>
      <c r="T32" s="184">
        <f t="shared" si="15"/>
        <v>0</v>
      </c>
      <c r="U32" s="184">
        <f t="shared" si="15"/>
        <v>0</v>
      </c>
      <c r="V32" s="184">
        <f t="shared" si="15"/>
        <v>0</v>
      </c>
      <c r="W32" s="184">
        <f t="shared" si="15"/>
        <v>0</v>
      </c>
      <c r="X32" s="184">
        <f t="shared" si="76"/>
        <v>0</v>
      </c>
      <c r="Y32" s="184">
        <f t="shared" si="76"/>
        <v>0</v>
      </c>
      <c r="AA32" s="167">
        <f t="shared" si="16"/>
        <v>388380801.12643051</v>
      </c>
      <c r="AB32" s="167">
        <f t="shared" si="17"/>
        <v>0</v>
      </c>
      <c r="AC32" s="167">
        <f t="shared" si="18"/>
        <v>0</v>
      </c>
      <c r="AD32" s="167">
        <f t="shared" si="19"/>
        <v>0</v>
      </c>
      <c r="AE32" s="167">
        <f t="shared" si="20"/>
        <v>0</v>
      </c>
      <c r="AF32" s="167">
        <f t="shared" si="21"/>
        <v>0</v>
      </c>
      <c r="AG32" s="167">
        <f t="shared" si="22"/>
        <v>0</v>
      </c>
      <c r="AI32" s="153">
        <v>214</v>
      </c>
      <c r="AJ32">
        <f t="shared" si="4"/>
        <v>4</v>
      </c>
      <c r="AK32" s="187">
        <f t="shared" si="23"/>
        <v>52908.9552947907</v>
      </c>
      <c r="AL32" s="187">
        <f t="shared" si="24"/>
        <v>15086.48220384916</v>
      </c>
      <c r="AM32" s="187">
        <f t="shared" si="25"/>
        <v>7935.6471683377204</v>
      </c>
      <c r="AN32" s="187">
        <f t="shared" si="26"/>
        <v>2878.9160561897006</v>
      </c>
      <c r="AO32" s="187">
        <f t="shared" si="27"/>
        <v>3892.6746154788229</v>
      </c>
      <c r="AP32" s="187">
        <f t="shared" si="28"/>
        <v>0</v>
      </c>
      <c r="AQ32" s="187">
        <f t="shared" si="29"/>
        <v>4042.972552858897</v>
      </c>
      <c r="AS32" s="187">
        <f t="shared" si="30"/>
        <v>1148381378.1383808</v>
      </c>
      <c r="AT32" s="187">
        <f t="shared" si="31"/>
        <v>75570282.62068741</v>
      </c>
      <c r="AU32" s="187">
        <f t="shared" si="32"/>
        <v>18344011.715532638</v>
      </c>
      <c r="AV32" s="187">
        <f t="shared" si="33"/>
        <v>4474582.7405938404</v>
      </c>
      <c r="AW32" s="187">
        <f t="shared" si="34"/>
        <v>9613114.8232536279</v>
      </c>
      <c r="AX32" s="187">
        <f t="shared" si="35"/>
        <v>0</v>
      </c>
      <c r="AY32" s="187">
        <f t="shared" si="36"/>
        <v>7363260.4211109858</v>
      </c>
      <c r="BA32" s="167">
        <f t="shared" si="37"/>
        <v>24455.183241781706</v>
      </c>
      <c r="BB32" s="167">
        <f t="shared" si="38"/>
        <v>4989.2947128724927</v>
      </c>
      <c r="BC32" s="167">
        <f t="shared" si="39"/>
        <v>1862.0374935165398</v>
      </c>
      <c r="BD32" s="167">
        <f t="shared" si="40"/>
        <v>1789.8019726391058</v>
      </c>
      <c r="BE32" s="167">
        <f t="shared" si="41"/>
        <v>2786.8467025786995</v>
      </c>
      <c r="BF32" s="167">
        <f t="shared" si="42"/>
        <v>0</v>
      </c>
      <c r="BG32" s="167">
        <f t="shared" si="43"/>
        <v>2090.248360145556</v>
      </c>
      <c r="BJ32" s="201">
        <f t="shared" si="8"/>
        <v>-1.3605942580891973E-3</v>
      </c>
      <c r="BK32" s="201">
        <f t="shared" si="9"/>
        <v>-9.0791056100531474E-4</v>
      </c>
      <c r="BL32" s="243">
        <f t="shared" si="44"/>
        <v>0</v>
      </c>
      <c r="BM32" s="243">
        <f t="shared" si="45"/>
        <v>0</v>
      </c>
      <c r="BN32" s="243">
        <f t="shared" si="46"/>
        <v>0</v>
      </c>
      <c r="BO32" s="243">
        <f t="shared" si="47"/>
        <v>0</v>
      </c>
      <c r="BR32" s="200">
        <f t="shared" si="48"/>
        <v>1.8512167351452932E-6</v>
      </c>
      <c r="BS32" s="201">
        <f t="shared" si="49"/>
        <v>8.2430158678498537E-7</v>
      </c>
      <c r="BT32" s="201">
        <f t="shared" si="50"/>
        <v>0</v>
      </c>
      <c r="BU32" s="201">
        <f t="shared" si="51"/>
        <v>0</v>
      </c>
      <c r="BV32" s="201">
        <f t="shared" si="52"/>
        <v>0</v>
      </c>
      <c r="BW32" s="201">
        <f t="shared" si="53"/>
        <v>0</v>
      </c>
      <c r="BY32">
        <f t="shared" si="54"/>
        <v>214</v>
      </c>
      <c r="BZ32">
        <f t="shared" si="55"/>
        <v>4</v>
      </c>
      <c r="CB32" s="200">
        <f t="shared" si="56"/>
        <v>1.5144856970872073E-3</v>
      </c>
      <c r="CC32" s="201">
        <f t="shared" si="57"/>
        <v>2.8056672070080979E-4</v>
      </c>
      <c r="CD32" s="201">
        <f t="shared" si="58"/>
        <v>1.4287458950999542E-3</v>
      </c>
      <c r="CE32" s="201">
        <f t="shared" si="59"/>
        <v>-2.1802515403233436E-3</v>
      </c>
      <c r="CF32" s="201">
        <f t="shared" si="60"/>
        <v>-5.5575618299854299E-4</v>
      </c>
      <c r="CG32" s="201">
        <f t="shared" si="61"/>
        <v>2.7411536139052058E-3</v>
      </c>
      <c r="CJ32" s="201">
        <f t="shared" si="62"/>
        <v>6.6213575165476088E-7</v>
      </c>
      <c r="CK32" s="201">
        <f t="shared" si="63"/>
        <v>7.6306986144194282E-7</v>
      </c>
      <c r="CL32" s="201">
        <f t="shared" si="64"/>
        <v>1.1837504349789788E-5</v>
      </c>
      <c r="CM32" s="201">
        <f t="shared" si="65"/>
        <v>2.5020183678896462E-5</v>
      </c>
      <c r="CN32" s="201">
        <f t="shared" si="66"/>
        <v>8.9970104514138171E-8</v>
      </c>
      <c r="CO32" s="201">
        <f t="shared" si="67"/>
        <v>2.5356795806697056E-5</v>
      </c>
      <c r="CR32" s="243">
        <f t="shared" si="68"/>
        <v>3.4393607930220568E-4</v>
      </c>
      <c r="CS32" s="243">
        <f t="shared" si="77"/>
        <v>9.9558387575716337E-4</v>
      </c>
      <c r="CT32" s="243">
        <f t="shared" si="78"/>
        <v>3.8862450843281521E-3</v>
      </c>
      <c r="CU32" s="243">
        <f t="shared" si="79"/>
        <v>5.6369979580300107E-3</v>
      </c>
      <c r="CV32" s="243">
        <f t="shared" si="80"/>
        <v>1.3040383828124419E-4</v>
      </c>
      <c r="CW32" s="243">
        <f t="shared" si="81"/>
        <v>5.5950353019965432E-3</v>
      </c>
      <c r="CY32" s="227">
        <f t="array" ref="CY32:CZ36">+LINEST(CY24:CY29,CZ24:CZ29,,TRUE)</f>
        <v>386.57309372112758</v>
      </c>
      <c r="CZ32" s="223">
        <v>-1.1186375537290661E-5</v>
      </c>
    </row>
    <row r="33" spans="1:104" x14ac:dyDescent="0.25">
      <c r="A33" s="122">
        <v>11313</v>
      </c>
      <c r="B33" s="153">
        <v>113</v>
      </c>
      <c r="C33" s="184">
        <f>+'Sampling Weights'!R33</f>
        <v>1344.5542667465529</v>
      </c>
      <c r="D33" s="155">
        <f>+SUM('Sampling Weights'!I33:N33)</f>
        <v>13</v>
      </c>
      <c r="E33" s="155">
        <v>1</v>
      </c>
      <c r="F33" s="155">
        <v>1</v>
      </c>
      <c r="G33" s="155">
        <v>0</v>
      </c>
      <c r="H33" s="154">
        <v>0</v>
      </c>
      <c r="I33" s="154">
        <v>0</v>
      </c>
      <c r="J33" s="154">
        <v>1</v>
      </c>
      <c r="K33" s="155"/>
      <c r="R33" s="167"/>
      <c r="S33" s="184">
        <f t="shared" si="15"/>
        <v>17479.205467705189</v>
      </c>
      <c r="T33" s="184">
        <f t="shared" si="15"/>
        <v>1344.5542667465529</v>
      </c>
      <c r="U33" s="184">
        <f t="shared" si="15"/>
        <v>1344.5542667465529</v>
      </c>
      <c r="V33" s="184">
        <f t="shared" si="15"/>
        <v>0</v>
      </c>
      <c r="W33" s="184">
        <f t="shared" si="15"/>
        <v>0</v>
      </c>
      <c r="X33" s="184">
        <f t="shared" si="76"/>
        <v>0</v>
      </c>
      <c r="Y33" s="184">
        <f t="shared" si="76"/>
        <v>1344.5542667465529</v>
      </c>
      <c r="AA33" s="167">
        <f t="shared" si="16"/>
        <v>305522623.78225499</v>
      </c>
      <c r="AB33" s="167">
        <f t="shared" si="17"/>
        <v>1807826.1762263605</v>
      </c>
      <c r="AC33" s="167">
        <f t="shared" si="18"/>
        <v>1807826.1762263605</v>
      </c>
      <c r="AD33" s="167">
        <f t="shared" si="19"/>
        <v>0</v>
      </c>
      <c r="AE33" s="167">
        <f t="shared" si="20"/>
        <v>0</v>
      </c>
      <c r="AF33" s="167">
        <f t="shared" si="21"/>
        <v>0</v>
      </c>
      <c r="AG33" s="167">
        <f t="shared" si="22"/>
        <v>1807826.1762263605</v>
      </c>
      <c r="AI33" s="153">
        <v>215</v>
      </c>
      <c r="AJ33">
        <f t="shared" si="4"/>
        <v>10</v>
      </c>
      <c r="AK33" s="187">
        <f t="shared" si="23"/>
        <v>325343.70738302392</v>
      </c>
      <c r="AL33" s="187">
        <f t="shared" si="24"/>
        <v>36164.241344263202</v>
      </c>
      <c r="AM33" s="187">
        <f t="shared" si="25"/>
        <v>28792.771083935513</v>
      </c>
      <c r="AN33" s="187">
        <f t="shared" si="26"/>
        <v>8165.1685911704471</v>
      </c>
      <c r="AO33" s="187">
        <f t="shared" si="27"/>
        <v>14963.601887436862</v>
      </c>
      <c r="AP33" s="187">
        <f t="shared" si="28"/>
        <v>0</v>
      </c>
      <c r="AQ33" s="187">
        <f t="shared" si="29"/>
        <v>13829.169196498649</v>
      </c>
      <c r="AS33" s="187">
        <f t="shared" si="30"/>
        <v>13388621170.614872</v>
      </c>
      <c r="AT33" s="187">
        <f t="shared" si="31"/>
        <v>207052659.76553202</v>
      </c>
      <c r="AU33" s="187">
        <f t="shared" si="32"/>
        <v>140930320.5388338</v>
      </c>
      <c r="AV33" s="187">
        <f t="shared" si="33"/>
        <v>24909797.533172961</v>
      </c>
      <c r="AW33" s="187">
        <f t="shared" si="34"/>
        <v>45890713.45181904</v>
      </c>
      <c r="AX33" s="187">
        <f t="shared" si="35"/>
        <v>0</v>
      </c>
      <c r="AY33" s="187">
        <f t="shared" si="36"/>
        <v>52808643.256884664</v>
      </c>
      <c r="BA33" s="167">
        <f t="shared" si="37"/>
        <v>55814.856417761519</v>
      </c>
      <c r="BB33" s="167">
        <f t="shared" si="38"/>
        <v>9205.5191515694314</v>
      </c>
      <c r="BC33" s="167">
        <f t="shared" si="39"/>
        <v>8029.6640215891202</v>
      </c>
      <c r="BD33" s="167">
        <f t="shared" si="40"/>
        <v>4502.1969601208548</v>
      </c>
      <c r="BE33" s="167">
        <f t="shared" si="41"/>
        <v>5109.8788099619824</v>
      </c>
      <c r="BF33" s="167">
        <f t="shared" si="42"/>
        <v>0</v>
      </c>
      <c r="BG33" s="167">
        <f t="shared" si="43"/>
        <v>6117.738433835566</v>
      </c>
      <c r="BJ33" s="201">
        <f t="shared" si="8"/>
        <v>-7.4623462014758793E-4</v>
      </c>
      <c r="BK33" s="201">
        <f t="shared" si="9"/>
        <v>-3.4473266446818853E-4</v>
      </c>
      <c r="BL33" s="243">
        <f t="shared" si="44"/>
        <v>-1.0000459389448834E-3</v>
      </c>
      <c r="BM33" s="243">
        <f t="shared" si="45"/>
        <v>-2.0489171373325862E-3</v>
      </c>
      <c r="BN33" s="243">
        <f t="shared" si="46"/>
        <v>-9.4163000354008218E-5</v>
      </c>
      <c r="BO33" s="243">
        <f t="shared" si="47"/>
        <v>2.1439520173195019E-3</v>
      </c>
      <c r="BR33" s="200">
        <f t="shared" si="48"/>
        <v>5.5686610830681481E-7</v>
      </c>
      <c r="BS33" s="201">
        <f t="shared" si="49"/>
        <v>1.1884060995133665E-7</v>
      </c>
      <c r="BT33" s="201">
        <f t="shared" si="50"/>
        <v>1.0000918800001535E-6</v>
      </c>
      <c r="BU33" s="201">
        <f t="shared" si="51"/>
        <v>4.1980614356551601E-6</v>
      </c>
      <c r="BV33" s="201">
        <f t="shared" si="52"/>
        <v>8.8666706356689513E-9</v>
      </c>
      <c r="BW33" s="201">
        <f t="shared" si="53"/>
        <v>4.5965302525683616E-6</v>
      </c>
      <c r="BY33">
        <f t="shared" si="54"/>
        <v>215</v>
      </c>
      <c r="BZ33">
        <f t="shared" si="55"/>
        <v>10</v>
      </c>
      <c r="CB33" s="200">
        <f t="shared" si="56"/>
        <v>-1.0074965550963048E-2</v>
      </c>
      <c r="CC33" s="201">
        <f t="shared" si="57"/>
        <v>-5.1265568410099084E-3</v>
      </c>
      <c r="CD33" s="201">
        <f t="shared" si="58"/>
        <v>-6.2296276523747388E-4</v>
      </c>
      <c r="CE33" s="201">
        <f t="shared" si="59"/>
        <v>-5.7718419957734513E-3</v>
      </c>
      <c r="CF33" s="201">
        <f t="shared" si="60"/>
        <v>-2.016440526666045E-3</v>
      </c>
      <c r="CG33" s="201">
        <f t="shared" si="61"/>
        <v>7.8069532680567688E-3</v>
      </c>
      <c r="CJ33" s="201">
        <f t="shared" si="62"/>
        <v>3.3328173713982757E-5</v>
      </c>
      <c r="CK33" s="201">
        <f t="shared" si="63"/>
        <v>1.6037513390769254E-5</v>
      </c>
      <c r="CL33" s="201">
        <f t="shared" si="64"/>
        <v>6.2038960958482253E-5</v>
      </c>
      <c r="CM33" s="201">
        <f t="shared" si="65"/>
        <v>1.0481018232425482E-4</v>
      </c>
      <c r="CN33" s="201">
        <f t="shared" si="66"/>
        <v>6.9120734682880725E-7</v>
      </c>
      <c r="CO33" s="201">
        <f t="shared" si="67"/>
        <v>1.117524545918941E-4</v>
      </c>
      <c r="CR33" s="243">
        <f t="shared" si="68"/>
        <v>5.0747392520506841E-3</v>
      </c>
      <c r="CS33" s="243">
        <f t="shared" si="77"/>
        <v>3.8599589644276308E-3</v>
      </c>
      <c r="CT33" s="243">
        <f t="shared" si="78"/>
        <v>8.2999432861378987E-3</v>
      </c>
      <c r="CU33" s="243">
        <f t="shared" si="79"/>
        <v>1.061857734360124E-2</v>
      </c>
      <c r="CV33" s="243">
        <f t="shared" si="80"/>
        <v>5.6234045349244882E-4</v>
      </c>
      <c r="CW33" s="243">
        <f t="shared" si="81"/>
        <v>1.0835005135564176E-2</v>
      </c>
      <c r="CY33" s="227">
        <v>218.07992570066983</v>
      </c>
      <c r="CZ33" s="223">
        <v>4.554750485547016E-4</v>
      </c>
    </row>
    <row r="34" spans="1:104" x14ac:dyDescent="0.25">
      <c r="A34" s="122">
        <v>11314</v>
      </c>
      <c r="B34" s="153">
        <v>113</v>
      </c>
      <c r="C34" s="184">
        <f>+'Sampling Weights'!R34</f>
        <v>1515.0197439412584</v>
      </c>
      <c r="D34" s="155">
        <f>+SUM('Sampling Weights'!I34:N34)</f>
        <v>13</v>
      </c>
      <c r="E34" s="155">
        <v>5</v>
      </c>
      <c r="F34" s="155">
        <v>2</v>
      </c>
      <c r="G34" s="155">
        <v>0</v>
      </c>
      <c r="H34" s="154">
        <v>2</v>
      </c>
      <c r="I34" s="154">
        <v>0</v>
      </c>
      <c r="J34" s="154">
        <v>0</v>
      </c>
      <c r="K34" s="155"/>
      <c r="L34" s="247" t="s">
        <v>106</v>
      </c>
      <c r="M34" s="431" t="s">
        <v>636</v>
      </c>
      <c r="N34" s="356"/>
      <c r="O34" s="356"/>
      <c r="P34" s="356"/>
      <c r="Q34" s="356"/>
      <c r="R34" s="167"/>
      <c r="S34" s="184">
        <f t="shared" si="15"/>
        <v>19695.256671236359</v>
      </c>
      <c r="T34" s="184">
        <f t="shared" si="15"/>
        <v>7575.0987197062923</v>
      </c>
      <c r="U34" s="184">
        <f t="shared" si="15"/>
        <v>3030.0394878825168</v>
      </c>
      <c r="V34" s="184">
        <f t="shared" si="15"/>
        <v>0</v>
      </c>
      <c r="W34" s="184">
        <f t="shared" si="15"/>
        <v>3030.0394878825168</v>
      </c>
      <c r="X34" s="184">
        <f t="shared" si="76"/>
        <v>0</v>
      </c>
      <c r="Y34" s="184">
        <f t="shared" si="76"/>
        <v>0</v>
      </c>
      <c r="AA34" s="167">
        <f t="shared" si="16"/>
        <v>387903135.34588027</v>
      </c>
      <c r="AB34" s="167">
        <f t="shared" si="17"/>
        <v>57382120.613295905</v>
      </c>
      <c r="AC34" s="167">
        <f t="shared" si="18"/>
        <v>9181139.2981273457</v>
      </c>
      <c r="AD34" s="167">
        <f t="shared" si="19"/>
        <v>0</v>
      </c>
      <c r="AE34" s="167">
        <f t="shared" si="20"/>
        <v>9181139.2981273457</v>
      </c>
      <c r="AF34" s="167">
        <f t="shared" si="21"/>
        <v>0</v>
      </c>
      <c r="AG34" s="167">
        <f t="shared" si="22"/>
        <v>0</v>
      </c>
      <c r="AI34" s="153">
        <v>216</v>
      </c>
      <c r="AJ34">
        <f t="shared" si="4"/>
        <v>2</v>
      </c>
      <c r="AK34" s="187">
        <f t="shared" si="23"/>
        <v>11689.665967307001</v>
      </c>
      <c r="AL34" s="187">
        <f t="shared" si="24"/>
        <v>1559.6367007450808</v>
      </c>
      <c r="AM34" s="187">
        <f t="shared" si="25"/>
        <v>1559.6367007450808</v>
      </c>
      <c r="AN34" s="187">
        <f t="shared" si="26"/>
        <v>673.82536115269886</v>
      </c>
      <c r="AO34" s="187">
        <f t="shared" si="27"/>
        <v>211.98597843968321</v>
      </c>
      <c r="AP34" s="187">
        <f t="shared" si="28"/>
        <v>0</v>
      </c>
      <c r="AQ34" s="187">
        <f t="shared" si="29"/>
        <v>1347.6507223053977</v>
      </c>
      <c r="AS34" s="187">
        <f t="shared" si="30"/>
        <v>78368946.806792989</v>
      </c>
      <c r="AT34" s="187">
        <f t="shared" si="31"/>
        <v>1861100.5243852902</v>
      </c>
      <c r="AU34" s="187">
        <f t="shared" si="32"/>
        <v>1861100.5243852902</v>
      </c>
      <c r="AV34" s="187">
        <f t="shared" si="33"/>
        <v>454040.61733256507</v>
      </c>
      <c r="AW34" s="187">
        <f t="shared" si="34"/>
        <v>44938.055055029836</v>
      </c>
      <c r="AX34" s="187">
        <f t="shared" si="35"/>
        <v>0</v>
      </c>
      <c r="AY34" s="187">
        <f t="shared" si="36"/>
        <v>1816162.4693302603</v>
      </c>
      <c r="BA34" s="167">
        <f t="shared" si="37"/>
        <v>4482.1427003577719</v>
      </c>
      <c r="BB34" s="167">
        <f t="shared" si="38"/>
        <v>1135.6647438657149</v>
      </c>
      <c r="BC34" s="167">
        <f t="shared" si="39"/>
        <v>1135.6647438657149</v>
      </c>
      <c r="BD34" s="167">
        <f t="shared" si="40"/>
        <v>673.82536115269886</v>
      </c>
      <c r="BE34" s="167">
        <f t="shared" si="41"/>
        <v>211.98597843968321</v>
      </c>
      <c r="BF34" s="167">
        <f t="shared" si="42"/>
        <v>0</v>
      </c>
      <c r="BG34" s="167">
        <f t="shared" si="43"/>
        <v>1347.6507223053977</v>
      </c>
      <c r="BJ34" s="201">
        <f t="shared" si="8"/>
        <v>1.234810000659579E-3</v>
      </c>
      <c r="BK34" s="201">
        <f t="shared" si="9"/>
        <v>1.3047485015965407E-4</v>
      </c>
      <c r="BL34" s="243">
        <f t="shared" si="44"/>
        <v>-2.253667821107537E-3</v>
      </c>
      <c r="BM34" s="243">
        <f t="shared" si="45"/>
        <v>3.0985476494216082E-3</v>
      </c>
      <c r="BN34" s="243">
        <f t="shared" si="46"/>
        <v>-2.1220237548353441E-4</v>
      </c>
      <c r="BO34" s="243">
        <f t="shared" si="47"/>
        <v>-2.8843804371280423E-3</v>
      </c>
      <c r="BR34" s="200">
        <f t="shared" si="48"/>
        <v>1.5247557377289094E-6</v>
      </c>
      <c r="BS34" s="201">
        <f t="shared" si="49"/>
        <v>1.7023686524184182E-8</v>
      </c>
      <c r="BT34" s="201">
        <f t="shared" si="50"/>
        <v>5.0790186478955937E-6</v>
      </c>
      <c r="BU34" s="201">
        <f t="shared" si="51"/>
        <v>9.6009975357361726E-6</v>
      </c>
      <c r="BV34" s="201">
        <f t="shared" si="52"/>
        <v>4.502984816085493E-8</v>
      </c>
      <c r="BW34" s="201">
        <f t="shared" si="53"/>
        <v>8.3196505060869555E-6</v>
      </c>
      <c r="BY34">
        <f t="shared" si="54"/>
        <v>216</v>
      </c>
      <c r="BZ34">
        <f t="shared" si="55"/>
        <v>2</v>
      </c>
      <c r="CB34" s="200">
        <f t="shared" si="56"/>
        <v>-2.7285729748247598E-4</v>
      </c>
      <c r="CC34" s="201">
        <f t="shared" si="57"/>
        <v>-4.3425897754060367E-6</v>
      </c>
      <c r="CD34" s="201">
        <f t="shared" si="58"/>
        <v>5.558592891002069E-4</v>
      </c>
      <c r="CE34" s="201">
        <f t="shared" si="59"/>
        <v>-1.836856803598642E-3</v>
      </c>
      <c r="CF34" s="201">
        <f t="shared" si="60"/>
        <v>-1.0922584148257828E-4</v>
      </c>
      <c r="CG34" s="201">
        <f t="shared" si="61"/>
        <v>1.9470939954653183E-3</v>
      </c>
      <c r="CJ34" s="201">
        <f t="shared" si="62"/>
        <v>4.038831461556682E-8</v>
      </c>
      <c r="CK34" s="201">
        <f t="shared" si="63"/>
        <v>1.6660576645562799E-8</v>
      </c>
      <c r="CL34" s="201">
        <f t="shared" si="64"/>
        <v>5.3398367523603734E-7</v>
      </c>
      <c r="CM34" s="201">
        <f t="shared" si="65"/>
        <v>4.2644127366384475E-6</v>
      </c>
      <c r="CN34" s="201">
        <f t="shared" si="66"/>
        <v>9.1279601914166144E-9</v>
      </c>
      <c r="CO34" s="201">
        <f t="shared" si="67"/>
        <v>4.6584472946479446E-6</v>
      </c>
      <c r="CR34" s="243">
        <f t="shared" si="68"/>
        <v>7.9533165671267218E-5</v>
      </c>
      <c r="CS34" s="243">
        <f t="shared" si="77"/>
        <v>1.8248916462400758E-4</v>
      </c>
      <c r="CT34" s="243">
        <f t="shared" si="78"/>
        <v>8.7119905945374349E-4</v>
      </c>
      <c r="CU34" s="243">
        <f t="shared" si="79"/>
        <v>2.2704146221230771E-3</v>
      </c>
      <c r="CV34" s="243">
        <f t="shared" si="80"/>
        <v>7.9533866593143273E-5</v>
      </c>
      <c r="CW34" s="243">
        <f t="shared" si="81"/>
        <v>2.3506849134068974E-3</v>
      </c>
      <c r="CY34" s="223">
        <v>0.43994736359641862</v>
      </c>
      <c r="CZ34" s="223">
        <v>5.5499472837982245E-4</v>
      </c>
    </row>
    <row r="35" spans="1:104" x14ac:dyDescent="0.25">
      <c r="A35" s="122">
        <v>11315</v>
      </c>
      <c r="B35" s="153">
        <v>113</v>
      </c>
      <c r="C35" s="184">
        <f>+'Sampling Weights'!R35</f>
        <v>699.79960581440116</v>
      </c>
      <c r="D35" s="155">
        <f>+SUM('Sampling Weights'!I35:N35)</f>
        <v>15</v>
      </c>
      <c r="E35" s="155">
        <v>5</v>
      </c>
      <c r="F35" s="155">
        <v>2</v>
      </c>
      <c r="G35" s="155">
        <v>1</v>
      </c>
      <c r="H35" s="154">
        <v>1</v>
      </c>
      <c r="I35" s="154">
        <v>0</v>
      </c>
      <c r="J35" s="154">
        <v>1</v>
      </c>
      <c r="K35" s="155"/>
      <c r="M35" s="206">
        <f>+M24</f>
        <v>2500000</v>
      </c>
      <c r="N35" s="245">
        <f>+SQRT(CZ$32+CY$32/M35)</f>
        <v>1.1976763417182472E-2</v>
      </c>
      <c r="R35" s="167"/>
      <c r="S35" s="184">
        <f t="shared" si="15"/>
        <v>10496.994087216017</v>
      </c>
      <c r="T35" s="184">
        <f t="shared" si="15"/>
        <v>3498.9980290720059</v>
      </c>
      <c r="U35" s="184">
        <f t="shared" si="15"/>
        <v>1399.5992116288023</v>
      </c>
      <c r="V35" s="184">
        <f t="shared" si="15"/>
        <v>699.79960581440116</v>
      </c>
      <c r="W35" s="184">
        <f t="shared" si="15"/>
        <v>699.79960581440116</v>
      </c>
      <c r="X35" s="184">
        <f t="shared" si="76"/>
        <v>0</v>
      </c>
      <c r="Y35" s="184">
        <f t="shared" si="76"/>
        <v>699.79960581440116</v>
      </c>
      <c r="AA35" s="167">
        <f t="shared" si="16"/>
        <v>110186884.86704803</v>
      </c>
      <c r="AB35" s="167">
        <f t="shared" si="17"/>
        <v>12242987.207449783</v>
      </c>
      <c r="AC35" s="167">
        <f t="shared" si="18"/>
        <v>1958877.9531919649</v>
      </c>
      <c r="AD35" s="167">
        <f t="shared" si="19"/>
        <v>489719.48829799122</v>
      </c>
      <c r="AE35" s="167">
        <f t="shared" si="20"/>
        <v>489719.48829799122</v>
      </c>
      <c r="AF35" s="167">
        <f t="shared" si="21"/>
        <v>0</v>
      </c>
      <c r="AG35" s="167">
        <f t="shared" si="22"/>
        <v>489719.48829799122</v>
      </c>
      <c r="AI35" s="153">
        <v>217</v>
      </c>
      <c r="AJ35">
        <f t="shared" si="4"/>
        <v>8</v>
      </c>
      <c r="AK35" s="187">
        <f t="shared" si="23"/>
        <v>251384.41518728368</v>
      </c>
      <c r="AL35" s="187">
        <f t="shared" si="24"/>
        <v>70180.734580819393</v>
      </c>
      <c r="AM35" s="187">
        <f t="shared" si="25"/>
        <v>47103.348463747519</v>
      </c>
      <c r="AN35" s="187">
        <f t="shared" si="26"/>
        <v>12707.211075947864</v>
      </c>
      <c r="AO35" s="187">
        <f t="shared" si="27"/>
        <v>27031.341064575201</v>
      </c>
      <c r="AP35" s="187">
        <f t="shared" si="28"/>
        <v>1606.9945936559</v>
      </c>
      <c r="AQ35" s="187">
        <f t="shared" si="29"/>
        <v>18465.012805516417</v>
      </c>
      <c r="AS35" s="187">
        <f t="shared" si="30"/>
        <v>8519833139.8987169</v>
      </c>
      <c r="AT35" s="187">
        <f t="shared" si="31"/>
        <v>836702091.55459571</v>
      </c>
      <c r="AU35" s="187">
        <f t="shared" si="32"/>
        <v>411851392.33205998</v>
      </c>
      <c r="AV35" s="187">
        <f t="shared" si="33"/>
        <v>60637971.109699428</v>
      </c>
      <c r="AW35" s="187">
        <f t="shared" si="34"/>
        <v>120459380.15960273</v>
      </c>
      <c r="AX35" s="187">
        <f t="shared" si="35"/>
        <v>2582431.6240392909</v>
      </c>
      <c r="AY35" s="187">
        <f t="shared" si="36"/>
        <v>161163948.02661315</v>
      </c>
      <c r="BA35" s="167">
        <f t="shared" si="37"/>
        <v>26631.187195620088</v>
      </c>
      <c r="BB35" s="167">
        <f t="shared" si="38"/>
        <v>15893.759899197395</v>
      </c>
      <c r="BC35" s="167">
        <f t="shared" si="39"/>
        <v>12398.650284603298</v>
      </c>
      <c r="BD35" s="167">
        <f t="shared" si="40"/>
        <v>6799.480605677627</v>
      </c>
      <c r="BE35" s="167">
        <f t="shared" si="41"/>
        <v>5769.1499934371659</v>
      </c>
      <c r="BF35" s="167">
        <f t="shared" si="42"/>
        <v>1606.9945936559</v>
      </c>
      <c r="BG35" s="167">
        <f t="shared" si="43"/>
        <v>11639.556240344633</v>
      </c>
      <c r="BJ35" s="201">
        <f t="shared" si="8"/>
        <v>4.737404071055235E-4</v>
      </c>
      <c r="BK35" s="201">
        <f t="shared" si="9"/>
        <v>-4.2115731538884232E-6</v>
      </c>
      <c r="BL35" s="243">
        <f t="shared" si="44"/>
        <v>7.4103389940965341E-4</v>
      </c>
      <c r="BM35" s="243">
        <f t="shared" si="45"/>
        <v>-3.5077722243947486E-4</v>
      </c>
      <c r="BN35" s="243">
        <f t="shared" si="46"/>
        <v>-9.8017956076230941E-5</v>
      </c>
      <c r="BO35" s="243">
        <f t="shared" si="47"/>
        <v>4.497027521830781E-4</v>
      </c>
      <c r="BR35" s="200">
        <f t="shared" si="48"/>
        <v>2.2442997332450715E-7</v>
      </c>
      <c r="BS35" s="201">
        <f t="shared" si="49"/>
        <v>1.7737348430553679E-11</v>
      </c>
      <c r="BT35" s="201">
        <f t="shared" si="50"/>
        <v>5.4913124007427631E-7</v>
      </c>
      <c r="BU35" s="201">
        <f t="shared" si="51"/>
        <v>1.2304465978235283E-7</v>
      </c>
      <c r="BV35" s="201">
        <f t="shared" si="52"/>
        <v>9.607519713361938E-9</v>
      </c>
      <c r="BW35" s="201">
        <f t="shared" si="53"/>
        <v>2.0223256532103496E-7</v>
      </c>
      <c r="BY35">
        <f t="shared" si="54"/>
        <v>217</v>
      </c>
      <c r="BZ35">
        <f t="shared" si="55"/>
        <v>8</v>
      </c>
      <c r="CB35" s="200">
        <f t="shared" si="56"/>
        <v>6.6822519487516217E-3</v>
      </c>
      <c r="CC35" s="201">
        <f t="shared" si="57"/>
        <v>4.5523210058417678E-3</v>
      </c>
      <c r="CD35" s="201">
        <f t="shared" si="58"/>
        <v>-2.6757245064100168E-3</v>
      </c>
      <c r="CE35" s="201">
        <f t="shared" si="59"/>
        <v>-2.9444884608971558E-3</v>
      </c>
      <c r="CF35" s="201">
        <f t="shared" si="60"/>
        <v>7.9338566423295138E-4</v>
      </c>
      <c r="CG35" s="201">
        <f t="shared" si="61"/>
        <v>2.1816470827395072E-3</v>
      </c>
      <c r="CJ35" s="201">
        <f t="shared" si="62"/>
        <v>2.0839685375751512E-5</v>
      </c>
      <c r="CK35" s="201">
        <f t="shared" si="63"/>
        <v>1.2399554912021367E-5</v>
      </c>
      <c r="CL35" s="201">
        <f t="shared" si="64"/>
        <v>1.0427752118099672E-4</v>
      </c>
      <c r="CM35" s="201">
        <f t="shared" si="65"/>
        <v>3.073009006513631E-4</v>
      </c>
      <c r="CN35" s="201">
        <f t="shared" si="66"/>
        <v>1.784472595865274E-5</v>
      </c>
      <c r="CO35" s="201">
        <f t="shared" si="67"/>
        <v>3.2751528806484109E-4</v>
      </c>
      <c r="CR35" s="243">
        <f t="shared" si="68"/>
        <v>4.1758658965094933E-3</v>
      </c>
      <c r="CS35" s="243">
        <f t="shared" si="77"/>
        <v>3.3481938149213424E-3</v>
      </c>
      <c r="CT35" s="243">
        <f t="shared" si="78"/>
        <v>1.0869752709854802E-2</v>
      </c>
      <c r="CU35" s="243">
        <f t="shared" si="79"/>
        <v>1.8707283504845105E-2</v>
      </c>
      <c r="CV35" s="243">
        <f t="shared" si="80"/>
        <v>4.5060015036617164E-3</v>
      </c>
      <c r="CW35" s="243">
        <f t="shared" si="81"/>
        <v>1.932933640323176E-2</v>
      </c>
      <c r="CY35" s="246">
        <v>3.1421858232581314</v>
      </c>
      <c r="CZ35" s="228">
        <v>4</v>
      </c>
    </row>
    <row r="36" spans="1:104" x14ac:dyDescent="0.25">
      <c r="A36" s="122">
        <v>11316</v>
      </c>
      <c r="B36" s="153">
        <v>113</v>
      </c>
      <c r="C36" s="184">
        <f>+'Sampling Weights'!R36</f>
        <v>738.13329850672631</v>
      </c>
      <c r="D36" s="155">
        <f>+SUM('Sampling Weights'!I36:N36)</f>
        <v>14</v>
      </c>
      <c r="E36" s="155">
        <v>3</v>
      </c>
      <c r="F36" s="155">
        <v>3</v>
      </c>
      <c r="G36" s="155">
        <v>1</v>
      </c>
      <c r="H36" s="154">
        <v>3</v>
      </c>
      <c r="I36" s="154">
        <v>0</v>
      </c>
      <c r="J36" s="154">
        <v>0</v>
      </c>
      <c r="K36" s="155"/>
      <c r="M36" s="206">
        <f t="shared" ref="M36:M43" si="85">+M25</f>
        <v>1000000</v>
      </c>
      <c r="N36" s="245">
        <f t="shared" ref="N36:N43" si="86">+SQRT(CZ$32+CY$32/M36)</f>
        <v>1.9374899178675405E-2</v>
      </c>
      <c r="R36" s="167"/>
      <c r="S36" s="184">
        <f t="shared" si="15"/>
        <v>10333.866179094168</v>
      </c>
      <c r="T36" s="184">
        <f t="shared" si="15"/>
        <v>2214.3998955201787</v>
      </c>
      <c r="U36" s="184">
        <f t="shared" si="15"/>
        <v>2214.3998955201787</v>
      </c>
      <c r="V36" s="184">
        <f t="shared" si="15"/>
        <v>738.13329850672631</v>
      </c>
      <c r="W36" s="184">
        <f t="shared" si="15"/>
        <v>2214.3998955201787</v>
      </c>
      <c r="X36" s="184">
        <f t="shared" si="76"/>
        <v>0</v>
      </c>
      <c r="Y36" s="184">
        <f t="shared" si="76"/>
        <v>0</v>
      </c>
      <c r="AA36" s="167">
        <f t="shared" si="16"/>
        <v>106788790.20742629</v>
      </c>
      <c r="AB36" s="167">
        <f t="shared" si="17"/>
        <v>4903566.8972797785</v>
      </c>
      <c r="AC36" s="167">
        <f t="shared" si="18"/>
        <v>4903566.8972797785</v>
      </c>
      <c r="AD36" s="167">
        <f t="shared" si="19"/>
        <v>544840.76636441995</v>
      </c>
      <c r="AE36" s="167">
        <f t="shared" si="20"/>
        <v>4903566.8972797785</v>
      </c>
      <c r="AF36" s="167">
        <f t="shared" si="21"/>
        <v>0</v>
      </c>
      <c r="AG36" s="167">
        <f t="shared" si="22"/>
        <v>0</v>
      </c>
      <c r="AI36" s="153">
        <v>218</v>
      </c>
      <c r="AJ36">
        <f t="shared" si="4"/>
        <v>9</v>
      </c>
      <c r="AK36" s="187">
        <f t="shared" si="23"/>
        <v>221673.46590286127</v>
      </c>
      <c r="AL36" s="187">
        <f t="shared" si="24"/>
        <v>38520.76389177583</v>
      </c>
      <c r="AM36" s="187">
        <f t="shared" si="25"/>
        <v>29072.942572035696</v>
      </c>
      <c r="AN36" s="187">
        <f t="shared" si="26"/>
        <v>6925.0981046482002</v>
      </c>
      <c r="AO36" s="187">
        <f t="shared" si="27"/>
        <v>13345.414404728142</v>
      </c>
      <c r="AP36" s="187">
        <f t="shared" si="28"/>
        <v>0</v>
      </c>
      <c r="AQ36" s="187">
        <f t="shared" si="29"/>
        <v>15727.528167307555</v>
      </c>
      <c r="AS36" s="187">
        <f t="shared" si="30"/>
        <v>6989605938.7696018</v>
      </c>
      <c r="AT36" s="187">
        <f t="shared" si="31"/>
        <v>219586534.45114717</v>
      </c>
      <c r="AU36" s="187">
        <f t="shared" si="32"/>
        <v>120977714.48001058</v>
      </c>
      <c r="AV36" s="187">
        <f t="shared" si="33"/>
        <v>17430564.278910417</v>
      </c>
      <c r="AW36" s="187">
        <f t="shared" si="34"/>
        <v>34928405.075933419</v>
      </c>
      <c r="AX36" s="187">
        <f t="shared" si="35"/>
        <v>0</v>
      </c>
      <c r="AY36" s="187">
        <f t="shared" si="36"/>
        <v>46652009.092301905</v>
      </c>
      <c r="BA36" s="167">
        <f t="shared" si="37"/>
        <v>41483.924542434834</v>
      </c>
      <c r="BB36" s="167">
        <f t="shared" si="38"/>
        <v>7845.6162859776678</v>
      </c>
      <c r="BC36" s="167">
        <f t="shared" si="39"/>
        <v>5517.7377670020887</v>
      </c>
      <c r="BD36" s="167">
        <f t="shared" si="40"/>
        <v>3689.8186735799031</v>
      </c>
      <c r="BE36" s="167">
        <f t="shared" si="41"/>
        <v>4126.9777084671077</v>
      </c>
      <c r="BF36" s="167">
        <f t="shared" si="42"/>
        <v>0</v>
      </c>
      <c r="BG36" s="167">
        <f t="shared" si="43"/>
        <v>4643.718062841248</v>
      </c>
      <c r="BJ36" s="201">
        <f t="shared" si="8"/>
        <v>4.5011590875190674E-5</v>
      </c>
      <c r="BK36" s="201">
        <f t="shared" si="9"/>
        <v>2.8238322016929001E-4</v>
      </c>
      <c r="BL36" s="243">
        <f t="shared" si="44"/>
        <v>2.3262118529101432E-4</v>
      </c>
      <c r="BM36" s="243">
        <f t="shared" si="45"/>
        <v>2.2644667234810443E-3</v>
      </c>
      <c r="BN36" s="243">
        <f t="shared" si="46"/>
        <v>-1.5508079019400941E-4</v>
      </c>
      <c r="BO36" s="243">
        <f t="shared" si="47"/>
        <v>-2.1079500000444986E-3</v>
      </c>
      <c r="BR36" s="200">
        <f t="shared" si="48"/>
        <v>2.0260433131155483E-9</v>
      </c>
      <c r="BS36" s="201">
        <f t="shared" si="49"/>
        <v>7.9740283033177717E-8</v>
      </c>
      <c r="BT36" s="201">
        <f t="shared" si="50"/>
        <v>5.4112615846196419E-8</v>
      </c>
      <c r="BU36" s="201">
        <f t="shared" si="51"/>
        <v>5.1278095417529768E-6</v>
      </c>
      <c r="BV36" s="201">
        <f t="shared" si="52"/>
        <v>2.4050051487198366E-8</v>
      </c>
      <c r="BW36" s="201">
        <f t="shared" si="53"/>
        <v>4.443453202687602E-6</v>
      </c>
      <c r="BY36">
        <f t="shared" si="54"/>
        <v>218</v>
      </c>
      <c r="BZ36">
        <f t="shared" si="55"/>
        <v>9</v>
      </c>
      <c r="CB36" s="200">
        <f t="shared" si="56"/>
        <v>-2.1104501429990573E-3</v>
      </c>
      <c r="CC36" s="201">
        <f t="shared" si="57"/>
        <v>-2.5455075020671894E-4</v>
      </c>
      <c r="CD36" s="201">
        <f t="shared" si="58"/>
        <v>-3.9891535114590084E-3</v>
      </c>
      <c r="CE36" s="201">
        <f t="shared" si="59"/>
        <v>-1.0319456044882045E-2</v>
      </c>
      <c r="CF36" s="201">
        <f t="shared" si="60"/>
        <v>-2.0360617413582543E-3</v>
      </c>
      <c r="CG36" s="201">
        <f t="shared" si="61"/>
        <v>1.237437020977139E-2</v>
      </c>
      <c r="CJ36" s="201">
        <f t="shared" si="62"/>
        <v>8.2151267468168419E-6</v>
      </c>
      <c r="CK36" s="201">
        <f t="shared" si="63"/>
        <v>3.734945865191816E-6</v>
      </c>
      <c r="CL36" s="201">
        <f t="shared" si="64"/>
        <v>5.376114480034858E-5</v>
      </c>
      <c r="CM36" s="201">
        <f t="shared" si="65"/>
        <v>8.3465620488411033E-5</v>
      </c>
      <c r="CN36" s="201">
        <f t="shared" si="66"/>
        <v>5.9334772482901677E-7</v>
      </c>
      <c r="CO36" s="201">
        <f t="shared" si="67"/>
        <v>9.0466270138057307E-5</v>
      </c>
      <c r="CR36" s="243">
        <f t="shared" si="68"/>
        <v>2.9470778093576618E-3</v>
      </c>
      <c r="CS36" s="243">
        <f t="shared" si="77"/>
        <v>2.0478560954781326E-3</v>
      </c>
      <c r="CT36" s="243">
        <f t="shared" si="78"/>
        <v>7.6480141006109508E-3</v>
      </c>
      <c r="CU36" s="243">
        <f t="shared" si="79"/>
        <v>8.9770499840805627E-3</v>
      </c>
      <c r="CV36" s="243">
        <f t="shared" si="80"/>
        <v>3.8642303710414701E-4</v>
      </c>
      <c r="CW36" s="243">
        <f t="shared" si="81"/>
        <v>9.0903203543249659E-3</v>
      </c>
      <c r="CY36" s="223">
        <v>9.6785340180109891E-7</v>
      </c>
      <c r="CZ36" s="223">
        <v>1.2320765941175714E-6</v>
      </c>
    </row>
    <row r="37" spans="1:104" x14ac:dyDescent="0.25">
      <c r="A37" s="122">
        <v>11317</v>
      </c>
      <c r="B37" s="153">
        <v>113</v>
      </c>
      <c r="C37" s="184">
        <f>+'Sampling Weights'!R37</f>
        <v>1075.530001806465</v>
      </c>
      <c r="D37" s="155">
        <f>+SUM('Sampling Weights'!I37:N37)</f>
        <v>11</v>
      </c>
      <c r="E37" s="155">
        <v>2</v>
      </c>
      <c r="F37" s="155">
        <v>2</v>
      </c>
      <c r="G37" s="155">
        <v>1</v>
      </c>
      <c r="H37" s="154">
        <v>1</v>
      </c>
      <c r="I37" s="154">
        <v>0</v>
      </c>
      <c r="J37" s="154">
        <v>1</v>
      </c>
      <c r="K37" s="154"/>
      <c r="L37" s="172"/>
      <c r="M37" s="206">
        <f t="shared" si="85"/>
        <v>750000</v>
      </c>
      <c r="N37" s="245">
        <f t="shared" si="86"/>
        <v>2.2455387239833553E-2</v>
      </c>
      <c r="P37" s="184"/>
      <c r="Q37" s="173"/>
      <c r="R37" s="167"/>
      <c r="S37" s="184">
        <f t="shared" si="15"/>
        <v>11830.830019871115</v>
      </c>
      <c r="T37" s="184">
        <f t="shared" si="15"/>
        <v>2151.0600036129299</v>
      </c>
      <c r="U37" s="184">
        <f t="shared" si="15"/>
        <v>2151.0600036129299</v>
      </c>
      <c r="V37" s="184">
        <f t="shared" si="15"/>
        <v>1075.530001806465</v>
      </c>
      <c r="W37" s="184">
        <f t="shared" si="15"/>
        <v>1075.530001806465</v>
      </c>
      <c r="X37" s="184">
        <f t="shared" si="76"/>
        <v>0</v>
      </c>
      <c r="Y37" s="184">
        <f t="shared" si="76"/>
        <v>1075.530001806465</v>
      </c>
      <c r="AA37" s="167">
        <f t="shared" si="16"/>
        <v>139968538.95908356</v>
      </c>
      <c r="AB37" s="167">
        <f t="shared" si="17"/>
        <v>4627059.1391432583</v>
      </c>
      <c r="AC37" s="167">
        <f t="shared" si="18"/>
        <v>4627059.1391432583</v>
      </c>
      <c r="AD37" s="167">
        <f t="shared" si="19"/>
        <v>1156764.7847858146</v>
      </c>
      <c r="AE37" s="167">
        <f t="shared" si="20"/>
        <v>1156764.7847858146</v>
      </c>
      <c r="AF37" s="167">
        <f t="shared" si="21"/>
        <v>0</v>
      </c>
      <c r="AG37" s="167">
        <f t="shared" si="22"/>
        <v>1156764.7847858146</v>
      </c>
      <c r="AI37" s="153">
        <v>219</v>
      </c>
      <c r="AJ37">
        <f t="shared" si="4"/>
        <v>5</v>
      </c>
      <c r="AK37" s="187">
        <f t="shared" si="23"/>
        <v>75556.420799772459</v>
      </c>
      <c r="AL37" s="187">
        <f t="shared" si="24"/>
        <v>17580.116562184507</v>
      </c>
      <c r="AM37" s="187">
        <f t="shared" si="25"/>
        <v>10112.223014603058</v>
      </c>
      <c r="AN37" s="187">
        <f t="shared" si="26"/>
        <v>2884.7320607891597</v>
      </c>
      <c r="AO37" s="187">
        <f t="shared" si="27"/>
        <v>3690.0586962942625</v>
      </c>
      <c r="AP37" s="187">
        <f t="shared" si="28"/>
        <v>0</v>
      </c>
      <c r="AQ37" s="187">
        <f t="shared" si="29"/>
        <v>6422.1643183087954</v>
      </c>
      <c r="AS37" s="187">
        <f t="shared" si="30"/>
        <v>1237433295.0399394</v>
      </c>
      <c r="AT37" s="187">
        <f t="shared" si="31"/>
        <v>111840983.58318454</v>
      </c>
      <c r="AU37" s="187">
        <f t="shared" si="32"/>
        <v>40825071.370837644</v>
      </c>
      <c r="AV37" s="187">
        <f t="shared" si="33"/>
        <v>8321679.0625448721</v>
      </c>
      <c r="AW37" s="187">
        <f t="shared" si="34"/>
        <v>4612440.537258287</v>
      </c>
      <c r="AX37" s="187">
        <f t="shared" si="35"/>
        <v>0</v>
      </c>
      <c r="AY37" s="187">
        <f t="shared" si="36"/>
        <v>20952699.186111756</v>
      </c>
      <c r="BA37" s="167">
        <f t="shared" si="37"/>
        <v>10936.107067044119</v>
      </c>
      <c r="BB37" s="167">
        <f t="shared" si="38"/>
        <v>7907.9772947310721</v>
      </c>
      <c r="BC37" s="167">
        <f t="shared" si="39"/>
        <v>5046.4914187264912</v>
      </c>
      <c r="BD37" s="167">
        <f t="shared" si="40"/>
        <v>2884.7320607891597</v>
      </c>
      <c r="BE37" s="167">
        <f t="shared" si="41"/>
        <v>1536.6903969403306</v>
      </c>
      <c r="BF37" s="167">
        <f t="shared" si="42"/>
        <v>0</v>
      </c>
      <c r="BG37" s="167">
        <f t="shared" si="43"/>
        <v>3984.9498553683243</v>
      </c>
      <c r="BJ37" s="201">
        <f t="shared" si="8"/>
        <v>-8.0033264337353517E-5</v>
      </c>
      <c r="BK37" s="201">
        <f t="shared" si="9"/>
        <v>1.9172401885639059E-4</v>
      </c>
      <c r="BL37" s="243">
        <f t="shared" si="44"/>
        <v>1.1389034582881652E-3</v>
      </c>
      <c r="BM37" s="243">
        <f t="shared" si="45"/>
        <v>-5.391135169973988E-4</v>
      </c>
      <c r="BN37" s="243">
        <f t="shared" si="46"/>
        <v>-1.5064491548698328E-4</v>
      </c>
      <c r="BO37" s="243">
        <f t="shared" si="47"/>
        <v>6.9115329281296475E-4</v>
      </c>
      <c r="BR37" s="200">
        <f t="shared" si="48"/>
        <v>6.4053234004927025E-9</v>
      </c>
      <c r="BS37" s="201">
        <f t="shared" si="49"/>
        <v>3.6758099406445616E-8</v>
      </c>
      <c r="BT37" s="201">
        <f t="shared" si="50"/>
        <v>1.2971010873007423E-6</v>
      </c>
      <c r="BU37" s="201">
        <f t="shared" si="51"/>
        <v>2.906433842093046E-7</v>
      </c>
      <c r="BV37" s="201">
        <f t="shared" si="52"/>
        <v>2.2693890562080333E-8</v>
      </c>
      <c r="BW37" s="201">
        <f t="shared" si="53"/>
        <v>4.7769287416620383E-7</v>
      </c>
      <c r="BY37">
        <f t="shared" si="54"/>
        <v>219</v>
      </c>
      <c r="BZ37">
        <f t="shared" si="55"/>
        <v>5</v>
      </c>
      <c r="CB37" s="200">
        <f t="shared" si="56"/>
        <v>8.05009740129383E-4</v>
      </c>
      <c r="CC37" s="201">
        <f t="shared" si="57"/>
        <v>-1.728754404818557E-5</v>
      </c>
      <c r="CD37" s="201">
        <f t="shared" si="58"/>
        <v>-1.7532664988256048E-4</v>
      </c>
      <c r="CE37" s="201">
        <f t="shared" si="59"/>
        <v>-6.0130119680149603E-3</v>
      </c>
      <c r="CF37" s="201">
        <f t="shared" si="60"/>
        <v>-7.0818804629427864E-4</v>
      </c>
      <c r="CG37" s="201">
        <f t="shared" si="61"/>
        <v>6.7277573110341845E-3</v>
      </c>
      <c r="CJ37" s="201">
        <f t="shared" si="62"/>
        <v>3.8015795041713047E-6</v>
      </c>
      <c r="CK37" s="201">
        <f t="shared" si="63"/>
        <v>1.2185157180835557E-6</v>
      </c>
      <c r="CL37" s="201">
        <f t="shared" si="64"/>
        <v>1.3501476116838134E-5</v>
      </c>
      <c r="CM37" s="201">
        <f t="shared" si="65"/>
        <v>2.9699068792127347E-5</v>
      </c>
      <c r="CN37" s="201">
        <f t="shared" si="66"/>
        <v>2.0023078893485993E-7</v>
      </c>
      <c r="CO37" s="201">
        <f t="shared" si="67"/>
        <v>3.429047992918202E-5</v>
      </c>
      <c r="CR37" s="243">
        <f t="shared" si="68"/>
        <v>2.1424201758264735E-3</v>
      </c>
      <c r="CS37" s="243">
        <f t="shared" si="77"/>
        <v>1.2341271947451931E-3</v>
      </c>
      <c r="CT37" s="243">
        <f t="shared" si="78"/>
        <v>4.1072083326157086E-3</v>
      </c>
      <c r="CU37" s="243">
        <f t="shared" si="79"/>
        <v>5.2995054258191295E-3</v>
      </c>
      <c r="CV37" s="243">
        <f t="shared" si="80"/>
        <v>3.5342030069033679E-4</v>
      </c>
      <c r="CW37" s="243">
        <f t="shared" si="81"/>
        <v>5.6167090277522876E-3</v>
      </c>
      <c r="CY37" s="244"/>
      <c r="CZ37" s="244"/>
    </row>
    <row r="38" spans="1:104" x14ac:dyDescent="0.25">
      <c r="A38" s="122">
        <v>11318</v>
      </c>
      <c r="B38" s="153">
        <v>113</v>
      </c>
      <c r="C38" s="184">
        <f>+'Sampling Weights'!R38</f>
        <v>1140.5669921858537</v>
      </c>
      <c r="D38" s="155">
        <f>+SUM('Sampling Weights'!I38:N38)</f>
        <v>13</v>
      </c>
      <c r="E38" s="155">
        <v>4</v>
      </c>
      <c r="F38" s="155">
        <v>2</v>
      </c>
      <c r="G38" s="155">
        <v>1</v>
      </c>
      <c r="H38" s="154">
        <v>1</v>
      </c>
      <c r="I38" s="154">
        <v>0</v>
      </c>
      <c r="J38" s="154">
        <v>1</v>
      </c>
      <c r="K38" s="155"/>
      <c r="L38" s="172"/>
      <c r="M38" s="206">
        <f t="shared" si="85"/>
        <v>500000</v>
      </c>
      <c r="N38" s="245">
        <f t="shared" si="86"/>
        <v>2.7603619543548352E-2</v>
      </c>
      <c r="P38" s="184"/>
      <c r="Q38" s="173"/>
      <c r="R38" s="167"/>
      <c r="S38" s="184">
        <f t="shared" si="15"/>
        <v>14827.370898416098</v>
      </c>
      <c r="T38" s="184">
        <f t="shared" si="15"/>
        <v>4562.2679687434147</v>
      </c>
      <c r="U38" s="184">
        <f t="shared" si="15"/>
        <v>2281.1339843717074</v>
      </c>
      <c r="V38" s="184">
        <f t="shared" si="15"/>
        <v>1140.5669921858537</v>
      </c>
      <c r="W38" s="184">
        <f t="shared" si="15"/>
        <v>1140.5669921858537</v>
      </c>
      <c r="X38" s="184">
        <f t="shared" si="76"/>
        <v>0</v>
      </c>
      <c r="Y38" s="184">
        <f t="shared" si="76"/>
        <v>1140.5669921858537</v>
      </c>
      <c r="AA38" s="167">
        <f t="shared" si="16"/>
        <v>219850927.75919661</v>
      </c>
      <c r="AB38" s="167">
        <f t="shared" si="17"/>
        <v>20814289.018622164</v>
      </c>
      <c r="AC38" s="167">
        <f t="shared" si="18"/>
        <v>5203572.2546555409</v>
      </c>
      <c r="AD38" s="167">
        <f t="shared" si="19"/>
        <v>1300893.0636638852</v>
      </c>
      <c r="AE38" s="167">
        <f t="shared" si="20"/>
        <v>1300893.0636638852</v>
      </c>
      <c r="AF38" s="167">
        <f t="shared" si="21"/>
        <v>0</v>
      </c>
      <c r="AG38" s="167">
        <f t="shared" si="22"/>
        <v>1300893.0636638852</v>
      </c>
      <c r="AI38" s="153">
        <v>220</v>
      </c>
      <c r="AJ38">
        <f t="shared" si="4"/>
        <v>7</v>
      </c>
      <c r="AK38" s="187">
        <f t="shared" si="23"/>
        <v>215946.14634836977</v>
      </c>
      <c r="AL38" s="187">
        <f t="shared" si="24"/>
        <v>48440.485210184619</v>
      </c>
      <c r="AM38" s="187">
        <f t="shared" si="25"/>
        <v>24660.970058041341</v>
      </c>
      <c r="AN38" s="187">
        <f t="shared" si="26"/>
        <v>5457.5090820542891</v>
      </c>
      <c r="AO38" s="187">
        <f t="shared" si="27"/>
        <v>16438.385358313339</v>
      </c>
      <c r="AP38" s="187">
        <f t="shared" si="28"/>
        <v>0</v>
      </c>
      <c r="AQ38" s="187">
        <f t="shared" si="29"/>
        <v>8222.5846997280041</v>
      </c>
      <c r="AS38" s="187">
        <f t="shared" si="30"/>
        <v>7771100598.3495092</v>
      </c>
      <c r="AT38" s="187">
        <f t="shared" si="31"/>
        <v>643090940.20124424</v>
      </c>
      <c r="AU38" s="187">
        <f t="shared" si="32"/>
        <v>124055899.92957607</v>
      </c>
      <c r="AV38" s="187">
        <f t="shared" si="33"/>
        <v>29784405.380705051</v>
      </c>
      <c r="AW38" s="187">
        <f t="shared" si="34"/>
        <v>58361102.111400709</v>
      </c>
      <c r="AX38" s="187">
        <f t="shared" si="35"/>
        <v>0</v>
      </c>
      <c r="AY38" s="187">
        <f t="shared" si="36"/>
        <v>33893475.015244022</v>
      </c>
      <c r="BA38" s="167">
        <f t="shared" si="37"/>
        <v>35974.449418383585</v>
      </c>
      <c r="BB38" s="167">
        <f t="shared" si="38"/>
        <v>18952.378804126387</v>
      </c>
      <c r="BC38" s="167">
        <f t="shared" si="39"/>
        <v>6585.6897298033109</v>
      </c>
      <c r="BD38" s="167">
        <f t="shared" si="40"/>
        <v>5457.50908205429</v>
      </c>
      <c r="BE38" s="167">
        <f t="shared" si="41"/>
        <v>4801.1665525403751</v>
      </c>
      <c r="BF38" s="167">
        <f t="shared" si="42"/>
        <v>0</v>
      </c>
      <c r="BG38" s="167">
        <f t="shared" si="43"/>
        <v>5317.3211607993471</v>
      </c>
      <c r="BJ38" s="201">
        <f t="shared" si="8"/>
        <v>5.3895532712947111E-4</v>
      </c>
      <c r="BK38" s="201">
        <f t="shared" si="9"/>
        <v>9.8226645558664459E-5</v>
      </c>
      <c r="BL38" s="243">
        <f t="shared" si="44"/>
        <v>1.2077726233838207E-3</v>
      </c>
      <c r="BM38" s="243">
        <f t="shared" si="45"/>
        <v>-5.7171355656809148E-4</v>
      </c>
      <c r="BN38" s="243">
        <f t="shared" si="46"/>
        <v>-1.5975437026999708E-4</v>
      </c>
      <c r="BO38" s="243">
        <f t="shared" si="47"/>
        <v>7.3294713397021791E-4</v>
      </c>
      <c r="BR38" s="200">
        <f t="shared" si="48"/>
        <v>2.904728446412352E-7</v>
      </c>
      <c r="BS38" s="201">
        <f t="shared" si="49"/>
        <v>9.6484738977074957E-9</v>
      </c>
      <c r="BT38" s="201">
        <f t="shared" si="50"/>
        <v>1.4587147097954364E-6</v>
      </c>
      <c r="BU38" s="201">
        <f t="shared" si="51"/>
        <v>3.2685639076373635E-7</v>
      </c>
      <c r="BV38" s="201">
        <f t="shared" si="52"/>
        <v>2.5521458820363325E-8</v>
      </c>
      <c r="BW38" s="201">
        <f t="shared" si="53"/>
        <v>5.3721150119515652E-7</v>
      </c>
      <c r="BY38">
        <f t="shared" si="54"/>
        <v>220</v>
      </c>
      <c r="BZ38">
        <f t="shared" si="55"/>
        <v>7</v>
      </c>
      <c r="CB38" s="200">
        <f t="shared" si="56"/>
        <v>1.6825933292411303E-3</v>
      </c>
      <c r="CC38" s="201">
        <f t="shared" si="57"/>
        <v>-1.5018520800935996E-3</v>
      </c>
      <c r="CD38" s="201">
        <f t="shared" si="58"/>
        <v>-4.4448143810084237E-3</v>
      </c>
      <c r="CE38" s="201">
        <f t="shared" si="59"/>
        <v>4.2799551619055187E-3</v>
      </c>
      <c r="CF38" s="201">
        <f t="shared" si="60"/>
        <v>-1.7270786235534339E-3</v>
      </c>
      <c r="CG38" s="201">
        <f t="shared" si="61"/>
        <v>-2.5368850696154788E-3</v>
      </c>
      <c r="CJ38" s="201">
        <f t="shared" si="62"/>
        <v>2.0721359612471732E-5</v>
      </c>
      <c r="CK38" s="201">
        <f t="shared" si="63"/>
        <v>1.8028102882598642E-6</v>
      </c>
      <c r="CL38" s="201">
        <f t="shared" si="64"/>
        <v>9.2530345703583459E-5</v>
      </c>
      <c r="CM38" s="201">
        <f t="shared" si="65"/>
        <v>9.0179495508176135E-5</v>
      </c>
      <c r="CN38" s="201">
        <f t="shared" si="66"/>
        <v>6.0844500403413231E-7</v>
      </c>
      <c r="CO38" s="201">
        <f t="shared" si="67"/>
        <v>9.0790590270321123E-5</v>
      </c>
      <c r="CR38" s="243">
        <f t="shared" si="68"/>
        <v>4.8685794809796307E-3</v>
      </c>
      <c r="CS38" s="243">
        <f t="shared" si="77"/>
        <v>1.3142876617733257E-3</v>
      </c>
      <c r="CT38" s="243">
        <f t="shared" si="78"/>
        <v>1.0230314796748803E-2</v>
      </c>
      <c r="CU38" s="243">
        <f t="shared" si="79"/>
        <v>1.0107245358069554E-2</v>
      </c>
      <c r="CV38" s="243">
        <f t="shared" si="80"/>
        <v>4.6121478299228119E-4</v>
      </c>
      <c r="CW38" s="243">
        <f t="shared" si="81"/>
        <v>1.023961543903391E-2</v>
      </c>
    </row>
    <row r="39" spans="1:104" x14ac:dyDescent="0.25">
      <c r="A39" s="122">
        <v>11319</v>
      </c>
      <c r="B39" s="153">
        <v>113</v>
      </c>
      <c r="C39" s="184">
        <f>+'Sampling Weights'!R39</f>
        <v>1710.4588398566054</v>
      </c>
      <c r="D39" s="155">
        <f>+SUM('Sampling Weights'!I39:N39)</f>
        <v>14</v>
      </c>
      <c r="E39" s="155">
        <v>5</v>
      </c>
      <c r="F39" s="155">
        <v>1</v>
      </c>
      <c r="G39" s="155">
        <v>0</v>
      </c>
      <c r="H39" s="154">
        <v>0</v>
      </c>
      <c r="I39" s="154">
        <v>0</v>
      </c>
      <c r="J39" s="154">
        <v>1</v>
      </c>
      <c r="K39" s="155"/>
      <c r="M39" s="206">
        <f t="shared" si="85"/>
        <v>250000</v>
      </c>
      <c r="N39" s="245">
        <f t="shared" si="86"/>
        <v>3.9180428779522304E-2</v>
      </c>
      <c r="R39" s="167"/>
      <c r="S39" s="184">
        <f t="shared" si="15"/>
        <v>23946.423757992477</v>
      </c>
      <c r="T39" s="184">
        <f t="shared" si="15"/>
        <v>8552.2941992830274</v>
      </c>
      <c r="U39" s="184">
        <f t="shared" si="15"/>
        <v>1710.4588398566054</v>
      </c>
      <c r="V39" s="184">
        <f t="shared" si="15"/>
        <v>0</v>
      </c>
      <c r="W39" s="184">
        <f t="shared" si="15"/>
        <v>0</v>
      </c>
      <c r="X39" s="184">
        <f t="shared" si="76"/>
        <v>0</v>
      </c>
      <c r="Y39" s="184">
        <f t="shared" si="76"/>
        <v>1710.4588398566054</v>
      </c>
      <c r="AA39" s="167">
        <f t="shared" si="16"/>
        <v>573431210.79734659</v>
      </c>
      <c r="AB39" s="167">
        <f t="shared" si="17"/>
        <v>73141736.071090117</v>
      </c>
      <c r="AC39" s="167">
        <f t="shared" si="18"/>
        <v>2925669.4428436048</v>
      </c>
      <c r="AD39" s="167">
        <f t="shared" si="19"/>
        <v>0</v>
      </c>
      <c r="AE39" s="167">
        <f t="shared" si="20"/>
        <v>0</v>
      </c>
      <c r="AF39" s="167">
        <f t="shared" si="21"/>
        <v>0</v>
      </c>
      <c r="AG39" s="167">
        <f t="shared" si="22"/>
        <v>2925669.4428436048</v>
      </c>
      <c r="AI39" s="153">
        <v>221</v>
      </c>
      <c r="AJ39">
        <f t="shared" si="4"/>
        <v>4</v>
      </c>
      <c r="AK39" s="187">
        <f t="shared" si="23"/>
        <v>49794.521805471464</v>
      </c>
      <c r="AL39" s="187">
        <f t="shared" si="24"/>
        <v>14288.104071755044</v>
      </c>
      <c r="AM39" s="187">
        <f t="shared" si="25"/>
        <v>6393.0606632528425</v>
      </c>
      <c r="AN39" s="187">
        <f t="shared" si="26"/>
        <v>2545.0237839472748</v>
      </c>
      <c r="AO39" s="187">
        <f t="shared" si="27"/>
        <v>4357.041636095023</v>
      </c>
      <c r="AP39" s="187">
        <f t="shared" si="28"/>
        <v>0</v>
      </c>
      <c r="AQ39" s="187">
        <f t="shared" si="29"/>
        <v>2036.0190271578199</v>
      </c>
      <c r="AS39" s="187">
        <f t="shared" si="30"/>
        <v>1051990226.4719278</v>
      </c>
      <c r="AT39" s="187">
        <f t="shared" si="31"/>
        <v>78880763.345022693</v>
      </c>
      <c r="AU39" s="187">
        <f t="shared" si="32"/>
        <v>14481905.980588632</v>
      </c>
      <c r="AV39" s="187">
        <f t="shared" si="33"/>
        <v>6477146.0608573044</v>
      </c>
      <c r="AW39" s="187">
        <f t="shared" si="34"/>
        <v>6191159.0226912796</v>
      </c>
      <c r="AX39" s="187">
        <f t="shared" si="35"/>
        <v>0</v>
      </c>
      <c r="AY39" s="187">
        <f t="shared" si="36"/>
        <v>4145373.4789486756</v>
      </c>
      <c r="BA39" s="167">
        <f t="shared" si="37"/>
        <v>24003.239392855136</v>
      </c>
      <c r="BB39" s="167">
        <f t="shared" si="38"/>
        <v>6092.9778000248698</v>
      </c>
      <c r="BC39" s="167">
        <f t="shared" si="39"/>
        <v>2384.4216124896793</v>
      </c>
      <c r="BD39" s="167">
        <f t="shared" si="40"/>
        <v>2545.0237839472748</v>
      </c>
      <c r="BE39" s="167">
        <f t="shared" si="41"/>
        <v>1388.1431568945527</v>
      </c>
      <c r="BF39" s="167">
        <f t="shared" si="42"/>
        <v>0</v>
      </c>
      <c r="BG39" s="167">
        <f t="shared" si="43"/>
        <v>2036.0190271578199</v>
      </c>
      <c r="BJ39" s="201">
        <f t="shared" si="8"/>
        <v>1.2760119537448618E-3</v>
      </c>
      <c r="BK39" s="201">
        <f t="shared" si="9"/>
        <v>-5.173476991893384E-4</v>
      </c>
      <c r="BL39" s="243">
        <f t="shared" si="44"/>
        <v>-1.2721966370833062E-3</v>
      </c>
      <c r="BM39" s="243">
        <f t="shared" si="45"/>
        <v>-2.6065057516528071E-3</v>
      </c>
      <c r="BN39" s="243">
        <f t="shared" si="46"/>
        <v>-1.1978834943766091E-4</v>
      </c>
      <c r="BO39" s="243">
        <f t="shared" si="47"/>
        <v>2.7274032524741499E-3</v>
      </c>
      <c r="BR39" s="200">
        <f t="shared" si="48"/>
        <v>1.6282065060997794E-6</v>
      </c>
      <c r="BS39" s="201">
        <f t="shared" si="49"/>
        <v>2.6764864185650218E-7</v>
      </c>
      <c r="BT39" s="201">
        <f t="shared" si="50"/>
        <v>1.6184842834060736E-6</v>
      </c>
      <c r="BU39" s="201">
        <f t="shared" si="51"/>
        <v>6.793872233399165E-6</v>
      </c>
      <c r="BV39" s="201">
        <f t="shared" si="52"/>
        <v>1.4349248660999157E-8</v>
      </c>
      <c r="BW39" s="201">
        <f t="shared" si="53"/>
        <v>7.4387285016065709E-6</v>
      </c>
      <c r="BY39">
        <f>+AI39</f>
        <v>221</v>
      </c>
      <c r="BZ39">
        <f>+AJ39</f>
        <v>4</v>
      </c>
      <c r="CB39" s="200">
        <f t="shared" si="56"/>
        <v>1.4560510494064684E-3</v>
      </c>
      <c r="CC39" s="201">
        <f t="shared" si="57"/>
        <v>-1.0430808401794656E-4</v>
      </c>
      <c r="CD39" s="201">
        <f t="shared" si="58"/>
        <v>1.7258355740999614E-3</v>
      </c>
      <c r="CE39" s="201">
        <f t="shared" si="59"/>
        <v>1.3529378345413499E-3</v>
      </c>
      <c r="CF39" s="201">
        <f t="shared" si="60"/>
        <v>-4.4772441573051646E-4</v>
      </c>
      <c r="CG39" s="201">
        <f t="shared" si="61"/>
        <v>-9.0106782236888563E-4</v>
      </c>
      <c r="CJ39" s="201">
        <f t="shared" si="62"/>
        <v>9.5650143891793723E-7</v>
      </c>
      <c r="CK39" s="201">
        <f t="shared" si="63"/>
        <v>9.6375728949632865E-7</v>
      </c>
      <c r="CL39" s="201">
        <f t="shared" si="64"/>
        <v>2.0570062984563126E-5</v>
      </c>
      <c r="CM39" s="201">
        <f t="shared" si="65"/>
        <v>9.6406958679389354E-6</v>
      </c>
      <c r="CN39" s="201">
        <f t="shared" si="66"/>
        <v>7.1028007114399613E-8</v>
      </c>
      <c r="CO39" s="201">
        <f t="shared" si="67"/>
        <v>9.8579118165841196E-6</v>
      </c>
      <c r="CR39" s="243">
        <f t="shared" si="68"/>
        <v>7.5408246613441231E-4</v>
      </c>
      <c r="CS39" s="243">
        <f t="shared" si="77"/>
        <v>1.1319818876044823E-3</v>
      </c>
      <c r="CT39" s="243">
        <f t="shared" si="78"/>
        <v>5.1413922728324466E-3</v>
      </c>
      <c r="CU39" s="243">
        <f t="shared" si="79"/>
        <v>3.4991590745788387E-3</v>
      </c>
      <c r="CV39" s="243">
        <f t="shared" si="80"/>
        <v>1.6698789977756485E-4</v>
      </c>
      <c r="CW39" s="243">
        <f t="shared" si="81"/>
        <v>3.5879299531358317E-3</v>
      </c>
    </row>
    <row r="40" spans="1:104" x14ac:dyDescent="0.25">
      <c r="A40" s="122">
        <v>11320</v>
      </c>
      <c r="B40" s="153">
        <v>113</v>
      </c>
      <c r="C40" s="184">
        <f>+'Sampling Weights'!R40</f>
        <v>542.08389462711057</v>
      </c>
      <c r="D40" s="155">
        <f>+SUM('Sampling Weights'!I40:N40)</f>
        <v>12</v>
      </c>
      <c r="E40" s="155">
        <v>3</v>
      </c>
      <c r="F40" s="155">
        <v>1</v>
      </c>
      <c r="G40" s="155">
        <v>0</v>
      </c>
      <c r="H40" s="154">
        <v>0</v>
      </c>
      <c r="I40" s="154">
        <v>1</v>
      </c>
      <c r="J40" s="154">
        <v>0</v>
      </c>
      <c r="K40" s="155"/>
      <c r="M40" s="206">
        <f t="shared" si="85"/>
        <v>100000</v>
      </c>
      <c r="N40" s="245">
        <f t="shared" si="86"/>
        <v>6.2084978550966619E-2</v>
      </c>
      <c r="R40" s="167"/>
      <c r="S40" s="184">
        <f t="shared" si="15"/>
        <v>6505.0067355253268</v>
      </c>
      <c r="T40" s="184">
        <f t="shared" si="15"/>
        <v>1626.2516838813317</v>
      </c>
      <c r="U40" s="184">
        <f t="shared" si="15"/>
        <v>542.08389462711057</v>
      </c>
      <c r="V40" s="184">
        <f t="shared" si="15"/>
        <v>0</v>
      </c>
      <c r="W40" s="184">
        <f t="shared" si="15"/>
        <v>0</v>
      </c>
      <c r="X40" s="184">
        <f t="shared" si="76"/>
        <v>542.08389462711057</v>
      </c>
      <c r="Y40" s="184">
        <f t="shared" si="76"/>
        <v>0</v>
      </c>
      <c r="AA40" s="167">
        <f t="shared" si="16"/>
        <v>42315112.629229866</v>
      </c>
      <c r="AB40" s="167">
        <f t="shared" si="17"/>
        <v>2644694.5393268666</v>
      </c>
      <c r="AC40" s="167">
        <f t="shared" si="18"/>
        <v>293854.94881409634</v>
      </c>
      <c r="AD40" s="167">
        <f t="shared" si="19"/>
        <v>0</v>
      </c>
      <c r="AE40" s="167">
        <f t="shared" si="20"/>
        <v>0</v>
      </c>
      <c r="AF40" s="167">
        <f t="shared" si="21"/>
        <v>293854.94881409634</v>
      </c>
      <c r="AG40" s="167">
        <f t="shared" si="22"/>
        <v>0</v>
      </c>
      <c r="AI40" s="153">
        <v>222</v>
      </c>
      <c r="AJ40">
        <f t="shared" si="4"/>
        <v>5</v>
      </c>
      <c r="AK40" s="187">
        <f t="shared" si="23"/>
        <v>74061.332644920127</v>
      </c>
      <c r="AL40" s="187">
        <f t="shared" si="24"/>
        <v>13258.83805644687</v>
      </c>
      <c r="AM40" s="187">
        <f t="shared" si="25"/>
        <v>9177.9979067314398</v>
      </c>
      <c r="AN40" s="187">
        <f t="shared" si="26"/>
        <v>0</v>
      </c>
      <c r="AO40" s="187">
        <f t="shared" si="27"/>
        <v>7890.6856580454978</v>
      </c>
      <c r="AP40" s="187">
        <f t="shared" si="28"/>
        <v>0</v>
      </c>
      <c r="AQ40" s="187">
        <f t="shared" si="29"/>
        <v>1287.3122486859424</v>
      </c>
      <c r="AS40" s="187">
        <f t="shared" si="30"/>
        <v>1676053306.6464746</v>
      </c>
      <c r="AT40" s="187">
        <f t="shared" si="31"/>
        <v>85759571.049724281</v>
      </c>
      <c r="AU40" s="187">
        <f t="shared" si="32"/>
        <v>44705773.121883124</v>
      </c>
      <c r="AV40" s="187">
        <f t="shared" si="33"/>
        <v>0</v>
      </c>
      <c r="AW40" s="187">
        <f t="shared" si="34"/>
        <v>43048600.296266265</v>
      </c>
      <c r="AX40" s="187">
        <f t="shared" si="35"/>
        <v>0</v>
      </c>
      <c r="AY40" s="187">
        <f t="shared" si="36"/>
        <v>1657172.8256168577</v>
      </c>
      <c r="BA40" s="167">
        <f t="shared" si="37"/>
        <v>26903.464182567928</v>
      </c>
      <c r="BB40" s="167">
        <f t="shared" si="38"/>
        <v>7953.003656505156</v>
      </c>
      <c r="BC40" s="167">
        <f t="shared" si="39"/>
        <v>5901.1274353603176</v>
      </c>
      <c r="BD40" s="167">
        <f t="shared" si="40"/>
        <v>0</v>
      </c>
      <c r="BE40" s="167">
        <f t="shared" si="41"/>
        <v>6184.2558430106692</v>
      </c>
      <c r="BF40" s="167">
        <f t="shared" si="42"/>
        <v>0</v>
      </c>
      <c r="BG40" s="167">
        <f t="shared" si="43"/>
        <v>1287.3122486859424</v>
      </c>
      <c r="BJ40" s="201">
        <f t="shared" si="8"/>
        <v>1.0790720660217102E-4</v>
      </c>
      <c r="BK40" s="201">
        <f t="shared" si="9"/>
        <v>-1.140122819403419E-4</v>
      </c>
      <c r="BL40" s="243">
        <f t="shared" si="44"/>
        <v>-4.0318848468721199E-4</v>
      </c>
      <c r="BM40" s="243">
        <f t="shared" si="45"/>
        <v>-8.2606184744110579E-4</v>
      </c>
      <c r="BN40" s="243">
        <f t="shared" si="46"/>
        <v>1.3424383810117372E-3</v>
      </c>
      <c r="BO40" s="243">
        <f t="shared" si="47"/>
        <v>-5.1602501789086948E-4</v>
      </c>
      <c r="BR40" s="200">
        <f t="shared" si="48"/>
        <v>1.1643965236683621E-8</v>
      </c>
      <c r="BS40" s="201">
        <f t="shared" si="49"/>
        <v>1.2998800433244012E-8</v>
      </c>
      <c r="BT40" s="201">
        <f t="shared" si="50"/>
        <v>1.6256095418437018E-7</v>
      </c>
      <c r="BU40" s="201">
        <f t="shared" si="51"/>
        <v>6.8237817579781276E-7</v>
      </c>
      <c r="BV40" s="201">
        <f t="shared" si="52"/>
        <v>1.8021408068134141E-6</v>
      </c>
      <c r="BW40" s="201">
        <f t="shared" si="53"/>
        <v>2.662818190892722E-7</v>
      </c>
      <c r="BY40">
        <f t="shared" ref="BY40:BY42" si="87">+AI40</f>
        <v>222</v>
      </c>
      <c r="BZ40">
        <f t="shared" ref="BZ40:BZ42" si="88">+AJ40</f>
        <v>5</v>
      </c>
      <c r="CB40" s="200">
        <f t="shared" si="56"/>
        <v>-5.7186226903449436E-4</v>
      </c>
      <c r="CC40" s="201">
        <f t="shared" si="57"/>
        <v>-2.6839340932025761E-4</v>
      </c>
      <c r="CD40" s="201">
        <f t="shared" si="58"/>
        <v>-6.826366001932105E-3</v>
      </c>
      <c r="CE40" s="201">
        <f t="shared" si="59"/>
        <v>6.1074032583869932E-3</v>
      </c>
      <c r="CF40" s="201">
        <f t="shared" si="60"/>
        <v>-6.427615764678878E-4</v>
      </c>
      <c r="CG40" s="201">
        <f t="shared" si="61"/>
        <v>-5.4586901858407009E-3</v>
      </c>
      <c r="CJ40" s="201">
        <f t="shared" si="62"/>
        <v>2.0935445936131225E-6</v>
      </c>
      <c r="CK40" s="201">
        <f t="shared" si="63"/>
        <v>9.1975897691919107E-7</v>
      </c>
      <c r="CL40" s="201">
        <f t="shared" si="64"/>
        <v>2.4731294012818988E-5</v>
      </c>
      <c r="CM40" s="201">
        <f t="shared" si="65"/>
        <v>4.8865455268549999E-5</v>
      </c>
      <c r="CN40" s="201">
        <f t="shared" si="66"/>
        <v>2.1926409242071215E-7</v>
      </c>
      <c r="CO40" s="201">
        <f t="shared" si="67"/>
        <v>4.3222727763148201E-5</v>
      </c>
      <c r="CR40" s="243">
        <f t="shared" si="68"/>
        <v>1.5922230146339688E-3</v>
      </c>
      <c r="CS40" s="243">
        <f t="shared" si="77"/>
        <v>1.0638091772528337E-3</v>
      </c>
      <c r="CT40" s="243">
        <f t="shared" si="78"/>
        <v>4.3891114497059775E-3</v>
      </c>
      <c r="CU40" s="243">
        <f t="shared" si="79"/>
        <v>7.1942147205618272E-3</v>
      </c>
      <c r="CV40" s="243">
        <f t="shared" si="80"/>
        <v>4.1327291767065876E-4</v>
      </c>
      <c r="CW40" s="243">
        <f t="shared" si="81"/>
        <v>6.8248871835135004E-3</v>
      </c>
    </row>
    <row r="41" spans="1:104" x14ac:dyDescent="0.25">
      <c r="A41" s="122">
        <v>11321</v>
      </c>
      <c r="B41" s="153">
        <v>113</v>
      </c>
      <c r="C41" s="184">
        <f>+'Sampling Weights'!R41</f>
        <v>997.42301422400374</v>
      </c>
      <c r="D41" s="155">
        <f>+SUM('Sampling Weights'!I41:N41)</f>
        <v>19</v>
      </c>
      <c r="E41" s="155">
        <v>7</v>
      </c>
      <c r="F41" s="155">
        <v>2</v>
      </c>
      <c r="G41" s="155">
        <v>1</v>
      </c>
      <c r="H41" s="154">
        <v>1</v>
      </c>
      <c r="I41" s="154">
        <v>0</v>
      </c>
      <c r="J41" s="154">
        <v>1</v>
      </c>
      <c r="K41" s="155"/>
      <c r="M41" s="206">
        <f t="shared" si="85"/>
        <v>75000</v>
      </c>
      <c r="N41" s="245">
        <f t="shared" si="86"/>
        <v>7.1715559962566081E-2</v>
      </c>
      <c r="R41" s="167"/>
      <c r="S41" s="184">
        <f t="shared" si="15"/>
        <v>18951.037270256071</v>
      </c>
      <c r="T41" s="184">
        <f t="shared" si="15"/>
        <v>6981.9610995680259</v>
      </c>
      <c r="U41" s="184">
        <f t="shared" si="15"/>
        <v>1994.8460284480075</v>
      </c>
      <c r="V41" s="184">
        <f t="shared" si="15"/>
        <v>997.42301422400374</v>
      </c>
      <c r="W41" s="184">
        <f t="shared" si="15"/>
        <v>997.42301422400374</v>
      </c>
      <c r="X41" s="184">
        <f t="shared" si="76"/>
        <v>0</v>
      </c>
      <c r="Y41" s="184">
        <f t="shared" si="76"/>
        <v>997.42301422400374</v>
      </c>
      <c r="AA41" s="167">
        <f t="shared" si="16"/>
        <v>359141813.61863464</v>
      </c>
      <c r="AB41" s="167">
        <f t="shared" si="17"/>
        <v>48747780.79588116</v>
      </c>
      <c r="AC41" s="167">
        <f t="shared" si="18"/>
        <v>3979410.6772147887</v>
      </c>
      <c r="AD41" s="167">
        <f t="shared" si="19"/>
        <v>994852.66930369718</v>
      </c>
      <c r="AE41" s="167">
        <f t="shared" si="20"/>
        <v>994852.66930369718</v>
      </c>
      <c r="AF41" s="167">
        <f t="shared" si="21"/>
        <v>0</v>
      </c>
      <c r="AG41" s="167">
        <f t="shared" si="22"/>
        <v>994852.66930369718</v>
      </c>
      <c r="AI41" s="153">
        <v>223</v>
      </c>
      <c r="AJ41">
        <f t="shared" si="4"/>
        <v>6</v>
      </c>
      <c r="AK41" s="187">
        <f t="shared" si="23"/>
        <v>134753.94329084051</v>
      </c>
      <c r="AL41" s="187">
        <f t="shared" si="24"/>
        <v>27401.342082556344</v>
      </c>
      <c r="AM41" s="187">
        <f t="shared" si="25"/>
        <v>26380.394370309303</v>
      </c>
      <c r="AN41" s="187">
        <f t="shared" si="26"/>
        <v>8528.6941281592153</v>
      </c>
      <c r="AO41" s="187">
        <f t="shared" si="27"/>
        <v>23188.683639994357</v>
      </c>
      <c r="AP41" s="187">
        <f t="shared" si="28"/>
        <v>1020.9477122470445</v>
      </c>
      <c r="AQ41" s="187">
        <f t="shared" si="29"/>
        <v>2170.7630180678993</v>
      </c>
      <c r="AS41" s="187">
        <f t="shared" si="30"/>
        <v>3725191221.7057781</v>
      </c>
      <c r="AT41" s="187">
        <f t="shared" si="31"/>
        <v>139876237.55933908</v>
      </c>
      <c r="AU41" s="187">
        <f t="shared" si="32"/>
        <v>134664566.40362668</v>
      </c>
      <c r="AV41" s="187">
        <f t="shared" si="33"/>
        <v>30654824.146881681</v>
      </c>
      <c r="AW41" s="187">
        <f t="shared" si="34"/>
        <v>118596552.34155765</v>
      </c>
      <c r="AX41" s="187">
        <f t="shared" si="35"/>
        <v>1042334.231142474</v>
      </c>
      <c r="AY41" s="187">
        <f t="shared" si="36"/>
        <v>2364409.4686423801</v>
      </c>
      <c r="BA41" s="167">
        <f t="shared" si="37"/>
        <v>28956.940783872888</v>
      </c>
      <c r="BB41" s="167">
        <f t="shared" si="38"/>
        <v>4205.3270367656551</v>
      </c>
      <c r="BC41" s="167">
        <f t="shared" si="39"/>
        <v>4734.1776749233513</v>
      </c>
      <c r="BD41" s="167">
        <f t="shared" si="40"/>
        <v>4715.7252114514176</v>
      </c>
      <c r="BE41" s="167">
        <f t="shared" si="41"/>
        <v>5896.8511104419786</v>
      </c>
      <c r="BF41" s="167">
        <f t="shared" si="42"/>
        <v>1020.9477122470446</v>
      </c>
      <c r="BG41" s="167">
        <f t="shared" si="43"/>
        <v>1376.535123507063</v>
      </c>
      <c r="BJ41" s="201">
        <f t="shared" si="8"/>
        <v>1.0830336350674665E-3</v>
      </c>
      <c r="BK41" s="201">
        <f t="shared" si="9"/>
        <v>-1.8980615830709041E-4</v>
      </c>
      <c r="BL41" s="243">
        <f t="shared" si="44"/>
        <v>1.0561941725176851E-3</v>
      </c>
      <c r="BM41" s="243">
        <f t="shared" si="45"/>
        <v>-4.9996209146121909E-4</v>
      </c>
      <c r="BN41" s="243">
        <f t="shared" si="46"/>
        <v>-1.3970480175371709E-4</v>
      </c>
      <c r="BO41" s="243">
        <f t="shared" si="47"/>
        <v>6.4096045619413693E-4</v>
      </c>
      <c r="BR41" s="200">
        <f t="shared" si="48"/>
        <v>1.1729618546874502E-6</v>
      </c>
      <c r="BS41" s="201">
        <f t="shared" si="49"/>
        <v>3.6026377731296263E-8</v>
      </c>
      <c r="BT41" s="201">
        <f t="shared" si="50"/>
        <v>1.1155461300603176E-6</v>
      </c>
      <c r="BU41" s="201">
        <f t="shared" si="51"/>
        <v>2.4996209289827639E-7</v>
      </c>
      <c r="BV41" s="201">
        <f t="shared" si="52"/>
        <v>1.9517431633045393E-8</v>
      </c>
      <c r="BW41" s="201">
        <f t="shared" si="53"/>
        <v>4.1083030640459612E-7</v>
      </c>
      <c r="BY41">
        <f t="shared" si="87"/>
        <v>223</v>
      </c>
      <c r="BZ41">
        <f t="shared" si="88"/>
        <v>6</v>
      </c>
      <c r="CB41" s="200">
        <f t="shared" si="56"/>
        <v>8.1916642632574453E-5</v>
      </c>
      <c r="CC41" s="201">
        <f t="shared" si="57"/>
        <v>2.8275627002368733E-3</v>
      </c>
      <c r="CD41" s="201">
        <f t="shared" si="58"/>
        <v>2.097010898695227E-3</v>
      </c>
      <c r="CE41" s="201">
        <f t="shared" si="59"/>
        <v>1.8849240479877561E-2</v>
      </c>
      <c r="CF41" s="201">
        <f t="shared" si="60"/>
        <v>7.5232107038293464E-4</v>
      </c>
      <c r="CG41" s="201">
        <f t="shared" si="61"/>
        <v>-1.9584455116456831E-2</v>
      </c>
      <c r="CJ41" s="201">
        <f t="shared" si="62"/>
        <v>6.5461787459171584E-6</v>
      </c>
      <c r="CK41" s="201">
        <f t="shared" si="63"/>
        <v>5.6690520838864323E-6</v>
      </c>
      <c r="CL41" s="201">
        <f t="shared" si="64"/>
        <v>8.5111702428053432E-5</v>
      </c>
      <c r="CM41" s="201">
        <f t="shared" si="65"/>
        <v>1.202902670094544E-4</v>
      </c>
      <c r="CN41" s="201">
        <f t="shared" si="66"/>
        <v>6.6759727852251642E-6</v>
      </c>
      <c r="CO41" s="201">
        <f t="shared" si="67"/>
        <v>9.5206114995468507E-5</v>
      </c>
      <c r="CR41" s="243">
        <f t="shared" si="68"/>
        <v>2.8025118069033273E-3</v>
      </c>
      <c r="CS41" s="243">
        <f t="shared" si="77"/>
        <v>2.2811927441383707E-3</v>
      </c>
      <c r="CT41" s="243">
        <f t="shared" si="78"/>
        <v>1.0062532085504861E-2</v>
      </c>
      <c r="CU41" s="243">
        <f t="shared" si="79"/>
        <v>8.5609314375069204E-3</v>
      </c>
      <c r="CV41" s="243">
        <f t="shared" si="80"/>
        <v>2.8103327104956402E-3</v>
      </c>
      <c r="CW41" s="243">
        <f t="shared" si="81"/>
        <v>6.1267578337045273E-3</v>
      </c>
    </row>
    <row r="42" spans="1:104" x14ac:dyDescent="0.25">
      <c r="A42" s="122">
        <v>11322</v>
      </c>
      <c r="B42" s="153">
        <v>113</v>
      </c>
      <c r="C42" s="184">
        <f>+'Sampling Weights'!R42</f>
        <v>1117.0935595331518</v>
      </c>
      <c r="D42" s="155">
        <f>+SUM('Sampling Weights'!I42:N42)</f>
        <v>14</v>
      </c>
      <c r="E42" s="155">
        <v>3</v>
      </c>
      <c r="F42" s="155">
        <v>3</v>
      </c>
      <c r="G42" s="155">
        <v>1</v>
      </c>
      <c r="H42" s="154">
        <v>3</v>
      </c>
      <c r="I42" s="154">
        <v>0</v>
      </c>
      <c r="J42" s="154">
        <v>0</v>
      </c>
      <c r="K42" s="155"/>
      <c r="M42" s="206">
        <f t="shared" si="85"/>
        <v>50000</v>
      </c>
      <c r="N42" s="245">
        <f t="shared" si="86"/>
        <v>8.7865098297818245E-2</v>
      </c>
      <c r="R42" s="167"/>
      <c r="S42" s="184">
        <f t="shared" si="15"/>
        <v>15639.309833464125</v>
      </c>
      <c r="T42" s="184">
        <f t="shared" si="15"/>
        <v>3351.2806785994553</v>
      </c>
      <c r="U42" s="184">
        <f t="shared" si="15"/>
        <v>3351.2806785994553</v>
      </c>
      <c r="V42" s="184">
        <f t="shared" si="15"/>
        <v>1117.0935595331518</v>
      </c>
      <c r="W42" s="184">
        <f t="shared" si="15"/>
        <v>3351.2806785994553</v>
      </c>
      <c r="X42" s="184">
        <f t="shared" si="76"/>
        <v>0</v>
      </c>
      <c r="Y42" s="184">
        <f t="shared" si="76"/>
        <v>0</v>
      </c>
      <c r="AA42" s="167">
        <f t="shared" si="16"/>
        <v>244588012.06708768</v>
      </c>
      <c r="AB42" s="167">
        <f t="shared" si="17"/>
        <v>11231082.186754026</v>
      </c>
      <c r="AC42" s="167">
        <f t="shared" si="18"/>
        <v>11231082.186754026</v>
      </c>
      <c r="AD42" s="167">
        <f t="shared" si="19"/>
        <v>1247898.0207504474</v>
      </c>
      <c r="AE42" s="167">
        <f t="shared" si="20"/>
        <v>11231082.186754026</v>
      </c>
      <c r="AF42" s="167">
        <f t="shared" si="21"/>
        <v>0</v>
      </c>
      <c r="AG42" s="167">
        <f t="shared" si="22"/>
        <v>0</v>
      </c>
      <c r="AI42" s="153">
        <v>225</v>
      </c>
      <c r="AJ42">
        <f t="shared" si="4"/>
        <v>5</v>
      </c>
      <c r="AK42" s="187">
        <f t="shared" si="23"/>
        <v>78586.466093757466</v>
      </c>
      <c r="AL42" s="187">
        <f t="shared" si="24"/>
        <v>19853.777730964401</v>
      </c>
      <c r="AM42" s="187">
        <f t="shared" si="25"/>
        <v>10324.978543491588</v>
      </c>
      <c r="AN42" s="187">
        <f t="shared" si="26"/>
        <v>1791.1121718272389</v>
      </c>
      <c r="AO42" s="187">
        <f t="shared" si="27"/>
        <v>5706.3787148867686</v>
      </c>
      <c r="AP42" s="187">
        <f t="shared" si="28"/>
        <v>0</v>
      </c>
      <c r="AQ42" s="187">
        <f t="shared" si="29"/>
        <v>4618.5998286048207</v>
      </c>
      <c r="AS42" s="187">
        <f t="shared" si="30"/>
        <v>1491236705.1151407</v>
      </c>
      <c r="AT42" s="187">
        <f t="shared" si="31"/>
        <v>140301940.08274171</v>
      </c>
      <c r="AU42" s="187">
        <f t="shared" si="32"/>
        <v>36184812.762848765</v>
      </c>
      <c r="AV42" s="187">
        <f t="shared" si="33"/>
        <v>1623792.8749230285</v>
      </c>
      <c r="AW42" s="187">
        <f t="shared" si="34"/>
        <v>13929256.225376565</v>
      </c>
      <c r="AX42" s="187">
        <f t="shared" si="35"/>
        <v>0</v>
      </c>
      <c r="AY42" s="187">
        <f t="shared" si="36"/>
        <v>11578328.724896807</v>
      </c>
      <c r="BA42" s="167">
        <f t="shared" si="37"/>
        <v>17890.995447923044</v>
      </c>
      <c r="BB42" s="167">
        <f t="shared" si="38"/>
        <v>8765.5178144700985</v>
      </c>
      <c r="BC42" s="167">
        <f t="shared" si="39"/>
        <v>4310.4199879675916</v>
      </c>
      <c r="BD42" s="167">
        <f t="shared" si="40"/>
        <v>1108.0254467460859</v>
      </c>
      <c r="BE42" s="167">
        <f t="shared" si="41"/>
        <v>3044.8121078799777</v>
      </c>
      <c r="BF42" s="167">
        <f t="shared" si="42"/>
        <v>0</v>
      </c>
      <c r="BG42" s="167">
        <f t="shared" si="43"/>
        <v>3023.2507027906054</v>
      </c>
      <c r="BJ42" s="201">
        <f t="shared" si="8"/>
        <v>6.8120701738750379E-5</v>
      </c>
      <c r="BK42" s="201">
        <f t="shared" si="9"/>
        <v>4.2735976985391519E-4</v>
      </c>
      <c r="BL42" s="243">
        <f t="shared" si="44"/>
        <v>3.5204972926335451E-4</v>
      </c>
      <c r="BM42" s="243">
        <f t="shared" si="45"/>
        <v>3.4270519941253701E-3</v>
      </c>
      <c r="BN42" s="243">
        <f t="shared" si="46"/>
        <v>-2.3469981950890301E-4</v>
      </c>
      <c r="BO42" s="243">
        <f t="shared" si="47"/>
        <v>-3.1901790281395337E-3</v>
      </c>
      <c r="BR42" s="200">
        <f t="shared" si="48"/>
        <v>4.6404300053797886E-9</v>
      </c>
      <c r="BS42" s="201">
        <f t="shared" si="49"/>
        <v>1.8263637288959137E-7</v>
      </c>
      <c r="BT42" s="201">
        <f t="shared" si="50"/>
        <v>1.2393901187440121E-7</v>
      </c>
      <c r="BU42" s="201">
        <f t="shared" si="51"/>
        <v>1.1744685370438675E-5</v>
      </c>
      <c r="BV42" s="201">
        <f t="shared" si="52"/>
        <v>5.5084005277511648E-8</v>
      </c>
      <c r="BW42" s="201">
        <f t="shared" si="53"/>
        <v>1.0177242231581299E-5</v>
      </c>
      <c r="BY42">
        <f t="shared" si="87"/>
        <v>225</v>
      </c>
      <c r="BZ42">
        <f t="shared" si="88"/>
        <v>5</v>
      </c>
      <c r="CB42" s="200">
        <f t="shared" si="56"/>
        <v>1.3745736713398219E-3</v>
      </c>
      <c r="CC42" s="201">
        <f t="shared" si="57"/>
        <v>-8.4008973419143413E-5</v>
      </c>
      <c r="CD42" s="201">
        <f t="shared" si="58"/>
        <v>-3.1184425743198177E-3</v>
      </c>
      <c r="CE42" s="201">
        <f t="shared" si="59"/>
        <v>-1.202717589284876E-3</v>
      </c>
      <c r="CF42" s="201">
        <f t="shared" si="60"/>
        <v>-7.2308792756907761E-4</v>
      </c>
      <c r="CG42" s="201">
        <f t="shared" si="61"/>
        <v>1.9325007754425554E-3</v>
      </c>
      <c r="CJ42" s="201">
        <f t="shared" si="62"/>
        <v>7.1843663746014522E-6</v>
      </c>
      <c r="CK42" s="201">
        <f t="shared" si="63"/>
        <v>1.8338541457747683E-6</v>
      </c>
      <c r="CL42" s="201">
        <f t="shared" si="64"/>
        <v>1.4495423004299534E-5</v>
      </c>
      <c r="CM42" s="201">
        <f t="shared" si="65"/>
        <v>2.4814467811421057E-5</v>
      </c>
      <c r="CN42" s="201">
        <f t="shared" si="66"/>
        <v>1.7747216021135737E-7</v>
      </c>
      <c r="CO42" s="201">
        <f t="shared" si="67"/>
        <v>2.5854104773540267E-5</v>
      </c>
      <c r="CR42" s="243">
        <f t="shared" si="68"/>
        <v>2.916863859313056E-3</v>
      </c>
      <c r="CS42" s="243">
        <f t="shared" si="77"/>
        <v>1.5134574012223554E-3</v>
      </c>
      <c r="CT42" s="243">
        <f t="shared" si="78"/>
        <v>3.9608215982346153E-3</v>
      </c>
      <c r="CU42" s="243">
        <f t="shared" si="79"/>
        <v>5.5368269220179272E-3</v>
      </c>
      <c r="CV42" s="243">
        <f t="shared" si="80"/>
        <v>3.0187110248442264E-4</v>
      </c>
      <c r="CW42" s="243">
        <f t="shared" si="81"/>
        <v>5.6021416578977915E-3</v>
      </c>
    </row>
    <row r="43" spans="1:104" x14ac:dyDescent="0.25">
      <c r="A43" s="122">
        <v>11323</v>
      </c>
      <c r="B43" s="153">
        <v>113</v>
      </c>
      <c r="C43" s="184">
        <f>+'Sampling Weights'!R43</f>
        <v>2265.4335424909195</v>
      </c>
      <c r="D43" s="155">
        <f>+SUM('Sampling Weights'!I43:N43)</f>
        <v>11</v>
      </c>
      <c r="E43" s="155">
        <v>1</v>
      </c>
      <c r="F43" s="155">
        <v>1</v>
      </c>
      <c r="G43" s="155">
        <v>0</v>
      </c>
      <c r="H43" s="154">
        <v>0</v>
      </c>
      <c r="I43" s="154">
        <v>0</v>
      </c>
      <c r="J43" s="154">
        <v>1</v>
      </c>
      <c r="K43" s="155"/>
      <c r="M43" s="206">
        <f t="shared" si="85"/>
        <v>25000</v>
      </c>
      <c r="N43" s="245">
        <f t="shared" si="86"/>
        <v>0.12430501749047708</v>
      </c>
      <c r="R43" s="167"/>
      <c r="S43" s="184">
        <f t="shared" si="15"/>
        <v>24919.768967400116</v>
      </c>
      <c r="T43" s="184">
        <f t="shared" si="15"/>
        <v>2265.4335424909195</v>
      </c>
      <c r="U43" s="184">
        <f t="shared" si="15"/>
        <v>2265.4335424909195</v>
      </c>
      <c r="V43" s="184">
        <f t="shared" si="15"/>
        <v>0</v>
      </c>
      <c r="W43" s="184">
        <f t="shared" si="15"/>
        <v>0</v>
      </c>
      <c r="X43" s="184">
        <f t="shared" si="76"/>
        <v>0</v>
      </c>
      <c r="Y43" s="184">
        <f t="shared" si="76"/>
        <v>2265.4335424909195</v>
      </c>
      <c r="AA43" s="167">
        <f t="shared" si="16"/>
        <v>620994885.38859785</v>
      </c>
      <c r="AB43" s="167">
        <f t="shared" si="17"/>
        <v>5132189.1354429573</v>
      </c>
      <c r="AC43" s="167">
        <f t="shared" si="18"/>
        <v>5132189.1354429573</v>
      </c>
      <c r="AD43" s="167">
        <f t="shared" si="19"/>
        <v>0</v>
      </c>
      <c r="AE43" s="167">
        <f t="shared" si="20"/>
        <v>0</v>
      </c>
      <c r="AF43" s="167">
        <f t="shared" si="21"/>
        <v>0</v>
      </c>
      <c r="AG43" s="167">
        <f t="shared" si="22"/>
        <v>5132189.1354429573</v>
      </c>
      <c r="AI43" s="153">
        <v>226</v>
      </c>
      <c r="AJ43">
        <f t="shared" si="4"/>
        <v>3</v>
      </c>
      <c r="AK43" s="187">
        <f t="shared" si="23"/>
        <v>14547.68495882032</v>
      </c>
      <c r="AL43" s="187">
        <f t="shared" si="24"/>
        <v>1645.6094121470574</v>
      </c>
      <c r="AM43" s="187">
        <f t="shared" si="25"/>
        <v>1114.1146470801787</v>
      </c>
      <c r="AN43" s="187">
        <f t="shared" si="26"/>
        <v>0</v>
      </c>
      <c r="AO43" s="187">
        <f t="shared" si="27"/>
        <v>1114.1146470801787</v>
      </c>
      <c r="AP43" s="187">
        <f t="shared" si="28"/>
        <v>0</v>
      </c>
      <c r="AQ43" s="187">
        <f t="shared" si="29"/>
        <v>0</v>
      </c>
      <c r="AS43" s="187">
        <f t="shared" si="30"/>
        <v>121664548.97687727</v>
      </c>
      <c r="AT43" s="187">
        <f t="shared" si="31"/>
        <v>1114687.515129562</v>
      </c>
      <c r="AU43" s="187">
        <f t="shared" si="32"/>
        <v>643876.37297373416</v>
      </c>
      <c r="AV43" s="187">
        <f t="shared" si="33"/>
        <v>0</v>
      </c>
      <c r="AW43" s="187">
        <f t="shared" si="34"/>
        <v>643876.37297373416</v>
      </c>
      <c r="AX43" s="187">
        <f t="shared" si="35"/>
        <v>0</v>
      </c>
      <c r="AY43" s="187">
        <f t="shared" si="36"/>
        <v>0</v>
      </c>
      <c r="BA43" s="167">
        <f t="shared" si="37"/>
        <v>8756.6691518392072</v>
      </c>
      <c r="BB43" s="167">
        <f t="shared" si="38"/>
        <v>563.92916578312474</v>
      </c>
      <c r="BC43" s="167">
        <f t="shared" si="39"/>
        <v>587.52773214658191</v>
      </c>
      <c r="BD43" s="167">
        <f t="shared" si="40"/>
        <v>0</v>
      </c>
      <c r="BE43" s="167">
        <f t="shared" si="41"/>
        <v>587.52773214658191</v>
      </c>
      <c r="BF43" s="167">
        <f t="shared" si="42"/>
        <v>0</v>
      </c>
      <c r="BG43" s="167">
        <f t="shared" si="43"/>
        <v>0</v>
      </c>
      <c r="BJ43" s="201">
        <f t="shared" si="8"/>
        <v>-9.4451708897724655E-4</v>
      </c>
      <c r="BK43" s="201">
        <f t="shared" si="9"/>
        <v>-3.7210342898704048E-4</v>
      </c>
      <c r="BL43" s="243">
        <f t="shared" si="44"/>
        <v>-1.6849729833512304E-3</v>
      </c>
      <c r="BM43" s="243">
        <f t="shared" si="45"/>
        <v>-3.4522114305801151E-3</v>
      </c>
      <c r="BN43" s="243">
        <f t="shared" si="46"/>
        <v>-1.5865482319261804E-4</v>
      </c>
      <c r="BO43" s="243">
        <f t="shared" si="47"/>
        <v>3.6123352799134049E-3</v>
      </c>
      <c r="BR43" s="200">
        <f t="shared" si="48"/>
        <v>8.9211253137005189E-7</v>
      </c>
      <c r="BS43" s="201">
        <f t="shared" si="49"/>
        <v>1.3846096186391347E-7</v>
      </c>
      <c r="BT43" s="201">
        <f t="shared" si="50"/>
        <v>2.8391339546235456E-6</v>
      </c>
      <c r="BU43" s="201">
        <f t="shared" si="51"/>
        <v>1.1917763761428005E-5</v>
      </c>
      <c r="BV43" s="201">
        <f t="shared" si="52"/>
        <v>2.517135292228089E-8</v>
      </c>
      <c r="BW43" s="201">
        <f t="shared" si="53"/>
        <v>1.3048966174507058E-5</v>
      </c>
      <c r="BY43">
        <f t="shared" ref="BY43:BY46" si="89">+AI43</f>
        <v>226</v>
      </c>
      <c r="BZ43">
        <f t="shared" ref="BZ43:BZ46" si="90">+AJ43</f>
        <v>3</v>
      </c>
      <c r="CB43" s="200">
        <f t="shared" si="56"/>
        <v>-4.4072771955311167E-4</v>
      </c>
      <c r="CC43" s="201">
        <f t="shared" si="57"/>
        <v>-2.8860725512341173E-4</v>
      </c>
      <c r="CD43" s="201">
        <f t="shared" si="58"/>
        <v>-8.2865069554054964E-4</v>
      </c>
      <c r="CE43" s="201">
        <f t="shared" si="59"/>
        <v>1.1393044000588028E-3</v>
      </c>
      <c r="CF43" s="201">
        <f t="shared" si="60"/>
        <v>-7.8024651367375209E-5</v>
      </c>
      <c r="CG43" s="201">
        <f t="shared" si="61"/>
        <v>-1.0605572982158038E-3</v>
      </c>
      <c r="CJ43" s="201">
        <f t="shared" si="62"/>
        <v>2.3961214390727695E-7</v>
      </c>
      <c r="CK43" s="201">
        <f t="shared" si="63"/>
        <v>5.5076583832772182E-8</v>
      </c>
      <c r="CL43" s="201">
        <f t="shared" si="64"/>
        <v>3.5619327831568801E-7</v>
      </c>
      <c r="CM43" s="201">
        <f t="shared" si="65"/>
        <v>6.7332117175266766E-7</v>
      </c>
      <c r="CN43" s="201">
        <f t="shared" si="66"/>
        <v>3.1579583282526839E-9</v>
      </c>
      <c r="CO43" s="201">
        <f t="shared" si="67"/>
        <v>5.8345987554736035E-7</v>
      </c>
      <c r="CR43" s="243">
        <f t="shared" si="68"/>
        <v>5.1215012883887117E-4</v>
      </c>
      <c r="CS43" s="243">
        <f t="shared" si="77"/>
        <v>2.0240504414224277E-4</v>
      </c>
      <c r="CT43" s="243">
        <f t="shared" si="78"/>
        <v>4.369884779529246E-4</v>
      </c>
      <c r="CU43" s="243">
        <f t="shared" si="79"/>
        <v>6.0081153420380275E-4</v>
      </c>
      <c r="CV43" s="243">
        <f t="shared" si="80"/>
        <v>4.1146255988592725E-5</v>
      </c>
      <c r="CW43" s="243">
        <f t="shared" si="81"/>
        <v>5.59284294363464E-4</v>
      </c>
    </row>
    <row r="44" spans="1:104" x14ac:dyDescent="0.25">
      <c r="A44" s="122">
        <v>11324</v>
      </c>
      <c r="B44" s="153">
        <v>113</v>
      </c>
      <c r="C44" s="184">
        <f>+'Sampling Weights'!R44</f>
        <v>821.28034289492905</v>
      </c>
      <c r="D44" s="155">
        <f>+SUM('Sampling Weights'!I44:N44)</f>
        <v>11</v>
      </c>
      <c r="E44" s="155">
        <v>0</v>
      </c>
      <c r="F44" s="155">
        <v>0</v>
      </c>
      <c r="G44" s="155">
        <v>0</v>
      </c>
      <c r="H44" s="154">
        <v>0</v>
      </c>
      <c r="I44" s="154">
        <v>0</v>
      </c>
      <c r="J44" s="154">
        <v>0</v>
      </c>
      <c r="K44" s="155"/>
      <c r="M44" s="206"/>
      <c r="R44" s="167"/>
      <c r="S44" s="184">
        <f t="shared" si="15"/>
        <v>9034.0837718442199</v>
      </c>
      <c r="T44" s="184">
        <f t="shared" si="15"/>
        <v>0</v>
      </c>
      <c r="U44" s="184">
        <f t="shared" si="15"/>
        <v>0</v>
      </c>
      <c r="V44" s="184">
        <f t="shared" si="15"/>
        <v>0</v>
      </c>
      <c r="W44" s="184">
        <f t="shared" si="15"/>
        <v>0</v>
      </c>
      <c r="X44" s="184">
        <f t="shared" si="76"/>
        <v>0</v>
      </c>
      <c r="Y44" s="184">
        <f t="shared" si="76"/>
        <v>0</v>
      </c>
      <c r="AA44" s="167">
        <f t="shared" si="16"/>
        <v>81614669.596699089</v>
      </c>
      <c r="AB44" s="167">
        <f t="shared" si="17"/>
        <v>0</v>
      </c>
      <c r="AC44" s="167">
        <f t="shared" si="18"/>
        <v>0</v>
      </c>
      <c r="AD44" s="167">
        <f t="shared" si="19"/>
        <v>0</v>
      </c>
      <c r="AE44" s="167">
        <f t="shared" si="20"/>
        <v>0</v>
      </c>
      <c r="AF44" s="167">
        <f t="shared" si="21"/>
        <v>0</v>
      </c>
      <c r="AG44" s="167">
        <f t="shared" si="22"/>
        <v>0</v>
      </c>
      <c r="AI44" s="153">
        <v>227</v>
      </c>
      <c r="AJ44">
        <f t="shared" si="4"/>
        <v>5</v>
      </c>
      <c r="AK44" s="187">
        <f t="shared" si="23"/>
        <v>74156.426033044554</v>
      </c>
      <c r="AL44" s="187">
        <f t="shared" si="24"/>
        <v>20656.645106985536</v>
      </c>
      <c r="AM44" s="187">
        <f t="shared" si="25"/>
        <v>9635.8112541289338</v>
      </c>
      <c r="AN44" s="187">
        <f t="shared" si="26"/>
        <v>878.32609326616432</v>
      </c>
      <c r="AO44" s="187">
        <f t="shared" si="27"/>
        <v>4872.9391230952779</v>
      </c>
      <c r="AP44" s="187">
        <f t="shared" si="28"/>
        <v>878.32609326616432</v>
      </c>
      <c r="AQ44" s="187">
        <f t="shared" si="29"/>
        <v>3884.5460377674908</v>
      </c>
      <c r="AS44" s="187">
        <f t="shared" si="30"/>
        <v>1318824025.480875</v>
      </c>
      <c r="AT44" s="187">
        <f t="shared" si="31"/>
        <v>126219753.18719091</v>
      </c>
      <c r="AU44" s="187">
        <f t="shared" si="32"/>
        <v>26971187.20153524</v>
      </c>
      <c r="AV44" s="187">
        <f t="shared" si="33"/>
        <v>771456.72611220274</v>
      </c>
      <c r="AW44" s="187">
        <f t="shared" si="34"/>
        <v>9550864.9703541454</v>
      </c>
      <c r="AX44" s="187">
        <f t="shared" si="35"/>
        <v>771456.72611220274</v>
      </c>
      <c r="AY44" s="187">
        <f t="shared" si="36"/>
        <v>4259026.307558584</v>
      </c>
      <c r="BA44" s="167">
        <f t="shared" si="37"/>
        <v>16544.973597817912</v>
      </c>
      <c r="BB44" s="167">
        <f t="shared" si="38"/>
        <v>7148.4575059939543</v>
      </c>
      <c r="BC44" s="167">
        <f t="shared" si="39"/>
        <v>3240.6433575170836</v>
      </c>
      <c r="BD44" s="167">
        <f t="shared" si="40"/>
        <v>878.32609326616421</v>
      </c>
      <c r="BE44" s="167">
        <f t="shared" si="41"/>
        <v>2449.9382213832532</v>
      </c>
      <c r="BF44" s="167">
        <f t="shared" si="42"/>
        <v>878.32609326616421</v>
      </c>
      <c r="BG44" s="167">
        <f t="shared" si="43"/>
        <v>1245.5353887242431</v>
      </c>
      <c r="BJ44" s="201">
        <f t="shared" si="8"/>
        <v>-6.2371167085752241E-4</v>
      </c>
      <c r="BK44" s="201">
        <f t="shared" si="9"/>
        <v>-4.1619638597408502E-4</v>
      </c>
      <c r="BL44" s="243">
        <f t="shared" si="44"/>
        <v>0</v>
      </c>
      <c r="BM44" s="243">
        <f t="shared" si="45"/>
        <v>0</v>
      </c>
      <c r="BN44" s="243">
        <f t="shared" si="46"/>
        <v>0</v>
      </c>
      <c r="BO44" s="243">
        <f t="shared" si="47"/>
        <v>0</v>
      </c>
      <c r="BR44" s="200">
        <f t="shared" si="48"/>
        <v>3.8901624836388236E-7</v>
      </c>
      <c r="BS44" s="201">
        <f t="shared" si="49"/>
        <v>1.7321943169788954E-7</v>
      </c>
      <c r="BT44" s="201">
        <f t="shared" si="50"/>
        <v>0</v>
      </c>
      <c r="BU44" s="201">
        <f t="shared" si="51"/>
        <v>0</v>
      </c>
      <c r="BV44" s="201">
        <f t="shared" si="52"/>
        <v>0</v>
      </c>
      <c r="BW44" s="201">
        <f t="shared" si="53"/>
        <v>0</v>
      </c>
      <c r="BY44">
        <f t="shared" si="89"/>
        <v>227</v>
      </c>
      <c r="BZ44">
        <f t="shared" si="90"/>
        <v>5</v>
      </c>
      <c r="CB44" s="200">
        <f t="shared" si="56"/>
        <v>1.9554151659398403E-3</v>
      </c>
      <c r="CC44" s="201">
        <f t="shared" si="57"/>
        <v>-1.1596744781209689E-4</v>
      </c>
      <c r="CD44" s="201">
        <f t="shared" si="58"/>
        <v>-4.9302423547475443E-3</v>
      </c>
      <c r="CE44" s="201">
        <f t="shared" si="59"/>
        <v>-2.2748522587176744E-3</v>
      </c>
      <c r="CF44" s="201">
        <f t="shared" si="60"/>
        <v>1.5618102387999779E-3</v>
      </c>
      <c r="CG44" s="201">
        <f t="shared" si="61"/>
        <v>7.1929038622524778E-4</v>
      </c>
      <c r="CJ44" s="201">
        <f t="shared" si="62"/>
        <v>5.4887642863433009E-6</v>
      </c>
      <c r="CK44" s="201">
        <f t="shared" si="63"/>
        <v>1.6351718472862974E-6</v>
      </c>
      <c r="CL44" s="201">
        <f t="shared" si="64"/>
        <v>5.3116126379587762E-6</v>
      </c>
      <c r="CM44" s="201">
        <f t="shared" si="65"/>
        <v>8.3491543044496473E-6</v>
      </c>
      <c r="CN44" s="201">
        <f t="shared" si="66"/>
        <v>3.7590222363784515E-6</v>
      </c>
      <c r="CO44" s="201">
        <f t="shared" si="67"/>
        <v>1.2596540357964853E-5</v>
      </c>
      <c r="CR44" s="243">
        <f t="shared" si="68"/>
        <v>2.4300294730995016E-3</v>
      </c>
      <c r="CS44" s="243">
        <f t="shared" si="77"/>
        <v>1.4284966562333489E-3</v>
      </c>
      <c r="CT44" s="243">
        <f t="shared" si="78"/>
        <v>7.5012890779639955E-4</v>
      </c>
      <c r="CU44" s="243">
        <f t="shared" si="79"/>
        <v>3.0236905729280291E-3</v>
      </c>
      <c r="CV44" s="243">
        <f t="shared" si="80"/>
        <v>2.0221189356632694E-3</v>
      </c>
      <c r="CW44" s="243">
        <f t="shared" si="81"/>
        <v>3.9517503441547329E-3</v>
      </c>
      <c r="CY44" s="243"/>
    </row>
    <row r="45" spans="1:104" x14ac:dyDescent="0.25">
      <c r="A45" s="122">
        <v>11325</v>
      </c>
      <c r="B45" s="153">
        <v>113</v>
      </c>
      <c r="C45" s="184">
        <f>+'Sampling Weights'!R45</f>
        <v>1618.0990927994153</v>
      </c>
      <c r="D45" s="155">
        <f>+SUM('Sampling Weights'!I45:N45)</f>
        <v>15</v>
      </c>
      <c r="E45" s="155">
        <v>1</v>
      </c>
      <c r="F45" s="155">
        <v>1</v>
      </c>
      <c r="G45" s="155">
        <v>0</v>
      </c>
      <c r="H45" s="154">
        <v>1</v>
      </c>
      <c r="I45" s="154">
        <v>0</v>
      </c>
      <c r="J45" s="154">
        <v>0</v>
      </c>
      <c r="K45" s="155"/>
      <c r="N45" s="172"/>
      <c r="P45" s="184"/>
      <c r="Q45" s="173"/>
      <c r="R45" s="167"/>
      <c r="S45" s="184">
        <f t="shared" si="15"/>
        <v>24271.486391991231</v>
      </c>
      <c r="T45" s="184">
        <f t="shared" si="15"/>
        <v>1618.0990927994153</v>
      </c>
      <c r="U45" s="184">
        <f t="shared" si="15"/>
        <v>1618.0990927994153</v>
      </c>
      <c r="V45" s="184">
        <f t="shared" si="15"/>
        <v>0</v>
      </c>
      <c r="W45" s="184">
        <f t="shared" si="15"/>
        <v>1618.0990927994153</v>
      </c>
      <c r="X45" s="184">
        <f t="shared" si="76"/>
        <v>0</v>
      </c>
      <c r="Y45" s="184">
        <f t="shared" si="76"/>
        <v>0</v>
      </c>
      <c r="AA45" s="167">
        <f t="shared" si="16"/>
        <v>589105051.67661548</v>
      </c>
      <c r="AB45" s="167">
        <f t="shared" si="17"/>
        <v>2618244.6741182907</v>
      </c>
      <c r="AC45" s="167">
        <f t="shared" si="18"/>
        <v>2618244.6741182907</v>
      </c>
      <c r="AD45" s="167">
        <f t="shared" si="19"/>
        <v>0</v>
      </c>
      <c r="AE45" s="167">
        <f t="shared" si="20"/>
        <v>2618244.6741182907</v>
      </c>
      <c r="AF45" s="167">
        <f t="shared" si="21"/>
        <v>0</v>
      </c>
      <c r="AG45" s="167">
        <f t="shared" si="22"/>
        <v>0</v>
      </c>
      <c r="AI45" s="153">
        <v>228</v>
      </c>
      <c r="AJ45">
        <f t="shared" si="4"/>
        <v>2</v>
      </c>
      <c r="AK45" s="187">
        <f t="shared" si="23"/>
        <v>4619.7182567799409</v>
      </c>
      <c r="AL45" s="187">
        <f t="shared" si="24"/>
        <v>1384.4971138185542</v>
      </c>
      <c r="AM45" s="187">
        <f t="shared" si="25"/>
        <v>609.59071002825965</v>
      </c>
      <c r="AN45" s="187">
        <f t="shared" si="26"/>
        <v>117.52776219404117</v>
      </c>
      <c r="AO45" s="187">
        <f t="shared" si="27"/>
        <v>492.06294783421845</v>
      </c>
      <c r="AP45" s="187">
        <f t="shared" si="28"/>
        <v>0</v>
      </c>
      <c r="AQ45" s="187">
        <f t="shared" si="29"/>
        <v>117.52776219404117</v>
      </c>
      <c r="AS45" s="187">
        <f t="shared" si="30"/>
        <v>10865445.60099558</v>
      </c>
      <c r="AT45" s="187">
        <f t="shared" si="31"/>
        <v>992448.33131629019</v>
      </c>
      <c r="AU45" s="187">
        <f t="shared" si="32"/>
        <v>195527.70482787845</v>
      </c>
      <c r="AV45" s="187">
        <f t="shared" si="33"/>
        <v>13812.774886339093</v>
      </c>
      <c r="AW45" s="187">
        <f t="shared" si="34"/>
        <v>154089.38016886116</v>
      </c>
      <c r="AX45" s="187">
        <f t="shared" si="35"/>
        <v>0</v>
      </c>
      <c r="AY45" s="187">
        <f t="shared" si="36"/>
        <v>13812.774886339093</v>
      </c>
      <c r="BA45" s="167">
        <f t="shared" si="37"/>
        <v>623.77434218254075</v>
      </c>
      <c r="BB45" s="167">
        <f t="shared" si="38"/>
        <v>260.89155689802169</v>
      </c>
      <c r="BC45" s="167">
        <f t="shared" si="39"/>
        <v>139.4796612520949</v>
      </c>
      <c r="BD45" s="167">
        <f t="shared" si="40"/>
        <v>117.52776219404117</v>
      </c>
      <c r="BE45" s="167">
        <f t="shared" si="41"/>
        <v>257.00742344613616</v>
      </c>
      <c r="BF45" s="167">
        <f t="shared" si="42"/>
        <v>0</v>
      </c>
      <c r="BG45" s="167">
        <f t="shared" si="43"/>
        <v>117.52776219404117</v>
      </c>
      <c r="BJ45" s="201">
        <f t="shared" si="8"/>
        <v>-1.1214800183237555E-3</v>
      </c>
      <c r="BK45" s="201">
        <f t="shared" si="9"/>
        <v>-5.6395757992485404E-4</v>
      </c>
      <c r="BL45" s="243">
        <f t="shared" si="44"/>
        <v>-1.2035017600888545E-3</v>
      </c>
      <c r="BM45" s="243">
        <f t="shared" si="45"/>
        <v>1.6546837625633158E-3</v>
      </c>
      <c r="BN45" s="243">
        <f t="shared" si="46"/>
        <v>-1.1332013085405081E-4</v>
      </c>
      <c r="BO45" s="243">
        <f t="shared" si="47"/>
        <v>-1.5403143712383943E-3</v>
      </c>
      <c r="BR45" s="200">
        <f t="shared" si="48"/>
        <v>1.2577174314994509E-6</v>
      </c>
      <c r="BS45" s="201">
        <f t="shared" si="49"/>
        <v>3.1804815195469812E-7</v>
      </c>
      <c r="BT45" s="201">
        <f t="shared" si="50"/>
        <v>1.4484164865369709E-6</v>
      </c>
      <c r="BU45" s="201">
        <f t="shared" si="51"/>
        <v>2.7379783540906917E-6</v>
      </c>
      <c r="BV45" s="201">
        <f t="shared" si="52"/>
        <v>1.2841452056779198E-8</v>
      </c>
      <c r="BW45" s="201">
        <f t="shared" si="53"/>
        <v>2.3725683622435298E-6</v>
      </c>
      <c r="BY45">
        <f t="shared" si="89"/>
        <v>228</v>
      </c>
      <c r="BZ45">
        <f t="shared" si="90"/>
        <v>2</v>
      </c>
      <c r="CB45" s="200">
        <f t="shared" si="56"/>
        <v>1.5526321183739837E-4</v>
      </c>
      <c r="CC45" s="201">
        <f t="shared" si="57"/>
        <v>-4.0359060881324826E-6</v>
      </c>
      <c r="CD45" s="201">
        <f t="shared" si="58"/>
        <v>-1.5411708178096332E-4</v>
      </c>
      <c r="CE45" s="201">
        <f t="shared" si="59"/>
        <v>3.2409205949666579E-4</v>
      </c>
      <c r="CF45" s="201">
        <f t="shared" si="60"/>
        <v>-4.2691389751850858E-5</v>
      </c>
      <c r="CG45" s="201">
        <f t="shared" si="61"/>
        <v>-2.8100537909896443E-4</v>
      </c>
      <c r="CJ45" s="201">
        <f t="shared" si="62"/>
        <v>2.082138286833404E-8</v>
      </c>
      <c r="CK45" s="201">
        <f t="shared" si="63"/>
        <v>1.8933907701971667E-10</v>
      </c>
      <c r="CL45" s="201">
        <f t="shared" si="64"/>
        <v>9.3089719381869963E-8</v>
      </c>
      <c r="CM45" s="201">
        <f t="shared" si="65"/>
        <v>1.501620609314532E-7</v>
      </c>
      <c r="CN45" s="201">
        <f t="shared" si="66"/>
        <v>9.5898587024332347E-10</v>
      </c>
      <c r="CO45" s="201">
        <f t="shared" si="67"/>
        <v>1.3281817502252678E-7</v>
      </c>
      <c r="CR45" s="243">
        <f t="shared" si="68"/>
        <v>1.324239434037638E-4</v>
      </c>
      <c r="CS45" s="243">
        <f t="shared" si="77"/>
        <v>1.9036533720381149E-5</v>
      </c>
      <c r="CT45" s="243">
        <f t="shared" si="78"/>
        <v>4.030227833101496E-4</v>
      </c>
      <c r="CU45" s="243">
        <f t="shared" si="79"/>
        <v>4.4191453793026095E-4</v>
      </c>
      <c r="CV45" s="243">
        <f t="shared" si="80"/>
        <v>9.7681616255163631E-6</v>
      </c>
      <c r="CW45" s="243">
        <f t="shared" si="81"/>
        <v>4.3205593036376762E-4</v>
      </c>
      <c r="CY45" s="243"/>
    </row>
    <row r="46" spans="1:104" x14ac:dyDescent="0.25">
      <c r="A46" s="122">
        <v>11326</v>
      </c>
      <c r="B46" s="153">
        <v>113</v>
      </c>
      <c r="C46" s="184">
        <f>+'Sampling Weights'!R46</f>
        <v>1055.7767462147169</v>
      </c>
      <c r="D46" s="155">
        <f>+SUM('Sampling Weights'!I46:N46)</f>
        <v>19</v>
      </c>
      <c r="E46" s="155">
        <v>7</v>
      </c>
      <c r="F46" s="155">
        <v>2</v>
      </c>
      <c r="G46" s="155">
        <v>1</v>
      </c>
      <c r="H46" s="154">
        <v>2</v>
      </c>
      <c r="I46" s="154">
        <v>0</v>
      </c>
      <c r="J46" s="154">
        <v>0</v>
      </c>
      <c r="K46" s="155"/>
      <c r="L46" s="172"/>
      <c r="M46" s="172"/>
      <c r="N46" s="172"/>
      <c r="P46" s="184"/>
      <c r="Q46" s="173"/>
      <c r="R46" s="167"/>
      <c r="S46" s="184">
        <f t="shared" si="15"/>
        <v>20059.758178079621</v>
      </c>
      <c r="T46" s="184">
        <f t="shared" si="15"/>
        <v>7390.4372235030187</v>
      </c>
      <c r="U46" s="184">
        <f t="shared" si="15"/>
        <v>2111.5534924294338</v>
      </c>
      <c r="V46" s="184">
        <f t="shared" si="15"/>
        <v>1055.7767462147169</v>
      </c>
      <c r="W46" s="184">
        <f t="shared" si="15"/>
        <v>2111.5534924294338</v>
      </c>
      <c r="X46" s="184">
        <f t="shared" si="76"/>
        <v>0</v>
      </c>
      <c r="Y46" s="184">
        <f t="shared" si="76"/>
        <v>0</v>
      </c>
      <c r="AA46" s="167">
        <f t="shared" si="16"/>
        <v>402393898.16303223</v>
      </c>
      <c r="AB46" s="167">
        <f t="shared" si="17"/>
        <v>54618562.354539007</v>
      </c>
      <c r="AC46" s="167">
        <f t="shared" si="18"/>
        <v>4458658.151390939</v>
      </c>
      <c r="AD46" s="167">
        <f t="shared" si="19"/>
        <v>1114664.5378477348</v>
      </c>
      <c r="AE46" s="167">
        <f t="shared" si="20"/>
        <v>4458658.151390939</v>
      </c>
      <c r="AF46" s="167">
        <f t="shared" si="21"/>
        <v>0</v>
      </c>
      <c r="AG46" s="167">
        <f t="shared" si="22"/>
        <v>0</v>
      </c>
      <c r="AI46" s="153">
        <v>229</v>
      </c>
      <c r="AJ46">
        <f t="shared" si="4"/>
        <v>4</v>
      </c>
      <c r="AK46" s="187">
        <f t="shared" si="23"/>
        <v>85434.497986712071</v>
      </c>
      <c r="AL46" s="187">
        <f t="shared" si="24"/>
        <v>11557.137974591695</v>
      </c>
      <c r="AM46" s="187">
        <f t="shared" si="25"/>
        <v>10330.014905344315</v>
      </c>
      <c r="AN46" s="187">
        <f t="shared" si="26"/>
        <v>1953.016514607235</v>
      </c>
      <c r="AO46" s="187">
        <f t="shared" si="27"/>
        <v>7290.0508904101389</v>
      </c>
      <c r="AP46" s="187">
        <f t="shared" si="28"/>
        <v>0</v>
      </c>
      <c r="AQ46" s="187">
        <f t="shared" si="29"/>
        <v>3039.9640149341767</v>
      </c>
      <c r="AS46" s="187">
        <f t="shared" si="30"/>
        <v>2145542117.3308821</v>
      </c>
      <c r="AT46" s="187">
        <f t="shared" si="31"/>
        <v>43142959.58909747</v>
      </c>
      <c r="AU46" s="187">
        <f t="shared" si="32"/>
        <v>37119635.480781026</v>
      </c>
      <c r="AV46" s="187">
        <f t="shared" si="33"/>
        <v>2170597.4001724957</v>
      </c>
      <c r="AW46" s="187">
        <f t="shared" si="34"/>
        <v>30821581.132264212</v>
      </c>
      <c r="AX46" s="187">
        <f t="shared" si="35"/>
        <v>0</v>
      </c>
      <c r="AY46" s="187">
        <f t="shared" si="36"/>
        <v>4792223.321437709</v>
      </c>
      <c r="BA46" s="167">
        <f t="shared" si="37"/>
        <v>20681.030141025534</v>
      </c>
      <c r="BB46" s="167">
        <f t="shared" si="38"/>
        <v>3605.7546687039248</v>
      </c>
      <c r="BC46" s="167">
        <f t="shared" si="39"/>
        <v>3731.3685594112517</v>
      </c>
      <c r="BD46" s="167">
        <f t="shared" si="40"/>
        <v>1273.854530465363</v>
      </c>
      <c r="BE46" s="167">
        <f t="shared" si="41"/>
        <v>4835.3380627862061</v>
      </c>
      <c r="BF46" s="167">
        <f t="shared" si="42"/>
        <v>0</v>
      </c>
      <c r="BG46" s="167">
        <f t="shared" si="43"/>
        <v>1819.1126109228933</v>
      </c>
      <c r="BJ46" s="201">
        <f t="shared" si="8"/>
        <v>1.1463959733897119E-3</v>
      </c>
      <c r="BK46" s="201">
        <f t="shared" si="9"/>
        <v>-2.009106721734122E-4</v>
      </c>
      <c r="BL46" s="243">
        <f t="shared" si="44"/>
        <v>1.1179862815770502E-3</v>
      </c>
      <c r="BM46" s="243">
        <f t="shared" si="45"/>
        <v>2.1592949982204624E-3</v>
      </c>
      <c r="BN46" s="243">
        <f t="shared" si="46"/>
        <v>-1.4787816094344322E-4</v>
      </c>
      <c r="BO46" s="243">
        <f t="shared" si="47"/>
        <v>-2.010047595046062E-3</v>
      </c>
      <c r="BR46" s="200">
        <f t="shared" si="48"/>
        <v>1.314223727804145E-6</v>
      </c>
      <c r="BS46" s="201">
        <f t="shared" si="49"/>
        <v>4.0365098193172305E-8</v>
      </c>
      <c r="BT46" s="201">
        <f t="shared" si="50"/>
        <v>1.2498933257944793E-6</v>
      </c>
      <c r="BU46" s="201">
        <f t="shared" si="51"/>
        <v>4.6625548893399069E-6</v>
      </c>
      <c r="BV46" s="201">
        <f t="shared" si="52"/>
        <v>2.1867950484014897E-8</v>
      </c>
      <c r="BW46" s="201">
        <f t="shared" si="53"/>
        <v>4.0402913343504576E-6</v>
      </c>
      <c r="BY46">
        <f t="shared" si="89"/>
        <v>229</v>
      </c>
      <c r="BZ46">
        <f t="shared" si="90"/>
        <v>4</v>
      </c>
      <c r="CB46" s="200">
        <f t="shared" si="56"/>
        <v>-1.9399175937880478E-3</v>
      </c>
      <c r="CC46" s="201">
        <f t="shared" si="57"/>
        <v>-3.9776986401033438E-4</v>
      </c>
      <c r="CD46" s="201">
        <f t="shared" si="58"/>
        <v>-2.7099034354090487E-3</v>
      </c>
      <c r="CE46" s="201">
        <f t="shared" si="59"/>
        <v>2.8223863319960765E-3</v>
      </c>
      <c r="CF46" s="201">
        <f t="shared" si="60"/>
        <v>-7.2344063846714254E-4</v>
      </c>
      <c r="CG46" s="201">
        <f t="shared" si="61"/>
        <v>-2.092247169098684E-3</v>
      </c>
      <c r="CJ46" s="201">
        <f t="shared" si="62"/>
        <v>3.8197267570780799E-6</v>
      </c>
      <c r="CK46" s="201">
        <f t="shared" si="63"/>
        <v>1.5170843891601852E-6</v>
      </c>
      <c r="CL46" s="201">
        <f t="shared" si="64"/>
        <v>3.1470030713235813E-6</v>
      </c>
      <c r="CM46" s="201">
        <f t="shared" si="65"/>
        <v>4.1012813869497891E-5</v>
      </c>
      <c r="CN46" s="201">
        <f t="shared" si="66"/>
        <v>1.8205709500854463E-7</v>
      </c>
      <c r="CO46" s="201">
        <f t="shared" si="67"/>
        <v>3.7828405467220669E-5</v>
      </c>
      <c r="CR46" s="243">
        <f t="shared" si="68"/>
        <v>1.9592198071021289E-3</v>
      </c>
      <c r="CS46" s="243">
        <f t="shared" si="77"/>
        <v>1.4035807412858894E-3</v>
      </c>
      <c r="CT46" s="243">
        <f t="shared" si="78"/>
        <v>1.3221744282371321E-3</v>
      </c>
      <c r="CU46" s="243">
        <f t="shared" si="79"/>
        <v>7.2130758781293229E-3</v>
      </c>
      <c r="CV46" s="243">
        <f t="shared" si="80"/>
        <v>2.6131846640222459E-4</v>
      </c>
      <c r="CW46" s="243">
        <f t="shared" si="81"/>
        <v>6.9984789693256734E-3</v>
      </c>
    </row>
    <row r="47" spans="1:104" x14ac:dyDescent="0.25">
      <c r="A47" s="122">
        <v>21314</v>
      </c>
      <c r="B47" s="153">
        <v>213</v>
      </c>
      <c r="C47" s="184">
        <f>+'Sampling Weights'!R47</f>
        <v>282.45041397980384</v>
      </c>
      <c r="D47" s="155">
        <f>+SUM('Sampling Weights'!I47:N47)</f>
        <v>14</v>
      </c>
      <c r="E47" s="155">
        <v>5</v>
      </c>
      <c r="F47" s="155">
        <v>1</v>
      </c>
      <c r="G47" s="155">
        <v>0</v>
      </c>
      <c r="H47" s="154">
        <v>1</v>
      </c>
      <c r="I47" s="154">
        <v>0</v>
      </c>
      <c r="J47" s="154">
        <v>0</v>
      </c>
      <c r="K47" s="155"/>
      <c r="L47" s="172"/>
      <c r="Q47" s="173"/>
      <c r="R47" s="167"/>
      <c r="S47" s="184">
        <f t="shared" si="15"/>
        <v>3954.3057957172537</v>
      </c>
      <c r="T47" s="184">
        <f t="shared" si="15"/>
        <v>1412.2520698990193</v>
      </c>
      <c r="U47" s="184">
        <f t="shared" si="15"/>
        <v>282.45041397980384</v>
      </c>
      <c r="V47" s="184">
        <f t="shared" si="15"/>
        <v>0</v>
      </c>
      <c r="W47" s="184">
        <f t="shared" si="15"/>
        <v>282.45041397980384</v>
      </c>
      <c r="X47" s="184">
        <f t="shared" si="76"/>
        <v>0</v>
      </c>
      <c r="Y47" s="184">
        <f t="shared" si="76"/>
        <v>0</v>
      </c>
      <c r="AA47" s="167">
        <f t="shared" si="16"/>
        <v>15636534.326043062</v>
      </c>
      <c r="AB47" s="167">
        <f t="shared" si="17"/>
        <v>1994455.9089340644</v>
      </c>
      <c r="AC47" s="167">
        <f t="shared" si="18"/>
        <v>79778.236357362563</v>
      </c>
      <c r="AD47" s="167">
        <f t="shared" si="19"/>
        <v>0</v>
      </c>
      <c r="AE47" s="167">
        <f t="shared" si="20"/>
        <v>79778.236357362563</v>
      </c>
      <c r="AF47" s="167">
        <f t="shared" si="21"/>
        <v>0</v>
      </c>
      <c r="AG47" s="167">
        <f t="shared" si="22"/>
        <v>0</v>
      </c>
      <c r="AI47" s="153">
        <v>230</v>
      </c>
      <c r="AJ47">
        <f t="shared" si="4"/>
        <v>4</v>
      </c>
      <c r="AK47" s="187">
        <f t="shared" si="23"/>
        <v>66490.119261079089</v>
      </c>
      <c r="AL47" s="187">
        <f t="shared" si="24"/>
        <v>11214.208608299185</v>
      </c>
      <c r="AM47" s="187">
        <f t="shared" si="25"/>
        <v>7611.0436710621034</v>
      </c>
      <c r="AN47" s="187">
        <f t="shared" si="26"/>
        <v>900.79123430927007</v>
      </c>
      <c r="AO47" s="187">
        <f t="shared" si="27"/>
        <v>5589.2391862170971</v>
      </c>
      <c r="AP47" s="187">
        <f t="shared" si="28"/>
        <v>0</v>
      </c>
      <c r="AQ47" s="187">
        <f t="shared" si="29"/>
        <v>2021.8044848450074</v>
      </c>
      <c r="AS47" s="187">
        <f t="shared" si="30"/>
        <v>1185908434.2451344</v>
      </c>
      <c r="AT47" s="187">
        <f t="shared" si="31"/>
        <v>43809745.601286098</v>
      </c>
      <c r="AU47" s="187">
        <f t="shared" si="32"/>
        <v>17844150.471416719</v>
      </c>
      <c r="AV47" s="187">
        <f t="shared" si="33"/>
        <v>811424.84780841833</v>
      </c>
      <c r="AW47" s="187">
        <f t="shared" si="34"/>
        <v>9126522.3886079639</v>
      </c>
      <c r="AX47" s="187">
        <f t="shared" si="35"/>
        <v>0</v>
      </c>
      <c r="AY47" s="187">
        <f t="shared" si="36"/>
        <v>2068095.5556851183</v>
      </c>
      <c r="BA47" s="167">
        <f t="shared" si="37"/>
        <v>10371.39941743666</v>
      </c>
      <c r="BB47" s="167">
        <f t="shared" si="38"/>
        <v>4061.2193445931507</v>
      </c>
      <c r="BC47" s="167">
        <f t="shared" si="39"/>
        <v>2117.2793960530557</v>
      </c>
      <c r="BD47" s="167">
        <f t="shared" si="40"/>
        <v>900.79123430927007</v>
      </c>
      <c r="BE47" s="167">
        <f t="shared" si="41"/>
        <v>1324.9521845066836</v>
      </c>
      <c r="BF47" s="167">
        <f t="shared" si="42"/>
        <v>0</v>
      </c>
      <c r="BG47" s="167">
        <f t="shared" si="43"/>
        <v>1181.0572732092051</v>
      </c>
      <c r="BJ47" s="201">
        <f t="shared" si="8"/>
        <v>2.1070960386783066E-4</v>
      </c>
      <c r="BK47" s="201">
        <f t="shared" si="9"/>
        <v>-8.543033506715535E-5</v>
      </c>
      <c r="BL47" s="243">
        <f t="shared" si="44"/>
        <v>-2.1007957539511351E-4</v>
      </c>
      <c r="BM47" s="243">
        <f t="shared" si="45"/>
        <v>2.8883652170714379E-4</v>
      </c>
      <c r="BN47" s="243">
        <f t="shared" si="46"/>
        <v>-1.9780814422556457E-5</v>
      </c>
      <c r="BO47" s="243">
        <f t="shared" si="47"/>
        <v>-2.6887255159548963E-4</v>
      </c>
      <c r="BR47" s="200">
        <f t="shared" si="48"/>
        <v>4.4398537162138121E-8</v>
      </c>
      <c r="BS47" s="201">
        <f t="shared" si="49"/>
        <v>7.2983421496864333E-9</v>
      </c>
      <c r="BT47" s="201">
        <f t="shared" si="50"/>
        <v>4.4133427998191181E-8</v>
      </c>
      <c r="BU47" s="201">
        <f t="shared" si="51"/>
        <v>8.3426536271881344E-8</v>
      </c>
      <c r="BV47" s="201">
        <f t="shared" si="52"/>
        <v>3.9128061921961753E-10</v>
      </c>
      <c r="BW47" s="201">
        <f t="shared" si="53"/>
        <v>7.2292449001469229E-8</v>
      </c>
      <c r="BY47">
        <f t="shared" ref="BY47:BY48" si="91">+AI47</f>
        <v>230</v>
      </c>
      <c r="BZ47">
        <f t="shared" ref="BZ47:BZ48" si="92">+AJ47</f>
        <v>4</v>
      </c>
      <c r="CB47" s="200">
        <f t="shared" si="56"/>
        <v>-7.4945842880126061E-4</v>
      </c>
      <c r="CC47" s="201">
        <f t="shared" si="57"/>
        <v>-4.5629252182832389E-4</v>
      </c>
      <c r="CD47" s="201">
        <f t="shared" si="58"/>
        <v>-3.3670638331986368E-3</v>
      </c>
      <c r="CE47" s="201">
        <f t="shared" si="59"/>
        <v>2.6346559737352036E-3</v>
      </c>
      <c r="CF47" s="201">
        <f t="shared" si="60"/>
        <v>-5.3302326697958859E-4</v>
      </c>
      <c r="CG47" s="201">
        <f t="shared" si="61"/>
        <v>-2.0966973061354349E-3</v>
      </c>
      <c r="CJ47" s="201">
        <f t="shared" si="62"/>
        <v>2.3228897286068794E-6</v>
      </c>
      <c r="CK47" s="201">
        <f t="shared" si="63"/>
        <v>2.904971423774739E-7</v>
      </c>
      <c r="CL47" s="201">
        <f t="shared" si="64"/>
        <v>8.985748061357995E-6</v>
      </c>
      <c r="CM47" s="201">
        <f t="shared" si="65"/>
        <v>3.984248548607339E-6</v>
      </c>
      <c r="CN47" s="201">
        <f t="shared" si="66"/>
        <v>8.7518483294468101E-8</v>
      </c>
      <c r="CO47" s="201">
        <f t="shared" si="67"/>
        <v>3.4351678993275788E-6</v>
      </c>
      <c r="CR47" s="243">
        <f t="shared" si="68"/>
        <v>1.7058596051967724E-3</v>
      </c>
      <c r="CS47" s="243">
        <f t="shared" si="77"/>
        <v>5.6385154784849886E-4</v>
      </c>
      <c r="CT47" s="243">
        <f t="shared" si="78"/>
        <v>2.8639060382979098E-3</v>
      </c>
      <c r="CU47" s="243">
        <f t="shared" si="79"/>
        <v>1.731625642230518E-3</v>
      </c>
      <c r="CV47" s="243">
        <f t="shared" si="80"/>
        <v>1.4827916243387966E-4</v>
      </c>
      <c r="CW47" s="243">
        <f t="shared" si="81"/>
        <v>1.7648920650429518E-3</v>
      </c>
    </row>
    <row r="48" spans="1:104" x14ac:dyDescent="0.25">
      <c r="A48" s="122">
        <v>11427</v>
      </c>
      <c r="B48" s="153">
        <v>114</v>
      </c>
      <c r="C48" s="184">
        <f>+'Sampling Weights'!R48</f>
        <v>238.35752107007067</v>
      </c>
      <c r="D48" s="155">
        <f>+SUM('Sampling Weights'!I48:N48)</f>
        <v>11</v>
      </c>
      <c r="E48" s="155">
        <v>3</v>
      </c>
      <c r="F48" s="155">
        <v>2</v>
      </c>
      <c r="G48" s="155">
        <v>1</v>
      </c>
      <c r="H48" s="154">
        <v>2</v>
      </c>
      <c r="I48" s="154">
        <v>0</v>
      </c>
      <c r="J48" s="154">
        <v>0</v>
      </c>
      <c r="K48" s="154"/>
      <c r="L48" s="172"/>
      <c r="Q48" s="173"/>
      <c r="R48" s="167"/>
      <c r="S48" s="184">
        <f t="shared" si="15"/>
        <v>2621.9327317707775</v>
      </c>
      <c r="T48" s="184">
        <f t="shared" si="15"/>
        <v>715.07256321021202</v>
      </c>
      <c r="U48" s="184">
        <f t="shared" si="15"/>
        <v>476.71504214014135</v>
      </c>
      <c r="V48" s="184">
        <f t="shared" si="15"/>
        <v>238.35752107007067</v>
      </c>
      <c r="W48" s="184">
        <f t="shared" si="15"/>
        <v>476.71504214014135</v>
      </c>
      <c r="X48" s="184">
        <f t="shared" si="76"/>
        <v>0</v>
      </c>
      <c r="Y48" s="184">
        <f t="shared" si="76"/>
        <v>0</v>
      </c>
      <c r="AA48" s="167">
        <f t="shared" si="16"/>
        <v>6874531.2499309722</v>
      </c>
      <c r="AB48" s="167">
        <f t="shared" si="17"/>
        <v>511328.77065602265</v>
      </c>
      <c r="AC48" s="167">
        <f t="shared" si="18"/>
        <v>227257.23140267676</v>
      </c>
      <c r="AD48" s="167">
        <f t="shared" si="19"/>
        <v>56814.307850669189</v>
      </c>
      <c r="AE48" s="167">
        <f t="shared" si="20"/>
        <v>227257.23140267676</v>
      </c>
      <c r="AF48" s="167">
        <f t="shared" si="21"/>
        <v>0</v>
      </c>
      <c r="AG48" s="167">
        <f t="shared" si="22"/>
        <v>0</v>
      </c>
      <c r="AI48" s="153">
        <v>231</v>
      </c>
      <c r="AJ48">
        <f t="shared" si="4"/>
        <v>4</v>
      </c>
      <c r="AK48" s="187">
        <f t="shared" si="23"/>
        <v>32351.456590693302</v>
      </c>
      <c r="AL48" s="187">
        <f t="shared" si="24"/>
        <v>4507.8776406433408</v>
      </c>
      <c r="AM48" s="187">
        <f t="shared" si="25"/>
        <v>3402.3534094661682</v>
      </c>
      <c r="AN48" s="187">
        <f t="shared" si="26"/>
        <v>1722.6218837167467</v>
      </c>
      <c r="AO48" s="187">
        <f t="shared" si="27"/>
        <v>1679.7315257494215</v>
      </c>
      <c r="AP48" s="187">
        <f t="shared" si="28"/>
        <v>0</v>
      </c>
      <c r="AQ48" s="187">
        <f t="shared" si="29"/>
        <v>1722.6218837167467</v>
      </c>
      <c r="AS48" s="187">
        <f t="shared" si="30"/>
        <v>301314331.342269</v>
      </c>
      <c r="AT48" s="187">
        <f t="shared" si="31"/>
        <v>7805714.1622794764</v>
      </c>
      <c r="AU48" s="187">
        <f t="shared" si="32"/>
        <v>5907996.7462496459</v>
      </c>
      <c r="AV48" s="187">
        <f t="shared" si="33"/>
        <v>2967426.1542598326</v>
      </c>
      <c r="AW48" s="187">
        <f t="shared" si="34"/>
        <v>962286.48914992518</v>
      </c>
      <c r="AX48" s="187">
        <f t="shared" si="35"/>
        <v>0</v>
      </c>
      <c r="AY48" s="187">
        <f t="shared" si="36"/>
        <v>2967426.1542598326</v>
      </c>
      <c r="BA48" s="167">
        <f t="shared" si="37"/>
        <v>7271.8769202447065</v>
      </c>
      <c r="BB48" s="167">
        <f t="shared" si="38"/>
        <v>1906.2962192084883</v>
      </c>
      <c r="BC48" s="167">
        <f t="shared" si="39"/>
        <v>2004.6594276079686</v>
      </c>
      <c r="BD48" s="167">
        <f t="shared" si="40"/>
        <v>1722.6218837167467</v>
      </c>
      <c r="BE48" s="167">
        <f t="shared" si="41"/>
        <v>585.27713037022647</v>
      </c>
      <c r="BF48" s="167">
        <f t="shared" si="42"/>
        <v>0</v>
      </c>
      <c r="BG48" s="167">
        <f t="shared" si="43"/>
        <v>1722.6218837167467</v>
      </c>
      <c r="BJ48" s="201">
        <f t="shared" si="8"/>
        <v>6.3903606622012159E-5</v>
      </c>
      <c r="BK48" s="201">
        <f t="shared" si="9"/>
        <v>4.2489620733447464E-5</v>
      </c>
      <c r="BL48" s="243">
        <f t="shared" si="44"/>
        <v>2.5240226176837633E-4</v>
      </c>
      <c r="BM48" s="243">
        <f t="shared" si="45"/>
        <v>4.8749340699170794E-4</v>
      </c>
      <c r="BN48" s="243">
        <f t="shared" si="46"/>
        <v>-3.3385724765443542E-5</v>
      </c>
      <c r="BO48" s="243">
        <f t="shared" si="47"/>
        <v>-4.5379855514510295E-4</v>
      </c>
      <c r="BR48" s="200">
        <f t="shared" si="48"/>
        <v>4.0836709393008759E-9</v>
      </c>
      <c r="BS48" s="201">
        <f t="shared" si="49"/>
        <v>1.8053678700722087E-9</v>
      </c>
      <c r="BT48" s="201">
        <f t="shared" si="50"/>
        <v>6.370690174579197E-8</v>
      </c>
      <c r="BU48" s="201">
        <f t="shared" si="51"/>
        <v>2.3764982186038301E-7</v>
      </c>
      <c r="BV48" s="201">
        <f t="shared" si="52"/>
        <v>1.1146066181139502E-9</v>
      </c>
      <c r="BW48" s="201">
        <f t="shared" si="53"/>
        <v>2.0593312865178305E-7</v>
      </c>
      <c r="BY48">
        <f t="shared" si="91"/>
        <v>231</v>
      </c>
      <c r="BZ48">
        <f t="shared" si="92"/>
        <v>4</v>
      </c>
      <c r="CB48" s="200">
        <f t="shared" si="56"/>
        <v>-6.8953406892243644E-4</v>
      </c>
      <c r="CC48" s="201">
        <f t="shared" si="57"/>
        <v>-3.2506864529370641E-4</v>
      </c>
      <c r="CD48" s="201">
        <f t="shared" si="58"/>
        <v>1.8560247153134269E-3</v>
      </c>
      <c r="CE48" s="201">
        <f t="shared" si="59"/>
        <v>-9.07330886091281E-4</v>
      </c>
      <c r="CF48" s="201">
        <f t="shared" si="60"/>
        <v>-2.3827658966509704E-4</v>
      </c>
      <c r="CG48" s="201">
        <f t="shared" si="61"/>
        <v>1.1478137404754992E-3</v>
      </c>
      <c r="CJ48" s="201">
        <f t="shared" si="62"/>
        <v>9.8857521444511648E-7</v>
      </c>
      <c r="CK48" s="201">
        <f t="shared" si="63"/>
        <v>6.4880885008806894E-7</v>
      </c>
      <c r="CL48" s="201">
        <f t="shared" si="64"/>
        <v>7.5231562376031957E-6</v>
      </c>
      <c r="CM48" s="201">
        <f t="shared" si="65"/>
        <v>4.8143355842752376E-6</v>
      </c>
      <c r="CN48" s="201">
        <f t="shared" si="66"/>
        <v>2.8976381664605532E-8</v>
      </c>
      <c r="CO48" s="201">
        <f t="shared" si="67"/>
        <v>5.4140684297585461E-6</v>
      </c>
      <c r="CR48" s="243">
        <f t="shared" si="68"/>
        <v>1.0768540021091895E-3</v>
      </c>
      <c r="CS48" s="243">
        <f t="shared" si="77"/>
        <v>9.1096391736065119E-4</v>
      </c>
      <c r="CT48" s="243">
        <f t="shared" si="78"/>
        <v>2.9803689484446103E-3</v>
      </c>
      <c r="CU48" s="243">
        <f t="shared" si="79"/>
        <v>2.4788500694371551E-3</v>
      </c>
      <c r="CV48" s="243">
        <f t="shared" si="80"/>
        <v>1.4039206230647216E-4</v>
      </c>
      <c r="CW48" s="243">
        <f t="shared" si="81"/>
        <v>2.6037663320793484E-3</v>
      </c>
    </row>
    <row r="49" spans="1:75" x14ac:dyDescent="0.25">
      <c r="A49" s="122">
        <v>11428</v>
      </c>
      <c r="B49" s="153">
        <v>114</v>
      </c>
      <c r="C49" s="184">
        <f>+'Sampling Weights'!R49</f>
        <v>288.3384262689375</v>
      </c>
      <c r="D49" s="155">
        <f>+SUM('Sampling Weights'!I49:N49)</f>
        <v>11</v>
      </c>
      <c r="E49" s="155">
        <v>2</v>
      </c>
      <c r="F49" s="155">
        <v>1</v>
      </c>
      <c r="G49" s="155">
        <v>0</v>
      </c>
      <c r="H49" s="154">
        <v>1</v>
      </c>
      <c r="I49" s="154">
        <v>0</v>
      </c>
      <c r="J49" s="154">
        <v>0</v>
      </c>
      <c r="K49" s="155"/>
      <c r="L49" s="172"/>
      <c r="Q49" s="173"/>
      <c r="R49" s="167"/>
      <c r="S49" s="184">
        <f t="shared" si="15"/>
        <v>3171.7226889583126</v>
      </c>
      <c r="T49" s="184">
        <f t="shared" si="15"/>
        <v>576.67685253787499</v>
      </c>
      <c r="U49" s="184">
        <f t="shared" si="15"/>
        <v>288.3384262689375</v>
      </c>
      <c r="V49" s="184">
        <f t="shared" si="15"/>
        <v>0</v>
      </c>
      <c r="W49" s="184">
        <f t="shared" si="15"/>
        <v>288.3384262689375</v>
      </c>
      <c r="X49" s="184">
        <f t="shared" si="76"/>
        <v>0</v>
      </c>
      <c r="Y49" s="184">
        <f t="shared" si="76"/>
        <v>0</v>
      </c>
      <c r="AA49" s="167">
        <f t="shared" si="16"/>
        <v>10059824.81565295</v>
      </c>
      <c r="AB49" s="167">
        <f t="shared" si="17"/>
        <v>332556.19225299003</v>
      </c>
      <c r="AC49" s="167">
        <f t="shared" si="18"/>
        <v>83139.048063247508</v>
      </c>
      <c r="AD49" s="167">
        <f t="shared" si="19"/>
        <v>0</v>
      </c>
      <c r="AE49" s="167">
        <f t="shared" si="20"/>
        <v>83139.048063247508</v>
      </c>
      <c r="AF49" s="167">
        <f t="shared" si="21"/>
        <v>0</v>
      </c>
      <c r="AG49" s="167">
        <f t="shared" si="22"/>
        <v>0</v>
      </c>
      <c r="AK49" s="167"/>
      <c r="BA49" s="167"/>
      <c r="BJ49" s="201">
        <f t="shared" si="8"/>
        <v>-2.145608718440092E-5</v>
      </c>
      <c r="BK49" s="201">
        <f t="shared" si="9"/>
        <v>-4.7360346313857339E-5</v>
      </c>
      <c r="BL49" s="243">
        <f t="shared" si="44"/>
        <v>-2.144589321260647E-4</v>
      </c>
      <c r="BM49" s="243">
        <f t="shared" si="45"/>
        <v>2.9485765995013424E-4</v>
      </c>
      <c r="BN49" s="243">
        <f t="shared" si="46"/>
        <v>-2.0193168848836081E-5</v>
      </c>
      <c r="BO49" s="243">
        <f t="shared" si="47"/>
        <v>-2.7447751731566082E-4</v>
      </c>
      <c r="BR49" s="200">
        <f t="shared" si="48"/>
        <v>4.6036367726461339E-10</v>
      </c>
      <c r="BS49" s="201">
        <f t="shared" si="49"/>
        <v>2.2430024029685003E-9</v>
      </c>
      <c r="BT49" s="201">
        <f t="shared" si="50"/>
        <v>4.5992633568652028E-8</v>
      </c>
      <c r="BU49" s="201">
        <f t="shared" si="51"/>
        <v>8.6941039631268992E-8</v>
      </c>
      <c r="BV49" s="201">
        <f t="shared" si="52"/>
        <v>4.077640681576039E-10</v>
      </c>
      <c r="BW49" s="201">
        <f t="shared" si="53"/>
        <v>7.5337907511768879E-8</v>
      </c>
    </row>
    <row r="50" spans="1:75" x14ac:dyDescent="0.25">
      <c r="A50" s="122">
        <v>11429</v>
      </c>
      <c r="B50" s="153">
        <v>114</v>
      </c>
      <c r="C50" s="184">
        <f>+'Sampling Weights'!R50</f>
        <v>668.87055503305317</v>
      </c>
      <c r="D50" s="155">
        <f>+SUM('Sampling Weights'!I50:N50)</f>
        <v>16</v>
      </c>
      <c r="E50" s="155">
        <v>5</v>
      </c>
      <c r="F50" s="155">
        <v>4</v>
      </c>
      <c r="G50" s="155">
        <v>3</v>
      </c>
      <c r="H50" s="154">
        <v>1</v>
      </c>
      <c r="I50" s="154">
        <v>2</v>
      </c>
      <c r="J50" s="154">
        <v>1</v>
      </c>
      <c r="K50" s="155"/>
      <c r="L50" s="172"/>
      <c r="Q50" s="173"/>
      <c r="R50" s="167"/>
      <c r="S50" s="184">
        <f t="shared" si="15"/>
        <v>10701.928880528851</v>
      </c>
      <c r="T50" s="184">
        <f t="shared" si="15"/>
        <v>3344.3527751652659</v>
      </c>
      <c r="U50" s="184">
        <f t="shared" si="15"/>
        <v>2675.4822201322127</v>
      </c>
      <c r="V50" s="184">
        <f t="shared" si="15"/>
        <v>2006.6116650991594</v>
      </c>
      <c r="W50" s="184">
        <f t="shared" si="15"/>
        <v>668.87055503305317</v>
      </c>
      <c r="X50" s="184">
        <f t="shared" si="76"/>
        <v>1337.7411100661063</v>
      </c>
      <c r="Y50" s="184">
        <f t="shared" si="76"/>
        <v>668.87055503305317</v>
      </c>
      <c r="AA50" s="167">
        <f t="shared" si="16"/>
        <v>114531281.76389749</v>
      </c>
      <c r="AB50" s="167">
        <f t="shared" si="17"/>
        <v>11184695.484755617</v>
      </c>
      <c r="AC50" s="167">
        <f t="shared" si="18"/>
        <v>7158205.1102435933</v>
      </c>
      <c r="AD50" s="167">
        <f t="shared" si="19"/>
        <v>4026490.374512021</v>
      </c>
      <c r="AE50" s="167">
        <f t="shared" si="20"/>
        <v>447387.81939022458</v>
      </c>
      <c r="AF50" s="167">
        <f t="shared" si="21"/>
        <v>1789551.2775608983</v>
      </c>
      <c r="AG50" s="167">
        <f t="shared" si="22"/>
        <v>447387.81939022458</v>
      </c>
      <c r="AK50" s="167"/>
      <c r="BA50" s="167"/>
      <c r="BJ50" s="201">
        <f t="shared" si="8"/>
        <v>4.0662378310644731E-4</v>
      </c>
      <c r="BK50" s="201">
        <f t="shared" si="9"/>
        <v>4.2335326796910557E-4</v>
      </c>
      <c r="BL50" s="243">
        <f t="shared" si="44"/>
        <v>3.1198257312017343E-3</v>
      </c>
      <c r="BM50" s="243">
        <f t="shared" si="45"/>
        <v>-2.3738087344455849E-3</v>
      </c>
      <c r="BN50" s="243">
        <f t="shared" si="46"/>
        <v>3.2191500871651983E-3</v>
      </c>
      <c r="BO50" s="243">
        <f t="shared" si="47"/>
        <v>-8.4360642947134369E-4</v>
      </c>
      <c r="BR50" s="200">
        <f t="shared" si="48"/>
        <v>1.6534290098779911E-7</v>
      </c>
      <c r="BS50" s="201">
        <f t="shared" si="49"/>
        <v>1.7922798950012132E-7</v>
      </c>
      <c r="BT50" s="201">
        <f t="shared" si="50"/>
        <v>9.7333125930684359E-6</v>
      </c>
      <c r="BU50" s="201">
        <f t="shared" si="51"/>
        <v>5.6349679077301492E-6</v>
      </c>
      <c r="BV50" s="201">
        <f t="shared" si="52"/>
        <v>1.0362927283695704E-5</v>
      </c>
      <c r="BW50" s="201">
        <f t="shared" si="53"/>
        <v>7.1167180784538918E-7</v>
      </c>
    </row>
    <row r="51" spans="1:75" x14ac:dyDescent="0.25">
      <c r="A51" s="122">
        <v>11430</v>
      </c>
      <c r="B51" s="153">
        <v>114</v>
      </c>
      <c r="C51" s="184">
        <f>+'Sampling Weights'!R51</f>
        <v>130.38157963009829</v>
      </c>
      <c r="D51" s="155">
        <f>+SUM('Sampling Weights'!I51:N51)</f>
        <v>12</v>
      </c>
      <c r="E51" s="155">
        <v>3</v>
      </c>
      <c r="F51" s="155">
        <v>2</v>
      </c>
      <c r="G51" s="155">
        <v>0</v>
      </c>
      <c r="H51" s="154">
        <v>2</v>
      </c>
      <c r="I51" s="154">
        <v>0</v>
      </c>
      <c r="J51" s="154">
        <v>0</v>
      </c>
      <c r="K51" s="155"/>
      <c r="L51" s="172"/>
      <c r="Q51" s="173"/>
      <c r="R51" s="167"/>
      <c r="S51" s="184">
        <f t="shared" si="15"/>
        <v>1564.5789555611796</v>
      </c>
      <c r="T51" s="184">
        <f t="shared" si="15"/>
        <v>391.14473889029489</v>
      </c>
      <c r="U51" s="184">
        <f t="shared" si="15"/>
        <v>260.76315926019657</v>
      </c>
      <c r="V51" s="184">
        <f t="shared" si="15"/>
        <v>0</v>
      </c>
      <c r="W51" s="184">
        <f t="shared" si="15"/>
        <v>260.76315926019657</v>
      </c>
      <c r="X51" s="184">
        <f t="shared" si="76"/>
        <v>0</v>
      </c>
      <c r="Y51" s="184">
        <f t="shared" si="76"/>
        <v>0</v>
      </c>
      <c r="AA51" s="167">
        <f t="shared" si="16"/>
        <v>2447907.3081849115</v>
      </c>
      <c r="AB51" s="167">
        <f t="shared" si="17"/>
        <v>152994.20676155697</v>
      </c>
      <c r="AC51" s="167">
        <f t="shared" si="18"/>
        <v>67997.425227358646</v>
      </c>
      <c r="AD51" s="167">
        <f t="shared" si="19"/>
        <v>0</v>
      </c>
      <c r="AE51" s="167">
        <f t="shared" si="20"/>
        <v>67997.425227358646</v>
      </c>
      <c r="AF51" s="167">
        <f t="shared" si="21"/>
        <v>0</v>
      </c>
      <c r="AG51" s="167">
        <f t="shared" si="22"/>
        <v>0</v>
      </c>
      <c r="AK51" s="167"/>
      <c r="BA51" s="167"/>
      <c r="BJ51" s="201">
        <f t="shared" si="8"/>
        <v>2.5953754003225474E-5</v>
      </c>
      <c r="BK51" s="201">
        <f t="shared" si="9"/>
        <v>1.72352015622551E-5</v>
      </c>
      <c r="BL51" s="243">
        <f t="shared" si="44"/>
        <v>-1.9394913607734162E-4</v>
      </c>
      <c r="BM51" s="243">
        <f t="shared" si="45"/>
        <v>2.666589255396405E-4</v>
      </c>
      <c r="BN51" s="243">
        <f t="shared" si="46"/>
        <v>-1.8261993632391366E-5</v>
      </c>
      <c r="BO51" s="243">
        <f t="shared" si="47"/>
        <v>-2.4822783937361598E-4</v>
      </c>
      <c r="BR51" s="200">
        <f t="shared" si="48"/>
        <v>6.7359734685994228E-10</v>
      </c>
      <c r="BS51" s="201">
        <f t="shared" si="49"/>
        <v>2.9705217289156066E-10</v>
      </c>
      <c r="BT51" s="201">
        <f t="shared" si="50"/>
        <v>3.7616267385147178E-8</v>
      </c>
      <c r="BU51" s="201">
        <f t="shared" si="51"/>
        <v>7.1106982569955543E-8</v>
      </c>
      <c r="BV51" s="201">
        <f t="shared" si="52"/>
        <v>3.3350041142950278E-10</v>
      </c>
      <c r="BW51" s="201">
        <f t="shared" si="53"/>
        <v>6.1617060240093694E-8</v>
      </c>
    </row>
    <row r="52" spans="1:75" x14ac:dyDescent="0.25">
      <c r="A52" s="122">
        <v>21415</v>
      </c>
      <c r="B52" s="153">
        <v>214</v>
      </c>
      <c r="C52" s="184">
        <f>+'Sampling Weights'!R52</f>
        <v>451.36071373903644</v>
      </c>
      <c r="D52" s="155">
        <f>+SUM('Sampling Weights'!I52:N52)</f>
        <v>13</v>
      </c>
      <c r="E52" s="155">
        <v>5</v>
      </c>
      <c r="F52" s="155">
        <v>2</v>
      </c>
      <c r="G52" s="155">
        <v>1</v>
      </c>
      <c r="H52" s="154">
        <v>1</v>
      </c>
      <c r="I52" s="154">
        <v>0</v>
      </c>
      <c r="J52" s="154">
        <v>1</v>
      </c>
      <c r="K52" s="155"/>
      <c r="L52" s="172"/>
      <c r="Q52" s="173"/>
      <c r="R52" s="167"/>
      <c r="S52" s="184">
        <f t="shared" si="15"/>
        <v>5867.6892786074741</v>
      </c>
      <c r="T52" s="184">
        <f t="shared" si="15"/>
        <v>2256.8035686951821</v>
      </c>
      <c r="U52" s="184">
        <f t="shared" si="15"/>
        <v>902.72142747807288</v>
      </c>
      <c r="V52" s="184">
        <f t="shared" si="15"/>
        <v>451.36071373903644</v>
      </c>
      <c r="W52" s="184">
        <f t="shared" si="15"/>
        <v>451.36071373903644</v>
      </c>
      <c r="X52" s="184">
        <f t="shared" si="76"/>
        <v>0</v>
      </c>
      <c r="Y52" s="184">
        <f t="shared" si="76"/>
        <v>451.36071373903644</v>
      </c>
      <c r="AA52" s="167">
        <f t="shared" si="16"/>
        <v>34429777.470285103</v>
      </c>
      <c r="AB52" s="167">
        <f t="shared" si="17"/>
        <v>5093162.3476753095</v>
      </c>
      <c r="AC52" s="167">
        <f t="shared" si="18"/>
        <v>814905.97562804958</v>
      </c>
      <c r="AD52" s="167">
        <f t="shared" si="19"/>
        <v>203726.49390701239</v>
      </c>
      <c r="AE52" s="167">
        <f t="shared" si="20"/>
        <v>203726.49390701239</v>
      </c>
      <c r="AF52" s="167">
        <f t="shared" si="21"/>
        <v>0</v>
      </c>
      <c r="AG52" s="167">
        <f t="shared" si="22"/>
        <v>203726.49390701239</v>
      </c>
      <c r="AK52" s="167"/>
      <c r="BA52" s="167"/>
      <c r="BJ52" s="201">
        <f t="shared" si="8"/>
        <v>3.6787951144445107E-4</v>
      </c>
      <c r="BK52" s="201">
        <f t="shared" si="9"/>
        <v>3.8871586808401798E-5</v>
      </c>
      <c r="BL52" s="243">
        <f t="shared" si="44"/>
        <v>4.7795624199175474E-4</v>
      </c>
      <c r="BM52" s="243">
        <f t="shared" si="45"/>
        <v>-2.2624627988954463E-4</v>
      </c>
      <c r="BN52" s="243">
        <f t="shared" si="46"/>
        <v>-6.3220176527996954E-5</v>
      </c>
      <c r="BO52" s="243">
        <f t="shared" si="47"/>
        <v>2.9005182842243047E-4</v>
      </c>
      <c r="BR52" s="200">
        <f t="shared" si="48"/>
        <v>1.3533533494060802E-7</v>
      </c>
      <c r="BS52" s="201">
        <f t="shared" si="49"/>
        <v>1.5110002610031167E-9</v>
      </c>
      <c r="BT52" s="201">
        <f t="shared" si="50"/>
        <v>2.284421692588808E-7</v>
      </c>
      <c r="BU52" s="201">
        <f t="shared" si="51"/>
        <v>5.1187379163858172E-8</v>
      </c>
      <c r="BV52" s="201">
        <f t="shared" si="52"/>
        <v>3.996790720231097E-9</v>
      </c>
      <c r="BW52" s="201">
        <f t="shared" si="53"/>
        <v>8.413006317119505E-8</v>
      </c>
    </row>
    <row r="53" spans="1:75" x14ac:dyDescent="0.25">
      <c r="A53" s="122">
        <v>21416</v>
      </c>
      <c r="B53" s="153">
        <v>214</v>
      </c>
      <c r="C53" s="184">
        <f>+'Sampling Weights'!R53</f>
        <v>1013.7585592891224</v>
      </c>
      <c r="D53" s="155">
        <f>+SUM('Sampling Weights'!I53:N53)</f>
        <v>11</v>
      </c>
      <c r="E53" s="155">
        <v>4</v>
      </c>
      <c r="F53" s="155">
        <v>3</v>
      </c>
      <c r="G53" s="155">
        <v>2</v>
      </c>
      <c r="H53" s="154">
        <v>3</v>
      </c>
      <c r="I53" s="154">
        <v>0</v>
      </c>
      <c r="J53" s="154">
        <v>0</v>
      </c>
      <c r="K53" s="154"/>
      <c r="L53" s="172"/>
      <c r="Q53" s="173"/>
      <c r="R53" s="167"/>
      <c r="S53" s="184">
        <f t="shared" si="15"/>
        <v>11151.344152180347</v>
      </c>
      <c r="T53" s="184">
        <f t="shared" si="15"/>
        <v>4055.0342371564898</v>
      </c>
      <c r="U53" s="184">
        <f t="shared" si="15"/>
        <v>3041.2756778673674</v>
      </c>
      <c r="V53" s="184">
        <f t="shared" si="15"/>
        <v>2027.5171185782449</v>
      </c>
      <c r="W53" s="184">
        <f t="shared" si="15"/>
        <v>3041.2756778673674</v>
      </c>
      <c r="X53" s="184">
        <f t="shared" si="76"/>
        <v>0</v>
      </c>
      <c r="Y53" s="184">
        <f t="shared" si="76"/>
        <v>0</v>
      </c>
      <c r="AA53" s="167">
        <f t="shared" si="16"/>
        <v>124352476.40036683</v>
      </c>
      <c r="AB53" s="167">
        <f t="shared" si="17"/>
        <v>16443302.664511316</v>
      </c>
      <c r="AC53" s="167">
        <f t="shared" si="18"/>
        <v>9249357.7487876154</v>
      </c>
      <c r="AD53" s="167">
        <f t="shared" si="19"/>
        <v>4110825.6661278289</v>
      </c>
      <c r="AE53" s="167">
        <f t="shared" si="20"/>
        <v>9249357.7487876154</v>
      </c>
      <c r="AF53" s="167">
        <f t="shared" si="21"/>
        <v>0</v>
      </c>
      <c r="AG53" s="167">
        <f t="shared" si="22"/>
        <v>0</v>
      </c>
      <c r="AK53" s="167"/>
      <c r="BA53" s="167"/>
      <c r="BJ53" s="201">
        <f t="shared" si="8"/>
        <v>6.1901363319207502E-4</v>
      </c>
      <c r="BK53" s="201">
        <f t="shared" si="9"/>
        <v>5.2793779306095038E-4</v>
      </c>
      <c r="BL53" s="243">
        <f t="shared" si="44"/>
        <v>2.9009928535620355E-3</v>
      </c>
      <c r="BM53" s="243">
        <f t="shared" si="45"/>
        <v>3.1100378858377499E-3</v>
      </c>
      <c r="BN53" s="243">
        <f t="shared" si="46"/>
        <v>-2.1298927816770894E-4</v>
      </c>
      <c r="BO53" s="243">
        <f t="shared" si="47"/>
        <v>-2.8950764847240438E-3</v>
      </c>
      <c r="BR53" s="200">
        <f t="shared" si="48"/>
        <v>3.831778780776528E-7</v>
      </c>
      <c r="BS53" s="201">
        <f t="shared" si="49"/>
        <v>2.7871831334206686E-7</v>
      </c>
      <c r="BT53" s="201">
        <f t="shared" si="50"/>
        <v>8.4157595364180012E-6</v>
      </c>
      <c r="BU53" s="201">
        <f t="shared" si="51"/>
        <v>9.6723356513461404E-6</v>
      </c>
      <c r="BV53" s="201">
        <f t="shared" si="52"/>
        <v>4.5364432614401695E-8</v>
      </c>
      <c r="BW53" s="201">
        <f t="shared" si="53"/>
        <v>8.3814678524021272E-6</v>
      </c>
    </row>
    <row r="54" spans="1:75" x14ac:dyDescent="0.25">
      <c r="A54" s="122">
        <v>21417</v>
      </c>
      <c r="B54" s="153">
        <v>214</v>
      </c>
      <c r="C54" s="184">
        <f>+'Sampling Weights'!R54</f>
        <v>2391.4971675026036</v>
      </c>
      <c r="D54" s="155">
        <f>+SUM('Sampling Weights'!I54:N54)</f>
        <v>13</v>
      </c>
      <c r="E54" s="155">
        <v>3</v>
      </c>
      <c r="F54" s="155">
        <v>1</v>
      </c>
      <c r="G54" s="155">
        <v>0</v>
      </c>
      <c r="H54" s="154">
        <v>0</v>
      </c>
      <c r="I54" s="154">
        <v>0</v>
      </c>
      <c r="J54" s="154">
        <v>1</v>
      </c>
      <c r="K54" s="155"/>
      <c r="L54" s="172"/>
      <c r="Q54" s="173"/>
      <c r="R54" s="167"/>
      <c r="S54" s="184">
        <f t="shared" si="15"/>
        <v>31089.463177533846</v>
      </c>
      <c r="T54" s="184">
        <f t="shared" si="15"/>
        <v>7174.4915025078108</v>
      </c>
      <c r="U54" s="184">
        <f t="shared" si="15"/>
        <v>2391.4971675026036</v>
      </c>
      <c r="V54" s="184">
        <f t="shared" si="15"/>
        <v>0</v>
      </c>
      <c r="W54" s="184">
        <f t="shared" si="15"/>
        <v>0</v>
      </c>
      <c r="X54" s="184">
        <f t="shared" si="76"/>
        <v>0</v>
      </c>
      <c r="Y54" s="184">
        <f t="shared" si="76"/>
        <v>2391.4971675026036</v>
      </c>
      <c r="AA54" s="167">
        <f t="shared" si="16"/>
        <v>966554720.66723287</v>
      </c>
      <c r="AB54" s="167">
        <f t="shared" si="17"/>
        <v>51473328.319556788</v>
      </c>
      <c r="AC54" s="167">
        <f t="shared" si="18"/>
        <v>5719258.702172976</v>
      </c>
      <c r="AD54" s="167">
        <f t="shared" si="19"/>
        <v>0</v>
      </c>
      <c r="AE54" s="167">
        <f t="shared" si="20"/>
        <v>0</v>
      </c>
      <c r="AF54" s="167">
        <f t="shared" si="21"/>
        <v>0</v>
      </c>
      <c r="AG54" s="167">
        <f t="shared" si="22"/>
        <v>5719258.702172976</v>
      </c>
      <c r="AK54" s="167"/>
      <c r="BA54" s="167"/>
      <c r="BJ54" s="201">
        <f t="shared" si="8"/>
        <v>3.1094279219305359E-4</v>
      </c>
      <c r="BK54" s="201">
        <f t="shared" si="9"/>
        <v>-6.1316022046189512E-4</v>
      </c>
      <c r="BL54" s="243">
        <f t="shared" si="44"/>
        <v>-1.7787359644071445E-3</v>
      </c>
      <c r="BM54" s="243">
        <f t="shared" si="45"/>
        <v>-3.6443151842692149E-3</v>
      </c>
      <c r="BN54" s="243">
        <f t="shared" si="46"/>
        <v>-1.6748342123450006E-4</v>
      </c>
      <c r="BO54" s="243">
        <f t="shared" si="47"/>
        <v>3.8133493779225524E-3</v>
      </c>
      <c r="BR54" s="200">
        <f t="shared" si="48"/>
        <v>9.6685420016812516E-8</v>
      </c>
      <c r="BS54" s="201">
        <f t="shared" si="49"/>
        <v>3.7596545595687981E-7</v>
      </c>
      <c r="BT54" s="201">
        <f t="shared" si="50"/>
        <v>3.1639016310754143E-6</v>
      </c>
      <c r="BU54" s="201">
        <f t="shared" si="51"/>
        <v>1.3281033162295161E-5</v>
      </c>
      <c r="BV54" s="201">
        <f t="shared" si="52"/>
        <v>2.8050696388412986E-8</v>
      </c>
      <c r="BW54" s="201">
        <f t="shared" si="53"/>
        <v>1.4541633478102318E-5</v>
      </c>
    </row>
    <row r="55" spans="1:75" x14ac:dyDescent="0.25">
      <c r="A55" s="122">
        <v>21418</v>
      </c>
      <c r="B55" s="153">
        <v>214</v>
      </c>
      <c r="C55" s="184">
        <f>+'Sampling Weights'!R55</f>
        <v>400.03822387241911</v>
      </c>
      <c r="D55" s="155">
        <f>+SUM('Sampling Weights'!I55:N55)</f>
        <v>12</v>
      </c>
      <c r="E55" s="155">
        <v>4</v>
      </c>
      <c r="F55" s="155">
        <v>4</v>
      </c>
      <c r="G55" s="155">
        <v>1</v>
      </c>
      <c r="H55" s="154">
        <v>1</v>
      </c>
      <c r="I55" s="154">
        <v>0</v>
      </c>
      <c r="J55" s="154">
        <v>3</v>
      </c>
      <c r="K55" s="155"/>
      <c r="L55" s="172"/>
      <c r="M55" s="206"/>
      <c r="N55" s="202"/>
      <c r="P55" s="184"/>
      <c r="Q55" s="173"/>
      <c r="R55" s="167"/>
      <c r="S55" s="184">
        <f t="shared" si="15"/>
        <v>4800.4586864690291</v>
      </c>
      <c r="T55" s="184">
        <f t="shared" si="15"/>
        <v>1600.1528954896764</v>
      </c>
      <c r="U55" s="184">
        <f t="shared" si="15"/>
        <v>1600.1528954896764</v>
      </c>
      <c r="V55" s="184">
        <f t="shared" si="15"/>
        <v>400.03822387241911</v>
      </c>
      <c r="W55" s="184">
        <f t="shared" si="15"/>
        <v>400.03822387241911</v>
      </c>
      <c r="X55" s="184">
        <f t="shared" si="76"/>
        <v>0</v>
      </c>
      <c r="Y55" s="184">
        <f t="shared" si="76"/>
        <v>1200.1146716172573</v>
      </c>
      <c r="AA55" s="167">
        <f t="shared" si="16"/>
        <v>23044403.600495957</v>
      </c>
      <c r="AB55" s="167">
        <f t="shared" si="17"/>
        <v>2560489.2889439953</v>
      </c>
      <c r="AC55" s="167">
        <f t="shared" si="18"/>
        <v>2560489.2889439953</v>
      </c>
      <c r="AD55" s="167">
        <f t="shared" si="19"/>
        <v>160030.5805589997</v>
      </c>
      <c r="AE55" s="167">
        <f t="shared" si="20"/>
        <v>160030.5805589997</v>
      </c>
      <c r="AF55" s="167">
        <f t="shared" si="21"/>
        <v>0</v>
      </c>
      <c r="AG55" s="167">
        <f t="shared" si="22"/>
        <v>1440275.2250309973</v>
      </c>
      <c r="AK55" s="167"/>
      <c r="BA55" s="167"/>
      <c r="BJ55" s="201">
        <f t="shared" si="8"/>
        <v>2.166497602576276E-4</v>
      </c>
      <c r="BK55" s="201">
        <f t="shared" si="9"/>
        <v>3.2691756129335275E-4</v>
      </c>
      <c r="BL55" s="243">
        <f t="shared" si="44"/>
        <v>-1.7146723604669162E-4</v>
      </c>
      <c r="BM55" s="243">
        <f t="shared" si="45"/>
        <v>-1.4197279620023343E-3</v>
      </c>
      <c r="BN55" s="243">
        <f t="shared" si="46"/>
        <v>-1.1206330706833701E-4</v>
      </c>
      <c r="BO55" s="243">
        <f t="shared" si="47"/>
        <v>1.5328288922842668E-3</v>
      </c>
      <c r="BR55" s="200">
        <f t="shared" si="48"/>
        <v>4.6937118619687514E-8</v>
      </c>
      <c r="BS55" s="201">
        <f t="shared" si="49"/>
        <v>1.0687509188199305E-7</v>
      </c>
      <c r="BT55" s="201">
        <f t="shared" si="50"/>
        <v>2.9401013037491863E-8</v>
      </c>
      <c r="BU55" s="201">
        <f t="shared" si="51"/>
        <v>2.0156274860913015E-6</v>
      </c>
      <c r="BV55" s="201">
        <f t="shared" si="52"/>
        <v>1.2558184791092393E-8</v>
      </c>
      <c r="BW55" s="201">
        <f t="shared" si="53"/>
        <v>2.3495644130214125E-6</v>
      </c>
    </row>
    <row r="56" spans="1:75" x14ac:dyDescent="0.25">
      <c r="A56" s="122">
        <v>11531</v>
      </c>
      <c r="B56" s="153">
        <v>115</v>
      </c>
      <c r="C56" s="184">
        <f>+'Sampling Weights'!R56</f>
        <v>334.91942318429523</v>
      </c>
      <c r="D56" s="155">
        <f>+SUM('Sampling Weights'!I56:N56)</f>
        <v>12</v>
      </c>
      <c r="E56" s="155">
        <v>4</v>
      </c>
      <c r="F56" s="155">
        <v>4</v>
      </c>
      <c r="G56" s="155">
        <v>0</v>
      </c>
      <c r="H56" s="154">
        <v>3</v>
      </c>
      <c r="I56" s="154">
        <v>0</v>
      </c>
      <c r="J56" s="154">
        <v>1</v>
      </c>
      <c r="K56" s="155"/>
      <c r="L56" s="172"/>
      <c r="M56" s="206"/>
      <c r="N56" s="202"/>
      <c r="P56" s="184"/>
      <c r="Q56" s="173"/>
      <c r="R56" s="167"/>
      <c r="S56" s="184">
        <f t="shared" si="15"/>
        <v>4019.0330782115425</v>
      </c>
      <c r="T56" s="184">
        <f t="shared" si="15"/>
        <v>1339.6776927371809</v>
      </c>
      <c r="U56" s="184">
        <f t="shared" si="15"/>
        <v>1339.6776927371809</v>
      </c>
      <c r="V56" s="184">
        <f t="shared" si="15"/>
        <v>0</v>
      </c>
      <c r="W56" s="184">
        <f t="shared" si="15"/>
        <v>1004.7582695528856</v>
      </c>
      <c r="X56" s="184">
        <f t="shared" si="76"/>
        <v>0</v>
      </c>
      <c r="Y56" s="184">
        <f t="shared" si="76"/>
        <v>334.91942318429523</v>
      </c>
      <c r="AA56" s="167">
        <f t="shared" si="16"/>
        <v>16152626.883758547</v>
      </c>
      <c r="AB56" s="167">
        <f t="shared" si="17"/>
        <v>1794736.3204176165</v>
      </c>
      <c r="AC56" s="167">
        <f t="shared" si="18"/>
        <v>1794736.3204176165</v>
      </c>
      <c r="AD56" s="167">
        <f t="shared" si="19"/>
        <v>0</v>
      </c>
      <c r="AE56" s="167">
        <f t="shared" si="20"/>
        <v>1009539.1802349092</v>
      </c>
      <c r="AF56" s="167">
        <f t="shared" si="21"/>
        <v>0</v>
      </c>
      <c r="AG56" s="167">
        <f t="shared" si="22"/>
        <v>112171.02002610103</v>
      </c>
      <c r="AK56" s="167"/>
      <c r="BA56" s="167"/>
      <c r="BJ56" s="201">
        <f t="shared" si="8"/>
        <v>1.8138319892561445E-4</v>
      </c>
      <c r="BK56" s="201">
        <f t="shared" si="9"/>
        <v>2.7370144781990947E-4</v>
      </c>
      <c r="BL56" s="243">
        <f t="shared" si="44"/>
        <v>-9.9641886478755927E-4</v>
      </c>
      <c r="BM56" s="243">
        <f t="shared" si="45"/>
        <v>5.1710403597628098E-4</v>
      </c>
      <c r="BN56" s="243">
        <f t="shared" si="46"/>
        <v>-9.3821479857939308E-5</v>
      </c>
      <c r="BO56" s="243">
        <f t="shared" si="47"/>
        <v>-4.2241383871225005E-4</v>
      </c>
      <c r="BR56" s="200">
        <f t="shared" si="48"/>
        <v>3.2899864852489024E-8</v>
      </c>
      <c r="BS56" s="201">
        <f t="shared" si="49"/>
        <v>7.4912482538714626E-8</v>
      </c>
      <c r="BT56" s="201">
        <f t="shared" si="50"/>
        <v>9.9285055410452836E-7</v>
      </c>
      <c r="BU56" s="201">
        <f t="shared" si="51"/>
        <v>2.673965840229589E-7</v>
      </c>
      <c r="BV56" s="201">
        <f t="shared" si="52"/>
        <v>8.8024700827337108E-9</v>
      </c>
      <c r="BW56" s="201">
        <f t="shared" si="53"/>
        <v>1.784334511356188E-7</v>
      </c>
    </row>
    <row r="57" spans="1:75" x14ac:dyDescent="0.25">
      <c r="A57" s="122">
        <v>11532</v>
      </c>
      <c r="B57" s="153">
        <v>115</v>
      </c>
      <c r="C57" s="184">
        <f>+'Sampling Weights'!R57</f>
        <v>280.30198316627718</v>
      </c>
      <c r="D57" s="155">
        <f>+SUM('Sampling Weights'!I57:N57)</f>
        <v>12</v>
      </c>
      <c r="E57" s="155">
        <v>4</v>
      </c>
      <c r="F57" s="155">
        <v>2</v>
      </c>
      <c r="G57" s="155">
        <v>1</v>
      </c>
      <c r="H57" s="154">
        <v>2</v>
      </c>
      <c r="I57" s="154">
        <v>0</v>
      </c>
      <c r="J57" s="154">
        <v>0</v>
      </c>
      <c r="K57" s="155"/>
      <c r="L57" s="172"/>
      <c r="M57" s="206"/>
      <c r="N57" s="202"/>
      <c r="P57" s="184"/>
      <c r="Q57" s="173"/>
      <c r="R57" s="167"/>
      <c r="S57" s="184">
        <f t="shared" si="15"/>
        <v>3363.6237979953262</v>
      </c>
      <c r="T57" s="184">
        <f t="shared" si="15"/>
        <v>1121.2079326651087</v>
      </c>
      <c r="U57" s="184">
        <f t="shared" si="15"/>
        <v>560.60396633255436</v>
      </c>
      <c r="V57" s="184">
        <f t="shared" si="15"/>
        <v>280.30198316627718</v>
      </c>
      <c r="W57" s="184">
        <f t="shared" si="15"/>
        <v>560.60396633255436</v>
      </c>
      <c r="X57" s="184">
        <f t="shared" si="76"/>
        <v>0</v>
      </c>
      <c r="Y57" s="184">
        <f t="shared" si="76"/>
        <v>0</v>
      </c>
      <c r="AA57" s="167">
        <f t="shared" si="16"/>
        <v>11313965.054440502</v>
      </c>
      <c r="AB57" s="167">
        <f t="shared" si="17"/>
        <v>1257107.228271167</v>
      </c>
      <c r="AC57" s="167">
        <f t="shared" si="18"/>
        <v>314276.80706779176</v>
      </c>
      <c r="AD57" s="167">
        <f t="shared" si="19"/>
        <v>78569.201766947939</v>
      </c>
      <c r="AE57" s="167">
        <f t="shared" si="20"/>
        <v>314276.80706779176</v>
      </c>
      <c r="AF57" s="167">
        <f t="shared" si="21"/>
        <v>0</v>
      </c>
      <c r="AG57" s="167">
        <f t="shared" si="22"/>
        <v>0</v>
      </c>
      <c r="AK57" s="167"/>
      <c r="BA57" s="167"/>
      <c r="BJ57" s="201">
        <f t="shared" si="8"/>
        <v>1.5180388730072651E-4</v>
      </c>
      <c r="BK57" s="201">
        <f t="shared" si="9"/>
        <v>3.7053249330746607E-5</v>
      </c>
      <c r="BL57" s="243">
        <f t="shared" si="44"/>
        <v>2.9681821748990024E-4</v>
      </c>
      <c r="BM57" s="243">
        <f t="shared" si="45"/>
        <v>5.7327903120829474E-4</v>
      </c>
      <c r="BN57" s="243">
        <f t="shared" si="46"/>
        <v>-3.9260707273618165E-5</v>
      </c>
      <c r="BO57" s="243">
        <f t="shared" si="47"/>
        <v>-5.3365479886732846E-4</v>
      </c>
      <c r="BR57" s="200">
        <f t="shared" si="48"/>
        <v>2.3044420199611678E-8</v>
      </c>
      <c r="BS57" s="201">
        <f t="shared" si="49"/>
        <v>1.3729432859664738E-9</v>
      </c>
      <c r="BT57" s="201">
        <f t="shared" si="50"/>
        <v>8.8101054233881718E-8</v>
      </c>
      <c r="BU57" s="201">
        <f t="shared" si="51"/>
        <v>3.2864884762312097E-7</v>
      </c>
      <c r="BV57" s="201">
        <f t="shared" si="52"/>
        <v>1.5414031356247342E-9</v>
      </c>
      <c r="BW57" s="201">
        <f t="shared" si="53"/>
        <v>2.847874443541288E-7</v>
      </c>
    </row>
    <row r="58" spans="1:75" x14ac:dyDescent="0.25">
      <c r="A58" s="122">
        <v>11533</v>
      </c>
      <c r="B58" s="153">
        <v>115</v>
      </c>
      <c r="C58" s="184">
        <f>+'Sampling Weights'!R58</f>
        <v>793.40233203000582</v>
      </c>
      <c r="D58" s="155">
        <f>+SUM('Sampling Weights'!I58:N58)</f>
        <v>16</v>
      </c>
      <c r="E58" s="155">
        <v>3</v>
      </c>
      <c r="F58" s="155">
        <v>2</v>
      </c>
      <c r="G58" s="155">
        <v>0</v>
      </c>
      <c r="H58" s="154">
        <v>0</v>
      </c>
      <c r="I58" s="154">
        <v>0</v>
      </c>
      <c r="J58" s="154">
        <v>2</v>
      </c>
      <c r="K58" s="155"/>
      <c r="L58" s="172"/>
      <c r="M58" s="206"/>
      <c r="N58" s="202"/>
      <c r="P58" s="184"/>
      <c r="Q58" s="173"/>
      <c r="R58" s="167"/>
      <c r="S58" s="184">
        <f t="shared" si="15"/>
        <v>12694.437312480093</v>
      </c>
      <c r="T58" s="184">
        <f t="shared" si="15"/>
        <v>2380.2069960900176</v>
      </c>
      <c r="U58" s="184">
        <f t="shared" si="15"/>
        <v>1586.8046640600116</v>
      </c>
      <c r="V58" s="184">
        <f t="shared" si="15"/>
        <v>0</v>
      </c>
      <c r="W58" s="184">
        <f t="shared" si="15"/>
        <v>0</v>
      </c>
      <c r="X58" s="184">
        <f t="shared" si="76"/>
        <v>0</v>
      </c>
      <c r="Y58" s="184">
        <f t="shared" si="76"/>
        <v>1586.8046640600116</v>
      </c>
      <c r="AA58" s="167">
        <f t="shared" si="16"/>
        <v>161148738.6804868</v>
      </c>
      <c r="AB58" s="167">
        <f t="shared" si="17"/>
        <v>5665385.3442358654</v>
      </c>
      <c r="AC58" s="167">
        <f t="shared" si="18"/>
        <v>2517949.0418826062</v>
      </c>
      <c r="AD58" s="167">
        <f t="shared" si="19"/>
        <v>0</v>
      </c>
      <c r="AE58" s="167">
        <f t="shared" si="20"/>
        <v>0</v>
      </c>
      <c r="AF58" s="167">
        <f t="shared" si="21"/>
        <v>0</v>
      </c>
      <c r="AG58" s="167">
        <f t="shared" si="22"/>
        <v>2517949.0418826062</v>
      </c>
      <c r="AK58" s="167"/>
      <c r="BA58" s="167"/>
      <c r="BJ58" s="201">
        <f t="shared" si="8"/>
        <v>-6.1170822136341114E-5</v>
      </c>
      <c r="BK58" s="201">
        <f t="shared" si="9"/>
        <v>-4.1326605338611462E-5</v>
      </c>
      <c r="BL58" s="243">
        <f t="shared" si="44"/>
        <v>-1.1802257442771848E-3</v>
      </c>
      <c r="BM58" s="243">
        <f t="shared" si="45"/>
        <v>-2.4180736696175977E-3</v>
      </c>
      <c r="BN58" s="243">
        <f t="shared" si="46"/>
        <v>-1.1112849205051086E-4</v>
      </c>
      <c r="BO58" s="243">
        <f t="shared" si="47"/>
        <v>2.5302311291870942E-3</v>
      </c>
      <c r="BR58" s="200">
        <f t="shared" si="48"/>
        <v>3.7418694808358798E-9</v>
      </c>
      <c r="BS58" s="201">
        <f t="shared" si="49"/>
        <v>1.7078883088133493E-9</v>
      </c>
      <c r="BT58" s="201">
        <f t="shared" si="50"/>
        <v>1.3929328074546349E-6</v>
      </c>
      <c r="BU58" s="201">
        <f t="shared" si="51"/>
        <v>5.8470802716979149E-6</v>
      </c>
      <c r="BV58" s="201">
        <f t="shared" si="52"/>
        <v>1.2349541745420455E-8</v>
      </c>
      <c r="BW58" s="201">
        <f t="shared" si="53"/>
        <v>6.4020695671073973E-6</v>
      </c>
    </row>
    <row r="59" spans="1:75" x14ac:dyDescent="0.25">
      <c r="A59" s="122">
        <v>11534</v>
      </c>
      <c r="B59" s="153">
        <v>115</v>
      </c>
      <c r="C59" s="184">
        <f>+'Sampling Weights'!R59</f>
        <v>442.08457922750983</v>
      </c>
      <c r="D59" s="155">
        <f>+SUM('Sampling Weights'!I59:N59)</f>
        <v>17</v>
      </c>
      <c r="E59" s="155">
        <v>1</v>
      </c>
      <c r="F59" s="155">
        <v>1</v>
      </c>
      <c r="G59" s="155">
        <v>0</v>
      </c>
      <c r="H59" s="154">
        <v>0</v>
      </c>
      <c r="I59" s="154">
        <v>0</v>
      </c>
      <c r="J59" s="154">
        <v>1</v>
      </c>
      <c r="K59" s="155"/>
      <c r="L59" s="172"/>
      <c r="M59" s="206"/>
      <c r="N59" s="202"/>
      <c r="P59" s="184"/>
      <c r="Q59" s="173"/>
      <c r="R59" s="167"/>
      <c r="S59" s="184">
        <f t="shared" si="15"/>
        <v>7515.4378468676668</v>
      </c>
      <c r="T59" s="184">
        <f t="shared" si="15"/>
        <v>442.08457922750983</v>
      </c>
      <c r="U59" s="184">
        <f t="shared" si="15"/>
        <v>442.08457922750983</v>
      </c>
      <c r="V59" s="184">
        <f t="shared" si="15"/>
        <v>0</v>
      </c>
      <c r="W59" s="184">
        <f t="shared" si="15"/>
        <v>0</v>
      </c>
      <c r="X59" s="184">
        <f t="shared" si="76"/>
        <v>0</v>
      </c>
      <c r="Y59" s="184">
        <f t="shared" si="76"/>
        <v>442.08457922750983</v>
      </c>
      <c r="AA59" s="167">
        <f t="shared" si="16"/>
        <v>56481806.030130915</v>
      </c>
      <c r="AB59" s="167">
        <f t="shared" si="17"/>
        <v>195438.77519076443</v>
      </c>
      <c r="AC59" s="167">
        <f t="shared" si="18"/>
        <v>195438.77519076443</v>
      </c>
      <c r="AD59" s="167">
        <f t="shared" si="19"/>
        <v>0</v>
      </c>
      <c r="AE59" s="167">
        <f t="shared" si="20"/>
        <v>0</v>
      </c>
      <c r="AF59" s="167">
        <f t="shared" si="21"/>
        <v>0</v>
      </c>
      <c r="AG59" s="167">
        <f t="shared" si="22"/>
        <v>195438.77519076443</v>
      </c>
      <c r="AK59" s="167"/>
      <c r="BA59" s="167"/>
      <c r="BJ59" s="201">
        <f t="shared" si="8"/>
        <v>-3.6744503285965233E-4</v>
      </c>
      <c r="BK59" s="201">
        <f t="shared" si="9"/>
        <v>-1.9481344506354527E-4</v>
      </c>
      <c r="BL59" s="243">
        <f t="shared" si="44"/>
        <v>-3.2881148724208775E-4</v>
      </c>
      <c r="BM59" s="243">
        <f t="shared" si="45"/>
        <v>-6.7367654317254254E-4</v>
      </c>
      <c r="BN59" s="243">
        <f t="shared" si="46"/>
        <v>-3.0960453898993446E-5</v>
      </c>
      <c r="BO59" s="243">
        <f t="shared" si="47"/>
        <v>7.0492366794097086E-4</v>
      </c>
      <c r="BR59" s="200">
        <f t="shared" si="48"/>
        <v>1.3501585217323098E-7</v>
      </c>
      <c r="BS59" s="201">
        <f t="shared" si="49"/>
        <v>3.7952278377526969E-8</v>
      </c>
      <c r="BT59" s="201">
        <f t="shared" si="50"/>
        <v>1.0811699414235363E-7</v>
      </c>
      <c r="BU59" s="201">
        <f t="shared" si="51"/>
        <v>4.5384008482090657E-7</v>
      </c>
      <c r="BV59" s="201">
        <f t="shared" si="52"/>
        <v>9.5854970563169839E-10</v>
      </c>
      <c r="BW59" s="201">
        <f t="shared" si="53"/>
        <v>4.9691737762335219E-7</v>
      </c>
    </row>
    <row r="60" spans="1:75" x14ac:dyDescent="0.25">
      <c r="A60" s="122">
        <v>11535</v>
      </c>
      <c r="B60" s="153">
        <v>115</v>
      </c>
      <c r="C60" s="184">
        <f>+'Sampling Weights'!R60</f>
        <v>844.42355914319205</v>
      </c>
      <c r="D60" s="155">
        <f>+SUM('Sampling Weights'!I60:N60)</f>
        <v>13</v>
      </c>
      <c r="E60" s="155">
        <v>1</v>
      </c>
      <c r="F60" s="155">
        <v>1</v>
      </c>
      <c r="G60" s="155">
        <v>0</v>
      </c>
      <c r="H60" s="154">
        <v>0</v>
      </c>
      <c r="I60" s="154">
        <v>0</v>
      </c>
      <c r="J60" s="154">
        <v>1</v>
      </c>
      <c r="K60" s="155"/>
      <c r="L60" s="172"/>
      <c r="M60" s="172"/>
      <c r="N60" s="172"/>
      <c r="P60" s="184"/>
      <c r="Q60" s="173"/>
      <c r="R60" s="167"/>
      <c r="S60" s="184">
        <f t="shared" si="15"/>
        <v>10977.506268861496</v>
      </c>
      <c r="T60" s="184">
        <f t="shared" si="15"/>
        <v>844.42355914319205</v>
      </c>
      <c r="U60" s="184">
        <f t="shared" si="15"/>
        <v>844.42355914319205</v>
      </c>
      <c r="V60" s="184">
        <f t="shared" si="15"/>
        <v>0</v>
      </c>
      <c r="W60" s="184">
        <f t="shared" si="15"/>
        <v>0</v>
      </c>
      <c r="X60" s="184">
        <f t="shared" si="76"/>
        <v>0</v>
      </c>
      <c r="Y60" s="184">
        <f t="shared" si="76"/>
        <v>844.42355914319205</v>
      </c>
      <c r="AA60" s="167">
        <f t="shared" si="16"/>
        <v>120505643.88289344</v>
      </c>
      <c r="AB60" s="167">
        <f t="shared" si="17"/>
        <v>713051.14723605593</v>
      </c>
      <c r="AC60" s="167">
        <f t="shared" si="18"/>
        <v>713051.14723605593</v>
      </c>
      <c r="AD60" s="167">
        <f t="shared" si="19"/>
        <v>0</v>
      </c>
      <c r="AE60" s="167">
        <f t="shared" si="20"/>
        <v>0</v>
      </c>
      <c r="AF60" s="167">
        <f t="shared" si="21"/>
        <v>0</v>
      </c>
      <c r="AG60" s="167">
        <f t="shared" si="22"/>
        <v>713051.14723605593</v>
      </c>
      <c r="AK60" s="167"/>
      <c r="BA60" s="167"/>
      <c r="BJ60" s="201">
        <f t="shared" si="8"/>
        <v>-4.6865947287174422E-4</v>
      </c>
      <c r="BK60" s="201">
        <f t="shared" si="9"/>
        <v>-2.1650326110490538E-4</v>
      </c>
      <c r="BL60" s="243">
        <f t="shared" si="44"/>
        <v>-6.2806118871936486E-4</v>
      </c>
      <c r="BM60" s="243">
        <f t="shared" si="45"/>
        <v>-1.2867862192593787E-3</v>
      </c>
      <c r="BN60" s="243">
        <f t="shared" si="46"/>
        <v>-5.9137409225537395E-5</v>
      </c>
      <c r="BO60" s="243">
        <f t="shared" si="47"/>
        <v>1.3464711970888562E-3</v>
      </c>
      <c r="BR60" s="200">
        <f t="shared" si="48"/>
        <v>2.1964170151242116E-7</v>
      </c>
      <c r="BS60" s="201">
        <f t="shared" si="49"/>
        <v>4.6873662069058833E-8</v>
      </c>
      <c r="BT60" s="201">
        <f t="shared" si="50"/>
        <v>3.9446085677558162E-7</v>
      </c>
      <c r="BU60" s="201">
        <f t="shared" si="51"/>
        <v>1.6558187740758459E-6</v>
      </c>
      <c r="BV60" s="201">
        <f t="shared" si="52"/>
        <v>3.4972331699086753E-9</v>
      </c>
      <c r="BW60" s="201">
        <f t="shared" si="53"/>
        <v>1.8129846845898974E-6</v>
      </c>
    </row>
    <row r="61" spans="1:75" x14ac:dyDescent="0.25">
      <c r="A61" s="122">
        <v>11536</v>
      </c>
      <c r="B61" s="153">
        <v>115</v>
      </c>
      <c r="C61" s="184">
        <f>+'Sampling Weights'!R61</f>
        <v>957.09826032683884</v>
      </c>
      <c r="D61" s="155">
        <f>+SUM('Sampling Weights'!I61:N61)</f>
        <v>13</v>
      </c>
      <c r="E61" s="155">
        <v>1</v>
      </c>
      <c r="F61" s="155">
        <v>1</v>
      </c>
      <c r="G61" s="155">
        <v>0</v>
      </c>
      <c r="H61" s="154">
        <v>1</v>
      </c>
      <c r="I61" s="154">
        <v>0</v>
      </c>
      <c r="J61" s="154">
        <v>0</v>
      </c>
      <c r="K61" s="155"/>
      <c r="L61" s="172"/>
      <c r="M61" s="172"/>
      <c r="N61" s="172"/>
      <c r="P61" s="184"/>
      <c r="Q61" s="173"/>
      <c r="R61" s="167"/>
      <c r="S61" s="184">
        <f t="shared" si="15"/>
        <v>12442.277384248904</v>
      </c>
      <c r="T61" s="184">
        <f t="shared" si="15"/>
        <v>957.09826032683884</v>
      </c>
      <c r="U61" s="184">
        <f t="shared" si="15"/>
        <v>957.09826032683884</v>
      </c>
      <c r="V61" s="184">
        <f t="shared" si="15"/>
        <v>0</v>
      </c>
      <c r="W61" s="184">
        <f t="shared" si="15"/>
        <v>957.09826032683884</v>
      </c>
      <c r="X61" s="184">
        <f t="shared" si="76"/>
        <v>0</v>
      </c>
      <c r="Y61" s="184">
        <f t="shared" si="76"/>
        <v>0</v>
      </c>
      <c r="AA61" s="167">
        <f t="shared" si="16"/>
        <v>154810266.50659174</v>
      </c>
      <c r="AB61" s="167">
        <f t="shared" si="17"/>
        <v>916037.0799206614</v>
      </c>
      <c r="AC61" s="167">
        <f t="shared" si="18"/>
        <v>916037.0799206614</v>
      </c>
      <c r="AD61" s="167">
        <f t="shared" si="19"/>
        <v>0</v>
      </c>
      <c r="AE61" s="167">
        <f t="shared" si="20"/>
        <v>916037.0799206614</v>
      </c>
      <c r="AF61" s="167">
        <f t="shared" si="21"/>
        <v>0</v>
      </c>
      <c r="AG61" s="167">
        <f t="shared" si="22"/>
        <v>0</v>
      </c>
      <c r="AK61" s="167"/>
      <c r="BA61" s="167"/>
      <c r="BJ61" s="201">
        <f t="shared" si="8"/>
        <v>-5.3119451881040753E-4</v>
      </c>
      <c r="BK61" s="201">
        <f t="shared" si="9"/>
        <v>-2.4539212852948614E-4</v>
      </c>
      <c r="BL61" s="243">
        <f t="shared" si="44"/>
        <v>-7.1186582206688169E-4</v>
      </c>
      <c r="BM61" s="243">
        <f t="shared" si="45"/>
        <v>9.7873792624191122E-4</v>
      </c>
      <c r="BN61" s="243">
        <f t="shared" si="46"/>
        <v>-6.702834244396096E-5</v>
      </c>
      <c r="BO61" s="243">
        <f t="shared" si="47"/>
        <v>-9.1108895099754341E-4</v>
      </c>
      <c r="BR61" s="200">
        <f t="shared" si="48"/>
        <v>2.821676168142204E-7</v>
      </c>
      <c r="BS61" s="201">
        <f t="shared" si="49"/>
        <v>6.0217296744231845E-8</v>
      </c>
      <c r="BT61" s="201">
        <f t="shared" si="50"/>
        <v>5.0675294862695723E-7</v>
      </c>
      <c r="BU61" s="201">
        <f t="shared" si="51"/>
        <v>9.579279282643169E-7</v>
      </c>
      <c r="BV61" s="201">
        <f t="shared" si="52"/>
        <v>4.4927986907848982E-9</v>
      </c>
      <c r="BW61" s="201">
        <f t="shared" si="53"/>
        <v>8.3008307662980406E-7</v>
      </c>
    </row>
    <row r="62" spans="1:75" x14ac:dyDescent="0.25">
      <c r="A62" s="122">
        <v>11537</v>
      </c>
      <c r="B62" s="153">
        <v>115</v>
      </c>
      <c r="C62" s="184">
        <f>+'Sampling Weights'!R62</f>
        <v>1003.3292613445981</v>
      </c>
      <c r="D62" s="155">
        <f>+SUM('Sampling Weights'!I62:N62)</f>
        <v>10</v>
      </c>
      <c r="E62" s="155">
        <v>2</v>
      </c>
      <c r="F62" s="155">
        <v>2</v>
      </c>
      <c r="G62" s="155">
        <v>1</v>
      </c>
      <c r="H62" s="154">
        <v>2</v>
      </c>
      <c r="I62" s="154">
        <v>0</v>
      </c>
      <c r="J62" s="154">
        <v>0</v>
      </c>
      <c r="K62" s="155"/>
      <c r="L62" s="172"/>
      <c r="M62" s="172"/>
      <c r="N62" s="172"/>
      <c r="P62" s="184"/>
      <c r="Q62" s="173"/>
      <c r="R62" s="167"/>
      <c r="S62" s="184">
        <f t="shared" si="15"/>
        <v>10033.292613445981</v>
      </c>
      <c r="T62" s="184">
        <f t="shared" si="15"/>
        <v>2006.6585226891962</v>
      </c>
      <c r="U62" s="184">
        <f t="shared" si="15"/>
        <v>2006.6585226891962</v>
      </c>
      <c r="V62" s="184">
        <f t="shared" si="15"/>
        <v>1003.3292613445981</v>
      </c>
      <c r="W62" s="184">
        <f t="shared" si="15"/>
        <v>2006.6585226891962</v>
      </c>
      <c r="X62" s="184">
        <f t="shared" si="76"/>
        <v>0</v>
      </c>
      <c r="Y62" s="184">
        <f t="shared" si="76"/>
        <v>0</v>
      </c>
      <c r="AA62" s="167">
        <f t="shared" si="16"/>
        <v>100666960.66702969</v>
      </c>
      <c r="AB62" s="167">
        <f t="shared" si="17"/>
        <v>4026678.426681187</v>
      </c>
      <c r="AC62" s="167">
        <f t="shared" si="18"/>
        <v>4026678.426681187</v>
      </c>
      <c r="AD62" s="167">
        <f t="shared" si="19"/>
        <v>1006669.6066702968</v>
      </c>
      <c r="AE62" s="167">
        <f t="shared" si="20"/>
        <v>4026678.426681187</v>
      </c>
      <c r="AF62" s="167">
        <f t="shared" si="21"/>
        <v>0</v>
      </c>
      <c r="AG62" s="167">
        <f t="shared" si="22"/>
        <v>0</v>
      </c>
      <c r="AK62" s="167"/>
      <c r="BA62" s="167"/>
      <c r="BJ62" s="201">
        <f t="shared" si="8"/>
        <v>-5.3909120470044796E-6</v>
      </c>
      <c r="BK62" s="201">
        <f t="shared" si="9"/>
        <v>2.250764632375949E-4</v>
      </c>
      <c r="BL62" s="243">
        <f t="shared" si="44"/>
        <v>1.0624484334493666E-3</v>
      </c>
      <c r="BM62" s="243">
        <f t="shared" si="45"/>
        <v>2.0520283889156779E-3</v>
      </c>
      <c r="BN62" s="243">
        <f t="shared" si="46"/>
        <v>-1.4053206468160636E-4</v>
      </c>
      <c r="BO62" s="243">
        <f t="shared" si="47"/>
        <v>-1.9101951014129459E-3</v>
      </c>
      <c r="BR62" s="200">
        <f t="shared" si="48"/>
        <v>2.9061932698538028E-11</v>
      </c>
      <c r="BS62" s="201">
        <f t="shared" si="49"/>
        <v>5.0659414303544411E-8</v>
      </c>
      <c r="BT62" s="201">
        <f t="shared" si="50"/>
        <v>1.1287966737390132E-6</v>
      </c>
      <c r="BU62" s="201">
        <f t="shared" si="51"/>
        <v>4.2108205089158728E-6</v>
      </c>
      <c r="BV62" s="201">
        <f t="shared" si="52"/>
        <v>1.9749261203675194E-8</v>
      </c>
      <c r="BW62" s="201">
        <f t="shared" si="53"/>
        <v>3.6488453254620146E-6</v>
      </c>
    </row>
    <row r="63" spans="1:75" x14ac:dyDescent="0.25">
      <c r="A63" s="122">
        <v>11538</v>
      </c>
      <c r="B63" s="153">
        <v>115</v>
      </c>
      <c r="C63" s="184">
        <f>+'Sampling Weights'!R63</f>
        <v>155.43520916186714</v>
      </c>
      <c r="D63" s="155">
        <f>+SUM('Sampling Weights'!I63:N63)</f>
        <v>12</v>
      </c>
      <c r="E63" s="155">
        <v>0</v>
      </c>
      <c r="F63" s="155">
        <v>0</v>
      </c>
      <c r="G63" s="155">
        <v>0</v>
      </c>
      <c r="H63" s="154">
        <v>0</v>
      </c>
      <c r="I63" s="154">
        <v>0</v>
      </c>
      <c r="J63" s="154">
        <v>0</v>
      </c>
      <c r="K63" s="155"/>
      <c r="L63" s="172"/>
      <c r="M63" s="172"/>
      <c r="N63" s="172"/>
      <c r="P63" s="184"/>
      <c r="Q63" s="173"/>
      <c r="R63" s="167"/>
      <c r="S63" s="184">
        <f t="shared" si="15"/>
        <v>1865.2225099424056</v>
      </c>
      <c r="T63" s="184">
        <f t="shared" si="15"/>
        <v>0</v>
      </c>
      <c r="U63" s="184">
        <f t="shared" si="15"/>
        <v>0</v>
      </c>
      <c r="V63" s="184">
        <f t="shared" si="15"/>
        <v>0</v>
      </c>
      <c r="W63" s="184">
        <f t="shared" si="15"/>
        <v>0</v>
      </c>
      <c r="X63" s="184">
        <f t="shared" si="76"/>
        <v>0</v>
      </c>
      <c r="Y63" s="184">
        <f t="shared" si="76"/>
        <v>0</v>
      </c>
      <c r="AA63" s="167">
        <f t="shared" si="16"/>
        <v>3479055.0115958476</v>
      </c>
      <c r="AB63" s="167">
        <f t="shared" si="17"/>
        <v>0</v>
      </c>
      <c r="AC63" s="167">
        <f t="shared" si="18"/>
        <v>0</v>
      </c>
      <c r="AD63" s="167">
        <f t="shared" si="19"/>
        <v>0</v>
      </c>
      <c r="AE63" s="167">
        <f t="shared" si="20"/>
        <v>0</v>
      </c>
      <c r="AF63" s="167">
        <f t="shared" si="21"/>
        <v>0</v>
      </c>
      <c r="AG63" s="167">
        <f t="shared" si="22"/>
        <v>0</v>
      </c>
      <c r="AK63" s="167"/>
      <c r="BA63" s="167"/>
      <c r="BJ63" s="201">
        <f t="shared" si="8"/>
        <v>-1.2877465801490467E-4</v>
      </c>
      <c r="BK63" s="201">
        <f t="shared" si="9"/>
        <v>-8.593000544172144E-5</v>
      </c>
      <c r="BL63" s="243">
        <f t="shared" si="44"/>
        <v>0</v>
      </c>
      <c r="BM63" s="243">
        <f t="shared" si="45"/>
        <v>0</v>
      </c>
      <c r="BN63" s="243">
        <f t="shared" si="46"/>
        <v>0</v>
      </c>
      <c r="BO63" s="243">
        <f t="shared" si="47"/>
        <v>0</v>
      </c>
      <c r="BR63" s="200">
        <f t="shared" si="48"/>
        <v>1.6582912546855653E-8</v>
      </c>
      <c r="BS63" s="201">
        <f t="shared" si="49"/>
        <v>7.3839658352142764E-9</v>
      </c>
      <c r="BT63" s="201">
        <f t="shared" si="50"/>
        <v>0</v>
      </c>
      <c r="BU63" s="201">
        <f t="shared" si="51"/>
        <v>0</v>
      </c>
      <c r="BV63" s="201">
        <f t="shared" si="52"/>
        <v>0</v>
      </c>
      <c r="BW63" s="201">
        <f t="shared" si="53"/>
        <v>0</v>
      </c>
    </row>
    <row r="64" spans="1:75" x14ac:dyDescent="0.25">
      <c r="A64" s="122">
        <v>11539</v>
      </c>
      <c r="B64" s="153">
        <v>115</v>
      </c>
      <c r="C64" s="184">
        <f>+'Sampling Weights'!R64</f>
        <v>835.11024116920953</v>
      </c>
      <c r="D64" s="155">
        <f>+SUM('Sampling Weights'!I64:N64)</f>
        <v>13</v>
      </c>
      <c r="E64" s="155">
        <v>3</v>
      </c>
      <c r="F64" s="155">
        <v>2</v>
      </c>
      <c r="G64" s="155">
        <v>0</v>
      </c>
      <c r="H64" s="154">
        <v>2</v>
      </c>
      <c r="I64" s="154">
        <v>0</v>
      </c>
      <c r="J64" s="154">
        <v>0</v>
      </c>
      <c r="K64" s="155"/>
      <c r="L64" s="172"/>
      <c r="M64" s="172"/>
      <c r="N64" s="172"/>
      <c r="P64" s="184"/>
      <c r="Q64" s="173"/>
      <c r="R64" s="167"/>
      <c r="S64" s="184">
        <f t="shared" si="15"/>
        <v>10856.433135199724</v>
      </c>
      <c r="T64" s="184">
        <f t="shared" si="15"/>
        <v>2505.3307235076286</v>
      </c>
      <c r="U64" s="184">
        <f t="shared" si="15"/>
        <v>1670.2204823384191</v>
      </c>
      <c r="V64" s="184">
        <f t="shared" si="15"/>
        <v>0</v>
      </c>
      <c r="W64" s="184">
        <f t="shared" si="15"/>
        <v>1670.2204823384191</v>
      </c>
      <c r="X64" s="184">
        <f t="shared" si="76"/>
        <v>0</v>
      </c>
      <c r="Y64" s="184">
        <f t="shared" si="76"/>
        <v>0</v>
      </c>
      <c r="AA64" s="167">
        <f t="shared" si="16"/>
        <v>117862140.41906251</v>
      </c>
      <c r="AB64" s="167">
        <f t="shared" si="17"/>
        <v>6276682.0341512579</v>
      </c>
      <c r="AC64" s="167">
        <f t="shared" si="18"/>
        <v>2789636.4596227813</v>
      </c>
      <c r="AD64" s="167">
        <f t="shared" si="19"/>
        <v>0</v>
      </c>
      <c r="AE64" s="167">
        <f t="shared" si="20"/>
        <v>2789636.4596227813</v>
      </c>
      <c r="AF64" s="167">
        <f t="shared" si="21"/>
        <v>0</v>
      </c>
      <c r="AG64" s="167">
        <f t="shared" si="22"/>
        <v>0</v>
      </c>
      <c r="AK64" s="167"/>
      <c r="BA64" s="167"/>
      <c r="BJ64" s="201">
        <f t="shared" si="8"/>
        <v>1.0858114895839012E-4</v>
      </c>
      <c r="BK64" s="201">
        <f t="shared" si="9"/>
        <v>7.192043801349291E-5</v>
      </c>
      <c r="BL64" s="243">
        <f t="shared" si="44"/>
        <v>-1.2422683500508723E-3</v>
      </c>
      <c r="BM64" s="243">
        <f t="shared" si="45"/>
        <v>1.7079835989801441E-3</v>
      </c>
      <c r="BN64" s="243">
        <f t="shared" si="46"/>
        <v>-1.169703415915381E-4</v>
      </c>
      <c r="BO64" s="243">
        <f t="shared" si="47"/>
        <v>-1.5899301986701661E-3</v>
      </c>
      <c r="BR64" s="200">
        <f t="shared" si="48"/>
        <v>1.1789865909124104E-8</v>
      </c>
      <c r="BS64" s="201">
        <f t="shared" si="49"/>
        <v>5.172549404052676E-9</v>
      </c>
      <c r="BT64" s="201">
        <f t="shared" si="50"/>
        <v>1.5432306535381167E-6</v>
      </c>
      <c r="BU64" s="201">
        <f t="shared" si="51"/>
        <v>2.9172079743851655E-6</v>
      </c>
      <c r="BV64" s="201">
        <f t="shared" si="52"/>
        <v>1.3682060812041107E-8</v>
      </c>
      <c r="BW64" s="201">
        <f t="shared" si="53"/>
        <v>2.5278780366433536E-6</v>
      </c>
    </row>
    <row r="65" spans="1:75" x14ac:dyDescent="0.25">
      <c r="A65" s="122">
        <v>21519</v>
      </c>
      <c r="B65" s="153">
        <v>215</v>
      </c>
      <c r="C65" s="184">
        <f>+'Sampling Weights'!R65</f>
        <v>3527.3998362663492</v>
      </c>
      <c r="D65" s="155">
        <f>+SUM('Sampling Weights'!I65:N65)</f>
        <v>16</v>
      </c>
      <c r="E65" s="155">
        <v>1</v>
      </c>
      <c r="F65" s="155">
        <v>1</v>
      </c>
      <c r="G65" s="155">
        <v>0</v>
      </c>
      <c r="H65" s="154">
        <v>1</v>
      </c>
      <c r="I65" s="154">
        <v>0</v>
      </c>
      <c r="J65" s="154">
        <v>0</v>
      </c>
      <c r="K65" s="155"/>
      <c r="L65" s="172"/>
      <c r="M65" s="172"/>
      <c r="N65" s="172"/>
      <c r="P65" s="184"/>
      <c r="Q65" s="173"/>
      <c r="R65" s="167"/>
      <c r="S65" s="184">
        <f t="shared" si="15"/>
        <v>56438.397380261587</v>
      </c>
      <c r="T65" s="184">
        <f t="shared" si="15"/>
        <v>3527.3998362663492</v>
      </c>
      <c r="U65" s="184">
        <f t="shared" si="15"/>
        <v>3527.3998362663492</v>
      </c>
      <c r="V65" s="184">
        <f t="shared" si="15"/>
        <v>0</v>
      </c>
      <c r="W65" s="184">
        <f t="shared" si="15"/>
        <v>3527.3998362663492</v>
      </c>
      <c r="X65" s="184">
        <f t="shared" si="76"/>
        <v>0</v>
      </c>
      <c r="Y65" s="184">
        <f t="shared" si="76"/>
        <v>0</v>
      </c>
      <c r="AA65" s="167">
        <f t="shared" si="16"/>
        <v>3185292698.8523178</v>
      </c>
      <c r="AB65" s="167">
        <f t="shared" si="17"/>
        <v>12442549.604891866</v>
      </c>
      <c r="AC65" s="167">
        <f t="shared" si="18"/>
        <v>12442549.604891866</v>
      </c>
      <c r="AD65" s="167">
        <f t="shared" si="19"/>
        <v>0</v>
      </c>
      <c r="AE65" s="167">
        <f t="shared" si="20"/>
        <v>12442549.604891866</v>
      </c>
      <c r="AF65" s="167">
        <f t="shared" si="21"/>
        <v>0</v>
      </c>
      <c r="AG65" s="167">
        <f t="shared" si="22"/>
        <v>0</v>
      </c>
      <c r="AK65" s="167"/>
      <c r="BA65" s="167"/>
      <c r="BJ65" s="201">
        <f t="shared" si="8"/>
        <v>-2.6883186079069482E-3</v>
      </c>
      <c r="BK65" s="201">
        <f t="shared" si="9"/>
        <v>-1.3919137475456884E-3</v>
      </c>
      <c r="BL65" s="243">
        <f t="shared" si="44"/>
        <v>-2.6235920472207699E-3</v>
      </c>
      <c r="BM65" s="243">
        <f t="shared" si="45"/>
        <v>3.6071531460044929E-3</v>
      </c>
      <c r="BN65" s="243">
        <f t="shared" si="46"/>
        <v>-2.4703395039219107E-4</v>
      </c>
      <c r="BO65" s="243">
        <f t="shared" si="47"/>
        <v>-3.3578318442197825E-3</v>
      </c>
      <c r="BR65" s="200">
        <f t="shared" si="48"/>
        <v>7.2270569376187514E-6</v>
      </c>
      <c r="BS65" s="201">
        <f t="shared" si="49"/>
        <v>1.9374238806066824E-6</v>
      </c>
      <c r="BT65" s="201">
        <f t="shared" si="50"/>
        <v>6.8832352302400709E-6</v>
      </c>
      <c r="BU65" s="201">
        <f t="shared" si="51"/>
        <v>1.3011553818730111E-5</v>
      </c>
      <c r="BV65" s="201">
        <f t="shared" si="52"/>
        <v>6.1025772646371517E-8</v>
      </c>
      <c r="BW65" s="201">
        <f t="shared" si="53"/>
        <v>1.1275034694056426E-5</v>
      </c>
    </row>
    <row r="66" spans="1:75" x14ac:dyDescent="0.25">
      <c r="A66" s="122">
        <v>21520</v>
      </c>
      <c r="B66" s="153">
        <v>215</v>
      </c>
      <c r="C66" s="184">
        <f>+'Sampling Weights'!R66</f>
        <v>1300.5556977803974</v>
      </c>
      <c r="D66" s="155">
        <f>+SUM('Sampling Weights'!I66:N66)</f>
        <v>11</v>
      </c>
      <c r="E66" s="155">
        <v>4</v>
      </c>
      <c r="F66" s="155">
        <v>4</v>
      </c>
      <c r="G66" s="155">
        <v>3</v>
      </c>
      <c r="H66" s="154">
        <v>2</v>
      </c>
      <c r="I66" s="154">
        <v>0</v>
      </c>
      <c r="J66" s="154">
        <v>2</v>
      </c>
      <c r="K66" s="155"/>
      <c r="L66" s="172"/>
      <c r="M66" s="172"/>
      <c r="N66" s="172"/>
      <c r="P66" s="184"/>
      <c r="Q66" s="173"/>
      <c r="R66" s="167"/>
      <c r="S66" s="184">
        <f t="shared" si="15"/>
        <v>14306.112675584371</v>
      </c>
      <c r="T66" s="184">
        <f t="shared" si="15"/>
        <v>5202.2227911215896</v>
      </c>
      <c r="U66" s="184">
        <f t="shared" si="15"/>
        <v>5202.2227911215896</v>
      </c>
      <c r="V66" s="184">
        <f t="shared" si="15"/>
        <v>3901.6670933411924</v>
      </c>
      <c r="W66" s="184">
        <f t="shared" si="15"/>
        <v>2601.1113955607948</v>
      </c>
      <c r="X66" s="184">
        <f t="shared" si="76"/>
        <v>0</v>
      </c>
      <c r="Y66" s="184">
        <f t="shared" si="76"/>
        <v>2601.1113955607948</v>
      </c>
      <c r="AA66" s="167">
        <f t="shared" si="16"/>
        <v>204664859.8865158</v>
      </c>
      <c r="AB66" s="167">
        <f t="shared" si="17"/>
        <v>27063121.968464904</v>
      </c>
      <c r="AC66" s="167">
        <f t="shared" si="18"/>
        <v>27063121.968464904</v>
      </c>
      <c r="AD66" s="167">
        <f t="shared" si="19"/>
        <v>15223006.107261509</v>
      </c>
      <c r="AE66" s="167">
        <f t="shared" si="20"/>
        <v>6765780.4921162259</v>
      </c>
      <c r="AF66" s="167">
        <f t="shared" si="21"/>
        <v>0</v>
      </c>
      <c r="AG66" s="167">
        <f t="shared" si="22"/>
        <v>6765780.4921162259</v>
      </c>
      <c r="AK66" s="167"/>
      <c r="BA66" s="167"/>
      <c r="BJ66" s="201">
        <f t="shared" si="8"/>
        <v>7.9413554664952107E-4</v>
      </c>
      <c r="BK66" s="201">
        <f t="shared" si="9"/>
        <v>1.1227507247266674E-3</v>
      </c>
      <c r="BL66" s="243">
        <f t="shared" si="44"/>
        <v>6.0662068321961091E-3</v>
      </c>
      <c r="BM66" s="243">
        <f t="shared" si="45"/>
        <v>-1.3038170113409133E-3</v>
      </c>
      <c r="BN66" s="243">
        <f t="shared" si="46"/>
        <v>-3.6432661636434297E-4</v>
      </c>
      <c r="BO66" s="243">
        <f t="shared" si="47"/>
        <v>1.6715170223012216E-3</v>
      </c>
      <c r="BR66" s="200">
        <f t="shared" si="48"/>
        <v>6.3065126645233368E-7</v>
      </c>
      <c r="BS66" s="201">
        <f t="shared" si="49"/>
        <v>1.2605691898742568E-6</v>
      </c>
      <c r="BT66" s="201">
        <f t="shared" si="50"/>
        <v>3.6798865330982754E-5</v>
      </c>
      <c r="BU66" s="201">
        <f t="shared" si="51"/>
        <v>1.6999387990619512E-6</v>
      </c>
      <c r="BV66" s="201">
        <f t="shared" si="52"/>
        <v>1.3273388339149114E-7</v>
      </c>
      <c r="BW66" s="201">
        <f t="shared" si="53"/>
        <v>2.7939691558427426E-6</v>
      </c>
    </row>
    <row r="67" spans="1:75" x14ac:dyDescent="0.25">
      <c r="A67" s="122">
        <v>21521</v>
      </c>
      <c r="B67" s="153">
        <v>215</v>
      </c>
      <c r="C67" s="184">
        <f>+'Sampling Weights'!R67</f>
        <v>1584.910317474476</v>
      </c>
      <c r="D67" s="155">
        <f>+SUM('Sampling Weights'!I67:N67)</f>
        <v>13</v>
      </c>
      <c r="E67" s="155">
        <v>2</v>
      </c>
      <c r="F67" s="155">
        <v>2</v>
      </c>
      <c r="G67" s="155">
        <v>1</v>
      </c>
      <c r="H67" s="154">
        <v>0</v>
      </c>
      <c r="I67" s="154">
        <v>0</v>
      </c>
      <c r="J67" s="154">
        <v>2</v>
      </c>
      <c r="K67" s="155"/>
      <c r="L67" s="172"/>
      <c r="M67" s="172"/>
      <c r="N67" s="172"/>
      <c r="P67" s="184"/>
      <c r="Q67" s="173"/>
      <c r="R67" s="167"/>
      <c r="S67" s="184">
        <f t="shared" si="15"/>
        <v>20603.834127168186</v>
      </c>
      <c r="T67" s="184">
        <f t="shared" si="15"/>
        <v>3169.8206349489519</v>
      </c>
      <c r="U67" s="184">
        <f t="shared" si="15"/>
        <v>3169.8206349489519</v>
      </c>
      <c r="V67" s="184">
        <f t="shared" si="15"/>
        <v>1584.910317474476</v>
      </c>
      <c r="W67" s="184">
        <f t="shared" si="15"/>
        <v>0</v>
      </c>
      <c r="X67" s="184">
        <f t="shared" si="76"/>
        <v>0</v>
      </c>
      <c r="Y67" s="184">
        <f t="shared" si="76"/>
        <v>3169.8206349489519</v>
      </c>
      <c r="AA67" s="167">
        <f t="shared" si="16"/>
        <v>424517980.73986042</v>
      </c>
      <c r="AB67" s="167">
        <f t="shared" si="17"/>
        <v>10047762.857748177</v>
      </c>
      <c r="AC67" s="167">
        <f t="shared" si="18"/>
        <v>10047762.857748177</v>
      </c>
      <c r="AD67" s="167">
        <f t="shared" si="19"/>
        <v>2511940.7144370442</v>
      </c>
      <c r="AE67" s="167">
        <f t="shared" si="20"/>
        <v>0</v>
      </c>
      <c r="AF67" s="167">
        <f t="shared" si="21"/>
        <v>0</v>
      </c>
      <c r="AG67" s="167">
        <f t="shared" si="22"/>
        <v>10047762.857748177</v>
      </c>
      <c r="AK67" s="167"/>
      <c r="BA67" s="167"/>
      <c r="BJ67" s="201">
        <f t="shared" si="8"/>
        <v>-3.3678161076177506E-4</v>
      </c>
      <c r="BK67" s="201">
        <f t="shared" si="9"/>
        <v>1.3649388862155325E-4</v>
      </c>
      <c r="BL67" s="243">
        <f t="shared" si="44"/>
        <v>1.6782979913312396E-3</v>
      </c>
      <c r="BM67" s="243">
        <f t="shared" si="45"/>
        <v>-4.8303738880935863E-3</v>
      </c>
      <c r="BN67" s="243">
        <f t="shared" si="46"/>
        <v>-2.2199165102727969E-4</v>
      </c>
      <c r="BO67" s="243">
        <f t="shared" si="47"/>
        <v>5.0544210173711183E-3</v>
      </c>
      <c r="BR67" s="200">
        <f t="shared" si="48"/>
        <v>1.1342185334729575E-7</v>
      </c>
      <c r="BS67" s="201">
        <f t="shared" si="49"/>
        <v>1.8630581631032983E-8</v>
      </c>
      <c r="BT67" s="201">
        <f t="shared" si="50"/>
        <v>2.8166841477064736E-6</v>
      </c>
      <c r="BU67" s="201">
        <f t="shared" si="51"/>
        <v>2.3332511898776351E-5</v>
      </c>
      <c r="BV67" s="201">
        <f t="shared" si="52"/>
        <v>4.9280293125817526E-8</v>
      </c>
      <c r="BW67" s="201">
        <f t="shared" si="53"/>
        <v>2.5547171820842891E-5</v>
      </c>
    </row>
    <row r="68" spans="1:75" x14ac:dyDescent="0.25">
      <c r="A68" s="122">
        <v>21522</v>
      </c>
      <c r="B68" s="153">
        <v>215</v>
      </c>
      <c r="C68" s="184">
        <f>+'Sampling Weights'!R68</f>
        <v>3334.9828433447638</v>
      </c>
      <c r="D68" s="155">
        <f>+SUM('Sampling Weights'!I68:N68)</f>
        <v>11</v>
      </c>
      <c r="E68" s="155">
        <v>0</v>
      </c>
      <c r="F68" s="155">
        <v>0</v>
      </c>
      <c r="G68" s="155">
        <v>0</v>
      </c>
      <c r="H68" s="154">
        <v>0</v>
      </c>
      <c r="I68" s="154">
        <v>0</v>
      </c>
      <c r="J68" s="154">
        <v>0</v>
      </c>
      <c r="K68" s="155"/>
      <c r="L68" s="172"/>
      <c r="M68" s="172"/>
      <c r="N68" s="172"/>
      <c r="P68" s="184"/>
      <c r="Q68" s="173"/>
      <c r="R68" s="167"/>
      <c r="S68" s="184">
        <f t="shared" si="15"/>
        <v>36684.811276792403</v>
      </c>
      <c r="T68" s="184">
        <f t="shared" si="15"/>
        <v>0</v>
      </c>
      <c r="U68" s="184">
        <f t="shared" si="15"/>
        <v>0</v>
      </c>
      <c r="V68" s="184">
        <f t="shared" si="15"/>
        <v>0</v>
      </c>
      <c r="W68" s="184">
        <f t="shared" ref="W68:Y131" si="93">+$C68*H68</f>
        <v>0</v>
      </c>
      <c r="X68" s="184">
        <f t="shared" si="76"/>
        <v>0</v>
      </c>
      <c r="Y68" s="184">
        <f t="shared" si="76"/>
        <v>0</v>
      </c>
      <c r="AA68" s="167">
        <f t="shared" si="16"/>
        <v>1345775378.4138751</v>
      </c>
      <c r="AB68" s="167">
        <f t="shared" si="17"/>
        <v>0</v>
      </c>
      <c r="AC68" s="167">
        <f t="shared" si="18"/>
        <v>0</v>
      </c>
      <c r="AD68" s="167">
        <f t="shared" si="19"/>
        <v>0</v>
      </c>
      <c r="AE68" s="167">
        <f t="shared" si="20"/>
        <v>0</v>
      </c>
      <c r="AF68" s="167">
        <f t="shared" si="21"/>
        <v>0</v>
      </c>
      <c r="AG68" s="167">
        <f t="shared" si="22"/>
        <v>0</v>
      </c>
      <c r="AK68" s="167"/>
      <c r="BA68" s="167"/>
      <c r="BJ68" s="201">
        <f t="shared" si="8"/>
        <v>-2.5327133901338829E-3</v>
      </c>
      <c r="BK68" s="201">
        <f t="shared" si="9"/>
        <v>-1.6900536079958806E-3</v>
      </c>
      <c r="BL68" s="243">
        <f t="shared" si="44"/>
        <v>0</v>
      </c>
      <c r="BM68" s="243">
        <f t="shared" si="45"/>
        <v>0</v>
      </c>
      <c r="BN68" s="243">
        <f t="shared" si="46"/>
        <v>0</v>
      </c>
      <c r="BO68" s="243">
        <f t="shared" si="47"/>
        <v>0</v>
      </c>
      <c r="BR68" s="200">
        <f t="shared" si="48"/>
        <v>6.4146371165634666E-6</v>
      </c>
      <c r="BS68" s="201">
        <f t="shared" si="49"/>
        <v>2.8562811978998937E-6</v>
      </c>
      <c r="BT68" s="201">
        <f t="shared" si="50"/>
        <v>0</v>
      </c>
      <c r="BU68" s="201">
        <f t="shared" si="51"/>
        <v>0</v>
      </c>
      <c r="BV68" s="201">
        <f t="shared" si="52"/>
        <v>0</v>
      </c>
      <c r="BW68" s="201">
        <f t="shared" si="53"/>
        <v>0</v>
      </c>
    </row>
    <row r="69" spans="1:75" x14ac:dyDescent="0.25">
      <c r="A69" s="122">
        <v>21523</v>
      </c>
      <c r="B69" s="153">
        <v>215</v>
      </c>
      <c r="C69" s="184">
        <f>+'Sampling Weights'!R69</f>
        <v>3184.937824190607</v>
      </c>
      <c r="D69" s="155">
        <f>+SUM('Sampling Weights'!I69:N69)</f>
        <v>16</v>
      </c>
      <c r="E69" s="155">
        <v>0</v>
      </c>
      <c r="F69" s="155">
        <v>0</v>
      </c>
      <c r="G69" s="155">
        <v>0</v>
      </c>
      <c r="H69" s="154">
        <v>0</v>
      </c>
      <c r="I69" s="154">
        <v>0</v>
      </c>
      <c r="J69" s="154">
        <v>0</v>
      </c>
      <c r="K69" s="155"/>
      <c r="L69" s="172"/>
      <c r="M69" s="172"/>
      <c r="N69" s="172"/>
      <c r="P69" s="184"/>
      <c r="Q69" s="173"/>
      <c r="R69" s="167"/>
      <c r="S69" s="184">
        <f t="shared" si="15"/>
        <v>50959.005187049712</v>
      </c>
      <c r="T69" s="184">
        <f t="shared" si="15"/>
        <v>0</v>
      </c>
      <c r="U69" s="184">
        <f t="shared" si="15"/>
        <v>0</v>
      </c>
      <c r="V69" s="184">
        <f t="shared" si="15"/>
        <v>0</v>
      </c>
      <c r="W69" s="184">
        <f t="shared" si="93"/>
        <v>0</v>
      </c>
      <c r="X69" s="184">
        <f t="shared" si="76"/>
        <v>0</v>
      </c>
      <c r="Y69" s="184">
        <f t="shared" si="76"/>
        <v>0</v>
      </c>
      <c r="AA69" s="167">
        <f t="shared" si="16"/>
        <v>2596820209.6537595</v>
      </c>
      <c r="AB69" s="167">
        <f t="shared" si="17"/>
        <v>0</v>
      </c>
      <c r="AC69" s="167">
        <f t="shared" si="18"/>
        <v>0</v>
      </c>
      <c r="AD69" s="167">
        <f t="shared" si="19"/>
        <v>0</v>
      </c>
      <c r="AE69" s="167">
        <f t="shared" si="20"/>
        <v>0</v>
      </c>
      <c r="AF69" s="167">
        <f t="shared" si="21"/>
        <v>0</v>
      </c>
      <c r="AG69" s="167">
        <f t="shared" si="22"/>
        <v>0</v>
      </c>
      <c r="AK69" s="167"/>
      <c r="BA69" s="167"/>
      <c r="BJ69" s="201">
        <f t="shared" si="8"/>
        <v>-3.5182014106964156E-3</v>
      </c>
      <c r="BK69" s="201">
        <f t="shared" si="9"/>
        <v>-2.3476596329320009E-3</v>
      </c>
      <c r="BL69" s="243">
        <f t="shared" si="44"/>
        <v>0</v>
      </c>
      <c r="BM69" s="243">
        <f t="shared" si="45"/>
        <v>0</v>
      </c>
      <c r="BN69" s="243">
        <f t="shared" si="46"/>
        <v>0</v>
      </c>
      <c r="BO69" s="243">
        <f t="shared" si="47"/>
        <v>0</v>
      </c>
      <c r="BR69" s="200">
        <f t="shared" si="48"/>
        <v>1.2377741166226249E-5</v>
      </c>
      <c r="BS69" s="201">
        <f t="shared" si="49"/>
        <v>5.511505752098417E-6</v>
      </c>
      <c r="BT69" s="201">
        <f t="shared" si="50"/>
        <v>0</v>
      </c>
      <c r="BU69" s="201">
        <f t="shared" si="51"/>
        <v>0</v>
      </c>
      <c r="BV69" s="201">
        <f t="shared" si="52"/>
        <v>0</v>
      </c>
      <c r="BW69" s="201">
        <f t="shared" si="53"/>
        <v>0</v>
      </c>
    </row>
    <row r="70" spans="1:75" x14ac:dyDescent="0.25">
      <c r="A70" s="122">
        <v>21524</v>
      </c>
      <c r="B70" s="153">
        <v>215</v>
      </c>
      <c r="C70" s="184">
        <f>+'Sampling Weights'!R70</f>
        <v>2678.5911803547788</v>
      </c>
      <c r="D70" s="155">
        <f>+SUM('Sampling Weights'!I70:N70)</f>
        <v>10</v>
      </c>
      <c r="E70" s="155">
        <v>3</v>
      </c>
      <c r="F70" s="155">
        <v>3</v>
      </c>
      <c r="G70" s="155">
        <v>1</v>
      </c>
      <c r="H70" s="154">
        <v>1</v>
      </c>
      <c r="I70" s="154">
        <v>0</v>
      </c>
      <c r="J70" s="154">
        <v>2</v>
      </c>
      <c r="K70" s="155"/>
      <c r="L70" s="172"/>
      <c r="M70" s="172"/>
      <c r="N70" s="172"/>
      <c r="P70" s="184"/>
      <c r="Q70" s="173"/>
      <c r="R70" s="167"/>
      <c r="S70" s="184">
        <f t="shared" si="15"/>
        <v>26785.911803547788</v>
      </c>
      <c r="T70" s="184">
        <f t="shared" si="15"/>
        <v>8035.7735410643363</v>
      </c>
      <c r="U70" s="184">
        <f t="shared" si="15"/>
        <v>8035.7735410643363</v>
      </c>
      <c r="V70" s="184">
        <f t="shared" si="15"/>
        <v>2678.5911803547788</v>
      </c>
      <c r="W70" s="184">
        <f t="shared" si="93"/>
        <v>2678.5911803547788</v>
      </c>
      <c r="X70" s="184">
        <f t="shared" si="76"/>
        <v>0</v>
      </c>
      <c r="Y70" s="184">
        <f t="shared" si="76"/>
        <v>5357.1823607095575</v>
      </c>
      <c r="AA70" s="167">
        <f t="shared" si="16"/>
        <v>717485071.14744067</v>
      </c>
      <c r="AB70" s="167">
        <f t="shared" si="17"/>
        <v>64573656.403269663</v>
      </c>
      <c r="AC70" s="167">
        <f t="shared" si="18"/>
        <v>64573656.403269663</v>
      </c>
      <c r="AD70" s="167">
        <f t="shared" si="19"/>
        <v>7174850.7114744065</v>
      </c>
      <c r="AE70" s="167">
        <f t="shared" si="20"/>
        <v>7174850.7114744065</v>
      </c>
      <c r="AF70" s="167">
        <f t="shared" si="21"/>
        <v>0</v>
      </c>
      <c r="AG70" s="167">
        <f t="shared" si="22"/>
        <v>28699402.845897626</v>
      </c>
      <c r="AK70" s="167"/>
      <c r="BA70" s="167"/>
      <c r="BJ70" s="201">
        <f t="shared" si="8"/>
        <v>9.0305929068740872E-4</v>
      </c>
      <c r="BK70" s="201">
        <f t="shared" si="9"/>
        <v>1.5183387433862559E-3</v>
      </c>
      <c r="BL70" s="243">
        <f t="shared" si="44"/>
        <v>8.4415248105557084E-4</v>
      </c>
      <c r="BM70" s="243">
        <f t="shared" si="45"/>
        <v>-5.4244613134496874E-3</v>
      </c>
      <c r="BN70" s="243">
        <f t="shared" si="46"/>
        <v>-5.6276832070371386E-4</v>
      </c>
      <c r="BO70" s="243">
        <f t="shared" si="47"/>
        <v>5.9924404519376938E-3</v>
      </c>
      <c r="BR70" s="200">
        <f t="shared" si="48"/>
        <v>8.1551608249684577E-7</v>
      </c>
      <c r="BS70" s="201">
        <f t="shared" si="49"/>
        <v>2.3053525396677545E-6</v>
      </c>
      <c r="BT70" s="201">
        <f t="shared" si="50"/>
        <v>7.1259341127227587E-7</v>
      </c>
      <c r="BU70" s="201">
        <f t="shared" si="51"/>
        <v>2.9424780541112309E-5</v>
      </c>
      <c r="BV70" s="201">
        <f t="shared" si="52"/>
        <v>3.1670818278767812E-7</v>
      </c>
      <c r="BW70" s="201">
        <f t="shared" si="53"/>
        <v>3.5909342570019231E-5</v>
      </c>
    </row>
    <row r="71" spans="1:75" x14ac:dyDescent="0.25">
      <c r="A71" s="122">
        <v>21525</v>
      </c>
      <c r="B71" s="153">
        <v>215</v>
      </c>
      <c r="C71" s="184">
        <f>+'Sampling Weights'!R71</f>
        <v>2701.0548052793451</v>
      </c>
      <c r="D71" s="155">
        <f>+SUM('Sampling Weights'!I71:N71)</f>
        <v>15</v>
      </c>
      <c r="E71" s="155">
        <v>3</v>
      </c>
      <c r="F71" s="155">
        <v>1</v>
      </c>
      <c r="G71" s="155">
        <v>0</v>
      </c>
      <c r="H71" s="154">
        <v>0</v>
      </c>
      <c r="I71" s="154">
        <v>0</v>
      </c>
      <c r="J71" s="154">
        <v>1</v>
      </c>
      <c r="K71" s="155"/>
      <c r="L71" s="172"/>
      <c r="M71" s="172"/>
      <c r="N71" s="172"/>
      <c r="P71" s="184"/>
      <c r="Q71" s="173"/>
      <c r="R71" s="167"/>
      <c r="S71" s="184">
        <f t="shared" si="15"/>
        <v>40515.822079190177</v>
      </c>
      <c r="T71" s="184">
        <f t="shared" si="15"/>
        <v>8103.164415838035</v>
      </c>
      <c r="U71" s="184">
        <f t="shared" si="15"/>
        <v>2701.0548052793451</v>
      </c>
      <c r="V71" s="184">
        <f t="shared" si="15"/>
        <v>0</v>
      </c>
      <c r="W71" s="184">
        <f t="shared" si="93"/>
        <v>0</v>
      </c>
      <c r="X71" s="184">
        <f t="shared" si="76"/>
        <v>0</v>
      </c>
      <c r="Y71" s="184">
        <f t="shared" si="76"/>
        <v>2701.0548052793451</v>
      </c>
      <c r="AA71" s="167">
        <f t="shared" si="16"/>
        <v>1641531838.7525942</v>
      </c>
      <c r="AB71" s="167">
        <f t="shared" si="17"/>
        <v>65661273.550103761</v>
      </c>
      <c r="AC71" s="167">
        <f t="shared" si="18"/>
        <v>7295697.061122641</v>
      </c>
      <c r="AD71" s="167">
        <f t="shared" si="19"/>
        <v>0</v>
      </c>
      <c r="AE71" s="167">
        <f t="shared" si="20"/>
        <v>0</v>
      </c>
      <c r="AF71" s="167">
        <f t="shared" si="21"/>
        <v>0</v>
      </c>
      <c r="AG71" s="167">
        <f t="shared" si="22"/>
        <v>7295697.061122641</v>
      </c>
      <c r="AK71" s="167"/>
      <c r="BA71" s="167"/>
      <c r="BJ71" s="201">
        <f t="shared" si="8"/>
        <v>-2.1769247818835431E-5</v>
      </c>
      <c r="BK71" s="201">
        <f t="shared" si="9"/>
        <v>-9.4140114039268404E-4</v>
      </c>
      <c r="BL71" s="243">
        <f t="shared" si="44"/>
        <v>-2.0089772169800727E-3</v>
      </c>
      <c r="BM71" s="243">
        <f t="shared" si="45"/>
        <v>-4.1160387619033753E-3</v>
      </c>
      <c r="BN71" s="243">
        <f t="shared" si="46"/>
        <v>-1.8916263246194232E-4</v>
      </c>
      <c r="BO71" s="243">
        <f t="shared" si="47"/>
        <v>4.3069529002214462E-3</v>
      </c>
      <c r="BR71" s="200">
        <f t="shared" si="48"/>
        <v>4.7390015059787119E-10</v>
      </c>
      <c r="BS71" s="201">
        <f t="shared" si="49"/>
        <v>8.8623610713264598E-7</v>
      </c>
      <c r="BT71" s="201">
        <f t="shared" si="50"/>
        <v>4.0359894583449979E-6</v>
      </c>
      <c r="BU71" s="201">
        <f t="shared" si="51"/>
        <v>1.694177508949107E-5</v>
      </c>
      <c r="BV71" s="201">
        <f t="shared" si="52"/>
        <v>3.5782501519931872E-8</v>
      </c>
      <c r="BW71" s="201">
        <f t="shared" si="53"/>
        <v>1.8549843284725928E-5</v>
      </c>
    </row>
    <row r="72" spans="1:75" x14ac:dyDescent="0.25">
      <c r="A72" s="122">
        <v>21526</v>
      </c>
      <c r="B72" s="153">
        <v>215</v>
      </c>
      <c r="C72" s="184">
        <f>+'Sampling Weights'!R72</f>
        <v>984.68032488449853</v>
      </c>
      <c r="D72" s="155">
        <f>+SUM('Sampling Weights'!I72:N72)</f>
        <v>12</v>
      </c>
      <c r="E72" s="155">
        <v>3</v>
      </c>
      <c r="F72" s="155">
        <v>1</v>
      </c>
      <c r="G72" s="155">
        <v>0</v>
      </c>
      <c r="H72" s="154">
        <v>1</v>
      </c>
      <c r="I72" s="154">
        <v>0</v>
      </c>
      <c r="J72" s="154">
        <v>0</v>
      </c>
      <c r="K72" s="155"/>
      <c r="L72" s="172"/>
      <c r="M72" s="172"/>
      <c r="N72" s="172"/>
      <c r="P72" s="184"/>
      <c r="Q72" s="173"/>
      <c r="R72" s="167"/>
      <c r="S72" s="184">
        <f t="shared" si="15"/>
        <v>11816.163898613982</v>
      </c>
      <c r="T72" s="184">
        <f t="shared" si="15"/>
        <v>2954.0409746534956</v>
      </c>
      <c r="U72" s="184">
        <f t="shared" si="15"/>
        <v>984.68032488449853</v>
      </c>
      <c r="V72" s="184">
        <f t="shared" si="15"/>
        <v>0</v>
      </c>
      <c r="W72" s="184">
        <f t="shared" si="93"/>
        <v>984.68032488449853</v>
      </c>
      <c r="X72" s="184">
        <f t="shared" si="76"/>
        <v>0</v>
      </c>
      <c r="Y72" s="184">
        <f t="shared" si="76"/>
        <v>0</v>
      </c>
      <c r="AA72" s="167">
        <f t="shared" si="16"/>
        <v>139621729.2789084</v>
      </c>
      <c r="AB72" s="167">
        <f t="shared" si="17"/>
        <v>8726358.0799317751</v>
      </c>
      <c r="AC72" s="167">
        <f t="shared" si="18"/>
        <v>969595.34221464163</v>
      </c>
      <c r="AD72" s="167">
        <f t="shared" si="19"/>
        <v>0</v>
      </c>
      <c r="AE72" s="167">
        <f t="shared" si="20"/>
        <v>969595.34221464163</v>
      </c>
      <c r="AF72" s="167">
        <f t="shared" si="21"/>
        <v>0</v>
      </c>
      <c r="AG72" s="167">
        <f t="shared" si="22"/>
        <v>0</v>
      </c>
      <c r="AK72" s="167"/>
      <c r="BA72" s="167"/>
      <c r="BJ72" s="201">
        <f t="shared" ref="BJ72:BJ135" si="94">+(T72-$M$16*S72)/$M$8</f>
        <v>1.9601044101761166E-4</v>
      </c>
      <c r="BK72" s="201">
        <f t="shared" ref="BK72:BK135" si="95">+(U72-$M$17*S72)/$M$8</f>
        <v>-2.0710014065085695E-4</v>
      </c>
      <c r="BL72" s="243">
        <f t="shared" si="44"/>
        <v>-7.3238067396300263E-4</v>
      </c>
      <c r="BM72" s="243">
        <f t="shared" si="45"/>
        <v>1.0069436118915914E-3</v>
      </c>
      <c r="BN72" s="243">
        <f t="shared" si="46"/>
        <v>-6.8959993712296681E-5</v>
      </c>
      <c r="BO72" s="243">
        <f t="shared" si="47"/>
        <v>-9.3734509971899556E-4</v>
      </c>
      <c r="BR72" s="200">
        <f t="shared" si="48"/>
        <v>3.8420092987918619E-8</v>
      </c>
      <c r="BS72" s="201">
        <f t="shared" si="49"/>
        <v>4.2890468257604728E-8</v>
      </c>
      <c r="BT72" s="201">
        <f t="shared" si="50"/>
        <v>5.3638145159450194E-7</v>
      </c>
      <c r="BU72" s="201">
        <f t="shared" si="51"/>
        <v>1.0139354375292838E-6</v>
      </c>
      <c r="BV72" s="201">
        <f t="shared" si="52"/>
        <v>4.755480732799998E-9</v>
      </c>
      <c r="BW72" s="201">
        <f t="shared" si="53"/>
        <v>8.7861583596721368E-7</v>
      </c>
    </row>
    <row r="73" spans="1:75" x14ac:dyDescent="0.25">
      <c r="A73" s="122">
        <v>21527</v>
      </c>
      <c r="B73" s="153">
        <v>215</v>
      </c>
      <c r="C73" s="184">
        <f>+'Sampling Weights'!R73</f>
        <v>4192.7824138150672</v>
      </c>
      <c r="D73" s="155">
        <f>+SUM('Sampling Weights'!I73:N73)</f>
        <v>13</v>
      </c>
      <c r="E73" s="155">
        <v>1</v>
      </c>
      <c r="F73" s="155">
        <v>1</v>
      </c>
      <c r="G73" s="155">
        <v>0</v>
      </c>
      <c r="H73" s="154">
        <v>1</v>
      </c>
      <c r="I73" s="154">
        <v>0</v>
      </c>
      <c r="J73" s="154">
        <v>0</v>
      </c>
      <c r="K73" s="155"/>
      <c r="L73" s="172"/>
      <c r="M73" s="172"/>
      <c r="N73" s="172"/>
      <c r="P73" s="184"/>
      <c r="Q73" s="173"/>
      <c r="R73" s="167"/>
      <c r="S73" s="184">
        <f t="shared" ref="S73:V136" si="96">+$C73*D73</f>
        <v>54506.171379595871</v>
      </c>
      <c r="T73" s="184">
        <f t="shared" si="96"/>
        <v>4192.7824138150672</v>
      </c>
      <c r="U73" s="184">
        <f t="shared" si="96"/>
        <v>4192.7824138150672</v>
      </c>
      <c r="V73" s="184">
        <f t="shared" si="96"/>
        <v>0</v>
      </c>
      <c r="W73" s="184">
        <f t="shared" si="93"/>
        <v>4192.7824138150672</v>
      </c>
      <c r="X73" s="184">
        <f t="shared" si="76"/>
        <v>0</v>
      </c>
      <c r="Y73" s="184">
        <f t="shared" si="76"/>
        <v>0</v>
      </c>
      <c r="AA73" s="167">
        <f t="shared" ref="AA73:AA136" si="97">+S73*S73</f>
        <v>2970922718.4618759</v>
      </c>
      <c r="AB73" s="167">
        <f t="shared" ref="AB73:AB136" si="98">+T73*T73</f>
        <v>17579424.369596902</v>
      </c>
      <c r="AC73" s="167">
        <f t="shared" ref="AC73:AC136" si="99">+U73*U73</f>
        <v>17579424.369596902</v>
      </c>
      <c r="AD73" s="167">
        <f t="shared" ref="AD73:AD136" si="100">+V73*V73</f>
        <v>0</v>
      </c>
      <c r="AE73" s="167">
        <f t="shared" ref="AE73:AE136" si="101">+W73*W73</f>
        <v>17579424.369596902</v>
      </c>
      <c r="AF73" s="167">
        <f t="shared" ref="AF73:AF136" si="102">+X73*X73</f>
        <v>0</v>
      </c>
      <c r="AG73" s="167">
        <f t="shared" ref="AG73:AG136" si="103">+Y73*Y73</f>
        <v>0</v>
      </c>
      <c r="AK73" s="167"/>
      <c r="BA73" s="167"/>
      <c r="BJ73" s="201">
        <f t="shared" si="94"/>
        <v>-2.327016074632374E-3</v>
      </c>
      <c r="BK73" s="201">
        <f t="shared" si="95"/>
        <v>-1.0749949546828409E-3</v>
      </c>
      <c r="BL73" s="243">
        <f t="shared" ref="BL73:BL136" si="104">+(V73-$M$21*$U73)/$M$10</f>
        <v>-3.1184870179774274E-3</v>
      </c>
      <c r="BM73" s="243">
        <f t="shared" ref="BM73:BM136" si="105">+(W73-$M$18*$U73)/$M$10</f>
        <v>4.2875797971668721E-3</v>
      </c>
      <c r="BN73" s="243">
        <f t="shared" ref="BN73:BN136" si="106">+(X73-$M$19*$U73)/$M$10</f>
        <v>-2.9363260500572114E-4</v>
      </c>
      <c r="BO73" s="243">
        <f t="shared" ref="BO73:BO136" si="107">+(Y73-$M$20*$U73)/$M$10</f>
        <v>-3.9912283717444324E-3</v>
      </c>
      <c r="BR73" s="200">
        <f t="shared" ref="BR73:BR136" si="108">+BJ73*BJ73</f>
        <v>5.4150038115974625E-6</v>
      </c>
      <c r="BS73" s="201">
        <f t="shared" ref="BS73:BS136" si="109">+BK73*BK73</f>
        <v>1.1556141525935633E-6</v>
      </c>
      <c r="BT73" s="201">
        <f t="shared" ref="BT73:BT136" si="110">+BL73*BL73</f>
        <v>9.7249612812937473E-6</v>
      </c>
      <c r="BU73" s="201">
        <f t="shared" ref="BU73:BU136" si="111">+BM73*BM73</f>
        <v>1.8383340517073516E-5</v>
      </c>
      <c r="BV73" s="201">
        <f t="shared" ref="BV73:BV136" si="112">+BN73*BN73</f>
        <v>8.622010672244585E-8</v>
      </c>
      <c r="BW73" s="201">
        <f t="shared" ref="BW73:BW136" si="113">+BO73*BO73</f>
        <v>1.5929903915417715E-5</v>
      </c>
    </row>
    <row r="74" spans="1:75" x14ac:dyDescent="0.25">
      <c r="A74" s="122">
        <v>21528</v>
      </c>
      <c r="B74" s="153">
        <v>215</v>
      </c>
      <c r="C74" s="184">
        <f>+'Sampling Weights'!R74</f>
        <v>979.03673655537386</v>
      </c>
      <c r="D74" s="155">
        <f>+SUM('Sampling Weights'!I74:N74)</f>
        <v>13</v>
      </c>
      <c r="E74" s="155">
        <v>1</v>
      </c>
      <c r="F74" s="155">
        <v>1</v>
      </c>
      <c r="G74" s="155">
        <v>0</v>
      </c>
      <c r="H74" s="154">
        <v>1</v>
      </c>
      <c r="I74" s="154">
        <v>0</v>
      </c>
      <c r="J74" s="154">
        <v>0</v>
      </c>
      <c r="K74" s="155"/>
      <c r="L74" s="172"/>
      <c r="M74" s="172"/>
      <c r="N74" s="172"/>
      <c r="P74" s="184"/>
      <c r="Q74" s="173"/>
      <c r="R74" s="167"/>
      <c r="S74" s="184">
        <f t="shared" si="96"/>
        <v>12727.47757521986</v>
      </c>
      <c r="T74" s="184">
        <f t="shared" si="96"/>
        <v>979.03673655537386</v>
      </c>
      <c r="U74" s="184">
        <f t="shared" si="96"/>
        <v>979.03673655537386</v>
      </c>
      <c r="V74" s="184">
        <f t="shared" si="96"/>
        <v>0</v>
      </c>
      <c r="W74" s="184">
        <f t="shared" si="93"/>
        <v>979.03673655537386</v>
      </c>
      <c r="X74" s="184">
        <f t="shared" si="76"/>
        <v>0</v>
      </c>
      <c r="Y74" s="184">
        <f t="shared" si="76"/>
        <v>0</v>
      </c>
      <c r="AA74" s="167">
        <f t="shared" si="97"/>
        <v>161988685.42772442</v>
      </c>
      <c r="AB74" s="167">
        <f t="shared" si="98"/>
        <v>958512.93152499653</v>
      </c>
      <c r="AC74" s="167">
        <f t="shared" si="99"/>
        <v>958512.93152499653</v>
      </c>
      <c r="AD74" s="167">
        <f t="shared" si="100"/>
        <v>0</v>
      </c>
      <c r="AE74" s="167">
        <f t="shared" si="101"/>
        <v>958512.93152499653</v>
      </c>
      <c r="AF74" s="167">
        <f t="shared" si="102"/>
        <v>0</v>
      </c>
      <c r="AG74" s="167">
        <f t="shared" si="103"/>
        <v>0</v>
      </c>
      <c r="AK74" s="167"/>
      <c r="BA74" s="167"/>
      <c r="BJ74" s="201">
        <f t="shared" si="94"/>
        <v>-5.433704873673567E-4</v>
      </c>
      <c r="BK74" s="201">
        <f t="shared" si="95"/>
        <v>-2.5101697354443301E-4</v>
      </c>
      <c r="BL74" s="243">
        <f t="shared" si="104"/>
        <v>-7.2818311367912187E-4</v>
      </c>
      <c r="BM74" s="243">
        <f t="shared" si="105"/>
        <v>1.001172423951155E-3</v>
      </c>
      <c r="BN74" s="243">
        <f t="shared" si="106"/>
        <v>-6.8564756998557239E-5</v>
      </c>
      <c r="BO74" s="243">
        <f t="shared" si="107"/>
        <v>-9.3197280809150028E-4</v>
      </c>
      <c r="BR74" s="200">
        <f t="shared" si="108"/>
        <v>2.9525148654183876E-7</v>
      </c>
      <c r="BS74" s="201">
        <f t="shared" si="109"/>
        <v>6.3009521007406578E-8</v>
      </c>
      <c r="BT74" s="201">
        <f t="shared" si="110"/>
        <v>5.3025064704742087E-7</v>
      </c>
      <c r="BU74" s="201">
        <f t="shared" si="111"/>
        <v>1.0023462224802313E-6</v>
      </c>
      <c r="BV74" s="201">
        <f t="shared" si="112"/>
        <v>4.7011259022712037E-9</v>
      </c>
      <c r="BW74" s="201">
        <f t="shared" si="113"/>
        <v>8.6857331502195637E-7</v>
      </c>
    </row>
    <row r="75" spans="1:75" x14ac:dyDescent="0.25">
      <c r="A75" s="122">
        <v>11640</v>
      </c>
      <c r="B75" s="153">
        <v>116</v>
      </c>
      <c r="C75" s="184">
        <f>+'Sampling Weights'!R75</f>
        <v>284.2330686577198</v>
      </c>
      <c r="D75" s="155">
        <f>+SUM('Sampling Weights'!I75:N75)</f>
        <v>14</v>
      </c>
      <c r="E75" s="155">
        <v>3</v>
      </c>
      <c r="F75" s="155">
        <v>1</v>
      </c>
      <c r="G75" s="155">
        <v>0</v>
      </c>
      <c r="H75" s="154">
        <v>1</v>
      </c>
      <c r="I75" s="154">
        <v>0</v>
      </c>
      <c r="J75" s="154">
        <v>0</v>
      </c>
      <c r="K75" s="155"/>
      <c r="L75" s="172"/>
      <c r="M75" s="172"/>
      <c r="N75" s="172"/>
      <c r="P75" s="184"/>
      <c r="Q75" s="173"/>
      <c r="R75" s="167"/>
      <c r="S75" s="184">
        <f t="shared" si="96"/>
        <v>3979.2629612080773</v>
      </c>
      <c r="T75" s="184">
        <f t="shared" si="96"/>
        <v>852.69920597315945</v>
      </c>
      <c r="U75" s="184">
        <f t="shared" si="96"/>
        <v>284.2330686577198</v>
      </c>
      <c r="V75" s="184">
        <f t="shared" si="96"/>
        <v>0</v>
      </c>
      <c r="W75" s="184">
        <f t="shared" si="93"/>
        <v>284.2330686577198</v>
      </c>
      <c r="X75" s="184">
        <f t="shared" si="76"/>
        <v>0</v>
      </c>
      <c r="Y75" s="184">
        <f t="shared" si="76"/>
        <v>0</v>
      </c>
      <c r="AA75" s="167">
        <f t="shared" si="97"/>
        <v>15834533.714442477</v>
      </c>
      <c r="AB75" s="167">
        <f t="shared" si="98"/>
        <v>727095.9358672566</v>
      </c>
      <c r="AC75" s="167">
        <f t="shared" si="99"/>
        <v>80788.437318584052</v>
      </c>
      <c r="AD75" s="167">
        <f t="shared" si="100"/>
        <v>0</v>
      </c>
      <c r="AE75" s="167">
        <f t="shared" si="101"/>
        <v>80788.437318584052</v>
      </c>
      <c r="AF75" s="167">
        <f t="shared" si="102"/>
        <v>0</v>
      </c>
      <c r="AG75" s="167">
        <f t="shared" si="103"/>
        <v>0</v>
      </c>
      <c r="AK75" s="167"/>
      <c r="BA75" s="167"/>
      <c r="BJ75" s="201">
        <f t="shared" si="94"/>
        <v>1.7332618140251421E-5</v>
      </c>
      <c r="BK75" s="201">
        <f t="shared" si="95"/>
        <v>-8.5969519217383907E-5</v>
      </c>
      <c r="BL75" s="243">
        <f t="shared" si="104"/>
        <v>-2.1140546949643873E-4</v>
      </c>
      <c r="BM75" s="243">
        <f t="shared" si="105"/>
        <v>2.9065948160059623E-4</v>
      </c>
      <c r="BN75" s="243">
        <f t="shared" si="106"/>
        <v>-1.9905658854067468E-5</v>
      </c>
      <c r="BO75" s="243">
        <f t="shared" si="107"/>
        <v>-2.7056951109047264E-4</v>
      </c>
      <c r="BR75" s="200">
        <f t="shared" si="108"/>
        <v>3.0041965159577262E-10</v>
      </c>
      <c r="BS75" s="201">
        <f t="shared" si="109"/>
        <v>7.390758234468141E-9</v>
      </c>
      <c r="BT75" s="201">
        <f t="shared" si="110"/>
        <v>4.4692272533009685E-8</v>
      </c>
      <c r="BU75" s="201">
        <f t="shared" si="111"/>
        <v>8.4482934244327344E-8</v>
      </c>
      <c r="BV75" s="201">
        <f t="shared" si="112"/>
        <v>3.9623525441451456E-10</v>
      </c>
      <c r="BW75" s="201">
        <f t="shared" si="113"/>
        <v>7.3207860331737394E-8</v>
      </c>
    </row>
    <row r="76" spans="1:75" x14ac:dyDescent="0.25">
      <c r="A76" s="122">
        <v>11641</v>
      </c>
      <c r="B76" s="153">
        <v>116</v>
      </c>
      <c r="C76" s="184">
        <f>+'Sampling Weights'!R76</f>
        <v>77.843787709641745</v>
      </c>
      <c r="D76" s="155">
        <f>+SUM('Sampling Weights'!I76:N76)</f>
        <v>12</v>
      </c>
      <c r="E76" s="155">
        <v>5</v>
      </c>
      <c r="F76" s="155">
        <v>5</v>
      </c>
      <c r="G76" s="155">
        <v>4</v>
      </c>
      <c r="H76" s="154">
        <v>3</v>
      </c>
      <c r="I76" s="154">
        <v>0</v>
      </c>
      <c r="J76" s="154">
        <v>2</v>
      </c>
      <c r="K76" s="155"/>
      <c r="L76" s="172"/>
      <c r="M76" s="172"/>
      <c r="N76" s="172"/>
      <c r="P76" s="184"/>
      <c r="Q76" s="173"/>
      <c r="R76" s="167"/>
      <c r="S76" s="184">
        <f t="shared" si="96"/>
        <v>934.125452515701</v>
      </c>
      <c r="T76" s="184">
        <f t="shared" si="96"/>
        <v>389.21893854820871</v>
      </c>
      <c r="U76" s="184">
        <f t="shared" si="96"/>
        <v>389.21893854820871</v>
      </c>
      <c r="V76" s="184">
        <f t="shared" si="96"/>
        <v>311.37515083856698</v>
      </c>
      <c r="W76" s="184">
        <f t="shared" si="93"/>
        <v>233.53136312892525</v>
      </c>
      <c r="X76" s="184">
        <f t="shared" si="76"/>
        <v>0</v>
      </c>
      <c r="Y76" s="184">
        <f t="shared" si="76"/>
        <v>155.68757541928349</v>
      </c>
      <c r="AA76" s="167">
        <f t="shared" si="97"/>
        <v>872590.36103766318</v>
      </c>
      <c r="AB76" s="167">
        <f t="shared" si="98"/>
        <v>151491.38212459427</v>
      </c>
      <c r="AC76" s="167">
        <f t="shared" si="99"/>
        <v>151491.38212459427</v>
      </c>
      <c r="AD76" s="167">
        <f t="shared" si="100"/>
        <v>96954.484559740333</v>
      </c>
      <c r="AE76" s="167">
        <f t="shared" si="101"/>
        <v>54536.897564853949</v>
      </c>
      <c r="AF76" s="167">
        <f t="shared" si="102"/>
        <v>0</v>
      </c>
      <c r="AG76" s="167">
        <f t="shared" si="103"/>
        <v>24238.621139935083</v>
      </c>
      <c r="AK76" s="167"/>
      <c r="BA76" s="167"/>
      <c r="BJ76" s="201">
        <f t="shared" si="94"/>
        <v>6.8820550053187319E-5</v>
      </c>
      <c r="BK76" s="201">
        <f t="shared" si="95"/>
        <v>9.0277657856394444E-5</v>
      </c>
      <c r="BL76" s="243">
        <f t="shared" si="104"/>
        <v>5.034171145873725E-4</v>
      </c>
      <c r="BM76" s="243">
        <f t="shared" si="105"/>
        <v>1.5648180639936709E-6</v>
      </c>
      <c r="BN76" s="243">
        <f t="shared" si="106"/>
        <v>-2.7258121114727885E-5</v>
      </c>
      <c r="BO76" s="243">
        <f t="shared" si="107"/>
        <v>2.5945693061055801E-5</v>
      </c>
      <c r="BR76" s="200">
        <f t="shared" si="108"/>
        <v>4.7362681096232609E-9</v>
      </c>
      <c r="BS76" s="201">
        <f t="shared" si="109"/>
        <v>8.1500555080362182E-9</v>
      </c>
      <c r="BT76" s="201">
        <f t="shared" si="110"/>
        <v>2.5342879125947575E-7</v>
      </c>
      <c r="BU76" s="201">
        <f t="shared" si="111"/>
        <v>2.4486555734009004E-12</v>
      </c>
      <c r="BV76" s="201">
        <f t="shared" si="112"/>
        <v>7.4300516670517418E-10</v>
      </c>
      <c r="BW76" s="201">
        <f t="shared" si="113"/>
        <v>6.7317898841851907E-10</v>
      </c>
    </row>
    <row r="77" spans="1:75" x14ac:dyDescent="0.25">
      <c r="A77" s="122">
        <v>11642</v>
      </c>
      <c r="B77" s="153">
        <v>116</v>
      </c>
      <c r="C77" s="184">
        <f>+'Sampling Weights'!R77</f>
        <v>0</v>
      </c>
      <c r="D77" s="155">
        <f>+SUM('Sampling Weights'!I77:N77)</f>
        <v>17</v>
      </c>
      <c r="E77" s="155">
        <v>4</v>
      </c>
      <c r="F77" s="155">
        <v>4</v>
      </c>
      <c r="G77" s="155">
        <v>1</v>
      </c>
      <c r="H77" s="154">
        <v>2</v>
      </c>
      <c r="I77" s="154">
        <v>0</v>
      </c>
      <c r="J77" s="154">
        <v>2</v>
      </c>
      <c r="K77" s="155"/>
      <c r="L77" s="172"/>
      <c r="M77" s="172"/>
      <c r="N77" s="172"/>
      <c r="P77" s="184"/>
      <c r="Q77" s="173"/>
      <c r="R77" s="167"/>
      <c r="S77" s="184">
        <f t="shared" si="96"/>
        <v>0</v>
      </c>
      <c r="T77" s="184">
        <f t="shared" si="96"/>
        <v>0</v>
      </c>
      <c r="U77" s="184">
        <f t="shared" si="96"/>
        <v>0</v>
      </c>
      <c r="V77" s="184">
        <f t="shared" si="96"/>
        <v>0</v>
      </c>
      <c r="W77" s="184">
        <f t="shared" si="93"/>
        <v>0</v>
      </c>
      <c r="X77" s="184">
        <f t="shared" si="76"/>
        <v>0</v>
      </c>
      <c r="Y77" s="184">
        <f t="shared" si="76"/>
        <v>0</v>
      </c>
      <c r="AA77" s="167">
        <f t="shared" si="97"/>
        <v>0</v>
      </c>
      <c r="AB77" s="167">
        <f t="shared" si="98"/>
        <v>0</v>
      </c>
      <c r="AC77" s="167">
        <f t="shared" si="99"/>
        <v>0</v>
      </c>
      <c r="AD77" s="167">
        <f t="shared" si="100"/>
        <v>0</v>
      </c>
      <c r="AE77" s="167">
        <f t="shared" si="101"/>
        <v>0</v>
      </c>
      <c r="AF77" s="167">
        <f t="shared" si="102"/>
        <v>0</v>
      </c>
      <c r="AG77" s="167">
        <f t="shared" si="103"/>
        <v>0</v>
      </c>
      <c r="AK77" s="167"/>
      <c r="BA77" s="167"/>
      <c r="BJ77" s="201">
        <f t="shared" si="94"/>
        <v>0</v>
      </c>
      <c r="BK77" s="201">
        <f t="shared" si="95"/>
        <v>0</v>
      </c>
      <c r="BL77" s="243">
        <f t="shared" si="104"/>
        <v>0</v>
      </c>
      <c r="BM77" s="243">
        <f t="shared" si="105"/>
        <v>0</v>
      </c>
      <c r="BN77" s="243">
        <f t="shared" si="106"/>
        <v>0</v>
      </c>
      <c r="BO77" s="243">
        <f t="shared" si="107"/>
        <v>0</v>
      </c>
      <c r="BR77" s="200">
        <f t="shared" si="108"/>
        <v>0</v>
      </c>
      <c r="BS77" s="201">
        <f t="shared" si="109"/>
        <v>0</v>
      </c>
      <c r="BT77" s="201">
        <f t="shared" si="110"/>
        <v>0</v>
      </c>
      <c r="BU77" s="201">
        <f t="shared" si="111"/>
        <v>0</v>
      </c>
      <c r="BV77" s="201">
        <f t="shared" si="112"/>
        <v>0</v>
      </c>
      <c r="BW77" s="201">
        <f t="shared" si="113"/>
        <v>0</v>
      </c>
    </row>
    <row r="78" spans="1:75" x14ac:dyDescent="0.25">
      <c r="A78" s="122">
        <v>21629</v>
      </c>
      <c r="B78" s="153">
        <v>216</v>
      </c>
      <c r="C78" s="184">
        <f>+'Sampling Weights'!R78</f>
        <v>673.82536115269886</v>
      </c>
      <c r="D78" s="155">
        <f>+SUM('Sampling Weights'!I78:N78)</f>
        <v>12</v>
      </c>
      <c r="E78" s="155">
        <v>2</v>
      </c>
      <c r="F78" s="155">
        <v>2</v>
      </c>
      <c r="G78" s="155">
        <v>1</v>
      </c>
      <c r="H78" s="154">
        <v>0</v>
      </c>
      <c r="I78" s="154">
        <v>0</v>
      </c>
      <c r="J78" s="154">
        <v>2</v>
      </c>
      <c r="K78" s="155"/>
      <c r="L78" s="172"/>
      <c r="M78" s="172"/>
      <c r="N78" s="172"/>
      <c r="P78" s="184"/>
      <c r="Q78" s="173"/>
      <c r="R78" s="167"/>
      <c r="S78" s="184">
        <f t="shared" si="96"/>
        <v>8085.9043338323863</v>
      </c>
      <c r="T78" s="184">
        <f t="shared" si="96"/>
        <v>1347.6507223053977</v>
      </c>
      <c r="U78" s="184">
        <f t="shared" si="96"/>
        <v>1347.6507223053977</v>
      </c>
      <c r="V78" s="184">
        <f t="shared" si="96"/>
        <v>673.82536115269886</v>
      </c>
      <c r="W78" s="184">
        <f t="shared" si="93"/>
        <v>0</v>
      </c>
      <c r="X78" s="184">
        <f t="shared" si="76"/>
        <v>0</v>
      </c>
      <c r="Y78" s="184">
        <f t="shared" si="76"/>
        <v>1347.6507223053977</v>
      </c>
      <c r="AA78" s="167">
        <f t="shared" si="97"/>
        <v>65381848.895889364</v>
      </c>
      <c r="AB78" s="167">
        <f t="shared" si="98"/>
        <v>1816162.4693302603</v>
      </c>
      <c r="AC78" s="167">
        <f t="shared" si="99"/>
        <v>1816162.4693302603</v>
      </c>
      <c r="AD78" s="167">
        <f t="shared" si="100"/>
        <v>454040.61733256507</v>
      </c>
      <c r="AE78" s="167">
        <f t="shared" si="101"/>
        <v>0</v>
      </c>
      <c r="AF78" s="167">
        <f t="shared" si="102"/>
        <v>0</v>
      </c>
      <c r="AG78" s="167">
        <f t="shared" si="103"/>
        <v>1816162.4693302603</v>
      </c>
      <c r="AK78" s="167"/>
      <c r="BA78" s="167"/>
      <c r="BJ78" s="201">
        <f t="shared" si="94"/>
        <v>-9.6662065905604383E-5</v>
      </c>
      <c r="BK78" s="201">
        <f t="shared" si="95"/>
        <v>8.9073287424300769E-5</v>
      </c>
      <c r="BL78" s="243">
        <f t="shared" si="104"/>
        <v>7.1352917427697519E-4</v>
      </c>
      <c r="BM78" s="243">
        <f t="shared" si="105"/>
        <v>-2.0536357128608596E-3</v>
      </c>
      <c r="BN78" s="243">
        <f t="shared" si="106"/>
        <v>-9.4379854037860775E-5</v>
      </c>
      <c r="BO78" s="243">
        <f t="shared" si="107"/>
        <v>2.1488894544361078E-3</v>
      </c>
      <c r="BR78" s="200">
        <f t="shared" si="108"/>
        <v>9.3435549851394054E-9</v>
      </c>
      <c r="BS78" s="201">
        <f t="shared" si="109"/>
        <v>7.9340505325720974E-9</v>
      </c>
      <c r="BT78" s="201">
        <f t="shared" si="110"/>
        <v>5.0912388254438209E-7</v>
      </c>
      <c r="BU78" s="201">
        <f t="shared" si="111"/>
        <v>4.2174196411375311E-6</v>
      </c>
      <c r="BV78" s="201">
        <f t="shared" si="112"/>
        <v>8.9075568482079045E-9</v>
      </c>
      <c r="BW78" s="201">
        <f t="shared" si="113"/>
        <v>4.6177258873867132E-6</v>
      </c>
    </row>
    <row r="79" spans="1:75" x14ac:dyDescent="0.25">
      <c r="A79" s="122">
        <v>21630</v>
      </c>
      <c r="B79" s="153">
        <v>216</v>
      </c>
      <c r="C79" s="184">
        <f>+'Sampling Weights'!R79</f>
        <v>211.98597843968321</v>
      </c>
      <c r="D79" s="155">
        <f>+SUM('Sampling Weights'!I79:N79)</f>
        <v>17</v>
      </c>
      <c r="E79" s="155">
        <v>1</v>
      </c>
      <c r="F79" s="155">
        <v>1</v>
      </c>
      <c r="G79" s="155">
        <v>0</v>
      </c>
      <c r="H79" s="154">
        <v>1</v>
      </c>
      <c r="I79" s="154">
        <v>0</v>
      </c>
      <c r="J79" s="154">
        <v>0</v>
      </c>
      <c r="K79" s="155"/>
      <c r="L79" s="172"/>
      <c r="M79" s="172"/>
      <c r="N79" s="172"/>
      <c r="P79" s="184"/>
      <c r="Q79" s="173"/>
      <c r="R79" s="167"/>
      <c r="S79" s="184">
        <f t="shared" si="96"/>
        <v>3603.7616334746144</v>
      </c>
      <c r="T79" s="184">
        <f t="shared" si="96"/>
        <v>211.98597843968321</v>
      </c>
      <c r="U79" s="184">
        <f t="shared" si="96"/>
        <v>211.98597843968321</v>
      </c>
      <c r="V79" s="184">
        <f t="shared" si="96"/>
        <v>0</v>
      </c>
      <c r="W79" s="184">
        <f t="shared" si="93"/>
        <v>211.98597843968321</v>
      </c>
      <c r="X79" s="184">
        <f t="shared" si="76"/>
        <v>0</v>
      </c>
      <c r="Y79" s="184">
        <f t="shared" si="76"/>
        <v>0</v>
      </c>
      <c r="AA79" s="167">
        <f t="shared" si="97"/>
        <v>12987097.910903621</v>
      </c>
      <c r="AB79" s="167">
        <f t="shared" si="98"/>
        <v>44938.055055029836</v>
      </c>
      <c r="AC79" s="167">
        <f t="shared" si="99"/>
        <v>44938.055055029836</v>
      </c>
      <c r="AD79" s="167">
        <f t="shared" si="100"/>
        <v>0</v>
      </c>
      <c r="AE79" s="167">
        <f t="shared" si="101"/>
        <v>44938.055055029836</v>
      </c>
      <c r="AF79" s="167">
        <f t="shared" si="102"/>
        <v>0</v>
      </c>
      <c r="AG79" s="167">
        <f t="shared" si="103"/>
        <v>0</v>
      </c>
      <c r="AK79" s="167"/>
      <c r="BA79" s="167"/>
      <c r="BJ79" s="201">
        <f t="shared" si="94"/>
        <v>-1.7619523157687161E-4</v>
      </c>
      <c r="BK79" s="201">
        <f t="shared" si="95"/>
        <v>-9.3415877199706806E-5</v>
      </c>
      <c r="BL79" s="243">
        <f t="shared" si="104"/>
        <v>-1.5766988517676827E-4</v>
      </c>
      <c r="BM79" s="243">
        <f t="shared" si="105"/>
        <v>2.1677890926221754E-4</v>
      </c>
      <c r="BN79" s="243">
        <f t="shared" si="106"/>
        <v>-1.4845987444717501E-5</v>
      </c>
      <c r="BO79" s="243">
        <f t="shared" si="107"/>
        <v>-2.0179545897078971E-4</v>
      </c>
      <c r="BR79" s="200">
        <f t="shared" si="108"/>
        <v>3.1044759630427416E-8</v>
      </c>
      <c r="BS79" s="201">
        <f t="shared" si="109"/>
        <v>8.7265261129907016E-9</v>
      </c>
      <c r="BT79" s="201">
        <f t="shared" si="110"/>
        <v>2.485979269165529E-8</v>
      </c>
      <c r="BU79" s="201">
        <f t="shared" si="111"/>
        <v>4.6993095500916746E-8</v>
      </c>
      <c r="BV79" s="201">
        <f t="shared" si="112"/>
        <v>2.2040334320870967E-10</v>
      </c>
      <c r="BW79" s="201">
        <f t="shared" si="113"/>
        <v>4.072140726123167E-8</v>
      </c>
    </row>
    <row r="80" spans="1:75" x14ac:dyDescent="0.25">
      <c r="A80" s="122">
        <v>21631</v>
      </c>
      <c r="B80" s="153">
        <v>216</v>
      </c>
      <c r="C80" s="184">
        <f>+'Sampling Weights'!R80</f>
        <v>0</v>
      </c>
      <c r="D80" s="155">
        <f>+SUM('Sampling Weights'!I80:N80)</f>
        <v>13</v>
      </c>
      <c r="E80" s="155">
        <v>2</v>
      </c>
      <c r="F80" s="155">
        <v>2</v>
      </c>
      <c r="G80" s="155">
        <v>0</v>
      </c>
      <c r="H80" s="154">
        <v>1</v>
      </c>
      <c r="I80" s="154">
        <v>1</v>
      </c>
      <c r="J80" s="154">
        <v>0</v>
      </c>
      <c r="K80" s="155"/>
      <c r="L80" s="172"/>
      <c r="M80" s="172"/>
      <c r="N80" s="172"/>
      <c r="P80" s="184"/>
      <c r="Q80" s="173"/>
      <c r="R80" s="167"/>
      <c r="S80" s="184">
        <f t="shared" si="96"/>
        <v>0</v>
      </c>
      <c r="T80" s="184">
        <f t="shared" si="96"/>
        <v>0</v>
      </c>
      <c r="U80" s="184">
        <f t="shared" si="96"/>
        <v>0</v>
      </c>
      <c r="V80" s="184">
        <f t="shared" si="96"/>
        <v>0</v>
      </c>
      <c r="W80" s="184">
        <f t="shared" si="93"/>
        <v>0</v>
      </c>
      <c r="X80" s="184">
        <f t="shared" si="76"/>
        <v>0</v>
      </c>
      <c r="Y80" s="184">
        <f t="shared" si="76"/>
        <v>0</v>
      </c>
      <c r="AA80" s="167">
        <f t="shared" si="97"/>
        <v>0</v>
      </c>
      <c r="AB80" s="167">
        <f t="shared" si="98"/>
        <v>0</v>
      </c>
      <c r="AC80" s="167">
        <f t="shared" si="99"/>
        <v>0</v>
      </c>
      <c r="AD80" s="167">
        <f t="shared" si="100"/>
        <v>0</v>
      </c>
      <c r="AE80" s="167">
        <f t="shared" si="101"/>
        <v>0</v>
      </c>
      <c r="AF80" s="167">
        <f t="shared" si="102"/>
        <v>0</v>
      </c>
      <c r="AG80" s="167">
        <f t="shared" si="103"/>
        <v>0</v>
      </c>
      <c r="AK80" s="167"/>
      <c r="BA80" s="167"/>
      <c r="BJ80" s="201">
        <f t="shared" si="94"/>
        <v>0</v>
      </c>
      <c r="BK80" s="201">
        <f t="shared" si="95"/>
        <v>0</v>
      </c>
      <c r="BL80" s="243">
        <f t="shared" si="104"/>
        <v>0</v>
      </c>
      <c r="BM80" s="243">
        <f t="shared" si="105"/>
        <v>0</v>
      </c>
      <c r="BN80" s="243">
        <f t="shared" si="106"/>
        <v>0</v>
      </c>
      <c r="BO80" s="243">
        <f t="shared" si="107"/>
        <v>0</v>
      </c>
      <c r="BR80" s="200">
        <f t="shared" si="108"/>
        <v>0</v>
      </c>
      <c r="BS80" s="201">
        <f t="shared" si="109"/>
        <v>0</v>
      </c>
      <c r="BT80" s="201">
        <f t="shared" si="110"/>
        <v>0</v>
      </c>
      <c r="BU80" s="201">
        <f t="shared" si="111"/>
        <v>0</v>
      </c>
      <c r="BV80" s="201">
        <f t="shared" si="112"/>
        <v>0</v>
      </c>
      <c r="BW80" s="201">
        <f t="shared" si="113"/>
        <v>0</v>
      </c>
    </row>
    <row r="81" spans="1:75" x14ac:dyDescent="0.25">
      <c r="A81" s="122">
        <v>21632</v>
      </c>
      <c r="B81" s="153">
        <v>216</v>
      </c>
      <c r="C81" s="184">
        <f>+'Sampling Weights'!R81</f>
        <v>0</v>
      </c>
      <c r="D81" s="155">
        <f>+SUM('Sampling Weights'!I81:N81)</f>
        <v>15</v>
      </c>
      <c r="E81" s="155">
        <v>3</v>
      </c>
      <c r="F81" s="155">
        <v>1</v>
      </c>
      <c r="G81" s="155">
        <v>0</v>
      </c>
      <c r="H81" s="154">
        <v>1</v>
      </c>
      <c r="I81" s="154">
        <v>0</v>
      </c>
      <c r="J81" s="154">
        <v>0</v>
      </c>
      <c r="K81" s="155"/>
      <c r="L81" s="172"/>
      <c r="M81" s="172"/>
      <c r="N81" s="172"/>
      <c r="P81" s="184"/>
      <c r="Q81" s="173"/>
      <c r="R81" s="167"/>
      <c r="S81" s="184">
        <f t="shared" si="96"/>
        <v>0</v>
      </c>
      <c r="T81" s="184">
        <f t="shared" si="96"/>
        <v>0</v>
      </c>
      <c r="U81" s="184">
        <f t="shared" si="96"/>
        <v>0</v>
      </c>
      <c r="V81" s="184">
        <f t="shared" si="96"/>
        <v>0</v>
      </c>
      <c r="W81" s="184">
        <f t="shared" si="93"/>
        <v>0</v>
      </c>
      <c r="X81" s="184">
        <f t="shared" si="76"/>
        <v>0</v>
      </c>
      <c r="Y81" s="184">
        <f t="shared" si="76"/>
        <v>0</v>
      </c>
      <c r="AA81" s="167">
        <f t="shared" si="97"/>
        <v>0</v>
      </c>
      <c r="AB81" s="167">
        <f t="shared" si="98"/>
        <v>0</v>
      </c>
      <c r="AC81" s="167">
        <f t="shared" si="99"/>
        <v>0</v>
      </c>
      <c r="AD81" s="167">
        <f t="shared" si="100"/>
        <v>0</v>
      </c>
      <c r="AE81" s="167">
        <f t="shared" si="101"/>
        <v>0</v>
      </c>
      <c r="AF81" s="167">
        <f t="shared" si="102"/>
        <v>0</v>
      </c>
      <c r="AG81" s="167">
        <f t="shared" si="103"/>
        <v>0</v>
      </c>
      <c r="AK81" s="167"/>
      <c r="BA81" s="167"/>
      <c r="BJ81" s="201">
        <f t="shared" si="94"/>
        <v>0</v>
      </c>
      <c r="BK81" s="201">
        <f t="shared" si="95"/>
        <v>0</v>
      </c>
      <c r="BL81" s="243">
        <f t="shared" si="104"/>
        <v>0</v>
      </c>
      <c r="BM81" s="243">
        <f t="shared" si="105"/>
        <v>0</v>
      </c>
      <c r="BN81" s="243">
        <f t="shared" si="106"/>
        <v>0</v>
      </c>
      <c r="BO81" s="243">
        <f t="shared" si="107"/>
        <v>0</v>
      </c>
      <c r="BR81" s="200">
        <f t="shared" si="108"/>
        <v>0</v>
      </c>
      <c r="BS81" s="201">
        <f t="shared" si="109"/>
        <v>0</v>
      </c>
      <c r="BT81" s="201">
        <f t="shared" si="110"/>
        <v>0</v>
      </c>
      <c r="BU81" s="201">
        <f t="shared" si="111"/>
        <v>0</v>
      </c>
      <c r="BV81" s="201">
        <f t="shared" si="112"/>
        <v>0</v>
      </c>
      <c r="BW81" s="201">
        <f t="shared" si="113"/>
        <v>0</v>
      </c>
    </row>
    <row r="82" spans="1:75" x14ac:dyDescent="0.25">
      <c r="A82" s="122">
        <v>11743</v>
      </c>
      <c r="B82" s="153">
        <v>117</v>
      </c>
      <c r="C82" s="184">
        <f>+'Sampling Weights'!R82</f>
        <v>165.59177346656963</v>
      </c>
      <c r="D82" s="155">
        <f>+SUM('Sampling Weights'!I82:N82)</f>
        <v>15</v>
      </c>
      <c r="E82" s="155">
        <v>2</v>
      </c>
      <c r="F82" s="155">
        <v>2</v>
      </c>
      <c r="G82" s="155">
        <v>0</v>
      </c>
      <c r="H82" s="154">
        <v>2</v>
      </c>
      <c r="I82" s="154">
        <v>0</v>
      </c>
      <c r="J82" s="154">
        <v>0</v>
      </c>
      <c r="K82" s="155"/>
      <c r="L82" s="172"/>
      <c r="M82" s="172"/>
      <c r="N82" s="172"/>
      <c r="P82" s="184"/>
      <c r="Q82" s="173"/>
      <c r="R82" s="167"/>
      <c r="S82" s="184">
        <f t="shared" si="96"/>
        <v>2483.8766019985446</v>
      </c>
      <c r="T82" s="184">
        <f t="shared" si="96"/>
        <v>331.18354693313927</v>
      </c>
      <c r="U82" s="184">
        <f t="shared" si="96"/>
        <v>331.18354693313927</v>
      </c>
      <c r="V82" s="184">
        <f t="shared" si="96"/>
        <v>0</v>
      </c>
      <c r="W82" s="184">
        <f t="shared" si="93"/>
        <v>331.18354693313927</v>
      </c>
      <c r="X82" s="184">
        <f t="shared" si="76"/>
        <v>0</v>
      </c>
      <c r="Y82" s="184">
        <f t="shared" si="76"/>
        <v>0</v>
      </c>
      <c r="AA82" s="167">
        <f t="shared" si="97"/>
        <v>6169642.9739558361</v>
      </c>
      <c r="AB82" s="167">
        <f t="shared" si="98"/>
        <v>109682.54175921486</v>
      </c>
      <c r="AC82" s="167">
        <f t="shared" si="99"/>
        <v>109682.54175921486</v>
      </c>
      <c r="AD82" s="167">
        <f t="shared" si="100"/>
        <v>0</v>
      </c>
      <c r="AE82" s="167">
        <f t="shared" si="101"/>
        <v>109682.54175921486</v>
      </c>
      <c r="AF82" s="167">
        <f t="shared" si="102"/>
        <v>0</v>
      </c>
      <c r="AG82" s="167">
        <f t="shared" si="103"/>
        <v>0</v>
      </c>
      <c r="AK82" s="167"/>
      <c r="BA82" s="167"/>
      <c r="BJ82" s="201">
        <f t="shared" si="94"/>
        <v>-5.8051873773102873E-5</v>
      </c>
      <c r="BK82" s="201">
        <f t="shared" si="95"/>
        <v>-9.9657367886764055E-7</v>
      </c>
      <c r="BL82" s="243">
        <f t="shared" si="104"/>
        <v>-2.4632606459035455E-4</v>
      </c>
      <c r="BM82" s="243">
        <f t="shared" si="105"/>
        <v>3.386714942101038E-4</v>
      </c>
      <c r="BN82" s="243">
        <f t="shared" si="106"/>
        <v>-2.3193735811471916E-5</v>
      </c>
      <c r="BO82" s="243">
        <f t="shared" si="107"/>
        <v>-3.1526300158556272E-4</v>
      </c>
      <c r="BR82" s="200">
        <f t="shared" si="108"/>
        <v>3.3700200485682694E-9</v>
      </c>
      <c r="BS82" s="201">
        <f t="shared" si="109"/>
        <v>9.9315909741178323E-13</v>
      </c>
      <c r="BT82" s="201">
        <f t="shared" si="110"/>
        <v>6.067653009657152E-8</v>
      </c>
      <c r="BU82" s="201">
        <f t="shared" si="111"/>
        <v>1.1469838099050437E-7</v>
      </c>
      <c r="BV82" s="201">
        <f t="shared" si="112"/>
        <v>5.3794938089235481E-10</v>
      </c>
      <c r="BW82" s="201">
        <f t="shared" si="113"/>
        <v>9.9390760168738515E-8</v>
      </c>
    </row>
    <row r="83" spans="1:75" x14ac:dyDescent="0.25">
      <c r="A83" s="122">
        <v>11744</v>
      </c>
      <c r="B83" s="153">
        <v>117</v>
      </c>
      <c r="C83" s="184">
        <f>+'Sampling Weights'!R83</f>
        <v>247.37401292171523</v>
      </c>
      <c r="D83" s="155">
        <f>+SUM('Sampling Weights'!I83:N83)</f>
        <v>15</v>
      </c>
      <c r="E83" s="155">
        <v>0</v>
      </c>
      <c r="F83" s="155">
        <v>0</v>
      </c>
      <c r="G83" s="155">
        <v>0</v>
      </c>
      <c r="H83" s="154">
        <v>0</v>
      </c>
      <c r="I83" s="154">
        <v>0</v>
      </c>
      <c r="J83" s="154">
        <v>0</v>
      </c>
      <c r="K83" s="155"/>
      <c r="L83" s="172"/>
      <c r="M83" s="172"/>
      <c r="N83" s="172"/>
      <c r="P83" s="184"/>
      <c r="Q83" s="173"/>
      <c r="R83" s="167"/>
      <c r="S83" s="184">
        <f t="shared" si="96"/>
        <v>3710.6101938257284</v>
      </c>
      <c r="T83" s="184">
        <f t="shared" si="96"/>
        <v>0</v>
      </c>
      <c r="U83" s="184">
        <f t="shared" si="96"/>
        <v>0</v>
      </c>
      <c r="V83" s="184">
        <f t="shared" si="96"/>
        <v>0</v>
      </c>
      <c r="W83" s="184">
        <f t="shared" si="93"/>
        <v>0</v>
      </c>
      <c r="X83" s="184">
        <f t="shared" si="76"/>
        <v>0</v>
      </c>
      <c r="Y83" s="184">
        <f t="shared" si="76"/>
        <v>0</v>
      </c>
      <c r="AA83" s="167">
        <f t="shared" si="97"/>
        <v>13768628.010523411</v>
      </c>
      <c r="AB83" s="167">
        <f t="shared" si="98"/>
        <v>0</v>
      </c>
      <c r="AC83" s="167">
        <f t="shared" si="99"/>
        <v>0</v>
      </c>
      <c r="AD83" s="167">
        <f t="shared" si="100"/>
        <v>0</v>
      </c>
      <c r="AE83" s="167">
        <f t="shared" si="101"/>
        <v>0</v>
      </c>
      <c r="AF83" s="167">
        <f t="shared" si="102"/>
        <v>0</v>
      </c>
      <c r="AG83" s="167">
        <f t="shared" si="103"/>
        <v>0</v>
      </c>
      <c r="AK83" s="167"/>
      <c r="BA83" s="167"/>
      <c r="BJ83" s="201">
        <f t="shared" si="94"/>
        <v>-2.5617992287219494E-4</v>
      </c>
      <c r="BK83" s="201">
        <f t="shared" si="95"/>
        <v>-1.7094622890724036E-4</v>
      </c>
      <c r="BL83" s="243">
        <f t="shared" si="104"/>
        <v>0</v>
      </c>
      <c r="BM83" s="243">
        <f t="shared" si="105"/>
        <v>0</v>
      </c>
      <c r="BN83" s="243">
        <f t="shared" si="106"/>
        <v>0</v>
      </c>
      <c r="BO83" s="243">
        <f t="shared" si="107"/>
        <v>0</v>
      </c>
      <c r="BR83" s="200">
        <f t="shared" si="108"/>
        <v>6.562815288280375E-8</v>
      </c>
      <c r="BS83" s="201">
        <f t="shared" si="109"/>
        <v>2.9222613177606618E-8</v>
      </c>
      <c r="BT83" s="201">
        <f t="shared" si="110"/>
        <v>0</v>
      </c>
      <c r="BU83" s="201">
        <f t="shared" si="111"/>
        <v>0</v>
      </c>
      <c r="BV83" s="201">
        <f t="shared" si="112"/>
        <v>0</v>
      </c>
      <c r="BW83" s="201">
        <f t="shared" si="113"/>
        <v>0</v>
      </c>
    </row>
    <row r="84" spans="1:75" x14ac:dyDescent="0.25">
      <c r="A84" s="122">
        <v>11745</v>
      </c>
      <c r="B84" s="153">
        <v>117</v>
      </c>
      <c r="C84" s="184">
        <f>+'Sampling Weights'!R84</f>
        <v>24.509078854019204</v>
      </c>
      <c r="D84" s="155">
        <f>+SUM('Sampling Weights'!I84:N84)</f>
        <v>12</v>
      </c>
      <c r="E84" s="155">
        <v>2</v>
      </c>
      <c r="F84" s="155">
        <v>2</v>
      </c>
      <c r="G84" s="155">
        <v>1</v>
      </c>
      <c r="H84" s="154">
        <v>2</v>
      </c>
      <c r="I84" s="154">
        <v>0</v>
      </c>
      <c r="J84" s="154">
        <v>0</v>
      </c>
      <c r="K84" s="155"/>
      <c r="L84" s="172"/>
      <c r="M84" s="172"/>
      <c r="N84" s="172"/>
      <c r="P84" s="184"/>
      <c r="Q84" s="173"/>
      <c r="R84" s="167"/>
      <c r="S84" s="184">
        <f t="shared" si="96"/>
        <v>294.10894624823044</v>
      </c>
      <c r="T84" s="184">
        <f t="shared" si="96"/>
        <v>49.018157708038409</v>
      </c>
      <c r="U84" s="184">
        <f t="shared" si="96"/>
        <v>49.018157708038409</v>
      </c>
      <c r="V84" s="184">
        <f t="shared" si="96"/>
        <v>24.509078854019204</v>
      </c>
      <c r="W84" s="184">
        <f t="shared" si="93"/>
        <v>49.018157708038409</v>
      </c>
      <c r="X84" s="184">
        <f t="shared" si="76"/>
        <v>0</v>
      </c>
      <c r="Y84" s="184">
        <f t="shared" si="76"/>
        <v>0</v>
      </c>
      <c r="AA84" s="167">
        <f t="shared" si="97"/>
        <v>86500.072263244496</v>
      </c>
      <c r="AB84" s="167">
        <f t="shared" si="98"/>
        <v>2402.7797850901252</v>
      </c>
      <c r="AC84" s="167">
        <f t="shared" si="99"/>
        <v>2402.7797850901252</v>
      </c>
      <c r="AD84" s="167">
        <f t="shared" si="100"/>
        <v>600.6949462725313</v>
      </c>
      <c r="AE84" s="167">
        <f t="shared" si="101"/>
        <v>2402.7797850901252</v>
      </c>
      <c r="AF84" s="167">
        <f t="shared" si="102"/>
        <v>0</v>
      </c>
      <c r="AG84" s="167">
        <f t="shared" si="103"/>
        <v>0</v>
      </c>
      <c r="AK84" s="167"/>
      <c r="BA84" s="167"/>
      <c r="BJ84" s="201">
        <f t="shared" si="94"/>
        <v>-3.5158934822816583E-6</v>
      </c>
      <c r="BK84" s="201">
        <f t="shared" si="95"/>
        <v>3.2398665160573875E-6</v>
      </c>
      <c r="BL84" s="243">
        <f t="shared" si="104"/>
        <v>2.5953227357132033E-5</v>
      </c>
      <c r="BM84" s="243">
        <f t="shared" si="105"/>
        <v>5.0126441570357889E-5</v>
      </c>
      <c r="BN84" s="243">
        <f t="shared" si="106"/>
        <v>-3.432882491819057E-6</v>
      </c>
      <c r="BO84" s="243">
        <f t="shared" si="107"/>
        <v>-4.666177312954051E-5</v>
      </c>
      <c r="BR84" s="200">
        <f t="shared" si="108"/>
        <v>1.2361506978750645E-11</v>
      </c>
      <c r="BS84" s="201">
        <f t="shared" si="109"/>
        <v>1.0496735041869834E-11</v>
      </c>
      <c r="BT84" s="201">
        <f t="shared" si="110"/>
        <v>6.7357001025098658E-10</v>
      </c>
      <c r="BU84" s="201">
        <f t="shared" si="111"/>
        <v>2.5126601445065036E-9</v>
      </c>
      <c r="BV84" s="201">
        <f t="shared" si="112"/>
        <v>1.1784682202637818E-11</v>
      </c>
      <c r="BW84" s="201">
        <f t="shared" si="113"/>
        <v>2.1773210715927087E-9</v>
      </c>
    </row>
    <row r="85" spans="1:75" x14ac:dyDescent="0.25">
      <c r="A85" s="122">
        <v>11746</v>
      </c>
      <c r="B85" s="153">
        <v>117</v>
      </c>
      <c r="C85" s="184">
        <f>+'Sampling Weights'!R85</f>
        <v>217.04156529937777</v>
      </c>
      <c r="D85" s="155">
        <f>+SUM('Sampling Weights'!I85:N85)</f>
        <v>13</v>
      </c>
      <c r="E85" s="155">
        <v>0</v>
      </c>
      <c r="F85" s="155">
        <v>0</v>
      </c>
      <c r="G85" s="155">
        <v>0</v>
      </c>
      <c r="H85" s="154">
        <v>0</v>
      </c>
      <c r="I85" s="154">
        <v>0</v>
      </c>
      <c r="J85" s="154">
        <v>0</v>
      </c>
      <c r="K85" s="155"/>
      <c r="L85" s="172"/>
      <c r="M85" s="172"/>
      <c r="N85" s="172"/>
      <c r="P85" s="184"/>
      <c r="Q85" s="173"/>
      <c r="R85" s="167"/>
      <c r="S85" s="184">
        <f t="shared" si="96"/>
        <v>2821.540348891911</v>
      </c>
      <c r="T85" s="184">
        <f t="shared" si="96"/>
        <v>0</v>
      </c>
      <c r="U85" s="184">
        <f t="shared" si="96"/>
        <v>0</v>
      </c>
      <c r="V85" s="184">
        <f t="shared" si="96"/>
        <v>0</v>
      </c>
      <c r="W85" s="184">
        <f t="shared" si="93"/>
        <v>0</v>
      </c>
      <c r="X85" s="184">
        <f t="shared" si="76"/>
        <v>0</v>
      </c>
      <c r="Y85" s="184">
        <f t="shared" si="76"/>
        <v>0</v>
      </c>
      <c r="AA85" s="167">
        <f t="shared" si="97"/>
        <v>7961089.9404250868</v>
      </c>
      <c r="AB85" s="167">
        <f t="shared" si="98"/>
        <v>0</v>
      </c>
      <c r="AC85" s="167">
        <f t="shared" si="99"/>
        <v>0</v>
      </c>
      <c r="AD85" s="167">
        <f t="shared" si="100"/>
        <v>0</v>
      </c>
      <c r="AE85" s="167">
        <f t="shared" si="101"/>
        <v>0</v>
      </c>
      <c r="AF85" s="167">
        <f t="shared" si="102"/>
        <v>0</v>
      </c>
      <c r="AG85" s="167">
        <f t="shared" si="103"/>
        <v>0</v>
      </c>
      <c r="AK85" s="167"/>
      <c r="BA85" s="167"/>
      <c r="BJ85" s="201">
        <f t="shared" si="94"/>
        <v>-1.9479868571553428E-4</v>
      </c>
      <c r="BK85" s="201">
        <f t="shared" si="95"/>
        <v>-1.2998716037466491E-4</v>
      </c>
      <c r="BL85" s="243">
        <f t="shared" si="104"/>
        <v>0</v>
      </c>
      <c r="BM85" s="243">
        <f t="shared" si="105"/>
        <v>0</v>
      </c>
      <c r="BN85" s="243">
        <f t="shared" si="106"/>
        <v>0</v>
      </c>
      <c r="BO85" s="243">
        <f t="shared" si="107"/>
        <v>0</v>
      </c>
      <c r="BR85" s="200">
        <f t="shared" si="108"/>
        <v>3.7946527956499502E-8</v>
      </c>
      <c r="BS85" s="201">
        <f t="shared" si="109"/>
        <v>1.6896661862268857E-8</v>
      </c>
      <c r="BT85" s="201">
        <f t="shared" si="110"/>
        <v>0</v>
      </c>
      <c r="BU85" s="201">
        <f t="shared" si="111"/>
        <v>0</v>
      </c>
      <c r="BV85" s="201">
        <f t="shared" si="112"/>
        <v>0</v>
      </c>
      <c r="BW85" s="201">
        <f t="shared" si="113"/>
        <v>0</v>
      </c>
    </row>
    <row r="86" spans="1:75" x14ac:dyDescent="0.25">
      <c r="A86" s="122">
        <v>21733</v>
      </c>
      <c r="B86" s="153">
        <v>217</v>
      </c>
      <c r="C86" s="184">
        <f>+'Sampling Weights'!R86</f>
        <v>1803.2420107012242</v>
      </c>
      <c r="D86" s="155">
        <f>+SUM('Sampling Weights'!I86:N86)</f>
        <v>14</v>
      </c>
      <c r="E86" s="155">
        <v>3</v>
      </c>
      <c r="F86" s="155">
        <v>3</v>
      </c>
      <c r="G86" s="155">
        <v>0</v>
      </c>
      <c r="H86" s="154">
        <v>2</v>
      </c>
      <c r="I86" s="154">
        <v>0</v>
      </c>
      <c r="J86" s="154">
        <v>1</v>
      </c>
      <c r="K86" s="155"/>
      <c r="L86" s="172"/>
      <c r="M86" s="172"/>
      <c r="N86" s="172"/>
      <c r="P86" s="184"/>
      <c r="Q86" s="173"/>
      <c r="R86" s="167"/>
      <c r="S86" s="184">
        <f t="shared" si="96"/>
        <v>25245.388149817139</v>
      </c>
      <c r="T86" s="184">
        <f t="shared" si="96"/>
        <v>5409.7260321036729</v>
      </c>
      <c r="U86" s="184">
        <f t="shared" si="96"/>
        <v>5409.7260321036729</v>
      </c>
      <c r="V86" s="184">
        <f t="shared" si="96"/>
        <v>0</v>
      </c>
      <c r="W86" s="184">
        <f t="shared" si="93"/>
        <v>3606.4840214024484</v>
      </c>
      <c r="X86" s="184">
        <f t="shared" si="76"/>
        <v>0</v>
      </c>
      <c r="Y86" s="184">
        <f t="shared" si="76"/>
        <v>1803.2420107012242</v>
      </c>
      <c r="AA86" s="167">
        <f t="shared" si="97"/>
        <v>637329622.83492768</v>
      </c>
      <c r="AB86" s="167">
        <f t="shared" si="98"/>
        <v>29265135.742420148</v>
      </c>
      <c r="AC86" s="167">
        <f t="shared" si="99"/>
        <v>29265135.742420148</v>
      </c>
      <c r="AD86" s="167">
        <f t="shared" si="100"/>
        <v>0</v>
      </c>
      <c r="AE86" s="167">
        <f t="shared" si="101"/>
        <v>13006726.996631175</v>
      </c>
      <c r="AF86" s="167">
        <f t="shared" si="102"/>
        <v>0</v>
      </c>
      <c r="AG86" s="167">
        <f t="shared" si="103"/>
        <v>3251681.7491577938</v>
      </c>
      <c r="AK86" s="167"/>
      <c r="BA86" s="167"/>
      <c r="BJ86" s="201">
        <f t="shared" si="94"/>
        <v>1.0996224096493618E-4</v>
      </c>
      <c r="BK86" s="201">
        <f t="shared" si="95"/>
        <v>6.8985545938179483E-4</v>
      </c>
      <c r="BL86" s="243">
        <f t="shared" si="104"/>
        <v>-4.0236193384000259E-3</v>
      </c>
      <c r="BM86" s="243">
        <f t="shared" si="105"/>
        <v>9.4013076084673562E-4</v>
      </c>
      <c r="BN86" s="243">
        <f t="shared" si="106"/>
        <v>-3.7885866481883419E-4</v>
      </c>
      <c r="BO86" s="243">
        <f t="shared" si="107"/>
        <v>-5.5776414542772865E-4</v>
      </c>
      <c r="BR86" s="200">
        <f t="shared" si="108"/>
        <v>1.2091694438030689E-8</v>
      </c>
      <c r="BS86" s="201">
        <f t="shared" si="109"/>
        <v>4.759005548388672E-7</v>
      </c>
      <c r="BT86" s="201">
        <f t="shared" si="110"/>
        <v>1.6189512580346661E-5</v>
      </c>
      <c r="BU86" s="201">
        <f t="shared" si="111"/>
        <v>8.8384584749026202E-7</v>
      </c>
      <c r="BV86" s="201">
        <f t="shared" si="112"/>
        <v>1.4353388790830975E-7</v>
      </c>
      <c r="BW86" s="201">
        <f t="shared" si="113"/>
        <v>3.1110084192472446E-7</v>
      </c>
    </row>
    <row r="87" spans="1:75" x14ac:dyDescent="0.25">
      <c r="A87" s="122">
        <v>21734</v>
      </c>
      <c r="B87" s="153">
        <v>217</v>
      </c>
      <c r="C87" s="184">
        <f>+'Sampling Weights'!R87</f>
        <v>2346.3031894581491</v>
      </c>
      <c r="D87" s="155">
        <f>+SUM('Sampling Weights'!I87:N87)</f>
        <v>14</v>
      </c>
      <c r="E87" s="155">
        <v>5</v>
      </c>
      <c r="F87" s="155">
        <v>1</v>
      </c>
      <c r="G87" s="155">
        <v>0</v>
      </c>
      <c r="H87" s="154">
        <v>1</v>
      </c>
      <c r="I87" s="154">
        <v>0</v>
      </c>
      <c r="J87" s="154">
        <v>0</v>
      </c>
      <c r="K87" s="154"/>
      <c r="L87" s="172"/>
      <c r="M87" s="172"/>
      <c r="N87" s="172"/>
      <c r="P87" s="184"/>
      <c r="Q87" s="173"/>
      <c r="R87" s="167"/>
      <c r="S87" s="184">
        <f t="shared" si="96"/>
        <v>32848.244652414083</v>
      </c>
      <c r="T87" s="184">
        <f t="shared" si="96"/>
        <v>11731.515947290745</v>
      </c>
      <c r="U87" s="184">
        <f t="shared" si="96"/>
        <v>2346.3031894581491</v>
      </c>
      <c r="V87" s="184">
        <f t="shared" si="96"/>
        <v>0</v>
      </c>
      <c r="W87" s="184">
        <f t="shared" si="93"/>
        <v>2346.3031894581491</v>
      </c>
      <c r="X87" s="184">
        <f t="shared" si="76"/>
        <v>0</v>
      </c>
      <c r="Y87" s="184">
        <f t="shared" si="76"/>
        <v>0</v>
      </c>
      <c r="AA87" s="167">
        <f t="shared" si="97"/>
        <v>1079007176.7448504</v>
      </c>
      <c r="AB87" s="167">
        <f t="shared" si="98"/>
        <v>137628466.42153707</v>
      </c>
      <c r="AC87" s="167">
        <f t="shared" si="99"/>
        <v>5505138.6568614831</v>
      </c>
      <c r="AD87" s="167">
        <f t="shared" si="100"/>
        <v>0</v>
      </c>
      <c r="AE87" s="167">
        <f t="shared" si="101"/>
        <v>5505138.6568614831</v>
      </c>
      <c r="AF87" s="167">
        <f t="shared" si="102"/>
        <v>0</v>
      </c>
      <c r="AG87" s="167">
        <f t="shared" si="103"/>
        <v>0</v>
      </c>
      <c r="AK87" s="167"/>
      <c r="BA87" s="167"/>
      <c r="BJ87" s="201">
        <f t="shared" si="94"/>
        <v>1.7503554292538752E-3</v>
      </c>
      <c r="BK87" s="201">
        <f t="shared" si="95"/>
        <v>-7.0966604304172651E-4</v>
      </c>
      <c r="BL87" s="243">
        <f t="shared" si="104"/>
        <v>-1.7451218103890376E-3</v>
      </c>
      <c r="BM87" s="243">
        <f t="shared" si="105"/>
        <v>2.3993523060013185E-3</v>
      </c>
      <c r="BN87" s="243">
        <f t="shared" si="106"/>
        <v>-1.643183570375031E-4</v>
      </c>
      <c r="BO87" s="243">
        <f t="shared" si="107"/>
        <v>-2.23351248269495E-3</v>
      </c>
      <c r="BR87" s="200">
        <f t="shared" si="108"/>
        <v>3.0637441287185177E-6</v>
      </c>
      <c r="BS87" s="201">
        <f t="shared" si="109"/>
        <v>5.0362589264650165E-7</v>
      </c>
      <c r="BT87" s="201">
        <f t="shared" si="110"/>
        <v>3.0454501330955124E-6</v>
      </c>
      <c r="BU87" s="201">
        <f t="shared" si="111"/>
        <v>5.7568914883138447E-6</v>
      </c>
      <c r="BV87" s="201">
        <f t="shared" si="112"/>
        <v>2.7000522459504344E-8</v>
      </c>
      <c r="BW87" s="201">
        <f t="shared" si="113"/>
        <v>4.9885780103541593E-6</v>
      </c>
    </row>
    <row r="88" spans="1:75" x14ac:dyDescent="0.25">
      <c r="A88" s="122">
        <v>21735</v>
      </c>
      <c r="B88" s="153">
        <v>217</v>
      </c>
      <c r="C88" s="184">
        <f>+'Sampling Weights'!R88</f>
        <v>2385.4864844363174</v>
      </c>
      <c r="D88" s="155">
        <f>+SUM('Sampling Weights'!I88:N88)</f>
        <v>17</v>
      </c>
      <c r="E88" s="155">
        <v>3</v>
      </c>
      <c r="F88" s="155">
        <v>3</v>
      </c>
      <c r="G88" s="155">
        <v>1</v>
      </c>
      <c r="H88" s="154">
        <v>2</v>
      </c>
      <c r="I88" s="154">
        <v>0</v>
      </c>
      <c r="J88" s="154">
        <v>1</v>
      </c>
      <c r="K88" s="155"/>
      <c r="L88" s="172"/>
      <c r="M88" s="172"/>
      <c r="N88" s="172"/>
      <c r="P88" s="184"/>
      <c r="Q88" s="173"/>
      <c r="R88" s="167"/>
      <c r="S88" s="184">
        <f t="shared" si="96"/>
        <v>40553.270235417396</v>
      </c>
      <c r="T88" s="184">
        <f t="shared" si="96"/>
        <v>7156.4594533089521</v>
      </c>
      <c r="U88" s="184">
        <f t="shared" si="96"/>
        <v>7156.4594533089521</v>
      </c>
      <c r="V88" s="184">
        <f t="shared" si="96"/>
        <v>2385.4864844363174</v>
      </c>
      <c r="W88" s="184">
        <f t="shared" si="93"/>
        <v>4770.9729688726347</v>
      </c>
      <c r="X88" s="184">
        <f t="shared" si="93"/>
        <v>0</v>
      </c>
      <c r="Y88" s="184">
        <f t="shared" si="93"/>
        <v>2385.4864844363174</v>
      </c>
      <c r="AA88" s="167">
        <f t="shared" si="97"/>
        <v>1644567726.7867906</v>
      </c>
      <c r="AB88" s="167">
        <f t="shared" si="98"/>
        <v>51214911.906855069</v>
      </c>
      <c r="AC88" s="167">
        <f t="shared" si="99"/>
        <v>51214911.906855069</v>
      </c>
      <c r="AD88" s="167">
        <f t="shared" si="100"/>
        <v>5690545.7674283404</v>
      </c>
      <c r="AE88" s="167">
        <f t="shared" si="101"/>
        <v>22762183.069713362</v>
      </c>
      <c r="AF88" s="167">
        <f t="shared" si="102"/>
        <v>0</v>
      </c>
      <c r="AG88" s="167">
        <f t="shared" si="103"/>
        <v>5690545.7674283404</v>
      </c>
      <c r="AK88" s="167"/>
      <c r="BA88" s="167"/>
      <c r="BJ88" s="201">
        <f t="shared" si="94"/>
        <v>-3.4861310964866331E-4</v>
      </c>
      <c r="BK88" s="201">
        <f t="shared" si="95"/>
        <v>5.8290619417773184E-4</v>
      </c>
      <c r="BL88" s="243">
        <f t="shared" si="104"/>
        <v>7.5178114119480181E-4</v>
      </c>
      <c r="BM88" s="243">
        <f t="shared" si="105"/>
        <v>1.2436873200012781E-3</v>
      </c>
      <c r="BN88" s="243">
        <f t="shared" si="106"/>
        <v>-5.0118742746320171E-4</v>
      </c>
      <c r="BO88" s="243">
        <f t="shared" si="107"/>
        <v>-7.3785926820971388E-4</v>
      </c>
      <c r="BR88" s="200">
        <f t="shared" si="108"/>
        <v>1.2153110021891095E-7</v>
      </c>
      <c r="BS88" s="201">
        <f t="shared" si="109"/>
        <v>3.3977963121076761E-7</v>
      </c>
      <c r="BT88" s="201">
        <f t="shared" si="110"/>
        <v>5.6517488425615849E-7</v>
      </c>
      <c r="BU88" s="201">
        <f t="shared" si="111"/>
        <v>1.5467581499319616E-6</v>
      </c>
      <c r="BV88" s="201">
        <f t="shared" si="112"/>
        <v>2.5118883744718208E-7</v>
      </c>
      <c r="BW88" s="201">
        <f t="shared" si="113"/>
        <v>5.4443629968297452E-7</v>
      </c>
    </row>
    <row r="89" spans="1:75" x14ac:dyDescent="0.25">
      <c r="A89" s="122">
        <v>21736</v>
      </c>
      <c r="B89" s="153">
        <v>217</v>
      </c>
      <c r="C89" s="184">
        <f>+'Sampling Weights'!R89</f>
        <v>2122.3882908814044</v>
      </c>
      <c r="D89" s="155">
        <f>+SUM('Sampling Weights'!I89:N89)</f>
        <v>16</v>
      </c>
      <c r="E89" s="155">
        <v>3</v>
      </c>
      <c r="F89" s="155">
        <v>3</v>
      </c>
      <c r="G89" s="155">
        <v>2</v>
      </c>
      <c r="H89" s="154">
        <v>2</v>
      </c>
      <c r="I89" s="154">
        <v>0</v>
      </c>
      <c r="J89" s="154">
        <v>1</v>
      </c>
      <c r="K89" s="155"/>
      <c r="L89" s="172"/>
      <c r="M89" s="172"/>
      <c r="N89" s="172"/>
      <c r="P89" s="184"/>
      <c r="Q89" s="173"/>
      <c r="R89" s="167"/>
      <c r="S89" s="184">
        <f t="shared" si="96"/>
        <v>33958.21265410247</v>
      </c>
      <c r="T89" s="184">
        <f t="shared" si="96"/>
        <v>6367.1648726442127</v>
      </c>
      <c r="U89" s="184">
        <f t="shared" si="96"/>
        <v>6367.1648726442127</v>
      </c>
      <c r="V89" s="184">
        <f t="shared" si="96"/>
        <v>4244.7765817628087</v>
      </c>
      <c r="W89" s="184">
        <f t="shared" si="93"/>
        <v>4244.7765817628087</v>
      </c>
      <c r="X89" s="184">
        <f t="shared" si="93"/>
        <v>0</v>
      </c>
      <c r="Y89" s="184">
        <f t="shared" si="93"/>
        <v>2122.3882908814044</v>
      </c>
      <c r="AA89" s="167">
        <f t="shared" si="97"/>
        <v>1153160206.6612451</v>
      </c>
      <c r="AB89" s="167">
        <f t="shared" si="98"/>
        <v>40540788.515434392</v>
      </c>
      <c r="AC89" s="167">
        <f t="shared" si="99"/>
        <v>40540788.515434392</v>
      </c>
      <c r="AD89" s="167">
        <f t="shared" si="100"/>
        <v>18018128.229081955</v>
      </c>
      <c r="AE89" s="167">
        <f t="shared" si="101"/>
        <v>18018128.229081955</v>
      </c>
      <c r="AF89" s="167">
        <f t="shared" si="102"/>
        <v>0</v>
      </c>
      <c r="AG89" s="167">
        <f t="shared" si="103"/>
        <v>4504532.0572704887</v>
      </c>
      <c r="AK89" s="167"/>
      <c r="BA89" s="167"/>
      <c r="BJ89" s="201">
        <f t="shared" si="94"/>
        <v>-1.6363480595472899E-4</v>
      </c>
      <c r="BK89" s="201">
        <f t="shared" si="95"/>
        <v>6.1639428731212226E-4</v>
      </c>
      <c r="BL89" s="243">
        <f t="shared" si="104"/>
        <v>6.0734710527605221E-3</v>
      </c>
      <c r="BM89" s="243">
        <f t="shared" si="105"/>
        <v>1.1065195391841067E-3</v>
      </c>
      <c r="BN89" s="243">
        <f t="shared" si="106"/>
        <v>-4.4591085907419198E-4</v>
      </c>
      <c r="BO89" s="243">
        <f t="shared" si="107"/>
        <v>-6.5647987585922712E-4</v>
      </c>
      <c r="BR89" s="200">
        <f t="shared" si="108"/>
        <v>2.6776349719841811E-8</v>
      </c>
      <c r="BS89" s="201">
        <f t="shared" si="109"/>
        <v>3.7994191743101914E-7</v>
      </c>
      <c r="BT89" s="201">
        <f t="shared" si="110"/>
        <v>3.6887050628720001E-5</v>
      </c>
      <c r="BU89" s="201">
        <f t="shared" si="111"/>
        <v>1.2243854905962078E-6</v>
      </c>
      <c r="BV89" s="201">
        <f t="shared" si="112"/>
        <v>1.9883649424028391E-7</v>
      </c>
      <c r="BW89" s="201">
        <f t="shared" si="113"/>
        <v>4.3096582740814627E-7</v>
      </c>
    </row>
    <row r="90" spans="1:75" x14ac:dyDescent="0.25">
      <c r="A90" s="122">
        <v>21737</v>
      </c>
      <c r="B90" s="153">
        <v>217</v>
      </c>
      <c r="C90" s="184">
        <f>+'Sampling Weights'!R90</f>
        <v>3038.4740048743683</v>
      </c>
      <c r="D90" s="155">
        <f>+SUM('Sampling Weights'!I90:N90)</f>
        <v>16</v>
      </c>
      <c r="E90" s="155">
        <v>7</v>
      </c>
      <c r="F90" s="155">
        <v>5</v>
      </c>
      <c r="G90" s="155">
        <v>2</v>
      </c>
      <c r="H90" s="154">
        <v>1</v>
      </c>
      <c r="I90" s="154">
        <v>0</v>
      </c>
      <c r="J90" s="154">
        <v>4</v>
      </c>
      <c r="K90" s="155"/>
      <c r="L90" s="172"/>
      <c r="M90" s="172"/>
      <c r="N90" s="172"/>
      <c r="P90" s="184"/>
      <c r="Q90" s="173"/>
      <c r="R90" s="167"/>
      <c r="S90" s="184">
        <f t="shared" si="96"/>
        <v>48615.584077989894</v>
      </c>
      <c r="T90" s="184">
        <f t="shared" si="96"/>
        <v>21269.318034120577</v>
      </c>
      <c r="U90" s="184">
        <f t="shared" si="96"/>
        <v>15192.370024371841</v>
      </c>
      <c r="V90" s="184">
        <f t="shared" si="96"/>
        <v>6076.9480097487367</v>
      </c>
      <c r="W90" s="184">
        <f t="shared" si="93"/>
        <v>3038.4740048743683</v>
      </c>
      <c r="X90" s="184">
        <f t="shared" si="93"/>
        <v>0</v>
      </c>
      <c r="Y90" s="184">
        <f t="shared" si="93"/>
        <v>12153.896019497473</v>
      </c>
      <c r="AA90" s="167">
        <f t="shared" si="97"/>
        <v>2363475015.2441044</v>
      </c>
      <c r="AB90" s="167">
        <f t="shared" si="98"/>
        <v>452383889.63656682</v>
      </c>
      <c r="AC90" s="167">
        <f t="shared" si="99"/>
        <v>230808106.95743206</v>
      </c>
      <c r="AD90" s="167">
        <f t="shared" si="100"/>
        <v>36929297.113189131</v>
      </c>
      <c r="AE90" s="167">
        <f t="shared" si="101"/>
        <v>9232324.2782972828</v>
      </c>
      <c r="AF90" s="167">
        <f t="shared" si="102"/>
        <v>0</v>
      </c>
      <c r="AG90" s="167">
        <f t="shared" si="103"/>
        <v>147717188.45275652</v>
      </c>
      <c r="AK90" s="167"/>
      <c r="BA90" s="167"/>
      <c r="BJ90" s="201">
        <f t="shared" si="94"/>
        <v>3.9285989727371297E-3</v>
      </c>
      <c r="BK90" s="201">
        <f t="shared" si="95"/>
        <v>2.9638800437805949E-3</v>
      </c>
      <c r="BL90" s="243">
        <f t="shared" si="104"/>
        <v>4.1750788251315998E-3</v>
      </c>
      <c r="BM90" s="243">
        <f t="shared" si="105"/>
        <v>-1.5413705355830346E-2</v>
      </c>
      <c r="BN90" s="243">
        <f t="shared" si="106"/>
        <v>-1.0639653447716206E-3</v>
      </c>
      <c r="BO90" s="243">
        <f t="shared" si="107"/>
        <v>1.6487522231572072E-2</v>
      </c>
      <c r="BR90" s="200">
        <f t="shared" si="108"/>
        <v>1.5433889888591231E-5</v>
      </c>
      <c r="BS90" s="201">
        <f t="shared" si="109"/>
        <v>8.7845849139208607E-6</v>
      </c>
      <c r="BT90" s="201">
        <f t="shared" si="110"/>
        <v>1.7431283196062259E-5</v>
      </c>
      <c r="BU90" s="201">
        <f t="shared" si="111"/>
        <v>2.375823127963531E-4</v>
      </c>
      <c r="BV90" s="201">
        <f t="shared" si="112"/>
        <v>1.1320222548749935E-6</v>
      </c>
      <c r="BW90" s="201">
        <f t="shared" si="113"/>
        <v>2.7183838933658331E-4</v>
      </c>
    </row>
    <row r="91" spans="1:75" x14ac:dyDescent="0.25">
      <c r="A91" s="122">
        <v>21738</v>
      </c>
      <c r="B91" s="153">
        <v>217</v>
      </c>
      <c r="C91" s="184">
        <f>+'Sampling Weights'!R91</f>
        <v>2144.0846750191104</v>
      </c>
      <c r="D91" s="155">
        <f>+SUM('Sampling Weights'!I91:N91)</f>
        <v>11</v>
      </c>
      <c r="E91" s="155">
        <v>3</v>
      </c>
      <c r="F91" s="155">
        <v>1</v>
      </c>
      <c r="G91" s="155">
        <v>0</v>
      </c>
      <c r="H91" s="154">
        <v>1</v>
      </c>
      <c r="I91" s="154">
        <v>0</v>
      </c>
      <c r="J91" s="154">
        <v>0</v>
      </c>
      <c r="K91" s="155"/>
      <c r="L91" s="172"/>
      <c r="M91" s="172"/>
      <c r="N91" s="172"/>
      <c r="P91" s="184"/>
      <c r="Q91" s="173"/>
      <c r="R91" s="167"/>
      <c r="S91" s="184">
        <f t="shared" si="96"/>
        <v>23584.931425210212</v>
      </c>
      <c r="T91" s="184">
        <f t="shared" si="96"/>
        <v>6432.2540250573311</v>
      </c>
      <c r="U91" s="184">
        <f t="shared" si="96"/>
        <v>2144.0846750191104</v>
      </c>
      <c r="V91" s="184">
        <f t="shared" si="96"/>
        <v>0</v>
      </c>
      <c r="W91" s="184">
        <f t="shared" si="93"/>
        <v>2144.0846750191104</v>
      </c>
      <c r="X91" s="184">
        <f t="shared" si="93"/>
        <v>0</v>
      </c>
      <c r="Y91" s="184">
        <f t="shared" si="93"/>
        <v>0</v>
      </c>
      <c r="AA91" s="167">
        <f t="shared" si="97"/>
        <v>556248990.33186817</v>
      </c>
      <c r="AB91" s="167">
        <f t="shared" si="98"/>
        <v>41373891.842866234</v>
      </c>
      <c r="AC91" s="167">
        <f t="shared" si="99"/>
        <v>4597099.0936518041</v>
      </c>
      <c r="AD91" s="167">
        <f t="shared" si="100"/>
        <v>0</v>
      </c>
      <c r="AE91" s="167">
        <f t="shared" si="101"/>
        <v>4597099.0936518041</v>
      </c>
      <c r="AF91" s="167">
        <f t="shared" si="102"/>
        <v>0</v>
      </c>
      <c r="AG91" s="167">
        <f t="shared" si="103"/>
        <v>0</v>
      </c>
      <c r="AK91" s="167"/>
      <c r="BA91" s="167"/>
      <c r="BJ91" s="201">
        <f t="shared" si="94"/>
        <v>5.7482869859360299E-4</v>
      </c>
      <c r="BK91" s="201">
        <f t="shared" si="95"/>
        <v>-3.5217155773898534E-4</v>
      </c>
      <c r="BL91" s="243">
        <f t="shared" si="104"/>
        <v>-1.594716721397306E-3</v>
      </c>
      <c r="BM91" s="243">
        <f t="shared" si="105"/>
        <v>2.1925616997764178E-3</v>
      </c>
      <c r="BN91" s="243">
        <f t="shared" si="106"/>
        <v>-1.5015641317428862E-4</v>
      </c>
      <c r="BO91" s="243">
        <f t="shared" si="107"/>
        <v>-2.0410149494431082E-3</v>
      </c>
      <c r="BR91" s="200">
        <f t="shared" si="108"/>
        <v>3.3042803272681529E-7</v>
      </c>
      <c r="BS91" s="201">
        <f t="shared" si="109"/>
        <v>1.2402480608030347E-7</v>
      </c>
      <c r="BT91" s="201">
        <f t="shared" si="110"/>
        <v>2.5431214215041726E-6</v>
      </c>
      <c r="BU91" s="201">
        <f t="shared" si="111"/>
        <v>4.8073268073264542E-6</v>
      </c>
      <c r="BV91" s="201">
        <f t="shared" si="112"/>
        <v>2.2546948417367679E-8</v>
      </c>
      <c r="BW91" s="201">
        <f t="shared" si="113"/>
        <v>4.1657420238502536E-6</v>
      </c>
    </row>
    <row r="92" spans="1:75" x14ac:dyDescent="0.25">
      <c r="A92" s="122">
        <v>21739</v>
      </c>
      <c r="B92" s="153">
        <v>217</v>
      </c>
      <c r="C92" s="184">
        <f>+'Sampling Weights'!R92</f>
        <v>1606.9945936559</v>
      </c>
      <c r="D92" s="155">
        <f>+SUM('Sampling Weights'!I92:N92)</f>
        <v>14</v>
      </c>
      <c r="E92" s="155">
        <v>2</v>
      </c>
      <c r="F92" s="155">
        <v>1</v>
      </c>
      <c r="G92" s="155">
        <v>0</v>
      </c>
      <c r="H92" s="154">
        <v>0</v>
      </c>
      <c r="I92" s="154">
        <v>1</v>
      </c>
      <c r="J92" s="154">
        <v>0</v>
      </c>
      <c r="K92" s="154"/>
      <c r="L92" s="172"/>
      <c r="M92" s="172"/>
      <c r="N92" s="172"/>
      <c r="P92" s="184"/>
      <c r="Q92" s="173"/>
      <c r="R92" s="167"/>
      <c r="S92" s="184">
        <f t="shared" si="96"/>
        <v>22497.9243111826</v>
      </c>
      <c r="T92" s="184">
        <f t="shared" si="96"/>
        <v>3213.9891873117999</v>
      </c>
      <c r="U92" s="184">
        <f t="shared" si="96"/>
        <v>1606.9945936559</v>
      </c>
      <c r="V92" s="184">
        <f t="shared" si="96"/>
        <v>0</v>
      </c>
      <c r="W92" s="184">
        <f t="shared" si="93"/>
        <v>0</v>
      </c>
      <c r="X92" s="184">
        <f t="shared" si="93"/>
        <v>1606.9945936559</v>
      </c>
      <c r="Y92" s="184">
        <f t="shared" si="93"/>
        <v>0</v>
      </c>
      <c r="AA92" s="167">
        <f t="shared" si="97"/>
        <v>506156598.31170106</v>
      </c>
      <c r="AB92" s="167">
        <f t="shared" si="98"/>
        <v>10329726.496157164</v>
      </c>
      <c r="AC92" s="167">
        <f t="shared" si="99"/>
        <v>2582431.6240392909</v>
      </c>
      <c r="AD92" s="167">
        <f t="shared" si="100"/>
        <v>0</v>
      </c>
      <c r="AE92" s="167">
        <f t="shared" si="101"/>
        <v>0</v>
      </c>
      <c r="AF92" s="167">
        <f t="shared" si="102"/>
        <v>2582431.6240392909</v>
      </c>
      <c r="AG92" s="167">
        <f t="shared" si="103"/>
        <v>0</v>
      </c>
      <c r="AK92" s="167"/>
      <c r="BA92" s="167"/>
      <c r="BJ92" s="201">
        <f t="shared" si="94"/>
        <v>-4.5242099935759167E-4</v>
      </c>
      <c r="BK92" s="201">
        <f t="shared" si="95"/>
        <v>-4.8605376304014595E-4</v>
      </c>
      <c r="BL92" s="243">
        <f t="shared" si="104"/>
        <v>-1.1952425105017325E-3</v>
      </c>
      <c r="BM92" s="243">
        <f t="shared" si="105"/>
        <v>-2.4488403658928263E-3</v>
      </c>
      <c r="BN92" s="243">
        <f t="shared" si="106"/>
        <v>3.9796261095083841E-3</v>
      </c>
      <c r="BO92" s="243">
        <f t="shared" si="107"/>
        <v>-1.5297436838853911E-3</v>
      </c>
      <c r="BR92" s="200">
        <f t="shared" si="108"/>
        <v>2.0468476065972197E-7</v>
      </c>
      <c r="BS92" s="201">
        <f t="shared" si="109"/>
        <v>2.3624826056548634E-7</v>
      </c>
      <c r="BT92" s="201">
        <f t="shared" si="110"/>
        <v>1.4286046589104841E-6</v>
      </c>
      <c r="BU92" s="201">
        <f t="shared" si="111"/>
        <v>5.9968191376261117E-6</v>
      </c>
      <c r="BV92" s="201">
        <f t="shared" si="112"/>
        <v>1.5837423971480839E-5</v>
      </c>
      <c r="BW92" s="201">
        <f t="shared" si="113"/>
        <v>2.3401157383872473E-6</v>
      </c>
    </row>
    <row r="93" spans="1:75" x14ac:dyDescent="0.25">
      <c r="A93" s="122">
        <v>21740</v>
      </c>
      <c r="B93" s="153">
        <v>217</v>
      </c>
      <c r="C93" s="184">
        <f>+'Sampling Weights'!R93</f>
        <v>1720.0614057964196</v>
      </c>
      <c r="D93" s="155">
        <f>+SUM('Sampling Weights'!I93:N93)</f>
        <v>14</v>
      </c>
      <c r="E93" s="155">
        <v>5</v>
      </c>
      <c r="F93" s="155">
        <v>4</v>
      </c>
      <c r="G93" s="155">
        <v>0</v>
      </c>
      <c r="H93" s="154">
        <v>4</v>
      </c>
      <c r="I93" s="154">
        <v>0</v>
      </c>
      <c r="J93" s="154">
        <v>0</v>
      </c>
      <c r="K93" s="154"/>
      <c r="L93" s="172"/>
      <c r="M93" s="172"/>
      <c r="N93" s="172"/>
      <c r="P93" s="184"/>
      <c r="Q93" s="173"/>
      <c r="R93" s="167"/>
      <c r="S93" s="184">
        <f t="shared" si="96"/>
        <v>24080.859681149876</v>
      </c>
      <c r="T93" s="184">
        <f t="shared" si="96"/>
        <v>8600.3070289820989</v>
      </c>
      <c r="U93" s="184">
        <f t="shared" si="96"/>
        <v>6880.2456231856786</v>
      </c>
      <c r="V93" s="184">
        <f t="shared" si="96"/>
        <v>0</v>
      </c>
      <c r="W93" s="184">
        <f t="shared" si="93"/>
        <v>6880.2456231856786</v>
      </c>
      <c r="X93" s="184">
        <f t="shared" si="93"/>
        <v>0</v>
      </c>
      <c r="Y93" s="184">
        <f t="shared" si="93"/>
        <v>0</v>
      </c>
      <c r="AA93" s="167">
        <f t="shared" si="97"/>
        <v>579887802.98322964</v>
      </c>
      <c r="AB93" s="167">
        <f t="shared" si="98"/>
        <v>73965280.9927589</v>
      </c>
      <c r="AC93" s="167">
        <f t="shared" si="99"/>
        <v>47337779.83536569</v>
      </c>
      <c r="AD93" s="167">
        <f t="shared" si="100"/>
        <v>0</v>
      </c>
      <c r="AE93" s="167">
        <f t="shared" si="101"/>
        <v>47337779.83536569</v>
      </c>
      <c r="AF93" s="167">
        <f t="shared" si="102"/>
        <v>0</v>
      </c>
      <c r="AG93" s="167">
        <f t="shared" si="103"/>
        <v>0</v>
      </c>
      <c r="AK93" s="167"/>
      <c r="BA93" s="167"/>
      <c r="BJ93" s="201">
        <f t="shared" si="94"/>
        <v>1.2831755221630612E-3</v>
      </c>
      <c r="BK93" s="201">
        <f t="shared" si="95"/>
        <v>1.247176385010381E-3</v>
      </c>
      <c r="BL93" s="243">
        <f t="shared" si="104"/>
        <v>-5.1173551448088382E-3</v>
      </c>
      <c r="BM93" s="243">
        <f t="shared" si="105"/>
        <v>7.0358056350161603E-3</v>
      </c>
      <c r="BN93" s="243">
        <f t="shared" si="106"/>
        <v>-4.8184337893579298E-4</v>
      </c>
      <c r="BO93" s="243">
        <f t="shared" si="107"/>
        <v>-6.5495007433124452E-3</v>
      </c>
      <c r="BR93" s="200">
        <f t="shared" si="108"/>
        <v>1.6465394206784447E-6</v>
      </c>
      <c r="BS93" s="201">
        <f t="shared" si="109"/>
        <v>1.5554489353275622E-6</v>
      </c>
      <c r="BT93" s="201">
        <f t="shared" si="110"/>
        <v>2.6187323678101484E-5</v>
      </c>
      <c r="BU93" s="201">
        <f t="shared" si="111"/>
        <v>4.9502560933725157E-5</v>
      </c>
      <c r="BV93" s="201">
        <f t="shared" si="112"/>
        <v>2.321730418242622E-7</v>
      </c>
      <c r="BW93" s="201">
        <f t="shared" si="113"/>
        <v>4.2895959986650274E-5</v>
      </c>
    </row>
    <row r="94" spans="1:75" x14ac:dyDescent="0.25">
      <c r="A94" s="122">
        <v>11847</v>
      </c>
      <c r="B94" s="153">
        <v>118</v>
      </c>
      <c r="C94" s="184">
        <f>+'Sampling Weights'!R94</f>
        <v>1247.3960717546763</v>
      </c>
      <c r="D94" s="155">
        <f>+SUM('Sampling Weights'!I94:N94)</f>
        <v>15</v>
      </c>
      <c r="E94" s="155">
        <v>5</v>
      </c>
      <c r="F94" s="155">
        <v>4</v>
      </c>
      <c r="G94" s="155">
        <v>1</v>
      </c>
      <c r="H94" s="154">
        <v>3</v>
      </c>
      <c r="I94" s="154">
        <v>0</v>
      </c>
      <c r="J94" s="154">
        <v>1</v>
      </c>
      <c r="K94" s="155"/>
      <c r="L94" s="172"/>
      <c r="M94" s="172"/>
      <c r="N94" s="172"/>
      <c r="P94" s="184"/>
      <c r="Q94" s="173"/>
      <c r="R94" s="167"/>
      <c r="S94" s="184">
        <f t="shared" si="96"/>
        <v>18710.941076320145</v>
      </c>
      <c r="T94" s="184">
        <f t="shared" si="96"/>
        <v>6236.9803587733813</v>
      </c>
      <c r="U94" s="184">
        <f t="shared" si="96"/>
        <v>4989.5842870187053</v>
      </c>
      <c r="V94" s="184">
        <f t="shared" si="96"/>
        <v>1247.3960717546763</v>
      </c>
      <c r="W94" s="184">
        <f t="shared" si="93"/>
        <v>3742.1882152640292</v>
      </c>
      <c r="X94" s="184">
        <f t="shared" si="93"/>
        <v>0</v>
      </c>
      <c r="Y94" s="184">
        <f t="shared" si="93"/>
        <v>1247.3960717546763</v>
      </c>
      <c r="AA94" s="167">
        <f t="shared" si="97"/>
        <v>350099315.96152449</v>
      </c>
      <c r="AB94" s="167">
        <f t="shared" si="98"/>
        <v>38899923.995724939</v>
      </c>
      <c r="AC94" s="167">
        <f t="shared" si="99"/>
        <v>24895951.35726396</v>
      </c>
      <c r="AD94" s="167">
        <f t="shared" si="100"/>
        <v>1555996.9598289975</v>
      </c>
      <c r="AE94" s="167">
        <f t="shared" si="101"/>
        <v>14003972.638460981</v>
      </c>
      <c r="AF94" s="167">
        <f t="shared" si="102"/>
        <v>0</v>
      </c>
      <c r="AG94" s="167">
        <f t="shared" si="103"/>
        <v>1555996.9598289975</v>
      </c>
      <c r="AK94" s="167"/>
      <c r="BA94" s="167"/>
      <c r="BJ94" s="201">
        <f t="shared" si="94"/>
        <v>8.4444449231601735E-4</v>
      </c>
      <c r="BK94" s="201">
        <f t="shared" si="95"/>
        <v>8.4699077672227314E-4</v>
      </c>
      <c r="BL94" s="243">
        <f t="shared" si="104"/>
        <v>-5.3466779901384723E-4</v>
      </c>
      <c r="BM94" s="243">
        <f t="shared" si="105"/>
        <v>1.9259365044659155E-3</v>
      </c>
      <c r="BN94" s="243">
        <f t="shared" si="106"/>
        <v>-3.4943493067168222E-4</v>
      </c>
      <c r="BO94" s="243">
        <f t="shared" si="107"/>
        <v>-1.5732660651769028E-3</v>
      </c>
      <c r="BR94" s="200">
        <f t="shared" si="108"/>
        <v>7.1308650060285627E-7</v>
      </c>
      <c r="BS94" s="201">
        <f t="shared" si="109"/>
        <v>7.1739337585259955E-7</v>
      </c>
      <c r="BT94" s="201">
        <f t="shared" si="110"/>
        <v>2.8586965530231175E-7</v>
      </c>
      <c r="BU94" s="201">
        <f t="shared" si="111"/>
        <v>3.7092314192343894E-6</v>
      </c>
      <c r="BV94" s="201">
        <f t="shared" si="112"/>
        <v>1.2210477077352336E-7</v>
      </c>
      <c r="BW94" s="201">
        <f t="shared" si="113"/>
        <v>2.4751661118372146E-6</v>
      </c>
    </row>
    <row r="95" spans="1:75" x14ac:dyDescent="0.25">
      <c r="A95" s="122">
        <v>11848</v>
      </c>
      <c r="B95" s="153">
        <v>118</v>
      </c>
      <c r="C95" s="184">
        <f>+'Sampling Weights'!R95</f>
        <v>1035.981760344954</v>
      </c>
      <c r="D95" s="155">
        <f>+SUM('Sampling Weights'!I95:N95)</f>
        <v>16</v>
      </c>
      <c r="E95" s="155">
        <v>2</v>
      </c>
      <c r="F95" s="155">
        <v>2</v>
      </c>
      <c r="G95" s="155">
        <v>1</v>
      </c>
      <c r="H95" s="154">
        <v>2</v>
      </c>
      <c r="I95" s="154">
        <v>0</v>
      </c>
      <c r="J95" s="154">
        <v>0</v>
      </c>
      <c r="K95" s="155"/>
      <c r="L95" s="172"/>
      <c r="M95" s="172"/>
      <c r="N95" s="172"/>
      <c r="P95" s="184"/>
      <c r="Q95" s="173"/>
      <c r="R95" s="167"/>
      <c r="S95" s="184">
        <f t="shared" si="96"/>
        <v>16575.708165519263</v>
      </c>
      <c r="T95" s="184">
        <f t="shared" si="96"/>
        <v>2071.9635206899079</v>
      </c>
      <c r="U95" s="184">
        <f t="shared" si="96"/>
        <v>2071.9635206899079</v>
      </c>
      <c r="V95" s="184">
        <f t="shared" si="96"/>
        <v>1035.981760344954</v>
      </c>
      <c r="W95" s="184">
        <f t="shared" si="93"/>
        <v>2071.9635206899079</v>
      </c>
      <c r="X95" s="184">
        <f t="shared" si="93"/>
        <v>0</v>
      </c>
      <c r="Y95" s="184">
        <f t="shared" si="93"/>
        <v>0</v>
      </c>
      <c r="AA95" s="167">
        <f t="shared" si="97"/>
        <v>274754101.18846196</v>
      </c>
      <c r="AB95" s="167">
        <f t="shared" si="98"/>
        <v>4293032.8310697181</v>
      </c>
      <c r="AC95" s="167">
        <f t="shared" si="99"/>
        <v>4293032.8310697181</v>
      </c>
      <c r="AD95" s="167">
        <f t="shared" si="100"/>
        <v>1073258.2077674295</v>
      </c>
      <c r="AE95" s="167">
        <f t="shared" si="101"/>
        <v>4293032.8310697181</v>
      </c>
      <c r="AF95" s="167">
        <f t="shared" si="102"/>
        <v>0</v>
      </c>
      <c r="AG95" s="167">
        <f t="shared" si="103"/>
        <v>0</v>
      </c>
      <c r="AK95" s="167"/>
      <c r="BA95" s="167"/>
      <c r="BJ95" s="201">
        <f t="shared" si="94"/>
        <v>-4.3471042578377677E-4</v>
      </c>
      <c r="BK95" s="201">
        <f t="shared" si="95"/>
        <v>-5.3962041223439101E-5</v>
      </c>
      <c r="BL95" s="243">
        <f t="shared" si="104"/>
        <v>1.0970249157146634E-3</v>
      </c>
      <c r="BM95" s="243">
        <f t="shared" si="105"/>
        <v>2.1188099106944571E-3</v>
      </c>
      <c r="BN95" s="243">
        <f t="shared" si="106"/>
        <v>-1.4510556141724882E-4</v>
      </c>
      <c r="BO95" s="243">
        <f t="shared" si="107"/>
        <v>-1.9723607792640862E-3</v>
      </c>
      <c r="BR95" s="200">
        <f t="shared" si="108"/>
        <v>1.8897315428511249E-7</v>
      </c>
      <c r="BS95" s="201">
        <f t="shared" si="109"/>
        <v>2.9119018930001408E-9</v>
      </c>
      <c r="BT95" s="201">
        <f t="shared" si="110"/>
        <v>1.2034636656987645E-6</v>
      </c>
      <c r="BU95" s="201">
        <f t="shared" si="111"/>
        <v>4.4893554376570534E-6</v>
      </c>
      <c r="BV95" s="201">
        <f t="shared" si="112"/>
        <v>2.105562395421497E-8</v>
      </c>
      <c r="BW95" s="201">
        <f t="shared" si="113"/>
        <v>3.8902070435792332E-6</v>
      </c>
    </row>
    <row r="96" spans="1:75" x14ac:dyDescent="0.25">
      <c r="A96" s="122">
        <v>11849</v>
      </c>
      <c r="B96" s="153">
        <v>118</v>
      </c>
      <c r="C96" s="184">
        <f>+'Sampling Weights'!R96</f>
        <v>426.38299380954322</v>
      </c>
      <c r="D96" s="155">
        <f>+SUM('Sampling Weights'!I96:N96)</f>
        <v>17</v>
      </c>
      <c r="E96" s="155">
        <v>5</v>
      </c>
      <c r="F96" s="155">
        <v>1</v>
      </c>
      <c r="G96" s="155">
        <v>0</v>
      </c>
      <c r="H96" s="154">
        <v>0</v>
      </c>
      <c r="I96" s="154">
        <v>0</v>
      </c>
      <c r="J96" s="154">
        <v>1</v>
      </c>
      <c r="K96" s="155"/>
      <c r="L96" s="172"/>
      <c r="M96" s="172"/>
      <c r="N96" s="172"/>
      <c r="P96" s="184"/>
      <c r="Q96" s="173"/>
      <c r="R96" s="167"/>
      <c r="S96" s="184">
        <f t="shared" si="96"/>
        <v>7248.5108947622348</v>
      </c>
      <c r="T96" s="184">
        <f t="shared" si="96"/>
        <v>2131.9149690477161</v>
      </c>
      <c r="U96" s="184">
        <f t="shared" si="96"/>
        <v>426.38299380954322</v>
      </c>
      <c r="V96" s="184">
        <f t="shared" si="96"/>
        <v>0</v>
      </c>
      <c r="W96" s="184">
        <f t="shared" si="93"/>
        <v>0</v>
      </c>
      <c r="X96" s="184">
        <f t="shared" si="93"/>
        <v>0</v>
      </c>
      <c r="Y96" s="184">
        <f t="shared" si="93"/>
        <v>426.38299380954322</v>
      </c>
      <c r="AA96" s="167">
        <f t="shared" si="97"/>
        <v>52540910.191486813</v>
      </c>
      <c r="AB96" s="167">
        <f t="shared" si="98"/>
        <v>4545061.4352497244</v>
      </c>
      <c r="AC96" s="167">
        <f t="shared" si="99"/>
        <v>181802.45740998897</v>
      </c>
      <c r="AD96" s="167">
        <f t="shared" si="100"/>
        <v>0</v>
      </c>
      <c r="AE96" s="167">
        <f t="shared" si="101"/>
        <v>0</v>
      </c>
      <c r="AF96" s="167">
        <f t="shared" si="102"/>
        <v>0</v>
      </c>
      <c r="AG96" s="167">
        <f t="shared" si="103"/>
        <v>181802.45740998897</v>
      </c>
      <c r="AK96" s="167"/>
      <c r="BA96" s="167"/>
      <c r="BJ96" s="201">
        <f t="shared" si="94"/>
        <v>2.2977188408025037E-4</v>
      </c>
      <c r="BK96" s="201">
        <f t="shared" si="95"/>
        <v>-1.8789422622632947E-4</v>
      </c>
      <c r="BL96" s="243">
        <f t="shared" si="104"/>
        <v>-3.1713303950622293E-4</v>
      </c>
      <c r="BM96" s="243">
        <f t="shared" si="105"/>
        <v>-6.4974947065355175E-4</v>
      </c>
      <c r="BN96" s="243">
        <f t="shared" si="106"/>
        <v>-2.9860826736418547E-5</v>
      </c>
      <c r="BO96" s="243">
        <f t="shared" si="107"/>
        <v>6.7988678652641853E-4</v>
      </c>
      <c r="BR96" s="200">
        <f t="shared" si="108"/>
        <v>5.2795118713788009E-8</v>
      </c>
      <c r="BS96" s="201">
        <f t="shared" si="109"/>
        <v>3.5304240249191078E-8</v>
      </c>
      <c r="BT96" s="201">
        <f t="shared" si="110"/>
        <v>1.0057336474645556E-7</v>
      </c>
      <c r="BU96" s="201">
        <f t="shared" si="111"/>
        <v>4.221743746145707E-7</v>
      </c>
      <c r="BV96" s="201">
        <f t="shared" si="112"/>
        <v>8.9166897338240878E-10</v>
      </c>
      <c r="BW96" s="201">
        <f t="shared" si="113"/>
        <v>4.6224604249321981E-7</v>
      </c>
    </row>
    <row r="97" spans="1:75" x14ac:dyDescent="0.25">
      <c r="A97" s="122">
        <v>11850</v>
      </c>
      <c r="B97" s="153">
        <v>118</v>
      </c>
      <c r="C97" s="184">
        <f>+'Sampling Weights'!R97</f>
        <v>747.89097465691452</v>
      </c>
      <c r="D97" s="155">
        <f>+SUM('Sampling Weights'!I97:N97)</f>
        <v>15</v>
      </c>
      <c r="E97" s="155">
        <v>6</v>
      </c>
      <c r="F97" s="155">
        <v>6</v>
      </c>
      <c r="G97" s="155">
        <v>2</v>
      </c>
      <c r="H97" s="154">
        <v>1</v>
      </c>
      <c r="I97" s="154">
        <v>4</v>
      </c>
      <c r="J97" s="154">
        <v>1</v>
      </c>
      <c r="K97" s="155"/>
      <c r="L97" s="172"/>
      <c r="M97" s="172"/>
      <c r="N97" s="172"/>
      <c r="P97" s="184"/>
      <c r="Q97" s="173"/>
      <c r="R97" s="167"/>
      <c r="S97" s="184">
        <f t="shared" si="96"/>
        <v>11218.364619853717</v>
      </c>
      <c r="T97" s="184">
        <f t="shared" si="96"/>
        <v>4487.3458479414876</v>
      </c>
      <c r="U97" s="184">
        <f t="shared" si="96"/>
        <v>4487.3458479414876</v>
      </c>
      <c r="V97" s="184">
        <f t="shared" si="96"/>
        <v>1495.781949313829</v>
      </c>
      <c r="W97" s="184">
        <f t="shared" si="93"/>
        <v>747.89097465691452</v>
      </c>
      <c r="X97" s="184">
        <f t="shared" si="93"/>
        <v>2991.5638986276581</v>
      </c>
      <c r="Y97" s="184">
        <f t="shared" si="93"/>
        <v>747.89097465691452</v>
      </c>
      <c r="AA97" s="167">
        <f t="shared" si="97"/>
        <v>125851704.74398564</v>
      </c>
      <c r="AB97" s="167">
        <f t="shared" si="98"/>
        <v>20136272.759037707</v>
      </c>
      <c r="AC97" s="167">
        <f t="shared" si="99"/>
        <v>20136272.759037707</v>
      </c>
      <c r="AD97" s="167">
        <f t="shared" si="100"/>
        <v>2237363.6398930782</v>
      </c>
      <c r="AE97" s="167">
        <f t="shared" si="101"/>
        <v>559340.90997326956</v>
      </c>
      <c r="AF97" s="167">
        <f t="shared" si="102"/>
        <v>8949454.559572313</v>
      </c>
      <c r="AG97" s="167">
        <f t="shared" si="103"/>
        <v>559340.90997326956</v>
      </c>
      <c r="AK97" s="167"/>
      <c r="BA97" s="167"/>
      <c r="BJ97" s="201">
        <f t="shared" si="94"/>
        <v>7.6245875639514827E-4</v>
      </c>
      <c r="BK97" s="201">
        <f t="shared" si="95"/>
        <v>1.0201475479548025E-3</v>
      </c>
      <c r="BL97" s="243">
        <f t="shared" si="104"/>
        <v>4.7139259357382264E-4</v>
      </c>
      <c r="BM97" s="243">
        <f t="shared" si="105"/>
        <v>-4.9336181629902288E-3</v>
      </c>
      <c r="BN97" s="243">
        <f t="shared" si="106"/>
        <v>7.3036753695697254E-3</v>
      </c>
      <c r="BO97" s="243">
        <f t="shared" si="107"/>
        <v>-2.3671473757549697E-3</v>
      </c>
      <c r="BR97" s="200">
        <f t="shared" si="108"/>
        <v>5.8134335520363602E-7</v>
      </c>
      <c r="BS97" s="201">
        <f t="shared" si="109"/>
        <v>1.0407010195981961E-6</v>
      </c>
      <c r="BT97" s="201">
        <f t="shared" si="110"/>
        <v>2.2221097727625514E-7</v>
      </c>
      <c r="BU97" s="201">
        <f t="shared" si="111"/>
        <v>2.4340588178187081E-5</v>
      </c>
      <c r="BV97" s="201">
        <f t="shared" si="112"/>
        <v>5.3343673904059462E-5</v>
      </c>
      <c r="BW97" s="201">
        <f t="shared" si="113"/>
        <v>5.6033866985436395E-6</v>
      </c>
    </row>
    <row r="98" spans="1:75" x14ac:dyDescent="0.25">
      <c r="A98" s="122">
        <v>11851</v>
      </c>
      <c r="B98" s="153">
        <v>118</v>
      </c>
      <c r="C98" s="184">
        <f>+'Sampling Weights'!R98</f>
        <v>907.76208069389759</v>
      </c>
      <c r="D98" s="155">
        <f>+SUM('Sampling Weights'!I98:N98)</f>
        <v>12</v>
      </c>
      <c r="E98" s="155">
        <v>3</v>
      </c>
      <c r="F98" s="155">
        <v>1</v>
      </c>
      <c r="G98" s="155">
        <v>0</v>
      </c>
      <c r="H98" s="154">
        <v>1</v>
      </c>
      <c r="I98" s="154">
        <v>0</v>
      </c>
      <c r="J98" s="154">
        <v>0</v>
      </c>
      <c r="K98" s="155"/>
      <c r="L98" s="172"/>
      <c r="M98" s="172"/>
      <c r="N98" s="172"/>
      <c r="P98" s="184"/>
      <c r="Q98" s="173"/>
      <c r="R98" s="167"/>
      <c r="S98" s="184">
        <f t="shared" si="96"/>
        <v>10893.144968326771</v>
      </c>
      <c r="T98" s="184">
        <f t="shared" si="96"/>
        <v>2723.2862420816928</v>
      </c>
      <c r="U98" s="184">
        <f t="shared" si="96"/>
        <v>907.76208069389759</v>
      </c>
      <c r="V98" s="184">
        <f t="shared" si="96"/>
        <v>0</v>
      </c>
      <c r="W98" s="184">
        <f t="shared" si="93"/>
        <v>907.76208069389759</v>
      </c>
      <c r="X98" s="184">
        <f t="shared" si="93"/>
        <v>0</v>
      </c>
      <c r="Y98" s="184">
        <f t="shared" si="93"/>
        <v>0</v>
      </c>
      <c r="AA98" s="167">
        <f t="shared" si="97"/>
        <v>118660607.30098285</v>
      </c>
      <c r="AB98" s="167">
        <f t="shared" si="98"/>
        <v>7416287.956311428</v>
      </c>
      <c r="AC98" s="167">
        <f t="shared" si="99"/>
        <v>824031.99514571426</v>
      </c>
      <c r="AD98" s="167">
        <f t="shared" si="100"/>
        <v>0</v>
      </c>
      <c r="AE98" s="167">
        <f t="shared" si="101"/>
        <v>824031.99514571426</v>
      </c>
      <c r="AF98" s="167">
        <f t="shared" si="102"/>
        <v>0</v>
      </c>
      <c r="AG98" s="167">
        <f t="shared" si="103"/>
        <v>0</v>
      </c>
      <c r="AK98" s="167"/>
      <c r="BA98" s="167"/>
      <c r="BJ98" s="201">
        <f t="shared" si="94"/>
        <v>1.8069909723924529E-4</v>
      </c>
      <c r="BK98" s="201">
        <f t="shared" si="95"/>
        <v>-1.9092252565447839E-4</v>
      </c>
      <c r="BL98" s="243">
        <f t="shared" si="104"/>
        <v>-6.7517080178751171E-4</v>
      </c>
      <c r="BM98" s="243">
        <f t="shared" si="105"/>
        <v>9.28286272379168E-4</v>
      </c>
      <c r="BN98" s="243">
        <f t="shared" si="106"/>
        <v>-6.3573187962555591E-5</v>
      </c>
      <c r="BO98" s="243">
        <f t="shared" si="107"/>
        <v>-8.6412444378732966E-4</v>
      </c>
      <c r="BR98" s="200">
        <f t="shared" si="108"/>
        <v>3.2652163743078224E-8</v>
      </c>
      <c r="BS98" s="201">
        <f t="shared" si="109"/>
        <v>3.6451410802284956E-8</v>
      </c>
      <c r="BT98" s="201">
        <f t="shared" si="110"/>
        <v>4.5585561158639145E-7</v>
      </c>
      <c r="BU98" s="201">
        <f t="shared" si="111"/>
        <v>8.6171540348761084E-7</v>
      </c>
      <c r="BV98" s="201">
        <f t="shared" si="112"/>
        <v>4.0415502277224235E-9</v>
      </c>
      <c r="BW98" s="201">
        <f t="shared" si="113"/>
        <v>7.4671105435076191E-7</v>
      </c>
    </row>
    <row r="99" spans="1:75" x14ac:dyDescent="0.25">
      <c r="A99" s="122">
        <v>11852</v>
      </c>
      <c r="B99" s="153">
        <v>118</v>
      </c>
      <c r="C99" s="184">
        <f>+'Sampling Weights'!R99</f>
        <v>409.76708856442974</v>
      </c>
      <c r="D99" s="155">
        <f>+SUM('Sampling Weights'!I99:N99)</f>
        <v>17</v>
      </c>
      <c r="E99" s="155">
        <v>3</v>
      </c>
      <c r="F99" s="155">
        <v>3</v>
      </c>
      <c r="G99" s="155">
        <v>1</v>
      </c>
      <c r="H99" s="154">
        <v>2</v>
      </c>
      <c r="I99" s="154">
        <v>1</v>
      </c>
      <c r="J99" s="154">
        <v>0</v>
      </c>
      <c r="K99" s="155"/>
      <c r="L99" s="172"/>
      <c r="M99" s="172"/>
      <c r="N99" s="172"/>
      <c r="P99" s="184"/>
      <c r="Q99" s="173"/>
      <c r="R99" s="167"/>
      <c r="S99" s="184">
        <f t="shared" si="96"/>
        <v>6966.0405055953051</v>
      </c>
      <c r="T99" s="184">
        <f t="shared" si="96"/>
        <v>1229.3012656932892</v>
      </c>
      <c r="U99" s="184">
        <f t="shared" si="96"/>
        <v>1229.3012656932892</v>
      </c>
      <c r="V99" s="184">
        <f t="shared" si="96"/>
        <v>409.76708856442974</v>
      </c>
      <c r="W99" s="184">
        <f t="shared" si="93"/>
        <v>819.53417712885948</v>
      </c>
      <c r="X99" s="184">
        <f t="shared" si="93"/>
        <v>409.76708856442974</v>
      </c>
      <c r="Y99" s="184">
        <f t="shared" si="93"/>
        <v>0</v>
      </c>
      <c r="AA99" s="167">
        <f t="shared" si="97"/>
        <v>48525720.325594492</v>
      </c>
      <c r="AB99" s="167">
        <f t="shared" si="98"/>
        <v>1511181.6018351228</v>
      </c>
      <c r="AC99" s="167">
        <f t="shared" si="99"/>
        <v>1511181.6018351228</v>
      </c>
      <c r="AD99" s="167">
        <f t="shared" si="100"/>
        <v>167909.06687056919</v>
      </c>
      <c r="AE99" s="167">
        <f t="shared" si="101"/>
        <v>671636.26748227677</v>
      </c>
      <c r="AF99" s="167">
        <f t="shared" si="102"/>
        <v>167909.06687056919</v>
      </c>
      <c r="AG99" s="167">
        <f t="shared" si="103"/>
        <v>0</v>
      </c>
      <c r="AK99" s="167"/>
      <c r="BA99" s="167"/>
      <c r="BJ99" s="201">
        <f t="shared" si="94"/>
        <v>-5.9883038494716084E-5</v>
      </c>
      <c r="BK99" s="201">
        <f t="shared" si="95"/>
        <v>1.0012874759624648E-4</v>
      </c>
      <c r="BL99" s="243">
        <f t="shared" si="104"/>
        <v>1.2913725207620741E-4</v>
      </c>
      <c r="BM99" s="243">
        <f t="shared" si="105"/>
        <v>2.1363446639767637E-4</v>
      </c>
      <c r="BN99" s="243">
        <f t="shared" si="106"/>
        <v>9.5736938113287137E-4</v>
      </c>
      <c r="BO99" s="243">
        <f t="shared" si="107"/>
        <v>-1.1702067039992135E-3</v>
      </c>
      <c r="BR99" s="200">
        <f t="shared" si="108"/>
        <v>3.5859782993596484E-9</v>
      </c>
      <c r="BS99" s="201">
        <f t="shared" si="109"/>
        <v>1.0025766095192835E-8</v>
      </c>
      <c r="BT99" s="201">
        <f t="shared" si="110"/>
        <v>1.6676429873793935E-8</v>
      </c>
      <c r="BU99" s="201">
        <f t="shared" si="111"/>
        <v>4.5639685233019914E-8</v>
      </c>
      <c r="BV99" s="201">
        <f t="shared" si="112"/>
        <v>9.165561319307371E-7</v>
      </c>
      <c r="BW99" s="201">
        <f t="shared" si="113"/>
        <v>1.3693837300847029E-6</v>
      </c>
    </row>
    <row r="100" spans="1:75" x14ac:dyDescent="0.25">
      <c r="A100" s="122">
        <v>11853</v>
      </c>
      <c r="B100" s="153">
        <v>118</v>
      </c>
      <c r="C100" s="184">
        <f>+'Sampling Weights'!R100</f>
        <v>830.16132217187203</v>
      </c>
      <c r="D100" s="155">
        <f>+SUM('Sampling Weights'!I100:N100)</f>
        <v>14</v>
      </c>
      <c r="E100" s="155">
        <v>5</v>
      </c>
      <c r="F100" s="155">
        <v>5</v>
      </c>
      <c r="G100" s="155">
        <v>3</v>
      </c>
      <c r="H100" s="154">
        <v>3</v>
      </c>
      <c r="I100" s="154">
        <v>0</v>
      </c>
      <c r="J100" s="154">
        <v>2</v>
      </c>
      <c r="K100" s="155"/>
      <c r="L100" s="172"/>
      <c r="M100" s="172"/>
      <c r="N100" s="172"/>
      <c r="P100" s="184"/>
      <c r="Q100" s="173"/>
      <c r="R100" s="167"/>
      <c r="S100" s="184">
        <f t="shared" si="96"/>
        <v>11622.258510406209</v>
      </c>
      <c r="T100" s="184">
        <f t="shared" si="96"/>
        <v>4150.8066108593603</v>
      </c>
      <c r="U100" s="184">
        <f t="shared" si="96"/>
        <v>4150.8066108593603</v>
      </c>
      <c r="V100" s="184">
        <f t="shared" si="96"/>
        <v>2490.483966515616</v>
      </c>
      <c r="W100" s="184">
        <f t="shared" si="93"/>
        <v>2490.483966515616</v>
      </c>
      <c r="X100" s="184">
        <f t="shared" si="93"/>
        <v>0</v>
      </c>
      <c r="Y100" s="184">
        <f t="shared" si="93"/>
        <v>1660.3226443437441</v>
      </c>
      <c r="AA100" s="167">
        <f t="shared" si="97"/>
        <v>135076892.88270956</v>
      </c>
      <c r="AB100" s="167">
        <f t="shared" si="98"/>
        <v>17229195.520753767</v>
      </c>
      <c r="AC100" s="167">
        <f t="shared" si="99"/>
        <v>17229195.520753767</v>
      </c>
      <c r="AD100" s="167">
        <f t="shared" si="100"/>
        <v>6202510.3874713555</v>
      </c>
      <c r="AE100" s="167">
        <f t="shared" si="101"/>
        <v>6202510.3874713555</v>
      </c>
      <c r="AF100" s="167">
        <f t="shared" si="102"/>
        <v>0</v>
      </c>
      <c r="AG100" s="167">
        <f t="shared" si="103"/>
        <v>2756671.283320603</v>
      </c>
      <c r="AK100" s="167"/>
      <c r="BA100" s="167"/>
      <c r="BJ100" s="201">
        <f t="shared" si="94"/>
        <v>6.1930503438291037E-4</v>
      </c>
      <c r="BK100" s="201">
        <f t="shared" si="95"/>
        <v>8.862713750418873E-4</v>
      </c>
      <c r="BL100" s="243">
        <f t="shared" si="104"/>
        <v>3.2546840508046598E-3</v>
      </c>
      <c r="BM100" s="243">
        <f t="shared" si="105"/>
        <v>1.6687926823510105E-5</v>
      </c>
      <c r="BN100" s="243">
        <f t="shared" si="106"/>
        <v>-2.9069291886115063E-4</v>
      </c>
      <c r="BO100" s="243">
        <f t="shared" si="107"/>
        <v>2.7669659313820586E-4</v>
      </c>
      <c r="BR100" s="200">
        <f t="shared" si="108"/>
        <v>3.8353872561201782E-7</v>
      </c>
      <c r="BS100" s="201">
        <f t="shared" si="109"/>
        <v>7.854769502186377E-7</v>
      </c>
      <c r="BT100" s="201">
        <f t="shared" si="110"/>
        <v>1.0592968270562229E-5</v>
      </c>
      <c r="BU100" s="201">
        <f t="shared" si="111"/>
        <v>2.7848690166682806E-10</v>
      </c>
      <c r="BV100" s="201">
        <f t="shared" si="112"/>
        <v>8.4502373076015504E-8</v>
      </c>
      <c r="BW100" s="201">
        <f t="shared" si="113"/>
        <v>7.6561004654289827E-8</v>
      </c>
    </row>
    <row r="101" spans="1:75" x14ac:dyDescent="0.25">
      <c r="A101" s="122">
        <v>11854</v>
      </c>
      <c r="B101" s="153">
        <v>118</v>
      </c>
      <c r="C101" s="184">
        <f>+'Sampling Weights'!R101</f>
        <v>901.61041454231724</v>
      </c>
      <c r="D101" s="155">
        <f>+SUM('Sampling Weights'!I101:N101)</f>
        <v>15</v>
      </c>
      <c r="E101" s="155">
        <v>4</v>
      </c>
      <c r="F101" s="155">
        <v>3</v>
      </c>
      <c r="G101" s="155">
        <v>1</v>
      </c>
      <c r="H101" s="154">
        <v>0</v>
      </c>
      <c r="I101" s="154">
        <v>0</v>
      </c>
      <c r="J101" s="154">
        <v>3</v>
      </c>
      <c r="K101" s="155"/>
      <c r="L101" s="172"/>
      <c r="M101" s="172"/>
      <c r="N101" s="172"/>
      <c r="P101" s="184"/>
      <c r="Q101" s="173"/>
      <c r="R101" s="167"/>
      <c r="S101" s="184">
        <f t="shared" si="96"/>
        <v>13524.156218134758</v>
      </c>
      <c r="T101" s="184">
        <f t="shared" si="96"/>
        <v>3606.441658169269</v>
      </c>
      <c r="U101" s="184">
        <f t="shared" si="96"/>
        <v>2704.8312436269516</v>
      </c>
      <c r="V101" s="184">
        <f t="shared" si="96"/>
        <v>901.61041454231724</v>
      </c>
      <c r="W101" s="184">
        <f t="shared" si="93"/>
        <v>0</v>
      </c>
      <c r="X101" s="184">
        <f t="shared" si="93"/>
        <v>0</v>
      </c>
      <c r="Y101" s="184">
        <f t="shared" si="93"/>
        <v>2704.8312436269516</v>
      </c>
      <c r="AA101" s="167">
        <f t="shared" si="97"/>
        <v>182902801.41251305</v>
      </c>
      <c r="AB101" s="167">
        <f t="shared" si="98"/>
        <v>13006421.433778707</v>
      </c>
      <c r="AC101" s="167">
        <f t="shared" si="99"/>
        <v>7316112.0565005215</v>
      </c>
      <c r="AD101" s="167">
        <f t="shared" si="100"/>
        <v>812901.33961116918</v>
      </c>
      <c r="AE101" s="167">
        <f t="shared" si="101"/>
        <v>0</v>
      </c>
      <c r="AF101" s="167">
        <f t="shared" si="102"/>
        <v>0</v>
      </c>
      <c r="AG101" s="167">
        <f t="shared" si="103"/>
        <v>7316112.0565005215</v>
      </c>
      <c r="AK101" s="167"/>
      <c r="BA101" s="167"/>
      <c r="BJ101" s="201">
        <f t="shared" si="94"/>
        <v>3.0154643167522706E-4</v>
      </c>
      <c r="BK101" s="201">
        <f t="shared" si="95"/>
        <v>3.0338687080362484E-4</v>
      </c>
      <c r="BL101" s="243">
        <f t="shared" si="104"/>
        <v>2.841406609427543E-4</v>
      </c>
      <c r="BM101" s="243">
        <f t="shared" si="105"/>
        <v>-4.1217935383671125E-3</v>
      </c>
      <c r="BN101" s="243">
        <f t="shared" si="106"/>
        <v>-1.894271072951694E-4</v>
      </c>
      <c r="BO101" s="243">
        <f t="shared" si="107"/>
        <v>4.312974600359459E-3</v>
      </c>
      <c r="BR101" s="200">
        <f t="shared" si="108"/>
        <v>9.0930250456062379E-8</v>
      </c>
      <c r="BS101" s="201">
        <f t="shared" si="109"/>
        <v>9.2043593376015349E-8</v>
      </c>
      <c r="BT101" s="201">
        <f t="shared" si="110"/>
        <v>8.073591520098526E-8</v>
      </c>
      <c r="BU101" s="201">
        <f t="shared" si="111"/>
        <v>1.6989181972924881E-5</v>
      </c>
      <c r="BV101" s="201">
        <f t="shared" si="112"/>
        <v>3.5882628978215618E-8</v>
      </c>
      <c r="BW101" s="201">
        <f t="shared" si="113"/>
        <v>1.8601749903345835E-5</v>
      </c>
    </row>
    <row r="102" spans="1:75" x14ac:dyDescent="0.25">
      <c r="A102" s="122">
        <v>11855</v>
      </c>
      <c r="B102" s="153">
        <v>118</v>
      </c>
      <c r="C102" s="184">
        <f>+'Sampling Weights'!R102</f>
        <v>1040.8113647460775</v>
      </c>
      <c r="D102" s="155">
        <f>+SUM('Sampling Weights'!I102:N102)</f>
        <v>19</v>
      </c>
      <c r="E102" s="155">
        <v>8</v>
      </c>
      <c r="F102" s="155">
        <v>5</v>
      </c>
      <c r="G102" s="155">
        <v>1</v>
      </c>
      <c r="H102" s="154">
        <v>0</v>
      </c>
      <c r="I102" s="154">
        <v>0</v>
      </c>
      <c r="J102" s="154">
        <v>5</v>
      </c>
      <c r="K102" s="155"/>
      <c r="L102" s="172"/>
      <c r="M102" s="172"/>
      <c r="N102" s="172"/>
      <c r="P102" s="184"/>
      <c r="Q102" s="173"/>
      <c r="R102" s="167"/>
      <c r="S102" s="184">
        <f t="shared" si="96"/>
        <v>19775.415930175473</v>
      </c>
      <c r="T102" s="184">
        <f t="shared" si="96"/>
        <v>8326.4909179686201</v>
      </c>
      <c r="U102" s="184">
        <f t="shared" si="96"/>
        <v>5204.0568237303878</v>
      </c>
      <c r="V102" s="184">
        <f t="shared" si="96"/>
        <v>1040.8113647460775</v>
      </c>
      <c r="W102" s="184">
        <f t="shared" si="93"/>
        <v>0</v>
      </c>
      <c r="X102" s="184">
        <f t="shared" si="93"/>
        <v>0</v>
      </c>
      <c r="Y102" s="184">
        <f t="shared" si="93"/>
        <v>5204.0568237303878</v>
      </c>
      <c r="AA102" s="167">
        <f t="shared" si="97"/>
        <v>391067075.21143788</v>
      </c>
      <c r="AB102" s="167">
        <f t="shared" si="98"/>
        <v>69330451.007013917</v>
      </c>
      <c r="AC102" s="167">
        <f t="shared" si="99"/>
        <v>27082207.424614813</v>
      </c>
      <c r="AD102" s="167">
        <f t="shared" si="100"/>
        <v>1083288.2969845925</v>
      </c>
      <c r="AE102" s="167">
        <f t="shared" si="101"/>
        <v>0</v>
      </c>
      <c r="AF102" s="167">
        <f t="shared" si="102"/>
        <v>0</v>
      </c>
      <c r="AG102" s="167">
        <f t="shared" si="103"/>
        <v>27082207.424614813</v>
      </c>
      <c r="AK102" s="167"/>
      <c r="BA102" s="167"/>
      <c r="BJ102" s="201">
        <f t="shared" si="94"/>
        <v>1.486637168764919E-3</v>
      </c>
      <c r="BK102" s="201">
        <f t="shared" si="95"/>
        <v>8.7141043607341087E-4</v>
      </c>
      <c r="BL102" s="243">
        <f t="shared" si="104"/>
        <v>-1.2202495306733348E-3</v>
      </c>
      <c r="BM102" s="243">
        <f t="shared" si="105"/>
        <v>-7.9302721158250444E-3</v>
      </c>
      <c r="BN102" s="243">
        <f t="shared" si="106"/>
        <v>-3.6445505894004454E-4</v>
      </c>
      <c r="BO102" s="243">
        <f t="shared" si="107"/>
        <v>8.2981017586441618E-3</v>
      </c>
      <c r="BR102" s="200">
        <f t="shared" si="108"/>
        <v>2.2100900715533741E-6</v>
      </c>
      <c r="BS102" s="201">
        <f t="shared" si="109"/>
        <v>7.5935614809765204E-7</v>
      </c>
      <c r="BT102" s="201">
        <f t="shared" si="110"/>
        <v>1.4890089171084938E-6</v>
      </c>
      <c r="BU102" s="201">
        <f t="shared" si="111"/>
        <v>6.2889215831032233E-5</v>
      </c>
      <c r="BV102" s="201">
        <f t="shared" si="112"/>
        <v>1.3282748998699135E-7</v>
      </c>
      <c r="BW102" s="201">
        <f t="shared" si="113"/>
        <v>6.8858492796813336E-5</v>
      </c>
    </row>
    <row r="103" spans="1:75" x14ac:dyDescent="0.25">
      <c r="A103" s="122">
        <v>11856</v>
      </c>
      <c r="B103" s="153">
        <v>118</v>
      </c>
      <c r="C103" s="184">
        <f>+'Sampling Weights'!R103</f>
        <v>1247.5422867849275</v>
      </c>
      <c r="D103" s="155">
        <f>+SUM('Sampling Weights'!I103:N103)</f>
        <v>10</v>
      </c>
      <c r="E103" s="155">
        <v>3</v>
      </c>
      <c r="F103" s="155">
        <v>1</v>
      </c>
      <c r="G103" s="155">
        <v>0</v>
      </c>
      <c r="H103" s="154">
        <v>0</v>
      </c>
      <c r="I103" s="154">
        <v>0</v>
      </c>
      <c r="J103" s="154">
        <v>1</v>
      </c>
      <c r="K103" s="155"/>
      <c r="L103" s="172"/>
      <c r="M103" s="172"/>
      <c r="N103" s="172"/>
      <c r="P103" s="184"/>
      <c r="Q103" s="173"/>
      <c r="R103" s="167"/>
      <c r="S103" s="184">
        <f t="shared" si="96"/>
        <v>12475.422867849275</v>
      </c>
      <c r="T103" s="184">
        <f t="shared" si="96"/>
        <v>3742.6268603547824</v>
      </c>
      <c r="U103" s="184">
        <f t="shared" si="96"/>
        <v>1247.5422867849275</v>
      </c>
      <c r="V103" s="184">
        <f t="shared" si="96"/>
        <v>0</v>
      </c>
      <c r="W103" s="184">
        <f t="shared" si="93"/>
        <v>0</v>
      </c>
      <c r="X103" s="184">
        <f t="shared" si="93"/>
        <v>0</v>
      </c>
      <c r="Y103" s="184">
        <f t="shared" si="93"/>
        <v>1247.5422867849275</v>
      </c>
      <c r="AA103" s="167">
        <f t="shared" si="97"/>
        <v>155636175.73165661</v>
      </c>
      <c r="AB103" s="167">
        <f t="shared" si="98"/>
        <v>14007255.815849096</v>
      </c>
      <c r="AC103" s="167">
        <f t="shared" si="99"/>
        <v>1556361.7573165661</v>
      </c>
      <c r="AD103" s="167">
        <f t="shared" si="100"/>
        <v>0</v>
      </c>
      <c r="AE103" s="167">
        <f t="shared" si="101"/>
        <v>0</v>
      </c>
      <c r="AF103" s="167">
        <f t="shared" si="102"/>
        <v>0</v>
      </c>
      <c r="AG103" s="167">
        <f t="shared" si="103"/>
        <v>1556361.7573165661</v>
      </c>
      <c r="AK103" s="167"/>
      <c r="BA103" s="167"/>
      <c r="BJ103" s="201">
        <f t="shared" si="94"/>
        <v>4.2059596883214033E-4</v>
      </c>
      <c r="BK103" s="201">
        <f t="shared" si="95"/>
        <v>-1.4743836697108292E-4</v>
      </c>
      <c r="BL103" s="243">
        <f t="shared" si="104"/>
        <v>-9.2789084711331418E-4</v>
      </c>
      <c r="BM103" s="243">
        <f t="shared" si="105"/>
        <v>-1.901084124425709E-3</v>
      </c>
      <c r="BN103" s="243">
        <f t="shared" si="106"/>
        <v>-8.7368972526798548E-5</v>
      </c>
      <c r="BO103" s="243">
        <f t="shared" si="107"/>
        <v>1.989262068920348E-3</v>
      </c>
      <c r="BR103" s="200">
        <f t="shared" si="108"/>
        <v>1.7690096899784676E-7</v>
      </c>
      <c r="BS103" s="201">
        <f t="shared" si="109"/>
        <v>2.1738072055099717E-8</v>
      </c>
      <c r="BT103" s="201">
        <f t="shared" si="110"/>
        <v>8.6098142415666377E-7</v>
      </c>
      <c r="BU103" s="201">
        <f t="shared" si="111"/>
        <v>3.6141208481434646E-6</v>
      </c>
      <c r="BV103" s="201">
        <f t="shared" si="112"/>
        <v>7.633337360388479E-9</v>
      </c>
      <c r="BW103" s="201">
        <f t="shared" si="113"/>
        <v>3.9571635788452633E-6</v>
      </c>
    </row>
    <row r="104" spans="1:75" x14ac:dyDescent="0.25">
      <c r="A104" s="122">
        <v>21841</v>
      </c>
      <c r="B104" s="153">
        <v>218</v>
      </c>
      <c r="C104" s="184">
        <f>+'Sampling Weights'!R104</f>
        <v>1878.5182031412878</v>
      </c>
      <c r="D104" s="155">
        <f>+SUM('Sampling Weights'!I104:N104)</f>
        <v>14</v>
      </c>
      <c r="E104" s="155">
        <v>3</v>
      </c>
      <c r="F104" s="155">
        <v>2</v>
      </c>
      <c r="G104" s="155">
        <v>1</v>
      </c>
      <c r="H104" s="154">
        <v>1</v>
      </c>
      <c r="I104" s="154">
        <v>0</v>
      </c>
      <c r="J104" s="154">
        <v>1</v>
      </c>
      <c r="K104" s="155"/>
      <c r="L104" s="172"/>
      <c r="M104" s="172"/>
      <c r="N104" s="172"/>
      <c r="P104" s="184"/>
      <c r="Q104" s="173"/>
      <c r="R104" s="167"/>
      <c r="S104" s="184">
        <f t="shared" si="96"/>
        <v>26299.254843978029</v>
      </c>
      <c r="T104" s="184">
        <f t="shared" si="96"/>
        <v>5635.5546094238634</v>
      </c>
      <c r="U104" s="184">
        <f t="shared" si="96"/>
        <v>3757.0364062825756</v>
      </c>
      <c r="V104" s="184">
        <f t="shared" si="96"/>
        <v>1878.5182031412878</v>
      </c>
      <c r="W104" s="184">
        <f t="shared" si="93"/>
        <v>1878.5182031412878</v>
      </c>
      <c r="X104" s="184">
        <f t="shared" si="93"/>
        <v>0</v>
      </c>
      <c r="Y104" s="184">
        <f t="shared" si="93"/>
        <v>1878.5182031412878</v>
      </c>
      <c r="AA104" s="167">
        <f t="shared" si="97"/>
        <v>691650805.3485018</v>
      </c>
      <c r="AB104" s="167">
        <f t="shared" si="98"/>
        <v>31759475.755798552</v>
      </c>
      <c r="AC104" s="167">
        <f t="shared" si="99"/>
        <v>14115322.558132691</v>
      </c>
      <c r="AD104" s="167">
        <f t="shared" si="100"/>
        <v>3528830.6395331728</v>
      </c>
      <c r="AE104" s="167">
        <f t="shared" si="101"/>
        <v>3528830.6395331728</v>
      </c>
      <c r="AF104" s="167">
        <f t="shared" si="102"/>
        <v>0</v>
      </c>
      <c r="AG104" s="167">
        <f t="shared" si="103"/>
        <v>3528830.6395331728</v>
      </c>
      <c r="AK104" s="167"/>
      <c r="BA104" s="167"/>
      <c r="BJ104" s="201">
        <f t="shared" si="94"/>
        <v>1.1455260585378328E-4</v>
      </c>
      <c r="BK104" s="201">
        <f t="shared" si="95"/>
        <v>7.5237128969760718E-5</v>
      </c>
      <c r="BL104" s="243">
        <f t="shared" si="104"/>
        <v>1.9892061350417485E-3</v>
      </c>
      <c r="BM104" s="243">
        <f t="shared" si="105"/>
        <v>-9.4161441664866654E-4</v>
      </c>
      <c r="BN104" s="243">
        <f t="shared" si="106"/>
        <v>-2.6311605950337882E-4</v>
      </c>
      <c r="BO104" s="243">
        <f t="shared" si="107"/>
        <v>1.2071667359622609E-3</v>
      </c>
      <c r="BR104" s="200">
        <f t="shared" si="108"/>
        <v>1.3122299507892222E-8</v>
      </c>
      <c r="BS104" s="201">
        <f t="shared" si="109"/>
        <v>5.6606255756124077E-9</v>
      </c>
      <c r="BT104" s="201">
        <f t="shared" si="110"/>
        <v>3.9569410476877311E-6</v>
      </c>
      <c r="BU104" s="201">
        <f t="shared" si="111"/>
        <v>8.8663770964060859E-7</v>
      </c>
      <c r="BV104" s="201">
        <f t="shared" si="112"/>
        <v>6.9230060768585584E-8</v>
      </c>
      <c r="BW104" s="201">
        <f t="shared" si="113"/>
        <v>1.4572515284137789E-6</v>
      </c>
    </row>
    <row r="105" spans="1:75" x14ac:dyDescent="0.25">
      <c r="A105" s="122">
        <v>21842</v>
      </c>
      <c r="B105" s="153">
        <v>218</v>
      </c>
      <c r="C105" s="184">
        <f>+'Sampling Weights'!R105</f>
        <v>2552.8791076494886</v>
      </c>
      <c r="D105" s="155">
        <f>+SUM('Sampling Weights'!I105:N105)</f>
        <v>14</v>
      </c>
      <c r="E105" s="155">
        <v>3</v>
      </c>
      <c r="F105" s="155">
        <v>2</v>
      </c>
      <c r="G105" s="155">
        <v>0</v>
      </c>
      <c r="H105" s="154">
        <v>1</v>
      </c>
      <c r="I105" s="154">
        <v>0</v>
      </c>
      <c r="J105" s="154">
        <v>1</v>
      </c>
      <c r="K105" s="155"/>
      <c r="L105" s="172"/>
      <c r="M105" s="172"/>
      <c r="N105" s="172"/>
      <c r="P105" s="184"/>
      <c r="Q105" s="173"/>
      <c r="R105" s="167"/>
      <c r="S105" s="184">
        <f t="shared" si="96"/>
        <v>35740.307507092839</v>
      </c>
      <c r="T105" s="184">
        <f t="shared" si="96"/>
        <v>7658.6373229484652</v>
      </c>
      <c r="U105" s="184">
        <f t="shared" si="96"/>
        <v>5105.7582152989771</v>
      </c>
      <c r="V105" s="184">
        <f t="shared" si="96"/>
        <v>0</v>
      </c>
      <c r="W105" s="184">
        <f t="shared" si="93"/>
        <v>2552.8791076494886</v>
      </c>
      <c r="X105" s="184">
        <f t="shared" si="93"/>
        <v>0</v>
      </c>
      <c r="Y105" s="184">
        <f t="shared" si="93"/>
        <v>2552.8791076494886</v>
      </c>
      <c r="AA105" s="167">
        <f t="shared" si="97"/>
        <v>1277369580.7015567</v>
      </c>
      <c r="AB105" s="167">
        <f t="shared" si="98"/>
        <v>58654725.644459233</v>
      </c>
      <c r="AC105" s="167">
        <f t="shared" si="99"/>
        <v>26068766.953092996</v>
      </c>
      <c r="AD105" s="167">
        <f t="shared" si="100"/>
        <v>0</v>
      </c>
      <c r="AE105" s="167">
        <f t="shared" si="101"/>
        <v>6517191.738273249</v>
      </c>
      <c r="AF105" s="167">
        <f t="shared" si="102"/>
        <v>0</v>
      </c>
      <c r="AG105" s="167">
        <f t="shared" si="103"/>
        <v>6517191.738273249</v>
      </c>
      <c r="AK105" s="167"/>
      <c r="BA105" s="167"/>
      <c r="BJ105" s="201">
        <f t="shared" si="94"/>
        <v>1.5567533693413717E-4</v>
      </c>
      <c r="BK105" s="201">
        <f t="shared" si="95"/>
        <v>1.0224617166085904E-4</v>
      </c>
      <c r="BL105" s="243">
        <f t="shared" si="104"/>
        <v>-3.7975356552914E-3</v>
      </c>
      <c r="BM105" s="243">
        <f t="shared" si="105"/>
        <v>-1.2796403929992389E-3</v>
      </c>
      <c r="BN105" s="243">
        <f t="shared" si="106"/>
        <v>-3.5757092482255554E-4</v>
      </c>
      <c r="BO105" s="243">
        <f t="shared" si="107"/>
        <v>1.6405221597182982E-3</v>
      </c>
      <c r="BR105" s="200">
        <f t="shared" si="108"/>
        <v>2.4234810529557131E-8</v>
      </c>
      <c r="BS105" s="201">
        <f t="shared" si="109"/>
        <v>1.0454279619301855E-8</v>
      </c>
      <c r="BT105" s="201">
        <f t="shared" si="110"/>
        <v>1.4421277053209482E-5</v>
      </c>
      <c r="BU105" s="201">
        <f t="shared" si="111"/>
        <v>1.6374795353952465E-6</v>
      </c>
      <c r="BV105" s="201">
        <f t="shared" si="112"/>
        <v>1.2785696627845767E-7</v>
      </c>
      <c r="BW105" s="201">
        <f t="shared" si="113"/>
        <v>2.6913129565267896E-6</v>
      </c>
    </row>
    <row r="106" spans="1:75" x14ac:dyDescent="0.25">
      <c r="A106" s="122">
        <v>21843</v>
      </c>
      <c r="B106" s="153">
        <v>218</v>
      </c>
      <c r="C106" s="184">
        <f>+'Sampling Weights'!R106</f>
        <v>3897.5930849880042</v>
      </c>
      <c r="D106" s="155">
        <f>+SUM('Sampling Weights'!I106:N106)</f>
        <v>13</v>
      </c>
      <c r="E106" s="155">
        <v>1</v>
      </c>
      <c r="F106" s="155">
        <v>1</v>
      </c>
      <c r="G106" s="155">
        <v>0</v>
      </c>
      <c r="H106" s="154">
        <v>1</v>
      </c>
      <c r="I106" s="154">
        <v>0</v>
      </c>
      <c r="J106" s="154">
        <v>0</v>
      </c>
      <c r="K106" s="155"/>
      <c r="L106" s="172"/>
      <c r="M106" s="172"/>
      <c r="N106" s="172"/>
      <c r="P106" s="184"/>
      <c r="Q106" s="173"/>
      <c r="R106" s="167"/>
      <c r="S106" s="184">
        <f t="shared" si="96"/>
        <v>50668.710104844053</v>
      </c>
      <c r="T106" s="184">
        <f t="shared" si="96"/>
        <v>3897.5930849880042</v>
      </c>
      <c r="U106" s="184">
        <f t="shared" si="96"/>
        <v>3897.5930849880042</v>
      </c>
      <c r="V106" s="184">
        <f t="shared" si="96"/>
        <v>0</v>
      </c>
      <c r="W106" s="184">
        <f t="shared" si="93"/>
        <v>3897.5930849880042</v>
      </c>
      <c r="X106" s="184">
        <f t="shared" si="93"/>
        <v>0</v>
      </c>
      <c r="Y106" s="184">
        <f t="shared" si="93"/>
        <v>0</v>
      </c>
      <c r="AA106" s="167">
        <f t="shared" si="97"/>
        <v>2567318183.6887259</v>
      </c>
      <c r="AB106" s="167">
        <f t="shared" si="98"/>
        <v>15191231.856146308</v>
      </c>
      <c r="AC106" s="167">
        <f t="shared" si="99"/>
        <v>15191231.856146308</v>
      </c>
      <c r="AD106" s="167">
        <f t="shared" si="100"/>
        <v>0</v>
      </c>
      <c r="AE106" s="167">
        <f t="shared" si="101"/>
        <v>15191231.856146308</v>
      </c>
      <c r="AF106" s="167">
        <f t="shared" si="102"/>
        <v>0</v>
      </c>
      <c r="AG106" s="167">
        <f t="shared" si="103"/>
        <v>0</v>
      </c>
      <c r="AK106" s="167"/>
      <c r="BA106" s="167"/>
      <c r="BJ106" s="201">
        <f t="shared" si="94"/>
        <v>-2.1631844598609573E-3</v>
      </c>
      <c r="BK106" s="201">
        <f t="shared" si="95"/>
        <v>-9.9931083663280188E-4</v>
      </c>
      <c r="BL106" s="243">
        <f t="shared" si="104"/>
        <v>-2.8989325553467156E-3</v>
      </c>
      <c r="BM106" s="243">
        <f t="shared" si="105"/>
        <v>3.9857163380834955E-3</v>
      </c>
      <c r="BN106" s="243">
        <f t="shared" si="106"/>
        <v>-2.7295964775714493E-4</v>
      </c>
      <c r="BO106" s="243">
        <f t="shared" si="107"/>
        <v>-3.7102292861804519E-3</v>
      </c>
      <c r="BR106" s="200">
        <f t="shared" si="108"/>
        <v>4.6793670073839413E-6</v>
      </c>
      <c r="BS106" s="201">
        <f t="shared" si="109"/>
        <v>9.9862214821175055E-7</v>
      </c>
      <c r="BT106" s="201">
        <f t="shared" si="110"/>
        <v>8.403809960449038E-6</v>
      </c>
      <c r="BU106" s="201">
        <f t="shared" si="111"/>
        <v>1.588593472766571E-5</v>
      </c>
      <c r="BV106" s="201">
        <f t="shared" si="112"/>
        <v>7.4506969303704643E-8</v>
      </c>
      <c r="BW106" s="201">
        <f t="shared" si="113"/>
        <v>1.3765801356031106E-5</v>
      </c>
    </row>
    <row r="107" spans="1:75" x14ac:dyDescent="0.25">
      <c r="A107" s="122">
        <v>21844</v>
      </c>
      <c r="B107" s="153">
        <v>218</v>
      </c>
      <c r="C107" s="184">
        <f>+'Sampling Weights'!R107</f>
        <v>881.33202573024403</v>
      </c>
      <c r="D107" s="155">
        <f>+SUM('Sampling Weights'!I107:N107)</f>
        <v>13</v>
      </c>
      <c r="E107" s="155">
        <v>1</v>
      </c>
      <c r="F107" s="155">
        <v>1</v>
      </c>
      <c r="G107" s="155">
        <v>0</v>
      </c>
      <c r="H107" s="154">
        <v>0</v>
      </c>
      <c r="I107" s="154">
        <v>0</v>
      </c>
      <c r="J107" s="154">
        <v>1</v>
      </c>
      <c r="K107" s="155"/>
      <c r="L107" s="172"/>
      <c r="M107" s="172"/>
      <c r="N107" s="172"/>
      <c r="P107" s="184"/>
      <c r="Q107" s="173"/>
      <c r="R107" s="167"/>
      <c r="S107" s="184">
        <f t="shared" si="96"/>
        <v>11457.316334493173</v>
      </c>
      <c r="T107" s="184">
        <f t="shared" si="96"/>
        <v>881.33202573024403</v>
      </c>
      <c r="U107" s="184">
        <f t="shared" si="96"/>
        <v>881.33202573024403</v>
      </c>
      <c r="V107" s="184">
        <f t="shared" si="96"/>
        <v>0</v>
      </c>
      <c r="W107" s="184">
        <f t="shared" si="93"/>
        <v>0</v>
      </c>
      <c r="X107" s="184">
        <f t="shared" si="93"/>
        <v>0</v>
      </c>
      <c r="Y107" s="184">
        <f t="shared" si="93"/>
        <v>881.33202573024403</v>
      </c>
      <c r="AA107" s="167">
        <f t="shared" si="97"/>
        <v>131270097.58864407</v>
      </c>
      <c r="AB107" s="167">
        <f t="shared" si="98"/>
        <v>776746.1395777755</v>
      </c>
      <c r="AC107" s="167">
        <f t="shared" si="99"/>
        <v>776746.1395777755</v>
      </c>
      <c r="AD107" s="167">
        <f t="shared" si="100"/>
        <v>0</v>
      </c>
      <c r="AE107" s="167">
        <f t="shared" si="101"/>
        <v>0</v>
      </c>
      <c r="AF107" s="167">
        <f t="shared" si="102"/>
        <v>0</v>
      </c>
      <c r="AG107" s="167">
        <f t="shared" si="103"/>
        <v>776746.1395777755</v>
      </c>
      <c r="AK107" s="167"/>
      <c r="BA107" s="167"/>
      <c r="BJ107" s="201">
        <f t="shared" si="94"/>
        <v>-4.8914386403764616E-4</v>
      </c>
      <c r="BK107" s="201">
        <f t="shared" si="95"/>
        <v>-2.2596628862463282E-4</v>
      </c>
      <c r="BL107" s="243">
        <f t="shared" si="104"/>
        <v>-6.5551278590359494E-4</v>
      </c>
      <c r="BM107" s="243">
        <f t="shared" si="105"/>
        <v>-1.343029683411899E-3</v>
      </c>
      <c r="BN107" s="243">
        <f t="shared" si="106"/>
        <v>-6.1722215237653224E-5</v>
      </c>
      <c r="BO107" s="243">
        <f t="shared" si="107"/>
        <v>1.4053234006424931E-3</v>
      </c>
      <c r="BR107" s="200">
        <f t="shared" si="108"/>
        <v>2.3926171972567925E-7</v>
      </c>
      <c r="BS107" s="201">
        <f t="shared" si="109"/>
        <v>5.106076359479086E-8</v>
      </c>
      <c r="BT107" s="201">
        <f t="shared" si="110"/>
        <v>4.2969701248309227E-7</v>
      </c>
      <c r="BU107" s="201">
        <f t="shared" si="111"/>
        <v>1.8037287305254658E-6</v>
      </c>
      <c r="BV107" s="201">
        <f t="shared" si="112"/>
        <v>3.8096318538431919E-9</v>
      </c>
      <c r="BW107" s="201">
        <f t="shared" si="113"/>
        <v>1.9749338603933811E-6</v>
      </c>
    </row>
    <row r="108" spans="1:75" x14ac:dyDescent="0.25">
      <c r="A108" s="122">
        <v>21845</v>
      </c>
      <c r="B108" s="153">
        <v>218</v>
      </c>
      <c r="C108" s="184">
        <f>+'Sampling Weights'!R108</f>
        <v>1643.7034277486271</v>
      </c>
      <c r="D108" s="155">
        <f>+SUM('Sampling Weights'!I108:N108)</f>
        <v>14</v>
      </c>
      <c r="E108" s="155">
        <v>5</v>
      </c>
      <c r="F108" s="155">
        <v>4</v>
      </c>
      <c r="G108" s="155">
        <v>2</v>
      </c>
      <c r="H108" s="154">
        <v>1</v>
      </c>
      <c r="I108" s="154">
        <v>0</v>
      </c>
      <c r="J108" s="154">
        <v>3</v>
      </c>
      <c r="K108" s="154"/>
      <c r="L108" s="172"/>
      <c r="M108" s="172"/>
      <c r="N108" s="172"/>
      <c r="P108" s="184"/>
      <c r="Q108" s="173"/>
      <c r="R108" s="167"/>
      <c r="S108" s="184">
        <f t="shared" si="96"/>
        <v>23011.847988480778</v>
      </c>
      <c r="T108" s="184">
        <f t="shared" si="96"/>
        <v>8218.5171387431346</v>
      </c>
      <c r="U108" s="184">
        <f t="shared" si="96"/>
        <v>6574.8137109945083</v>
      </c>
      <c r="V108" s="184">
        <f t="shared" si="96"/>
        <v>3287.4068554972541</v>
      </c>
      <c r="W108" s="184">
        <f t="shared" si="93"/>
        <v>1643.7034277486271</v>
      </c>
      <c r="X108" s="184">
        <f t="shared" si="93"/>
        <v>0</v>
      </c>
      <c r="Y108" s="184">
        <f t="shared" si="93"/>
        <v>4931.110283245881</v>
      </c>
      <c r="AA108" s="167">
        <f t="shared" si="97"/>
        <v>529545147.84494686</v>
      </c>
      <c r="AB108" s="167">
        <f t="shared" si="98"/>
        <v>67544023.959814638</v>
      </c>
      <c r="AC108" s="167">
        <f t="shared" si="99"/>
        <v>43228175.334281377</v>
      </c>
      <c r="AD108" s="167">
        <f t="shared" si="100"/>
        <v>10807043.833570344</v>
      </c>
      <c r="AE108" s="167">
        <f t="shared" si="101"/>
        <v>2701760.9583925861</v>
      </c>
      <c r="AF108" s="167">
        <f t="shared" si="102"/>
        <v>0</v>
      </c>
      <c r="AG108" s="167">
        <f t="shared" si="103"/>
        <v>24315848.625533272</v>
      </c>
      <c r="AK108" s="167"/>
      <c r="BA108" s="167"/>
      <c r="BJ108" s="201">
        <f t="shared" si="94"/>
        <v>1.2262120393347108E-3</v>
      </c>
      <c r="BK108" s="201">
        <f t="shared" si="95"/>
        <v>1.1918109970611912E-3</v>
      </c>
      <c r="BL108" s="243">
        <f t="shared" si="104"/>
        <v>3.4811107363230597E-3</v>
      </c>
      <c r="BM108" s="243">
        <f t="shared" si="105"/>
        <v>-5.833471849325202E-3</v>
      </c>
      <c r="BN108" s="243">
        <f t="shared" si="106"/>
        <v>-4.6045310413091303E-4</v>
      </c>
      <c r="BO108" s="243">
        <f t="shared" si="107"/>
        <v>6.2981884081239918E-3</v>
      </c>
      <c r="BR108" s="200">
        <f t="shared" si="108"/>
        <v>1.5035959654093903E-6</v>
      </c>
      <c r="BS108" s="201">
        <f t="shared" si="109"/>
        <v>1.4204134527159907E-6</v>
      </c>
      <c r="BT108" s="201">
        <f t="shared" si="110"/>
        <v>1.2118131958543676E-5</v>
      </c>
      <c r="BU108" s="201">
        <f t="shared" si="111"/>
        <v>3.4029393816869593E-5</v>
      </c>
      <c r="BV108" s="201">
        <f t="shared" si="112"/>
        <v>2.1201706110379343E-7</v>
      </c>
      <c r="BW108" s="201">
        <f t="shared" si="113"/>
        <v>3.9667177224227425E-5</v>
      </c>
    </row>
    <row r="109" spans="1:75" x14ac:dyDescent="0.25">
      <c r="A109" s="122">
        <v>21846</v>
      </c>
      <c r="B109" s="153">
        <v>218</v>
      </c>
      <c r="C109" s="184">
        <f>+'Sampling Weights'!R109</f>
        <v>2493.1340581959043</v>
      </c>
      <c r="D109" s="155">
        <f>+SUM('Sampling Weights'!I109:N109)</f>
        <v>14</v>
      </c>
      <c r="E109" s="155">
        <v>2</v>
      </c>
      <c r="F109" s="155">
        <v>1</v>
      </c>
      <c r="G109" s="155">
        <v>0</v>
      </c>
      <c r="H109" s="154">
        <v>1</v>
      </c>
      <c r="I109" s="154">
        <v>0</v>
      </c>
      <c r="J109" s="154">
        <v>0</v>
      </c>
      <c r="K109" s="155"/>
      <c r="L109" s="172"/>
      <c r="M109" s="172"/>
      <c r="N109" s="172"/>
      <c r="P109" s="184"/>
      <c r="Q109" s="173"/>
      <c r="R109" s="167"/>
      <c r="S109" s="184">
        <f t="shared" si="96"/>
        <v>34903.87681474266</v>
      </c>
      <c r="T109" s="184">
        <f t="shared" si="96"/>
        <v>4986.2681163918087</v>
      </c>
      <c r="U109" s="184">
        <f t="shared" si="96"/>
        <v>2493.1340581959043</v>
      </c>
      <c r="V109" s="184">
        <f t="shared" si="96"/>
        <v>0</v>
      </c>
      <c r="W109" s="184">
        <f t="shared" si="93"/>
        <v>2493.1340581959043</v>
      </c>
      <c r="X109" s="184">
        <f t="shared" si="93"/>
        <v>0</v>
      </c>
      <c r="Y109" s="184">
        <f t="shared" si="93"/>
        <v>0</v>
      </c>
      <c r="AA109" s="167">
        <f t="shared" si="97"/>
        <v>1218280616.6987302</v>
      </c>
      <c r="AB109" s="167">
        <f t="shared" si="98"/>
        <v>24862869.728545517</v>
      </c>
      <c r="AC109" s="167">
        <f t="shared" si="99"/>
        <v>6215717.4321363792</v>
      </c>
      <c r="AD109" s="167">
        <f t="shared" si="100"/>
        <v>0</v>
      </c>
      <c r="AE109" s="167">
        <f t="shared" si="101"/>
        <v>6215717.4321363792</v>
      </c>
      <c r="AF109" s="167">
        <f t="shared" si="102"/>
        <v>0</v>
      </c>
      <c r="AG109" s="167">
        <f t="shared" si="103"/>
        <v>0</v>
      </c>
      <c r="AK109" s="167"/>
      <c r="BA109" s="167"/>
      <c r="BJ109" s="201">
        <f t="shared" si="94"/>
        <v>-7.0189794451975716E-4</v>
      </c>
      <c r="BK109" s="201">
        <f t="shared" si="95"/>
        <v>-7.5407670662590146E-4</v>
      </c>
      <c r="BL109" s="243">
        <f t="shared" si="104"/>
        <v>-1.8543309495249744E-3</v>
      </c>
      <c r="BM109" s="243">
        <f t="shared" si="105"/>
        <v>2.5495029707069609E-3</v>
      </c>
      <c r="BN109" s="243">
        <f t="shared" si="106"/>
        <v>-1.7460134485501065E-4</v>
      </c>
      <c r="BO109" s="243">
        <f t="shared" si="107"/>
        <v>-2.3732849467329228E-3</v>
      </c>
      <c r="BR109" s="200">
        <f t="shared" si="108"/>
        <v>4.9266072452106004E-7</v>
      </c>
      <c r="BS109" s="201">
        <f t="shared" si="109"/>
        <v>5.6863167947576589E-7</v>
      </c>
      <c r="BT109" s="201">
        <f t="shared" si="110"/>
        <v>3.4385432703661933E-6</v>
      </c>
      <c r="BU109" s="201">
        <f t="shared" si="111"/>
        <v>6.499965397643619E-6</v>
      </c>
      <c r="BV109" s="201">
        <f t="shared" si="112"/>
        <v>3.0485629625178352E-8</v>
      </c>
      <c r="BW109" s="201">
        <f t="shared" si="113"/>
        <v>5.6324814383890919E-6</v>
      </c>
    </row>
    <row r="110" spans="1:75" x14ac:dyDescent="0.25">
      <c r="A110" s="122">
        <v>21847</v>
      </c>
      <c r="B110" s="153">
        <v>218</v>
      </c>
      <c r="C110" s="184">
        <f>+'Sampling Weights'!R110</f>
        <v>879.58652300482902</v>
      </c>
      <c r="D110" s="155">
        <f>+SUM('Sampling Weights'!I110:N110)</f>
        <v>11</v>
      </c>
      <c r="E110" s="155">
        <v>4</v>
      </c>
      <c r="F110" s="155">
        <v>3</v>
      </c>
      <c r="G110" s="155">
        <v>2</v>
      </c>
      <c r="H110" s="154">
        <v>1</v>
      </c>
      <c r="I110" s="154">
        <v>0</v>
      </c>
      <c r="J110" s="154">
        <v>2</v>
      </c>
      <c r="K110" s="155"/>
      <c r="L110" s="172"/>
      <c r="M110" s="172"/>
      <c r="N110" s="172"/>
      <c r="P110" s="184"/>
      <c r="Q110" s="173"/>
      <c r="R110" s="167"/>
      <c r="S110" s="184">
        <f t="shared" si="96"/>
        <v>9675.4517530531193</v>
      </c>
      <c r="T110" s="184">
        <f t="shared" si="96"/>
        <v>3518.3460920193161</v>
      </c>
      <c r="U110" s="184">
        <f t="shared" si="96"/>
        <v>2638.7595690144872</v>
      </c>
      <c r="V110" s="184">
        <f t="shared" si="96"/>
        <v>1759.173046009658</v>
      </c>
      <c r="W110" s="184">
        <f t="shared" si="93"/>
        <v>879.58652300482902</v>
      </c>
      <c r="X110" s="184">
        <f t="shared" si="93"/>
        <v>0</v>
      </c>
      <c r="Y110" s="184">
        <f t="shared" si="93"/>
        <v>1759.173046009658</v>
      </c>
      <c r="AA110" s="167">
        <f t="shared" si="97"/>
        <v>93614366.625658676</v>
      </c>
      <c r="AB110" s="167">
        <f t="shared" si="98"/>
        <v>12378759.223227594</v>
      </c>
      <c r="AC110" s="167">
        <f t="shared" si="99"/>
        <v>6963052.0630655224</v>
      </c>
      <c r="AD110" s="167">
        <f t="shared" si="100"/>
        <v>3094689.8058068985</v>
      </c>
      <c r="AE110" s="167">
        <f t="shared" si="101"/>
        <v>773672.45145172463</v>
      </c>
      <c r="AF110" s="167">
        <f t="shared" si="102"/>
        <v>0</v>
      </c>
      <c r="AG110" s="167">
        <f t="shared" si="103"/>
        <v>3094689.8058068985</v>
      </c>
      <c r="AK110" s="167"/>
      <c r="BA110" s="167"/>
      <c r="BJ110" s="201">
        <f t="shared" si="94"/>
        <v>5.370865126838551E-4</v>
      </c>
      <c r="BK110" s="201">
        <f t="shared" si="95"/>
        <v>4.5806465800589857E-4</v>
      </c>
      <c r="BL110" s="243">
        <f t="shared" si="104"/>
        <v>2.5170433274721718E-3</v>
      </c>
      <c r="BM110" s="243">
        <f t="shared" si="105"/>
        <v>-1.7812658762056642E-3</v>
      </c>
      <c r="BN110" s="243">
        <f t="shared" si="106"/>
        <v>-1.8479991799251843E-4</v>
      </c>
      <c r="BO110" s="243">
        <f t="shared" si="107"/>
        <v>1.9677769045499641E-3</v>
      </c>
      <c r="BR110" s="200">
        <f t="shared" si="108"/>
        <v>2.8846192210690484E-7</v>
      </c>
      <c r="BS110" s="201">
        <f t="shared" si="109"/>
        <v>2.0982323091406081E-7</v>
      </c>
      <c r="BT110" s="201">
        <f t="shared" si="110"/>
        <v>6.335507112372183E-6</v>
      </c>
      <c r="BU110" s="201">
        <f t="shared" si="111"/>
        <v>3.1729081217347328E-6</v>
      </c>
      <c r="BV110" s="201">
        <f t="shared" si="112"/>
        <v>3.4151009690041537E-8</v>
      </c>
      <c r="BW110" s="201">
        <f t="shared" si="113"/>
        <v>3.8721459460802388E-6</v>
      </c>
    </row>
    <row r="111" spans="1:75" x14ac:dyDescent="0.25">
      <c r="A111" s="122">
        <v>21848</v>
      </c>
      <c r="B111" s="153">
        <v>218</v>
      </c>
      <c r="C111" s="184">
        <f>+'Sampling Weights'!R111</f>
        <v>907.75764384249521</v>
      </c>
      <c r="D111" s="155">
        <f>+SUM('Sampling Weights'!I111:N111)</f>
        <v>12</v>
      </c>
      <c r="E111" s="155">
        <v>3</v>
      </c>
      <c r="F111" s="155">
        <v>3</v>
      </c>
      <c r="G111" s="155">
        <v>0</v>
      </c>
      <c r="H111" s="154">
        <v>0</v>
      </c>
      <c r="I111" s="154">
        <v>0</v>
      </c>
      <c r="J111" s="154">
        <v>3</v>
      </c>
      <c r="K111" s="155"/>
      <c r="L111" s="172"/>
      <c r="M111" s="172"/>
      <c r="N111" s="172"/>
      <c r="P111" s="184"/>
      <c r="Q111" s="173"/>
      <c r="R111" s="167"/>
      <c r="S111" s="184">
        <f t="shared" si="96"/>
        <v>10893.091726109942</v>
      </c>
      <c r="T111" s="184">
        <f t="shared" si="96"/>
        <v>2723.2729315274855</v>
      </c>
      <c r="U111" s="184">
        <f t="shared" si="96"/>
        <v>2723.2729315274855</v>
      </c>
      <c r="V111" s="184">
        <f t="shared" si="96"/>
        <v>0</v>
      </c>
      <c r="W111" s="184">
        <f t="shared" si="93"/>
        <v>0</v>
      </c>
      <c r="X111" s="184">
        <f t="shared" si="93"/>
        <v>0</v>
      </c>
      <c r="Y111" s="184">
        <f t="shared" si="93"/>
        <v>2723.2729315274855</v>
      </c>
      <c r="AA111" s="167">
        <f t="shared" si="97"/>
        <v>118659447.35344487</v>
      </c>
      <c r="AB111" s="167">
        <f t="shared" si="98"/>
        <v>7416215.4595903046</v>
      </c>
      <c r="AC111" s="167">
        <f t="shared" si="99"/>
        <v>7416215.4595903046</v>
      </c>
      <c r="AD111" s="167">
        <f t="shared" si="100"/>
        <v>0</v>
      </c>
      <c r="AE111" s="167">
        <f t="shared" si="101"/>
        <v>0</v>
      </c>
      <c r="AF111" s="167">
        <f t="shared" si="102"/>
        <v>0</v>
      </c>
      <c r="AG111" s="167">
        <f t="shared" si="103"/>
        <v>7416215.4595903046</v>
      </c>
      <c r="AK111" s="167"/>
      <c r="BA111" s="167"/>
      <c r="BJ111" s="201">
        <f t="shared" si="94"/>
        <v>1.8069821403971534E-4</v>
      </c>
      <c r="BK111" s="201">
        <f t="shared" si="95"/>
        <v>4.309154015147948E-4</v>
      </c>
      <c r="BL111" s="243">
        <f t="shared" si="104"/>
        <v>-2.0255025053041963E-3</v>
      </c>
      <c r="BM111" s="243">
        <f t="shared" si="105"/>
        <v>-4.1498961529772118E-3</v>
      </c>
      <c r="BN111" s="243">
        <f t="shared" si="106"/>
        <v>-1.9071863171129315E-4</v>
      </c>
      <c r="BO111" s="243">
        <f t="shared" si="107"/>
        <v>4.3423806979450905E-3</v>
      </c>
      <c r="BR111" s="200">
        <f t="shared" si="108"/>
        <v>3.265184455714278E-8</v>
      </c>
      <c r="BS111" s="201">
        <f t="shared" si="109"/>
        <v>1.8568808326265682E-7</v>
      </c>
      <c r="BT111" s="201">
        <f t="shared" si="110"/>
        <v>4.1026603989935758E-6</v>
      </c>
      <c r="BU111" s="201">
        <f t="shared" si="111"/>
        <v>1.7221638080495061E-5</v>
      </c>
      <c r="BV111" s="201">
        <f t="shared" si="112"/>
        <v>3.6373596481827872E-8</v>
      </c>
      <c r="BW111" s="201">
        <f t="shared" si="113"/>
        <v>1.885627012588609E-5</v>
      </c>
    </row>
    <row r="112" spans="1:75" x14ac:dyDescent="0.25">
      <c r="A112" s="122">
        <v>21849</v>
      </c>
      <c r="B112" s="153">
        <v>218</v>
      </c>
      <c r="C112" s="184">
        <f>+'Sampling Weights'!R112</f>
        <v>1001.2425700035097</v>
      </c>
      <c r="D112" s="155">
        <f>+SUM('Sampling Weights'!I112:N112)</f>
        <v>19</v>
      </c>
      <c r="E112" s="155">
        <v>1</v>
      </c>
      <c r="F112" s="155">
        <v>1</v>
      </c>
      <c r="G112" s="155">
        <v>0</v>
      </c>
      <c r="H112" s="154">
        <v>0</v>
      </c>
      <c r="I112" s="154">
        <v>0</v>
      </c>
      <c r="J112" s="154">
        <v>1</v>
      </c>
      <c r="K112" s="155"/>
      <c r="L112" s="172"/>
      <c r="M112" s="172"/>
      <c r="N112" s="172"/>
      <c r="P112" s="184"/>
      <c r="Q112" s="173"/>
      <c r="R112" s="167"/>
      <c r="S112" s="184">
        <f t="shared" si="96"/>
        <v>19023.608830066685</v>
      </c>
      <c r="T112" s="184">
        <f t="shared" si="96"/>
        <v>1001.2425700035097</v>
      </c>
      <c r="U112" s="184">
        <f t="shared" si="96"/>
        <v>1001.2425700035097</v>
      </c>
      <c r="V112" s="184">
        <f t="shared" si="96"/>
        <v>0</v>
      </c>
      <c r="W112" s="184">
        <f t="shared" si="93"/>
        <v>0</v>
      </c>
      <c r="X112" s="184">
        <f t="shared" si="93"/>
        <v>0</v>
      </c>
      <c r="Y112" s="184">
        <f t="shared" si="93"/>
        <v>1001.2425700035097</v>
      </c>
      <c r="AA112" s="167">
        <f t="shared" si="97"/>
        <v>361897692.91939116</v>
      </c>
      <c r="AB112" s="167">
        <f t="shared" si="98"/>
        <v>1002486.6839872331</v>
      </c>
      <c r="AC112" s="167">
        <f t="shared" si="99"/>
        <v>1002486.6839872331</v>
      </c>
      <c r="AD112" s="167">
        <f t="shared" si="100"/>
        <v>0</v>
      </c>
      <c r="AE112" s="167">
        <f t="shared" si="101"/>
        <v>0</v>
      </c>
      <c r="AF112" s="167">
        <f t="shared" si="102"/>
        <v>0</v>
      </c>
      <c r="AG112" s="167">
        <f t="shared" si="103"/>
        <v>1002486.6839872331</v>
      </c>
      <c r="AK112" s="167"/>
      <c r="BA112" s="167"/>
      <c r="BJ112" s="201">
        <f t="shared" si="94"/>
        <v>-9.7044858342689876E-4</v>
      </c>
      <c r="BK112" s="201">
        <f t="shared" si="95"/>
        <v>-5.3347127553588706E-4</v>
      </c>
      <c r="BL112" s="243">
        <f t="shared" si="104"/>
        <v>-7.4469925892510676E-4</v>
      </c>
      <c r="BM112" s="243">
        <f t="shared" si="105"/>
        <v>-1.5257569821046214E-3</v>
      </c>
      <c r="BN112" s="243">
        <f t="shared" si="106"/>
        <v>-7.0119895347786848E-5</v>
      </c>
      <c r="BO112" s="243">
        <f t="shared" si="107"/>
        <v>1.5965261357426656E-3</v>
      </c>
      <c r="BR112" s="200">
        <f t="shared" si="108"/>
        <v>9.4177045307527444E-7</v>
      </c>
      <c r="BS112" s="201">
        <f t="shared" si="109"/>
        <v>2.8459160182188636E-7</v>
      </c>
      <c r="BT112" s="201">
        <f t="shared" si="110"/>
        <v>5.5457698624360319E-7</v>
      </c>
      <c r="BU112" s="201">
        <f t="shared" si="111"/>
        <v>2.3279343684410021E-6</v>
      </c>
      <c r="BV112" s="201">
        <f t="shared" si="112"/>
        <v>4.9167997235845795E-9</v>
      </c>
      <c r="BW112" s="201">
        <f t="shared" si="113"/>
        <v>2.5488957021094084E-6</v>
      </c>
    </row>
    <row r="113" spans="1:75" x14ac:dyDescent="0.25">
      <c r="A113" s="122">
        <v>11957</v>
      </c>
      <c r="B113" s="153">
        <v>119</v>
      </c>
      <c r="C113" s="184">
        <f>+'Sampling Weights'!R113</f>
        <v>837.33369580299734</v>
      </c>
      <c r="D113" s="155">
        <f>+SUM('Sampling Weights'!I113:N113)</f>
        <v>15</v>
      </c>
      <c r="E113" s="155">
        <v>2</v>
      </c>
      <c r="F113" s="155">
        <v>1</v>
      </c>
      <c r="G113" s="155">
        <v>0</v>
      </c>
      <c r="H113" s="154">
        <v>1</v>
      </c>
      <c r="I113" s="154">
        <v>0</v>
      </c>
      <c r="J113" s="154">
        <v>0</v>
      </c>
      <c r="K113" s="155"/>
      <c r="L113" s="172"/>
      <c r="M113" s="172"/>
      <c r="N113" s="172"/>
      <c r="P113" s="184"/>
      <c r="Q113" s="173"/>
      <c r="R113" s="167"/>
      <c r="S113" s="184">
        <f t="shared" si="96"/>
        <v>12560.00543704496</v>
      </c>
      <c r="T113" s="184">
        <f t="shared" si="96"/>
        <v>1674.6673916059947</v>
      </c>
      <c r="U113" s="184">
        <f t="shared" si="96"/>
        <v>837.33369580299734</v>
      </c>
      <c r="V113" s="184">
        <f t="shared" si="96"/>
        <v>0</v>
      </c>
      <c r="W113" s="184">
        <f t="shared" si="93"/>
        <v>837.33369580299734</v>
      </c>
      <c r="X113" s="184">
        <f t="shared" si="93"/>
        <v>0</v>
      </c>
      <c r="Y113" s="184">
        <f t="shared" si="93"/>
        <v>0</v>
      </c>
      <c r="AA113" s="167">
        <f t="shared" si="97"/>
        <v>157753736.57859895</v>
      </c>
      <c r="AB113" s="167">
        <f t="shared" si="98"/>
        <v>2804510.8725084257</v>
      </c>
      <c r="AC113" s="167">
        <f t="shared" si="99"/>
        <v>701127.71812710643</v>
      </c>
      <c r="AD113" s="167">
        <f t="shared" si="100"/>
        <v>0</v>
      </c>
      <c r="AE113" s="167">
        <f t="shared" si="101"/>
        <v>701127.71812710643</v>
      </c>
      <c r="AF113" s="167">
        <f t="shared" si="102"/>
        <v>0</v>
      </c>
      <c r="AG113" s="167">
        <f t="shared" si="103"/>
        <v>0</v>
      </c>
      <c r="AK113" s="167"/>
      <c r="BA113" s="167"/>
      <c r="BJ113" s="201">
        <f t="shared" si="94"/>
        <v>-2.9354592318883921E-4</v>
      </c>
      <c r="BK113" s="201">
        <f t="shared" si="95"/>
        <v>-2.9183669082813717E-4</v>
      </c>
      <c r="BL113" s="243">
        <f t="shared" si="104"/>
        <v>-6.2278792514318187E-4</v>
      </c>
      <c r="BM113" s="243">
        <f t="shared" si="105"/>
        <v>8.5626552567637107E-4</v>
      </c>
      <c r="BN113" s="243">
        <f t="shared" si="106"/>
        <v>-5.8640885715312672E-5</v>
      </c>
      <c r="BO113" s="243">
        <f t="shared" si="107"/>
        <v>-7.970816687970279E-4</v>
      </c>
      <c r="BR113" s="200">
        <f t="shared" si="108"/>
        <v>8.6169209020787895E-8</v>
      </c>
      <c r="BS113" s="201">
        <f t="shared" si="109"/>
        <v>8.5168654113517717E-8</v>
      </c>
      <c r="BT113" s="201">
        <f t="shared" si="110"/>
        <v>3.8786479970414953E-7</v>
      </c>
      <c r="BU113" s="201">
        <f t="shared" si="111"/>
        <v>7.3319065046183211E-7</v>
      </c>
      <c r="BV113" s="201">
        <f t="shared" si="112"/>
        <v>3.4387534774763618E-9</v>
      </c>
      <c r="BW113" s="201">
        <f t="shared" si="113"/>
        <v>6.3533918673225483E-7</v>
      </c>
    </row>
    <row r="114" spans="1:75" x14ac:dyDescent="0.25">
      <c r="A114" s="122">
        <v>11958</v>
      </c>
      <c r="B114" s="153">
        <v>119</v>
      </c>
      <c r="C114" s="184">
        <f>+'Sampling Weights'!R114</f>
        <v>392.38555934720432</v>
      </c>
      <c r="D114" s="155">
        <f>+SUM('Sampling Weights'!I114:N114)</f>
        <v>15</v>
      </c>
      <c r="E114" s="155">
        <v>4</v>
      </c>
      <c r="F114" s="155">
        <v>3</v>
      </c>
      <c r="G114" s="155">
        <v>0</v>
      </c>
      <c r="H114" s="154">
        <v>2</v>
      </c>
      <c r="I114" s="154">
        <v>1</v>
      </c>
      <c r="J114" s="154">
        <v>0</v>
      </c>
      <c r="K114" s="155"/>
      <c r="L114" s="172"/>
      <c r="M114" s="172"/>
      <c r="N114" s="172"/>
      <c r="P114" s="184"/>
      <c r="Q114" s="173"/>
      <c r="R114" s="167"/>
      <c r="S114" s="184">
        <f t="shared" si="96"/>
        <v>5885.7833902080647</v>
      </c>
      <c r="T114" s="184">
        <f t="shared" si="96"/>
        <v>1569.5422373888173</v>
      </c>
      <c r="U114" s="184">
        <f t="shared" si="96"/>
        <v>1177.1566780416128</v>
      </c>
      <c r="V114" s="184">
        <f t="shared" si="96"/>
        <v>0</v>
      </c>
      <c r="W114" s="184">
        <f t="shared" si="93"/>
        <v>784.77111869440864</v>
      </c>
      <c r="X114" s="184">
        <f t="shared" si="93"/>
        <v>392.38555934720432</v>
      </c>
      <c r="Y114" s="184">
        <f t="shared" si="93"/>
        <v>0</v>
      </c>
      <c r="AA114" s="167">
        <f t="shared" si="97"/>
        <v>34642446.11644914</v>
      </c>
      <c r="AB114" s="167">
        <f t="shared" si="98"/>
        <v>2463462.8349474943</v>
      </c>
      <c r="AC114" s="167">
        <f t="shared" si="99"/>
        <v>1385697.8446579655</v>
      </c>
      <c r="AD114" s="167">
        <f t="shared" si="100"/>
        <v>0</v>
      </c>
      <c r="AE114" s="167">
        <f t="shared" si="101"/>
        <v>615865.70873687358</v>
      </c>
      <c r="AF114" s="167">
        <f t="shared" si="102"/>
        <v>153966.4271842184</v>
      </c>
      <c r="AG114" s="167">
        <f t="shared" si="103"/>
        <v>0</v>
      </c>
      <c r="AK114" s="167"/>
      <c r="BA114" s="167"/>
      <c r="BJ114" s="201">
        <f t="shared" si="94"/>
        <v>1.3123458131536931E-4</v>
      </c>
      <c r="BK114" s="201">
        <f t="shared" si="95"/>
        <v>1.3203555003222616E-4</v>
      </c>
      <c r="BL114" s="243">
        <f t="shared" si="104"/>
        <v>-8.7553978630099257E-4</v>
      </c>
      <c r="BM114" s="243">
        <f t="shared" si="105"/>
        <v>2.0457250455855813E-4</v>
      </c>
      <c r="BN114" s="243">
        <f t="shared" si="106"/>
        <v>9.1675961930906037E-4</v>
      </c>
      <c r="BO114" s="243">
        <f t="shared" si="107"/>
        <v>-1.1205687936267281E-3</v>
      </c>
      <c r="BR114" s="200">
        <f t="shared" si="108"/>
        <v>1.722251533302028E-8</v>
      </c>
      <c r="BS114" s="201">
        <f t="shared" si="109"/>
        <v>1.7433386472312498E-8</v>
      </c>
      <c r="BT114" s="201">
        <f t="shared" si="110"/>
        <v>7.6656991739598772E-7</v>
      </c>
      <c r="BU114" s="201">
        <f t="shared" si="111"/>
        <v>4.1849909621361289E-8</v>
      </c>
      <c r="BV114" s="201">
        <f t="shared" si="112"/>
        <v>8.4044819959569325E-7</v>
      </c>
      <c r="BW114" s="201">
        <f t="shared" si="113"/>
        <v>1.2556744212500608E-6</v>
      </c>
    </row>
    <row r="115" spans="1:75" x14ac:dyDescent="0.25">
      <c r="A115" s="122">
        <v>11959</v>
      </c>
      <c r="B115" s="153">
        <v>119</v>
      </c>
      <c r="C115" s="184">
        <f>+'Sampling Weights'!R115</f>
        <v>370.90674170588704</v>
      </c>
      <c r="D115" s="155">
        <f>+SUM('Sampling Weights'!I115:N115)</f>
        <v>12</v>
      </c>
      <c r="E115" s="155">
        <v>0</v>
      </c>
      <c r="F115" s="155">
        <v>0</v>
      </c>
      <c r="G115" s="155">
        <v>0</v>
      </c>
      <c r="H115" s="154">
        <v>0</v>
      </c>
      <c r="I115" s="154">
        <v>0</v>
      </c>
      <c r="J115" s="154">
        <v>0</v>
      </c>
      <c r="K115" s="155"/>
      <c r="L115" s="172"/>
      <c r="M115" s="172"/>
      <c r="N115" s="172"/>
      <c r="P115" s="184"/>
      <c r="Q115" s="173"/>
      <c r="R115" s="167"/>
      <c r="S115" s="184">
        <f t="shared" si="96"/>
        <v>4450.8809004706445</v>
      </c>
      <c r="T115" s="184">
        <f t="shared" si="96"/>
        <v>0</v>
      </c>
      <c r="U115" s="184">
        <f t="shared" si="96"/>
        <v>0</v>
      </c>
      <c r="V115" s="184">
        <f t="shared" si="96"/>
        <v>0</v>
      </c>
      <c r="W115" s="184">
        <f t="shared" si="93"/>
        <v>0</v>
      </c>
      <c r="X115" s="184">
        <f t="shared" si="93"/>
        <v>0</v>
      </c>
      <c r="Y115" s="184">
        <f t="shared" si="93"/>
        <v>0</v>
      </c>
      <c r="AA115" s="167">
        <f t="shared" si="97"/>
        <v>19810340.790174376</v>
      </c>
      <c r="AB115" s="167">
        <f t="shared" si="98"/>
        <v>0</v>
      </c>
      <c r="AC115" s="167">
        <f t="shared" si="99"/>
        <v>0</v>
      </c>
      <c r="AD115" s="167">
        <f t="shared" si="100"/>
        <v>0</v>
      </c>
      <c r="AE115" s="167">
        <f t="shared" si="101"/>
        <v>0</v>
      </c>
      <c r="AF115" s="167">
        <f t="shared" si="102"/>
        <v>0</v>
      </c>
      <c r="AG115" s="167">
        <f t="shared" si="103"/>
        <v>0</v>
      </c>
      <c r="AK115" s="167"/>
      <c r="BA115" s="167"/>
      <c r="BJ115" s="201">
        <f t="shared" si="94"/>
        <v>-3.0728809177886041E-4</v>
      </c>
      <c r="BK115" s="201">
        <f t="shared" si="95"/>
        <v>-2.0505018460757597E-4</v>
      </c>
      <c r="BL115" s="243">
        <f t="shared" si="104"/>
        <v>0</v>
      </c>
      <c r="BM115" s="243">
        <f t="shared" si="105"/>
        <v>0</v>
      </c>
      <c r="BN115" s="243">
        <f t="shared" si="106"/>
        <v>0</v>
      </c>
      <c r="BO115" s="243">
        <f t="shared" si="107"/>
        <v>0</v>
      </c>
      <c r="BR115" s="200">
        <f t="shared" si="108"/>
        <v>9.4425971349093342E-8</v>
      </c>
      <c r="BS115" s="201">
        <f t="shared" si="109"/>
        <v>4.2045578207600982E-8</v>
      </c>
      <c r="BT115" s="201">
        <f t="shared" si="110"/>
        <v>0</v>
      </c>
      <c r="BU115" s="201">
        <f t="shared" si="111"/>
        <v>0</v>
      </c>
      <c r="BV115" s="201">
        <f t="shared" si="112"/>
        <v>0</v>
      </c>
      <c r="BW115" s="201">
        <f t="shared" si="113"/>
        <v>0</v>
      </c>
    </row>
    <row r="116" spans="1:75" x14ac:dyDescent="0.25">
      <c r="A116" s="122">
        <v>11960</v>
      </c>
      <c r="B116" s="153">
        <v>119</v>
      </c>
      <c r="C116" s="184">
        <f>+'Sampling Weights'!R116</f>
        <v>613.11055792954789</v>
      </c>
      <c r="D116" s="155">
        <f>+SUM('Sampling Weights'!I116:N116)</f>
        <v>10</v>
      </c>
      <c r="E116" s="155">
        <v>3</v>
      </c>
      <c r="F116" s="155">
        <v>1</v>
      </c>
      <c r="G116" s="155">
        <v>0</v>
      </c>
      <c r="H116" s="154">
        <v>0</v>
      </c>
      <c r="I116" s="154">
        <v>1</v>
      </c>
      <c r="J116" s="154">
        <v>0</v>
      </c>
      <c r="K116" s="155"/>
      <c r="L116" s="172"/>
      <c r="M116" s="172"/>
      <c r="N116" s="172"/>
      <c r="P116" s="184"/>
      <c r="Q116" s="173"/>
      <c r="R116" s="167"/>
      <c r="S116" s="184">
        <f t="shared" si="96"/>
        <v>6131.1055792954794</v>
      </c>
      <c r="T116" s="184">
        <f t="shared" si="96"/>
        <v>1839.3316737886437</v>
      </c>
      <c r="U116" s="184">
        <f t="shared" si="96"/>
        <v>613.11055792954789</v>
      </c>
      <c r="V116" s="184">
        <f t="shared" si="96"/>
        <v>0</v>
      </c>
      <c r="W116" s="184">
        <f t="shared" si="93"/>
        <v>0</v>
      </c>
      <c r="X116" s="184">
        <f t="shared" si="93"/>
        <v>613.11055792954789</v>
      </c>
      <c r="Y116" s="184">
        <f t="shared" si="93"/>
        <v>0</v>
      </c>
      <c r="AA116" s="167">
        <f t="shared" si="97"/>
        <v>37590455.624468155</v>
      </c>
      <c r="AB116" s="167">
        <f t="shared" si="98"/>
        <v>3383141.0062021334</v>
      </c>
      <c r="AC116" s="167">
        <f t="shared" si="99"/>
        <v>375904.55624468153</v>
      </c>
      <c r="AD116" s="167">
        <f t="shared" si="100"/>
        <v>0</v>
      </c>
      <c r="AE116" s="167">
        <f t="shared" si="101"/>
        <v>0</v>
      </c>
      <c r="AF116" s="167">
        <f t="shared" si="102"/>
        <v>375904.55624468153</v>
      </c>
      <c r="AG116" s="167">
        <f t="shared" si="103"/>
        <v>0</v>
      </c>
      <c r="AK116" s="167"/>
      <c r="BA116" s="167"/>
      <c r="BJ116" s="201">
        <f t="shared" si="94"/>
        <v>2.0670387837366238E-4</v>
      </c>
      <c r="BK116" s="201">
        <f t="shared" si="95"/>
        <v>-7.2459282856714998E-5</v>
      </c>
      <c r="BL116" s="243">
        <f t="shared" si="104"/>
        <v>-4.5601634589677157E-4</v>
      </c>
      <c r="BM116" s="243">
        <f t="shared" si="105"/>
        <v>-9.3429678540315022E-4</v>
      </c>
      <c r="BN116" s="243">
        <f t="shared" si="106"/>
        <v>1.5183316695551617E-3</v>
      </c>
      <c r="BO116" s="243">
        <f t="shared" si="107"/>
        <v>-5.8363731105184012E-4</v>
      </c>
      <c r="BR116" s="200">
        <f t="shared" si="108"/>
        <v>4.2726493334713814E-8</v>
      </c>
      <c r="BS116" s="201">
        <f t="shared" si="109"/>
        <v>5.2503476721094317E-9</v>
      </c>
      <c r="BT116" s="201">
        <f t="shared" si="110"/>
        <v>2.0795090772504402E-7</v>
      </c>
      <c r="BU116" s="201">
        <f t="shared" si="111"/>
        <v>8.7291048321466012E-7</v>
      </c>
      <c r="BV116" s="201">
        <f t="shared" si="112"/>
        <v>2.3053310587741648E-6</v>
      </c>
      <c r="BW116" s="201">
        <f t="shared" si="113"/>
        <v>3.4063251085182239E-7</v>
      </c>
    </row>
    <row r="117" spans="1:75" x14ac:dyDescent="0.25">
      <c r="A117" s="122">
        <v>11961</v>
      </c>
      <c r="B117" s="153">
        <v>119</v>
      </c>
      <c r="C117" s="184">
        <f>+'Sampling Weights'!R117</f>
        <v>586.8214592881601</v>
      </c>
      <c r="D117" s="155">
        <f>+SUM('Sampling Weights'!I117:N117)</f>
        <v>13</v>
      </c>
      <c r="E117" s="155">
        <v>4</v>
      </c>
      <c r="F117" s="155">
        <v>1</v>
      </c>
      <c r="G117" s="155">
        <v>0</v>
      </c>
      <c r="H117" s="154">
        <v>0</v>
      </c>
      <c r="I117" s="154">
        <v>0</v>
      </c>
      <c r="J117" s="154">
        <v>1</v>
      </c>
      <c r="K117" s="155"/>
      <c r="L117" s="172"/>
      <c r="M117" s="172"/>
      <c r="N117" s="172"/>
      <c r="P117" s="184"/>
      <c r="Q117" s="173"/>
      <c r="R117" s="167"/>
      <c r="S117" s="184">
        <f t="shared" si="96"/>
        <v>7628.6789707460812</v>
      </c>
      <c r="T117" s="184">
        <f t="shared" si="96"/>
        <v>2347.2858371526404</v>
      </c>
      <c r="U117" s="184">
        <f t="shared" si="96"/>
        <v>586.8214592881601</v>
      </c>
      <c r="V117" s="184">
        <f t="shared" si="96"/>
        <v>0</v>
      </c>
      <c r="W117" s="184">
        <f t="shared" si="93"/>
        <v>0</v>
      </c>
      <c r="X117" s="184">
        <f t="shared" si="93"/>
        <v>0</v>
      </c>
      <c r="Y117" s="184">
        <f t="shared" si="93"/>
        <v>586.8214592881601</v>
      </c>
      <c r="AA117" s="167">
        <f t="shared" si="97"/>
        <v>58196742.838703491</v>
      </c>
      <c r="AB117" s="167">
        <f t="shared" si="98"/>
        <v>5509750.8012973722</v>
      </c>
      <c r="AC117" s="167">
        <f t="shared" si="99"/>
        <v>344359.42508108576</v>
      </c>
      <c r="AD117" s="167">
        <f t="shared" si="100"/>
        <v>0</v>
      </c>
      <c r="AE117" s="167">
        <f t="shared" si="101"/>
        <v>0</v>
      </c>
      <c r="AF117" s="167">
        <f t="shared" si="102"/>
        <v>0</v>
      </c>
      <c r="AG117" s="167">
        <f t="shared" si="103"/>
        <v>344359.42508108576</v>
      </c>
      <c r="AK117" s="167"/>
      <c r="BA117" s="167"/>
      <c r="BJ117" s="201">
        <f t="shared" si="94"/>
        <v>2.7729239380417568E-4</v>
      </c>
      <c r="BK117" s="201">
        <f t="shared" si="95"/>
        <v>-1.5045619967204397E-4</v>
      </c>
      <c r="BL117" s="243">
        <f t="shared" si="104"/>
        <v>-4.3646316981079883E-4</v>
      </c>
      <c r="BM117" s="243">
        <f t="shared" si="105"/>
        <v>-8.9423578819126178E-4</v>
      </c>
      <c r="BN117" s="243">
        <f t="shared" si="106"/>
        <v>-4.1096793670066497E-5</v>
      </c>
      <c r="BO117" s="243">
        <f t="shared" si="107"/>
        <v>9.3571310772864362E-4</v>
      </c>
      <c r="BR117" s="200">
        <f t="shared" si="108"/>
        <v>7.6891071661650049E-8</v>
      </c>
      <c r="BS117" s="201">
        <f t="shared" si="109"/>
        <v>2.2637068019753961E-8</v>
      </c>
      <c r="BT117" s="201">
        <f t="shared" si="110"/>
        <v>1.9050009860129022E-7</v>
      </c>
      <c r="BU117" s="201">
        <f t="shared" si="111"/>
        <v>7.996576448820472E-7</v>
      </c>
      <c r="BV117" s="201">
        <f t="shared" si="112"/>
        <v>1.6889464499600178E-9</v>
      </c>
      <c r="BW117" s="201">
        <f t="shared" si="113"/>
        <v>8.7555901997519626E-7</v>
      </c>
    </row>
    <row r="118" spans="1:75" x14ac:dyDescent="0.25">
      <c r="A118" s="122">
        <v>11962</v>
      </c>
      <c r="B118" s="153">
        <v>119</v>
      </c>
      <c r="C118" s="184">
        <f>+'Sampling Weights'!R118</f>
        <v>339.90607808463454</v>
      </c>
      <c r="D118" s="155">
        <f>+SUM('Sampling Weights'!I118:N118)</f>
        <v>14</v>
      </c>
      <c r="E118" s="155">
        <v>2</v>
      </c>
      <c r="F118" s="155">
        <v>1</v>
      </c>
      <c r="G118" s="155">
        <v>0</v>
      </c>
      <c r="H118" s="154">
        <v>1</v>
      </c>
      <c r="I118" s="154">
        <v>0</v>
      </c>
      <c r="J118" s="154">
        <v>0</v>
      </c>
      <c r="K118" s="155"/>
      <c r="L118" s="172"/>
      <c r="M118" s="172"/>
      <c r="N118" s="172"/>
      <c r="P118" s="184"/>
      <c r="Q118" s="173"/>
      <c r="R118" s="167"/>
      <c r="S118" s="184">
        <f t="shared" si="96"/>
        <v>4758.685093184884</v>
      </c>
      <c r="T118" s="184">
        <f t="shared" si="96"/>
        <v>679.81215616926909</v>
      </c>
      <c r="U118" s="184">
        <f t="shared" si="96"/>
        <v>339.90607808463454</v>
      </c>
      <c r="V118" s="184">
        <f t="shared" si="96"/>
        <v>0</v>
      </c>
      <c r="W118" s="184">
        <f t="shared" si="93"/>
        <v>339.90607808463454</v>
      </c>
      <c r="X118" s="184">
        <f t="shared" si="93"/>
        <v>0</v>
      </c>
      <c r="Y118" s="184">
        <f t="shared" si="93"/>
        <v>0</v>
      </c>
      <c r="AA118" s="167">
        <f t="shared" si="97"/>
        <v>22645083.816100027</v>
      </c>
      <c r="AB118" s="167">
        <f t="shared" si="98"/>
        <v>462144.56767551071</v>
      </c>
      <c r="AC118" s="167">
        <f t="shared" si="99"/>
        <v>115536.14191887768</v>
      </c>
      <c r="AD118" s="167">
        <f t="shared" si="100"/>
        <v>0</v>
      </c>
      <c r="AE118" s="167">
        <f t="shared" si="101"/>
        <v>115536.14191887768</v>
      </c>
      <c r="AF118" s="167">
        <f t="shared" si="102"/>
        <v>0</v>
      </c>
      <c r="AG118" s="167">
        <f t="shared" si="103"/>
        <v>0</v>
      </c>
      <c r="AK118" s="167"/>
      <c r="BA118" s="167"/>
      <c r="BJ118" s="201">
        <f t="shared" si="94"/>
        <v>-9.5694564338838365E-5</v>
      </c>
      <c r="BK118" s="201">
        <f t="shared" si="95"/>
        <v>-1.0280845311208978E-4</v>
      </c>
      <c r="BL118" s="243">
        <f t="shared" si="104"/>
        <v>-2.5281366577619595E-4</v>
      </c>
      <c r="BM118" s="243">
        <f t="shared" si="105"/>
        <v>3.4759123882219793E-4</v>
      </c>
      <c r="BN118" s="243">
        <f t="shared" si="106"/>
        <v>-2.3804599741786542E-5</v>
      </c>
      <c r="BO118" s="243">
        <f t="shared" si="107"/>
        <v>-3.2356622611983928E-4</v>
      </c>
      <c r="BR118" s="200">
        <f t="shared" si="108"/>
        <v>9.157449644000076E-9</v>
      </c>
      <c r="BS118" s="201">
        <f t="shared" si="109"/>
        <v>1.0569578031300763E-8</v>
      </c>
      <c r="BT118" s="201">
        <f t="shared" si="110"/>
        <v>6.3914749603198118E-8</v>
      </c>
      <c r="BU118" s="201">
        <f t="shared" si="111"/>
        <v>1.2081966930595024E-7</v>
      </c>
      <c r="BV118" s="201">
        <f t="shared" si="112"/>
        <v>5.6665896886666387E-10</v>
      </c>
      <c r="BW118" s="201">
        <f t="shared" si="113"/>
        <v>1.0469510268543497E-7</v>
      </c>
    </row>
    <row r="119" spans="1:75" x14ac:dyDescent="0.25">
      <c r="A119" s="122">
        <v>11963</v>
      </c>
      <c r="B119" s="153">
        <v>119</v>
      </c>
      <c r="C119" s="184">
        <f>+'Sampling Weights'!R119</f>
        <v>304.03328078393156</v>
      </c>
      <c r="D119" s="155">
        <f>+SUM('Sampling Weights'!I119:N119)</f>
        <v>12</v>
      </c>
      <c r="E119" s="155">
        <v>3</v>
      </c>
      <c r="F119" s="155">
        <v>2</v>
      </c>
      <c r="G119" s="155">
        <v>0</v>
      </c>
      <c r="H119" s="154">
        <v>0</v>
      </c>
      <c r="I119" s="154">
        <v>0</v>
      </c>
      <c r="J119" s="154">
        <v>2</v>
      </c>
      <c r="K119" s="155"/>
      <c r="L119" s="172"/>
      <c r="M119" s="172"/>
      <c r="N119" s="172"/>
      <c r="P119" s="184"/>
      <c r="Q119" s="173"/>
      <c r="R119" s="167"/>
      <c r="S119" s="184">
        <f t="shared" si="96"/>
        <v>3648.3993694071787</v>
      </c>
      <c r="T119" s="184">
        <f t="shared" si="96"/>
        <v>912.09984235179468</v>
      </c>
      <c r="U119" s="184">
        <f t="shared" si="96"/>
        <v>608.06656156786312</v>
      </c>
      <c r="V119" s="184">
        <f t="shared" si="96"/>
        <v>0</v>
      </c>
      <c r="W119" s="184">
        <f t="shared" si="93"/>
        <v>0</v>
      </c>
      <c r="X119" s="184">
        <f t="shared" si="93"/>
        <v>0</v>
      </c>
      <c r="Y119" s="184">
        <f t="shared" si="93"/>
        <v>608.06656156786312</v>
      </c>
      <c r="AA119" s="167">
        <f t="shared" si="97"/>
        <v>13310817.958690699</v>
      </c>
      <c r="AB119" s="167">
        <f t="shared" si="98"/>
        <v>831926.1224181687</v>
      </c>
      <c r="AC119" s="167">
        <f t="shared" si="99"/>
        <v>369744.94329696387</v>
      </c>
      <c r="AD119" s="167">
        <f t="shared" si="100"/>
        <v>0</v>
      </c>
      <c r="AE119" s="167">
        <f t="shared" si="101"/>
        <v>0</v>
      </c>
      <c r="AF119" s="167">
        <f t="shared" si="102"/>
        <v>0</v>
      </c>
      <c r="AG119" s="167">
        <f t="shared" si="103"/>
        <v>369744.94329696387</v>
      </c>
      <c r="AK119" s="167"/>
      <c r="BA119" s="167"/>
      <c r="BJ119" s="201">
        <f t="shared" si="94"/>
        <v>6.0520857322380239E-5</v>
      </c>
      <c r="BK119" s="201">
        <f t="shared" si="95"/>
        <v>4.0190300583956894E-5</v>
      </c>
      <c r="BL119" s="243">
        <f t="shared" si="104"/>
        <v>-4.5226474716824927E-4</v>
      </c>
      <c r="BM119" s="243">
        <f t="shared" si="105"/>
        <v>-9.2661042357923789E-4</v>
      </c>
      <c r="BN119" s="243">
        <f t="shared" si="106"/>
        <v>-4.258464925385433E-5</v>
      </c>
      <c r="BO119" s="243">
        <f t="shared" si="107"/>
        <v>9.6958937514099821E-4</v>
      </c>
      <c r="BR119" s="200">
        <f t="shared" si="108"/>
        <v>3.6627741710359059E-9</v>
      </c>
      <c r="BS119" s="201">
        <f t="shared" si="109"/>
        <v>1.6152602610288059E-9</v>
      </c>
      <c r="BT119" s="201">
        <f t="shared" si="110"/>
        <v>2.0454340153116044E-7</v>
      </c>
      <c r="BU119" s="201">
        <f t="shared" si="111"/>
        <v>8.5860687708569463E-7</v>
      </c>
      <c r="BV119" s="201">
        <f t="shared" si="112"/>
        <v>1.8134523520737963E-9</v>
      </c>
      <c r="BW119" s="201">
        <f t="shared" si="113"/>
        <v>9.4010355638631139E-7</v>
      </c>
    </row>
    <row r="120" spans="1:75" x14ac:dyDescent="0.25">
      <c r="A120" s="122">
        <v>11964</v>
      </c>
      <c r="B120" s="153">
        <v>119</v>
      </c>
      <c r="C120" s="184">
        <f>+'Sampling Weights'!R120</f>
        <v>384.38664376520558</v>
      </c>
      <c r="D120" s="155">
        <f>+SUM('Sampling Weights'!I120:N120)</f>
        <v>14</v>
      </c>
      <c r="E120" s="155">
        <v>2</v>
      </c>
      <c r="F120" s="155">
        <v>2</v>
      </c>
      <c r="G120" s="155">
        <v>1</v>
      </c>
      <c r="H120" s="154">
        <v>2</v>
      </c>
      <c r="I120" s="154">
        <v>0</v>
      </c>
      <c r="J120" s="154">
        <v>0</v>
      </c>
      <c r="K120" s="155"/>
      <c r="L120" s="172"/>
      <c r="M120" s="172"/>
      <c r="N120" s="172"/>
      <c r="P120" s="184"/>
      <c r="Q120" s="173"/>
      <c r="R120" s="167"/>
      <c r="S120" s="184">
        <f t="shared" si="96"/>
        <v>5381.4130127128783</v>
      </c>
      <c r="T120" s="184">
        <f t="shared" si="96"/>
        <v>768.77328753041115</v>
      </c>
      <c r="U120" s="184">
        <f t="shared" si="96"/>
        <v>768.77328753041115</v>
      </c>
      <c r="V120" s="184">
        <f t="shared" si="96"/>
        <v>384.38664376520558</v>
      </c>
      <c r="W120" s="184">
        <f t="shared" si="93"/>
        <v>768.77328753041115</v>
      </c>
      <c r="X120" s="184">
        <f t="shared" si="93"/>
        <v>0</v>
      </c>
      <c r="Y120" s="184">
        <f t="shared" si="93"/>
        <v>0</v>
      </c>
      <c r="AA120" s="167">
        <f t="shared" si="97"/>
        <v>28959606.013395496</v>
      </c>
      <c r="AB120" s="167">
        <f t="shared" si="98"/>
        <v>591012.36762031622</v>
      </c>
      <c r="AC120" s="167">
        <f t="shared" si="99"/>
        <v>591012.36762031622</v>
      </c>
      <c r="AD120" s="167">
        <f t="shared" si="100"/>
        <v>147753.09190507905</v>
      </c>
      <c r="AE120" s="167">
        <f t="shared" si="101"/>
        <v>591012.36762031622</v>
      </c>
      <c r="AF120" s="167">
        <f t="shared" si="102"/>
        <v>0</v>
      </c>
      <c r="AG120" s="167">
        <f t="shared" si="103"/>
        <v>0</v>
      </c>
      <c r="AK120" s="167"/>
      <c r="BA120" s="167"/>
      <c r="BJ120" s="201">
        <f t="shared" si="94"/>
        <v>-1.0821728349212012E-4</v>
      </c>
      <c r="BK120" s="201">
        <f t="shared" si="95"/>
        <v>1.5395191509379834E-5</v>
      </c>
      <c r="BL120" s="243">
        <f t="shared" si="104"/>
        <v>4.0703585875677818E-4</v>
      </c>
      <c r="BM120" s="243">
        <f t="shared" si="105"/>
        <v>7.861549899074575E-4</v>
      </c>
      <c r="BN120" s="243">
        <f t="shared" si="106"/>
        <v>-5.3839403240333178E-5</v>
      </c>
      <c r="BO120" s="243">
        <f t="shared" si="107"/>
        <v>-7.3181707367415852E-4</v>
      </c>
      <c r="BR120" s="200">
        <f t="shared" si="108"/>
        <v>1.1710980446413893E-8</v>
      </c>
      <c r="BS120" s="201">
        <f t="shared" si="109"/>
        <v>2.3701192161048096E-10</v>
      </c>
      <c r="BT120" s="201">
        <f t="shared" si="110"/>
        <v>1.6567819031386788E-7</v>
      </c>
      <c r="BU120" s="201">
        <f t="shared" si="111"/>
        <v>6.1803966815639464E-7</v>
      </c>
      <c r="BV120" s="201">
        <f t="shared" si="112"/>
        <v>2.8986813412751985E-9</v>
      </c>
      <c r="BW120" s="201">
        <f t="shared" si="113"/>
        <v>5.355562293210088E-7</v>
      </c>
    </row>
    <row r="121" spans="1:75" x14ac:dyDescent="0.25">
      <c r="A121" s="122">
        <v>21950</v>
      </c>
      <c r="B121" s="153">
        <v>219</v>
      </c>
      <c r="C121" s="184">
        <f>+'Sampling Weights'!R121</f>
        <v>1178.4339297665981</v>
      </c>
      <c r="D121" s="155">
        <f>+SUM('Sampling Weights'!I121:N121)</f>
        <v>14</v>
      </c>
      <c r="E121" s="155">
        <v>2</v>
      </c>
      <c r="F121" s="155">
        <v>2</v>
      </c>
      <c r="G121" s="155">
        <v>0</v>
      </c>
      <c r="H121" s="154">
        <v>1</v>
      </c>
      <c r="I121" s="154">
        <v>0</v>
      </c>
      <c r="J121" s="154">
        <v>1</v>
      </c>
      <c r="K121" s="155"/>
      <c r="L121" s="172"/>
      <c r="M121" s="172"/>
      <c r="N121" s="172"/>
      <c r="P121" s="184"/>
      <c r="Q121" s="173"/>
      <c r="R121" s="167"/>
      <c r="S121" s="184">
        <f t="shared" si="96"/>
        <v>16498.075016732375</v>
      </c>
      <c r="T121" s="184">
        <f t="shared" si="96"/>
        <v>2356.8678595331962</v>
      </c>
      <c r="U121" s="184">
        <f t="shared" si="96"/>
        <v>2356.8678595331962</v>
      </c>
      <c r="V121" s="184">
        <f t="shared" si="96"/>
        <v>0</v>
      </c>
      <c r="W121" s="184">
        <f t="shared" si="93"/>
        <v>1178.4339297665981</v>
      </c>
      <c r="X121" s="184">
        <f t="shared" si="93"/>
        <v>0</v>
      </c>
      <c r="Y121" s="184">
        <f t="shared" si="93"/>
        <v>1178.4339297665981</v>
      </c>
      <c r="AA121" s="167">
        <f t="shared" si="97"/>
        <v>272186479.25772893</v>
      </c>
      <c r="AB121" s="167">
        <f t="shared" si="98"/>
        <v>5554826.1073005898</v>
      </c>
      <c r="AC121" s="167">
        <f t="shared" si="99"/>
        <v>5554826.1073005898</v>
      </c>
      <c r="AD121" s="167">
        <f t="shared" si="100"/>
        <v>0</v>
      </c>
      <c r="AE121" s="167">
        <f t="shared" si="101"/>
        <v>1388706.5268251474</v>
      </c>
      <c r="AF121" s="167">
        <f t="shared" si="102"/>
        <v>0</v>
      </c>
      <c r="AG121" s="167">
        <f t="shared" si="103"/>
        <v>1388706.5268251474</v>
      </c>
      <c r="AK121" s="167"/>
      <c r="BA121" s="167"/>
      <c r="BJ121" s="201">
        <f t="shared" si="94"/>
        <v>-3.3176729920975659E-4</v>
      </c>
      <c r="BK121" s="201">
        <f t="shared" si="95"/>
        <v>4.7197831465209836E-5</v>
      </c>
      <c r="BL121" s="243">
        <f t="shared" si="104"/>
        <v>-1.7529795485749487E-3</v>
      </c>
      <c r="BM121" s="243">
        <f t="shared" si="105"/>
        <v>-5.9069450350847223E-4</v>
      </c>
      <c r="BN121" s="243">
        <f t="shared" si="106"/>
        <v>-1.6505823125204395E-4</v>
      </c>
      <c r="BO121" s="243">
        <f t="shared" si="107"/>
        <v>7.5728105171655341E-4</v>
      </c>
      <c r="BR121" s="200">
        <f t="shared" si="108"/>
        <v>1.1006954082493615E-7</v>
      </c>
      <c r="BS121" s="201">
        <f t="shared" si="109"/>
        <v>2.2276352950183516E-9</v>
      </c>
      <c r="BT121" s="201">
        <f t="shared" si="110"/>
        <v>3.0729372977220311E-6</v>
      </c>
      <c r="BU121" s="201">
        <f t="shared" si="111"/>
        <v>3.4891999647512049E-7</v>
      </c>
      <c r="BV121" s="201">
        <f t="shared" si="112"/>
        <v>2.7244219704053219E-8</v>
      </c>
      <c r="BW121" s="201">
        <f t="shared" si="113"/>
        <v>5.7347459128892923E-7</v>
      </c>
    </row>
    <row r="122" spans="1:75" x14ac:dyDescent="0.25">
      <c r="A122" s="122">
        <v>21951</v>
      </c>
      <c r="B122" s="153">
        <v>219</v>
      </c>
      <c r="C122" s="184">
        <f>+'Sampling Weights'!R122</f>
        <v>1442.3660303945799</v>
      </c>
      <c r="D122" s="155">
        <f>+SUM('Sampling Weights'!I122:N122)</f>
        <v>16</v>
      </c>
      <c r="E122" s="155">
        <v>6</v>
      </c>
      <c r="F122" s="155">
        <v>4</v>
      </c>
      <c r="G122" s="155">
        <v>2</v>
      </c>
      <c r="H122" s="154">
        <v>1</v>
      </c>
      <c r="I122" s="154">
        <v>0</v>
      </c>
      <c r="J122" s="154">
        <v>3</v>
      </c>
      <c r="K122" s="155"/>
      <c r="L122" s="172"/>
      <c r="M122" s="172"/>
      <c r="N122" s="172"/>
      <c r="P122" s="184"/>
      <c r="Q122" s="173"/>
      <c r="R122" s="167"/>
      <c r="S122" s="184">
        <f t="shared" si="96"/>
        <v>23077.856486313278</v>
      </c>
      <c r="T122" s="184">
        <f t="shared" si="96"/>
        <v>8654.1961823674792</v>
      </c>
      <c r="U122" s="184">
        <f t="shared" si="96"/>
        <v>5769.4641215783195</v>
      </c>
      <c r="V122" s="184">
        <f t="shared" si="96"/>
        <v>2884.7320607891597</v>
      </c>
      <c r="W122" s="184">
        <f t="shared" si="93"/>
        <v>1442.3660303945799</v>
      </c>
      <c r="X122" s="184">
        <f t="shared" si="93"/>
        <v>0</v>
      </c>
      <c r="Y122" s="184">
        <f t="shared" si="93"/>
        <v>4327.0980911837396</v>
      </c>
      <c r="AA122" s="167">
        <f t="shared" si="97"/>
        <v>532587460.00287181</v>
      </c>
      <c r="AB122" s="167">
        <f t="shared" si="98"/>
        <v>74895111.562903851</v>
      </c>
      <c r="AC122" s="167">
        <f t="shared" si="99"/>
        <v>33286716.250179488</v>
      </c>
      <c r="AD122" s="167">
        <f t="shared" si="100"/>
        <v>8321679.0625448721</v>
      </c>
      <c r="AE122" s="167">
        <f t="shared" si="101"/>
        <v>2080419.765636218</v>
      </c>
      <c r="AF122" s="167">
        <f t="shared" si="102"/>
        <v>0</v>
      </c>
      <c r="AG122" s="167">
        <f t="shared" si="103"/>
        <v>18723777.890725963</v>
      </c>
      <c r="AK122" s="167"/>
      <c r="BA122" s="167"/>
      <c r="BJ122" s="201">
        <f t="shared" si="94"/>
        <v>1.3708804171934726E-3</v>
      </c>
      <c r="BK122" s="201">
        <f t="shared" si="95"/>
        <v>9.1292757317594346E-4</v>
      </c>
      <c r="BL122" s="243">
        <f t="shared" si="104"/>
        <v>3.0547091338682273E-3</v>
      </c>
      <c r="BM122" s="243">
        <f t="shared" si="105"/>
        <v>-5.1189292987326423E-3</v>
      </c>
      <c r="BN122" s="243">
        <f t="shared" si="106"/>
        <v>-4.0405215732733444E-4</v>
      </c>
      <c r="BO122" s="243">
        <f t="shared" si="107"/>
        <v>5.5267226797389331E-3</v>
      </c>
      <c r="BR122" s="200">
        <f t="shared" si="108"/>
        <v>1.8793131182445495E-6</v>
      </c>
      <c r="BS122" s="201">
        <f t="shared" si="109"/>
        <v>8.3343675386491758E-7</v>
      </c>
      <c r="BT122" s="201">
        <f t="shared" si="110"/>
        <v>9.3312478925379762E-6</v>
      </c>
      <c r="BU122" s="201">
        <f t="shared" si="111"/>
        <v>2.6203437165423459E-5</v>
      </c>
      <c r="BV122" s="201">
        <f t="shared" si="112"/>
        <v>1.6325814584087302E-7</v>
      </c>
      <c r="BW122" s="201">
        <f t="shared" si="113"/>
        <v>3.0544663578740694E-5</v>
      </c>
    </row>
    <row r="123" spans="1:75" x14ac:dyDescent="0.25">
      <c r="A123" s="122">
        <v>21952</v>
      </c>
      <c r="B123" s="153">
        <v>219</v>
      </c>
      <c r="C123" s="184">
        <f>+'Sampling Weights'!R123</f>
        <v>813.2707883031768</v>
      </c>
      <c r="D123" s="155">
        <f>+SUM('Sampling Weights'!I123:N123)</f>
        <v>14</v>
      </c>
      <c r="E123" s="155">
        <v>0</v>
      </c>
      <c r="F123" s="155">
        <v>0</v>
      </c>
      <c r="G123" s="155">
        <v>0</v>
      </c>
      <c r="H123" s="154">
        <v>0</v>
      </c>
      <c r="I123" s="154">
        <v>0</v>
      </c>
      <c r="J123" s="154">
        <v>0</v>
      </c>
      <c r="K123" s="155"/>
      <c r="L123" s="172"/>
      <c r="M123" s="172"/>
      <c r="N123" s="172"/>
      <c r="P123" s="184"/>
      <c r="Q123" s="173"/>
      <c r="R123" s="167"/>
      <c r="S123" s="184">
        <f t="shared" si="96"/>
        <v>11385.791036244475</v>
      </c>
      <c r="T123" s="184">
        <f t="shared" si="96"/>
        <v>0</v>
      </c>
      <c r="U123" s="184">
        <f t="shared" si="96"/>
        <v>0</v>
      </c>
      <c r="V123" s="184">
        <f t="shared" si="96"/>
        <v>0</v>
      </c>
      <c r="W123" s="184">
        <f t="shared" si="93"/>
        <v>0</v>
      </c>
      <c r="X123" s="184">
        <f t="shared" si="93"/>
        <v>0</v>
      </c>
      <c r="Y123" s="184">
        <f t="shared" si="93"/>
        <v>0</v>
      </c>
      <c r="AA123" s="167">
        <f t="shared" si="97"/>
        <v>129636237.52102503</v>
      </c>
      <c r="AB123" s="167">
        <f t="shared" si="98"/>
        <v>0</v>
      </c>
      <c r="AC123" s="167">
        <f t="shared" si="99"/>
        <v>0</v>
      </c>
      <c r="AD123" s="167">
        <f t="shared" si="100"/>
        <v>0</v>
      </c>
      <c r="AE123" s="167">
        <f t="shared" si="101"/>
        <v>0</v>
      </c>
      <c r="AF123" s="167">
        <f t="shared" si="102"/>
        <v>0</v>
      </c>
      <c r="AG123" s="167">
        <f t="shared" si="103"/>
        <v>0</v>
      </c>
      <c r="AK123" s="167"/>
      <c r="BA123" s="167"/>
      <c r="BJ123" s="201">
        <f t="shared" si="94"/>
        <v>-7.8607315701268408E-4</v>
      </c>
      <c r="BK123" s="201">
        <f t="shared" si="95"/>
        <v>-5.2453853654865095E-4</v>
      </c>
      <c r="BL123" s="243">
        <f t="shared" si="104"/>
        <v>0</v>
      </c>
      <c r="BM123" s="243">
        <f t="shared" si="105"/>
        <v>0</v>
      </c>
      <c r="BN123" s="243">
        <f t="shared" si="106"/>
        <v>0</v>
      </c>
      <c r="BO123" s="243">
        <f t="shared" si="107"/>
        <v>0</v>
      </c>
      <c r="BR123" s="200">
        <f t="shared" si="108"/>
        <v>6.1791100817588794E-7</v>
      </c>
      <c r="BS123" s="201">
        <f t="shared" si="109"/>
        <v>2.7514067632460042E-7</v>
      </c>
      <c r="BT123" s="201">
        <f t="shared" si="110"/>
        <v>0</v>
      </c>
      <c r="BU123" s="201">
        <f t="shared" si="111"/>
        <v>0</v>
      </c>
      <c r="BV123" s="201">
        <f t="shared" si="112"/>
        <v>0</v>
      </c>
      <c r="BW123" s="201">
        <f t="shared" si="113"/>
        <v>0</v>
      </c>
    </row>
    <row r="124" spans="1:75" x14ac:dyDescent="0.25">
      <c r="A124" s="122">
        <v>21953</v>
      </c>
      <c r="B124" s="153">
        <v>219</v>
      </c>
      <c r="C124" s="184">
        <f>+'Sampling Weights'!R124</f>
        <v>1069.2587361330845</v>
      </c>
      <c r="D124" s="155">
        <f>+SUM('Sampling Weights'!I124:N124)</f>
        <v>11</v>
      </c>
      <c r="E124" s="155">
        <v>1</v>
      </c>
      <c r="F124" s="155">
        <v>1</v>
      </c>
      <c r="G124" s="155">
        <v>0</v>
      </c>
      <c r="H124" s="154">
        <v>1</v>
      </c>
      <c r="I124" s="154">
        <v>0</v>
      </c>
      <c r="J124" s="154">
        <v>0</v>
      </c>
      <c r="K124" s="154"/>
      <c r="L124" s="172"/>
      <c r="M124" s="172"/>
      <c r="N124" s="172"/>
      <c r="P124" s="184"/>
      <c r="Q124" s="173"/>
      <c r="R124" s="167"/>
      <c r="S124" s="184">
        <f t="shared" si="96"/>
        <v>11761.846097463929</v>
      </c>
      <c r="T124" s="184">
        <f t="shared" si="96"/>
        <v>1069.2587361330845</v>
      </c>
      <c r="U124" s="184">
        <f t="shared" si="96"/>
        <v>1069.2587361330845</v>
      </c>
      <c r="V124" s="184">
        <f t="shared" si="96"/>
        <v>0</v>
      </c>
      <c r="W124" s="184">
        <f t="shared" si="93"/>
        <v>1069.2587361330845</v>
      </c>
      <c r="X124" s="184">
        <f t="shared" si="93"/>
        <v>0</v>
      </c>
      <c r="Y124" s="184">
        <f t="shared" si="93"/>
        <v>0</v>
      </c>
      <c r="AA124" s="167">
        <f t="shared" si="97"/>
        <v>138341023.62042746</v>
      </c>
      <c r="AB124" s="167">
        <f t="shared" si="98"/>
        <v>1143314.2447969213</v>
      </c>
      <c r="AC124" s="167">
        <f t="shared" si="99"/>
        <v>1143314.2447969213</v>
      </c>
      <c r="AD124" s="167">
        <f t="shared" si="100"/>
        <v>0</v>
      </c>
      <c r="AE124" s="167">
        <f t="shared" si="101"/>
        <v>1143314.2447969213</v>
      </c>
      <c r="AF124" s="167">
        <f t="shared" si="102"/>
        <v>0</v>
      </c>
      <c r="AG124" s="167">
        <f t="shared" si="103"/>
        <v>0</v>
      </c>
      <c r="AK124" s="167"/>
      <c r="BA124" s="167"/>
      <c r="BJ124" s="201">
        <f t="shared" si="94"/>
        <v>-4.4580126932589504E-4</v>
      </c>
      <c r="BK124" s="201">
        <f t="shared" si="95"/>
        <v>-1.7562856500835295E-4</v>
      </c>
      <c r="BL124" s="243">
        <f t="shared" si="104"/>
        <v>-7.9528798740020911E-4</v>
      </c>
      <c r="BM124" s="243">
        <f t="shared" si="105"/>
        <v>1.0934343122320225E-3</v>
      </c>
      <c r="BN124" s="243">
        <f t="shared" si="106"/>
        <v>-7.4883262981013588E-5</v>
      </c>
      <c r="BO124" s="243">
        <f t="shared" si="107"/>
        <v>-1.0178576857048885E-3</v>
      </c>
      <c r="BR124" s="200">
        <f t="shared" si="108"/>
        <v>1.9873877173257922E-7</v>
      </c>
      <c r="BS124" s="201">
        <f t="shared" si="109"/>
        <v>3.0845392846893255E-8</v>
      </c>
      <c r="BT124" s="201">
        <f t="shared" si="110"/>
        <v>6.3248298290307516E-7</v>
      </c>
      <c r="BU124" s="201">
        <f t="shared" si="111"/>
        <v>1.1955985951663161E-6</v>
      </c>
      <c r="BV124" s="201">
        <f t="shared" si="112"/>
        <v>5.6075030746836403E-9</v>
      </c>
      <c r="BW124" s="201">
        <f t="shared" si="113"/>
        <v>1.0360342683485116E-6</v>
      </c>
    </row>
    <row r="125" spans="1:75" x14ac:dyDescent="0.25">
      <c r="A125" s="122">
        <v>21954</v>
      </c>
      <c r="B125" s="153">
        <v>219</v>
      </c>
      <c r="C125" s="184">
        <f>+'Sampling Weights'!R125</f>
        <v>916.63229735845755</v>
      </c>
      <c r="D125" s="155">
        <f>+SUM('Sampling Weights'!I125:N125)</f>
        <v>14</v>
      </c>
      <c r="E125" s="155">
        <v>6</v>
      </c>
      <c r="F125" s="155">
        <v>1</v>
      </c>
      <c r="G125" s="155">
        <v>0</v>
      </c>
      <c r="H125" s="154">
        <v>0</v>
      </c>
      <c r="I125" s="154">
        <v>0</v>
      </c>
      <c r="J125" s="154">
        <v>1</v>
      </c>
      <c r="K125" s="155"/>
      <c r="L125" s="172"/>
      <c r="M125" s="172"/>
      <c r="N125" s="172"/>
      <c r="P125" s="184"/>
      <c r="Q125" s="173"/>
      <c r="R125" s="167"/>
      <c r="S125" s="184">
        <f t="shared" si="96"/>
        <v>12832.852163018406</v>
      </c>
      <c r="T125" s="184">
        <f t="shared" si="96"/>
        <v>5499.7937841507455</v>
      </c>
      <c r="U125" s="184">
        <f t="shared" si="96"/>
        <v>916.63229735845755</v>
      </c>
      <c r="V125" s="184">
        <f t="shared" si="96"/>
        <v>0</v>
      </c>
      <c r="W125" s="184">
        <f t="shared" si="93"/>
        <v>0</v>
      </c>
      <c r="X125" s="184">
        <f t="shared" si="93"/>
        <v>0</v>
      </c>
      <c r="Y125" s="184">
        <f t="shared" si="93"/>
        <v>916.63229735845755</v>
      </c>
      <c r="AA125" s="167">
        <f t="shared" si="97"/>
        <v>164682094.63788617</v>
      </c>
      <c r="AB125" s="167">
        <f t="shared" si="98"/>
        <v>30247731.668183178</v>
      </c>
      <c r="AC125" s="167">
        <f t="shared" si="99"/>
        <v>840214.76856064377</v>
      </c>
      <c r="AD125" s="167">
        <f t="shared" si="100"/>
        <v>0</v>
      </c>
      <c r="AE125" s="167">
        <f t="shared" si="101"/>
        <v>0</v>
      </c>
      <c r="AF125" s="167">
        <f t="shared" si="102"/>
        <v>0</v>
      </c>
      <c r="AG125" s="167">
        <f t="shared" si="103"/>
        <v>840214.76856064377</v>
      </c>
      <c r="AK125" s="167"/>
      <c r="BA125" s="167"/>
      <c r="BJ125" s="201">
        <f t="shared" si="94"/>
        <v>9.9777104848424608E-4</v>
      </c>
      <c r="BK125" s="201">
        <f t="shared" si="95"/>
        <v>-2.7724584713233495E-4</v>
      </c>
      <c r="BL125" s="243">
        <f t="shared" si="104"/>
        <v>-6.8176824777563001E-4</v>
      </c>
      <c r="BM125" s="243">
        <f t="shared" si="105"/>
        <v>-1.396822478005868E-3</v>
      </c>
      <c r="BN125" s="243">
        <f t="shared" si="106"/>
        <v>-6.4194394733886693E-5</v>
      </c>
      <c r="BO125" s="243">
        <f t="shared" si="107"/>
        <v>1.4616112652835868E-3</v>
      </c>
      <c r="BR125" s="200">
        <f t="shared" si="108"/>
        <v>9.9554706519335177E-7</v>
      </c>
      <c r="BS125" s="201">
        <f t="shared" si="109"/>
        <v>7.6865259752126036E-8</v>
      </c>
      <c r="BT125" s="201">
        <f t="shared" si="110"/>
        <v>4.6480794367505285E-7</v>
      </c>
      <c r="BU125" s="201">
        <f t="shared" si="111"/>
        <v>1.9511130350624536E-6</v>
      </c>
      <c r="BV125" s="201">
        <f t="shared" si="112"/>
        <v>4.1209203152500593E-9</v>
      </c>
      <c r="BW125" s="201">
        <f t="shared" si="113"/>
        <v>2.1363074908038877E-6</v>
      </c>
    </row>
    <row r="126" spans="1:75" x14ac:dyDescent="0.25">
      <c r="A126" s="122">
        <v>12065</v>
      </c>
      <c r="B126" s="153">
        <v>120</v>
      </c>
      <c r="C126" s="184">
        <f>+'Sampling Weights'!R126</f>
        <v>274.48905041275594</v>
      </c>
      <c r="D126" s="155">
        <f>+SUM('Sampling Weights'!I126:N126)</f>
        <v>15</v>
      </c>
      <c r="E126" s="155">
        <v>6</v>
      </c>
      <c r="F126" s="155">
        <v>2</v>
      </c>
      <c r="G126" s="155">
        <v>0</v>
      </c>
      <c r="H126" s="154">
        <v>1</v>
      </c>
      <c r="I126" s="154">
        <v>0</v>
      </c>
      <c r="J126" s="154">
        <v>1</v>
      </c>
      <c r="K126" s="155"/>
      <c r="L126" s="172"/>
      <c r="M126" s="172"/>
      <c r="N126" s="172"/>
      <c r="P126" s="184"/>
      <c r="Q126" s="173"/>
      <c r="R126" s="167"/>
      <c r="S126" s="184">
        <f t="shared" si="96"/>
        <v>4117.335756191339</v>
      </c>
      <c r="T126" s="184">
        <f t="shared" si="96"/>
        <v>1646.9343024765358</v>
      </c>
      <c r="U126" s="184">
        <f t="shared" si="96"/>
        <v>548.97810082551189</v>
      </c>
      <c r="V126" s="184">
        <f t="shared" si="96"/>
        <v>0</v>
      </c>
      <c r="W126" s="184">
        <f t="shared" si="93"/>
        <v>274.48905041275594</v>
      </c>
      <c r="X126" s="184">
        <f t="shared" si="93"/>
        <v>0</v>
      </c>
      <c r="Y126" s="184">
        <f t="shared" si="93"/>
        <v>274.48905041275594</v>
      </c>
      <c r="AA126" s="167">
        <f t="shared" si="97"/>
        <v>16952453.729211707</v>
      </c>
      <c r="AB126" s="167">
        <f t="shared" si="98"/>
        <v>2712392.5966738733</v>
      </c>
      <c r="AC126" s="167">
        <f t="shared" si="99"/>
        <v>301376.95518598589</v>
      </c>
      <c r="AD126" s="167">
        <f t="shared" si="100"/>
        <v>0</v>
      </c>
      <c r="AE126" s="167">
        <f t="shared" si="101"/>
        <v>75344.238796496473</v>
      </c>
      <c r="AF126" s="167">
        <f t="shared" si="102"/>
        <v>0</v>
      </c>
      <c r="AG126" s="167">
        <f t="shared" si="103"/>
        <v>75344.238796496473</v>
      </c>
      <c r="AK126" s="167"/>
      <c r="BA126" s="167"/>
      <c r="BJ126" s="201">
        <f t="shared" si="94"/>
        <v>2.7983568075253559E-4</v>
      </c>
      <c r="BK126" s="201">
        <f t="shared" si="95"/>
        <v>-1.6519453657155793E-6</v>
      </c>
      <c r="BL126" s="243">
        <f t="shared" si="104"/>
        <v>-4.0831622335977792E-4</v>
      </c>
      <c r="BM126" s="243">
        <f t="shared" si="105"/>
        <v>-1.375886838086785E-4</v>
      </c>
      <c r="BN126" s="243">
        <f t="shared" si="106"/>
        <v>-3.8446514492463834E-5</v>
      </c>
      <c r="BO126" s="243">
        <f t="shared" si="107"/>
        <v>1.763911845464428E-4</v>
      </c>
      <c r="BR126" s="200">
        <f t="shared" si="108"/>
        <v>7.830800822223502E-8</v>
      </c>
      <c r="BS126" s="201">
        <f t="shared" si="109"/>
        <v>2.7289234913091789E-12</v>
      </c>
      <c r="BT126" s="201">
        <f t="shared" si="110"/>
        <v>1.6672213825879204E-7</v>
      </c>
      <c r="BU126" s="201">
        <f t="shared" si="111"/>
        <v>1.8930645912204511E-8</v>
      </c>
      <c r="BV126" s="201">
        <f t="shared" si="112"/>
        <v>1.4781344766192316E-9</v>
      </c>
      <c r="BW126" s="201">
        <f t="shared" si="113"/>
        <v>3.1113849985697242E-8</v>
      </c>
    </row>
    <row r="127" spans="1:75" x14ac:dyDescent="0.25">
      <c r="A127" s="122">
        <v>12066</v>
      </c>
      <c r="B127" s="153">
        <v>120</v>
      </c>
      <c r="C127" s="184">
        <f>+'Sampling Weights'!R127</f>
        <v>640.96028413945021</v>
      </c>
      <c r="D127" s="155">
        <f>+SUM('Sampling Weights'!I127:N127)</f>
        <v>17</v>
      </c>
      <c r="E127" s="155">
        <v>2</v>
      </c>
      <c r="F127" s="155">
        <v>1</v>
      </c>
      <c r="G127" s="155">
        <v>0</v>
      </c>
      <c r="H127" s="154">
        <v>0</v>
      </c>
      <c r="I127" s="154">
        <v>0</v>
      </c>
      <c r="J127" s="154">
        <v>1</v>
      </c>
      <c r="K127" s="155"/>
      <c r="L127" s="172"/>
      <c r="M127" s="172"/>
      <c r="N127" s="172"/>
      <c r="P127" s="184"/>
      <c r="Q127" s="173"/>
      <c r="R127" s="167"/>
      <c r="S127" s="184">
        <f t="shared" si="96"/>
        <v>10896.324830370653</v>
      </c>
      <c r="T127" s="184">
        <f t="shared" si="96"/>
        <v>1281.9205682789004</v>
      </c>
      <c r="U127" s="184">
        <f t="shared" si="96"/>
        <v>640.96028413945021</v>
      </c>
      <c r="V127" s="184">
        <f t="shared" si="96"/>
        <v>0</v>
      </c>
      <c r="W127" s="184">
        <f t="shared" si="93"/>
        <v>0</v>
      </c>
      <c r="X127" s="184">
        <f t="shared" si="93"/>
        <v>0</v>
      </c>
      <c r="Y127" s="184">
        <f t="shared" si="93"/>
        <v>640.96028413945021</v>
      </c>
      <c r="AA127" s="167">
        <f t="shared" si="97"/>
        <v>118729894.80895205</v>
      </c>
      <c r="AB127" s="167">
        <f t="shared" si="98"/>
        <v>1643320.3433764989</v>
      </c>
      <c r="AC127" s="167">
        <f t="shared" si="99"/>
        <v>410830.08584412473</v>
      </c>
      <c r="AD127" s="167">
        <f t="shared" si="100"/>
        <v>0</v>
      </c>
      <c r="AE127" s="167">
        <f t="shared" si="101"/>
        <v>0</v>
      </c>
      <c r="AF127" s="167">
        <f t="shared" si="102"/>
        <v>0</v>
      </c>
      <c r="AG127" s="167">
        <f t="shared" si="103"/>
        <v>410830.08584412473</v>
      </c>
      <c r="AK127" s="167"/>
      <c r="BA127" s="167"/>
      <c r="BJ127" s="201">
        <f t="shared" si="94"/>
        <v>-3.1320644957769203E-4</v>
      </c>
      <c r="BK127" s="201">
        <f t="shared" si="95"/>
        <v>-2.8245201703327121E-4</v>
      </c>
      <c r="BL127" s="243">
        <f t="shared" si="104"/>
        <v>-4.7673027785604565E-4</v>
      </c>
      <c r="BM127" s="243">
        <f t="shared" si="105"/>
        <v>-9.7673596596487109E-4</v>
      </c>
      <c r="BN127" s="243">
        <f t="shared" si="106"/>
        <v>-4.4888291201789822E-5</v>
      </c>
      <c r="BO127" s="243">
        <f t="shared" si="107"/>
        <v>1.0220398894926035E-3</v>
      </c>
      <c r="BR127" s="200">
        <f t="shared" si="108"/>
        <v>9.8098280057063345E-8</v>
      </c>
      <c r="BS127" s="201">
        <f t="shared" si="109"/>
        <v>7.9779141926163332E-8</v>
      </c>
      <c r="BT127" s="201">
        <f t="shared" si="110"/>
        <v>2.272717578247025E-7</v>
      </c>
      <c r="BU127" s="201">
        <f t="shared" si="111"/>
        <v>9.5401314720932983E-7</v>
      </c>
      <c r="BV127" s="201">
        <f t="shared" si="112"/>
        <v>2.0149586870166817E-9</v>
      </c>
      <c r="BW127" s="201">
        <f t="shared" si="113"/>
        <v>1.0445655357140532E-6</v>
      </c>
    </row>
    <row r="128" spans="1:75" x14ac:dyDescent="0.25">
      <c r="A128" s="122">
        <v>12067</v>
      </c>
      <c r="B128" s="153">
        <v>120</v>
      </c>
      <c r="C128" s="184">
        <f>+'Sampling Weights'!R128</f>
        <v>683.37449021931536</v>
      </c>
      <c r="D128" s="155">
        <f>+SUM('Sampling Weights'!I128:N128)</f>
        <v>16</v>
      </c>
      <c r="E128" s="155">
        <v>0</v>
      </c>
      <c r="F128" s="155">
        <v>0</v>
      </c>
      <c r="G128" s="155">
        <v>0</v>
      </c>
      <c r="H128" s="154">
        <v>0</v>
      </c>
      <c r="I128" s="154">
        <v>0</v>
      </c>
      <c r="J128" s="154">
        <v>0</v>
      </c>
      <c r="K128" s="155"/>
      <c r="L128" s="172"/>
      <c r="M128" s="172"/>
      <c r="N128" s="172"/>
      <c r="P128" s="184"/>
      <c r="Q128" s="173"/>
      <c r="R128" s="167"/>
      <c r="S128" s="184">
        <f t="shared" si="96"/>
        <v>10933.991843509046</v>
      </c>
      <c r="T128" s="184">
        <f t="shared" si="96"/>
        <v>0</v>
      </c>
      <c r="U128" s="184">
        <f t="shared" si="96"/>
        <v>0</v>
      </c>
      <c r="V128" s="184">
        <f t="shared" si="96"/>
        <v>0</v>
      </c>
      <c r="W128" s="184">
        <f t="shared" si="93"/>
        <v>0</v>
      </c>
      <c r="X128" s="184">
        <f t="shared" si="93"/>
        <v>0</v>
      </c>
      <c r="Y128" s="184">
        <f t="shared" si="93"/>
        <v>0</v>
      </c>
      <c r="AA128" s="167">
        <f t="shared" si="97"/>
        <v>119552177.63392234</v>
      </c>
      <c r="AB128" s="167">
        <f t="shared" si="98"/>
        <v>0</v>
      </c>
      <c r="AC128" s="167">
        <f t="shared" si="99"/>
        <v>0</v>
      </c>
      <c r="AD128" s="167">
        <f t="shared" si="100"/>
        <v>0</v>
      </c>
      <c r="AE128" s="167">
        <f t="shared" si="101"/>
        <v>0</v>
      </c>
      <c r="AF128" s="167">
        <f t="shared" si="102"/>
        <v>0</v>
      </c>
      <c r="AG128" s="167">
        <f t="shared" si="103"/>
        <v>0</v>
      </c>
      <c r="AK128" s="167"/>
      <c r="BA128" s="167"/>
      <c r="BJ128" s="201">
        <f t="shared" si="94"/>
        <v>-7.5488101439924785E-4</v>
      </c>
      <c r="BK128" s="201">
        <f t="shared" si="95"/>
        <v>-5.0372434044959169E-4</v>
      </c>
      <c r="BL128" s="243">
        <f t="shared" si="104"/>
        <v>0</v>
      </c>
      <c r="BM128" s="243">
        <f t="shared" si="105"/>
        <v>0</v>
      </c>
      <c r="BN128" s="243">
        <f t="shared" si="106"/>
        <v>0</v>
      </c>
      <c r="BO128" s="243">
        <f t="shared" si="107"/>
        <v>0</v>
      </c>
      <c r="BR128" s="200">
        <f t="shared" si="108"/>
        <v>5.6984534590043741E-7</v>
      </c>
      <c r="BS128" s="201">
        <f t="shared" si="109"/>
        <v>2.5373821116137615E-7</v>
      </c>
      <c r="BT128" s="201">
        <f t="shared" si="110"/>
        <v>0</v>
      </c>
      <c r="BU128" s="201">
        <f t="shared" si="111"/>
        <v>0</v>
      </c>
      <c r="BV128" s="201">
        <f t="shared" si="112"/>
        <v>0</v>
      </c>
      <c r="BW128" s="201">
        <f t="shared" si="113"/>
        <v>0</v>
      </c>
    </row>
    <row r="129" spans="1:75" x14ac:dyDescent="0.25">
      <c r="A129" s="122">
        <v>12068</v>
      </c>
      <c r="B129" s="153">
        <v>120</v>
      </c>
      <c r="C129" s="184">
        <f>+'Sampling Weights'!R129</f>
        <v>449.83552164283651</v>
      </c>
      <c r="D129" s="155">
        <f>+SUM('Sampling Weights'!I129:N129)</f>
        <v>15</v>
      </c>
      <c r="E129" s="155">
        <v>4</v>
      </c>
      <c r="F129" s="155">
        <v>4</v>
      </c>
      <c r="G129" s="155">
        <v>0</v>
      </c>
      <c r="H129" s="154">
        <v>2</v>
      </c>
      <c r="I129" s="154">
        <v>0</v>
      </c>
      <c r="J129" s="154">
        <v>2</v>
      </c>
      <c r="K129" s="155"/>
      <c r="L129" s="172"/>
      <c r="M129" s="172"/>
      <c r="N129" s="172"/>
      <c r="P129" s="184"/>
      <c r="Q129" s="173"/>
      <c r="R129" s="167"/>
      <c r="S129" s="184">
        <f t="shared" si="96"/>
        <v>6747.5328246425479</v>
      </c>
      <c r="T129" s="184">
        <f t="shared" si="96"/>
        <v>1799.342086571346</v>
      </c>
      <c r="U129" s="184">
        <f t="shared" si="96"/>
        <v>1799.342086571346</v>
      </c>
      <c r="V129" s="184">
        <f t="shared" si="96"/>
        <v>0</v>
      </c>
      <c r="W129" s="184">
        <f t="shared" si="93"/>
        <v>899.67104328567302</v>
      </c>
      <c r="X129" s="184">
        <f t="shared" si="93"/>
        <v>0</v>
      </c>
      <c r="Y129" s="184">
        <f t="shared" si="93"/>
        <v>899.67104328567302</v>
      </c>
      <c r="AA129" s="167">
        <f t="shared" si="97"/>
        <v>45529199.21962864</v>
      </c>
      <c r="AB129" s="167">
        <f t="shared" si="98"/>
        <v>3237631.9445069255</v>
      </c>
      <c r="AC129" s="167">
        <f t="shared" si="99"/>
        <v>3237631.9445069255</v>
      </c>
      <c r="AD129" s="167">
        <f t="shared" si="100"/>
        <v>0</v>
      </c>
      <c r="AE129" s="167">
        <f t="shared" si="101"/>
        <v>809407.98612673138</v>
      </c>
      <c r="AF129" s="167">
        <f t="shared" si="102"/>
        <v>0</v>
      </c>
      <c r="AG129" s="167">
        <f t="shared" si="103"/>
        <v>809407.98612673138</v>
      </c>
      <c r="AK129" s="167"/>
      <c r="BA129" s="167"/>
      <c r="BJ129" s="201">
        <f t="shared" si="94"/>
        <v>1.504489014371241E-4</v>
      </c>
      <c r="BK129" s="201">
        <f t="shared" si="95"/>
        <v>3.0544150851588304E-4</v>
      </c>
      <c r="BL129" s="243">
        <f t="shared" si="104"/>
        <v>-1.3383057798049274E-3</v>
      </c>
      <c r="BM129" s="243">
        <f t="shared" si="105"/>
        <v>-4.5096354306417135E-4</v>
      </c>
      <c r="BN129" s="243">
        <f t="shared" si="106"/>
        <v>-1.2601309870874643E-4</v>
      </c>
      <c r="BO129" s="243">
        <f t="shared" si="107"/>
        <v>5.7814342972392445E-4</v>
      </c>
      <c r="BR129" s="200">
        <f t="shared" si="108"/>
        <v>2.2634871943637484E-8</v>
      </c>
      <c r="BS129" s="201">
        <f t="shared" si="109"/>
        <v>9.3294515124458247E-8</v>
      </c>
      <c r="BT129" s="201">
        <f t="shared" si="110"/>
        <v>1.7910623602592748E-6</v>
      </c>
      <c r="BU129" s="201">
        <f t="shared" si="111"/>
        <v>2.0336811717299073E-7</v>
      </c>
      <c r="BV129" s="201">
        <f t="shared" si="112"/>
        <v>1.5879301046180272E-8</v>
      </c>
      <c r="BW129" s="201">
        <f t="shared" si="113"/>
        <v>3.3424982533294236E-7</v>
      </c>
    </row>
    <row r="130" spans="1:75" x14ac:dyDescent="0.25">
      <c r="A130" s="122">
        <v>12069</v>
      </c>
      <c r="B130" s="153">
        <v>120</v>
      </c>
      <c r="C130" s="184">
        <f>+'Sampling Weights'!R130</f>
        <v>132.32071077179958</v>
      </c>
      <c r="D130" s="155">
        <f>+SUM('Sampling Weights'!I130:N130)</f>
        <v>12</v>
      </c>
      <c r="E130" s="155">
        <v>3</v>
      </c>
      <c r="F130" s="155">
        <v>3</v>
      </c>
      <c r="G130" s="155">
        <v>1</v>
      </c>
      <c r="H130" s="154">
        <v>1</v>
      </c>
      <c r="I130" s="154">
        <v>0</v>
      </c>
      <c r="J130" s="154">
        <v>2</v>
      </c>
      <c r="K130" s="155"/>
      <c r="L130" s="172"/>
      <c r="M130" s="172"/>
      <c r="N130" s="172"/>
      <c r="P130" s="184"/>
      <c r="Q130" s="173"/>
      <c r="R130" s="167"/>
      <c r="S130" s="184">
        <f t="shared" si="96"/>
        <v>1587.8485292615951</v>
      </c>
      <c r="T130" s="184">
        <f t="shared" si="96"/>
        <v>396.96213231539878</v>
      </c>
      <c r="U130" s="184">
        <f t="shared" si="96"/>
        <v>396.96213231539878</v>
      </c>
      <c r="V130" s="184">
        <f t="shared" si="96"/>
        <v>132.32071077179958</v>
      </c>
      <c r="W130" s="184">
        <f t="shared" si="93"/>
        <v>132.32071077179958</v>
      </c>
      <c r="X130" s="184">
        <f t="shared" si="93"/>
        <v>0</v>
      </c>
      <c r="Y130" s="184">
        <f t="shared" si="93"/>
        <v>264.64142154359917</v>
      </c>
      <c r="AA130" s="167">
        <f t="shared" si="97"/>
        <v>2521262.9518782105</v>
      </c>
      <c r="AB130" s="167">
        <f t="shared" si="98"/>
        <v>157578.93449238816</v>
      </c>
      <c r="AC130" s="167">
        <f t="shared" si="99"/>
        <v>157578.93449238816</v>
      </c>
      <c r="AD130" s="167">
        <f t="shared" si="100"/>
        <v>17508.770499154238</v>
      </c>
      <c r="AE130" s="167">
        <f t="shared" si="101"/>
        <v>17508.770499154238</v>
      </c>
      <c r="AF130" s="167">
        <f t="shared" si="102"/>
        <v>0</v>
      </c>
      <c r="AG130" s="167">
        <f t="shared" si="103"/>
        <v>70035.081996616951</v>
      </c>
      <c r="AK130" s="167"/>
      <c r="BA130" s="167"/>
      <c r="BJ130" s="201">
        <f t="shared" si="94"/>
        <v>2.6339757400135465E-5</v>
      </c>
      <c r="BK130" s="201">
        <f t="shared" si="95"/>
        <v>6.2813056544028869E-5</v>
      </c>
      <c r="BL130" s="243">
        <f t="shared" si="104"/>
        <v>4.1700598849226661E-5</v>
      </c>
      <c r="BM130" s="243">
        <f t="shared" si="105"/>
        <v>-2.6796495927188256E-4</v>
      </c>
      <c r="BN130" s="243">
        <f t="shared" si="106"/>
        <v>-2.7800399232817786E-5</v>
      </c>
      <c r="BO130" s="243">
        <f t="shared" si="107"/>
        <v>2.9602276960870782E-4</v>
      </c>
      <c r="BR130" s="200">
        <f t="shared" si="108"/>
        <v>6.9378281989799096E-10</v>
      </c>
      <c r="BS130" s="201">
        <f t="shared" si="109"/>
        <v>3.9454800724033679E-9</v>
      </c>
      <c r="BT130" s="201">
        <f t="shared" si="110"/>
        <v>1.738939944384124E-9</v>
      </c>
      <c r="BU130" s="201">
        <f t="shared" si="111"/>
        <v>7.1805219397581675E-8</v>
      </c>
      <c r="BV130" s="201">
        <f t="shared" si="112"/>
        <v>7.7286219750405574E-10</v>
      </c>
      <c r="BW130" s="201">
        <f t="shared" si="113"/>
        <v>8.7629480126810114E-8</v>
      </c>
    </row>
    <row r="131" spans="1:75" x14ac:dyDescent="0.25">
      <c r="A131" s="122">
        <v>22055</v>
      </c>
      <c r="B131" s="153">
        <v>220</v>
      </c>
      <c r="C131" s="184">
        <f>+'Sampling Weights'!R131</f>
        <v>1760.8551682139644</v>
      </c>
      <c r="D131" s="155">
        <f>+SUM('Sampling Weights'!I131:N131)</f>
        <v>12</v>
      </c>
      <c r="E131" s="155">
        <v>1</v>
      </c>
      <c r="F131" s="155">
        <v>1</v>
      </c>
      <c r="G131" s="155">
        <v>0</v>
      </c>
      <c r="H131" s="154">
        <v>0</v>
      </c>
      <c r="I131" s="154">
        <v>0</v>
      </c>
      <c r="J131" s="154">
        <v>1</v>
      </c>
      <c r="K131" s="155"/>
      <c r="L131" s="172"/>
      <c r="M131" s="172"/>
      <c r="N131" s="172"/>
      <c r="P131" s="184"/>
      <c r="Q131" s="173"/>
      <c r="R131" s="167"/>
      <c r="S131" s="184">
        <f t="shared" si="96"/>
        <v>21130.262018567573</v>
      </c>
      <c r="T131" s="184">
        <f t="shared" si="96"/>
        <v>1760.8551682139644</v>
      </c>
      <c r="U131" s="184">
        <f t="shared" si="96"/>
        <v>1760.8551682139644</v>
      </c>
      <c r="V131" s="184">
        <f t="shared" si="96"/>
        <v>0</v>
      </c>
      <c r="W131" s="184">
        <f t="shared" si="93"/>
        <v>0</v>
      </c>
      <c r="X131" s="184">
        <f t="shared" si="93"/>
        <v>0</v>
      </c>
      <c r="Y131" s="184">
        <f t="shared" si="93"/>
        <v>1760.8551682139644</v>
      </c>
      <c r="AA131" s="167">
        <f t="shared" si="97"/>
        <v>446487972.97331935</v>
      </c>
      <c r="AB131" s="167">
        <f t="shared" si="98"/>
        <v>3100610.9234258286</v>
      </c>
      <c r="AC131" s="167">
        <f t="shared" si="99"/>
        <v>3100610.9234258286</v>
      </c>
      <c r="AD131" s="167">
        <f t="shared" si="100"/>
        <v>0</v>
      </c>
      <c r="AE131" s="167">
        <f t="shared" si="101"/>
        <v>0</v>
      </c>
      <c r="AF131" s="167">
        <f t="shared" si="102"/>
        <v>0</v>
      </c>
      <c r="AG131" s="167">
        <f t="shared" si="103"/>
        <v>3100610.9234258286</v>
      </c>
      <c r="AK131" s="167"/>
      <c r="BA131" s="167"/>
      <c r="BJ131" s="201">
        <f t="shared" si="94"/>
        <v>-8.5571463469715685E-4</v>
      </c>
      <c r="BK131" s="201">
        <f t="shared" si="95"/>
        <v>-3.7034694792513104E-4</v>
      </c>
      <c r="BL131" s="243">
        <f t="shared" si="104"/>
        <v>-1.3096801695505085E-3</v>
      </c>
      <c r="BM131" s="243">
        <f t="shared" si="105"/>
        <v>-2.6833028757137704E-3</v>
      </c>
      <c r="BN131" s="243">
        <f t="shared" si="106"/>
        <v>-1.2331774918173923E-4</v>
      </c>
      <c r="BO131" s="243">
        <f t="shared" si="107"/>
        <v>2.807762455906452E-3</v>
      </c>
      <c r="BR131" s="200">
        <f t="shared" si="108"/>
        <v>7.3224753603488856E-7</v>
      </c>
      <c r="BS131" s="201">
        <f t="shared" si="109"/>
        <v>1.3715686183745972E-7</v>
      </c>
      <c r="BT131" s="201">
        <f t="shared" si="110"/>
        <v>1.7152621465138487E-6</v>
      </c>
      <c r="BU131" s="201">
        <f t="shared" si="111"/>
        <v>7.2001143228137903E-6</v>
      </c>
      <c r="BV131" s="201">
        <f t="shared" si="112"/>
        <v>1.5207267263250347E-8</v>
      </c>
      <c r="BW131" s="201">
        <f t="shared" si="113"/>
        <v>7.8835300087978301E-6</v>
      </c>
    </row>
    <row r="132" spans="1:75" x14ac:dyDescent="0.25">
      <c r="A132" s="122">
        <v>22056</v>
      </c>
      <c r="B132" s="153">
        <v>220</v>
      </c>
      <c r="C132" s="184">
        <f>+'Sampling Weights'!R132</f>
        <v>1420.1892724866486</v>
      </c>
      <c r="D132" s="155">
        <f>+SUM('Sampling Weights'!I132:N132)</f>
        <v>11</v>
      </c>
      <c r="E132" s="155">
        <v>2</v>
      </c>
      <c r="F132" s="155">
        <v>1</v>
      </c>
      <c r="G132" s="155">
        <v>0</v>
      </c>
      <c r="H132" s="154">
        <v>1</v>
      </c>
      <c r="I132" s="154">
        <v>0</v>
      </c>
      <c r="J132" s="154">
        <v>0</v>
      </c>
      <c r="K132" s="155"/>
      <c r="L132" s="172"/>
      <c r="M132" s="172"/>
      <c r="N132" s="172"/>
      <c r="P132" s="184"/>
      <c r="Q132" s="173"/>
      <c r="R132" s="167"/>
      <c r="S132" s="184">
        <f t="shared" si="96"/>
        <v>15622.081997353134</v>
      </c>
      <c r="T132" s="184">
        <f t="shared" si="96"/>
        <v>2840.3785449732973</v>
      </c>
      <c r="U132" s="184">
        <f t="shared" si="96"/>
        <v>1420.1892724866486</v>
      </c>
      <c r="V132" s="184">
        <f t="shared" si="96"/>
        <v>0</v>
      </c>
      <c r="W132" s="184">
        <f t="shared" ref="W132:Y195" si="114">+$C132*H132</f>
        <v>1420.1892724866486</v>
      </c>
      <c r="X132" s="184">
        <f t="shared" si="114"/>
        <v>0</v>
      </c>
      <c r="Y132" s="184">
        <f t="shared" si="114"/>
        <v>0</v>
      </c>
      <c r="AA132" s="167">
        <f t="shared" si="97"/>
        <v>244049445.9320249</v>
      </c>
      <c r="AB132" s="167">
        <f t="shared" si="98"/>
        <v>8067750.2787446249</v>
      </c>
      <c r="AC132" s="167">
        <f t="shared" si="99"/>
        <v>2016937.5696861562</v>
      </c>
      <c r="AD132" s="167">
        <f t="shared" si="100"/>
        <v>0</v>
      </c>
      <c r="AE132" s="167">
        <f t="shared" si="101"/>
        <v>2016937.5696861562</v>
      </c>
      <c r="AF132" s="167">
        <f t="shared" si="102"/>
        <v>0</v>
      </c>
      <c r="AG132" s="167">
        <f t="shared" si="103"/>
        <v>0</v>
      </c>
      <c r="AK132" s="167"/>
      <c r="BA132" s="167"/>
      <c r="BJ132" s="201">
        <f t="shared" si="94"/>
        <v>-1.0568034667846521E-4</v>
      </c>
      <c r="BK132" s="201">
        <f t="shared" si="95"/>
        <v>-2.3326983033977492E-4</v>
      </c>
      <c r="BL132" s="243">
        <f t="shared" si="104"/>
        <v>-1.0563013703567222E-3</v>
      </c>
      <c r="BM132" s="243">
        <f t="shared" si="105"/>
        <v>1.4522992685724069E-3</v>
      </c>
      <c r="BN132" s="243">
        <f t="shared" si="106"/>
        <v>-9.9459937226265032E-5</v>
      </c>
      <c r="BO132" s="243">
        <f t="shared" si="107"/>
        <v>-1.3519184060014544E-3</v>
      </c>
      <c r="BR132" s="200">
        <f t="shared" si="108"/>
        <v>1.1168335674080592E-8</v>
      </c>
      <c r="BS132" s="201">
        <f t="shared" si="109"/>
        <v>5.4414813746747374E-8</v>
      </c>
      <c r="BT132" s="201">
        <f t="shared" si="110"/>
        <v>1.1157725850174893E-6</v>
      </c>
      <c r="BU132" s="201">
        <f t="shared" si="111"/>
        <v>2.109173165495948E-6</v>
      </c>
      <c r="BV132" s="201">
        <f t="shared" si="112"/>
        <v>9.8922791130525807E-9</v>
      </c>
      <c r="BW132" s="201">
        <f t="shared" si="113"/>
        <v>1.8276833764855133E-6</v>
      </c>
    </row>
    <row r="133" spans="1:75" x14ac:dyDescent="0.25">
      <c r="A133" s="122">
        <v>22057</v>
      </c>
      <c r="B133" s="153">
        <v>220</v>
      </c>
      <c r="C133" s="184">
        <f>+'Sampling Weights'!R133</f>
        <v>2330.4527275039518</v>
      </c>
      <c r="D133" s="155">
        <f>+SUM('Sampling Weights'!I133:N133)</f>
        <v>17</v>
      </c>
      <c r="E133" s="155">
        <v>3</v>
      </c>
      <c r="F133" s="155">
        <v>1</v>
      </c>
      <c r="G133" s="155">
        <v>0</v>
      </c>
      <c r="H133" s="154">
        <v>1</v>
      </c>
      <c r="I133" s="154">
        <v>0</v>
      </c>
      <c r="J133" s="154">
        <v>0</v>
      </c>
      <c r="K133" s="155"/>
      <c r="L133" s="172"/>
      <c r="M133" s="172"/>
      <c r="N133" s="172"/>
      <c r="P133" s="184"/>
      <c r="Q133" s="173"/>
      <c r="R133" s="167"/>
      <c r="S133" s="184">
        <f t="shared" si="96"/>
        <v>39617.69636756718</v>
      </c>
      <c r="T133" s="184">
        <f t="shared" si="96"/>
        <v>6991.3581825118554</v>
      </c>
      <c r="U133" s="184">
        <f t="shared" si="96"/>
        <v>2330.4527275039518</v>
      </c>
      <c r="V133" s="184">
        <f t="shared" si="96"/>
        <v>0</v>
      </c>
      <c r="W133" s="184">
        <f t="shared" si="114"/>
        <v>2330.4527275039518</v>
      </c>
      <c r="X133" s="184">
        <f t="shared" si="114"/>
        <v>0</v>
      </c>
      <c r="Y133" s="184">
        <f t="shared" si="114"/>
        <v>0</v>
      </c>
      <c r="AA133" s="167">
        <f t="shared" si="97"/>
        <v>1569561865.4727457</v>
      </c>
      <c r="AB133" s="167">
        <f t="shared" si="98"/>
        <v>48879089.23617547</v>
      </c>
      <c r="AC133" s="167">
        <f t="shared" si="99"/>
        <v>5431009.9151306078</v>
      </c>
      <c r="AD133" s="167">
        <f t="shared" si="100"/>
        <v>0</v>
      </c>
      <c r="AE133" s="167">
        <f t="shared" si="101"/>
        <v>5431009.9151306078</v>
      </c>
      <c r="AF133" s="167">
        <f t="shared" si="102"/>
        <v>0</v>
      </c>
      <c r="AG133" s="167">
        <f t="shared" si="103"/>
        <v>0</v>
      </c>
      <c r="AK133" s="167"/>
      <c r="BA133" s="167"/>
      <c r="BJ133" s="201">
        <f t="shared" si="94"/>
        <v>-3.4057051990228951E-4</v>
      </c>
      <c r="BK133" s="201">
        <f t="shared" si="95"/>
        <v>-1.0269607802111025E-3</v>
      </c>
      <c r="BL133" s="243">
        <f t="shared" si="104"/>
        <v>-1.7333326319975617E-3</v>
      </c>
      <c r="BM133" s="243">
        <f t="shared" si="105"/>
        <v>2.3831434704970835E-3</v>
      </c>
      <c r="BN133" s="243">
        <f t="shared" si="106"/>
        <v>-1.6320830362313572E-4</v>
      </c>
      <c r="BO133" s="243">
        <f t="shared" si="107"/>
        <v>-2.2184239788774376E-3</v>
      </c>
      <c r="BR133" s="200">
        <f t="shared" si="108"/>
        <v>1.1598827902651578E-7</v>
      </c>
      <c r="BS133" s="201">
        <f t="shared" si="109"/>
        <v>1.0546484440917964E-6</v>
      </c>
      <c r="BT133" s="201">
        <f t="shared" si="110"/>
        <v>3.0044420131475945E-6</v>
      </c>
      <c r="BU133" s="201">
        <f t="shared" si="111"/>
        <v>5.6793728009728832E-6</v>
      </c>
      <c r="BV133" s="201">
        <f t="shared" si="112"/>
        <v>2.6636950371541658E-8</v>
      </c>
      <c r="BW133" s="201">
        <f t="shared" si="113"/>
        <v>4.9214049500584016E-6</v>
      </c>
    </row>
    <row r="134" spans="1:75" x14ac:dyDescent="0.25">
      <c r="A134" s="122">
        <v>22058</v>
      </c>
      <c r="B134" s="153">
        <v>220</v>
      </c>
      <c r="C134" s="184">
        <f>+'Sampling Weights'!R134</f>
        <v>2782.3666625314954</v>
      </c>
      <c r="D134" s="155">
        <f>+SUM('Sampling Weights'!I134:N134)</f>
        <v>17</v>
      </c>
      <c r="E134" s="155">
        <v>8</v>
      </c>
      <c r="F134" s="155">
        <v>2</v>
      </c>
      <c r="G134" s="155">
        <v>0</v>
      </c>
      <c r="H134" s="154">
        <v>2</v>
      </c>
      <c r="I134" s="154">
        <v>0</v>
      </c>
      <c r="J134" s="154">
        <v>0</v>
      </c>
      <c r="K134" s="155"/>
      <c r="L134" s="172"/>
      <c r="M134" s="172"/>
      <c r="N134" s="172"/>
      <c r="P134" s="184"/>
      <c r="Q134" s="173"/>
      <c r="R134" s="167"/>
      <c r="S134" s="184">
        <f t="shared" si="96"/>
        <v>47300.233263035421</v>
      </c>
      <c r="T134" s="184">
        <f t="shared" si="96"/>
        <v>22258.933300251963</v>
      </c>
      <c r="U134" s="184">
        <f t="shared" si="96"/>
        <v>5564.7333250629908</v>
      </c>
      <c r="V134" s="184">
        <f t="shared" si="96"/>
        <v>0</v>
      </c>
      <c r="W134" s="184">
        <f t="shared" si="114"/>
        <v>5564.7333250629908</v>
      </c>
      <c r="X134" s="184">
        <f t="shared" si="114"/>
        <v>0</v>
      </c>
      <c r="Y134" s="184">
        <f t="shared" si="114"/>
        <v>0</v>
      </c>
      <c r="AA134" s="167">
        <f t="shared" si="97"/>
        <v>2237312066.7375627</v>
      </c>
      <c r="AB134" s="167">
        <f t="shared" si="98"/>
        <v>495460111.66506577</v>
      </c>
      <c r="AC134" s="167">
        <f t="shared" si="99"/>
        <v>30966256.97906661</v>
      </c>
      <c r="AD134" s="167">
        <f t="shared" si="100"/>
        <v>0</v>
      </c>
      <c r="AE134" s="167">
        <f t="shared" si="101"/>
        <v>30966256.97906661</v>
      </c>
      <c r="AF134" s="167">
        <f t="shared" si="102"/>
        <v>0</v>
      </c>
      <c r="AG134" s="167">
        <f t="shared" si="103"/>
        <v>0</v>
      </c>
      <c r="AK134" s="167"/>
      <c r="BA134" s="167"/>
      <c r="BJ134" s="201">
        <f t="shared" si="94"/>
        <v>4.35836634858451E-3</v>
      </c>
      <c r="BK134" s="201">
        <f t="shared" si="95"/>
        <v>-2.7310988547745764E-4</v>
      </c>
      <c r="BL134" s="243">
        <f t="shared" si="104"/>
        <v>-4.1389098980037647E-3</v>
      </c>
      <c r="BM134" s="243">
        <f t="shared" si="105"/>
        <v>5.690550051571E-3</v>
      </c>
      <c r="BN134" s="243">
        <f t="shared" si="106"/>
        <v>-3.8971427112851497E-4</v>
      </c>
      <c r="BO134" s="243">
        <f t="shared" si="107"/>
        <v>-5.2972273149690732E-3</v>
      </c>
      <c r="BR134" s="200">
        <f t="shared" si="108"/>
        <v>1.8995357228473873E-5</v>
      </c>
      <c r="BS134" s="201">
        <f t="shared" si="109"/>
        <v>7.4589009545510023E-8</v>
      </c>
      <c r="BT134" s="201">
        <f t="shared" si="110"/>
        <v>1.7130575143793533E-5</v>
      </c>
      <c r="BU134" s="201">
        <f t="shared" si="111"/>
        <v>3.238235988943471E-5</v>
      </c>
      <c r="BV134" s="201">
        <f t="shared" si="112"/>
        <v>1.5187721312122967E-7</v>
      </c>
      <c r="BW134" s="201">
        <f t="shared" si="113"/>
        <v>2.8060617226454459E-5</v>
      </c>
    </row>
    <row r="135" spans="1:75" x14ac:dyDescent="0.25">
      <c r="A135" s="122">
        <v>22059</v>
      </c>
      <c r="B135" s="153">
        <v>220</v>
      </c>
      <c r="C135" s="184">
        <f>+'Sampling Weights'!R135</f>
        <v>2728.7545410271446</v>
      </c>
      <c r="D135" s="155">
        <f>+SUM('Sampling Weights'!I135:N135)</f>
        <v>17</v>
      </c>
      <c r="E135" s="155">
        <v>3</v>
      </c>
      <c r="F135" s="155">
        <v>3</v>
      </c>
      <c r="G135" s="155">
        <v>2</v>
      </c>
      <c r="H135" s="154">
        <v>1</v>
      </c>
      <c r="I135" s="154">
        <v>0</v>
      </c>
      <c r="J135" s="154">
        <v>2</v>
      </c>
      <c r="K135" s="155"/>
      <c r="L135" s="172"/>
      <c r="M135" s="172"/>
      <c r="N135" s="172"/>
      <c r="P135" s="184"/>
      <c r="Q135" s="173"/>
      <c r="R135" s="167"/>
      <c r="S135" s="184">
        <f t="shared" si="96"/>
        <v>46388.827197461454</v>
      </c>
      <c r="T135" s="184">
        <f t="shared" si="96"/>
        <v>8186.2636230814333</v>
      </c>
      <c r="U135" s="184">
        <f t="shared" si="96"/>
        <v>8186.2636230814333</v>
      </c>
      <c r="V135" s="184">
        <f t="shared" si="96"/>
        <v>5457.5090820542891</v>
      </c>
      <c r="W135" s="184">
        <f t="shared" si="114"/>
        <v>2728.7545410271446</v>
      </c>
      <c r="X135" s="184">
        <f t="shared" si="114"/>
        <v>0</v>
      </c>
      <c r="Y135" s="184">
        <f t="shared" si="114"/>
        <v>5457.5090820542891</v>
      </c>
      <c r="AA135" s="167">
        <f t="shared" si="97"/>
        <v>2151923288.7559395</v>
      </c>
      <c r="AB135" s="167">
        <f t="shared" si="98"/>
        <v>67014912.106586352</v>
      </c>
      <c r="AC135" s="167">
        <f t="shared" si="99"/>
        <v>67014912.106586352</v>
      </c>
      <c r="AD135" s="167">
        <f t="shared" si="100"/>
        <v>29784405.380705051</v>
      </c>
      <c r="AE135" s="167">
        <f t="shared" si="101"/>
        <v>7446101.3451762628</v>
      </c>
      <c r="AF135" s="167">
        <f t="shared" si="102"/>
        <v>0</v>
      </c>
      <c r="AG135" s="167">
        <f t="shared" si="103"/>
        <v>29784405.380705051</v>
      </c>
      <c r="AK135" s="167"/>
      <c r="BA135" s="167"/>
      <c r="BJ135" s="201">
        <f t="shared" si="94"/>
        <v>-3.9877803216318295E-4</v>
      </c>
      <c r="BK135" s="201">
        <f t="shared" si="95"/>
        <v>6.6678555285597945E-4</v>
      </c>
      <c r="BL135" s="243">
        <f t="shared" si="104"/>
        <v>7.8086614905581676E-3</v>
      </c>
      <c r="BM135" s="243">
        <f t="shared" si="105"/>
        <v>-5.5260480024956152E-3</v>
      </c>
      <c r="BN135" s="243">
        <f t="shared" si="106"/>
        <v>-5.733075737459429E-4</v>
      </c>
      <c r="BO135" s="243">
        <f t="shared" si="107"/>
        <v>6.1046639797021698E-3</v>
      </c>
      <c r="BR135" s="200">
        <f t="shared" si="108"/>
        <v>1.5902391893594057E-7</v>
      </c>
      <c r="BS135" s="201">
        <f t="shared" si="109"/>
        <v>4.4460297349745417E-7</v>
      </c>
      <c r="BT135" s="201">
        <f t="shared" si="110"/>
        <v>6.0975194274126102E-5</v>
      </c>
      <c r="BU135" s="201">
        <f t="shared" si="111"/>
        <v>3.0537206525885778E-5</v>
      </c>
      <c r="BV135" s="201">
        <f t="shared" si="112"/>
        <v>3.2868157411445977E-7</v>
      </c>
      <c r="BW135" s="201">
        <f t="shared" si="113"/>
        <v>3.7266922305073133E-5</v>
      </c>
    </row>
    <row r="136" spans="1:75" x14ac:dyDescent="0.25">
      <c r="A136" s="122">
        <v>22060</v>
      </c>
      <c r="B136" s="153">
        <v>220</v>
      </c>
      <c r="C136" s="184">
        <f>+'Sampling Weights'!R136</f>
        <v>1695.0175213864263</v>
      </c>
      <c r="D136" s="155">
        <f>+SUM('Sampling Weights'!I136:N136)</f>
        <v>17</v>
      </c>
      <c r="E136" s="155">
        <v>2</v>
      </c>
      <c r="F136" s="155">
        <v>2</v>
      </c>
      <c r="G136" s="155">
        <v>0</v>
      </c>
      <c r="H136" s="154">
        <v>2</v>
      </c>
      <c r="I136" s="154">
        <v>0</v>
      </c>
      <c r="J136" s="154">
        <v>0</v>
      </c>
      <c r="K136" s="155"/>
      <c r="L136" s="172"/>
      <c r="M136" s="172"/>
      <c r="N136" s="172"/>
      <c r="P136" s="184"/>
      <c r="Q136" s="173"/>
      <c r="R136" s="167"/>
      <c r="S136" s="184">
        <f t="shared" si="96"/>
        <v>28815.297863569249</v>
      </c>
      <c r="T136" s="184">
        <f t="shared" si="96"/>
        <v>3390.0350427728526</v>
      </c>
      <c r="U136" s="184">
        <f t="shared" si="96"/>
        <v>3390.0350427728526</v>
      </c>
      <c r="V136" s="184">
        <f t="shared" ref="V136:Y199" si="115">+$C136*G136</f>
        <v>0</v>
      </c>
      <c r="W136" s="184">
        <f t="shared" si="114"/>
        <v>3390.0350427728526</v>
      </c>
      <c r="X136" s="184">
        <f t="shared" si="114"/>
        <v>0</v>
      </c>
      <c r="Y136" s="184">
        <f t="shared" si="114"/>
        <v>0</v>
      </c>
      <c r="AA136" s="167">
        <f t="shared" si="97"/>
        <v>830321390.96621847</v>
      </c>
      <c r="AB136" s="167">
        <f t="shared" si="98"/>
        <v>11492337.591227937</v>
      </c>
      <c r="AC136" s="167">
        <f t="shared" si="99"/>
        <v>11492337.591227937</v>
      </c>
      <c r="AD136" s="167">
        <f t="shared" si="100"/>
        <v>0</v>
      </c>
      <c r="AE136" s="167">
        <f t="shared" si="101"/>
        <v>11492337.591227937</v>
      </c>
      <c r="AF136" s="167">
        <f t="shared" si="102"/>
        <v>0</v>
      </c>
      <c r="AG136" s="167">
        <f t="shared" si="103"/>
        <v>0</v>
      </c>
      <c r="AK136" s="167"/>
      <c r="BA136" s="167"/>
      <c r="BJ136" s="201">
        <f t="shared" ref="BJ136:BJ199" si="116">+(T136-$M$16*S136)/$M$8</f>
        <v>-8.2827350302709169E-4</v>
      </c>
      <c r="BK136" s="201">
        <f t="shared" ref="BK136:BK199" si="117">+(U136-$M$17*S136)/$M$8</f>
        <v>-1.663785177496861E-4</v>
      </c>
      <c r="BL136" s="243">
        <f t="shared" si="104"/>
        <v>-2.5214235388275955E-3</v>
      </c>
      <c r="BM136" s="243">
        <f t="shared" si="105"/>
        <v>3.4666825812825785E-3</v>
      </c>
      <c r="BN136" s="243">
        <f t="shared" si="106"/>
        <v>-2.3741389903520513E-4</v>
      </c>
      <c r="BO136" s="243">
        <f t="shared" si="107"/>
        <v>-3.2270704054044551E-3</v>
      </c>
      <c r="BR136" s="200">
        <f t="shared" si="108"/>
        <v>6.8603699581676965E-7</v>
      </c>
      <c r="BS136" s="201">
        <f t="shared" si="109"/>
        <v>2.7681811168582614E-8</v>
      </c>
      <c r="BT136" s="201">
        <f t="shared" si="110"/>
        <v>6.3575766621538747E-6</v>
      </c>
      <c r="BU136" s="201">
        <f t="shared" si="111"/>
        <v>1.2017888119368041E-5</v>
      </c>
      <c r="BV136" s="201">
        <f t="shared" si="112"/>
        <v>5.6365359455098574E-8</v>
      </c>
      <c r="BW136" s="201">
        <f t="shared" si="113"/>
        <v>1.0413983401437275E-5</v>
      </c>
    </row>
    <row r="137" spans="1:75" x14ac:dyDescent="0.25">
      <c r="A137" s="122">
        <v>22061</v>
      </c>
      <c r="B137" s="153">
        <v>220</v>
      </c>
      <c r="C137" s="184">
        <f>+'Sampling Weights'!R137</f>
        <v>1004.2204494597504</v>
      </c>
      <c r="D137" s="155">
        <f>+SUM('Sampling Weights'!I137:N137)</f>
        <v>17</v>
      </c>
      <c r="E137" s="155">
        <v>3</v>
      </c>
      <c r="F137" s="155">
        <v>2</v>
      </c>
      <c r="G137" s="155">
        <v>0</v>
      </c>
      <c r="H137" s="154">
        <v>1</v>
      </c>
      <c r="I137" s="154">
        <v>0</v>
      </c>
      <c r="J137" s="154">
        <v>1</v>
      </c>
      <c r="K137" s="155"/>
      <c r="L137" s="172"/>
      <c r="M137" s="172"/>
      <c r="N137" s="172"/>
      <c r="P137" s="184"/>
      <c r="Q137" s="173"/>
      <c r="R137" s="167"/>
      <c r="S137" s="184">
        <f t="shared" ref="S137:Y200" si="118">+$C137*D137</f>
        <v>17071.747640815756</v>
      </c>
      <c r="T137" s="184">
        <f t="shared" si="118"/>
        <v>3012.6613483792512</v>
      </c>
      <c r="U137" s="184">
        <f t="shared" si="118"/>
        <v>2008.4408989195008</v>
      </c>
      <c r="V137" s="184">
        <f t="shared" si="115"/>
        <v>0</v>
      </c>
      <c r="W137" s="184">
        <f t="shared" si="114"/>
        <v>1004.2204494597504</v>
      </c>
      <c r="X137" s="184">
        <f t="shared" si="114"/>
        <v>0</v>
      </c>
      <c r="Y137" s="184">
        <f t="shared" si="114"/>
        <v>1004.2204494597504</v>
      </c>
      <c r="AA137" s="167">
        <f t="shared" ref="AA137:AA200" si="119">+S137*S137</f>
        <v>291444567.51169837</v>
      </c>
      <c r="AB137" s="167">
        <f t="shared" ref="AB137:AB200" si="120">+T137*T137</f>
        <v>9076128.4000182878</v>
      </c>
      <c r="AC137" s="167">
        <f t="shared" ref="AC137:AC200" si="121">+U137*U137</f>
        <v>4033834.8444525725</v>
      </c>
      <c r="AD137" s="167">
        <f t="shared" ref="AD137:AD200" si="122">+V137*V137</f>
        <v>0</v>
      </c>
      <c r="AE137" s="167">
        <f t="shared" ref="AE137:AE200" si="123">+W137*W137</f>
        <v>1008458.7111131431</v>
      </c>
      <c r="AF137" s="167">
        <f t="shared" ref="AF137:AF200" si="124">+X137*X137</f>
        <v>0</v>
      </c>
      <c r="AG137" s="167">
        <f t="shared" ref="AG137:AG200" si="125">+Y137*Y137</f>
        <v>1008458.7111131431</v>
      </c>
      <c r="AK137" s="167"/>
      <c r="BA137" s="167"/>
      <c r="BJ137" s="201">
        <f t="shared" si="116"/>
        <v>-1.4675598287519352E-4</v>
      </c>
      <c r="BK137" s="201">
        <f t="shared" si="117"/>
        <v>-9.8571671246427191E-5</v>
      </c>
      <c r="BL137" s="243">
        <f t="shared" ref="BL137:BL200" si="126">+(V137-$M$21*$U137)/$M$10</f>
        <v>-1.493828262830439E-3</v>
      </c>
      <c r="BM137" s="243">
        <f t="shared" ref="BM137:BM200" si="127">+(W137-$M$18*$U137)/$M$10</f>
        <v>-5.0336933180816475E-4</v>
      </c>
      <c r="BN137" s="243">
        <f t="shared" ref="BN137:BN200" si="128">+(X137-$M$19*$U137)/$M$10</f>
        <v>-1.4065688961263073E-4</v>
      </c>
      <c r="BO137" s="243">
        <f t="shared" ref="BO137:BO200" si="129">+(Y137-$M$20*$U137)/$M$10</f>
        <v>6.4532860002831959E-4</v>
      </c>
      <c r="BR137" s="200">
        <f t="shared" ref="BR137:BR200" si="130">+BJ137*BJ137</f>
        <v>2.1537318509664094E-8</v>
      </c>
      <c r="BS137" s="201">
        <f t="shared" ref="BS137:BS200" si="131">+BK137*BK137</f>
        <v>9.7163743723137216E-9</v>
      </c>
      <c r="BT137" s="201">
        <f t="shared" ref="BT137:BT200" si="132">+BL137*BL137</f>
        <v>2.2315228788310074E-6</v>
      </c>
      <c r="BU137" s="201">
        <f t="shared" ref="BU137:BU200" si="133">+BM137*BM137</f>
        <v>2.5338068420499828E-7</v>
      </c>
      <c r="BV137" s="201">
        <f t="shared" ref="BV137:BV200" si="134">+BN137*BN137</f>
        <v>1.9784360595499786E-8</v>
      </c>
      <c r="BW137" s="201">
        <f t="shared" ref="BW137:BW200" si="135">+BO137*BO137</f>
        <v>4.1644900201451087E-7</v>
      </c>
    </row>
    <row r="138" spans="1:75" x14ac:dyDescent="0.25">
      <c r="A138" s="122">
        <v>12170</v>
      </c>
      <c r="B138" s="153">
        <v>121</v>
      </c>
      <c r="C138" s="184">
        <f>+'Sampling Weights'!R138</f>
        <v>205.12220454072252</v>
      </c>
      <c r="D138" s="155">
        <f>+SUM('Sampling Weights'!I138:N138)</f>
        <v>14</v>
      </c>
      <c r="E138" s="155">
        <v>4</v>
      </c>
      <c r="F138" s="155">
        <v>1</v>
      </c>
      <c r="G138" s="155">
        <v>0</v>
      </c>
      <c r="H138" s="154">
        <v>0</v>
      </c>
      <c r="I138" s="154">
        <v>0</v>
      </c>
      <c r="J138" s="154">
        <v>1</v>
      </c>
      <c r="K138" s="155"/>
      <c r="L138" s="172"/>
      <c r="M138" s="172"/>
      <c r="N138" s="172"/>
      <c r="P138" s="184"/>
      <c r="Q138" s="173"/>
      <c r="R138" s="167"/>
      <c r="S138" s="184">
        <f t="shared" si="118"/>
        <v>2871.7108635701152</v>
      </c>
      <c r="T138" s="184">
        <f t="shared" si="118"/>
        <v>820.48881816289008</v>
      </c>
      <c r="U138" s="184">
        <f t="shared" si="118"/>
        <v>205.12220454072252</v>
      </c>
      <c r="V138" s="184">
        <f t="shared" si="115"/>
        <v>0</v>
      </c>
      <c r="W138" s="184">
        <f t="shared" si="114"/>
        <v>0</v>
      </c>
      <c r="X138" s="184">
        <f t="shared" si="114"/>
        <v>0</v>
      </c>
      <c r="Y138" s="184">
        <f t="shared" si="114"/>
        <v>205.12220454072252</v>
      </c>
      <c r="AA138" s="167">
        <f t="shared" si="119"/>
        <v>8246723.2839466166</v>
      </c>
      <c r="AB138" s="167">
        <f t="shared" si="120"/>
        <v>673201.90073033608</v>
      </c>
      <c r="AC138" s="167">
        <f t="shared" si="121"/>
        <v>42075.118795646005</v>
      </c>
      <c r="AD138" s="167">
        <f t="shared" si="122"/>
        <v>0</v>
      </c>
      <c r="AE138" s="167">
        <f t="shared" si="123"/>
        <v>0</v>
      </c>
      <c r="AF138" s="167">
        <f t="shared" si="124"/>
        <v>0</v>
      </c>
      <c r="AG138" s="167">
        <f t="shared" si="125"/>
        <v>42075.118795646005</v>
      </c>
      <c r="AK138" s="167"/>
      <c r="BA138" s="167"/>
      <c r="BJ138" s="201">
        <f t="shared" si="116"/>
        <v>8.2765368380024128E-5</v>
      </c>
      <c r="BK138" s="201">
        <f t="shared" si="117"/>
        <v>-6.2041540023660593E-5</v>
      </c>
      <c r="BL138" s="243">
        <f t="shared" si="126"/>
        <v>-1.5256478128973758E-4</v>
      </c>
      <c r="BM138" s="243">
        <f t="shared" si="127"/>
        <v>-3.1257823542361229E-4</v>
      </c>
      <c r="BN138" s="243">
        <f t="shared" si="128"/>
        <v>-1.4365297627978778E-5</v>
      </c>
      <c r="BO138" s="243">
        <f t="shared" si="129"/>
        <v>3.2707654506666491E-4</v>
      </c>
      <c r="BR138" s="200">
        <f t="shared" si="130"/>
        <v>6.8501062030810981E-9</v>
      </c>
      <c r="BS138" s="201">
        <f t="shared" si="131"/>
        <v>3.8491526885074794E-9</v>
      </c>
      <c r="BT138" s="201">
        <f t="shared" si="132"/>
        <v>2.3276012489985462E-8</v>
      </c>
      <c r="BU138" s="201">
        <f t="shared" si="133"/>
        <v>9.7705153260539181E-8</v>
      </c>
      <c r="BV138" s="201">
        <f t="shared" si="134"/>
        <v>2.0636177594041272E-10</v>
      </c>
      <c r="BW138" s="201">
        <f t="shared" si="135"/>
        <v>1.0697906633274608E-7</v>
      </c>
    </row>
    <row r="139" spans="1:75" x14ac:dyDescent="0.25">
      <c r="A139" s="122">
        <v>12171</v>
      </c>
      <c r="B139" s="153">
        <v>121</v>
      </c>
      <c r="C139" s="184">
        <f>+'Sampling Weights'!R139</f>
        <v>228.84739866253423</v>
      </c>
      <c r="D139" s="155">
        <f>+SUM('Sampling Weights'!I139:N139)</f>
        <v>13</v>
      </c>
      <c r="E139" s="155">
        <v>1</v>
      </c>
      <c r="F139" s="155">
        <v>1</v>
      </c>
      <c r="G139" s="155">
        <v>0</v>
      </c>
      <c r="H139" s="154">
        <v>0</v>
      </c>
      <c r="I139" s="154">
        <v>0</v>
      </c>
      <c r="J139" s="154">
        <v>1</v>
      </c>
      <c r="K139" s="155"/>
      <c r="L139" s="172"/>
      <c r="M139" s="172"/>
      <c r="N139" s="172"/>
      <c r="P139" s="184"/>
      <c r="Q139" s="173"/>
      <c r="R139" s="167"/>
      <c r="S139" s="184">
        <f t="shared" si="118"/>
        <v>2975.0161826129452</v>
      </c>
      <c r="T139" s="184">
        <f t="shared" si="118"/>
        <v>228.84739866253423</v>
      </c>
      <c r="U139" s="184">
        <f t="shared" si="118"/>
        <v>228.84739866253423</v>
      </c>
      <c r="V139" s="184">
        <f t="shared" si="115"/>
        <v>0</v>
      </c>
      <c r="W139" s="184">
        <f t="shared" si="114"/>
        <v>0</v>
      </c>
      <c r="X139" s="184">
        <f t="shared" si="114"/>
        <v>0</v>
      </c>
      <c r="Y139" s="184">
        <f t="shared" si="114"/>
        <v>228.84739866253423</v>
      </c>
      <c r="AA139" s="167">
        <f t="shared" si="119"/>
        <v>8850721.2868089005</v>
      </c>
      <c r="AB139" s="167">
        <f t="shared" si="120"/>
        <v>52371.131874608873</v>
      </c>
      <c r="AC139" s="167">
        <f t="shared" si="121"/>
        <v>52371.131874608873</v>
      </c>
      <c r="AD139" s="167">
        <f t="shared" si="122"/>
        <v>0</v>
      </c>
      <c r="AE139" s="167">
        <f t="shared" si="123"/>
        <v>0</v>
      </c>
      <c r="AF139" s="167">
        <f t="shared" si="124"/>
        <v>0</v>
      </c>
      <c r="AG139" s="167">
        <f t="shared" si="125"/>
        <v>52371.131874608873</v>
      </c>
      <c r="AK139" s="167"/>
      <c r="BA139" s="167"/>
      <c r="BJ139" s="201">
        <f t="shared" si="116"/>
        <v>-1.2701149803787766E-4</v>
      </c>
      <c r="BK139" s="201">
        <f t="shared" si="117"/>
        <v>-5.8674592352783124E-5</v>
      </c>
      <c r="BL139" s="243">
        <f t="shared" si="126"/>
        <v>-1.7021098912157752E-4</v>
      </c>
      <c r="BM139" s="243">
        <f t="shared" si="127"/>
        <v>-3.4873219218457471E-4</v>
      </c>
      <c r="BN139" s="243">
        <f t="shared" si="128"/>
        <v>-1.6026841172737902E-5</v>
      </c>
      <c r="BO139" s="243">
        <f t="shared" si="129"/>
        <v>3.6490743003483785E-4</v>
      </c>
      <c r="BR139" s="200">
        <f t="shared" si="130"/>
        <v>1.61319206338258E-8</v>
      </c>
      <c r="BS139" s="201">
        <f t="shared" si="131"/>
        <v>3.4427077877652759E-9</v>
      </c>
      <c r="BT139" s="201">
        <f t="shared" si="132"/>
        <v>2.897178081774578E-8</v>
      </c>
      <c r="BU139" s="201">
        <f t="shared" si="133"/>
        <v>1.2161414186585916E-7</v>
      </c>
      <c r="BV139" s="201">
        <f t="shared" si="134"/>
        <v>2.568596379761668E-10</v>
      </c>
      <c r="BW139" s="201">
        <f t="shared" si="135"/>
        <v>1.3315743249463009E-7</v>
      </c>
    </row>
    <row r="140" spans="1:75" x14ac:dyDescent="0.25">
      <c r="A140" s="122">
        <v>12172</v>
      </c>
      <c r="B140" s="153">
        <v>121</v>
      </c>
      <c r="C140" s="184">
        <f>+'Sampling Weights'!R140</f>
        <v>125.18289088100244</v>
      </c>
      <c r="D140" s="155">
        <f>+SUM('Sampling Weights'!I140:N140)</f>
        <v>12</v>
      </c>
      <c r="E140" s="155">
        <v>1</v>
      </c>
      <c r="F140" s="155">
        <v>1</v>
      </c>
      <c r="G140" s="155">
        <v>0</v>
      </c>
      <c r="H140" s="154">
        <v>0</v>
      </c>
      <c r="I140" s="154">
        <v>0</v>
      </c>
      <c r="J140" s="154">
        <v>1</v>
      </c>
      <c r="K140" s="155"/>
      <c r="L140" s="172"/>
      <c r="M140" s="172"/>
      <c r="N140" s="172"/>
      <c r="P140" s="184"/>
      <c r="Q140" s="173"/>
      <c r="R140" s="167"/>
      <c r="S140" s="184">
        <f t="shared" si="118"/>
        <v>1502.1946905720292</v>
      </c>
      <c r="T140" s="184">
        <f t="shared" si="118"/>
        <v>125.18289088100244</v>
      </c>
      <c r="U140" s="184">
        <f t="shared" si="118"/>
        <v>125.18289088100244</v>
      </c>
      <c r="V140" s="184">
        <f t="shared" si="115"/>
        <v>0</v>
      </c>
      <c r="W140" s="184">
        <f t="shared" si="114"/>
        <v>0</v>
      </c>
      <c r="X140" s="184">
        <f t="shared" si="114"/>
        <v>0</v>
      </c>
      <c r="Y140" s="184">
        <f t="shared" si="114"/>
        <v>125.18289088100244</v>
      </c>
      <c r="AA140" s="167">
        <f t="shared" si="119"/>
        <v>2256588.8883827948</v>
      </c>
      <c r="AB140" s="167">
        <f t="shared" si="120"/>
        <v>15670.756169324963</v>
      </c>
      <c r="AC140" s="167">
        <f t="shared" si="121"/>
        <v>15670.756169324963</v>
      </c>
      <c r="AD140" s="167">
        <f t="shared" si="122"/>
        <v>0</v>
      </c>
      <c r="AE140" s="167">
        <f t="shared" si="123"/>
        <v>0</v>
      </c>
      <c r="AF140" s="167">
        <f t="shared" si="124"/>
        <v>0</v>
      </c>
      <c r="AG140" s="167">
        <f t="shared" si="125"/>
        <v>15670.756169324963</v>
      </c>
      <c r="AK140" s="167"/>
      <c r="BA140" s="167"/>
      <c r="BJ140" s="201">
        <f t="shared" si="116"/>
        <v>-6.0834549981316017E-5</v>
      </c>
      <c r="BK140" s="201">
        <f t="shared" si="117"/>
        <v>-2.6328742083454845E-5</v>
      </c>
      <c r="BL140" s="243">
        <f t="shared" si="126"/>
        <v>-9.3107912969439796E-5</v>
      </c>
      <c r="BM140" s="243">
        <f t="shared" si="127"/>
        <v>-1.9076163511611466E-4</v>
      </c>
      <c r="BN140" s="243">
        <f t="shared" si="128"/>
        <v>-8.7669176989533537E-6</v>
      </c>
      <c r="BO140" s="243">
        <f t="shared" si="129"/>
        <v>1.996097279789472E-4</v>
      </c>
      <c r="BR140" s="200">
        <f t="shared" si="130"/>
        <v>3.7008424714292364E-9</v>
      </c>
      <c r="BS140" s="201">
        <f t="shared" si="131"/>
        <v>6.9320265969708615E-10</v>
      </c>
      <c r="BT140" s="201">
        <f t="shared" si="132"/>
        <v>8.669083457524775E-9</v>
      </c>
      <c r="BU140" s="201">
        <f t="shared" si="133"/>
        <v>3.6390001432173667E-8</v>
      </c>
      <c r="BV140" s="201">
        <f t="shared" si="134"/>
        <v>7.685884594022157E-11</v>
      </c>
      <c r="BW140" s="201">
        <f t="shared" si="135"/>
        <v>3.9844043503829299E-8</v>
      </c>
    </row>
    <row r="141" spans="1:75" x14ac:dyDescent="0.25">
      <c r="A141" s="122">
        <v>22162</v>
      </c>
      <c r="B141" s="153">
        <v>221</v>
      </c>
      <c r="C141" s="184">
        <f>+'Sampling Weights'!R141</f>
        <v>509.00475678945497</v>
      </c>
      <c r="D141" s="155">
        <f>+SUM('Sampling Weights'!I141:N141)</f>
        <v>17</v>
      </c>
      <c r="E141" s="155">
        <v>8</v>
      </c>
      <c r="F141" s="155">
        <v>6</v>
      </c>
      <c r="G141" s="155">
        <v>5</v>
      </c>
      <c r="H141" s="154">
        <v>2</v>
      </c>
      <c r="I141" s="154">
        <v>0</v>
      </c>
      <c r="J141" s="154">
        <v>4</v>
      </c>
      <c r="K141" s="155"/>
      <c r="L141" s="172"/>
      <c r="M141" s="172"/>
      <c r="N141" s="172"/>
      <c r="P141" s="184"/>
      <c r="Q141" s="173"/>
      <c r="R141" s="167"/>
      <c r="S141" s="184">
        <f t="shared" si="118"/>
        <v>8653.080865420734</v>
      </c>
      <c r="T141" s="184">
        <f t="shared" si="118"/>
        <v>4072.0380543156398</v>
      </c>
      <c r="U141" s="184">
        <f t="shared" si="118"/>
        <v>3054.0285407367301</v>
      </c>
      <c r="V141" s="184">
        <f t="shared" si="115"/>
        <v>2545.0237839472748</v>
      </c>
      <c r="W141" s="184">
        <f t="shared" si="114"/>
        <v>1018.0095135789099</v>
      </c>
      <c r="X141" s="184">
        <f t="shared" si="114"/>
        <v>0</v>
      </c>
      <c r="Y141" s="184">
        <f t="shared" si="114"/>
        <v>2036.0190271578199</v>
      </c>
      <c r="AA141" s="167">
        <f t="shared" si="119"/>
        <v>74875808.463510439</v>
      </c>
      <c r="AB141" s="167">
        <f t="shared" si="120"/>
        <v>16581493.915794702</v>
      </c>
      <c r="AC141" s="167">
        <f t="shared" si="121"/>
        <v>9327090.3276345208</v>
      </c>
      <c r="AD141" s="167">
        <f t="shared" si="122"/>
        <v>6477146.0608573044</v>
      </c>
      <c r="AE141" s="167">
        <f t="shared" si="123"/>
        <v>1036343.3697371689</v>
      </c>
      <c r="AF141" s="167">
        <f t="shared" si="124"/>
        <v>0</v>
      </c>
      <c r="AG141" s="167">
        <f t="shared" si="125"/>
        <v>4145373.4789486756</v>
      </c>
      <c r="AK141" s="167"/>
      <c r="BA141" s="167"/>
      <c r="BJ141" s="201">
        <f t="shared" si="116"/>
        <v>7.9731734610498763E-4</v>
      </c>
      <c r="BK141" s="201">
        <f t="shared" si="117"/>
        <v>6.4739973422305106E-4</v>
      </c>
      <c r="BL141" s="243">
        <f t="shared" si="126"/>
        <v>4.2093244125301511E-3</v>
      </c>
      <c r="BM141" s="243">
        <f t="shared" si="127"/>
        <v>-2.0615886678164615E-3</v>
      </c>
      <c r="BN141" s="243">
        <f t="shared" si="128"/>
        <v>-2.1388239781381155E-4</v>
      </c>
      <c r="BO141" s="243">
        <f t="shared" si="129"/>
        <v>2.2774514582026223E-3</v>
      </c>
      <c r="BR141" s="200">
        <f t="shared" si="130"/>
        <v>6.3571495039990059E-7</v>
      </c>
      <c r="BS141" s="201">
        <f t="shared" si="131"/>
        <v>4.1912641587207716E-7</v>
      </c>
      <c r="BT141" s="201">
        <f t="shared" si="132"/>
        <v>1.7718412009922302E-5</v>
      </c>
      <c r="BU141" s="201">
        <f t="shared" si="133"/>
        <v>4.2501478352692525E-6</v>
      </c>
      <c r="BV141" s="201">
        <f t="shared" si="134"/>
        <v>4.5745680094585538E-8</v>
      </c>
      <c r="BW141" s="201">
        <f t="shared" si="135"/>
        <v>5.1867851444692507E-6</v>
      </c>
    </row>
    <row r="142" spans="1:75" x14ac:dyDescent="0.25">
      <c r="A142" s="122">
        <v>22163</v>
      </c>
      <c r="B142" s="153">
        <v>221</v>
      </c>
      <c r="C142" s="184">
        <f>+'Sampling Weights'!R142</f>
        <v>1866.2223654986233</v>
      </c>
      <c r="D142" s="155">
        <f>+SUM('Sampling Weights'!I142:N142)</f>
        <v>16</v>
      </c>
      <c r="E142" s="155">
        <v>4</v>
      </c>
      <c r="F142" s="155">
        <v>1</v>
      </c>
      <c r="G142" s="155">
        <v>0</v>
      </c>
      <c r="H142" s="154">
        <v>1</v>
      </c>
      <c r="I142" s="154">
        <v>0</v>
      </c>
      <c r="J142" s="154">
        <v>0</v>
      </c>
      <c r="K142" s="155"/>
      <c r="L142" s="172"/>
      <c r="M142" s="172"/>
      <c r="N142" s="172"/>
      <c r="P142" s="184"/>
      <c r="Q142" s="173"/>
      <c r="R142" s="167"/>
      <c r="S142" s="184">
        <f t="shared" si="118"/>
        <v>29859.557847977972</v>
      </c>
      <c r="T142" s="184">
        <f t="shared" si="118"/>
        <v>7464.8894619944931</v>
      </c>
      <c r="U142" s="184">
        <f t="shared" si="118"/>
        <v>1866.2223654986233</v>
      </c>
      <c r="V142" s="184">
        <f t="shared" si="115"/>
        <v>0</v>
      </c>
      <c r="W142" s="184">
        <f t="shared" si="114"/>
        <v>1866.2223654986233</v>
      </c>
      <c r="X142" s="184">
        <f t="shared" si="114"/>
        <v>0</v>
      </c>
      <c r="Y142" s="184">
        <f t="shared" si="114"/>
        <v>0</v>
      </c>
      <c r="AA142" s="167">
        <f t="shared" si="119"/>
        <v>891593194.87674296</v>
      </c>
      <c r="AB142" s="167">
        <f t="shared" si="120"/>
        <v>55724574.679796435</v>
      </c>
      <c r="AC142" s="167">
        <f t="shared" si="121"/>
        <v>3482785.9174872772</v>
      </c>
      <c r="AD142" s="167">
        <f t="shared" si="122"/>
        <v>0</v>
      </c>
      <c r="AE142" s="167">
        <f t="shared" si="123"/>
        <v>3482785.9174872772</v>
      </c>
      <c r="AF142" s="167">
        <f t="shared" si="124"/>
        <v>0</v>
      </c>
      <c r="AG142" s="167">
        <f t="shared" si="125"/>
        <v>0</v>
      </c>
      <c r="AK142" s="167"/>
      <c r="BA142" s="167"/>
      <c r="BJ142" s="201">
        <f t="shared" si="116"/>
        <v>4.9532023697297981E-4</v>
      </c>
      <c r="BK142" s="201">
        <f t="shared" si="117"/>
        <v>-7.3641228301021724E-4</v>
      </c>
      <c r="BL142" s="243">
        <f t="shared" si="126"/>
        <v>-1.3880496637007878E-3</v>
      </c>
      <c r="BM142" s="243">
        <f t="shared" si="127"/>
        <v>1.9084170180088424E-3</v>
      </c>
      <c r="BN142" s="243">
        <f t="shared" si="128"/>
        <v>-1.3069691689597657E-4</v>
      </c>
      <c r="BO142" s="243">
        <f t="shared" si="129"/>
        <v>-1.7765099444749406E-3</v>
      </c>
      <c r="BR142" s="200">
        <f t="shared" si="130"/>
        <v>2.4534213715496888E-7</v>
      </c>
      <c r="BS142" s="201">
        <f t="shared" si="131"/>
        <v>5.4230305056832028E-7</v>
      </c>
      <c r="BT142" s="201">
        <f t="shared" si="132"/>
        <v>1.92668186889987E-6</v>
      </c>
      <c r="BU142" s="201">
        <f t="shared" si="133"/>
        <v>3.6420555146257621E-6</v>
      </c>
      <c r="BV142" s="201">
        <f t="shared" si="134"/>
        <v>1.7081684086113805E-8</v>
      </c>
      <c r="BW142" s="201">
        <f t="shared" si="135"/>
        <v>3.1559875828183566E-6</v>
      </c>
    </row>
    <row r="143" spans="1:75" x14ac:dyDescent="0.25">
      <c r="A143" s="122">
        <v>22164</v>
      </c>
      <c r="B143" s="153">
        <v>221</v>
      </c>
      <c r="C143" s="184">
        <f>+'Sampling Weights'!R143</f>
        <v>639.18339921371057</v>
      </c>
      <c r="D143" s="155">
        <f>+SUM('Sampling Weights'!I143:N143)</f>
        <v>14</v>
      </c>
      <c r="E143" s="155">
        <v>4</v>
      </c>
      <c r="F143" s="155">
        <v>2</v>
      </c>
      <c r="G143" s="155">
        <v>0</v>
      </c>
      <c r="H143" s="154">
        <v>2</v>
      </c>
      <c r="I143" s="154">
        <v>0</v>
      </c>
      <c r="J143" s="154">
        <v>0</v>
      </c>
      <c r="K143" s="155"/>
      <c r="L143" s="172"/>
      <c r="M143" s="172"/>
      <c r="N143" s="172"/>
      <c r="P143" s="184"/>
      <c r="Q143" s="173"/>
      <c r="R143" s="167"/>
      <c r="S143" s="184">
        <f t="shared" si="118"/>
        <v>8948.5675889919476</v>
      </c>
      <c r="T143" s="184">
        <f t="shared" si="118"/>
        <v>2556.7335968548423</v>
      </c>
      <c r="U143" s="184">
        <f t="shared" si="118"/>
        <v>1278.3667984274211</v>
      </c>
      <c r="V143" s="184">
        <f t="shared" si="115"/>
        <v>0</v>
      </c>
      <c r="W143" s="184">
        <f t="shared" si="114"/>
        <v>1278.3667984274211</v>
      </c>
      <c r="X143" s="184">
        <f t="shared" si="114"/>
        <v>0</v>
      </c>
      <c r="Y143" s="184">
        <f t="shared" si="114"/>
        <v>0</v>
      </c>
      <c r="AA143" s="167">
        <f t="shared" si="119"/>
        <v>80076861.894757152</v>
      </c>
      <c r="AB143" s="167">
        <f t="shared" si="120"/>
        <v>6536886.6852862993</v>
      </c>
      <c r="AC143" s="167">
        <f t="shared" si="121"/>
        <v>1634221.6713215748</v>
      </c>
      <c r="AD143" s="167">
        <f t="shared" si="122"/>
        <v>0</v>
      </c>
      <c r="AE143" s="167">
        <f t="shared" si="123"/>
        <v>1634221.6713215748</v>
      </c>
      <c r="AF143" s="167">
        <f t="shared" si="124"/>
        <v>0</v>
      </c>
      <c r="AG143" s="167">
        <f t="shared" si="125"/>
        <v>0</v>
      </c>
      <c r="AK143" s="167"/>
      <c r="BA143" s="167"/>
      <c r="BJ143" s="201">
        <f t="shared" si="116"/>
        <v>2.5790601079375691E-4</v>
      </c>
      <c r="BK143" s="201">
        <f t="shared" si="117"/>
        <v>2.5600137257948655E-5</v>
      </c>
      <c r="BL143" s="243">
        <f t="shared" si="126"/>
        <v>-9.5081735030505608E-4</v>
      </c>
      <c r="BM143" s="243">
        <f t="shared" si="127"/>
        <v>1.3072702366443536E-3</v>
      </c>
      <c r="BN143" s="243">
        <f t="shared" si="128"/>
        <v>-8.9527701685218879E-5</v>
      </c>
      <c r="BO143" s="243">
        <f t="shared" si="129"/>
        <v>-1.2169135747583458E-3</v>
      </c>
      <c r="BR143" s="200">
        <f t="shared" si="130"/>
        <v>6.6515510403549453E-8</v>
      </c>
      <c r="BS143" s="201">
        <f t="shared" si="131"/>
        <v>6.5536702762581089E-10</v>
      </c>
      <c r="BT143" s="201">
        <f t="shared" si="132"/>
        <v>9.040536336411277E-7</v>
      </c>
      <c r="BU143" s="201">
        <f t="shared" si="133"/>
        <v>1.7089554716161841E-6</v>
      </c>
      <c r="BV143" s="201">
        <f t="shared" si="134"/>
        <v>8.0152093690375426E-9</v>
      </c>
      <c r="BW143" s="201">
        <f t="shared" si="135"/>
        <v>1.4808786484311359E-6</v>
      </c>
    </row>
    <row r="144" spans="1:75" x14ac:dyDescent="0.25">
      <c r="A144" s="122">
        <v>22165</v>
      </c>
      <c r="B144" s="153">
        <v>221</v>
      </c>
      <c r="C144" s="184">
        <f>+'Sampling Weights'!R144</f>
        <v>194.44295859006769</v>
      </c>
      <c r="D144" s="155">
        <f>+SUM('Sampling Weights'!I144:N144)</f>
        <v>12</v>
      </c>
      <c r="E144" s="155">
        <v>1</v>
      </c>
      <c r="F144" s="155">
        <v>1</v>
      </c>
      <c r="G144" s="155">
        <v>0</v>
      </c>
      <c r="H144" s="154">
        <v>1</v>
      </c>
      <c r="I144" s="154">
        <v>0</v>
      </c>
      <c r="J144" s="154">
        <v>0</v>
      </c>
      <c r="K144" s="155"/>
      <c r="L144" s="172"/>
      <c r="M144" s="172"/>
      <c r="N144" s="172"/>
      <c r="P144" s="184"/>
      <c r="Q144" s="173"/>
      <c r="R144" s="167"/>
      <c r="S144" s="184">
        <f t="shared" si="118"/>
        <v>2333.3155030808121</v>
      </c>
      <c r="T144" s="184">
        <f t="shared" si="118"/>
        <v>194.44295859006769</v>
      </c>
      <c r="U144" s="184">
        <f t="shared" si="118"/>
        <v>194.44295859006769</v>
      </c>
      <c r="V144" s="184">
        <f t="shared" si="115"/>
        <v>0</v>
      </c>
      <c r="W144" s="184">
        <f t="shared" si="114"/>
        <v>194.44295859006769</v>
      </c>
      <c r="X144" s="184">
        <f t="shared" si="114"/>
        <v>0</v>
      </c>
      <c r="Y144" s="184">
        <f t="shared" si="114"/>
        <v>0</v>
      </c>
      <c r="AA144" s="167">
        <f t="shared" si="119"/>
        <v>5444361.2369172629</v>
      </c>
      <c r="AB144" s="167">
        <f t="shared" si="120"/>
        <v>37808.064145258781</v>
      </c>
      <c r="AC144" s="167">
        <f t="shared" si="121"/>
        <v>37808.064145258781</v>
      </c>
      <c r="AD144" s="167">
        <f t="shared" si="122"/>
        <v>0</v>
      </c>
      <c r="AE144" s="167">
        <f t="shared" si="123"/>
        <v>37808.064145258781</v>
      </c>
      <c r="AF144" s="167">
        <f t="shared" si="124"/>
        <v>0</v>
      </c>
      <c r="AG144" s="167">
        <f t="shared" si="125"/>
        <v>0</v>
      </c>
      <c r="AK144" s="167"/>
      <c r="BA144" s="167"/>
      <c r="BJ144" s="201">
        <f t="shared" si="116"/>
        <v>-9.449254446525614E-5</v>
      </c>
      <c r="BK144" s="201">
        <f t="shared" si="117"/>
        <v>-4.0895672488729044E-5</v>
      </c>
      <c r="BL144" s="243">
        <f t="shared" si="126"/>
        <v>-1.4462182442434606E-4</v>
      </c>
      <c r="BM144" s="243">
        <f t="shared" si="127"/>
        <v>1.9883924770461531E-4</v>
      </c>
      <c r="BN144" s="243">
        <f t="shared" si="128"/>
        <v>-1.3617399335509481E-5</v>
      </c>
      <c r="BO144" s="243">
        <f t="shared" si="129"/>
        <v>-1.850957613382215E-4</v>
      </c>
      <c r="BR144" s="200">
        <f t="shared" si="130"/>
        <v>8.9288409595184085E-9</v>
      </c>
      <c r="BS144" s="201">
        <f t="shared" si="131"/>
        <v>1.6724560283053895E-9</v>
      </c>
      <c r="BT144" s="201">
        <f t="shared" si="132"/>
        <v>2.091547209982638E-8</v>
      </c>
      <c r="BU144" s="201">
        <f t="shared" si="133"/>
        <v>3.9537046427737365E-8</v>
      </c>
      <c r="BV144" s="201">
        <f t="shared" si="134"/>
        <v>1.8543356466273405E-10</v>
      </c>
      <c r="BW144" s="201">
        <f t="shared" si="135"/>
        <v>3.4260440865375854E-8</v>
      </c>
    </row>
    <row r="145" spans="1:75" x14ac:dyDescent="0.25">
      <c r="A145" s="122">
        <v>12273</v>
      </c>
      <c r="B145" s="153">
        <v>122</v>
      </c>
      <c r="C145" s="184">
        <f>+'Sampling Weights'!R145</f>
        <v>144.09103377246731</v>
      </c>
      <c r="D145" s="155">
        <f>+SUM('Sampling Weights'!I145:N145)</f>
        <v>12</v>
      </c>
      <c r="E145" s="155">
        <v>4</v>
      </c>
      <c r="F145" s="155">
        <v>3</v>
      </c>
      <c r="G145" s="155">
        <v>1</v>
      </c>
      <c r="H145" s="154">
        <v>1</v>
      </c>
      <c r="I145" s="154">
        <v>0</v>
      </c>
      <c r="J145" s="154">
        <v>2</v>
      </c>
      <c r="K145" s="155"/>
      <c r="L145" s="172"/>
      <c r="M145" s="172"/>
      <c r="N145" s="172"/>
      <c r="P145" s="184"/>
      <c r="Q145" s="173"/>
      <c r="R145" s="167"/>
      <c r="S145" s="184">
        <f t="shared" si="118"/>
        <v>1729.0924052696078</v>
      </c>
      <c r="T145" s="184">
        <f t="shared" si="118"/>
        <v>576.36413508986925</v>
      </c>
      <c r="U145" s="184">
        <f t="shared" si="118"/>
        <v>432.27310131740194</v>
      </c>
      <c r="V145" s="184">
        <f t="shared" si="115"/>
        <v>144.09103377246731</v>
      </c>
      <c r="W145" s="184">
        <f t="shared" si="114"/>
        <v>144.09103377246731</v>
      </c>
      <c r="X145" s="184">
        <f t="shared" si="114"/>
        <v>0</v>
      </c>
      <c r="Y145" s="184">
        <f t="shared" si="114"/>
        <v>288.18206754493463</v>
      </c>
      <c r="AA145" s="167">
        <f t="shared" si="119"/>
        <v>2989760.5459610373</v>
      </c>
      <c r="AB145" s="167">
        <f t="shared" si="120"/>
        <v>332195.61621789302</v>
      </c>
      <c r="AC145" s="167">
        <f t="shared" si="121"/>
        <v>186860.03412256483</v>
      </c>
      <c r="AD145" s="167">
        <f t="shared" si="122"/>
        <v>20762.226013618314</v>
      </c>
      <c r="AE145" s="167">
        <f t="shared" si="123"/>
        <v>20762.226013618314</v>
      </c>
      <c r="AF145" s="167">
        <f t="shared" si="124"/>
        <v>0</v>
      </c>
      <c r="AG145" s="167">
        <f t="shared" si="125"/>
        <v>83048.904054473256</v>
      </c>
      <c r="AK145" s="167"/>
      <c r="BA145" s="167"/>
      <c r="BJ145" s="201">
        <f t="shared" si="116"/>
        <v>7.8035762732599852E-5</v>
      </c>
      <c r="BK145" s="201">
        <f t="shared" si="117"/>
        <v>6.8400465800448853E-5</v>
      </c>
      <c r="BL145" s="243">
        <f t="shared" si="126"/>
        <v>4.5409991845332602E-5</v>
      </c>
      <c r="BM145" s="243">
        <f t="shared" si="127"/>
        <v>-2.9180124389500771E-4</v>
      </c>
      <c r="BN145" s="243">
        <f t="shared" si="128"/>
        <v>-3.0273327896888403E-5</v>
      </c>
      <c r="BO145" s="243">
        <f t="shared" si="129"/>
        <v>3.2235488038353388E-4</v>
      </c>
      <c r="BR145" s="200">
        <f t="shared" si="130"/>
        <v>6.0895802652586199E-9</v>
      </c>
      <c r="BS145" s="201">
        <f t="shared" si="131"/>
        <v>4.6786237217183732E-9</v>
      </c>
      <c r="BT145" s="201">
        <f t="shared" si="132"/>
        <v>2.0620673593931736E-9</v>
      </c>
      <c r="BU145" s="201">
        <f t="shared" si="133"/>
        <v>8.5147965938673781E-8</v>
      </c>
      <c r="BV145" s="201">
        <f t="shared" si="134"/>
        <v>9.1647438195252159E-10</v>
      </c>
      <c r="BW145" s="201">
        <f t="shared" si="135"/>
        <v>1.0391266890708243E-7</v>
      </c>
    </row>
    <row r="146" spans="1:75" x14ac:dyDescent="0.25">
      <c r="A146" s="122">
        <v>12274</v>
      </c>
      <c r="B146" s="153">
        <v>122</v>
      </c>
      <c r="C146" s="184">
        <f>+'Sampling Weights'!R146</f>
        <v>193.65615291217944</v>
      </c>
      <c r="D146" s="155">
        <f>+SUM('Sampling Weights'!I146:N146)</f>
        <v>16</v>
      </c>
      <c r="E146" s="155">
        <v>1</v>
      </c>
      <c r="F146" s="155">
        <v>1</v>
      </c>
      <c r="G146" s="155">
        <v>0</v>
      </c>
      <c r="H146" s="154">
        <v>0</v>
      </c>
      <c r="I146" s="154">
        <v>0</v>
      </c>
      <c r="J146" s="154">
        <v>1</v>
      </c>
      <c r="K146" s="155"/>
      <c r="L146" s="172"/>
      <c r="M146" s="172"/>
      <c r="N146" s="172"/>
      <c r="P146" s="184"/>
      <c r="Q146" s="173"/>
      <c r="R146" s="167"/>
      <c r="S146" s="184">
        <f t="shared" si="118"/>
        <v>3098.498446594871</v>
      </c>
      <c r="T146" s="184">
        <f t="shared" si="118"/>
        <v>193.65615291217944</v>
      </c>
      <c r="U146" s="184">
        <f t="shared" si="118"/>
        <v>193.65615291217944</v>
      </c>
      <c r="V146" s="184">
        <f t="shared" si="115"/>
        <v>0</v>
      </c>
      <c r="W146" s="184">
        <f t="shared" si="114"/>
        <v>0</v>
      </c>
      <c r="X146" s="184">
        <f t="shared" si="114"/>
        <v>0</v>
      </c>
      <c r="Y146" s="184">
        <f t="shared" si="114"/>
        <v>193.65615291217944</v>
      </c>
      <c r="AA146" s="167">
        <f t="shared" si="119"/>
        <v>9600692.6235508285</v>
      </c>
      <c r="AB146" s="167">
        <f t="shared" si="120"/>
        <v>37502.705560745424</v>
      </c>
      <c r="AC146" s="167">
        <f t="shared" si="121"/>
        <v>37502.705560745424</v>
      </c>
      <c r="AD146" s="167">
        <f t="shared" si="122"/>
        <v>0</v>
      </c>
      <c r="AE146" s="167">
        <f t="shared" si="123"/>
        <v>0</v>
      </c>
      <c r="AF146" s="167">
        <f t="shared" si="124"/>
        <v>0</v>
      </c>
      <c r="AG146" s="167">
        <f t="shared" si="125"/>
        <v>37502.705560745424</v>
      </c>
      <c r="AK146" s="167"/>
      <c r="BA146" s="167"/>
      <c r="BJ146" s="201">
        <f t="shared" si="116"/>
        <v>-1.4759014105997559E-4</v>
      </c>
      <c r="BK146" s="201">
        <f t="shared" si="117"/>
        <v>-7.6416815231410314E-5</v>
      </c>
      <c r="BL146" s="243">
        <f t="shared" si="126"/>
        <v>-1.440366179790794E-4</v>
      </c>
      <c r="BM146" s="243">
        <f t="shared" si="127"/>
        <v>-2.95105538143711E-4</v>
      </c>
      <c r="BN146" s="243">
        <f t="shared" si="128"/>
        <v>-1.3562297072136506E-5</v>
      </c>
      <c r="BO146" s="243">
        <f t="shared" si="129"/>
        <v>3.087934120405895E-4</v>
      </c>
      <c r="BR146" s="200">
        <f t="shared" si="130"/>
        <v>2.1782849738103493E-8</v>
      </c>
      <c r="BS146" s="201">
        <f t="shared" si="131"/>
        <v>5.8395296501115034E-9</v>
      </c>
      <c r="BT146" s="201">
        <f t="shared" si="132"/>
        <v>2.0746547318851258E-8</v>
      </c>
      <c r="BU146" s="201">
        <f t="shared" si="133"/>
        <v>8.7087278643089271E-8</v>
      </c>
      <c r="BV146" s="201">
        <f t="shared" si="134"/>
        <v>1.8393590187288244E-10</v>
      </c>
      <c r="BW146" s="201">
        <f t="shared" si="135"/>
        <v>9.5353371319669284E-8</v>
      </c>
    </row>
    <row r="147" spans="1:75" x14ac:dyDescent="0.25">
      <c r="A147" s="122">
        <v>12275</v>
      </c>
      <c r="B147" s="153">
        <v>122</v>
      </c>
      <c r="C147" s="184">
        <f>+'Sampling Weights'!R147</f>
        <v>335.16695545686395</v>
      </c>
      <c r="D147" s="155">
        <f>+SUM('Sampling Weights'!I147:N147)</f>
        <v>14</v>
      </c>
      <c r="E147" s="155">
        <v>5</v>
      </c>
      <c r="F147" s="155">
        <v>5</v>
      </c>
      <c r="G147" s="155">
        <v>4</v>
      </c>
      <c r="H147" s="154">
        <v>2</v>
      </c>
      <c r="I147" s="154">
        <v>0</v>
      </c>
      <c r="J147" s="154">
        <v>3</v>
      </c>
      <c r="K147" s="154"/>
      <c r="L147" s="172"/>
      <c r="M147" s="172"/>
      <c r="N147" s="172"/>
      <c r="P147" s="184"/>
      <c r="Q147" s="173"/>
      <c r="R147" s="167"/>
      <c r="S147" s="184">
        <f t="shared" si="118"/>
        <v>4692.3373763960954</v>
      </c>
      <c r="T147" s="184">
        <f t="shared" si="118"/>
        <v>1675.8347772843197</v>
      </c>
      <c r="U147" s="184">
        <f t="shared" si="118"/>
        <v>1675.8347772843197</v>
      </c>
      <c r="V147" s="184">
        <f t="shared" si="115"/>
        <v>1340.6678218274558</v>
      </c>
      <c r="W147" s="184">
        <f t="shared" si="114"/>
        <v>670.33391091372789</v>
      </c>
      <c r="X147" s="184">
        <f t="shared" si="114"/>
        <v>0</v>
      </c>
      <c r="Y147" s="184">
        <f t="shared" si="114"/>
        <v>1005.5008663705919</v>
      </c>
      <c r="AA147" s="167">
        <f t="shared" si="119"/>
        <v>22018030.053923793</v>
      </c>
      <c r="AB147" s="167">
        <f t="shared" si="120"/>
        <v>2808422.2007555855</v>
      </c>
      <c r="AC147" s="167">
        <f t="shared" si="121"/>
        <v>2808422.2007555855</v>
      </c>
      <c r="AD147" s="167">
        <f t="shared" si="122"/>
        <v>1797390.2084835747</v>
      </c>
      <c r="AE147" s="167">
        <f t="shared" si="123"/>
        <v>449347.55212089367</v>
      </c>
      <c r="AF147" s="167">
        <f t="shared" si="124"/>
        <v>0</v>
      </c>
      <c r="AG147" s="167">
        <f t="shared" si="125"/>
        <v>1011031.9922720109</v>
      </c>
      <c r="AK147" s="167"/>
      <c r="BA147" s="167"/>
      <c r="BJ147" s="201">
        <f t="shared" si="116"/>
        <v>2.5003644150775579E-4</v>
      </c>
      <c r="BK147" s="201">
        <f t="shared" si="117"/>
        <v>3.578206675591885E-4</v>
      </c>
      <c r="BL147" s="243">
        <f t="shared" si="126"/>
        <v>2.1675304682049804E-3</v>
      </c>
      <c r="BM147" s="243">
        <f t="shared" si="127"/>
        <v>-8.4675611191483053E-4</v>
      </c>
      <c r="BN147" s="243">
        <f t="shared" si="128"/>
        <v>-1.1736352680544364E-4</v>
      </c>
      <c r="BO147" s="243">
        <f t="shared" si="129"/>
        <v>9.6520633804254689E-4</v>
      </c>
      <c r="BR147" s="200">
        <f t="shared" si="130"/>
        <v>6.2518222081861382E-8</v>
      </c>
      <c r="BS147" s="201">
        <f t="shared" si="131"/>
        <v>1.280356301325033E-7</v>
      </c>
      <c r="BT147" s="201">
        <f t="shared" si="132"/>
        <v>4.6981883305969016E-6</v>
      </c>
      <c r="BU147" s="201">
        <f t="shared" si="133"/>
        <v>7.1699591306512103E-7</v>
      </c>
      <c r="BV147" s="201">
        <f t="shared" si="134"/>
        <v>1.3774197424212088E-8</v>
      </c>
      <c r="BW147" s="201">
        <f t="shared" si="135"/>
        <v>9.3162327499750331E-7</v>
      </c>
    </row>
    <row r="148" spans="1:75" x14ac:dyDescent="0.25">
      <c r="A148" s="122">
        <v>12276</v>
      </c>
      <c r="B148" s="153">
        <v>122</v>
      </c>
      <c r="C148" s="184">
        <f>+'Sampling Weights'!R148</f>
        <v>371.00020859643541</v>
      </c>
      <c r="D148" s="155">
        <f>+SUM('Sampling Weights'!I148:N148)</f>
        <v>14</v>
      </c>
      <c r="E148" s="155">
        <v>6</v>
      </c>
      <c r="F148" s="155">
        <v>3</v>
      </c>
      <c r="G148" s="155">
        <v>0</v>
      </c>
      <c r="H148" s="154">
        <v>2</v>
      </c>
      <c r="I148" s="154">
        <v>0</v>
      </c>
      <c r="J148" s="154">
        <v>1</v>
      </c>
      <c r="K148" s="154"/>
      <c r="L148" s="172"/>
      <c r="M148" s="172"/>
      <c r="N148" s="172"/>
      <c r="P148" s="184"/>
      <c r="Q148" s="173"/>
      <c r="R148" s="167"/>
      <c r="S148" s="184">
        <f t="shared" si="118"/>
        <v>5194.0029203500962</v>
      </c>
      <c r="T148" s="184">
        <f t="shared" si="118"/>
        <v>2226.0012515786125</v>
      </c>
      <c r="U148" s="184">
        <f t="shared" si="118"/>
        <v>1113.0006257893062</v>
      </c>
      <c r="V148" s="184">
        <f t="shared" si="115"/>
        <v>0</v>
      </c>
      <c r="W148" s="184">
        <f t="shared" si="114"/>
        <v>742.00041719287083</v>
      </c>
      <c r="X148" s="184">
        <f t="shared" si="114"/>
        <v>0</v>
      </c>
      <c r="Y148" s="184">
        <f t="shared" si="114"/>
        <v>371.00020859643541</v>
      </c>
      <c r="AA148" s="167">
        <f t="shared" si="119"/>
        <v>26977666.336605329</v>
      </c>
      <c r="AB148" s="167">
        <f t="shared" si="120"/>
        <v>4955081.5720295496</v>
      </c>
      <c r="AC148" s="167">
        <f t="shared" si="121"/>
        <v>1238770.3930073874</v>
      </c>
      <c r="AD148" s="167">
        <f t="shared" si="122"/>
        <v>0</v>
      </c>
      <c r="AE148" s="167">
        <f t="shared" si="123"/>
        <v>550564.6191143943</v>
      </c>
      <c r="AF148" s="167">
        <f t="shared" si="124"/>
        <v>0</v>
      </c>
      <c r="AG148" s="167">
        <f t="shared" si="125"/>
        <v>137641.15477859857</v>
      </c>
      <c r="AK148" s="167"/>
      <c r="BA148" s="167"/>
      <c r="BJ148" s="201">
        <f t="shared" si="116"/>
        <v>4.0384052382389445E-4</v>
      </c>
      <c r="BK148" s="201">
        <f t="shared" si="117"/>
        <v>1.4193132026272498E-4</v>
      </c>
      <c r="BL148" s="243">
        <f t="shared" si="126"/>
        <v>-8.2782211428102884E-4</v>
      </c>
      <c r="BM148" s="243">
        <f t="shared" si="127"/>
        <v>1.9342312696365792E-4</v>
      </c>
      <c r="BN148" s="243">
        <f t="shared" si="128"/>
        <v>-7.7946633254011432E-5</v>
      </c>
      <c r="BO148" s="243">
        <f t="shared" si="129"/>
        <v>-1.1475476562396133E-4</v>
      </c>
      <c r="BR148" s="200">
        <f t="shared" si="130"/>
        <v>1.6308716868235747E-7</v>
      </c>
      <c r="BS148" s="201">
        <f t="shared" si="131"/>
        <v>2.0144499671520208E-8</v>
      </c>
      <c r="BT148" s="201">
        <f t="shared" si="132"/>
        <v>6.8528945289271279E-7</v>
      </c>
      <c r="BU148" s="201">
        <f t="shared" si="133"/>
        <v>3.7412506044399337E-8</v>
      </c>
      <c r="BV148" s="201">
        <f t="shared" si="134"/>
        <v>6.0756776356353609E-9</v>
      </c>
      <c r="BW148" s="201">
        <f t="shared" si="135"/>
        <v>1.3168656233410296E-8</v>
      </c>
    </row>
    <row r="149" spans="1:75" x14ac:dyDescent="0.25">
      <c r="A149" s="122">
        <v>22266</v>
      </c>
      <c r="B149" s="153">
        <v>222</v>
      </c>
      <c r="C149" s="184">
        <f>+'Sampling Weights'!R149</f>
        <v>266.26622084014622</v>
      </c>
      <c r="D149" s="155">
        <f>+SUM('Sampling Weights'!I149:N149)</f>
        <v>12</v>
      </c>
      <c r="E149" s="155">
        <v>1</v>
      </c>
      <c r="F149" s="155">
        <v>1</v>
      </c>
      <c r="G149" s="155">
        <v>0</v>
      </c>
      <c r="H149" s="154">
        <v>1</v>
      </c>
      <c r="I149" s="154">
        <v>0</v>
      </c>
      <c r="J149" s="154">
        <v>0</v>
      </c>
      <c r="K149" s="155"/>
      <c r="L149" s="172"/>
      <c r="M149" s="172"/>
      <c r="N149" s="172"/>
      <c r="P149" s="184"/>
      <c r="Q149" s="173"/>
      <c r="R149" s="167"/>
      <c r="S149" s="184">
        <f t="shared" si="118"/>
        <v>3195.1946500817548</v>
      </c>
      <c r="T149" s="184">
        <f t="shared" si="118"/>
        <v>266.26622084014622</v>
      </c>
      <c r="U149" s="184">
        <f t="shared" si="118"/>
        <v>266.26622084014622</v>
      </c>
      <c r="V149" s="184">
        <f t="shared" si="115"/>
        <v>0</v>
      </c>
      <c r="W149" s="184">
        <f t="shared" si="114"/>
        <v>266.26622084014622</v>
      </c>
      <c r="X149" s="184">
        <f t="shared" si="114"/>
        <v>0</v>
      </c>
      <c r="Y149" s="184">
        <f t="shared" si="114"/>
        <v>0</v>
      </c>
      <c r="AA149" s="167">
        <f t="shared" si="119"/>
        <v>10209268.851911068</v>
      </c>
      <c r="AB149" s="167">
        <f t="shared" si="120"/>
        <v>70897.700360493516</v>
      </c>
      <c r="AC149" s="167">
        <f t="shared" si="121"/>
        <v>70897.700360493516</v>
      </c>
      <c r="AD149" s="167">
        <f t="shared" si="122"/>
        <v>0</v>
      </c>
      <c r="AE149" s="167">
        <f t="shared" si="123"/>
        <v>70897.700360493516</v>
      </c>
      <c r="AF149" s="167">
        <f t="shared" si="124"/>
        <v>0</v>
      </c>
      <c r="AG149" s="167">
        <f t="shared" si="125"/>
        <v>0</v>
      </c>
      <c r="AK149" s="167"/>
      <c r="BA149" s="167"/>
      <c r="BJ149" s="201">
        <f t="shared" si="116"/>
        <v>-1.29396162734681E-4</v>
      </c>
      <c r="BK149" s="201">
        <f t="shared" si="117"/>
        <v>-5.6001699630826595E-5</v>
      </c>
      <c r="BL149" s="243">
        <f t="shared" si="126"/>
        <v>-1.9804217606903251E-4</v>
      </c>
      <c r="BM149" s="243">
        <f t="shared" si="127"/>
        <v>2.7228640946893137E-4</v>
      </c>
      <c r="BN149" s="243">
        <f t="shared" si="128"/>
        <v>-1.8647388853928084E-5</v>
      </c>
      <c r="BO149" s="243">
        <f t="shared" si="129"/>
        <v>-2.5346635960709658E-4</v>
      </c>
      <c r="BR149" s="200">
        <f t="shared" si="130"/>
        <v>1.6743366930460049E-8</v>
      </c>
      <c r="BS149" s="201">
        <f t="shared" si="131"/>
        <v>3.1361903615413237E-9</v>
      </c>
      <c r="BT149" s="201">
        <f t="shared" si="132"/>
        <v>3.9220703502157672E-8</v>
      </c>
      <c r="BU149" s="201">
        <f t="shared" si="133"/>
        <v>7.4139888781482555E-8</v>
      </c>
      <c r="BV149" s="201">
        <f t="shared" si="134"/>
        <v>3.4772511106960138E-10</v>
      </c>
      <c r="BW149" s="201">
        <f t="shared" si="135"/>
        <v>6.4245195452473999E-8</v>
      </c>
    </row>
    <row r="150" spans="1:75" x14ac:dyDescent="0.25">
      <c r="A150" s="122">
        <v>22267</v>
      </c>
      <c r="B150" s="153">
        <v>222</v>
      </c>
      <c r="C150" s="184">
        <f>+'Sampling Weights'!R150</f>
        <v>2149.8717766865157</v>
      </c>
      <c r="D150" s="155">
        <f>+SUM('Sampling Weights'!I150:N150)</f>
        <v>16</v>
      </c>
      <c r="E150" s="155">
        <v>4</v>
      </c>
      <c r="F150" s="155">
        <v>3</v>
      </c>
      <c r="G150" s="155">
        <v>0</v>
      </c>
      <c r="H150" s="154">
        <v>3</v>
      </c>
      <c r="I150" s="154">
        <v>0</v>
      </c>
      <c r="J150" s="154">
        <v>0</v>
      </c>
      <c r="K150" s="155"/>
      <c r="L150" s="172"/>
      <c r="M150" s="172"/>
      <c r="N150" s="172"/>
      <c r="P150" s="184"/>
      <c r="Q150" s="173"/>
      <c r="R150" s="167"/>
      <c r="S150" s="184">
        <f t="shared" si="118"/>
        <v>34397.948426984251</v>
      </c>
      <c r="T150" s="184">
        <f t="shared" si="118"/>
        <v>8599.4871067460626</v>
      </c>
      <c r="U150" s="184">
        <f t="shared" si="118"/>
        <v>6449.615330059547</v>
      </c>
      <c r="V150" s="184">
        <f t="shared" si="115"/>
        <v>0</v>
      </c>
      <c r="W150" s="184">
        <f t="shared" si="114"/>
        <v>6449.615330059547</v>
      </c>
      <c r="X150" s="184">
        <f t="shared" si="114"/>
        <v>0</v>
      </c>
      <c r="Y150" s="184">
        <f t="shared" si="114"/>
        <v>0</v>
      </c>
      <c r="AA150" s="167">
        <f t="shared" si="119"/>
        <v>1183218855.9854684</v>
      </c>
      <c r="AB150" s="167">
        <f t="shared" si="120"/>
        <v>73951178.499091774</v>
      </c>
      <c r="AC150" s="167">
        <f t="shared" si="121"/>
        <v>41597537.905739121</v>
      </c>
      <c r="AD150" s="167">
        <f t="shared" si="122"/>
        <v>0</v>
      </c>
      <c r="AE150" s="167">
        <f t="shared" si="123"/>
        <v>41597537.905739121</v>
      </c>
      <c r="AF150" s="167">
        <f t="shared" si="124"/>
        <v>0</v>
      </c>
      <c r="AG150" s="167">
        <f t="shared" si="125"/>
        <v>0</v>
      </c>
      <c r="AK150" s="167"/>
      <c r="BA150" s="167"/>
      <c r="BJ150" s="201">
        <f t="shared" si="116"/>
        <v>5.7060456330206379E-4</v>
      </c>
      <c r="BK150" s="201">
        <f t="shared" si="117"/>
        <v>6.243761743770285E-4</v>
      </c>
      <c r="BL150" s="243">
        <f t="shared" si="126"/>
        <v>-4.7970630699716611E-3</v>
      </c>
      <c r="BM150" s="243">
        <f t="shared" si="127"/>
        <v>6.5954389375286037E-3</v>
      </c>
      <c r="BN150" s="243">
        <f t="shared" si="128"/>
        <v>-4.5168510161895328E-4</v>
      </c>
      <c r="BO150" s="243">
        <f t="shared" si="129"/>
        <v>-6.1395715664502165E-3</v>
      </c>
      <c r="BR150" s="200">
        <f t="shared" si="130"/>
        <v>3.2558956766113892E-7</v>
      </c>
      <c r="BS150" s="201">
        <f t="shared" si="131"/>
        <v>3.8984560712969352E-7</v>
      </c>
      <c r="BT150" s="201">
        <f t="shared" si="132"/>
        <v>2.3011814097285939E-5</v>
      </c>
      <c r="BU150" s="201">
        <f t="shared" si="133"/>
        <v>4.3499814778668435E-5</v>
      </c>
      <c r="BV150" s="201">
        <f t="shared" si="134"/>
        <v>2.0401943102452414E-7</v>
      </c>
      <c r="BW150" s="201">
        <f t="shared" si="135"/>
        <v>3.7694339019563963E-5</v>
      </c>
    </row>
    <row r="151" spans="1:75" x14ac:dyDescent="0.25">
      <c r="A151" s="122">
        <v>22268</v>
      </c>
      <c r="B151" s="153">
        <v>222</v>
      </c>
      <c r="C151" s="184">
        <f>+'Sampling Weights'!R151</f>
        <v>643.65612434297122</v>
      </c>
      <c r="D151" s="155">
        <f>+SUM('Sampling Weights'!I151:N151)</f>
        <v>11</v>
      </c>
      <c r="E151" s="155">
        <v>5</v>
      </c>
      <c r="F151" s="155">
        <v>2</v>
      </c>
      <c r="G151" s="155">
        <v>0</v>
      </c>
      <c r="H151" s="154">
        <v>0</v>
      </c>
      <c r="I151" s="154">
        <v>0</v>
      </c>
      <c r="J151" s="154">
        <v>2</v>
      </c>
      <c r="K151" s="154"/>
      <c r="L151" s="172"/>
      <c r="M151" s="172"/>
      <c r="N151" s="172"/>
      <c r="P151" s="184"/>
      <c r="Q151" s="173"/>
      <c r="R151" s="167"/>
      <c r="S151" s="184">
        <f t="shared" si="118"/>
        <v>7080.2173677726832</v>
      </c>
      <c r="T151" s="184">
        <f t="shared" si="118"/>
        <v>3218.2806217148564</v>
      </c>
      <c r="U151" s="184">
        <f t="shared" si="118"/>
        <v>1287.3122486859424</v>
      </c>
      <c r="V151" s="184">
        <f t="shared" si="115"/>
        <v>0</v>
      </c>
      <c r="W151" s="184">
        <f t="shared" si="114"/>
        <v>0</v>
      </c>
      <c r="X151" s="184">
        <f t="shared" si="114"/>
        <v>0</v>
      </c>
      <c r="Y151" s="184">
        <f t="shared" si="114"/>
        <v>1287.3122486859424</v>
      </c>
      <c r="AA151" s="167">
        <f t="shared" si="119"/>
        <v>50129477.974909946</v>
      </c>
      <c r="AB151" s="167">
        <f t="shared" si="120"/>
        <v>10357330.160105363</v>
      </c>
      <c r="AC151" s="167">
        <f t="shared" si="121"/>
        <v>1657172.8256168577</v>
      </c>
      <c r="AD151" s="167">
        <f t="shared" si="122"/>
        <v>0</v>
      </c>
      <c r="AE151" s="167">
        <f t="shared" si="123"/>
        <v>0</v>
      </c>
      <c r="AF151" s="167">
        <f t="shared" si="124"/>
        <v>0</v>
      </c>
      <c r="AG151" s="167">
        <f t="shared" si="125"/>
        <v>1657172.8256168577</v>
      </c>
      <c r="AK151" s="167"/>
      <c r="BA151" s="167"/>
      <c r="BJ151" s="201">
        <f t="shared" si="116"/>
        <v>6.1348484526475811E-4</v>
      </c>
      <c r="BK151" s="201">
        <f t="shared" si="117"/>
        <v>1.1473816510305864E-4</v>
      </c>
      <c r="BL151" s="243">
        <f t="shared" si="126"/>
        <v>-9.5747075316451402E-4</v>
      </c>
      <c r="BM151" s="243">
        <f t="shared" si="127"/>
        <v>-1.961688116771236E-3</v>
      </c>
      <c r="BN151" s="243">
        <f t="shared" si="128"/>
        <v>-9.0154177281401477E-5</v>
      </c>
      <c r="BO151" s="243">
        <f t="shared" si="129"/>
        <v>2.0526770549533909E-3</v>
      </c>
      <c r="BR151" s="200">
        <f t="shared" si="130"/>
        <v>3.763636553695242E-7</v>
      </c>
      <c r="BS151" s="201">
        <f t="shared" si="131"/>
        <v>1.3164846531216742E-8</v>
      </c>
      <c r="BT151" s="201">
        <f t="shared" si="132"/>
        <v>9.167502431654217E-7</v>
      </c>
      <c r="BU151" s="201">
        <f t="shared" si="133"/>
        <v>3.8482202674814787E-6</v>
      </c>
      <c r="BV151" s="201">
        <f t="shared" si="134"/>
        <v>8.1277756812863668E-9</v>
      </c>
      <c r="BW151" s="201">
        <f t="shared" si="135"/>
        <v>4.213483091932126E-6</v>
      </c>
    </row>
    <row r="152" spans="1:75" x14ac:dyDescent="0.25">
      <c r="A152" s="122">
        <v>22269</v>
      </c>
      <c r="B152" s="153">
        <v>222</v>
      </c>
      <c r="C152" s="184">
        <f>+'Sampling Weights'!R152</f>
        <v>941.03458714573173</v>
      </c>
      <c r="D152" s="155">
        <f>+SUM('Sampling Weights'!I152:N152)</f>
        <v>15</v>
      </c>
      <c r="E152" s="155">
        <v>0</v>
      </c>
      <c r="F152" s="155">
        <v>0</v>
      </c>
      <c r="G152" s="155">
        <v>0</v>
      </c>
      <c r="H152" s="154">
        <v>0</v>
      </c>
      <c r="I152" s="154">
        <v>0</v>
      </c>
      <c r="J152" s="154">
        <v>0</v>
      </c>
      <c r="K152" s="155"/>
      <c r="L152" s="172"/>
      <c r="M152" s="172"/>
      <c r="N152" s="172"/>
      <c r="P152" s="184"/>
      <c r="Q152" s="173"/>
      <c r="R152" s="167"/>
      <c r="S152" s="184">
        <f t="shared" si="118"/>
        <v>14115.518807185976</v>
      </c>
      <c r="T152" s="184">
        <f t="shared" si="118"/>
        <v>0</v>
      </c>
      <c r="U152" s="184">
        <f t="shared" si="118"/>
        <v>0</v>
      </c>
      <c r="V152" s="184">
        <f t="shared" si="115"/>
        <v>0</v>
      </c>
      <c r="W152" s="184">
        <f t="shared" si="114"/>
        <v>0</v>
      </c>
      <c r="X152" s="184">
        <f t="shared" si="114"/>
        <v>0</v>
      </c>
      <c r="Y152" s="184">
        <f t="shared" si="114"/>
        <v>0</v>
      </c>
      <c r="AA152" s="167">
        <f t="shared" si="119"/>
        <v>199247871.19602099</v>
      </c>
      <c r="AB152" s="167">
        <f t="shared" si="120"/>
        <v>0</v>
      </c>
      <c r="AC152" s="167">
        <f t="shared" si="121"/>
        <v>0</v>
      </c>
      <c r="AD152" s="167">
        <f t="shared" si="122"/>
        <v>0</v>
      </c>
      <c r="AE152" s="167">
        <f t="shared" si="123"/>
        <v>0</v>
      </c>
      <c r="AF152" s="167">
        <f t="shared" si="124"/>
        <v>0</v>
      </c>
      <c r="AG152" s="167">
        <f t="shared" si="125"/>
        <v>0</v>
      </c>
      <c r="AK152" s="167"/>
      <c r="BA152" s="167"/>
      <c r="BJ152" s="201">
        <f t="shared" si="116"/>
        <v>-9.7453311731395356E-4</v>
      </c>
      <c r="BK152" s="201">
        <f t="shared" si="117"/>
        <v>-6.5029593061884377E-4</v>
      </c>
      <c r="BL152" s="243">
        <f t="shared" si="126"/>
        <v>0</v>
      </c>
      <c r="BM152" s="243">
        <f t="shared" si="127"/>
        <v>0</v>
      </c>
      <c r="BN152" s="243">
        <f t="shared" si="128"/>
        <v>0</v>
      </c>
      <c r="BO152" s="243">
        <f t="shared" si="129"/>
        <v>0</v>
      </c>
      <c r="BR152" s="200">
        <f t="shared" si="130"/>
        <v>9.4971479674165197E-7</v>
      </c>
      <c r="BS152" s="201">
        <f t="shared" si="131"/>
        <v>4.2288479737942806E-7</v>
      </c>
      <c r="BT152" s="201">
        <f t="shared" si="132"/>
        <v>0</v>
      </c>
      <c r="BU152" s="201">
        <f t="shared" si="133"/>
        <v>0</v>
      </c>
      <c r="BV152" s="201">
        <f t="shared" si="134"/>
        <v>0</v>
      </c>
      <c r="BW152" s="201">
        <f t="shared" si="135"/>
        <v>0</v>
      </c>
    </row>
    <row r="153" spans="1:75" x14ac:dyDescent="0.25">
      <c r="A153" s="122">
        <v>22270</v>
      </c>
      <c r="B153" s="153">
        <v>222</v>
      </c>
      <c r="C153" s="184">
        <f>+'Sampling Weights'!R153</f>
        <v>1174.8041071458044</v>
      </c>
      <c r="D153" s="155">
        <f>+SUM('Sampling Weights'!I153:N153)</f>
        <v>13</v>
      </c>
      <c r="E153" s="155">
        <v>1</v>
      </c>
      <c r="F153" s="155">
        <v>1</v>
      </c>
      <c r="G153" s="155">
        <v>0</v>
      </c>
      <c r="H153" s="154">
        <v>1</v>
      </c>
      <c r="I153" s="154">
        <v>0</v>
      </c>
      <c r="J153" s="154">
        <v>0</v>
      </c>
      <c r="K153" s="155"/>
      <c r="L153" s="172"/>
      <c r="M153" s="172"/>
      <c r="N153" s="172"/>
      <c r="P153" s="184"/>
      <c r="Q153" s="173"/>
      <c r="R153" s="167"/>
      <c r="S153" s="184">
        <f t="shared" si="118"/>
        <v>15272.453392895457</v>
      </c>
      <c r="T153" s="184">
        <f t="shared" si="118"/>
        <v>1174.8041071458044</v>
      </c>
      <c r="U153" s="184">
        <f t="shared" si="118"/>
        <v>1174.8041071458044</v>
      </c>
      <c r="V153" s="184">
        <f t="shared" si="115"/>
        <v>0</v>
      </c>
      <c r="W153" s="184">
        <f t="shared" si="114"/>
        <v>1174.8041071458044</v>
      </c>
      <c r="X153" s="184">
        <f t="shared" si="114"/>
        <v>0</v>
      </c>
      <c r="Y153" s="184">
        <f t="shared" si="114"/>
        <v>0</v>
      </c>
      <c r="AA153" s="167">
        <f t="shared" si="119"/>
        <v>233247832.63816395</v>
      </c>
      <c r="AB153" s="167">
        <f t="shared" si="120"/>
        <v>1380164.6901666508</v>
      </c>
      <c r="AC153" s="167">
        <f t="shared" si="121"/>
        <v>1380164.6901666508</v>
      </c>
      <c r="AD153" s="167">
        <f t="shared" si="122"/>
        <v>0</v>
      </c>
      <c r="AE153" s="167">
        <f t="shared" si="123"/>
        <v>1380164.6901666508</v>
      </c>
      <c r="AF153" s="167">
        <f t="shared" si="124"/>
        <v>0</v>
      </c>
      <c r="AG153" s="167">
        <f t="shared" si="125"/>
        <v>0</v>
      </c>
      <c r="AK153" s="167"/>
      <c r="BA153" s="167"/>
      <c r="BJ153" s="201">
        <f t="shared" si="116"/>
        <v>-6.5202239755268168E-4</v>
      </c>
      <c r="BK153" s="201">
        <f t="shared" si="117"/>
        <v>-3.0121011855067448E-4</v>
      </c>
      <c r="BL153" s="243">
        <f t="shared" si="126"/>
        <v>-8.737900027268971E-4</v>
      </c>
      <c r="BM153" s="243">
        <f t="shared" si="127"/>
        <v>1.2013660281606944E-3</v>
      </c>
      <c r="BN153" s="243">
        <f t="shared" si="128"/>
        <v>-8.2274908713604952E-5</v>
      </c>
      <c r="BO153" s="243">
        <f t="shared" si="129"/>
        <v>-1.1183293147367785E-3</v>
      </c>
      <c r="BR153" s="200">
        <f t="shared" si="130"/>
        <v>4.2513320691034726E-7</v>
      </c>
      <c r="BS153" s="201">
        <f t="shared" si="131"/>
        <v>9.0727535517311381E-8</v>
      </c>
      <c r="BT153" s="201">
        <f t="shared" si="132"/>
        <v>7.6350896886547084E-7</v>
      </c>
      <c r="BU153" s="201">
        <f t="shared" si="133"/>
        <v>1.4432803336186025E-6</v>
      </c>
      <c r="BV153" s="201">
        <f t="shared" si="134"/>
        <v>6.7691606038320283E-9</v>
      </c>
      <c r="BW153" s="201">
        <f t="shared" si="135"/>
        <v>1.2506604561996324E-6</v>
      </c>
    </row>
    <row r="154" spans="1:75" x14ac:dyDescent="0.25">
      <c r="A154" s="122">
        <v>12377</v>
      </c>
      <c r="B154" s="153">
        <v>123</v>
      </c>
      <c r="C154" s="184">
        <f>+'Sampling Weights'!R154</f>
        <v>101.07324444734908</v>
      </c>
      <c r="D154" s="155">
        <f>+SUM('Sampling Weights'!I154:N154)</f>
        <v>14</v>
      </c>
      <c r="E154" s="155">
        <v>0</v>
      </c>
      <c r="F154" s="155">
        <v>0</v>
      </c>
      <c r="G154" s="155">
        <v>0</v>
      </c>
      <c r="H154" s="154">
        <v>0</v>
      </c>
      <c r="I154" s="154">
        <v>0</v>
      </c>
      <c r="J154" s="154">
        <v>0</v>
      </c>
      <c r="K154" s="154"/>
      <c r="L154" s="172"/>
      <c r="M154" s="172"/>
      <c r="N154" s="172"/>
      <c r="P154" s="184"/>
      <c r="Q154" s="173"/>
      <c r="R154" s="167"/>
      <c r="S154" s="184">
        <f t="shared" si="118"/>
        <v>1415.0254222628871</v>
      </c>
      <c r="T154" s="184">
        <f t="shared" si="118"/>
        <v>0</v>
      </c>
      <c r="U154" s="184">
        <f t="shared" si="118"/>
        <v>0</v>
      </c>
      <c r="V154" s="184">
        <f t="shared" si="115"/>
        <v>0</v>
      </c>
      <c r="W154" s="184">
        <f t="shared" si="114"/>
        <v>0</v>
      </c>
      <c r="X154" s="184">
        <f t="shared" si="114"/>
        <v>0</v>
      </c>
      <c r="Y154" s="184">
        <f t="shared" si="114"/>
        <v>0</v>
      </c>
      <c r="AA154" s="167">
        <f t="shared" si="119"/>
        <v>2002296.9456502621</v>
      </c>
      <c r="AB154" s="167">
        <f t="shared" si="120"/>
        <v>0</v>
      </c>
      <c r="AC154" s="167">
        <f t="shared" si="121"/>
        <v>0</v>
      </c>
      <c r="AD154" s="167">
        <f t="shared" si="122"/>
        <v>0</v>
      </c>
      <c r="AE154" s="167">
        <f t="shared" si="123"/>
        <v>0</v>
      </c>
      <c r="AF154" s="167">
        <f t="shared" si="124"/>
        <v>0</v>
      </c>
      <c r="AG154" s="167">
        <f t="shared" si="125"/>
        <v>0</v>
      </c>
      <c r="AK154" s="167"/>
      <c r="BA154" s="167"/>
      <c r="BJ154" s="201">
        <f t="shared" si="116"/>
        <v>-9.7693124473350872E-5</v>
      </c>
      <c r="BK154" s="201">
        <f t="shared" si="117"/>
        <v>-6.5189617639226658E-5</v>
      </c>
      <c r="BL154" s="243">
        <f t="shared" si="126"/>
        <v>0</v>
      </c>
      <c r="BM154" s="243">
        <f t="shared" si="127"/>
        <v>0</v>
      </c>
      <c r="BN154" s="243">
        <f t="shared" si="128"/>
        <v>0</v>
      </c>
      <c r="BO154" s="243">
        <f t="shared" si="129"/>
        <v>0</v>
      </c>
      <c r="BR154" s="200">
        <f t="shared" si="130"/>
        <v>9.5439465693656262E-9</v>
      </c>
      <c r="BS154" s="201">
        <f t="shared" si="131"/>
        <v>4.2496862479485715E-9</v>
      </c>
      <c r="BT154" s="201">
        <f t="shared" si="132"/>
        <v>0</v>
      </c>
      <c r="BU154" s="201">
        <f t="shared" si="133"/>
        <v>0</v>
      </c>
      <c r="BV154" s="201">
        <f t="shared" si="134"/>
        <v>0</v>
      </c>
      <c r="BW154" s="201">
        <f t="shared" si="135"/>
        <v>0</v>
      </c>
    </row>
    <row r="155" spans="1:75" x14ac:dyDescent="0.25">
      <c r="A155" s="122">
        <v>12378</v>
      </c>
      <c r="B155" s="153">
        <v>123</v>
      </c>
      <c r="C155" s="184">
        <f>+'Sampling Weights'!R155</f>
        <v>113.39373152675853</v>
      </c>
      <c r="D155" s="155">
        <f>+SUM('Sampling Weights'!I155:N155)</f>
        <v>15</v>
      </c>
      <c r="E155" s="155">
        <v>4</v>
      </c>
      <c r="F155" s="155">
        <v>2</v>
      </c>
      <c r="G155" s="155">
        <v>0</v>
      </c>
      <c r="H155" s="154">
        <v>0</v>
      </c>
      <c r="I155" s="154">
        <v>1</v>
      </c>
      <c r="J155" s="154">
        <v>1</v>
      </c>
      <c r="K155" s="155"/>
      <c r="L155" s="172"/>
      <c r="M155" s="172"/>
      <c r="N155" s="172"/>
      <c r="P155" s="184"/>
      <c r="Q155" s="173"/>
      <c r="R155" s="167"/>
      <c r="S155" s="184">
        <f t="shared" si="118"/>
        <v>1700.9059729013779</v>
      </c>
      <c r="T155" s="184">
        <f t="shared" si="118"/>
        <v>453.57492610703412</v>
      </c>
      <c r="U155" s="184">
        <f t="shared" si="118"/>
        <v>226.78746305351706</v>
      </c>
      <c r="V155" s="184">
        <f t="shared" si="115"/>
        <v>0</v>
      </c>
      <c r="W155" s="184">
        <f t="shared" si="114"/>
        <v>0</v>
      </c>
      <c r="X155" s="184">
        <f t="shared" si="114"/>
        <v>113.39373152675853</v>
      </c>
      <c r="Y155" s="184">
        <f t="shared" si="114"/>
        <v>113.39373152675853</v>
      </c>
      <c r="AA155" s="167">
        <f t="shared" si="119"/>
        <v>2893081.1286515831</v>
      </c>
      <c r="AB155" s="167">
        <f t="shared" si="120"/>
        <v>205730.21359300145</v>
      </c>
      <c r="AC155" s="167">
        <f t="shared" si="121"/>
        <v>51432.553398250362</v>
      </c>
      <c r="AD155" s="167">
        <f t="shared" si="122"/>
        <v>0</v>
      </c>
      <c r="AE155" s="167">
        <f t="shared" si="123"/>
        <v>0</v>
      </c>
      <c r="AF155" s="167">
        <f t="shared" si="124"/>
        <v>12858.138349562591</v>
      </c>
      <c r="AG155" s="167">
        <f t="shared" si="125"/>
        <v>12858.138349562591</v>
      </c>
      <c r="AK155" s="167"/>
      <c r="BA155" s="167"/>
      <c r="BJ155" s="201">
        <f t="shared" si="116"/>
        <v>3.7924889247858025E-5</v>
      </c>
      <c r="BK155" s="201">
        <f t="shared" si="117"/>
        <v>-6.8243250146098473E-7</v>
      </c>
      <c r="BL155" s="243">
        <f t="shared" si="126"/>
        <v>-1.686788603773281E-4</v>
      </c>
      <c r="BM155" s="243">
        <f t="shared" si="127"/>
        <v>-3.4559313154901576E-4</v>
      </c>
      <c r="BN155" s="243">
        <f t="shared" si="128"/>
        <v>2.7287151301668029E-4</v>
      </c>
      <c r="BO155" s="243">
        <f t="shared" si="129"/>
        <v>7.2868679439377557E-5</v>
      </c>
      <c r="BR155" s="200">
        <f t="shared" si="130"/>
        <v>1.4382972244622973E-9</v>
      </c>
      <c r="BS155" s="201">
        <f t="shared" si="131"/>
        <v>4.6571411905029695E-13</v>
      </c>
      <c r="BT155" s="201">
        <f t="shared" si="132"/>
        <v>2.8452557938194148E-8</v>
      </c>
      <c r="BU155" s="201">
        <f t="shared" si="133"/>
        <v>1.1943461257385532E-7</v>
      </c>
      <c r="BV155" s="201">
        <f t="shared" si="134"/>
        <v>7.4458862616012328E-8</v>
      </c>
      <c r="BW155" s="201">
        <f t="shared" si="135"/>
        <v>5.3098444432387656E-9</v>
      </c>
    </row>
    <row r="156" spans="1:75" x14ac:dyDescent="0.25">
      <c r="A156" s="122">
        <v>22371</v>
      </c>
      <c r="B156" s="153">
        <v>223</v>
      </c>
      <c r="C156" s="184">
        <f>+'Sampling Weights'!R156</f>
        <v>1149.815305820855</v>
      </c>
      <c r="D156" s="155">
        <f>+SUM('Sampling Weights'!I156:N156)</f>
        <v>15</v>
      </c>
      <c r="E156" s="155">
        <v>5</v>
      </c>
      <c r="F156" s="155">
        <v>5</v>
      </c>
      <c r="G156" s="155">
        <v>4</v>
      </c>
      <c r="H156" s="154">
        <v>4</v>
      </c>
      <c r="I156" s="154">
        <v>0</v>
      </c>
      <c r="J156" s="154">
        <v>1</v>
      </c>
      <c r="K156" s="155"/>
      <c r="L156" s="172"/>
      <c r="M156" s="172"/>
      <c r="N156" s="172"/>
      <c r="P156" s="184"/>
      <c r="Q156" s="173"/>
      <c r="R156" s="167"/>
      <c r="S156" s="184">
        <f t="shared" si="118"/>
        <v>17247.229587312824</v>
      </c>
      <c r="T156" s="184">
        <f t="shared" si="118"/>
        <v>5749.0765291042753</v>
      </c>
      <c r="U156" s="184">
        <f t="shared" si="118"/>
        <v>5749.0765291042753</v>
      </c>
      <c r="V156" s="184">
        <f t="shared" si="115"/>
        <v>4599.2612232834199</v>
      </c>
      <c r="W156" s="184">
        <f t="shared" si="114"/>
        <v>4599.2612232834199</v>
      </c>
      <c r="X156" s="184">
        <f t="shared" si="114"/>
        <v>0</v>
      </c>
      <c r="Y156" s="184">
        <f t="shared" si="114"/>
        <v>1149.815305820855</v>
      </c>
      <c r="AA156" s="167">
        <f t="shared" si="119"/>
        <v>297466928.4374789</v>
      </c>
      <c r="AB156" s="167">
        <f t="shared" si="120"/>
        <v>33051880.937497661</v>
      </c>
      <c r="AC156" s="167">
        <f t="shared" si="121"/>
        <v>33051880.937497661</v>
      </c>
      <c r="AD156" s="167">
        <f t="shared" si="122"/>
        <v>21153203.799998499</v>
      </c>
      <c r="AE156" s="167">
        <f t="shared" si="123"/>
        <v>21153203.799998499</v>
      </c>
      <c r="AF156" s="167">
        <f t="shared" si="124"/>
        <v>0</v>
      </c>
      <c r="AG156" s="167">
        <f t="shared" si="125"/>
        <v>1322075.2374999062</v>
      </c>
      <c r="AK156" s="167"/>
      <c r="BA156" s="167"/>
      <c r="BJ156" s="201">
        <f t="shared" si="116"/>
        <v>7.7838565004879608E-4</v>
      </c>
      <c r="BK156" s="201">
        <f t="shared" si="117"/>
        <v>1.1745590586257502E-3</v>
      </c>
      <c r="BL156" s="243">
        <f t="shared" si="126"/>
        <v>7.4358753677788644E-3</v>
      </c>
      <c r="BM156" s="243">
        <f t="shared" si="127"/>
        <v>2.9510874065645978E-3</v>
      </c>
      <c r="BN156" s="243">
        <f t="shared" si="128"/>
        <v>-4.0262435562023337E-4</v>
      </c>
      <c r="BO156" s="243">
        <f t="shared" si="129"/>
        <v>-2.5447350476515869E-3</v>
      </c>
      <c r="BR156" s="200">
        <f t="shared" si="130"/>
        <v>6.0588422020188684E-7</v>
      </c>
      <c r="BS156" s="201">
        <f t="shared" si="131"/>
        <v>1.3795889821998087E-6</v>
      </c>
      <c r="BT156" s="201">
        <f t="shared" si="132"/>
        <v>5.5292242485140466E-5</v>
      </c>
      <c r="BU156" s="201">
        <f t="shared" si="133"/>
        <v>8.7089168811841631E-6</v>
      </c>
      <c r="BV156" s="201">
        <f t="shared" si="134"/>
        <v>1.6210637173860816E-7</v>
      </c>
      <c r="BW156" s="201">
        <f t="shared" si="135"/>
        <v>6.4756764627463242E-6</v>
      </c>
    </row>
    <row r="157" spans="1:75" x14ac:dyDescent="0.25">
      <c r="A157" s="122">
        <v>22372</v>
      </c>
      <c r="B157" s="153">
        <v>223</v>
      </c>
      <c r="C157" s="184">
        <f>+'Sampling Weights'!R157</f>
        <v>1841.5164011664817</v>
      </c>
      <c r="D157" s="155">
        <f>+SUM('Sampling Weights'!I157:N157)</f>
        <v>11</v>
      </c>
      <c r="E157" s="155">
        <v>2</v>
      </c>
      <c r="F157" s="155">
        <v>2</v>
      </c>
      <c r="G157" s="155">
        <v>0</v>
      </c>
      <c r="H157" s="154">
        <v>2</v>
      </c>
      <c r="I157" s="154">
        <v>0</v>
      </c>
      <c r="J157" s="154">
        <v>0</v>
      </c>
      <c r="K157" s="155"/>
      <c r="L157" s="172"/>
      <c r="M157" s="172"/>
      <c r="N157" s="172"/>
      <c r="P157" s="184"/>
      <c r="Q157" s="173"/>
      <c r="R157" s="167"/>
      <c r="S157" s="184">
        <f t="shared" si="118"/>
        <v>20256.680412831298</v>
      </c>
      <c r="T157" s="184">
        <f t="shared" si="118"/>
        <v>3683.0328023329635</v>
      </c>
      <c r="U157" s="184">
        <f t="shared" si="118"/>
        <v>3683.0328023329635</v>
      </c>
      <c r="V157" s="184">
        <f t="shared" si="115"/>
        <v>0</v>
      </c>
      <c r="W157" s="184">
        <f t="shared" si="114"/>
        <v>3683.0328023329635</v>
      </c>
      <c r="X157" s="184">
        <f t="shared" si="114"/>
        <v>0</v>
      </c>
      <c r="Y157" s="184">
        <f t="shared" si="114"/>
        <v>0</v>
      </c>
      <c r="AA157" s="167">
        <f t="shared" si="119"/>
        <v>410333101.34758317</v>
      </c>
      <c r="AB157" s="167">
        <f t="shared" si="120"/>
        <v>13564730.623060603</v>
      </c>
      <c r="AC157" s="167">
        <f t="shared" si="121"/>
        <v>13564730.623060603</v>
      </c>
      <c r="AD157" s="167">
        <f t="shared" si="122"/>
        <v>0</v>
      </c>
      <c r="AE157" s="167">
        <f t="shared" si="123"/>
        <v>13564730.623060603</v>
      </c>
      <c r="AF157" s="167">
        <f t="shared" si="124"/>
        <v>0</v>
      </c>
      <c r="AG157" s="167">
        <f t="shared" si="125"/>
        <v>0</v>
      </c>
      <c r="AK157" s="167"/>
      <c r="BA157" s="167"/>
      <c r="BJ157" s="201">
        <f t="shared" si="116"/>
        <v>-1.370325036666428E-4</v>
      </c>
      <c r="BK157" s="201">
        <f t="shared" si="117"/>
        <v>3.2826878341709589E-4</v>
      </c>
      <c r="BL157" s="243">
        <f t="shared" si="126"/>
        <v>-2.7393479668813949E-3</v>
      </c>
      <c r="BM157" s="243">
        <f t="shared" si="127"/>
        <v>3.7663049204637827E-3</v>
      </c>
      <c r="BN157" s="243">
        <f t="shared" si="128"/>
        <v>-2.5793337438813482E-4</v>
      </c>
      <c r="BO157" s="243">
        <f t="shared" si="129"/>
        <v>-3.5059832740905734E-3</v>
      </c>
      <c r="BR157" s="200">
        <f t="shared" si="130"/>
        <v>1.8777907061148474E-8</v>
      </c>
      <c r="BS157" s="201">
        <f t="shared" si="131"/>
        <v>1.0776039416614021E-7</v>
      </c>
      <c r="BT157" s="201">
        <f t="shared" si="132"/>
        <v>7.504027283657232E-6</v>
      </c>
      <c r="BU157" s="201">
        <f t="shared" si="133"/>
        <v>1.4185052753909701E-5</v>
      </c>
      <c r="BV157" s="201">
        <f t="shared" si="134"/>
        <v>6.6529625623249718E-8</v>
      </c>
      <c r="BW157" s="201">
        <f t="shared" si="135"/>
        <v>1.2291918718202857E-5</v>
      </c>
    </row>
    <row r="158" spans="1:75" x14ac:dyDescent="0.25">
      <c r="A158" s="122">
        <v>22373</v>
      </c>
      <c r="B158" s="153">
        <v>223</v>
      </c>
      <c r="C158" s="184">
        <f>+'Sampling Weights'!R158</f>
        <v>2853.1924982751807</v>
      </c>
      <c r="D158" s="155">
        <f>+SUM('Sampling Weights'!I158:N158)</f>
        <v>16</v>
      </c>
      <c r="E158" s="155">
        <v>1</v>
      </c>
      <c r="F158" s="155">
        <v>1</v>
      </c>
      <c r="G158" s="155">
        <v>0</v>
      </c>
      <c r="H158" s="154">
        <v>1</v>
      </c>
      <c r="I158" s="154">
        <v>0</v>
      </c>
      <c r="J158" s="154">
        <v>0</v>
      </c>
      <c r="K158" s="155"/>
      <c r="L158" s="172"/>
      <c r="M158" s="172"/>
      <c r="N158" s="172"/>
      <c r="P158" s="184"/>
      <c r="Q158" s="173"/>
      <c r="R158" s="167"/>
      <c r="S158" s="184">
        <f t="shared" si="118"/>
        <v>45651.079972402891</v>
      </c>
      <c r="T158" s="184">
        <f t="shared" si="118"/>
        <v>2853.1924982751807</v>
      </c>
      <c r="U158" s="184">
        <f t="shared" si="118"/>
        <v>2853.1924982751807</v>
      </c>
      <c r="V158" s="184">
        <f t="shared" si="115"/>
        <v>0</v>
      </c>
      <c r="W158" s="184">
        <f t="shared" si="114"/>
        <v>2853.1924982751807</v>
      </c>
      <c r="X158" s="184">
        <f t="shared" si="114"/>
        <v>0</v>
      </c>
      <c r="Y158" s="184">
        <f t="shared" si="114"/>
        <v>0</v>
      </c>
      <c r="AA158" s="167">
        <f t="shared" si="119"/>
        <v>2084021102.6467245</v>
      </c>
      <c r="AB158" s="167">
        <f t="shared" si="120"/>
        <v>8140707.4322137674</v>
      </c>
      <c r="AC158" s="167">
        <f t="shared" si="121"/>
        <v>8140707.4322137674</v>
      </c>
      <c r="AD158" s="167">
        <f t="shared" si="122"/>
        <v>0</v>
      </c>
      <c r="AE158" s="167">
        <f t="shared" si="123"/>
        <v>8140707.4322137674</v>
      </c>
      <c r="AF158" s="167">
        <f t="shared" si="124"/>
        <v>0</v>
      </c>
      <c r="AG158" s="167">
        <f t="shared" si="125"/>
        <v>0</v>
      </c>
      <c r="AK158" s="167"/>
      <c r="BA158" s="167"/>
      <c r="BJ158" s="201">
        <f t="shared" si="116"/>
        <v>-2.1744885301045037E-3</v>
      </c>
      <c r="BK158" s="201">
        <f t="shared" si="117"/>
        <v>-1.1258711932546502E-3</v>
      </c>
      <c r="BL158" s="243">
        <f t="shared" si="126"/>
        <v>-2.1221334396806088E-3</v>
      </c>
      <c r="BM158" s="243">
        <f t="shared" si="127"/>
        <v>2.9177022095695903E-3</v>
      </c>
      <c r="BN158" s="243">
        <f t="shared" si="128"/>
        <v>-1.9981727243723255E-4</v>
      </c>
      <c r="BO158" s="243">
        <f t="shared" si="129"/>
        <v>-2.7160347772023836E-3</v>
      </c>
      <c r="BR158" s="200">
        <f t="shared" si="130"/>
        <v>4.7284003675560454E-6</v>
      </c>
      <c r="BS158" s="201">
        <f t="shared" si="131"/>
        <v>1.2675859438006499E-6</v>
      </c>
      <c r="BT158" s="201">
        <f t="shared" si="132"/>
        <v>4.5034503358106521E-6</v>
      </c>
      <c r="BU158" s="201">
        <f t="shared" si="133"/>
        <v>8.5129861837272701E-6</v>
      </c>
      <c r="BV158" s="201">
        <f t="shared" si="134"/>
        <v>3.9926942364255215E-8</v>
      </c>
      <c r="BW158" s="201">
        <f t="shared" si="135"/>
        <v>7.3768449109728011E-6</v>
      </c>
    </row>
    <row r="159" spans="1:75" x14ac:dyDescent="0.25">
      <c r="A159" s="122">
        <v>22374</v>
      </c>
      <c r="B159" s="153">
        <v>223</v>
      </c>
      <c r="C159" s="184">
        <f>+'Sampling Weights'!R159</f>
        <v>1593.9947115103034</v>
      </c>
      <c r="D159" s="155">
        <f>+SUM('Sampling Weights'!I159:N159)</f>
        <v>11</v>
      </c>
      <c r="E159" s="155">
        <v>3</v>
      </c>
      <c r="F159" s="155">
        <v>3</v>
      </c>
      <c r="G159" s="155">
        <v>0</v>
      </c>
      <c r="H159" s="154">
        <v>3</v>
      </c>
      <c r="I159" s="154">
        <v>0</v>
      </c>
      <c r="J159" s="154">
        <v>0</v>
      </c>
      <c r="K159" s="155"/>
      <c r="L159" s="172"/>
      <c r="M159" s="172"/>
      <c r="N159" s="172"/>
      <c r="P159" s="184"/>
      <c r="Q159" s="173"/>
      <c r="R159" s="167"/>
      <c r="S159" s="184">
        <f t="shared" si="118"/>
        <v>17533.941826613336</v>
      </c>
      <c r="T159" s="184">
        <f t="shared" si="118"/>
        <v>4781.9841345309105</v>
      </c>
      <c r="U159" s="184">
        <f t="shared" si="118"/>
        <v>4781.9841345309105</v>
      </c>
      <c r="V159" s="184">
        <f t="shared" si="115"/>
        <v>0</v>
      </c>
      <c r="W159" s="184">
        <f t="shared" si="114"/>
        <v>4781.9841345309105</v>
      </c>
      <c r="X159" s="184">
        <f t="shared" si="114"/>
        <v>0</v>
      </c>
      <c r="Y159" s="184">
        <f t="shared" si="114"/>
        <v>0</v>
      </c>
      <c r="AA159" s="167">
        <f t="shared" si="119"/>
        <v>307439115.97906059</v>
      </c>
      <c r="AB159" s="167">
        <f t="shared" si="120"/>
        <v>22867372.262905341</v>
      </c>
      <c r="AC159" s="167">
        <f t="shared" si="121"/>
        <v>22867372.262905341</v>
      </c>
      <c r="AD159" s="167">
        <f t="shared" si="122"/>
        <v>0</v>
      </c>
      <c r="AE159" s="167">
        <f t="shared" si="123"/>
        <v>22867372.262905341</v>
      </c>
      <c r="AF159" s="167">
        <f t="shared" si="124"/>
        <v>0</v>
      </c>
      <c r="AG159" s="167">
        <f t="shared" si="125"/>
        <v>0</v>
      </c>
      <c r="AK159" s="167"/>
      <c r="BA159" s="167"/>
      <c r="BJ159" s="201">
        <f t="shared" si="116"/>
        <v>4.2734968271455356E-4</v>
      </c>
      <c r="BK159" s="201">
        <f t="shared" si="117"/>
        <v>8.3010894698209178E-4</v>
      </c>
      <c r="BL159" s="243">
        <f t="shared" si="126"/>
        <v>-3.5567205668895038E-3</v>
      </c>
      <c r="BM159" s="243">
        <f t="shared" si="127"/>
        <v>4.8901031682517405E-3</v>
      </c>
      <c r="BN159" s="243">
        <f t="shared" si="128"/>
        <v>-3.3489609522586436E-4</v>
      </c>
      <c r="BO159" s="243">
        <f t="shared" si="129"/>
        <v>-4.5521061832552671E-3</v>
      </c>
      <c r="BR159" s="200">
        <f t="shared" si="130"/>
        <v>1.826277513162296E-7</v>
      </c>
      <c r="BS159" s="201">
        <f t="shared" si="131"/>
        <v>6.890808638597173E-7</v>
      </c>
      <c r="BT159" s="201">
        <f t="shared" si="132"/>
        <v>1.2650261190934794E-5</v>
      </c>
      <c r="BU159" s="201">
        <f t="shared" si="133"/>
        <v>2.391310899614571E-5</v>
      </c>
      <c r="BV159" s="201">
        <f t="shared" si="134"/>
        <v>1.1215539459753121E-7</v>
      </c>
      <c r="BW159" s="201">
        <f t="shared" si="135"/>
        <v>2.0721670703630835E-5</v>
      </c>
    </row>
    <row r="160" spans="1:75" x14ac:dyDescent="0.25">
      <c r="A160" s="122">
        <v>22375</v>
      </c>
      <c r="B160" s="153">
        <v>223</v>
      </c>
      <c r="C160" s="184">
        <f>+'Sampling Weights'!R160</f>
        <v>1020.9477122470445</v>
      </c>
      <c r="D160" s="155">
        <f>+SUM('Sampling Weights'!I160:N160)</f>
        <v>12</v>
      </c>
      <c r="E160" s="155">
        <v>3</v>
      </c>
      <c r="F160" s="155">
        <v>2</v>
      </c>
      <c r="G160" s="155">
        <v>1</v>
      </c>
      <c r="H160" s="154">
        <v>0</v>
      </c>
      <c r="I160" s="154">
        <v>1</v>
      </c>
      <c r="J160" s="154">
        <v>1</v>
      </c>
      <c r="K160" s="155"/>
      <c r="L160" s="172"/>
      <c r="M160" s="172"/>
      <c r="N160" s="172"/>
      <c r="P160" s="184"/>
      <c r="Q160" s="173"/>
      <c r="R160" s="167"/>
      <c r="S160" s="184">
        <f t="shared" si="118"/>
        <v>12251.372546964534</v>
      </c>
      <c r="T160" s="184">
        <f t="shared" si="118"/>
        <v>3062.8431367411335</v>
      </c>
      <c r="U160" s="184">
        <f t="shared" si="118"/>
        <v>2041.895424494089</v>
      </c>
      <c r="V160" s="184">
        <f t="shared" si="115"/>
        <v>1020.9477122470445</v>
      </c>
      <c r="W160" s="184">
        <f t="shared" si="114"/>
        <v>0</v>
      </c>
      <c r="X160" s="184">
        <f t="shared" si="114"/>
        <v>1020.9477122470445</v>
      </c>
      <c r="Y160" s="184">
        <f t="shared" si="114"/>
        <v>1020.9477122470445</v>
      </c>
      <c r="AA160" s="167">
        <f t="shared" si="119"/>
        <v>150096129.28451625</v>
      </c>
      <c r="AB160" s="167">
        <f t="shared" si="120"/>
        <v>9381008.0802822653</v>
      </c>
      <c r="AC160" s="167">
        <f t="shared" si="121"/>
        <v>4169336.924569896</v>
      </c>
      <c r="AD160" s="167">
        <f t="shared" si="122"/>
        <v>1042334.231142474</v>
      </c>
      <c r="AE160" s="167">
        <f t="shared" si="123"/>
        <v>0</v>
      </c>
      <c r="AF160" s="167">
        <f t="shared" si="124"/>
        <v>1042334.231142474</v>
      </c>
      <c r="AG160" s="167">
        <f t="shared" si="125"/>
        <v>1042334.231142474</v>
      </c>
      <c r="AK160" s="167"/>
      <c r="BA160" s="167"/>
      <c r="BJ160" s="201">
        <f t="shared" si="116"/>
        <v>2.0322982624532303E-4</v>
      </c>
      <c r="BK160" s="201">
        <f t="shared" si="117"/>
        <v>1.3495955222373284E-4</v>
      </c>
      <c r="BL160" s="243">
        <f t="shared" si="126"/>
        <v>1.081105016370135E-3</v>
      </c>
      <c r="BM160" s="243">
        <f t="shared" si="127"/>
        <v>-3.1115698572808537E-3</v>
      </c>
      <c r="BN160" s="243">
        <f t="shared" si="128"/>
        <v>2.4568161149721803E-3</v>
      </c>
      <c r="BO160" s="243">
        <f t="shared" si="129"/>
        <v>6.5607781458836716E-4</v>
      </c>
      <c r="BR160" s="200">
        <f t="shared" si="130"/>
        <v>4.1302362275704186E-8</v>
      </c>
      <c r="BS160" s="201">
        <f t="shared" si="131"/>
        <v>1.8214080736430471E-8</v>
      </c>
      <c r="BT160" s="201">
        <f t="shared" si="132"/>
        <v>1.1687880564206698E-6</v>
      </c>
      <c r="BU160" s="201">
        <f t="shared" si="133"/>
        <v>9.6818669767387924E-6</v>
      </c>
      <c r="BV160" s="201">
        <f t="shared" si="134"/>
        <v>6.0359454227869977E-6</v>
      </c>
      <c r="BW160" s="201">
        <f t="shared" si="135"/>
        <v>4.3043809879504791E-7</v>
      </c>
    </row>
    <row r="161" spans="1:75" x14ac:dyDescent="0.25">
      <c r="A161" s="122">
        <v>22376</v>
      </c>
      <c r="B161" s="153">
        <v>223</v>
      </c>
      <c r="C161" s="184">
        <f>+'Sampling Weights'!R161</f>
        <v>1454.242596314376</v>
      </c>
      <c r="D161" s="155">
        <f>+SUM('Sampling Weights'!I161:N161)</f>
        <v>15</v>
      </c>
      <c r="E161" s="155">
        <v>5</v>
      </c>
      <c r="F161" s="155">
        <v>5</v>
      </c>
      <c r="G161" s="155">
        <v>2</v>
      </c>
      <c r="H161" s="154">
        <v>5</v>
      </c>
      <c r="I161" s="154">
        <v>0</v>
      </c>
      <c r="J161" s="154">
        <v>0</v>
      </c>
      <c r="K161" s="155"/>
      <c r="L161" s="172"/>
      <c r="M161" s="172"/>
      <c r="N161" s="172"/>
      <c r="P161" s="184"/>
      <c r="Q161" s="173"/>
      <c r="R161" s="167"/>
      <c r="S161" s="184">
        <f t="shared" si="118"/>
        <v>21813.63894471564</v>
      </c>
      <c r="T161" s="184">
        <f t="shared" si="118"/>
        <v>7271.2129815718799</v>
      </c>
      <c r="U161" s="184">
        <f t="shared" si="118"/>
        <v>7271.2129815718799</v>
      </c>
      <c r="V161" s="184">
        <f t="shared" si="115"/>
        <v>2908.485192628752</v>
      </c>
      <c r="W161" s="184">
        <f t="shared" si="114"/>
        <v>7271.2129815718799</v>
      </c>
      <c r="X161" s="184">
        <f t="shared" si="114"/>
        <v>0</v>
      </c>
      <c r="Y161" s="184">
        <f t="shared" si="114"/>
        <v>0</v>
      </c>
      <c r="AA161" s="167">
        <f t="shared" si="119"/>
        <v>475834844.01041484</v>
      </c>
      <c r="AB161" s="167">
        <f t="shared" si="120"/>
        <v>52870538.223379426</v>
      </c>
      <c r="AC161" s="167">
        <f t="shared" si="121"/>
        <v>52870538.223379426</v>
      </c>
      <c r="AD161" s="167">
        <f t="shared" si="122"/>
        <v>8459286.115740709</v>
      </c>
      <c r="AE161" s="167">
        <f t="shared" si="123"/>
        <v>52870538.223379426</v>
      </c>
      <c r="AF161" s="167">
        <f t="shared" si="124"/>
        <v>0</v>
      </c>
      <c r="AG161" s="167">
        <f t="shared" si="125"/>
        <v>0</v>
      </c>
      <c r="AK161" s="167"/>
      <c r="BA161" s="167"/>
      <c r="BJ161" s="201">
        <f t="shared" si="116"/>
        <v>9.8447251739504837E-4</v>
      </c>
      <c r="BK161" s="201">
        <f t="shared" si="117"/>
        <v>1.4855375522428527E-3</v>
      </c>
      <c r="BL161" s="243">
        <f t="shared" si="126"/>
        <v>1.9982324879977351E-3</v>
      </c>
      <c r="BM161" s="243">
        <f t="shared" si="127"/>
        <v>7.4356126323087031E-3</v>
      </c>
      <c r="BN161" s="243">
        <f t="shared" si="128"/>
        <v>-5.0922394691778068E-4</v>
      </c>
      <c r="BO161" s="243">
        <f t="shared" si="129"/>
        <v>-6.9216736488453886E-3</v>
      </c>
      <c r="BR161" s="200">
        <f t="shared" si="130"/>
        <v>9.6918613750614388E-7</v>
      </c>
      <c r="BS161" s="201">
        <f t="shared" si="131"/>
        <v>2.2068218191236861E-6</v>
      </c>
      <c r="BT161" s="201">
        <f t="shared" si="132"/>
        <v>3.9929330760896183E-6</v>
      </c>
      <c r="BU161" s="201">
        <f t="shared" si="133"/>
        <v>5.5288335217748758E-5</v>
      </c>
      <c r="BV161" s="201">
        <f t="shared" si="134"/>
        <v>2.593090281145227E-7</v>
      </c>
      <c r="BW161" s="201">
        <f t="shared" si="135"/>
        <v>4.7909566101120636E-5</v>
      </c>
    </row>
    <row r="162" spans="1:75" x14ac:dyDescent="0.25">
      <c r="A162" s="122">
        <v>12479</v>
      </c>
      <c r="B162" s="153">
        <v>124</v>
      </c>
      <c r="C162" s="184">
        <f>+'Sampling Weights'!R162</f>
        <v>743.42529435835149</v>
      </c>
      <c r="D162" s="155">
        <f>+SUM('Sampling Weights'!I162:N162)</f>
        <v>13</v>
      </c>
      <c r="E162" s="155">
        <v>1</v>
      </c>
      <c r="F162" s="155">
        <v>1</v>
      </c>
      <c r="G162" s="155">
        <v>0</v>
      </c>
      <c r="H162" s="154">
        <v>1</v>
      </c>
      <c r="I162" s="154">
        <v>0</v>
      </c>
      <c r="J162" s="154">
        <v>0</v>
      </c>
      <c r="K162" s="155"/>
      <c r="L162" s="172"/>
      <c r="M162" s="172"/>
      <c r="N162" s="172"/>
      <c r="P162" s="184"/>
      <c r="Q162" s="173"/>
      <c r="R162" s="167"/>
      <c r="S162" s="184">
        <f t="shared" si="118"/>
        <v>9664.5288266585703</v>
      </c>
      <c r="T162" s="184">
        <f t="shared" si="118"/>
        <v>743.42529435835149</v>
      </c>
      <c r="U162" s="184">
        <f t="shared" si="118"/>
        <v>743.42529435835149</v>
      </c>
      <c r="V162" s="184">
        <f t="shared" si="115"/>
        <v>0</v>
      </c>
      <c r="W162" s="184">
        <f t="shared" si="114"/>
        <v>743.42529435835149</v>
      </c>
      <c r="X162" s="184">
        <f t="shared" si="114"/>
        <v>0</v>
      </c>
      <c r="Y162" s="184">
        <f t="shared" si="114"/>
        <v>0</v>
      </c>
      <c r="AA162" s="167">
        <f t="shared" si="119"/>
        <v>93403117.441314489</v>
      </c>
      <c r="AB162" s="167">
        <f t="shared" si="120"/>
        <v>552681.16829180159</v>
      </c>
      <c r="AC162" s="167">
        <f t="shared" si="121"/>
        <v>552681.16829180159</v>
      </c>
      <c r="AD162" s="167">
        <f t="shared" si="122"/>
        <v>0</v>
      </c>
      <c r="AE162" s="167">
        <f t="shared" si="123"/>
        <v>552681.16829180159</v>
      </c>
      <c r="AF162" s="167">
        <f t="shared" si="124"/>
        <v>0</v>
      </c>
      <c r="AG162" s="167">
        <f t="shared" si="125"/>
        <v>0</v>
      </c>
      <c r="AK162" s="167"/>
      <c r="BA162" s="167"/>
      <c r="BJ162" s="201">
        <f t="shared" si="116"/>
        <v>-4.1260490994238664E-4</v>
      </c>
      <c r="BK162" s="201">
        <f t="shared" si="117"/>
        <v>-1.906081360162096E-4</v>
      </c>
      <c r="BL162" s="243">
        <f t="shared" si="126"/>
        <v>-5.5294119762896521E-4</v>
      </c>
      <c r="BM162" s="243">
        <f t="shared" si="127"/>
        <v>7.6023388723703397E-4</v>
      </c>
      <c r="BN162" s="243">
        <f t="shared" si="128"/>
        <v>-5.2064210413189396E-5</v>
      </c>
      <c r="BO162" s="243">
        <f t="shared" si="129"/>
        <v>-7.0768760080150038E-4</v>
      </c>
      <c r="BR162" s="200">
        <f t="shared" si="130"/>
        <v>1.7024281170856498E-7</v>
      </c>
      <c r="BS162" s="201">
        <f t="shared" si="131"/>
        <v>3.6331461515573855E-8</v>
      </c>
      <c r="BT162" s="201">
        <f t="shared" si="132"/>
        <v>3.0574396803535434E-7</v>
      </c>
      <c r="BU162" s="201">
        <f t="shared" si="133"/>
        <v>5.7795556330353126E-7</v>
      </c>
      <c r="BV162" s="201">
        <f t="shared" si="134"/>
        <v>2.710682005948859E-9</v>
      </c>
      <c r="BW162" s="201">
        <f t="shared" si="135"/>
        <v>5.0082174032818378E-7</v>
      </c>
    </row>
    <row r="163" spans="1:75" x14ac:dyDescent="0.25">
      <c r="A163" s="122">
        <v>12480</v>
      </c>
      <c r="B163" s="153">
        <v>124</v>
      </c>
      <c r="C163" s="184">
        <f>+'Sampling Weights'!R163</f>
        <v>700.21893863661739</v>
      </c>
      <c r="D163" s="155">
        <f>+SUM('Sampling Weights'!I163:N163)</f>
        <v>12</v>
      </c>
      <c r="E163" s="155">
        <v>4</v>
      </c>
      <c r="F163" s="155">
        <v>4</v>
      </c>
      <c r="G163" s="155">
        <v>3</v>
      </c>
      <c r="H163" s="154">
        <v>0</v>
      </c>
      <c r="I163" s="154">
        <v>0</v>
      </c>
      <c r="J163" s="154">
        <v>4</v>
      </c>
      <c r="K163" s="155"/>
      <c r="L163" s="172"/>
      <c r="M163" s="172"/>
      <c r="N163" s="172"/>
      <c r="P163" s="184"/>
      <c r="Q163" s="173"/>
      <c r="R163" s="167"/>
      <c r="S163" s="184">
        <f t="shared" si="118"/>
        <v>8402.6272636394096</v>
      </c>
      <c r="T163" s="184">
        <f t="shared" si="118"/>
        <v>2800.8757545464696</v>
      </c>
      <c r="U163" s="184">
        <f t="shared" si="118"/>
        <v>2800.8757545464696</v>
      </c>
      <c r="V163" s="184">
        <f t="shared" si="115"/>
        <v>2100.6568159098524</v>
      </c>
      <c r="W163" s="184">
        <f t="shared" si="114"/>
        <v>0</v>
      </c>
      <c r="X163" s="184">
        <f t="shared" si="114"/>
        <v>0</v>
      </c>
      <c r="Y163" s="184">
        <f t="shared" si="114"/>
        <v>2800.8757545464696</v>
      </c>
      <c r="AA163" s="167">
        <f t="shared" si="119"/>
        <v>70604144.931656316</v>
      </c>
      <c r="AB163" s="167">
        <f t="shared" si="120"/>
        <v>7844904.9924062556</v>
      </c>
      <c r="AC163" s="167">
        <f t="shared" si="121"/>
        <v>7844904.9924062556</v>
      </c>
      <c r="AD163" s="167">
        <f t="shared" si="122"/>
        <v>4412759.0582285197</v>
      </c>
      <c r="AE163" s="167">
        <f t="shared" si="123"/>
        <v>0</v>
      </c>
      <c r="AF163" s="167">
        <f t="shared" si="124"/>
        <v>0</v>
      </c>
      <c r="AG163" s="167">
        <f t="shared" si="125"/>
        <v>7844904.9924062556</v>
      </c>
      <c r="AK163" s="167"/>
      <c r="BA163" s="167"/>
      <c r="BJ163" s="201">
        <f t="shared" si="116"/>
        <v>3.7921942487139607E-4</v>
      </c>
      <c r="BK163" s="201">
        <f t="shared" si="117"/>
        <v>5.7222998736117876E-4</v>
      </c>
      <c r="BL163" s="243">
        <f t="shared" si="126"/>
        <v>3.2660445968134069E-3</v>
      </c>
      <c r="BM163" s="243">
        <f t="shared" si="127"/>
        <v>-4.26815226053747E-3</v>
      </c>
      <c r="BN163" s="243">
        <f t="shared" si="128"/>
        <v>-1.9615338048427518E-4</v>
      </c>
      <c r="BO163" s="243">
        <f t="shared" si="129"/>
        <v>4.466121876026229E-3</v>
      </c>
      <c r="BR163" s="200">
        <f t="shared" si="130"/>
        <v>1.438073721997924E-7</v>
      </c>
      <c r="BS163" s="201">
        <f t="shared" si="131"/>
        <v>3.2744715843537483E-7</v>
      </c>
      <c r="BT163" s="201">
        <f t="shared" si="132"/>
        <v>1.066704730837405E-5</v>
      </c>
      <c r="BU163" s="201">
        <f t="shared" si="133"/>
        <v>1.8217123719131116E-5</v>
      </c>
      <c r="BV163" s="201">
        <f t="shared" si="134"/>
        <v>3.8476148675408826E-8</v>
      </c>
      <c r="BW163" s="201">
        <f t="shared" si="135"/>
        <v>1.9946244611520043E-5</v>
      </c>
    </row>
    <row r="164" spans="1:75" x14ac:dyDescent="0.25">
      <c r="A164" s="122">
        <v>12481</v>
      </c>
      <c r="B164" s="153">
        <v>124</v>
      </c>
      <c r="C164" s="184">
        <f>+'Sampling Weights'!R164</f>
        <v>253.35565490901215</v>
      </c>
      <c r="D164" s="155">
        <f>+SUM('Sampling Weights'!I164:N164)</f>
        <v>13</v>
      </c>
      <c r="E164" s="155">
        <v>3</v>
      </c>
      <c r="F164" s="155">
        <v>1</v>
      </c>
      <c r="G164" s="155">
        <v>0</v>
      </c>
      <c r="H164" s="154">
        <v>0</v>
      </c>
      <c r="I164" s="154">
        <v>0</v>
      </c>
      <c r="J164" s="154">
        <v>1</v>
      </c>
      <c r="K164" s="155"/>
      <c r="L164" s="172"/>
      <c r="M164" s="172"/>
      <c r="N164" s="172"/>
      <c r="P164" s="184"/>
      <c r="Q164" s="173"/>
      <c r="R164" s="167"/>
      <c r="S164" s="184">
        <f t="shared" si="118"/>
        <v>3293.6235138171578</v>
      </c>
      <c r="T164" s="184">
        <f t="shared" si="118"/>
        <v>760.06696472703641</v>
      </c>
      <c r="U164" s="184">
        <f t="shared" si="118"/>
        <v>253.35565490901215</v>
      </c>
      <c r="V164" s="184">
        <f t="shared" si="115"/>
        <v>0</v>
      </c>
      <c r="W164" s="184">
        <f t="shared" si="114"/>
        <v>0</v>
      </c>
      <c r="X164" s="184">
        <f t="shared" si="114"/>
        <v>0</v>
      </c>
      <c r="Y164" s="184">
        <f t="shared" si="114"/>
        <v>253.35565490901215</v>
      </c>
      <c r="AA164" s="167">
        <f t="shared" si="119"/>
        <v>10847955.850769281</v>
      </c>
      <c r="AB164" s="167">
        <f t="shared" si="120"/>
        <v>577701.79086936999</v>
      </c>
      <c r="AC164" s="167">
        <f t="shared" si="121"/>
        <v>64189.087874374447</v>
      </c>
      <c r="AD164" s="167">
        <f t="shared" si="122"/>
        <v>0</v>
      </c>
      <c r="AE164" s="167">
        <f t="shared" si="123"/>
        <v>0</v>
      </c>
      <c r="AF164" s="167">
        <f t="shared" si="124"/>
        <v>0</v>
      </c>
      <c r="AG164" s="167">
        <f t="shared" si="125"/>
        <v>64189.087874374447</v>
      </c>
      <c r="AK164" s="167"/>
      <c r="BA164" s="167"/>
      <c r="BJ164" s="201">
        <f t="shared" si="116"/>
        <v>3.2941337261785463E-5</v>
      </c>
      <c r="BK164" s="201">
        <f t="shared" si="117"/>
        <v>-6.4958307845919123E-5</v>
      </c>
      <c r="BL164" s="243">
        <f t="shared" si="126"/>
        <v>-1.8843961903713808E-4</v>
      </c>
      <c r="BM164" s="243">
        <f t="shared" si="127"/>
        <v>-3.8607942871601961E-4</v>
      </c>
      <c r="BN164" s="243">
        <f t="shared" si="128"/>
        <v>-1.7743224809076644E-5</v>
      </c>
      <c r="BO164" s="243">
        <f t="shared" si="129"/>
        <v>4.0398694264369873E-4</v>
      </c>
      <c r="BR164" s="200">
        <f t="shared" si="130"/>
        <v>1.0851317005946954E-9</v>
      </c>
      <c r="BS164" s="201">
        <f t="shared" si="131"/>
        <v>4.219581758205198E-9</v>
      </c>
      <c r="BT164" s="201">
        <f t="shared" si="132"/>
        <v>3.5509490022861731E-8</v>
      </c>
      <c r="BU164" s="201">
        <f t="shared" si="133"/>
        <v>1.4905732527768808E-7</v>
      </c>
      <c r="BV164" s="201">
        <f t="shared" si="134"/>
        <v>3.1482202662543289E-10</v>
      </c>
      <c r="BW164" s="201">
        <f t="shared" si="135"/>
        <v>1.6320544982660312E-7</v>
      </c>
    </row>
    <row r="165" spans="1:75" x14ac:dyDescent="0.25">
      <c r="A165" s="122">
        <v>12482</v>
      </c>
      <c r="B165" s="153">
        <v>124</v>
      </c>
      <c r="C165" s="184">
        <f>+'Sampling Weights'!R165</f>
        <v>1168.8436918272705</v>
      </c>
      <c r="D165" s="155">
        <f>+SUM('Sampling Weights'!I165:N165)</f>
        <v>17</v>
      </c>
      <c r="E165" s="155">
        <v>1</v>
      </c>
      <c r="F165" s="155">
        <v>1</v>
      </c>
      <c r="G165" s="155">
        <v>0</v>
      </c>
      <c r="H165" s="154">
        <v>0</v>
      </c>
      <c r="I165" s="154">
        <v>0</v>
      </c>
      <c r="J165" s="154">
        <v>1</v>
      </c>
      <c r="K165" s="155"/>
      <c r="L165" s="172"/>
      <c r="M165" s="172"/>
      <c r="N165" s="172"/>
      <c r="P165" s="184"/>
      <c r="Q165" s="173"/>
      <c r="R165" s="167"/>
      <c r="S165" s="184">
        <f t="shared" si="118"/>
        <v>19870.342761063599</v>
      </c>
      <c r="T165" s="184">
        <f t="shared" si="118"/>
        <v>1168.8436918272705</v>
      </c>
      <c r="U165" s="184">
        <f t="shared" si="118"/>
        <v>1168.8436918272705</v>
      </c>
      <c r="V165" s="184">
        <f t="shared" si="115"/>
        <v>0</v>
      </c>
      <c r="W165" s="184">
        <f t="shared" si="114"/>
        <v>0</v>
      </c>
      <c r="X165" s="184">
        <f t="shared" si="114"/>
        <v>0</v>
      </c>
      <c r="Y165" s="184">
        <f t="shared" si="114"/>
        <v>1168.8436918272705</v>
      </c>
      <c r="AA165" s="167">
        <f t="shared" si="119"/>
        <v>394830521.44215256</v>
      </c>
      <c r="AB165" s="167">
        <f t="shared" si="120"/>
        <v>1366195.5759244033</v>
      </c>
      <c r="AC165" s="167">
        <f t="shared" si="121"/>
        <v>1366195.5759244033</v>
      </c>
      <c r="AD165" s="167">
        <f t="shared" si="122"/>
        <v>0</v>
      </c>
      <c r="AE165" s="167">
        <f t="shared" si="123"/>
        <v>0</v>
      </c>
      <c r="AF165" s="167">
        <f t="shared" si="124"/>
        <v>0</v>
      </c>
      <c r="AG165" s="167">
        <f t="shared" si="125"/>
        <v>1366195.5759244033</v>
      </c>
      <c r="AK165" s="167"/>
      <c r="BA165" s="167"/>
      <c r="BJ165" s="201">
        <f t="shared" si="116"/>
        <v>-9.715014477585807E-4</v>
      </c>
      <c r="BK165" s="201">
        <f t="shared" si="117"/>
        <v>-5.1507443834289217E-4</v>
      </c>
      <c r="BL165" s="243">
        <f t="shared" si="126"/>
        <v>-8.6935679442795056E-4</v>
      </c>
      <c r="BM165" s="243">
        <f t="shared" si="127"/>
        <v>-1.7811582100311107E-3</v>
      </c>
      <c r="BN165" s="243">
        <f t="shared" si="128"/>
        <v>-8.1857483695046783E-5</v>
      </c>
      <c r="BO165" s="243">
        <f t="shared" si="129"/>
        <v>1.8637736333900004E-3</v>
      </c>
      <c r="BR165" s="200">
        <f t="shared" si="130"/>
        <v>9.4381506299701831E-7</v>
      </c>
      <c r="BS165" s="201">
        <f t="shared" si="131"/>
        <v>2.6530167703424583E-7</v>
      </c>
      <c r="BT165" s="201">
        <f t="shared" si="132"/>
        <v>7.5578123601804185E-7</v>
      </c>
      <c r="BU165" s="201">
        <f t="shared" si="133"/>
        <v>3.1725245691612304E-6</v>
      </c>
      <c r="BV165" s="201">
        <f t="shared" si="134"/>
        <v>6.7006476368848497E-9</v>
      </c>
      <c r="BW165" s="201">
        <f t="shared" si="135"/>
        <v>3.4736521565197635E-6</v>
      </c>
    </row>
    <row r="166" spans="1:75" x14ac:dyDescent="0.25">
      <c r="A166" s="122">
        <v>12483</v>
      </c>
      <c r="B166" s="153">
        <v>124</v>
      </c>
      <c r="C166" s="184">
        <f>+'Sampling Weights'!R166</f>
        <v>477.39246562932806</v>
      </c>
      <c r="D166" s="155">
        <f>+SUM('Sampling Weights'!I166:N166)</f>
        <v>12</v>
      </c>
      <c r="E166" s="155">
        <v>1</v>
      </c>
      <c r="F166" s="155">
        <v>1</v>
      </c>
      <c r="G166" s="155">
        <v>0</v>
      </c>
      <c r="H166" s="154">
        <v>1</v>
      </c>
      <c r="I166" s="154">
        <v>0</v>
      </c>
      <c r="J166" s="154">
        <v>0</v>
      </c>
      <c r="K166" s="155"/>
      <c r="L166" s="172"/>
      <c r="M166" s="172"/>
      <c r="N166" s="172"/>
      <c r="P166" s="184"/>
      <c r="Q166" s="173"/>
      <c r="R166" s="167"/>
      <c r="S166" s="184">
        <f t="shared" si="118"/>
        <v>5728.7095875519371</v>
      </c>
      <c r="T166" s="184">
        <f t="shared" si="118"/>
        <v>477.39246562932806</v>
      </c>
      <c r="U166" s="184">
        <f t="shared" si="118"/>
        <v>477.39246562932806</v>
      </c>
      <c r="V166" s="184">
        <f t="shared" si="115"/>
        <v>0</v>
      </c>
      <c r="W166" s="184">
        <f t="shared" si="114"/>
        <v>477.39246562932806</v>
      </c>
      <c r="X166" s="184">
        <f t="shared" si="114"/>
        <v>0</v>
      </c>
      <c r="Y166" s="184">
        <f t="shared" si="114"/>
        <v>0</v>
      </c>
      <c r="AA166" s="167">
        <f t="shared" si="119"/>
        <v>32818113.538509484</v>
      </c>
      <c r="AB166" s="167">
        <f t="shared" si="120"/>
        <v>227903.56623964917</v>
      </c>
      <c r="AC166" s="167">
        <f t="shared" si="121"/>
        <v>227903.56623964917</v>
      </c>
      <c r="AD166" s="167">
        <f t="shared" si="122"/>
        <v>0</v>
      </c>
      <c r="AE166" s="167">
        <f t="shared" si="123"/>
        <v>227903.56623964917</v>
      </c>
      <c r="AF166" s="167">
        <f t="shared" si="124"/>
        <v>0</v>
      </c>
      <c r="AG166" s="167">
        <f t="shared" si="125"/>
        <v>0</v>
      </c>
      <c r="AK166" s="167"/>
      <c r="BA166" s="167"/>
      <c r="BJ166" s="201">
        <f t="shared" si="116"/>
        <v>-2.3199620656338762E-4</v>
      </c>
      <c r="BK166" s="201">
        <f t="shared" si="117"/>
        <v>-1.0040623771891687E-4</v>
      </c>
      <c r="BL166" s="243">
        <f t="shared" si="126"/>
        <v>-3.5507261279286583E-4</v>
      </c>
      <c r="BM166" s="243">
        <f t="shared" si="127"/>
        <v>4.8818614679542222E-4</v>
      </c>
      <c r="BN166" s="243">
        <f t="shared" si="128"/>
        <v>-3.3433166679711865E-5</v>
      </c>
      <c r="BO166" s="243">
        <f t="shared" si="129"/>
        <v>-4.5444341375756501E-4</v>
      </c>
      <c r="BR166" s="200">
        <f t="shared" si="130"/>
        <v>5.3822239859802012E-8</v>
      </c>
      <c r="BS166" s="201">
        <f t="shared" si="131"/>
        <v>1.0081412572867646E-8</v>
      </c>
      <c r="BT166" s="201">
        <f t="shared" si="132"/>
        <v>1.2607656035555242E-7</v>
      </c>
      <c r="BU166" s="201">
        <f t="shared" si="133"/>
        <v>2.3832571392296154E-7</v>
      </c>
      <c r="BV166" s="201">
        <f t="shared" si="134"/>
        <v>1.1177766342333957E-9</v>
      </c>
      <c r="BW166" s="201">
        <f t="shared" si="135"/>
        <v>2.0651881630762941E-7</v>
      </c>
    </row>
    <row r="167" spans="1:75" x14ac:dyDescent="0.25">
      <c r="A167" s="122">
        <v>12484</v>
      </c>
      <c r="B167" s="153">
        <v>124</v>
      </c>
      <c r="C167" s="184">
        <f>+'Sampling Weights'!R167</f>
        <v>1088.3284316466054</v>
      </c>
      <c r="D167" s="155">
        <f>+SUM('Sampling Weights'!I167:N167)</f>
        <v>17</v>
      </c>
      <c r="E167" s="155">
        <v>3</v>
      </c>
      <c r="F167" s="155">
        <v>2</v>
      </c>
      <c r="G167" s="155">
        <v>0</v>
      </c>
      <c r="H167" s="154">
        <v>2</v>
      </c>
      <c r="I167" s="154">
        <v>0</v>
      </c>
      <c r="J167" s="154">
        <v>0</v>
      </c>
      <c r="K167" s="155"/>
      <c r="L167" s="172"/>
      <c r="M167" s="172"/>
      <c r="N167" s="172"/>
      <c r="P167" s="184"/>
      <c r="Q167" s="173"/>
      <c r="R167" s="167"/>
      <c r="S167" s="184">
        <f t="shared" si="118"/>
        <v>18501.583337992291</v>
      </c>
      <c r="T167" s="184">
        <f t="shared" si="118"/>
        <v>3264.9852949398164</v>
      </c>
      <c r="U167" s="184">
        <f t="shared" si="118"/>
        <v>2176.6568632932108</v>
      </c>
      <c r="V167" s="184">
        <f t="shared" si="115"/>
        <v>0</v>
      </c>
      <c r="W167" s="184">
        <f t="shared" si="114"/>
        <v>2176.6568632932108</v>
      </c>
      <c r="X167" s="184">
        <f t="shared" si="114"/>
        <v>0</v>
      </c>
      <c r="Y167" s="184">
        <f t="shared" si="114"/>
        <v>0</v>
      </c>
      <c r="AA167" s="167">
        <f t="shared" si="119"/>
        <v>342308586.01267397</v>
      </c>
      <c r="AB167" s="167">
        <f t="shared" si="120"/>
        <v>10660128.976173241</v>
      </c>
      <c r="AC167" s="167">
        <f t="shared" si="121"/>
        <v>4737835.1005214397</v>
      </c>
      <c r="AD167" s="167">
        <f t="shared" si="122"/>
        <v>0</v>
      </c>
      <c r="AE167" s="167">
        <f t="shared" si="123"/>
        <v>4737835.1005214397</v>
      </c>
      <c r="AF167" s="167">
        <f t="shared" si="124"/>
        <v>0</v>
      </c>
      <c r="AG167" s="167">
        <f t="shared" si="125"/>
        <v>0</v>
      </c>
      <c r="AK167" s="167"/>
      <c r="BA167" s="167"/>
      <c r="BJ167" s="201">
        <f t="shared" si="116"/>
        <v>-1.5904745692366722E-4</v>
      </c>
      <c r="BK167" s="201">
        <f t="shared" si="117"/>
        <v>-1.0682749234007583E-4</v>
      </c>
      <c r="BL167" s="243">
        <f t="shared" si="126"/>
        <v>-1.6189431028916592E-3</v>
      </c>
      <c r="BM167" s="243">
        <f t="shared" si="127"/>
        <v>2.2258703341413656E-3</v>
      </c>
      <c r="BN167" s="243">
        <f t="shared" si="128"/>
        <v>-1.524375371510891E-4</v>
      </c>
      <c r="BO167" s="243">
        <f t="shared" si="129"/>
        <v>-2.0720213383129522E-3</v>
      </c>
      <c r="BR167" s="200">
        <f t="shared" si="130"/>
        <v>2.529609355388578E-8</v>
      </c>
      <c r="BS167" s="201">
        <f t="shared" si="131"/>
        <v>1.141211311966896E-8</v>
      </c>
      <c r="BT167" s="201">
        <f t="shared" si="132"/>
        <v>2.6209767704004736E-6</v>
      </c>
      <c r="BU167" s="201">
        <f t="shared" si="133"/>
        <v>4.9544987444105944E-6</v>
      </c>
      <c r="BV167" s="201">
        <f t="shared" si="134"/>
        <v>2.323720273268967E-8</v>
      </c>
      <c r="BW167" s="201">
        <f t="shared" si="135"/>
        <v>4.2932724264241972E-6</v>
      </c>
    </row>
    <row r="168" spans="1:75" x14ac:dyDescent="0.25">
      <c r="A168" s="122">
        <v>12485</v>
      </c>
      <c r="B168" s="153">
        <v>124</v>
      </c>
      <c r="C168" s="184">
        <f>+'Sampling Weights'!R168</f>
        <v>481.68744230525863</v>
      </c>
      <c r="D168" s="155">
        <f>+SUM('Sampling Weights'!I168:N168)</f>
        <v>13</v>
      </c>
      <c r="E168" s="155">
        <v>2</v>
      </c>
      <c r="F168" s="155">
        <v>1</v>
      </c>
      <c r="G168" s="155">
        <v>0</v>
      </c>
      <c r="H168" s="154">
        <v>1</v>
      </c>
      <c r="I168" s="154">
        <v>0</v>
      </c>
      <c r="J168" s="154">
        <v>0</v>
      </c>
      <c r="K168" s="155"/>
      <c r="L168" s="172"/>
      <c r="M168" s="172"/>
      <c r="N168" s="172"/>
      <c r="P168" s="184"/>
      <c r="Q168" s="173"/>
      <c r="R168" s="167"/>
      <c r="S168" s="184">
        <f t="shared" si="118"/>
        <v>6261.9367499683622</v>
      </c>
      <c r="T168" s="184">
        <f t="shared" si="118"/>
        <v>963.37488461051726</v>
      </c>
      <c r="U168" s="184">
        <f t="shared" si="118"/>
        <v>481.68744230525863</v>
      </c>
      <c r="V168" s="184">
        <f t="shared" si="115"/>
        <v>0</v>
      </c>
      <c r="W168" s="184">
        <f t="shared" si="114"/>
        <v>481.68744230525863</v>
      </c>
      <c r="X168" s="184">
        <f t="shared" si="114"/>
        <v>0</v>
      </c>
      <c r="Y168" s="184">
        <f t="shared" si="114"/>
        <v>0</v>
      </c>
      <c r="AA168" s="167">
        <f t="shared" si="119"/>
        <v>39211851.860604331</v>
      </c>
      <c r="AB168" s="167">
        <f t="shared" si="120"/>
        <v>928091.16829832748</v>
      </c>
      <c r="AC168" s="167">
        <f t="shared" si="121"/>
        <v>232022.79207458187</v>
      </c>
      <c r="AD168" s="167">
        <f t="shared" si="122"/>
        <v>0</v>
      </c>
      <c r="AE168" s="167">
        <f t="shared" si="123"/>
        <v>232022.79207458187</v>
      </c>
      <c r="AF168" s="167">
        <f t="shared" si="124"/>
        <v>0</v>
      </c>
      <c r="AG168" s="167">
        <f t="shared" si="125"/>
        <v>0</v>
      </c>
      <c r="AK168" s="167"/>
      <c r="BA168" s="167"/>
      <c r="BJ168" s="201">
        <f t="shared" si="116"/>
        <v>-1.0235498558794457E-4</v>
      </c>
      <c r="BK168" s="201">
        <f t="shared" si="117"/>
        <v>-1.2350070170731128E-4</v>
      </c>
      <c r="BL168" s="243">
        <f t="shared" si="126"/>
        <v>-3.5826710935492757E-4</v>
      </c>
      <c r="BM168" s="243">
        <f t="shared" si="127"/>
        <v>4.9257823143218898E-4</v>
      </c>
      <c r="BN168" s="243">
        <f t="shared" si="128"/>
        <v>-3.3733956242661013E-5</v>
      </c>
      <c r="BO168" s="243">
        <f t="shared" si="129"/>
        <v>-4.5853192374283676E-4</v>
      </c>
      <c r="BR168" s="200">
        <f t="shared" si="130"/>
        <v>1.0476543074708341E-8</v>
      </c>
      <c r="BS168" s="201">
        <f t="shared" si="131"/>
        <v>1.5252423322198279E-8</v>
      </c>
      <c r="BT168" s="201">
        <f t="shared" si="132"/>
        <v>1.2835532164553563E-7</v>
      </c>
      <c r="BU168" s="201">
        <f t="shared" si="133"/>
        <v>2.4263331408086311E-7</v>
      </c>
      <c r="BV168" s="201">
        <f t="shared" si="134"/>
        <v>1.137979803781768E-9</v>
      </c>
      <c r="BW168" s="201">
        <f t="shared" si="135"/>
        <v>2.1025152509130665E-7</v>
      </c>
    </row>
    <row r="169" spans="1:75" x14ac:dyDescent="0.25">
      <c r="A169" s="122">
        <v>12486</v>
      </c>
      <c r="B169" s="153">
        <v>124</v>
      </c>
      <c r="C169" s="184">
        <f>+'Sampling Weights'!R169</f>
        <v>951.5414317957003</v>
      </c>
      <c r="D169" s="155">
        <f>+SUM('Sampling Weights'!I169:N169)</f>
        <v>14</v>
      </c>
      <c r="E169" s="155">
        <v>3</v>
      </c>
      <c r="F169" s="155">
        <v>1</v>
      </c>
      <c r="G169" s="155">
        <v>0</v>
      </c>
      <c r="H169" s="154">
        <v>1</v>
      </c>
      <c r="I169" s="154">
        <v>0</v>
      </c>
      <c r="J169" s="154">
        <v>0</v>
      </c>
      <c r="K169" s="154"/>
      <c r="L169" s="172"/>
      <c r="M169" s="172"/>
      <c r="N169" s="172"/>
      <c r="P169" s="184"/>
      <c r="Q169" s="173"/>
      <c r="R169" s="167"/>
      <c r="S169" s="184">
        <f t="shared" si="118"/>
        <v>13321.580045139804</v>
      </c>
      <c r="T169" s="184">
        <f t="shared" si="118"/>
        <v>2854.624295387101</v>
      </c>
      <c r="U169" s="184">
        <f t="shared" si="118"/>
        <v>951.5414317957003</v>
      </c>
      <c r="V169" s="184">
        <f t="shared" si="115"/>
        <v>0</v>
      </c>
      <c r="W169" s="184">
        <f t="shared" si="114"/>
        <v>951.5414317957003</v>
      </c>
      <c r="X169" s="184">
        <f t="shared" si="114"/>
        <v>0</v>
      </c>
      <c r="Y169" s="184">
        <f t="shared" si="114"/>
        <v>0</v>
      </c>
      <c r="AA169" s="167">
        <f t="shared" si="119"/>
        <v>177464494.89906704</v>
      </c>
      <c r="AB169" s="167">
        <f t="shared" si="120"/>
        <v>8148879.8678143034</v>
      </c>
      <c r="AC169" s="167">
        <f t="shared" si="121"/>
        <v>905431.0964238114</v>
      </c>
      <c r="AD169" s="167">
        <f t="shared" si="122"/>
        <v>0</v>
      </c>
      <c r="AE169" s="167">
        <f t="shared" si="123"/>
        <v>905431.0964238114</v>
      </c>
      <c r="AF169" s="167">
        <f t="shared" si="124"/>
        <v>0</v>
      </c>
      <c r="AG169" s="167">
        <f t="shared" si="125"/>
        <v>0</v>
      </c>
      <c r="AK169" s="167"/>
      <c r="BA169" s="167"/>
      <c r="BJ169" s="201">
        <f t="shared" si="116"/>
        <v>5.8025283123561705E-5</v>
      </c>
      <c r="BK169" s="201">
        <f t="shared" si="117"/>
        <v>-2.8780451125272555E-4</v>
      </c>
      <c r="BL169" s="243">
        <f t="shared" si="126"/>
        <v>-7.0773279155750333E-4</v>
      </c>
      <c r="BM169" s="243">
        <f t="shared" si="127"/>
        <v>9.7305545970896481E-4</v>
      </c>
      <c r="BN169" s="243">
        <f t="shared" si="128"/>
        <v>-6.6639181768274081E-5</v>
      </c>
      <c r="BO169" s="243">
        <f t="shared" si="129"/>
        <v>-9.0579924847987371E-4</v>
      </c>
      <c r="BR169" s="200">
        <f t="shared" si="130"/>
        <v>3.3669334815694948E-9</v>
      </c>
      <c r="BS169" s="201">
        <f t="shared" si="131"/>
        <v>8.2831436697420223E-8</v>
      </c>
      <c r="BT169" s="201">
        <f t="shared" si="132"/>
        <v>5.0088570424577642E-7</v>
      </c>
      <c r="BU169" s="201">
        <f t="shared" si="133"/>
        <v>9.4683692766942485E-7</v>
      </c>
      <c r="BV169" s="201">
        <f t="shared" si="134"/>
        <v>4.4407805467450726E-9</v>
      </c>
      <c r="BW169" s="201">
        <f t="shared" si="135"/>
        <v>8.2047227854670401E-7</v>
      </c>
    </row>
    <row r="170" spans="1:75" x14ac:dyDescent="0.25">
      <c r="A170" s="122">
        <v>12487</v>
      </c>
      <c r="B170" s="153">
        <v>124</v>
      </c>
      <c r="C170" s="184">
        <f>+'Sampling Weights'!R170</f>
        <v>893.08261278089424</v>
      </c>
      <c r="D170" s="155">
        <f>+SUM('Sampling Weights'!I170:N170)</f>
        <v>19</v>
      </c>
      <c r="E170" s="155">
        <v>0</v>
      </c>
      <c r="F170" s="155">
        <v>0</v>
      </c>
      <c r="G170" s="155">
        <v>0</v>
      </c>
      <c r="H170" s="154">
        <v>0</v>
      </c>
      <c r="I170" s="154">
        <v>0</v>
      </c>
      <c r="J170" s="154">
        <v>0</v>
      </c>
      <c r="K170" s="155"/>
      <c r="L170" s="172"/>
      <c r="M170" s="172"/>
      <c r="N170" s="172"/>
      <c r="P170" s="184"/>
      <c r="Q170" s="173"/>
      <c r="R170" s="167"/>
      <c r="S170" s="184">
        <f t="shared" si="118"/>
        <v>16968.569642836992</v>
      </c>
      <c r="T170" s="184">
        <f t="shared" si="118"/>
        <v>0</v>
      </c>
      <c r="U170" s="184">
        <f t="shared" si="118"/>
        <v>0</v>
      </c>
      <c r="V170" s="184">
        <f t="shared" si="115"/>
        <v>0</v>
      </c>
      <c r="W170" s="184">
        <f t="shared" si="114"/>
        <v>0</v>
      </c>
      <c r="X170" s="184">
        <f t="shared" si="114"/>
        <v>0</v>
      </c>
      <c r="Y170" s="184">
        <f t="shared" si="114"/>
        <v>0</v>
      </c>
      <c r="AA170" s="167">
        <f t="shared" si="119"/>
        <v>287932355.72380912</v>
      </c>
      <c r="AB170" s="167">
        <f t="shared" si="120"/>
        <v>0</v>
      </c>
      <c r="AC170" s="167">
        <f t="shared" si="121"/>
        <v>0</v>
      </c>
      <c r="AD170" s="167">
        <f t="shared" si="122"/>
        <v>0</v>
      </c>
      <c r="AE170" s="167">
        <f t="shared" si="123"/>
        <v>0</v>
      </c>
      <c r="AF170" s="167">
        <f t="shared" si="124"/>
        <v>0</v>
      </c>
      <c r="AG170" s="167">
        <f t="shared" si="125"/>
        <v>0</v>
      </c>
      <c r="AK170" s="167"/>
      <c r="BA170" s="167"/>
      <c r="BJ170" s="201">
        <f t="shared" si="116"/>
        <v>-1.1715072818984471E-3</v>
      </c>
      <c r="BK170" s="201">
        <f t="shared" si="117"/>
        <v>-7.8173476567802919E-4</v>
      </c>
      <c r="BL170" s="243">
        <f t="shared" si="126"/>
        <v>0</v>
      </c>
      <c r="BM170" s="243">
        <f t="shared" si="127"/>
        <v>0</v>
      </c>
      <c r="BN170" s="243">
        <f t="shared" si="128"/>
        <v>0</v>
      </c>
      <c r="BO170" s="243">
        <f t="shared" si="129"/>
        <v>0</v>
      </c>
      <c r="BR170" s="200">
        <f t="shared" si="130"/>
        <v>1.3724293115410875E-6</v>
      </c>
      <c r="BS170" s="201">
        <f t="shared" si="131"/>
        <v>6.1110924386968317E-7</v>
      </c>
      <c r="BT170" s="201">
        <f t="shared" si="132"/>
        <v>0</v>
      </c>
      <c r="BU170" s="201">
        <f t="shared" si="133"/>
        <v>0</v>
      </c>
      <c r="BV170" s="201">
        <f t="shared" si="134"/>
        <v>0</v>
      </c>
      <c r="BW170" s="201">
        <f t="shared" si="135"/>
        <v>0</v>
      </c>
    </row>
    <row r="171" spans="1:75" x14ac:dyDescent="0.25">
      <c r="A171" s="122">
        <v>12588</v>
      </c>
      <c r="B171" s="153">
        <v>125</v>
      </c>
      <c r="C171" s="184">
        <f>+'Sampling Weights'!R171</f>
        <v>210.04755428785083</v>
      </c>
      <c r="D171" s="155">
        <f>+SUM('Sampling Weights'!I171:N171)</f>
        <v>10</v>
      </c>
      <c r="E171" s="155">
        <v>4</v>
      </c>
      <c r="F171" s="155">
        <v>3</v>
      </c>
      <c r="G171" s="155">
        <v>1</v>
      </c>
      <c r="H171" s="154">
        <v>3</v>
      </c>
      <c r="I171" s="154">
        <v>0</v>
      </c>
      <c r="J171" s="154">
        <v>0</v>
      </c>
      <c r="K171" s="155"/>
      <c r="L171" s="172"/>
      <c r="M171" s="172"/>
      <c r="N171" s="172"/>
      <c r="P171" s="184"/>
      <c r="Q171" s="173"/>
      <c r="R171" s="167"/>
      <c r="S171" s="184">
        <f t="shared" si="118"/>
        <v>2100.4755428785083</v>
      </c>
      <c r="T171" s="184">
        <f t="shared" si="118"/>
        <v>840.19021715140332</v>
      </c>
      <c r="U171" s="184">
        <f t="shared" si="118"/>
        <v>630.14266286355246</v>
      </c>
      <c r="V171" s="184">
        <f t="shared" si="115"/>
        <v>210.04755428785083</v>
      </c>
      <c r="W171" s="184">
        <f t="shared" si="114"/>
        <v>630.14266286355246</v>
      </c>
      <c r="X171" s="184">
        <f t="shared" si="114"/>
        <v>0</v>
      </c>
      <c r="Y171" s="184">
        <f t="shared" si="114"/>
        <v>0</v>
      </c>
      <c r="AA171" s="167">
        <f t="shared" si="119"/>
        <v>4411997.5062307641</v>
      </c>
      <c r="AB171" s="167">
        <f t="shared" si="120"/>
        <v>705919.60099692224</v>
      </c>
      <c r="AC171" s="167">
        <f t="shared" si="121"/>
        <v>397079.77556076873</v>
      </c>
      <c r="AD171" s="167">
        <f t="shared" si="122"/>
        <v>44119.97506230764</v>
      </c>
      <c r="AE171" s="167">
        <f t="shared" si="123"/>
        <v>397079.77556076873</v>
      </c>
      <c r="AF171" s="167">
        <f t="shared" si="124"/>
        <v>0</v>
      </c>
      <c r="AG171" s="167">
        <f t="shared" si="125"/>
        <v>0</v>
      </c>
      <c r="AK171" s="167"/>
      <c r="BA171" s="167"/>
      <c r="BJ171" s="201">
        <f t="shared" si="116"/>
        <v>1.4275930802135528E-4</v>
      </c>
      <c r="BK171" s="201">
        <f t="shared" si="117"/>
        <v>1.1906383548479034E-4</v>
      </c>
      <c r="BL171" s="243">
        <f t="shared" si="126"/>
        <v>6.6196053131280355E-5</v>
      </c>
      <c r="BM171" s="243">
        <f t="shared" si="127"/>
        <v>6.4438997400017997E-4</v>
      </c>
      <c r="BN171" s="243">
        <f t="shared" si="128"/>
        <v>-4.4130702087520255E-5</v>
      </c>
      <c r="BO171" s="243">
        <f t="shared" si="129"/>
        <v>-5.9985065430073834E-4</v>
      </c>
      <c r="BR171" s="200">
        <f t="shared" si="130"/>
        <v>2.0380220026736193E-8</v>
      </c>
      <c r="BS171" s="201">
        <f t="shared" si="131"/>
        <v>1.4176196920349219E-8</v>
      </c>
      <c r="BT171" s="201">
        <f t="shared" si="132"/>
        <v>4.3819174501592919E-9</v>
      </c>
      <c r="BU171" s="201">
        <f t="shared" si="133"/>
        <v>4.1523843859195263E-7</v>
      </c>
      <c r="BV171" s="201">
        <f t="shared" si="134"/>
        <v>1.9475188667374645E-9</v>
      </c>
      <c r="BW171" s="201">
        <f t="shared" si="135"/>
        <v>3.5982080746502391E-7</v>
      </c>
    </row>
    <row r="172" spans="1:75" x14ac:dyDescent="0.25">
      <c r="A172" s="122">
        <v>12589</v>
      </c>
      <c r="B172" s="153">
        <v>125</v>
      </c>
      <c r="C172" s="184">
        <f>+'Sampling Weights'!R172</f>
        <v>356.60624405542131</v>
      </c>
      <c r="D172" s="155">
        <f>+SUM('Sampling Weights'!I172:N172)</f>
        <v>13</v>
      </c>
      <c r="E172" s="155">
        <v>5</v>
      </c>
      <c r="F172" s="155">
        <v>3</v>
      </c>
      <c r="G172" s="155">
        <v>2</v>
      </c>
      <c r="H172" s="154">
        <v>0</v>
      </c>
      <c r="I172" s="154">
        <v>0</v>
      </c>
      <c r="J172" s="154">
        <v>3</v>
      </c>
      <c r="K172" s="155"/>
      <c r="L172" s="172"/>
      <c r="M172" s="172"/>
      <c r="N172" s="172"/>
      <c r="P172" s="184"/>
      <c r="Q172" s="173"/>
      <c r="R172" s="167"/>
      <c r="S172" s="184">
        <f t="shared" si="118"/>
        <v>4635.8811727204775</v>
      </c>
      <c r="T172" s="184">
        <f t="shared" si="118"/>
        <v>1783.0312202771065</v>
      </c>
      <c r="U172" s="184">
        <f t="shared" si="118"/>
        <v>1069.818732166264</v>
      </c>
      <c r="V172" s="184">
        <f t="shared" si="115"/>
        <v>713.21248811084263</v>
      </c>
      <c r="W172" s="184">
        <f t="shared" si="114"/>
        <v>0</v>
      </c>
      <c r="X172" s="184">
        <f t="shared" si="114"/>
        <v>0</v>
      </c>
      <c r="Y172" s="184">
        <f t="shared" si="114"/>
        <v>1069.818732166264</v>
      </c>
      <c r="AA172" s="167">
        <f t="shared" si="119"/>
        <v>21491394.24758419</v>
      </c>
      <c r="AB172" s="167">
        <f t="shared" si="120"/>
        <v>3179200.3324828674</v>
      </c>
      <c r="AC172" s="167">
        <f t="shared" si="121"/>
        <v>1144512.1196938325</v>
      </c>
      <c r="AD172" s="167">
        <f t="shared" si="122"/>
        <v>508672.05319725885</v>
      </c>
      <c r="AE172" s="167">
        <f t="shared" si="123"/>
        <v>0</v>
      </c>
      <c r="AF172" s="167">
        <f t="shared" si="124"/>
        <v>0</v>
      </c>
      <c r="AG172" s="167">
        <f t="shared" si="125"/>
        <v>1144512.1196938325</v>
      </c>
      <c r="AK172" s="167"/>
      <c r="BA172" s="167"/>
      <c r="BJ172" s="201">
        <f t="shared" si="116"/>
        <v>2.9065030882815867E-4</v>
      </c>
      <c r="BK172" s="201">
        <f t="shared" si="117"/>
        <v>1.528534053062891E-4</v>
      </c>
      <c r="BL172" s="243">
        <f t="shared" si="126"/>
        <v>1.020471941825879E-3</v>
      </c>
      <c r="BM172" s="243">
        <f t="shared" si="127"/>
        <v>-1.6302576908843074E-3</v>
      </c>
      <c r="BN172" s="243">
        <f t="shared" si="128"/>
        <v>-7.4922481112980928E-5</v>
      </c>
      <c r="BO172" s="243">
        <f t="shared" si="129"/>
        <v>1.7058738986742601E-3</v>
      </c>
      <c r="BR172" s="200">
        <f t="shared" si="130"/>
        <v>8.4477602021904017E-8</v>
      </c>
      <c r="BS172" s="201">
        <f t="shared" si="131"/>
        <v>2.3364163513728688E-8</v>
      </c>
      <c r="BT172" s="201">
        <f t="shared" si="132"/>
        <v>1.0413629840538803E-6</v>
      </c>
      <c r="BU172" s="201">
        <f t="shared" si="133"/>
        <v>2.6577401386874338E-6</v>
      </c>
      <c r="BV172" s="201">
        <f t="shared" si="134"/>
        <v>5.6133781761249836E-9</v>
      </c>
      <c r="BW172" s="201">
        <f t="shared" si="135"/>
        <v>2.91000575817812E-6</v>
      </c>
    </row>
    <row r="173" spans="1:75" x14ac:dyDescent="0.25">
      <c r="A173" s="122">
        <v>12590</v>
      </c>
      <c r="B173" s="153">
        <v>125</v>
      </c>
      <c r="C173" s="184">
        <f>+'Sampling Weights'!R173</f>
        <v>428.77109456522084</v>
      </c>
      <c r="D173" s="155">
        <f>+SUM('Sampling Weights'!I173:N173)</f>
        <v>16</v>
      </c>
      <c r="E173" s="155">
        <v>2</v>
      </c>
      <c r="F173" s="155">
        <v>1</v>
      </c>
      <c r="G173" s="155">
        <v>0</v>
      </c>
      <c r="H173" s="154">
        <v>1</v>
      </c>
      <c r="I173" s="154">
        <v>0</v>
      </c>
      <c r="J173" s="154">
        <v>0</v>
      </c>
      <c r="K173" s="155"/>
      <c r="L173" s="172"/>
      <c r="M173" s="172"/>
      <c r="N173" s="172"/>
      <c r="P173" s="184"/>
      <c r="Q173" s="173"/>
      <c r="R173" s="167"/>
      <c r="S173" s="184">
        <f t="shared" si="118"/>
        <v>6860.3375130435334</v>
      </c>
      <c r="T173" s="184">
        <f t="shared" si="118"/>
        <v>857.54218913044167</v>
      </c>
      <c r="U173" s="184">
        <f t="shared" si="118"/>
        <v>428.77109456522084</v>
      </c>
      <c r="V173" s="184">
        <f t="shared" si="115"/>
        <v>0</v>
      </c>
      <c r="W173" s="184">
        <f t="shared" si="114"/>
        <v>428.77109456522084</v>
      </c>
      <c r="X173" s="184">
        <f t="shared" si="114"/>
        <v>0</v>
      </c>
      <c r="Y173" s="184">
        <f t="shared" si="114"/>
        <v>0</v>
      </c>
      <c r="AA173" s="167">
        <f t="shared" si="119"/>
        <v>47064230.792872332</v>
      </c>
      <c r="AB173" s="167">
        <f t="shared" si="120"/>
        <v>735378.60613863019</v>
      </c>
      <c r="AC173" s="167">
        <f t="shared" si="121"/>
        <v>183844.65153465755</v>
      </c>
      <c r="AD173" s="167">
        <f t="shared" si="122"/>
        <v>0</v>
      </c>
      <c r="AE173" s="167">
        <f t="shared" si="123"/>
        <v>183844.65153465755</v>
      </c>
      <c r="AF173" s="167">
        <f t="shared" si="124"/>
        <v>0</v>
      </c>
      <c r="AG173" s="167">
        <f t="shared" si="125"/>
        <v>0</v>
      </c>
      <c r="AK173" s="167"/>
      <c r="BA173" s="167"/>
      <c r="BJ173" s="201">
        <f t="shared" si="116"/>
        <v>-1.7991751613480138E-4</v>
      </c>
      <c r="BK173" s="201">
        <f t="shared" si="117"/>
        <v>-1.6919328932873457E-4</v>
      </c>
      <c r="BL173" s="243">
        <f t="shared" si="126"/>
        <v>-3.189092493041996E-4</v>
      </c>
      <c r="BM173" s="243">
        <f t="shared" si="127"/>
        <v>4.3846546307996741E-4</v>
      </c>
      <c r="BN173" s="243">
        <f t="shared" si="128"/>
        <v>-3.0028072297169622E-5</v>
      </c>
      <c r="BO173" s="243">
        <f t="shared" si="129"/>
        <v>-4.0815935307634264E-4</v>
      </c>
      <c r="BR173" s="200">
        <f t="shared" si="130"/>
        <v>3.2370312612116517E-8</v>
      </c>
      <c r="BS173" s="201">
        <f t="shared" si="131"/>
        <v>2.8626369153876888E-8</v>
      </c>
      <c r="BT173" s="201">
        <f t="shared" si="132"/>
        <v>1.0170310929176814E-7</v>
      </c>
      <c r="BU173" s="201">
        <f t="shared" si="133"/>
        <v>1.9225196231393025E-7</v>
      </c>
      <c r="BV173" s="201">
        <f t="shared" si="134"/>
        <v>9.0168512588404567E-10</v>
      </c>
      <c r="BW173" s="201">
        <f t="shared" si="135"/>
        <v>1.6659405750369853E-7</v>
      </c>
    </row>
    <row r="174" spans="1:75" x14ac:dyDescent="0.25">
      <c r="A174" s="122">
        <v>22577</v>
      </c>
      <c r="B174" s="153">
        <v>225</v>
      </c>
      <c r="C174" s="184">
        <f>+'Sampling Weights'!R174</f>
        <v>1633.8013811794406</v>
      </c>
      <c r="D174" s="155">
        <f>+SUM('Sampling Weights'!I174:N174)</f>
        <v>14</v>
      </c>
      <c r="E174" s="155">
        <v>6</v>
      </c>
      <c r="F174" s="155">
        <v>3</v>
      </c>
      <c r="G174" s="155">
        <v>0</v>
      </c>
      <c r="H174" s="154">
        <v>2</v>
      </c>
      <c r="I174" s="154">
        <v>0</v>
      </c>
      <c r="J174" s="154">
        <v>1</v>
      </c>
      <c r="K174" s="155"/>
      <c r="L174" s="172"/>
      <c r="M174" s="172"/>
      <c r="N174" s="172"/>
      <c r="P174" s="184"/>
      <c r="Q174" s="173"/>
      <c r="R174" s="167"/>
      <c r="S174" s="184">
        <f t="shared" si="118"/>
        <v>22873.219336512168</v>
      </c>
      <c r="T174" s="184">
        <f t="shared" si="118"/>
        <v>9802.808287076643</v>
      </c>
      <c r="U174" s="184">
        <f t="shared" si="118"/>
        <v>4901.4041435383215</v>
      </c>
      <c r="V174" s="184">
        <f t="shared" si="115"/>
        <v>0</v>
      </c>
      <c r="W174" s="184">
        <f t="shared" si="114"/>
        <v>3267.6027623588811</v>
      </c>
      <c r="X174" s="184">
        <f t="shared" si="114"/>
        <v>0</v>
      </c>
      <c r="Y174" s="184">
        <f t="shared" si="114"/>
        <v>1633.8013811794406</v>
      </c>
      <c r="AA174" s="167">
        <f t="shared" si="119"/>
        <v>523184162.81619412</v>
      </c>
      <c r="AB174" s="167">
        <f t="shared" si="120"/>
        <v>96095050.313178509</v>
      </c>
      <c r="AC174" s="167">
        <f t="shared" si="121"/>
        <v>24023762.578294627</v>
      </c>
      <c r="AD174" s="167">
        <f t="shared" si="122"/>
        <v>0</v>
      </c>
      <c r="AE174" s="167">
        <f t="shared" si="123"/>
        <v>10677227.812575391</v>
      </c>
      <c r="AF174" s="167">
        <f t="shared" si="124"/>
        <v>0</v>
      </c>
      <c r="AG174" s="167">
        <f t="shared" si="125"/>
        <v>2669306.9531438476</v>
      </c>
      <c r="AK174" s="167"/>
      <c r="BA174" s="167"/>
      <c r="BJ174" s="201">
        <f t="shared" si="116"/>
        <v>1.7784227348438396E-3</v>
      </c>
      <c r="BK174" s="201">
        <f t="shared" si="117"/>
        <v>6.2503357600562155E-4</v>
      </c>
      <c r="BL174" s="243">
        <f t="shared" si="126"/>
        <v>-3.6455421920111135E-3</v>
      </c>
      <c r="BM174" s="243">
        <f t="shared" si="127"/>
        <v>8.5179189839492428E-4</v>
      </c>
      <c r="BN174" s="243">
        <f t="shared" si="128"/>
        <v>-3.4325942174123823E-4</v>
      </c>
      <c r="BO174" s="243">
        <f t="shared" si="129"/>
        <v>-5.0535414867460069E-4</v>
      </c>
      <c r="BR174" s="200">
        <f t="shared" si="130"/>
        <v>3.1627874238094419E-6</v>
      </c>
      <c r="BS174" s="201">
        <f t="shared" si="131"/>
        <v>3.9066697113437512E-7</v>
      </c>
      <c r="BT174" s="201">
        <f t="shared" si="132"/>
        <v>1.3289977873733195E-5</v>
      </c>
      <c r="BU174" s="201">
        <f t="shared" si="133"/>
        <v>7.2554943817122904E-7</v>
      </c>
      <c r="BV174" s="201">
        <f t="shared" si="134"/>
        <v>1.1782703061412925E-7</v>
      </c>
      <c r="BW174" s="201">
        <f t="shared" si="135"/>
        <v>2.5538281558263044E-7</v>
      </c>
    </row>
    <row r="175" spans="1:75" x14ac:dyDescent="0.25">
      <c r="A175" s="122">
        <v>22578</v>
      </c>
      <c r="B175" s="153">
        <v>225</v>
      </c>
      <c r="C175" s="184">
        <f>+'Sampling Weights'!R175</f>
        <v>1655.7823373162685</v>
      </c>
      <c r="D175" s="155">
        <f>+SUM('Sampling Weights'!I175:N175)</f>
        <v>15</v>
      </c>
      <c r="E175" s="155">
        <v>0</v>
      </c>
      <c r="F175" s="155">
        <v>0</v>
      </c>
      <c r="G175" s="155">
        <v>0</v>
      </c>
      <c r="H175" s="154">
        <v>0</v>
      </c>
      <c r="I175" s="154">
        <v>0</v>
      </c>
      <c r="J175" s="154">
        <v>0</v>
      </c>
      <c r="K175" s="155"/>
      <c r="L175" s="172"/>
      <c r="M175" s="172"/>
      <c r="N175" s="172"/>
      <c r="P175" s="184"/>
      <c r="Q175" s="173"/>
      <c r="R175" s="167"/>
      <c r="S175" s="184">
        <f t="shared" si="118"/>
        <v>24836.735059744027</v>
      </c>
      <c r="T175" s="184">
        <f t="shared" si="118"/>
        <v>0</v>
      </c>
      <c r="U175" s="184">
        <f t="shared" si="118"/>
        <v>0</v>
      </c>
      <c r="V175" s="184">
        <f t="shared" si="115"/>
        <v>0</v>
      </c>
      <c r="W175" s="184">
        <f t="shared" si="114"/>
        <v>0</v>
      </c>
      <c r="X175" s="184">
        <f t="shared" si="114"/>
        <v>0</v>
      </c>
      <c r="Y175" s="184">
        <f t="shared" si="114"/>
        <v>0</v>
      </c>
      <c r="AA175" s="167">
        <f t="shared" si="119"/>
        <v>616863408.4279182</v>
      </c>
      <c r="AB175" s="167">
        <f t="shared" si="120"/>
        <v>0</v>
      </c>
      <c r="AC175" s="167">
        <f t="shared" si="121"/>
        <v>0</v>
      </c>
      <c r="AD175" s="167">
        <f t="shared" si="122"/>
        <v>0</v>
      </c>
      <c r="AE175" s="167">
        <f t="shared" si="123"/>
        <v>0</v>
      </c>
      <c r="AF175" s="167">
        <f t="shared" si="124"/>
        <v>0</v>
      </c>
      <c r="AG175" s="167">
        <f t="shared" si="125"/>
        <v>0</v>
      </c>
      <c r="AK175" s="167"/>
      <c r="BA175" s="167"/>
      <c r="BJ175" s="201">
        <f t="shared" si="116"/>
        <v>-1.7147241396009575E-3</v>
      </c>
      <c r="BK175" s="201">
        <f t="shared" si="117"/>
        <v>-1.1442177903505455E-3</v>
      </c>
      <c r="BL175" s="243">
        <f t="shared" si="126"/>
        <v>0</v>
      </c>
      <c r="BM175" s="243">
        <f t="shared" si="127"/>
        <v>0</v>
      </c>
      <c r="BN175" s="243">
        <f t="shared" si="128"/>
        <v>0</v>
      </c>
      <c r="BO175" s="243">
        <f t="shared" si="129"/>
        <v>0</v>
      </c>
      <c r="BR175" s="200">
        <f t="shared" si="130"/>
        <v>2.940278874930244E-6</v>
      </c>
      <c r="BS175" s="201">
        <f t="shared" si="131"/>
        <v>1.3092343517546851E-6</v>
      </c>
      <c r="BT175" s="201">
        <f t="shared" si="132"/>
        <v>0</v>
      </c>
      <c r="BU175" s="201">
        <f t="shared" si="133"/>
        <v>0</v>
      </c>
      <c r="BV175" s="201">
        <f t="shared" si="134"/>
        <v>0</v>
      </c>
      <c r="BW175" s="201">
        <f t="shared" si="135"/>
        <v>0</v>
      </c>
    </row>
    <row r="176" spans="1:75" x14ac:dyDescent="0.25">
      <c r="A176" s="122">
        <v>22579</v>
      </c>
      <c r="B176" s="153">
        <v>225</v>
      </c>
      <c r="C176" s="184">
        <f>+'Sampling Weights'!R176</f>
        <v>796.179356018779</v>
      </c>
      <c r="D176" s="155">
        <f>+SUM('Sampling Weights'!I176:N176)</f>
        <v>11</v>
      </c>
      <c r="E176" s="155">
        <v>3</v>
      </c>
      <c r="F176" s="155">
        <v>2</v>
      </c>
      <c r="G176" s="155">
        <v>1</v>
      </c>
      <c r="H176" s="154">
        <v>2</v>
      </c>
      <c r="I176" s="154">
        <v>0</v>
      </c>
      <c r="J176" s="154">
        <v>0</v>
      </c>
      <c r="K176" s="154"/>
      <c r="L176" s="172"/>
      <c r="M176" s="172"/>
      <c r="N176" s="172"/>
      <c r="P176" s="184"/>
      <c r="Q176" s="173"/>
      <c r="R176" s="167"/>
      <c r="S176" s="184">
        <f t="shared" si="118"/>
        <v>8757.9729162065687</v>
      </c>
      <c r="T176" s="184">
        <f t="shared" si="118"/>
        <v>2388.5380680563371</v>
      </c>
      <c r="U176" s="184">
        <f t="shared" si="118"/>
        <v>1592.358712037558</v>
      </c>
      <c r="V176" s="184">
        <f t="shared" si="115"/>
        <v>796.179356018779</v>
      </c>
      <c r="W176" s="184">
        <f t="shared" si="114"/>
        <v>1592.358712037558</v>
      </c>
      <c r="X176" s="184">
        <f t="shared" si="114"/>
        <v>0</v>
      </c>
      <c r="Y176" s="184">
        <f t="shared" si="114"/>
        <v>0</v>
      </c>
      <c r="AA176" s="167">
        <f t="shared" si="119"/>
        <v>76702089.601007789</v>
      </c>
      <c r="AB176" s="167">
        <f t="shared" si="120"/>
        <v>5705114.1025542989</v>
      </c>
      <c r="AC176" s="167">
        <f t="shared" si="121"/>
        <v>2535606.2678019106</v>
      </c>
      <c r="AD176" s="167">
        <f t="shared" si="122"/>
        <v>633901.56695047766</v>
      </c>
      <c r="AE176" s="167">
        <f t="shared" si="123"/>
        <v>2535606.2678019106</v>
      </c>
      <c r="AF176" s="167">
        <f t="shared" si="124"/>
        <v>0</v>
      </c>
      <c r="AG176" s="167">
        <f t="shared" si="125"/>
        <v>0</v>
      </c>
      <c r="AK176" s="167"/>
      <c r="BA176" s="167"/>
      <c r="BJ176" s="201">
        <f t="shared" si="116"/>
        <v>2.1345553578162136E-4</v>
      </c>
      <c r="BK176" s="201">
        <f t="shared" si="117"/>
        <v>1.419269621582171E-4</v>
      </c>
      <c r="BL176" s="243">
        <f t="shared" si="126"/>
        <v>8.4309263383114787E-4</v>
      </c>
      <c r="BM176" s="243">
        <f t="shared" si="127"/>
        <v>1.6283614005532395E-3</v>
      </c>
      <c r="BN176" s="243">
        <f t="shared" si="128"/>
        <v>-1.1151745799603671E-4</v>
      </c>
      <c r="BO176" s="243">
        <f t="shared" si="129"/>
        <v>-1.5158113735016842E-3</v>
      </c>
      <c r="BR176" s="200">
        <f t="shared" si="130"/>
        <v>4.5563265755819037E-8</v>
      </c>
      <c r="BS176" s="201">
        <f t="shared" si="131"/>
        <v>2.0143262587459986E-8</v>
      </c>
      <c r="BT176" s="201">
        <f t="shared" si="132"/>
        <v>7.1080518922034198E-7</v>
      </c>
      <c r="BU176" s="201">
        <f t="shared" si="133"/>
        <v>2.6515608508117077E-6</v>
      </c>
      <c r="BV176" s="201">
        <f t="shared" si="134"/>
        <v>1.2436143437897812E-8</v>
      </c>
      <c r="BW176" s="201">
        <f t="shared" si="135"/>
        <v>2.2976841200370624E-6</v>
      </c>
    </row>
    <row r="177" spans="1:75" x14ac:dyDescent="0.25">
      <c r="A177" s="122">
        <v>22580</v>
      </c>
      <c r="B177" s="153">
        <v>225</v>
      </c>
      <c r="C177" s="184">
        <f>+'Sampling Weights'!R177</f>
        <v>0</v>
      </c>
      <c r="D177" s="155">
        <f>+SUM('Sampling Weights'!I177:N177)</f>
        <v>13</v>
      </c>
      <c r="E177" s="155">
        <v>3</v>
      </c>
      <c r="F177" s="155">
        <v>3</v>
      </c>
      <c r="G177" s="155">
        <v>1</v>
      </c>
      <c r="H177" s="154">
        <v>2</v>
      </c>
      <c r="I177" s="154">
        <v>0</v>
      </c>
      <c r="J177" s="154">
        <v>1</v>
      </c>
      <c r="K177" s="155"/>
      <c r="L177" s="172"/>
      <c r="M177" s="172"/>
      <c r="N177" s="172"/>
      <c r="P177" s="184"/>
      <c r="Q177" s="173"/>
      <c r="R177" s="167"/>
      <c r="S177" s="184">
        <f t="shared" si="118"/>
        <v>0</v>
      </c>
      <c r="T177" s="184">
        <f t="shared" si="118"/>
        <v>0</v>
      </c>
      <c r="U177" s="184">
        <f t="shared" si="118"/>
        <v>0</v>
      </c>
      <c r="V177" s="184">
        <f t="shared" si="115"/>
        <v>0</v>
      </c>
      <c r="W177" s="184">
        <f t="shared" si="114"/>
        <v>0</v>
      </c>
      <c r="X177" s="184">
        <f t="shared" si="114"/>
        <v>0</v>
      </c>
      <c r="Y177" s="184">
        <f t="shared" si="114"/>
        <v>0</v>
      </c>
      <c r="AA177" s="167">
        <f t="shared" si="119"/>
        <v>0</v>
      </c>
      <c r="AB177" s="167">
        <f t="shared" si="120"/>
        <v>0</v>
      </c>
      <c r="AC177" s="167">
        <f t="shared" si="121"/>
        <v>0</v>
      </c>
      <c r="AD177" s="167">
        <f t="shared" si="122"/>
        <v>0</v>
      </c>
      <c r="AE177" s="167">
        <f t="shared" si="123"/>
        <v>0</v>
      </c>
      <c r="AF177" s="167">
        <f t="shared" si="124"/>
        <v>0</v>
      </c>
      <c r="AG177" s="167">
        <f t="shared" si="125"/>
        <v>0</v>
      </c>
      <c r="AK177" s="167"/>
      <c r="BA177" s="167"/>
      <c r="BJ177" s="201">
        <f t="shared" si="116"/>
        <v>0</v>
      </c>
      <c r="BK177" s="201">
        <f t="shared" si="117"/>
        <v>0</v>
      </c>
      <c r="BL177" s="243">
        <f t="shared" si="126"/>
        <v>0</v>
      </c>
      <c r="BM177" s="243">
        <f t="shared" si="127"/>
        <v>0</v>
      </c>
      <c r="BN177" s="243">
        <f t="shared" si="128"/>
        <v>0</v>
      </c>
      <c r="BO177" s="243">
        <f t="shared" si="129"/>
        <v>0</v>
      </c>
      <c r="BR177" s="200">
        <f t="shared" si="130"/>
        <v>0</v>
      </c>
      <c r="BS177" s="201">
        <f t="shared" si="131"/>
        <v>0</v>
      </c>
      <c r="BT177" s="201">
        <f t="shared" si="132"/>
        <v>0</v>
      </c>
      <c r="BU177" s="201">
        <f t="shared" si="133"/>
        <v>0</v>
      </c>
      <c r="BV177" s="201">
        <f t="shared" si="134"/>
        <v>0</v>
      </c>
      <c r="BW177" s="201">
        <f t="shared" si="135"/>
        <v>0</v>
      </c>
    </row>
    <row r="178" spans="1:75" x14ac:dyDescent="0.25">
      <c r="A178" s="122">
        <v>22581</v>
      </c>
      <c r="B178" s="153">
        <v>225</v>
      </c>
      <c r="C178" s="184">
        <f>+'Sampling Weights'!R178</f>
        <v>423.20862024516481</v>
      </c>
      <c r="D178" s="155">
        <f>+SUM('Sampling Weights'!I178:N178)</f>
        <v>17</v>
      </c>
      <c r="E178" s="155">
        <v>4</v>
      </c>
      <c r="F178" s="155">
        <v>2</v>
      </c>
      <c r="G178" s="155">
        <v>0</v>
      </c>
      <c r="H178" s="154">
        <v>2</v>
      </c>
      <c r="I178" s="154">
        <v>0</v>
      </c>
      <c r="J178" s="154">
        <v>0</v>
      </c>
      <c r="K178" s="155"/>
      <c r="L178" s="172"/>
      <c r="M178" s="172"/>
      <c r="N178" s="172"/>
      <c r="P178" s="184"/>
      <c r="Q178" s="173"/>
      <c r="R178" s="167"/>
      <c r="S178" s="184">
        <f t="shared" si="118"/>
        <v>7194.5465441678016</v>
      </c>
      <c r="T178" s="184">
        <f t="shared" si="118"/>
        <v>1692.8344809806592</v>
      </c>
      <c r="U178" s="184">
        <f t="shared" si="118"/>
        <v>846.41724049032962</v>
      </c>
      <c r="V178" s="184">
        <f t="shared" si="115"/>
        <v>0</v>
      </c>
      <c r="W178" s="184">
        <f t="shared" si="114"/>
        <v>846.41724049032962</v>
      </c>
      <c r="X178" s="184">
        <f t="shared" si="114"/>
        <v>0</v>
      </c>
      <c r="Y178" s="184">
        <f t="shared" si="114"/>
        <v>0</v>
      </c>
      <c r="AA178" s="167">
        <f t="shared" si="119"/>
        <v>51761499.976196855</v>
      </c>
      <c r="AB178" s="167">
        <f t="shared" si="120"/>
        <v>2865688.579997058</v>
      </c>
      <c r="AC178" s="167">
        <f t="shared" si="121"/>
        <v>716422.14499926451</v>
      </c>
      <c r="AD178" s="167">
        <f t="shared" si="122"/>
        <v>0</v>
      </c>
      <c r="AE178" s="167">
        <f t="shared" si="123"/>
        <v>716422.14499926451</v>
      </c>
      <c r="AF178" s="167">
        <f t="shared" si="124"/>
        <v>0</v>
      </c>
      <c r="AG178" s="167">
        <f t="shared" si="125"/>
        <v>0</v>
      </c>
      <c r="AK178" s="167"/>
      <c r="BA178" s="167"/>
      <c r="BJ178" s="201">
        <f t="shared" si="116"/>
        <v>8.310694243159957E-5</v>
      </c>
      <c r="BK178" s="201">
        <f t="shared" si="117"/>
        <v>-4.1541059043263843E-5</v>
      </c>
      <c r="BL178" s="243">
        <f t="shared" si="126"/>
        <v>-6.2954403919558948E-4</v>
      </c>
      <c r="BM178" s="243">
        <f t="shared" si="127"/>
        <v>8.6555444621747566E-4</v>
      </c>
      <c r="BN178" s="243">
        <f t="shared" si="128"/>
        <v>-5.9277032461310958E-5</v>
      </c>
      <c r="BO178" s="243">
        <f t="shared" si="129"/>
        <v>-8.0572855234448593E-4</v>
      </c>
      <c r="BR178" s="200">
        <f t="shared" si="130"/>
        <v>6.9067638803292052E-9</v>
      </c>
      <c r="BS178" s="201">
        <f t="shared" si="131"/>
        <v>1.7256595864359327E-9</v>
      </c>
      <c r="BT178" s="201">
        <f t="shared" si="132"/>
        <v>3.963256972866979E-7</v>
      </c>
      <c r="BU178" s="201">
        <f t="shared" si="133"/>
        <v>7.4918449936684092E-7</v>
      </c>
      <c r="BV178" s="201">
        <f t="shared" si="134"/>
        <v>3.5137665774193131E-9</v>
      </c>
      <c r="BW178" s="201">
        <f t="shared" si="135"/>
        <v>6.4919850006314104E-7</v>
      </c>
    </row>
    <row r="179" spans="1:75" x14ac:dyDescent="0.25">
      <c r="A179" s="122">
        <v>22582</v>
      </c>
      <c r="B179" s="153">
        <v>225</v>
      </c>
      <c r="C179" s="184">
        <f>+'Sampling Weights'!R179</f>
        <v>994.93281580845996</v>
      </c>
      <c r="D179" s="155">
        <f>+SUM('Sampling Weights'!I179:N179)</f>
        <v>15</v>
      </c>
      <c r="E179" s="155">
        <v>6</v>
      </c>
      <c r="F179" s="155">
        <v>3</v>
      </c>
      <c r="G179" s="155">
        <v>1</v>
      </c>
      <c r="H179" s="154">
        <v>0</v>
      </c>
      <c r="I179" s="154">
        <v>0</v>
      </c>
      <c r="J179" s="154">
        <v>3</v>
      </c>
      <c r="K179" s="155"/>
      <c r="L179" s="172"/>
      <c r="M179" s="172"/>
      <c r="N179" s="172"/>
      <c r="P179" s="184"/>
      <c r="Q179" s="173"/>
      <c r="R179" s="167"/>
      <c r="S179" s="184">
        <f t="shared" si="118"/>
        <v>14923.992237126899</v>
      </c>
      <c r="T179" s="184">
        <f t="shared" si="118"/>
        <v>5969.5968948507598</v>
      </c>
      <c r="U179" s="184">
        <f t="shared" si="118"/>
        <v>2984.7984474253799</v>
      </c>
      <c r="V179" s="184">
        <f t="shared" si="115"/>
        <v>994.93281580845996</v>
      </c>
      <c r="W179" s="184">
        <f t="shared" si="114"/>
        <v>0</v>
      </c>
      <c r="X179" s="184">
        <f t="shared" si="114"/>
        <v>0</v>
      </c>
      <c r="Y179" s="184">
        <f t="shared" si="114"/>
        <v>2984.7984474253799</v>
      </c>
      <c r="AA179" s="167">
        <f t="shared" si="119"/>
        <v>222725544.29382393</v>
      </c>
      <c r="AB179" s="167">
        <f t="shared" si="120"/>
        <v>35636087.087011836</v>
      </c>
      <c r="AC179" s="167">
        <f t="shared" si="121"/>
        <v>8909021.7717529591</v>
      </c>
      <c r="AD179" s="167">
        <f t="shared" si="122"/>
        <v>989891.30797255097</v>
      </c>
      <c r="AE179" s="167">
        <f t="shared" si="123"/>
        <v>0</v>
      </c>
      <c r="AF179" s="167">
        <f t="shared" si="124"/>
        <v>0</v>
      </c>
      <c r="AG179" s="167">
        <f t="shared" si="125"/>
        <v>8909021.7717529591</v>
      </c>
      <c r="AK179" s="167"/>
      <c r="BA179" s="167"/>
      <c r="BJ179" s="201">
        <f t="shared" si="116"/>
        <v>1.0143125978837187E-3</v>
      </c>
      <c r="BK179" s="201">
        <f t="shared" si="117"/>
        <v>3.3478933781082732E-4</v>
      </c>
      <c r="BL179" s="243">
        <f t="shared" si="126"/>
        <v>3.1355102305573762E-4</v>
      </c>
      <c r="BM179" s="243">
        <f t="shared" si="127"/>
        <v>-4.5484253344505151E-3</v>
      </c>
      <c r="BN179" s="243">
        <f t="shared" si="128"/>
        <v>-2.0903401537049178E-4</v>
      </c>
      <c r="BO179" s="243">
        <f t="shared" si="129"/>
        <v>4.7593948499633264E-3</v>
      </c>
      <c r="BR179" s="200">
        <f t="shared" si="130"/>
        <v>1.0288300462256186E-6</v>
      </c>
      <c r="BS179" s="201">
        <f t="shared" si="131"/>
        <v>1.1208390071181226E-7</v>
      </c>
      <c r="BT179" s="201">
        <f t="shared" si="132"/>
        <v>9.8314244059299706E-8</v>
      </c>
      <c r="BU179" s="201">
        <f t="shared" si="133"/>
        <v>2.0688173023071279E-5</v>
      </c>
      <c r="BV179" s="201">
        <f t="shared" si="134"/>
        <v>4.3695219581910995E-8</v>
      </c>
      <c r="BW179" s="201">
        <f t="shared" si="135"/>
        <v>2.2651839337857433E-5</v>
      </c>
    </row>
    <row r="180" spans="1:75" x14ac:dyDescent="0.25">
      <c r="A180" s="122">
        <v>12691</v>
      </c>
      <c r="B180" s="153">
        <v>126</v>
      </c>
      <c r="C180" s="184">
        <f>+'Sampling Weights'!R180</f>
        <v>88.689170707716002</v>
      </c>
      <c r="D180" s="155">
        <f>+SUM('Sampling Weights'!I180:N180)</f>
        <v>19</v>
      </c>
      <c r="E180" s="155">
        <v>7</v>
      </c>
      <c r="F180" s="155">
        <v>7</v>
      </c>
      <c r="G180" s="155">
        <v>0</v>
      </c>
      <c r="H180" s="154">
        <v>1</v>
      </c>
      <c r="I180" s="154">
        <v>0</v>
      </c>
      <c r="J180" s="154">
        <v>6</v>
      </c>
      <c r="K180" s="155"/>
      <c r="L180" s="172"/>
      <c r="M180" s="172"/>
      <c r="N180" s="172"/>
      <c r="P180" s="184"/>
      <c r="Q180" s="173"/>
      <c r="R180" s="167"/>
      <c r="S180" s="184">
        <f t="shared" si="118"/>
        <v>1685.094243446604</v>
      </c>
      <c r="T180" s="184">
        <f t="shared" si="118"/>
        <v>620.824194954012</v>
      </c>
      <c r="U180" s="184">
        <f t="shared" si="118"/>
        <v>620.824194954012</v>
      </c>
      <c r="V180" s="184">
        <f t="shared" si="115"/>
        <v>0</v>
      </c>
      <c r="W180" s="184">
        <f t="shared" si="114"/>
        <v>88.689170707716002</v>
      </c>
      <c r="X180" s="184">
        <f t="shared" si="114"/>
        <v>0</v>
      </c>
      <c r="Y180" s="184">
        <f t="shared" si="114"/>
        <v>532.13502424629598</v>
      </c>
      <c r="AA180" s="167">
        <f t="shared" si="119"/>
        <v>2839542.6092968825</v>
      </c>
      <c r="AB180" s="167">
        <f t="shared" si="120"/>
        <v>385422.68104029709</v>
      </c>
      <c r="AC180" s="167">
        <f t="shared" si="121"/>
        <v>385422.68104029709</v>
      </c>
      <c r="AD180" s="167">
        <f t="shared" si="122"/>
        <v>0</v>
      </c>
      <c r="AE180" s="167">
        <f t="shared" si="123"/>
        <v>7865.7690008223899</v>
      </c>
      <c r="AF180" s="167">
        <f t="shared" si="124"/>
        <v>0</v>
      </c>
      <c r="AG180" s="167">
        <f t="shared" si="125"/>
        <v>283167.684029606</v>
      </c>
      <c r="AK180" s="167"/>
      <c r="BA180" s="167"/>
      <c r="BJ180" s="201">
        <f t="shared" si="116"/>
        <v>9.6301522596635059E-5</v>
      </c>
      <c r="BK180" s="201">
        <f t="shared" si="117"/>
        <v>1.3500858142135948E-4</v>
      </c>
      <c r="BL180" s="243">
        <f t="shared" si="126"/>
        <v>-4.6175355678635207E-4</v>
      </c>
      <c r="BM180" s="243">
        <f t="shared" si="127"/>
        <v>-7.2020672457784112E-4</v>
      </c>
      <c r="BN180" s="243">
        <f t="shared" si="128"/>
        <v>-4.3478102992960785E-5</v>
      </c>
      <c r="BO180" s="243">
        <f t="shared" si="129"/>
        <v>7.6408740259851441E-4</v>
      </c>
      <c r="BR180" s="200">
        <f t="shared" si="130"/>
        <v>9.2739832544302136E-9</v>
      </c>
      <c r="BS180" s="201">
        <f t="shared" si="131"/>
        <v>1.8227317057407853E-8</v>
      </c>
      <c r="BT180" s="201">
        <f t="shared" si="132"/>
        <v>2.1321634720484688E-7</v>
      </c>
      <c r="BU180" s="201">
        <f t="shared" si="133"/>
        <v>5.1869772612714231E-7</v>
      </c>
      <c r="BV180" s="201">
        <f t="shared" si="134"/>
        <v>1.8903454398665056E-9</v>
      </c>
      <c r="BW180" s="201">
        <f t="shared" si="135"/>
        <v>5.8382955880974422E-7</v>
      </c>
    </row>
    <row r="181" spans="1:75" x14ac:dyDescent="0.25">
      <c r="A181" s="122">
        <v>12692</v>
      </c>
      <c r="B181" s="153">
        <v>126</v>
      </c>
      <c r="C181" s="184">
        <f>+'Sampling Weights'!R181</f>
        <v>27.087587625619644</v>
      </c>
      <c r="D181" s="155">
        <f>+SUM('Sampling Weights'!I181:N181)</f>
        <v>12</v>
      </c>
      <c r="E181" s="155">
        <v>0</v>
      </c>
      <c r="F181" s="155">
        <v>0</v>
      </c>
      <c r="G181" s="155">
        <v>0</v>
      </c>
      <c r="H181" s="154">
        <v>0</v>
      </c>
      <c r="I181" s="154">
        <v>0</v>
      </c>
      <c r="J181" s="154">
        <v>0</v>
      </c>
      <c r="K181" s="155"/>
      <c r="L181" s="172"/>
      <c r="M181" s="172"/>
      <c r="N181" s="172"/>
      <c r="P181" s="184"/>
      <c r="Q181" s="173"/>
      <c r="R181" s="167"/>
      <c r="S181" s="184">
        <f t="shared" si="118"/>
        <v>325.05105150743572</v>
      </c>
      <c r="T181" s="184">
        <f t="shared" si="118"/>
        <v>0</v>
      </c>
      <c r="U181" s="184">
        <f t="shared" si="118"/>
        <v>0</v>
      </c>
      <c r="V181" s="184">
        <f t="shared" si="115"/>
        <v>0</v>
      </c>
      <c r="W181" s="184">
        <f t="shared" si="114"/>
        <v>0</v>
      </c>
      <c r="X181" s="184">
        <f t="shared" si="114"/>
        <v>0</v>
      </c>
      <c r="Y181" s="184">
        <f t="shared" si="114"/>
        <v>0</v>
      </c>
      <c r="AA181" s="167">
        <f t="shared" si="119"/>
        <v>105658.18608608963</v>
      </c>
      <c r="AB181" s="167">
        <f t="shared" si="120"/>
        <v>0</v>
      </c>
      <c r="AC181" s="167">
        <f t="shared" si="121"/>
        <v>0</v>
      </c>
      <c r="AD181" s="167">
        <f t="shared" si="122"/>
        <v>0</v>
      </c>
      <c r="AE181" s="167">
        <f t="shared" si="123"/>
        <v>0</v>
      </c>
      <c r="AF181" s="167">
        <f t="shared" si="124"/>
        <v>0</v>
      </c>
      <c r="AG181" s="167">
        <f t="shared" si="125"/>
        <v>0</v>
      </c>
      <c r="AK181" s="167"/>
      <c r="BA181" s="167"/>
      <c r="BJ181" s="201">
        <f t="shared" si="116"/>
        <v>-2.2441471605737644E-5</v>
      </c>
      <c r="BK181" s="201">
        <f t="shared" si="117"/>
        <v>-1.497496329579129E-5</v>
      </c>
      <c r="BL181" s="243">
        <f t="shared" si="126"/>
        <v>0</v>
      </c>
      <c r="BM181" s="243">
        <f t="shared" si="127"/>
        <v>0</v>
      </c>
      <c r="BN181" s="243">
        <f t="shared" si="128"/>
        <v>0</v>
      </c>
      <c r="BO181" s="243">
        <f t="shared" si="129"/>
        <v>0</v>
      </c>
      <c r="BR181" s="200">
        <f t="shared" si="130"/>
        <v>5.0361964783112887E-10</v>
      </c>
      <c r="BS181" s="201">
        <f t="shared" si="131"/>
        <v>2.2424952571029633E-10</v>
      </c>
      <c r="BT181" s="201">
        <f t="shared" si="132"/>
        <v>0</v>
      </c>
      <c r="BU181" s="201">
        <f t="shared" si="133"/>
        <v>0</v>
      </c>
      <c r="BV181" s="201">
        <f t="shared" si="134"/>
        <v>0</v>
      </c>
      <c r="BW181" s="201">
        <f t="shared" si="135"/>
        <v>0</v>
      </c>
    </row>
    <row r="182" spans="1:75" x14ac:dyDescent="0.25">
      <c r="A182" s="122">
        <v>22683</v>
      </c>
      <c r="B182" s="153">
        <v>226</v>
      </c>
      <c r="C182" s="184">
        <f>+'Sampling Weights'!R182</f>
        <v>173.89756423106499</v>
      </c>
      <c r="D182" s="155">
        <f>+SUM('Sampling Weights'!I182:N182)</f>
        <v>10</v>
      </c>
      <c r="E182" s="155">
        <v>1</v>
      </c>
      <c r="F182" s="155">
        <v>1</v>
      </c>
      <c r="G182" s="155">
        <v>0</v>
      </c>
      <c r="H182" s="154">
        <v>1</v>
      </c>
      <c r="I182" s="154">
        <v>0</v>
      </c>
      <c r="J182" s="154">
        <v>0</v>
      </c>
      <c r="K182" s="155"/>
      <c r="L182" s="172"/>
      <c r="M182" s="172"/>
      <c r="N182" s="172"/>
      <c r="P182" s="184"/>
      <c r="Q182" s="173"/>
      <c r="R182" s="167"/>
      <c r="S182" s="184">
        <f t="shared" si="118"/>
        <v>1738.9756423106498</v>
      </c>
      <c r="T182" s="184">
        <f t="shared" si="118"/>
        <v>173.89756423106499</v>
      </c>
      <c r="U182" s="184">
        <f t="shared" si="118"/>
        <v>173.89756423106499</v>
      </c>
      <c r="V182" s="184">
        <f t="shared" si="115"/>
        <v>0</v>
      </c>
      <c r="W182" s="184">
        <f t="shared" si="114"/>
        <v>173.89756423106499</v>
      </c>
      <c r="X182" s="184">
        <f t="shared" si="114"/>
        <v>0</v>
      </c>
      <c r="Y182" s="184">
        <f t="shared" si="114"/>
        <v>0</v>
      </c>
      <c r="AA182" s="167">
        <f t="shared" si="119"/>
        <v>3024036.2845497373</v>
      </c>
      <c r="AB182" s="167">
        <f t="shared" si="120"/>
        <v>30240.362845497373</v>
      </c>
      <c r="AC182" s="167">
        <f t="shared" si="121"/>
        <v>30240.362845497373</v>
      </c>
      <c r="AD182" s="167">
        <f t="shared" si="122"/>
        <v>0</v>
      </c>
      <c r="AE182" s="167">
        <f t="shared" si="123"/>
        <v>30240.362845497373</v>
      </c>
      <c r="AF182" s="167">
        <f t="shared" si="124"/>
        <v>0</v>
      </c>
      <c r="AG182" s="167">
        <f t="shared" si="125"/>
        <v>0</v>
      </c>
      <c r="AK182" s="167"/>
      <c r="BA182" s="167"/>
      <c r="BJ182" s="201">
        <f t="shared" si="116"/>
        <v>-6.0496475307008973E-5</v>
      </c>
      <c r="BK182" s="201">
        <f t="shared" si="117"/>
        <v>-2.0551746551656042E-5</v>
      </c>
      <c r="BL182" s="243">
        <f t="shared" si="126"/>
        <v>-1.2934067237203197E-4</v>
      </c>
      <c r="BM182" s="243">
        <f t="shared" si="127"/>
        <v>1.7782932897183467E-4</v>
      </c>
      <c r="BN182" s="243">
        <f t="shared" si="128"/>
        <v>-1.2178546308787666E-5</v>
      </c>
      <c r="BO182" s="243">
        <f t="shared" si="129"/>
        <v>-1.6553801834537311E-4</v>
      </c>
      <c r="BR182" s="200">
        <f t="shared" si="130"/>
        <v>3.6598235245715463E-9</v>
      </c>
      <c r="BS182" s="201">
        <f t="shared" si="131"/>
        <v>4.2237428632350601E-10</v>
      </c>
      <c r="BT182" s="201">
        <f t="shared" si="132"/>
        <v>1.6729009529649315E-8</v>
      </c>
      <c r="BU182" s="201">
        <f t="shared" si="133"/>
        <v>3.1623270242572996E-8</v>
      </c>
      <c r="BV182" s="201">
        <f t="shared" si="134"/>
        <v>1.483169901952857E-10</v>
      </c>
      <c r="BW182" s="201">
        <f t="shared" si="135"/>
        <v>2.7402835517713086E-8</v>
      </c>
    </row>
    <row r="183" spans="1:75" x14ac:dyDescent="0.25">
      <c r="A183" s="122">
        <v>22684</v>
      </c>
      <c r="B183" s="153">
        <v>226</v>
      </c>
      <c r="C183" s="184">
        <f>+'Sampling Weights'!R183</f>
        <v>177.16492168895959</v>
      </c>
      <c r="D183" s="155">
        <f>+SUM('Sampling Weights'!I183:N183)</f>
        <v>12</v>
      </c>
      <c r="E183" s="155">
        <v>4</v>
      </c>
      <c r="F183" s="155">
        <v>1</v>
      </c>
      <c r="G183" s="155">
        <v>0</v>
      </c>
      <c r="H183" s="154">
        <v>1</v>
      </c>
      <c r="I183" s="154">
        <v>0</v>
      </c>
      <c r="J183" s="154">
        <v>0</v>
      </c>
      <c r="K183" s="155"/>
      <c r="L183" s="172"/>
      <c r="M183" s="172"/>
      <c r="N183" s="172"/>
      <c r="P183" s="184"/>
      <c r="Q183" s="173"/>
      <c r="R183" s="167"/>
      <c r="S183" s="184">
        <f t="shared" si="118"/>
        <v>2125.9790602675153</v>
      </c>
      <c r="T183" s="184">
        <f t="shared" si="118"/>
        <v>708.65968675583838</v>
      </c>
      <c r="U183" s="184">
        <f t="shared" si="118"/>
        <v>177.16492168895959</v>
      </c>
      <c r="V183" s="184">
        <f t="shared" si="115"/>
        <v>0</v>
      </c>
      <c r="W183" s="184">
        <f t="shared" si="114"/>
        <v>177.16492168895959</v>
      </c>
      <c r="X183" s="184">
        <f t="shared" si="114"/>
        <v>0</v>
      </c>
      <c r="Y183" s="184">
        <f t="shared" si="114"/>
        <v>0</v>
      </c>
      <c r="AA183" s="167">
        <f t="shared" si="119"/>
        <v>4519786.9646959472</v>
      </c>
      <c r="AB183" s="167">
        <f t="shared" si="120"/>
        <v>502198.55163288297</v>
      </c>
      <c r="AC183" s="167">
        <f t="shared" si="121"/>
        <v>31387.409477055186</v>
      </c>
      <c r="AD183" s="167">
        <f t="shared" si="122"/>
        <v>0</v>
      </c>
      <c r="AE183" s="167">
        <f t="shared" si="123"/>
        <v>31387.409477055186</v>
      </c>
      <c r="AF183" s="167">
        <f t="shared" si="124"/>
        <v>0</v>
      </c>
      <c r="AG183" s="167">
        <f t="shared" si="125"/>
        <v>0</v>
      </c>
      <c r="AK183" s="167"/>
      <c r="BA183" s="167"/>
      <c r="BJ183" s="201">
        <f t="shared" si="116"/>
        <v>9.5947675795639834E-5</v>
      </c>
      <c r="BK183" s="201">
        <f t="shared" si="117"/>
        <v>-3.7261717608184553E-5</v>
      </c>
      <c r="BL183" s="243">
        <f t="shared" si="126"/>
        <v>-1.3177085138202851E-4</v>
      </c>
      <c r="BM183" s="243">
        <f t="shared" si="127"/>
        <v>1.8117056026979857E-4</v>
      </c>
      <c r="BN183" s="243">
        <f t="shared" si="128"/>
        <v>-1.2407368743905041E-5</v>
      </c>
      <c r="BO183" s="243">
        <f t="shared" si="129"/>
        <v>-1.6864830848196851E-4</v>
      </c>
      <c r="BR183" s="200">
        <f t="shared" si="130"/>
        <v>9.2059564905852098E-9</v>
      </c>
      <c r="BS183" s="201">
        <f t="shared" si="131"/>
        <v>1.3884355991120907E-9</v>
      </c>
      <c r="BT183" s="201">
        <f t="shared" si="132"/>
        <v>1.7363557273944646E-8</v>
      </c>
      <c r="BU183" s="201">
        <f t="shared" si="133"/>
        <v>3.2822771908472719E-8</v>
      </c>
      <c r="BV183" s="201">
        <f t="shared" si="134"/>
        <v>1.5394279914723175E-10</v>
      </c>
      <c r="BW183" s="201">
        <f t="shared" si="135"/>
        <v>2.8442251953829212E-8</v>
      </c>
    </row>
    <row r="184" spans="1:75" x14ac:dyDescent="0.25">
      <c r="A184" s="122">
        <v>22685</v>
      </c>
      <c r="B184" s="153">
        <v>226</v>
      </c>
      <c r="C184" s="184">
        <f>+'Sampling Weights'!R184</f>
        <v>763.05216116015401</v>
      </c>
      <c r="D184" s="155">
        <f>+SUM('Sampling Weights'!I184:N184)</f>
        <v>14</v>
      </c>
      <c r="E184" s="155">
        <v>1</v>
      </c>
      <c r="F184" s="155">
        <v>1</v>
      </c>
      <c r="G184" s="155">
        <v>0</v>
      </c>
      <c r="H184" s="154">
        <v>1</v>
      </c>
      <c r="I184" s="154">
        <v>0</v>
      </c>
      <c r="J184" s="154">
        <v>0</v>
      </c>
      <c r="K184" s="154"/>
      <c r="L184" s="172"/>
      <c r="M184" s="172"/>
      <c r="N184" s="172"/>
      <c r="P184" s="184"/>
      <c r="Q184" s="173"/>
      <c r="R184" s="167"/>
      <c r="S184" s="184">
        <f t="shared" si="118"/>
        <v>10682.730256242156</v>
      </c>
      <c r="T184" s="184">
        <f t="shared" si="118"/>
        <v>763.05216116015401</v>
      </c>
      <c r="U184" s="184">
        <f t="shared" si="118"/>
        <v>763.05216116015401</v>
      </c>
      <c r="V184" s="184">
        <f t="shared" si="115"/>
        <v>0</v>
      </c>
      <c r="W184" s="184">
        <f t="shared" si="114"/>
        <v>763.05216116015401</v>
      </c>
      <c r="X184" s="184">
        <f t="shared" si="114"/>
        <v>0</v>
      </c>
      <c r="Y184" s="184">
        <f t="shared" si="114"/>
        <v>0</v>
      </c>
      <c r="AA184" s="167">
        <f t="shared" si="119"/>
        <v>114120725.72763158</v>
      </c>
      <c r="AB184" s="167">
        <f t="shared" si="120"/>
        <v>582248.60065118165</v>
      </c>
      <c r="AC184" s="167">
        <f t="shared" si="121"/>
        <v>582248.60065118165</v>
      </c>
      <c r="AD184" s="167">
        <f t="shared" si="122"/>
        <v>0</v>
      </c>
      <c r="AE184" s="167">
        <f t="shared" si="123"/>
        <v>582248.60065118165</v>
      </c>
      <c r="AF184" s="167">
        <f t="shared" si="124"/>
        <v>0</v>
      </c>
      <c r="AG184" s="167">
        <f t="shared" si="125"/>
        <v>0</v>
      </c>
      <c r="AK184" s="167"/>
      <c r="BA184" s="167"/>
      <c r="BJ184" s="201">
        <f t="shared" si="116"/>
        <v>-4.7617892004174251E-4</v>
      </c>
      <c r="BK184" s="201">
        <f t="shared" si="117"/>
        <v>-2.3079379096357117E-4</v>
      </c>
      <c r="BL184" s="243">
        <f t="shared" si="126"/>
        <v>-5.6753917178648916E-4</v>
      </c>
      <c r="BM184" s="243">
        <f t="shared" si="127"/>
        <v>7.8030451081716938E-4</v>
      </c>
      <c r="BN184" s="243">
        <f t="shared" si="128"/>
        <v>-5.3438736314682503E-5</v>
      </c>
      <c r="BO184" s="243">
        <f t="shared" si="129"/>
        <v>-7.2637097138846213E-4</v>
      </c>
      <c r="BR184" s="200">
        <f t="shared" si="130"/>
        <v>2.267463638921202E-7</v>
      </c>
      <c r="BS184" s="201">
        <f t="shared" si="131"/>
        <v>5.3265773947336583E-8</v>
      </c>
      <c r="BT184" s="201">
        <f t="shared" si="132"/>
        <v>3.2210071151209403E-7</v>
      </c>
      <c r="BU184" s="201">
        <f t="shared" si="133"/>
        <v>6.0887512960162198E-7</v>
      </c>
      <c r="BV184" s="201">
        <f t="shared" si="134"/>
        <v>2.8556985389101665E-9</v>
      </c>
      <c r="BW184" s="201">
        <f t="shared" si="135"/>
        <v>5.2761478807581803E-7</v>
      </c>
    </row>
    <row r="185" spans="1:75" x14ac:dyDescent="0.25">
      <c r="A185" s="122">
        <v>12793</v>
      </c>
      <c r="B185" s="153">
        <v>127</v>
      </c>
      <c r="C185" s="184">
        <f>+'Sampling Weights'!R185</f>
        <v>67.373935991680213</v>
      </c>
      <c r="D185" s="155">
        <f>+SUM('Sampling Weights'!I185:N185)</f>
        <v>12</v>
      </c>
      <c r="E185" s="155">
        <v>0</v>
      </c>
      <c r="F185" s="155">
        <v>0</v>
      </c>
      <c r="G185" s="155">
        <v>0</v>
      </c>
      <c r="H185" s="154">
        <v>0</v>
      </c>
      <c r="I185" s="154">
        <v>0</v>
      </c>
      <c r="J185" s="154">
        <v>0</v>
      </c>
      <c r="K185" s="155"/>
      <c r="L185" s="172"/>
      <c r="M185" s="172"/>
      <c r="N185" s="172"/>
      <c r="P185" s="184"/>
      <c r="Q185" s="173"/>
      <c r="R185" s="167"/>
      <c r="S185" s="184">
        <f t="shared" si="118"/>
        <v>808.48723190016256</v>
      </c>
      <c r="T185" s="184">
        <f t="shared" si="118"/>
        <v>0</v>
      </c>
      <c r="U185" s="184">
        <f t="shared" si="118"/>
        <v>0</v>
      </c>
      <c r="V185" s="184">
        <f t="shared" si="115"/>
        <v>0</v>
      </c>
      <c r="W185" s="184">
        <f t="shared" si="114"/>
        <v>0</v>
      </c>
      <c r="X185" s="184">
        <f t="shared" si="114"/>
        <v>0</v>
      </c>
      <c r="Y185" s="184">
        <f t="shared" si="114"/>
        <v>0</v>
      </c>
      <c r="AA185" s="167">
        <f t="shared" si="119"/>
        <v>653651.60414558719</v>
      </c>
      <c r="AB185" s="167">
        <f t="shared" si="120"/>
        <v>0</v>
      </c>
      <c r="AC185" s="167">
        <f t="shared" si="121"/>
        <v>0</v>
      </c>
      <c r="AD185" s="167">
        <f t="shared" si="122"/>
        <v>0</v>
      </c>
      <c r="AE185" s="167">
        <f t="shared" si="123"/>
        <v>0</v>
      </c>
      <c r="AF185" s="167">
        <f t="shared" si="124"/>
        <v>0</v>
      </c>
      <c r="AG185" s="167">
        <f t="shared" si="125"/>
        <v>0</v>
      </c>
      <c r="AK185" s="167"/>
      <c r="BA185" s="167"/>
      <c r="BJ185" s="201">
        <f t="shared" si="116"/>
        <v>-5.5817826689521971E-5</v>
      </c>
      <c r="BK185" s="201">
        <f t="shared" si="117"/>
        <v>-3.7246661921793163E-5</v>
      </c>
      <c r="BL185" s="243">
        <f t="shared" si="126"/>
        <v>0</v>
      </c>
      <c r="BM185" s="243">
        <f t="shared" si="127"/>
        <v>0</v>
      </c>
      <c r="BN185" s="243">
        <f t="shared" si="128"/>
        <v>0</v>
      </c>
      <c r="BO185" s="243">
        <f t="shared" si="129"/>
        <v>0</v>
      </c>
      <c r="BR185" s="200">
        <f t="shared" si="130"/>
        <v>3.115629776341511E-9</v>
      </c>
      <c r="BS185" s="201">
        <f t="shared" si="131"/>
        <v>1.3873138243163568E-9</v>
      </c>
      <c r="BT185" s="201">
        <f t="shared" si="132"/>
        <v>0</v>
      </c>
      <c r="BU185" s="201">
        <f t="shared" si="133"/>
        <v>0</v>
      </c>
      <c r="BV185" s="201">
        <f t="shared" si="134"/>
        <v>0</v>
      </c>
      <c r="BW185" s="201">
        <f t="shared" si="135"/>
        <v>0</v>
      </c>
    </row>
    <row r="186" spans="1:75" x14ac:dyDescent="0.25">
      <c r="A186" s="122">
        <v>12794</v>
      </c>
      <c r="B186" s="153">
        <v>127</v>
      </c>
      <c r="C186" s="184">
        <f>+'Sampling Weights'!R186</f>
        <v>227.7294732282428</v>
      </c>
      <c r="D186" s="155">
        <f>+SUM('Sampling Weights'!I186:N186)</f>
        <v>13</v>
      </c>
      <c r="E186" s="155">
        <v>6</v>
      </c>
      <c r="F186" s="155">
        <v>6</v>
      </c>
      <c r="G186" s="155">
        <v>3</v>
      </c>
      <c r="H186" s="154">
        <v>2</v>
      </c>
      <c r="I186" s="154">
        <v>0</v>
      </c>
      <c r="J186" s="154">
        <v>4</v>
      </c>
      <c r="K186" s="155"/>
      <c r="L186" s="172"/>
      <c r="M186" s="172"/>
      <c r="N186" s="172"/>
      <c r="P186" s="184"/>
      <c r="Q186" s="173"/>
      <c r="R186" s="167"/>
      <c r="S186" s="184">
        <f t="shared" si="118"/>
        <v>2960.4831519671561</v>
      </c>
      <c r="T186" s="184">
        <f t="shared" si="118"/>
        <v>1366.3768393694568</v>
      </c>
      <c r="U186" s="184">
        <f t="shared" si="118"/>
        <v>1366.3768393694568</v>
      </c>
      <c r="V186" s="184">
        <f t="shared" si="115"/>
        <v>683.18841968472839</v>
      </c>
      <c r="W186" s="184">
        <f t="shared" si="114"/>
        <v>455.45894645648559</v>
      </c>
      <c r="X186" s="184">
        <f t="shared" si="114"/>
        <v>0</v>
      </c>
      <c r="Y186" s="184">
        <f t="shared" si="114"/>
        <v>910.91789291297118</v>
      </c>
      <c r="AA186" s="167">
        <f t="shared" si="119"/>
        <v>8764460.4930813871</v>
      </c>
      <c r="AB186" s="167">
        <f t="shared" si="120"/>
        <v>1866985.6671652663</v>
      </c>
      <c r="AC186" s="167">
        <f t="shared" si="121"/>
        <v>1866985.6671652663</v>
      </c>
      <c r="AD186" s="167">
        <f t="shared" si="122"/>
        <v>466746.41679131659</v>
      </c>
      <c r="AE186" s="167">
        <f t="shared" si="123"/>
        <v>207442.85190725181</v>
      </c>
      <c r="AF186" s="167">
        <f t="shared" si="124"/>
        <v>0</v>
      </c>
      <c r="AG186" s="167">
        <f t="shared" si="125"/>
        <v>829771.40762900724</v>
      </c>
      <c r="AK186" s="167"/>
      <c r="BA186" s="167"/>
      <c r="BJ186" s="201">
        <f t="shared" si="116"/>
        <v>2.6361010934605576E-4</v>
      </c>
      <c r="BK186" s="201">
        <f t="shared" si="117"/>
        <v>3.3161318748750054E-4</v>
      </c>
      <c r="BL186" s="243">
        <f t="shared" si="126"/>
        <v>7.234439323259114E-4</v>
      </c>
      <c r="BM186" s="243">
        <f t="shared" si="127"/>
        <v>-9.2235778757045184E-4</v>
      </c>
      <c r="BN186" s="243">
        <f t="shared" si="128"/>
        <v>-9.5691297845925823E-5</v>
      </c>
      <c r="BO186" s="243">
        <f t="shared" si="129"/>
        <v>1.0189351159519877E-3</v>
      </c>
      <c r="BR186" s="200">
        <f t="shared" si="130"/>
        <v>6.9490289749439477E-8</v>
      </c>
      <c r="BS186" s="201">
        <f t="shared" si="131"/>
        <v>1.0996730611562019E-7</v>
      </c>
      <c r="BT186" s="201">
        <f t="shared" si="132"/>
        <v>5.2337112321917783E-7</v>
      </c>
      <c r="BU186" s="201">
        <f t="shared" si="133"/>
        <v>8.5074388829185878E-7</v>
      </c>
      <c r="BV186" s="201">
        <f t="shared" si="134"/>
        <v>9.1568244834376877E-9</v>
      </c>
      <c r="BW186" s="201">
        <f t="shared" si="135"/>
        <v>1.0382287705200905E-6</v>
      </c>
    </row>
    <row r="187" spans="1:75" x14ac:dyDescent="0.25">
      <c r="A187" s="122">
        <v>22786</v>
      </c>
      <c r="B187" s="153">
        <v>227</v>
      </c>
      <c r="C187" s="184">
        <f>+'Sampling Weights'!R187</f>
        <v>1346.4887371881673</v>
      </c>
      <c r="D187" s="155">
        <f>+SUM('Sampling Weights'!I187:N187)</f>
        <v>15</v>
      </c>
      <c r="E187" s="155">
        <v>7</v>
      </c>
      <c r="F187" s="155">
        <v>1</v>
      </c>
      <c r="G187" s="155">
        <v>0</v>
      </c>
      <c r="H187" s="154">
        <v>1</v>
      </c>
      <c r="I187" s="154">
        <v>0</v>
      </c>
      <c r="J187" s="154">
        <v>0</v>
      </c>
      <c r="K187" s="155"/>
      <c r="L187" s="172"/>
      <c r="M187" s="172"/>
      <c r="N187" s="172"/>
      <c r="P187" s="184"/>
      <c r="Q187" s="173"/>
      <c r="R187" s="167"/>
      <c r="S187" s="184">
        <f t="shared" si="118"/>
        <v>20197.33105782251</v>
      </c>
      <c r="T187" s="184">
        <f t="shared" si="118"/>
        <v>9425.4211603171716</v>
      </c>
      <c r="U187" s="184">
        <f t="shared" si="118"/>
        <v>1346.4887371881673</v>
      </c>
      <c r="V187" s="184">
        <f t="shared" si="115"/>
        <v>0</v>
      </c>
      <c r="W187" s="184">
        <f t="shared" si="114"/>
        <v>1346.4887371881673</v>
      </c>
      <c r="X187" s="184">
        <f t="shared" si="114"/>
        <v>0</v>
      </c>
      <c r="Y187" s="184">
        <f t="shared" si="114"/>
        <v>0</v>
      </c>
      <c r="AA187" s="167">
        <f t="shared" si="119"/>
        <v>407932181.85928178</v>
      </c>
      <c r="AB187" s="167">
        <f t="shared" si="120"/>
        <v>88838564.049354702</v>
      </c>
      <c r="AC187" s="167">
        <f t="shared" si="121"/>
        <v>1813031.9193745854</v>
      </c>
      <c r="AD187" s="167">
        <f t="shared" si="122"/>
        <v>0</v>
      </c>
      <c r="AE187" s="167">
        <f t="shared" si="123"/>
        <v>1813031.9193745854</v>
      </c>
      <c r="AF187" s="167">
        <f t="shared" si="124"/>
        <v>0</v>
      </c>
      <c r="AG187" s="167">
        <f t="shared" si="125"/>
        <v>0</v>
      </c>
      <c r="AK187" s="167"/>
      <c r="BA187" s="167"/>
      <c r="BJ187" s="201">
        <f t="shared" si="116"/>
        <v>1.8339057518466011E-3</v>
      </c>
      <c r="BK187" s="201">
        <f t="shared" si="117"/>
        <v>-4.6929297037486472E-4</v>
      </c>
      <c r="BL187" s="243">
        <f t="shared" si="126"/>
        <v>-1.0014847498259248E-3</v>
      </c>
      <c r="BM187" s="243">
        <f t="shared" si="127"/>
        <v>1.3769323892549987E-3</v>
      </c>
      <c r="BN187" s="243">
        <f t="shared" si="128"/>
        <v>-9.42984768798604E-5</v>
      </c>
      <c r="BO187" s="243">
        <f t="shared" si="129"/>
        <v>-1.2817607783299544E-3</v>
      </c>
      <c r="BR187" s="200">
        <f t="shared" si="130"/>
        <v>3.3632103066560471E-6</v>
      </c>
      <c r="BS187" s="201">
        <f t="shared" si="131"/>
        <v>2.2023589204326366E-7</v>
      </c>
      <c r="BT187" s="201">
        <f t="shared" si="132"/>
        <v>1.0029717041338952E-6</v>
      </c>
      <c r="BU187" s="201">
        <f t="shared" si="133"/>
        <v>1.8959428045794791E-6</v>
      </c>
      <c r="BV187" s="201">
        <f t="shared" si="134"/>
        <v>8.8922027418615656E-9</v>
      </c>
      <c r="BW187" s="201">
        <f t="shared" si="135"/>
        <v>1.6429106928650104E-6</v>
      </c>
    </row>
    <row r="188" spans="1:75" x14ac:dyDescent="0.25">
      <c r="A188" s="122">
        <v>22787</v>
      </c>
      <c r="B188" s="153">
        <v>227</v>
      </c>
      <c r="C188" s="184">
        <f>+'Sampling Weights'!R188</f>
        <v>891.47210610861748</v>
      </c>
      <c r="D188" s="155">
        <f>+SUM('Sampling Weights'!I188:N188)</f>
        <v>14</v>
      </c>
      <c r="E188" s="155">
        <v>4</v>
      </c>
      <c r="F188" s="155">
        <v>2</v>
      </c>
      <c r="G188" s="155">
        <v>0</v>
      </c>
      <c r="H188" s="154">
        <v>1</v>
      </c>
      <c r="I188" s="154">
        <v>0</v>
      </c>
      <c r="J188" s="154">
        <v>1</v>
      </c>
      <c r="K188" s="155"/>
      <c r="L188" s="172"/>
      <c r="M188" s="172"/>
      <c r="N188" s="172"/>
      <c r="P188" s="184"/>
      <c r="Q188" s="173"/>
      <c r="R188" s="167"/>
      <c r="S188" s="184">
        <f t="shared" si="118"/>
        <v>12480.609485520645</v>
      </c>
      <c r="T188" s="184">
        <f t="shared" si="118"/>
        <v>3565.8884244344699</v>
      </c>
      <c r="U188" s="184">
        <f t="shared" si="118"/>
        <v>1782.944212217235</v>
      </c>
      <c r="V188" s="184">
        <f t="shared" si="115"/>
        <v>0</v>
      </c>
      <c r="W188" s="184">
        <f t="shared" si="114"/>
        <v>891.47210610861748</v>
      </c>
      <c r="X188" s="184">
        <f t="shared" si="114"/>
        <v>0</v>
      </c>
      <c r="Y188" s="184">
        <f t="shared" si="114"/>
        <v>891.47210610861748</v>
      </c>
      <c r="AA188" s="167">
        <f t="shared" si="119"/>
        <v>155765613.13006788</v>
      </c>
      <c r="AB188" s="167">
        <f t="shared" si="120"/>
        <v>12715560.255515747</v>
      </c>
      <c r="AC188" s="167">
        <f t="shared" si="121"/>
        <v>3178890.0638789367</v>
      </c>
      <c r="AD188" s="167">
        <f t="shared" si="122"/>
        <v>0</v>
      </c>
      <c r="AE188" s="167">
        <f t="shared" si="123"/>
        <v>794722.51596973417</v>
      </c>
      <c r="AF188" s="167">
        <f t="shared" si="124"/>
        <v>0</v>
      </c>
      <c r="AG188" s="167">
        <f t="shared" si="125"/>
        <v>794722.51596973417</v>
      </c>
      <c r="AK188" s="167"/>
      <c r="BA188" s="167"/>
      <c r="BJ188" s="201">
        <f t="shared" si="116"/>
        <v>3.5970273149023063E-4</v>
      </c>
      <c r="BK188" s="201">
        <f t="shared" si="117"/>
        <v>3.5704632357610261E-5</v>
      </c>
      <c r="BL188" s="243">
        <f t="shared" si="126"/>
        <v>-1.3261094497193909E-3</v>
      </c>
      <c r="BM188" s="243">
        <f t="shared" si="127"/>
        <v>-4.4685379452183524E-4</v>
      </c>
      <c r="BN188" s="243">
        <f t="shared" si="128"/>
        <v>-1.2486470843042216E-4</v>
      </c>
      <c r="BO188" s="243">
        <f t="shared" si="129"/>
        <v>5.7287465765994594E-4</v>
      </c>
      <c r="BR188" s="200">
        <f t="shared" si="130"/>
        <v>1.2938605504153294E-7</v>
      </c>
      <c r="BS188" s="201">
        <f t="shared" si="131"/>
        <v>1.2748207717921096E-9</v>
      </c>
      <c r="BT188" s="201">
        <f t="shared" si="132"/>
        <v>1.7585662726350657E-6</v>
      </c>
      <c r="BU188" s="201">
        <f t="shared" si="133"/>
        <v>1.9967831367856256E-7</v>
      </c>
      <c r="BV188" s="201">
        <f t="shared" si="134"/>
        <v>1.5591195411414338E-8</v>
      </c>
      <c r="BW188" s="201">
        <f t="shared" si="135"/>
        <v>3.2818537338900028E-7</v>
      </c>
    </row>
    <row r="189" spans="1:75" x14ac:dyDescent="0.25">
      <c r="A189" s="122">
        <v>22788</v>
      </c>
      <c r="B189" s="153">
        <v>227</v>
      </c>
      <c r="C189" s="184">
        <f>+'Sampling Weights'!R189</f>
        <v>579.47860875518199</v>
      </c>
      <c r="D189" s="155">
        <f>+SUM('Sampling Weights'!I189:N189)</f>
        <v>11</v>
      </c>
      <c r="E189" s="155">
        <v>3</v>
      </c>
      <c r="F189" s="155">
        <v>1</v>
      </c>
      <c r="G189" s="155">
        <v>0</v>
      </c>
      <c r="H189" s="154">
        <v>0</v>
      </c>
      <c r="I189" s="154">
        <v>0</v>
      </c>
      <c r="J189" s="154">
        <v>1</v>
      </c>
      <c r="K189" s="155"/>
      <c r="L189" s="172"/>
      <c r="M189" s="172"/>
      <c r="N189" s="172"/>
      <c r="P189" s="184"/>
      <c r="Q189" s="173"/>
      <c r="R189" s="167"/>
      <c r="S189" s="184">
        <f t="shared" si="118"/>
        <v>6374.2646963070019</v>
      </c>
      <c r="T189" s="184">
        <f t="shared" si="118"/>
        <v>1738.435826265546</v>
      </c>
      <c r="U189" s="184">
        <f t="shared" si="118"/>
        <v>579.47860875518199</v>
      </c>
      <c r="V189" s="184">
        <f t="shared" si="115"/>
        <v>0</v>
      </c>
      <c r="W189" s="184">
        <f t="shared" si="114"/>
        <v>0</v>
      </c>
      <c r="X189" s="184">
        <f t="shared" si="114"/>
        <v>0</v>
      </c>
      <c r="Y189" s="184">
        <f t="shared" si="114"/>
        <v>579.47860875518199</v>
      </c>
      <c r="AA189" s="167">
        <f t="shared" si="119"/>
        <v>40631250.418585792</v>
      </c>
      <c r="AB189" s="167">
        <f t="shared" si="120"/>
        <v>3022159.1220435714</v>
      </c>
      <c r="AC189" s="167">
        <f t="shared" si="121"/>
        <v>335795.45800484129</v>
      </c>
      <c r="AD189" s="167">
        <f t="shared" si="122"/>
        <v>0</v>
      </c>
      <c r="AE189" s="167">
        <f t="shared" si="123"/>
        <v>0</v>
      </c>
      <c r="AF189" s="167">
        <f t="shared" si="124"/>
        <v>0</v>
      </c>
      <c r="AG189" s="167">
        <f t="shared" si="125"/>
        <v>335795.45800484129</v>
      </c>
      <c r="AK189" s="167"/>
      <c r="BA189" s="167"/>
      <c r="BJ189" s="201">
        <f t="shared" si="116"/>
        <v>1.5535810614877133E-4</v>
      </c>
      <c r="BK189" s="201">
        <f t="shared" si="117"/>
        <v>-9.51808884693015E-5</v>
      </c>
      <c r="BL189" s="243">
        <f t="shared" si="126"/>
        <v>-4.3100174066852069E-4</v>
      </c>
      <c r="BM189" s="243">
        <f t="shared" si="127"/>
        <v>-8.8304628646122374E-4</v>
      </c>
      <c r="BN189" s="243">
        <f t="shared" si="128"/>
        <v>-4.0582552739494534E-5</v>
      </c>
      <c r="BO189" s="243">
        <f t="shared" si="129"/>
        <v>9.2400460357793576E-4</v>
      </c>
      <c r="BR189" s="200">
        <f t="shared" si="130"/>
        <v>2.4136141146132901E-8</v>
      </c>
      <c r="BS189" s="201">
        <f t="shared" si="131"/>
        <v>9.0594015298056113E-9</v>
      </c>
      <c r="BT189" s="201">
        <f t="shared" si="132"/>
        <v>1.8576250045929475E-7</v>
      </c>
      <c r="BU189" s="201">
        <f t="shared" si="133"/>
        <v>7.7977074403295763E-7</v>
      </c>
      <c r="BV189" s="201">
        <f t="shared" si="134"/>
        <v>1.6469435868538553E-9</v>
      </c>
      <c r="BW189" s="201">
        <f t="shared" si="135"/>
        <v>8.5378450743321818E-7</v>
      </c>
    </row>
    <row r="190" spans="1:75" x14ac:dyDescent="0.25">
      <c r="A190" s="122">
        <v>22789</v>
      </c>
      <c r="B190" s="153">
        <v>227</v>
      </c>
      <c r="C190" s="184">
        <f>+'Sampling Weights'!R190</f>
        <v>1535.2692296375269</v>
      </c>
      <c r="D190" s="155">
        <f>+SUM('Sampling Weights'!I190:N190)</f>
        <v>16</v>
      </c>
      <c r="E190" s="155">
        <v>1</v>
      </c>
      <c r="F190" s="155">
        <v>1</v>
      </c>
      <c r="G190" s="155">
        <v>0</v>
      </c>
      <c r="H190" s="154">
        <v>0</v>
      </c>
      <c r="I190" s="154">
        <v>0</v>
      </c>
      <c r="J190" s="154">
        <v>1</v>
      </c>
      <c r="K190" s="155"/>
      <c r="L190" s="172"/>
      <c r="M190" s="172"/>
      <c r="N190" s="172"/>
      <c r="P190" s="184"/>
      <c r="Q190" s="173"/>
      <c r="R190" s="167"/>
      <c r="S190" s="184">
        <f t="shared" si="118"/>
        <v>24564.30767420043</v>
      </c>
      <c r="T190" s="184">
        <f t="shared" si="118"/>
        <v>1535.2692296375269</v>
      </c>
      <c r="U190" s="184">
        <f t="shared" si="118"/>
        <v>1535.2692296375269</v>
      </c>
      <c r="V190" s="184">
        <f t="shared" si="115"/>
        <v>0</v>
      </c>
      <c r="W190" s="184">
        <f t="shared" si="114"/>
        <v>0</v>
      </c>
      <c r="X190" s="184">
        <f t="shared" si="114"/>
        <v>0</v>
      </c>
      <c r="Y190" s="184">
        <f t="shared" si="114"/>
        <v>1535.2692296375269</v>
      </c>
      <c r="AA190" s="167">
        <f t="shared" si="119"/>
        <v>603405211.51278222</v>
      </c>
      <c r="AB190" s="167">
        <f t="shared" si="120"/>
        <v>2357051.6074718055</v>
      </c>
      <c r="AC190" s="167">
        <f t="shared" si="121"/>
        <v>2357051.6074718055</v>
      </c>
      <c r="AD190" s="167">
        <f t="shared" si="122"/>
        <v>0</v>
      </c>
      <c r="AE190" s="167">
        <f t="shared" si="123"/>
        <v>0</v>
      </c>
      <c r="AF190" s="167">
        <f t="shared" si="124"/>
        <v>0</v>
      </c>
      <c r="AG190" s="167">
        <f t="shared" si="125"/>
        <v>2357051.6074718055</v>
      </c>
      <c r="AK190" s="167"/>
      <c r="BA190" s="167"/>
      <c r="BJ190" s="201">
        <f t="shared" si="116"/>
        <v>-1.1700666297445174E-3</v>
      </c>
      <c r="BK190" s="201">
        <f t="shared" si="117"/>
        <v>-6.0581800932957611E-4</v>
      </c>
      <c r="BL190" s="243">
        <f t="shared" si="126"/>
        <v>-1.1418949731208273E-3</v>
      </c>
      <c r="BM190" s="243">
        <f t="shared" si="127"/>
        <v>-2.3395407034297682E-3</v>
      </c>
      <c r="BN190" s="243">
        <f t="shared" si="128"/>
        <v>-1.0751931743421913E-4</v>
      </c>
      <c r="BO190" s="243">
        <f t="shared" si="129"/>
        <v>2.4480555700994891E-3</v>
      </c>
      <c r="BR190" s="200">
        <f t="shared" si="130"/>
        <v>1.3690559180416934E-6</v>
      </c>
      <c r="BS190" s="201">
        <f t="shared" si="131"/>
        <v>3.6701546042805039E-7</v>
      </c>
      <c r="BT190" s="201">
        <f t="shared" si="132"/>
        <v>1.3039241296386149E-6</v>
      </c>
      <c r="BU190" s="201">
        <f t="shared" si="133"/>
        <v>5.4734507030046542E-6</v>
      </c>
      <c r="BV190" s="201">
        <f t="shared" si="134"/>
        <v>1.1560403621520378E-8</v>
      </c>
      <c r="BW190" s="201">
        <f t="shared" si="135"/>
        <v>5.9929760742951345E-6</v>
      </c>
    </row>
    <row r="191" spans="1:75" x14ac:dyDescent="0.25">
      <c r="A191" s="122">
        <v>22790</v>
      </c>
      <c r="B191" s="153">
        <v>227</v>
      </c>
      <c r="C191" s="184">
        <f>+'Sampling Weights'!R191</f>
        <v>878.32609326616432</v>
      </c>
      <c r="D191" s="155">
        <f>+SUM('Sampling Weights'!I191:N191)</f>
        <v>12</v>
      </c>
      <c r="E191" s="155">
        <v>5</v>
      </c>
      <c r="F191" s="155">
        <v>5</v>
      </c>
      <c r="G191" s="155">
        <v>1</v>
      </c>
      <c r="H191" s="154">
        <v>3</v>
      </c>
      <c r="I191" s="154">
        <v>1</v>
      </c>
      <c r="J191" s="154">
        <v>1</v>
      </c>
      <c r="K191" s="155"/>
      <c r="L191" s="172"/>
      <c r="M191" s="172"/>
      <c r="N191" s="172"/>
      <c r="P191" s="184"/>
      <c r="Q191" s="173"/>
      <c r="R191" s="167"/>
      <c r="S191" s="184">
        <f t="shared" si="118"/>
        <v>10539.913119193972</v>
      </c>
      <c r="T191" s="184">
        <f t="shared" si="118"/>
        <v>4391.6304663308219</v>
      </c>
      <c r="U191" s="184">
        <f t="shared" si="118"/>
        <v>4391.6304663308219</v>
      </c>
      <c r="V191" s="184">
        <f t="shared" si="115"/>
        <v>878.32609326616432</v>
      </c>
      <c r="W191" s="184">
        <f t="shared" si="114"/>
        <v>2634.9782797984931</v>
      </c>
      <c r="X191" s="184">
        <f t="shared" si="114"/>
        <v>878.32609326616432</v>
      </c>
      <c r="Y191" s="184">
        <f t="shared" si="114"/>
        <v>878.32609326616432</v>
      </c>
      <c r="AA191" s="167">
        <f t="shared" si="119"/>
        <v>111089768.56015721</v>
      </c>
      <c r="AB191" s="167">
        <f t="shared" si="120"/>
        <v>19286418.152805071</v>
      </c>
      <c r="AC191" s="167">
        <f t="shared" si="121"/>
        <v>19286418.152805071</v>
      </c>
      <c r="AD191" s="167">
        <f t="shared" si="122"/>
        <v>771456.72611220274</v>
      </c>
      <c r="AE191" s="167">
        <f t="shared" si="123"/>
        <v>6943110.5350098256</v>
      </c>
      <c r="AF191" s="167">
        <f t="shared" si="124"/>
        <v>771456.72611220274</v>
      </c>
      <c r="AG191" s="167">
        <f t="shared" si="125"/>
        <v>771456.72611220274</v>
      </c>
      <c r="AK191" s="167"/>
      <c r="BA191" s="167"/>
      <c r="BJ191" s="201">
        <f t="shared" si="116"/>
        <v>7.7651520619875477E-4</v>
      </c>
      <c r="BK191" s="201">
        <f t="shared" si="117"/>
        <v>1.0186197880040352E-3</v>
      </c>
      <c r="BL191" s="243">
        <f t="shared" si="126"/>
        <v>-1.0297514414128808E-3</v>
      </c>
      <c r="BM191" s="243">
        <f t="shared" si="127"/>
        <v>1.7656136440154132E-5</v>
      </c>
      <c r="BN191" s="243">
        <f t="shared" si="128"/>
        <v>1.9290752942839741E-3</v>
      </c>
      <c r="BO191" s="243">
        <f t="shared" si="129"/>
        <v>-1.9438836667821687E-3</v>
      </c>
      <c r="BR191" s="200">
        <f t="shared" si="130"/>
        <v>6.0297586545789468E-7</v>
      </c>
      <c r="BS191" s="201">
        <f t="shared" si="131"/>
        <v>1.0375862725133856E-6</v>
      </c>
      <c r="BT191" s="201">
        <f t="shared" si="132"/>
        <v>1.0603880310919058E-6</v>
      </c>
      <c r="BU191" s="201">
        <f t="shared" si="133"/>
        <v>3.1173915399333863E-10</v>
      </c>
      <c r="BV191" s="201">
        <f t="shared" si="134"/>
        <v>3.7213314910168012E-6</v>
      </c>
      <c r="BW191" s="201">
        <f t="shared" si="135"/>
        <v>3.7786837099824896E-6</v>
      </c>
    </row>
    <row r="192" spans="1:75" x14ac:dyDescent="0.25">
      <c r="A192" s="122">
        <v>12895</v>
      </c>
      <c r="B192" s="153">
        <v>128</v>
      </c>
      <c r="C192" s="184">
        <f>+'Sampling Weights'!R192</f>
        <v>212.80275075149811</v>
      </c>
      <c r="D192" s="155">
        <f>+SUM('Sampling Weights'!I192:N192)</f>
        <v>15</v>
      </c>
      <c r="E192" s="155">
        <v>0</v>
      </c>
      <c r="F192" s="155">
        <v>0</v>
      </c>
      <c r="G192" s="155">
        <v>0</v>
      </c>
      <c r="H192" s="154">
        <v>0</v>
      </c>
      <c r="I192" s="154">
        <v>0</v>
      </c>
      <c r="J192" s="154">
        <v>0</v>
      </c>
      <c r="K192" s="155"/>
      <c r="L192" s="172"/>
      <c r="M192" s="172"/>
      <c r="N192" s="172"/>
      <c r="P192" s="184"/>
      <c r="Q192" s="173"/>
      <c r="R192" s="167"/>
      <c r="S192" s="184">
        <f t="shared" si="118"/>
        <v>3192.0412612724717</v>
      </c>
      <c r="T192" s="184">
        <f t="shared" si="118"/>
        <v>0</v>
      </c>
      <c r="U192" s="184">
        <f t="shared" si="118"/>
        <v>0</v>
      </c>
      <c r="V192" s="184">
        <f t="shared" si="115"/>
        <v>0</v>
      </c>
      <c r="W192" s="184">
        <f t="shared" si="114"/>
        <v>0</v>
      </c>
      <c r="X192" s="184">
        <f t="shared" si="114"/>
        <v>0</v>
      </c>
      <c r="Y192" s="184">
        <f t="shared" si="114"/>
        <v>0</v>
      </c>
      <c r="AA192" s="167">
        <f t="shared" si="119"/>
        <v>10189127.413665952</v>
      </c>
      <c r="AB192" s="167">
        <f t="shared" si="120"/>
        <v>0</v>
      </c>
      <c r="AC192" s="167">
        <f t="shared" si="121"/>
        <v>0</v>
      </c>
      <c r="AD192" s="167">
        <f t="shared" si="122"/>
        <v>0</v>
      </c>
      <c r="AE192" s="167">
        <f t="shared" si="123"/>
        <v>0</v>
      </c>
      <c r="AF192" s="167">
        <f t="shared" si="124"/>
        <v>0</v>
      </c>
      <c r="AG192" s="167">
        <f t="shared" si="125"/>
        <v>0</v>
      </c>
      <c r="AK192" s="167"/>
      <c r="BA192" s="167"/>
      <c r="BJ192" s="201">
        <f t="shared" si="116"/>
        <v>-2.2037800830664435E-4</v>
      </c>
      <c r="BK192" s="201">
        <f t="shared" si="117"/>
        <v>-1.4705597937471411E-4</v>
      </c>
      <c r="BL192" s="243">
        <f t="shared" si="126"/>
        <v>0</v>
      </c>
      <c r="BM192" s="243">
        <f t="shared" si="127"/>
        <v>0</v>
      </c>
      <c r="BN192" s="243">
        <f t="shared" si="128"/>
        <v>0</v>
      </c>
      <c r="BO192" s="243">
        <f t="shared" si="129"/>
        <v>0</v>
      </c>
      <c r="BR192" s="200">
        <f t="shared" si="130"/>
        <v>4.8566466545203407E-8</v>
      </c>
      <c r="BS192" s="201">
        <f t="shared" si="131"/>
        <v>2.1625461069856341E-8</v>
      </c>
      <c r="BT192" s="201">
        <f t="shared" si="132"/>
        <v>0</v>
      </c>
      <c r="BU192" s="201">
        <f t="shared" si="133"/>
        <v>0</v>
      </c>
      <c r="BV192" s="201">
        <f t="shared" si="134"/>
        <v>0</v>
      </c>
      <c r="BW192" s="201">
        <f t="shared" si="135"/>
        <v>0</v>
      </c>
    </row>
    <row r="193" spans="1:75" x14ac:dyDescent="0.25">
      <c r="A193" s="122">
        <v>12896</v>
      </c>
      <c r="B193" s="153">
        <v>128</v>
      </c>
      <c r="C193" s="184">
        <f>+'Sampling Weights'!R193</f>
        <v>251.26979716037374</v>
      </c>
      <c r="D193" s="155">
        <f>+SUM('Sampling Weights'!I193:N193)</f>
        <v>15</v>
      </c>
      <c r="E193" s="155">
        <v>7</v>
      </c>
      <c r="F193" s="155">
        <v>3</v>
      </c>
      <c r="G193" s="155">
        <v>2</v>
      </c>
      <c r="H193" s="154">
        <v>2</v>
      </c>
      <c r="I193" s="154">
        <v>0</v>
      </c>
      <c r="J193" s="154">
        <v>1</v>
      </c>
      <c r="K193" s="155"/>
      <c r="L193" s="172"/>
      <c r="M193" s="172"/>
      <c r="N193" s="172"/>
      <c r="P193" s="184"/>
      <c r="Q193" s="173"/>
      <c r="R193" s="167"/>
      <c r="S193" s="184">
        <f t="shared" si="118"/>
        <v>3769.046957405606</v>
      </c>
      <c r="T193" s="184">
        <f t="shared" si="118"/>
        <v>1758.8885801226161</v>
      </c>
      <c r="U193" s="184">
        <f t="shared" si="118"/>
        <v>753.80939148112122</v>
      </c>
      <c r="V193" s="184">
        <f t="shared" si="115"/>
        <v>502.53959432074748</v>
      </c>
      <c r="W193" s="184">
        <f t="shared" si="114"/>
        <v>502.53959432074748</v>
      </c>
      <c r="X193" s="184">
        <f t="shared" si="114"/>
        <v>0</v>
      </c>
      <c r="Y193" s="184">
        <f t="shared" si="114"/>
        <v>251.26979716037374</v>
      </c>
      <c r="AA193" s="167">
        <f t="shared" si="119"/>
        <v>14205714.967128456</v>
      </c>
      <c r="AB193" s="167">
        <f t="shared" si="120"/>
        <v>3093689.0372857526</v>
      </c>
      <c r="AC193" s="167">
        <f t="shared" si="121"/>
        <v>568228.59868513828</v>
      </c>
      <c r="AD193" s="167">
        <f t="shared" si="122"/>
        <v>252546.04386006144</v>
      </c>
      <c r="AE193" s="167">
        <f t="shared" si="123"/>
        <v>252546.04386006144</v>
      </c>
      <c r="AF193" s="167">
        <f t="shared" si="124"/>
        <v>0</v>
      </c>
      <c r="AG193" s="167">
        <f t="shared" si="125"/>
        <v>63136.510965015361</v>
      </c>
      <c r="AK193" s="167"/>
      <c r="BA193" s="167"/>
      <c r="BJ193" s="201">
        <f t="shared" si="116"/>
        <v>3.4222724152897397E-4</v>
      </c>
      <c r="BK193" s="201">
        <f t="shared" si="117"/>
        <v>8.4550883905489053E-5</v>
      </c>
      <c r="BL193" s="243">
        <f t="shared" si="126"/>
        <v>7.1903894590973918E-4</v>
      </c>
      <c r="BM193" s="243">
        <f t="shared" si="127"/>
        <v>1.3100097722896673E-4</v>
      </c>
      <c r="BN193" s="243">
        <f t="shared" si="128"/>
        <v>-5.27914385848075E-5</v>
      </c>
      <c r="BO193" s="243">
        <f t="shared" si="129"/>
        <v>-7.7720729027633259E-5</v>
      </c>
      <c r="BR193" s="200">
        <f t="shared" si="130"/>
        <v>1.1711948484453069E-7</v>
      </c>
      <c r="BS193" s="201">
        <f t="shared" si="131"/>
        <v>7.1488519691994882E-9</v>
      </c>
      <c r="BT193" s="201">
        <f t="shared" si="132"/>
        <v>5.1701700573498885E-7</v>
      </c>
      <c r="BU193" s="201">
        <f t="shared" si="133"/>
        <v>1.7161256034944261E-8</v>
      </c>
      <c r="BV193" s="201">
        <f t="shared" si="134"/>
        <v>2.7869359878535019E-9</v>
      </c>
      <c r="BW193" s="201">
        <f t="shared" si="135"/>
        <v>6.040511720586795E-9</v>
      </c>
    </row>
    <row r="194" spans="1:75" x14ac:dyDescent="0.25">
      <c r="A194" s="122">
        <v>22891</v>
      </c>
      <c r="B194" s="153">
        <v>228</v>
      </c>
      <c r="C194" s="184">
        <f>+'Sampling Weights'!R194</f>
        <v>117.52776219404117</v>
      </c>
      <c r="D194" s="155">
        <f>+SUM('Sampling Weights'!I194:N194)</f>
        <v>17</v>
      </c>
      <c r="E194" s="155">
        <v>7</v>
      </c>
      <c r="F194" s="155">
        <v>2</v>
      </c>
      <c r="G194" s="155">
        <v>1</v>
      </c>
      <c r="H194" s="154">
        <v>1</v>
      </c>
      <c r="I194" s="154">
        <v>0</v>
      </c>
      <c r="J194" s="154">
        <v>1</v>
      </c>
      <c r="K194" s="155"/>
      <c r="L194" s="172"/>
      <c r="M194" s="172"/>
      <c r="N194" s="172"/>
      <c r="P194" s="184"/>
      <c r="Q194" s="173"/>
      <c r="R194" s="167"/>
      <c r="S194" s="184">
        <f t="shared" si="118"/>
        <v>1997.9719572986999</v>
      </c>
      <c r="T194" s="184">
        <f t="shared" si="118"/>
        <v>822.69433535828819</v>
      </c>
      <c r="U194" s="184">
        <f t="shared" si="118"/>
        <v>235.05552438808235</v>
      </c>
      <c r="V194" s="184">
        <f t="shared" si="115"/>
        <v>117.52776219404117</v>
      </c>
      <c r="W194" s="184">
        <f t="shared" si="114"/>
        <v>117.52776219404117</v>
      </c>
      <c r="X194" s="184">
        <f t="shared" si="114"/>
        <v>0</v>
      </c>
      <c r="Y194" s="184">
        <f t="shared" si="114"/>
        <v>117.52776219404117</v>
      </c>
      <c r="AA194" s="167">
        <f t="shared" si="119"/>
        <v>3991891.9421519977</v>
      </c>
      <c r="AB194" s="167">
        <f t="shared" si="120"/>
        <v>676825.96943061554</v>
      </c>
      <c r="AC194" s="167">
        <f t="shared" si="121"/>
        <v>55251.099545356374</v>
      </c>
      <c r="AD194" s="167">
        <f t="shared" si="122"/>
        <v>13812.774886339093</v>
      </c>
      <c r="AE194" s="167">
        <f t="shared" si="123"/>
        <v>13812.774886339093</v>
      </c>
      <c r="AF194" s="167">
        <f t="shared" si="124"/>
        <v>0</v>
      </c>
      <c r="AG194" s="167">
        <f t="shared" si="125"/>
        <v>13812.774886339093</v>
      </c>
      <c r="AK194" s="167"/>
      <c r="BA194" s="167"/>
      <c r="BJ194" s="201">
        <f t="shared" si="116"/>
        <v>1.4384357762058108E-4</v>
      </c>
      <c r="BK194" s="201">
        <f t="shared" si="117"/>
        <v>-1.1536219904256814E-5</v>
      </c>
      <c r="BL194" s="243">
        <f t="shared" si="126"/>
        <v>1.2445285076459313E-4</v>
      </c>
      <c r="BM194" s="243">
        <f t="shared" si="127"/>
        <v>-5.8911239216797594E-5</v>
      </c>
      <c r="BN194" s="243">
        <f t="shared" si="128"/>
        <v>-1.6461614063167252E-5</v>
      </c>
      <c r="BO194" s="243">
        <f t="shared" si="129"/>
        <v>7.5525275632401593E-5</v>
      </c>
      <c r="BR194" s="200">
        <f t="shared" si="130"/>
        <v>2.0690974822688137E-8</v>
      </c>
      <c r="BS194" s="201">
        <f t="shared" si="131"/>
        <v>1.3308436967937112E-10</v>
      </c>
      <c r="BT194" s="201">
        <f t="shared" si="132"/>
        <v>1.548851206343409E-8</v>
      </c>
      <c r="BU194" s="201">
        <f t="shared" si="133"/>
        <v>3.4705341060587506E-9</v>
      </c>
      <c r="BV194" s="201">
        <f t="shared" si="134"/>
        <v>2.7098473756466582E-10</v>
      </c>
      <c r="BW194" s="201">
        <f t="shared" si="135"/>
        <v>5.7040672593502338E-9</v>
      </c>
    </row>
    <row r="195" spans="1:75" x14ac:dyDescent="0.25">
      <c r="A195" s="122">
        <v>22892</v>
      </c>
      <c r="B195" s="153">
        <v>228</v>
      </c>
      <c r="C195" s="184">
        <f>+'Sampling Weights'!R195</f>
        <v>187.26759282008865</v>
      </c>
      <c r="D195" s="155">
        <f>+SUM('Sampling Weights'!I195:N195)</f>
        <v>14</v>
      </c>
      <c r="E195" s="155">
        <v>3</v>
      </c>
      <c r="F195" s="155">
        <v>2</v>
      </c>
      <c r="G195" s="155">
        <v>0</v>
      </c>
      <c r="H195" s="154">
        <v>2</v>
      </c>
      <c r="I195" s="154">
        <v>0</v>
      </c>
      <c r="J195" s="154">
        <v>0</v>
      </c>
      <c r="K195" s="155"/>
      <c r="L195" s="172"/>
      <c r="M195" s="172"/>
      <c r="N195" s="172"/>
      <c r="P195" s="184"/>
      <c r="Q195" s="173"/>
      <c r="R195" s="167"/>
      <c r="S195" s="184">
        <f t="shared" si="118"/>
        <v>2621.7462994812413</v>
      </c>
      <c r="T195" s="184">
        <f t="shared" si="118"/>
        <v>561.80277846026593</v>
      </c>
      <c r="U195" s="184">
        <f t="shared" si="118"/>
        <v>374.5351856401773</v>
      </c>
      <c r="V195" s="184">
        <f t="shared" si="115"/>
        <v>0</v>
      </c>
      <c r="W195" s="184">
        <f t="shared" si="114"/>
        <v>374.5351856401773</v>
      </c>
      <c r="X195" s="184">
        <f t="shared" si="114"/>
        <v>0</v>
      </c>
      <c r="Y195" s="184">
        <f t="shared" si="114"/>
        <v>0</v>
      </c>
      <c r="AA195" s="167">
        <f t="shared" si="119"/>
        <v>6873553.6588435825</v>
      </c>
      <c r="AB195" s="167">
        <f t="shared" si="120"/>
        <v>315622.36188567465</v>
      </c>
      <c r="AC195" s="167">
        <f t="shared" si="121"/>
        <v>140276.60528252207</v>
      </c>
      <c r="AD195" s="167">
        <f t="shared" si="122"/>
        <v>0</v>
      </c>
      <c r="AE195" s="167">
        <f t="shared" si="123"/>
        <v>140276.60528252207</v>
      </c>
      <c r="AF195" s="167">
        <f t="shared" si="124"/>
        <v>0</v>
      </c>
      <c r="AG195" s="167">
        <f t="shared" si="125"/>
        <v>0</v>
      </c>
      <c r="AK195" s="167"/>
      <c r="BA195" s="167"/>
      <c r="BJ195" s="201">
        <f t="shared" si="116"/>
        <v>1.1419634216817273E-5</v>
      </c>
      <c r="BK195" s="201">
        <f t="shared" si="117"/>
        <v>7.5003138161243319E-6</v>
      </c>
      <c r="BL195" s="243">
        <f t="shared" si="126"/>
        <v>-2.7856993254555645E-4</v>
      </c>
      <c r="BM195" s="243">
        <f t="shared" si="127"/>
        <v>3.8300329871346339E-4</v>
      </c>
      <c r="BN195" s="243">
        <f t="shared" si="128"/>
        <v>-2.622977568868361E-5</v>
      </c>
      <c r="BO195" s="243">
        <f t="shared" si="129"/>
        <v>-3.5653065473136605E-4</v>
      </c>
      <c r="BR195" s="200">
        <f t="shared" si="130"/>
        <v>1.3040804564590385E-10</v>
      </c>
      <c r="BS195" s="201">
        <f t="shared" si="131"/>
        <v>5.625470734034554E-11</v>
      </c>
      <c r="BT195" s="201">
        <f t="shared" si="132"/>
        <v>7.7601207318435873E-8</v>
      </c>
      <c r="BU195" s="201">
        <f t="shared" si="133"/>
        <v>1.4669152682539446E-7</v>
      </c>
      <c r="BV195" s="201">
        <f t="shared" si="134"/>
        <v>6.8800113267865771E-10</v>
      </c>
      <c r="BW195" s="201">
        <f t="shared" si="135"/>
        <v>1.2711410776317655E-7</v>
      </c>
    </row>
    <row r="196" spans="1:75" x14ac:dyDescent="0.25">
      <c r="A196" s="122">
        <v>12997</v>
      </c>
      <c r="B196" s="153">
        <v>129</v>
      </c>
      <c r="C196" s="184">
        <f>+'Sampling Weights'!R196</f>
        <v>179.44877960720549</v>
      </c>
      <c r="D196" s="155">
        <f>+SUM('Sampling Weights'!I196:N196)</f>
        <v>11</v>
      </c>
      <c r="E196" s="155">
        <v>0</v>
      </c>
      <c r="F196" s="155">
        <v>0</v>
      </c>
      <c r="G196" s="155">
        <v>0</v>
      </c>
      <c r="H196" s="154">
        <v>0</v>
      </c>
      <c r="I196" s="154">
        <v>0</v>
      </c>
      <c r="J196" s="154">
        <v>0</v>
      </c>
      <c r="K196" s="155"/>
      <c r="L196" s="172"/>
      <c r="M196" s="172"/>
      <c r="N196" s="172"/>
      <c r="P196" s="184"/>
      <c r="Q196" s="173"/>
      <c r="R196" s="167"/>
      <c r="S196" s="184">
        <f t="shared" si="118"/>
        <v>1973.9365756792604</v>
      </c>
      <c r="T196" s="184">
        <f t="shared" si="118"/>
        <v>0</v>
      </c>
      <c r="U196" s="184">
        <f t="shared" si="118"/>
        <v>0</v>
      </c>
      <c r="V196" s="184">
        <f t="shared" si="115"/>
        <v>0</v>
      </c>
      <c r="W196" s="184">
        <f t="shared" si="115"/>
        <v>0</v>
      </c>
      <c r="X196" s="184">
        <f t="shared" si="115"/>
        <v>0</v>
      </c>
      <c r="Y196" s="184">
        <f t="shared" si="115"/>
        <v>0</v>
      </c>
      <c r="AA196" s="167">
        <f t="shared" si="119"/>
        <v>3896425.6048043645</v>
      </c>
      <c r="AB196" s="167">
        <f t="shared" si="120"/>
        <v>0</v>
      </c>
      <c r="AC196" s="167">
        <f t="shared" si="121"/>
        <v>0</v>
      </c>
      <c r="AD196" s="167">
        <f t="shared" si="122"/>
        <v>0</v>
      </c>
      <c r="AE196" s="167">
        <f t="shared" si="123"/>
        <v>0</v>
      </c>
      <c r="AF196" s="167">
        <f t="shared" si="124"/>
        <v>0</v>
      </c>
      <c r="AG196" s="167">
        <f t="shared" si="125"/>
        <v>0</v>
      </c>
      <c r="AK196" s="167"/>
      <c r="BA196" s="167"/>
      <c r="BJ196" s="201">
        <f t="shared" si="116"/>
        <v>-1.3628025939063846E-4</v>
      </c>
      <c r="BK196" s="201">
        <f t="shared" si="117"/>
        <v>-9.0938416079360611E-5</v>
      </c>
      <c r="BL196" s="243">
        <f t="shared" si="126"/>
        <v>0</v>
      </c>
      <c r="BM196" s="243">
        <f t="shared" si="127"/>
        <v>0</v>
      </c>
      <c r="BN196" s="243">
        <f t="shared" si="128"/>
        <v>0</v>
      </c>
      <c r="BO196" s="243">
        <f t="shared" si="129"/>
        <v>0</v>
      </c>
      <c r="BR196" s="200">
        <f t="shared" si="130"/>
        <v>1.8572309099579703E-8</v>
      </c>
      <c r="BS196" s="201">
        <f t="shared" si="131"/>
        <v>8.2697955190229124E-9</v>
      </c>
      <c r="BT196" s="201">
        <f t="shared" si="132"/>
        <v>0</v>
      </c>
      <c r="BU196" s="201">
        <f t="shared" si="133"/>
        <v>0</v>
      </c>
      <c r="BV196" s="201">
        <f t="shared" si="134"/>
        <v>0</v>
      </c>
      <c r="BW196" s="201">
        <f t="shared" si="135"/>
        <v>0</v>
      </c>
    </row>
    <row r="197" spans="1:75" x14ac:dyDescent="0.25">
      <c r="A197" s="122">
        <v>12998</v>
      </c>
      <c r="B197" s="153">
        <v>129</v>
      </c>
      <c r="C197" s="184">
        <f>+'Sampling Weights'!R197</f>
        <v>472.55974326703739</v>
      </c>
      <c r="D197" s="155">
        <f>+SUM('Sampling Weights'!I197:N197)</f>
        <v>13</v>
      </c>
      <c r="E197" s="155">
        <v>5</v>
      </c>
      <c r="F197" s="155">
        <v>4</v>
      </c>
      <c r="G197" s="155">
        <v>3</v>
      </c>
      <c r="H197" s="154">
        <v>2</v>
      </c>
      <c r="I197" s="154">
        <v>0</v>
      </c>
      <c r="J197" s="154">
        <v>2</v>
      </c>
      <c r="K197" s="155"/>
      <c r="L197" s="172"/>
      <c r="M197" s="172"/>
      <c r="N197" s="172"/>
      <c r="P197" s="184"/>
      <c r="Q197" s="173"/>
      <c r="R197" s="167"/>
      <c r="S197" s="184">
        <f t="shared" si="118"/>
        <v>6143.2766624714859</v>
      </c>
      <c r="T197" s="184">
        <f t="shared" si="118"/>
        <v>2362.7987163351868</v>
      </c>
      <c r="U197" s="184">
        <f t="shared" si="118"/>
        <v>1890.2389730681496</v>
      </c>
      <c r="V197" s="184">
        <f t="shared" si="115"/>
        <v>1417.6792298011121</v>
      </c>
      <c r="W197" s="184">
        <f t="shared" si="115"/>
        <v>945.11948653407478</v>
      </c>
      <c r="X197" s="184">
        <f t="shared" si="115"/>
        <v>0</v>
      </c>
      <c r="Y197" s="184">
        <f t="shared" si="115"/>
        <v>945.11948653407478</v>
      </c>
      <c r="AA197" s="167">
        <f t="shared" si="119"/>
        <v>37739848.151666798</v>
      </c>
      <c r="AB197" s="167">
        <f t="shared" si="120"/>
        <v>5582817.7739152061</v>
      </c>
      <c r="AC197" s="167">
        <f t="shared" si="121"/>
        <v>3573003.3753057327</v>
      </c>
      <c r="AD197" s="167">
        <f t="shared" si="122"/>
        <v>2009814.3986094745</v>
      </c>
      <c r="AE197" s="167">
        <f t="shared" si="123"/>
        <v>893250.84382643318</v>
      </c>
      <c r="AF197" s="167">
        <f t="shared" si="124"/>
        <v>0</v>
      </c>
      <c r="AG197" s="167">
        <f t="shared" si="125"/>
        <v>893250.84382643318</v>
      </c>
      <c r="AK197" s="167"/>
      <c r="BA197" s="167"/>
      <c r="BJ197" s="201">
        <f t="shared" si="116"/>
        <v>3.8515768472908139E-4</v>
      </c>
      <c r="BK197" s="201">
        <f t="shared" si="117"/>
        <v>3.6441266772647296E-4</v>
      </c>
      <c r="BL197" s="243">
        <f t="shared" si="126"/>
        <v>2.2041694547336355E-3</v>
      </c>
      <c r="BM197" s="243">
        <f t="shared" si="127"/>
        <v>-4.737447486470459E-4</v>
      </c>
      <c r="BN197" s="243">
        <f t="shared" si="128"/>
        <v>-1.3237886896217579E-4</v>
      </c>
      <c r="BO197" s="243">
        <f t="shared" si="129"/>
        <v>6.0734934787738985E-4</v>
      </c>
      <c r="BR197" s="200">
        <f t="shared" si="130"/>
        <v>1.4834644210586645E-7</v>
      </c>
      <c r="BS197" s="201">
        <f t="shared" si="131"/>
        <v>1.3279659239952479E-7</v>
      </c>
      <c r="BT197" s="201">
        <f t="shared" si="132"/>
        <v>4.8583629851807719E-6</v>
      </c>
      <c r="BU197" s="201">
        <f t="shared" si="133"/>
        <v>2.244340868706527E-7</v>
      </c>
      <c r="BV197" s="201">
        <f t="shared" si="134"/>
        <v>1.7524164947704909E-8</v>
      </c>
      <c r="BW197" s="201">
        <f t="shared" si="135"/>
        <v>3.688732303670907E-7</v>
      </c>
    </row>
    <row r="198" spans="1:75" x14ac:dyDescent="0.25">
      <c r="A198" s="122">
        <v>12999</v>
      </c>
      <c r="B198" s="153">
        <v>129</v>
      </c>
      <c r="C198" s="184">
        <f>+'Sampling Weights'!R198</f>
        <v>244.15733515043843</v>
      </c>
      <c r="D198" s="155">
        <f>+SUM('Sampling Weights'!I198:N198)</f>
        <v>14</v>
      </c>
      <c r="E198" s="155">
        <v>5</v>
      </c>
      <c r="F198" s="155">
        <v>4</v>
      </c>
      <c r="G198" s="155">
        <v>3</v>
      </c>
      <c r="H198" s="154">
        <v>0</v>
      </c>
      <c r="I198" s="154">
        <v>0</v>
      </c>
      <c r="J198" s="154">
        <v>4</v>
      </c>
      <c r="K198" s="155"/>
      <c r="L198" s="172"/>
      <c r="M198" s="172"/>
      <c r="N198" s="172"/>
      <c r="P198" s="184"/>
      <c r="Q198" s="173"/>
      <c r="R198" s="167"/>
      <c r="S198" s="184">
        <f t="shared" si="118"/>
        <v>3418.2026921061379</v>
      </c>
      <c r="T198" s="184">
        <f t="shared" si="118"/>
        <v>1220.7866757521922</v>
      </c>
      <c r="U198" s="184">
        <f t="shared" si="118"/>
        <v>976.62934060175371</v>
      </c>
      <c r="V198" s="184">
        <f t="shared" si="115"/>
        <v>732.47200545131523</v>
      </c>
      <c r="W198" s="184">
        <f t="shared" si="115"/>
        <v>0</v>
      </c>
      <c r="X198" s="184">
        <f t="shared" si="115"/>
        <v>0</v>
      </c>
      <c r="Y198" s="184">
        <f t="shared" si="115"/>
        <v>976.62934060175371</v>
      </c>
      <c r="AA198" s="167">
        <f t="shared" si="119"/>
        <v>11684109.644321648</v>
      </c>
      <c r="AB198" s="167">
        <f t="shared" si="120"/>
        <v>1490320.107694088</v>
      </c>
      <c r="AC198" s="167">
        <f t="shared" si="121"/>
        <v>953804.86892421625</v>
      </c>
      <c r="AD198" s="167">
        <f t="shared" si="122"/>
        <v>536515.23876987153</v>
      </c>
      <c r="AE198" s="167">
        <f t="shared" si="123"/>
        <v>0</v>
      </c>
      <c r="AF198" s="167">
        <f t="shared" si="124"/>
        <v>0</v>
      </c>
      <c r="AG198" s="167">
        <f t="shared" si="125"/>
        <v>953804.86892421625</v>
      </c>
      <c r="AK198" s="167"/>
      <c r="BA198" s="167"/>
      <c r="BJ198" s="201">
        <f t="shared" si="116"/>
        <v>1.8214275081449388E-4</v>
      </c>
      <c r="BK198" s="201">
        <f t="shared" si="117"/>
        <v>1.7703278592295343E-4</v>
      </c>
      <c r="BL198" s="243">
        <f t="shared" si="126"/>
        <v>1.1388277312137645E-3</v>
      </c>
      <c r="BM198" s="243">
        <f t="shared" si="127"/>
        <v>-1.4882497808159864E-3</v>
      </c>
      <c r="BN198" s="243">
        <f t="shared" si="128"/>
        <v>-6.8396160139628311E-5</v>
      </c>
      <c r="BO198" s="243">
        <f t="shared" si="129"/>
        <v>1.5572792387346852E-3</v>
      </c>
      <c r="BR198" s="200">
        <f t="shared" si="130"/>
        <v>3.3175981674270806E-8</v>
      </c>
      <c r="BS198" s="201">
        <f t="shared" si="131"/>
        <v>3.1340607291642258E-8</v>
      </c>
      <c r="BT198" s="201">
        <f t="shared" si="132"/>
        <v>1.2969286013814902E-6</v>
      </c>
      <c r="BU198" s="201">
        <f t="shared" si="133"/>
        <v>2.2148874100988314E-6</v>
      </c>
      <c r="BV198" s="201">
        <f t="shared" si="134"/>
        <v>4.6780347218456804E-9</v>
      </c>
      <c r="BW198" s="201">
        <f t="shared" si="135"/>
        <v>2.4251186273940806E-6</v>
      </c>
    </row>
    <row r="199" spans="1:75" x14ac:dyDescent="0.25">
      <c r="A199" s="122">
        <v>129100</v>
      </c>
      <c r="B199" s="153">
        <v>129</v>
      </c>
      <c r="C199" s="184">
        <f>+'Sampling Weights'!R199</f>
        <v>100.75296131536024</v>
      </c>
      <c r="D199" s="155">
        <f>+SUM('Sampling Weights'!I199:N199)</f>
        <v>13</v>
      </c>
      <c r="E199" s="155">
        <v>3</v>
      </c>
      <c r="F199" s="155">
        <v>2</v>
      </c>
      <c r="G199" s="155">
        <v>0</v>
      </c>
      <c r="H199" s="154">
        <v>1</v>
      </c>
      <c r="I199" s="154">
        <v>0</v>
      </c>
      <c r="J199" s="154">
        <v>1</v>
      </c>
      <c r="K199" s="155"/>
      <c r="L199" s="172"/>
      <c r="M199" s="172"/>
      <c r="N199" s="172"/>
      <c r="P199" s="184"/>
      <c r="Q199" s="173"/>
      <c r="R199" s="167"/>
      <c r="S199" s="184">
        <f t="shared" si="118"/>
        <v>1309.7884970996831</v>
      </c>
      <c r="T199" s="184">
        <f t="shared" si="118"/>
        <v>302.25888394608069</v>
      </c>
      <c r="U199" s="184">
        <f t="shared" si="118"/>
        <v>201.50592263072048</v>
      </c>
      <c r="V199" s="184">
        <f t="shared" si="115"/>
        <v>0</v>
      </c>
      <c r="W199" s="184">
        <f t="shared" si="115"/>
        <v>100.75296131536024</v>
      </c>
      <c r="X199" s="184">
        <f t="shared" si="115"/>
        <v>0</v>
      </c>
      <c r="Y199" s="184">
        <f t="shared" si="115"/>
        <v>100.75296131536024</v>
      </c>
      <c r="AA199" s="167">
        <f t="shared" si="119"/>
        <v>1715545.9071346465</v>
      </c>
      <c r="AB199" s="167">
        <f t="shared" si="120"/>
        <v>91360.432924330278</v>
      </c>
      <c r="AC199" s="167">
        <f t="shared" si="121"/>
        <v>40604.636855257908</v>
      </c>
      <c r="AD199" s="167">
        <f t="shared" si="122"/>
        <v>0</v>
      </c>
      <c r="AE199" s="167">
        <f t="shared" si="123"/>
        <v>10151.159213814477</v>
      </c>
      <c r="AF199" s="167">
        <f t="shared" si="124"/>
        <v>0</v>
      </c>
      <c r="AG199" s="167">
        <f t="shared" si="125"/>
        <v>10151.159213814477</v>
      </c>
      <c r="AK199" s="167"/>
      <c r="BA199" s="167"/>
      <c r="BJ199" s="201">
        <f t="shared" si="116"/>
        <v>1.3099913952995582E-5</v>
      </c>
      <c r="BK199" s="201">
        <f t="shared" si="117"/>
        <v>8.6769347946350872E-6</v>
      </c>
      <c r="BL199" s="243">
        <f t="shared" si="126"/>
        <v>-1.4987508097222773E-4</v>
      </c>
      <c r="BM199" s="243">
        <f t="shared" si="127"/>
        <v>-5.0502806273553671E-5</v>
      </c>
      <c r="BN199" s="243">
        <f t="shared" si="128"/>
        <v>-1.4112039010462596E-5</v>
      </c>
      <c r="BO199" s="243">
        <f t="shared" si="129"/>
        <v>6.4745512311890885E-5</v>
      </c>
      <c r="BR199" s="200">
        <f t="shared" si="130"/>
        <v>1.7160774557588834E-10</v>
      </c>
      <c r="BS199" s="201">
        <f t="shared" si="131"/>
        <v>7.5289197430349038E-11</v>
      </c>
      <c r="BT199" s="201">
        <f t="shared" si="132"/>
        <v>2.2462539896431819E-8</v>
      </c>
      <c r="BU199" s="201">
        <f t="shared" si="133"/>
        <v>2.5505334415040922E-9</v>
      </c>
      <c r="BV199" s="201">
        <f t="shared" si="134"/>
        <v>1.9914964503281813E-10</v>
      </c>
      <c r="BW199" s="201">
        <f t="shared" si="135"/>
        <v>4.1919813645292143E-9</v>
      </c>
    </row>
    <row r="200" spans="1:75" x14ac:dyDescent="0.25">
      <c r="A200" s="122">
        <v>22993</v>
      </c>
      <c r="B200" s="153">
        <v>229</v>
      </c>
      <c r="C200" s="184">
        <f>+'Sampling Weights'!R200</f>
        <v>0</v>
      </c>
      <c r="D200" s="155">
        <f>+SUM('Sampling Weights'!I200:N200)</f>
        <v>14</v>
      </c>
      <c r="E200" s="155">
        <v>3</v>
      </c>
      <c r="F200" s="155">
        <v>1</v>
      </c>
      <c r="G200" s="155">
        <v>0</v>
      </c>
      <c r="H200" s="154">
        <v>1</v>
      </c>
      <c r="I200" s="154">
        <v>0</v>
      </c>
      <c r="J200" s="154">
        <v>0</v>
      </c>
      <c r="K200" s="155"/>
      <c r="L200" s="172"/>
      <c r="M200" s="172"/>
      <c r="N200" s="172"/>
      <c r="P200" s="184"/>
      <c r="Q200" s="173"/>
      <c r="R200" s="167"/>
      <c r="S200" s="184">
        <f t="shared" si="118"/>
        <v>0</v>
      </c>
      <c r="T200" s="184">
        <f t="shared" si="118"/>
        <v>0</v>
      </c>
      <c r="U200" s="184">
        <f t="shared" si="118"/>
        <v>0</v>
      </c>
      <c r="V200" s="184">
        <f t="shared" si="118"/>
        <v>0</v>
      </c>
      <c r="W200" s="184">
        <f t="shared" si="118"/>
        <v>0</v>
      </c>
      <c r="X200" s="184">
        <f t="shared" si="118"/>
        <v>0</v>
      </c>
      <c r="Y200" s="184">
        <f t="shared" si="118"/>
        <v>0</v>
      </c>
      <c r="AA200" s="167">
        <f t="shared" si="119"/>
        <v>0</v>
      </c>
      <c r="AB200" s="167">
        <f t="shared" si="120"/>
        <v>0</v>
      </c>
      <c r="AC200" s="167">
        <f t="shared" si="121"/>
        <v>0</v>
      </c>
      <c r="AD200" s="167">
        <f t="shared" si="122"/>
        <v>0</v>
      </c>
      <c r="AE200" s="167">
        <f t="shared" si="123"/>
        <v>0</v>
      </c>
      <c r="AF200" s="167">
        <f t="shared" si="124"/>
        <v>0</v>
      </c>
      <c r="AG200" s="167">
        <f t="shared" si="125"/>
        <v>0</v>
      </c>
      <c r="AK200" s="167"/>
      <c r="BA200" s="167"/>
      <c r="BJ200" s="201">
        <f t="shared" ref="BJ200:BJ216" si="136">+(T200-$M$16*S200)/$M$8</f>
        <v>0</v>
      </c>
      <c r="BK200" s="201">
        <f t="shared" ref="BK200:BK216" si="137">+(U200-$M$17*S200)/$M$8</f>
        <v>0</v>
      </c>
      <c r="BL200" s="243">
        <f t="shared" si="126"/>
        <v>0</v>
      </c>
      <c r="BM200" s="243">
        <f t="shared" si="127"/>
        <v>0</v>
      </c>
      <c r="BN200" s="243">
        <f t="shared" si="128"/>
        <v>0</v>
      </c>
      <c r="BO200" s="243">
        <f t="shared" si="129"/>
        <v>0</v>
      </c>
      <c r="BR200" s="200">
        <f t="shared" si="130"/>
        <v>0</v>
      </c>
      <c r="BS200" s="201">
        <f t="shared" si="131"/>
        <v>0</v>
      </c>
      <c r="BT200" s="201">
        <f t="shared" si="132"/>
        <v>0</v>
      </c>
      <c r="BU200" s="201">
        <f t="shared" si="133"/>
        <v>0</v>
      </c>
      <c r="BV200" s="201">
        <f t="shared" si="134"/>
        <v>0</v>
      </c>
      <c r="BW200" s="201">
        <f t="shared" si="135"/>
        <v>0</v>
      </c>
    </row>
    <row r="201" spans="1:75" x14ac:dyDescent="0.25">
      <c r="A201" s="122">
        <v>22994</v>
      </c>
      <c r="B201" s="153">
        <v>229</v>
      </c>
      <c r="C201" s="184">
        <f>+'Sampling Weights'!R201</f>
        <v>613.56153462369014</v>
      </c>
      <c r="D201" s="155">
        <f>+SUM('Sampling Weights'!I201:N201)</f>
        <v>11</v>
      </c>
      <c r="E201" s="155">
        <v>5</v>
      </c>
      <c r="F201" s="155">
        <v>3</v>
      </c>
      <c r="G201" s="155">
        <v>1</v>
      </c>
      <c r="H201" s="154">
        <v>1</v>
      </c>
      <c r="I201" s="154">
        <v>0</v>
      </c>
      <c r="J201" s="154">
        <v>2</v>
      </c>
      <c r="K201" s="154"/>
      <c r="L201" s="172"/>
      <c r="M201" s="172"/>
      <c r="N201" s="172"/>
      <c r="P201" s="184"/>
      <c r="Q201" s="173"/>
      <c r="R201" s="167"/>
      <c r="S201" s="184">
        <f t="shared" ref="S201:Y216" si="138">+$C201*D201</f>
        <v>6749.1768808605912</v>
      </c>
      <c r="T201" s="184">
        <f t="shared" si="138"/>
        <v>3067.8076731184506</v>
      </c>
      <c r="U201" s="184">
        <f t="shared" si="138"/>
        <v>1840.6846038710705</v>
      </c>
      <c r="V201" s="184">
        <f t="shared" si="138"/>
        <v>613.56153462369014</v>
      </c>
      <c r="W201" s="184">
        <f t="shared" si="138"/>
        <v>613.56153462369014</v>
      </c>
      <c r="X201" s="184">
        <f t="shared" si="138"/>
        <v>0</v>
      </c>
      <c r="Y201" s="184">
        <f t="shared" si="138"/>
        <v>1227.1230692473803</v>
      </c>
      <c r="AA201" s="167">
        <f t="shared" ref="AA201:AA216" si="139">+S201*S201</f>
        <v>45551388.569143102</v>
      </c>
      <c r="AB201" s="167">
        <f t="shared" ref="AB201:AB216" si="140">+T201*T201</f>
        <v>9411443.9192444421</v>
      </c>
      <c r="AC201" s="167">
        <f t="shared" ref="AC201:AC216" si="141">+U201*U201</f>
        <v>3388119.8109279997</v>
      </c>
      <c r="AD201" s="167">
        <f t="shared" ref="AD201:AD216" si="142">+V201*V201</f>
        <v>376457.75676977768</v>
      </c>
      <c r="AE201" s="167">
        <f t="shared" ref="AE201:AE216" si="143">+W201*W201</f>
        <v>376457.75676977768</v>
      </c>
      <c r="AF201" s="167">
        <f t="shared" ref="AF201:AF216" si="144">+X201*X201</f>
        <v>0</v>
      </c>
      <c r="AG201" s="167">
        <f t="shared" ref="AG201:AG216" si="145">+Y201*Y201</f>
        <v>1505831.0270791107</v>
      </c>
      <c r="AK201" s="167"/>
      <c r="BA201" s="167"/>
      <c r="BJ201" s="201">
        <f t="shared" si="136"/>
        <v>5.848009346811592E-4</v>
      </c>
      <c r="BK201" s="201">
        <f t="shared" si="137"/>
        <v>3.195261036547645E-4</v>
      </c>
      <c r="BL201" s="243">
        <f t="shared" ref="BL201:BL216" si="146">+(V201-$M$21*$U201)/$M$10</f>
        <v>1.933626510575796E-4</v>
      </c>
      <c r="BM201" s="243">
        <f t="shared" ref="BM201:BM216" si="147">+(W201-$M$18*$U201)/$M$10</f>
        <v>-1.2425340725366698E-3</v>
      </c>
      <c r="BN201" s="243">
        <f t="shared" ref="BN201:BN216" si="148">+(X201-$M$19*$U201)/$M$10</f>
        <v>-1.2890843403838646E-4</v>
      </c>
      <c r="BO201" s="243">
        <f t="shared" ref="BO201:BO216" si="149">+(Y201-$M$20*$U201)/$M$10</f>
        <v>1.3726361031865223E-3</v>
      </c>
      <c r="BR201" s="200">
        <f t="shared" ref="BR201:BR216" si="150">+BJ201*BJ201</f>
        <v>3.4199213320395745E-7</v>
      </c>
      <c r="BS201" s="201">
        <f t="shared" ref="BS201:BS216" si="151">+BK201*BK201</f>
        <v>1.0209693091679531E-7</v>
      </c>
      <c r="BT201" s="201">
        <f t="shared" ref="BT201:BT216" si="152">+BL201*BL201</f>
        <v>3.7389114824015292E-8</v>
      </c>
      <c r="BU201" s="201">
        <f t="shared" ref="BU201:BU216" si="153">+BM201*BM201</f>
        <v>1.5438909214145622E-6</v>
      </c>
      <c r="BV201" s="201">
        <f t="shared" ref="BV201:BV216" si="154">+BN201*BN201</f>
        <v>1.6617384366229031E-8</v>
      </c>
      <c r="BW201" s="201">
        <f t="shared" ref="BW201:BW216" si="155">+BO201*BO201</f>
        <v>1.8841298717710809E-6</v>
      </c>
    </row>
    <row r="202" spans="1:75" x14ac:dyDescent="0.25">
      <c r="A202" s="122">
        <v>22995</v>
      </c>
      <c r="B202" s="153">
        <v>229</v>
      </c>
      <c r="C202" s="184">
        <f>+'Sampling Weights'!R202</f>
        <v>1339.4549799835447</v>
      </c>
      <c r="D202" s="155">
        <f>+SUM('Sampling Weights'!I202:N202)</f>
        <v>19</v>
      </c>
      <c r="E202" s="155">
        <v>4</v>
      </c>
      <c r="F202" s="155">
        <v>4</v>
      </c>
      <c r="G202" s="155">
        <v>1</v>
      </c>
      <c r="H202" s="154">
        <v>4</v>
      </c>
      <c r="I202" s="154">
        <v>0</v>
      </c>
      <c r="J202" s="154">
        <v>0</v>
      </c>
      <c r="K202" s="155"/>
      <c r="L202" s="172"/>
      <c r="M202" s="172"/>
      <c r="N202" s="172"/>
      <c r="P202" s="184"/>
      <c r="Q202" s="173"/>
      <c r="R202" s="167"/>
      <c r="S202" s="184">
        <f t="shared" si="138"/>
        <v>25449.644619687351</v>
      </c>
      <c r="T202" s="184">
        <f t="shared" si="138"/>
        <v>5357.8199199341789</v>
      </c>
      <c r="U202" s="184">
        <f t="shared" si="138"/>
        <v>5357.8199199341789</v>
      </c>
      <c r="V202" s="184">
        <f t="shared" si="138"/>
        <v>1339.4549799835447</v>
      </c>
      <c r="W202" s="184">
        <f t="shared" si="138"/>
        <v>5357.8199199341789</v>
      </c>
      <c r="X202" s="184">
        <f t="shared" si="138"/>
        <v>0</v>
      </c>
      <c r="Y202" s="184">
        <f t="shared" si="138"/>
        <v>0</v>
      </c>
      <c r="AA202" s="167">
        <f t="shared" si="139"/>
        <v>647684411.26838136</v>
      </c>
      <c r="AB202" s="167">
        <f t="shared" si="140"/>
        <v>28706234.294443492</v>
      </c>
      <c r="AC202" s="167">
        <f t="shared" si="141"/>
        <v>28706234.294443492</v>
      </c>
      <c r="AD202" s="167">
        <f t="shared" si="142"/>
        <v>1794139.6434027182</v>
      </c>
      <c r="AE202" s="167">
        <f t="shared" si="143"/>
        <v>28706234.294443492</v>
      </c>
      <c r="AF202" s="167">
        <f t="shared" si="144"/>
        <v>0</v>
      </c>
      <c r="AG202" s="167">
        <f t="shared" si="145"/>
        <v>0</v>
      </c>
      <c r="AK202" s="167"/>
      <c r="BA202" s="167"/>
      <c r="BJ202" s="201">
        <f t="shared" si="136"/>
        <v>7.8081906360712191E-5</v>
      </c>
      <c r="BK202" s="201">
        <f t="shared" si="137"/>
        <v>6.626669497157569E-4</v>
      </c>
      <c r="BL202" s="243">
        <f t="shared" si="146"/>
        <v>-5.7412674469828351E-4</v>
      </c>
      <c r="BM202" s="243">
        <f t="shared" si="147"/>
        <v>5.4789584047757484E-3</v>
      </c>
      <c r="BN202" s="243">
        <f t="shared" si="148"/>
        <v>-3.7522353057436965E-4</v>
      </c>
      <c r="BO202" s="243">
        <f t="shared" si="149"/>
        <v>-5.1002605822516173E-3</v>
      </c>
      <c r="BR202" s="200">
        <f t="shared" si="150"/>
        <v>6.0967841009230266E-9</v>
      </c>
      <c r="BS202" s="201">
        <f t="shared" si="151"/>
        <v>4.3912748624558548E-7</v>
      </c>
      <c r="BT202" s="201">
        <f t="shared" si="152"/>
        <v>3.2962151897784798E-7</v>
      </c>
      <c r="BU202" s="201">
        <f t="shared" si="153"/>
        <v>3.0018985201262815E-5</v>
      </c>
      <c r="BV202" s="201">
        <f t="shared" si="154"/>
        <v>1.4079269789669491E-7</v>
      </c>
      <c r="BW202" s="201">
        <f t="shared" si="155"/>
        <v>2.6012658006869608E-5</v>
      </c>
    </row>
    <row r="203" spans="1:75" x14ac:dyDescent="0.25">
      <c r="A203" s="122">
        <v>22996</v>
      </c>
      <c r="B203" s="153">
        <v>229</v>
      </c>
      <c r="C203" s="184">
        <f>+'Sampling Weights'!R203</f>
        <v>1318.6694358522698</v>
      </c>
      <c r="D203" s="155">
        <f>+SUM('Sampling Weights'!I203:N203)</f>
        <v>17</v>
      </c>
      <c r="E203" s="155">
        <v>1</v>
      </c>
      <c r="F203" s="155">
        <v>1</v>
      </c>
      <c r="G203" s="155">
        <v>0</v>
      </c>
      <c r="H203" s="154">
        <v>1</v>
      </c>
      <c r="I203" s="154">
        <v>0</v>
      </c>
      <c r="J203" s="154">
        <v>0</v>
      </c>
      <c r="K203" s="155"/>
      <c r="L203" s="172"/>
      <c r="M203" s="172"/>
      <c r="N203" s="172"/>
      <c r="P203" s="184"/>
      <c r="Q203" s="173"/>
      <c r="R203" s="167"/>
      <c r="S203" s="184">
        <f t="shared" si="138"/>
        <v>22417.380409488585</v>
      </c>
      <c r="T203" s="184">
        <f t="shared" si="138"/>
        <v>1318.6694358522698</v>
      </c>
      <c r="U203" s="184">
        <f t="shared" si="138"/>
        <v>1318.6694358522698</v>
      </c>
      <c r="V203" s="184">
        <f t="shared" si="138"/>
        <v>0</v>
      </c>
      <c r="W203" s="184">
        <f t="shared" si="138"/>
        <v>1318.6694358522698</v>
      </c>
      <c r="X203" s="184">
        <f t="shared" si="138"/>
        <v>0</v>
      </c>
      <c r="Y203" s="184">
        <f t="shared" si="138"/>
        <v>0</v>
      </c>
      <c r="AA203" s="167">
        <f t="shared" si="139"/>
        <v>502538944.42372262</v>
      </c>
      <c r="AB203" s="167">
        <f t="shared" si="140"/>
        <v>1738889.0810509434</v>
      </c>
      <c r="AC203" s="167">
        <f t="shared" si="141"/>
        <v>1738889.0810509434</v>
      </c>
      <c r="AD203" s="167">
        <f t="shared" si="142"/>
        <v>0</v>
      </c>
      <c r="AE203" s="167">
        <f t="shared" si="143"/>
        <v>1738889.0810509434</v>
      </c>
      <c r="AF203" s="167">
        <f t="shared" si="144"/>
        <v>0</v>
      </c>
      <c r="AG203" s="167">
        <f t="shared" si="145"/>
        <v>0</v>
      </c>
      <c r="AK203" s="167"/>
      <c r="BA203" s="167"/>
      <c r="BJ203" s="201">
        <f t="shared" si="136"/>
        <v>-1.0960312957181855E-3</v>
      </c>
      <c r="BK203" s="201">
        <f t="shared" si="137"/>
        <v>-5.8109816032777032E-4</v>
      </c>
      <c r="BL203" s="243">
        <f t="shared" si="146"/>
        <v>-9.8079344712933203E-4</v>
      </c>
      <c r="BM203" s="243">
        <f t="shared" si="147"/>
        <v>1.348484102984269E-3</v>
      </c>
      <c r="BN203" s="243">
        <f t="shared" si="148"/>
        <v>-9.2350211237984172E-5</v>
      </c>
      <c r="BO203" s="243">
        <f t="shared" si="149"/>
        <v>-1.2552787971977851E-3</v>
      </c>
      <c r="BR203" s="200">
        <f t="shared" si="150"/>
        <v>1.2012846011936847E-6</v>
      </c>
      <c r="BS203" s="201">
        <f t="shared" si="151"/>
        <v>3.3767507193631906E-7</v>
      </c>
      <c r="BT203" s="201">
        <f t="shared" si="152"/>
        <v>9.6195578593183776E-7</v>
      </c>
      <c r="BU203" s="201">
        <f t="shared" si="153"/>
        <v>1.8184093760012885E-6</v>
      </c>
      <c r="BV203" s="201">
        <f t="shared" si="154"/>
        <v>8.5285615157002973E-9</v>
      </c>
      <c r="BW203" s="201">
        <f t="shared" si="155"/>
        <v>1.575724858694318E-6</v>
      </c>
    </row>
    <row r="204" spans="1:75" x14ac:dyDescent="0.25">
      <c r="A204" s="122">
        <v>22997</v>
      </c>
      <c r="B204" s="153">
        <v>229</v>
      </c>
      <c r="C204" s="184">
        <f>+'Sampling Weights'!R204</f>
        <v>1812.8409456867964</v>
      </c>
      <c r="D204" s="155">
        <f>+SUM('Sampling Weights'!I204:N204)</f>
        <v>17</v>
      </c>
      <c r="E204" s="155">
        <v>1</v>
      </c>
      <c r="F204" s="155">
        <v>1</v>
      </c>
      <c r="G204" s="155">
        <v>0</v>
      </c>
      <c r="H204" s="154">
        <v>0</v>
      </c>
      <c r="I204" s="154">
        <v>0</v>
      </c>
      <c r="J204" s="154">
        <v>1</v>
      </c>
      <c r="K204" s="155"/>
      <c r="L204" s="172"/>
      <c r="M204" s="172"/>
      <c r="N204" s="172"/>
      <c r="P204" s="184"/>
      <c r="Q204" s="173"/>
      <c r="R204" s="167"/>
      <c r="S204" s="184">
        <f t="shared" si="138"/>
        <v>30818.296076675539</v>
      </c>
      <c r="T204" s="184">
        <f t="shared" si="138"/>
        <v>1812.8409456867964</v>
      </c>
      <c r="U204" s="184">
        <f t="shared" si="138"/>
        <v>1812.8409456867964</v>
      </c>
      <c r="V204" s="184">
        <f t="shared" si="138"/>
        <v>0</v>
      </c>
      <c r="W204" s="184">
        <f t="shared" si="138"/>
        <v>0</v>
      </c>
      <c r="X204" s="184">
        <f t="shared" si="138"/>
        <v>0</v>
      </c>
      <c r="Y204" s="184">
        <f t="shared" si="138"/>
        <v>1812.8409456867964</v>
      </c>
      <c r="AA204" s="167">
        <f t="shared" si="139"/>
        <v>949767373.06963491</v>
      </c>
      <c r="AB204" s="167">
        <f t="shared" si="140"/>
        <v>3286392.2943585985</v>
      </c>
      <c r="AC204" s="167">
        <f t="shared" si="141"/>
        <v>3286392.2943585985</v>
      </c>
      <c r="AD204" s="167">
        <f t="shared" si="142"/>
        <v>0</v>
      </c>
      <c r="AE204" s="167">
        <f t="shared" si="143"/>
        <v>0</v>
      </c>
      <c r="AF204" s="167">
        <f t="shared" si="144"/>
        <v>0</v>
      </c>
      <c r="AG204" s="167">
        <f t="shared" si="145"/>
        <v>3286392.2943585985</v>
      </c>
      <c r="AK204" s="167"/>
      <c r="BA204" s="167"/>
      <c r="BJ204" s="201">
        <f t="shared" si="136"/>
        <v>-1.5067691391117337E-3</v>
      </c>
      <c r="BK204" s="201">
        <f t="shared" si="137"/>
        <v>-7.9886475705308552E-4</v>
      </c>
      <c r="BL204" s="243">
        <f t="shared" si="146"/>
        <v>-1.348345894639013E-3</v>
      </c>
      <c r="BM204" s="243">
        <f t="shared" si="147"/>
        <v>-2.7625221032272717E-3</v>
      </c>
      <c r="BN204" s="243">
        <f t="shared" si="148"/>
        <v>-1.2695846261640226E-4</v>
      </c>
      <c r="BO204" s="243">
        <f t="shared" si="149"/>
        <v>2.890656107164196E-3</v>
      </c>
      <c r="BR204" s="200">
        <f t="shared" si="150"/>
        <v>2.2703532385795148E-6</v>
      </c>
      <c r="BS204" s="201">
        <f t="shared" si="151"/>
        <v>6.3818490006148533E-7</v>
      </c>
      <c r="BT204" s="201">
        <f t="shared" si="152"/>
        <v>1.8180366515898802E-6</v>
      </c>
      <c r="BU204" s="201">
        <f t="shared" si="153"/>
        <v>7.6315283708192281E-6</v>
      </c>
      <c r="BV204" s="201">
        <f t="shared" si="154"/>
        <v>1.6118451229920411E-8</v>
      </c>
      <c r="BW204" s="201">
        <f t="shared" si="155"/>
        <v>8.3558927298856637E-6</v>
      </c>
    </row>
    <row r="205" spans="1:75" x14ac:dyDescent="0.25">
      <c r="A205" s="122">
        <v>130101</v>
      </c>
      <c r="B205" s="153">
        <v>130</v>
      </c>
      <c r="C205" s="184">
        <f>+'Sampling Weights'!R205</f>
        <v>415.9689660469819</v>
      </c>
      <c r="D205" s="155">
        <f>+SUM('Sampling Weights'!I205:N205)</f>
        <v>16</v>
      </c>
      <c r="E205" s="155">
        <v>2</v>
      </c>
      <c r="F205" s="155">
        <v>1</v>
      </c>
      <c r="G205" s="155">
        <v>0</v>
      </c>
      <c r="H205" s="154">
        <v>1</v>
      </c>
      <c r="I205" s="154">
        <v>0</v>
      </c>
      <c r="J205" s="154">
        <v>0</v>
      </c>
      <c r="K205" s="155"/>
      <c r="L205" s="172"/>
      <c r="M205" s="172"/>
      <c r="N205" s="172"/>
      <c r="P205" s="184"/>
      <c r="Q205" s="173"/>
      <c r="R205" s="167"/>
      <c r="S205" s="184">
        <f t="shared" si="138"/>
        <v>6655.5034567517105</v>
      </c>
      <c r="T205" s="184">
        <f t="shared" si="138"/>
        <v>831.93793209396381</v>
      </c>
      <c r="U205" s="184">
        <f t="shared" si="138"/>
        <v>415.9689660469819</v>
      </c>
      <c r="V205" s="184">
        <f t="shared" si="138"/>
        <v>0</v>
      </c>
      <c r="W205" s="184">
        <f t="shared" si="138"/>
        <v>415.9689660469819</v>
      </c>
      <c r="X205" s="184">
        <f t="shared" si="138"/>
        <v>0</v>
      </c>
      <c r="Y205" s="184">
        <f t="shared" si="138"/>
        <v>0</v>
      </c>
      <c r="AA205" s="167">
        <f t="shared" si="139"/>
        <v>44295726.262833968</v>
      </c>
      <c r="AB205" s="167">
        <f t="shared" si="140"/>
        <v>692120.72285678075</v>
      </c>
      <c r="AC205" s="167">
        <f t="shared" si="141"/>
        <v>173030.18071419519</v>
      </c>
      <c r="AD205" s="167">
        <f t="shared" si="142"/>
        <v>0</v>
      </c>
      <c r="AE205" s="167">
        <f t="shared" si="143"/>
        <v>173030.18071419519</v>
      </c>
      <c r="AF205" s="167">
        <f t="shared" si="144"/>
        <v>0</v>
      </c>
      <c r="AG205" s="167">
        <f t="shared" si="145"/>
        <v>0</v>
      </c>
      <c r="AK205" s="167"/>
      <c r="BA205" s="167"/>
      <c r="BJ205" s="201">
        <f t="shared" si="136"/>
        <v>-1.74545588797732E-4</v>
      </c>
      <c r="BK205" s="201">
        <f t="shared" si="137"/>
        <v>-1.641415629836869E-4</v>
      </c>
      <c r="BL205" s="243">
        <f t="shared" si="146"/>
        <v>-3.0938734531627476E-4</v>
      </c>
      <c r="BM205" s="243">
        <f t="shared" si="147"/>
        <v>4.253738827931694E-4</v>
      </c>
      <c r="BN205" s="243">
        <f t="shared" si="148"/>
        <v>-2.913150243605726E-5</v>
      </c>
      <c r="BO205" s="243">
        <f t="shared" si="149"/>
        <v>-3.9597264422344501E-4</v>
      </c>
      <c r="BR205" s="200">
        <f t="shared" si="150"/>
        <v>3.0466162568746944E-8</v>
      </c>
      <c r="BS205" s="201">
        <f t="shared" si="151"/>
        <v>2.6942452698727655E-8</v>
      </c>
      <c r="BT205" s="201">
        <f t="shared" si="152"/>
        <v>9.5720529441851838E-8</v>
      </c>
      <c r="BU205" s="201">
        <f t="shared" si="153"/>
        <v>1.8094294016253702E-7</v>
      </c>
      <c r="BV205" s="201">
        <f t="shared" si="154"/>
        <v>8.4864443418201007E-10</v>
      </c>
      <c r="BW205" s="201">
        <f t="shared" si="155"/>
        <v>1.5679433497330697E-7</v>
      </c>
    </row>
    <row r="206" spans="1:75" x14ac:dyDescent="0.25">
      <c r="A206" s="122">
        <v>130102</v>
      </c>
      <c r="B206" s="153">
        <v>130</v>
      </c>
      <c r="C206" s="184">
        <f>+'Sampling Weights'!R206</f>
        <v>93.735169698741473</v>
      </c>
      <c r="D206" s="155">
        <f>+SUM('Sampling Weights'!I206:N206)</f>
        <v>13</v>
      </c>
      <c r="E206" s="155">
        <v>3</v>
      </c>
      <c r="F206" s="155">
        <v>2</v>
      </c>
      <c r="G206" s="155">
        <v>0</v>
      </c>
      <c r="H206" s="154">
        <v>0</v>
      </c>
      <c r="I206" s="154">
        <v>0</v>
      </c>
      <c r="J206" s="154">
        <v>2</v>
      </c>
      <c r="K206" s="155"/>
      <c r="L206" s="172"/>
      <c r="M206" s="172"/>
      <c r="N206" s="172"/>
      <c r="P206" s="184"/>
      <c r="Q206" s="173"/>
      <c r="R206" s="167"/>
      <c r="S206" s="184">
        <f t="shared" si="138"/>
        <v>1218.5572060836391</v>
      </c>
      <c r="T206" s="184">
        <f t="shared" si="138"/>
        <v>281.20550909622443</v>
      </c>
      <c r="U206" s="184">
        <f t="shared" si="138"/>
        <v>187.47033939748295</v>
      </c>
      <c r="V206" s="184">
        <f t="shared" si="138"/>
        <v>0</v>
      </c>
      <c r="W206" s="184">
        <f t="shared" si="138"/>
        <v>0</v>
      </c>
      <c r="X206" s="184">
        <f t="shared" si="138"/>
        <v>0</v>
      </c>
      <c r="Y206" s="184">
        <f t="shared" si="138"/>
        <v>187.47033939748295</v>
      </c>
      <c r="AA206" s="167">
        <f t="shared" si="139"/>
        <v>1484881.6644983646</v>
      </c>
      <c r="AB206" s="167">
        <f t="shared" si="140"/>
        <v>79076.538346066765</v>
      </c>
      <c r="AC206" s="167">
        <f t="shared" si="141"/>
        <v>35145.128153807447</v>
      </c>
      <c r="AD206" s="167">
        <f t="shared" si="142"/>
        <v>0</v>
      </c>
      <c r="AE206" s="167">
        <f t="shared" si="143"/>
        <v>0</v>
      </c>
      <c r="AF206" s="167">
        <f t="shared" si="144"/>
        <v>0</v>
      </c>
      <c r="AG206" s="167">
        <f t="shared" si="145"/>
        <v>35145.128153807447</v>
      </c>
      <c r="AK206" s="167"/>
      <c r="BA206" s="167"/>
      <c r="BJ206" s="201">
        <f t="shared" si="136"/>
        <v>1.2187459717233665E-5</v>
      </c>
      <c r="BK206" s="201">
        <f t="shared" si="137"/>
        <v>8.0725563280891752E-6</v>
      </c>
      <c r="BL206" s="243">
        <f t="shared" si="146"/>
        <v>-1.3943576412182954E-4</v>
      </c>
      <c r="BM206" s="243">
        <f t="shared" si="147"/>
        <v>-2.856792028651259E-4</v>
      </c>
      <c r="BN206" s="243">
        <f t="shared" si="148"/>
        <v>-1.3129086769971744E-5</v>
      </c>
      <c r="BO206" s="243">
        <f t="shared" si="149"/>
        <v>2.9892985525333812E-4</v>
      </c>
      <c r="BR206" s="200">
        <f t="shared" si="150"/>
        <v>1.4853417435919328E-10</v>
      </c>
      <c r="BS206" s="201">
        <f t="shared" si="151"/>
        <v>6.516616567017259E-11</v>
      </c>
      <c r="BT206" s="201">
        <f t="shared" si="152"/>
        <v>1.9442332316238487E-8</v>
      </c>
      <c r="BU206" s="201">
        <f t="shared" si="153"/>
        <v>8.1612606949653759E-8</v>
      </c>
      <c r="BV206" s="201">
        <f t="shared" si="154"/>
        <v>1.7237291941344708E-10</v>
      </c>
      <c r="BW206" s="201">
        <f t="shared" si="155"/>
        <v>8.935905836178168E-8</v>
      </c>
    </row>
    <row r="207" spans="1:75" x14ac:dyDescent="0.25">
      <c r="A207" s="122">
        <v>130103</v>
      </c>
      <c r="B207" s="153">
        <v>130</v>
      </c>
      <c r="C207" s="184">
        <f>+'Sampling Weights'!R207</f>
        <v>204.17715981512606</v>
      </c>
      <c r="D207" s="155">
        <f>+SUM('Sampling Weights'!I207:N207)</f>
        <v>11</v>
      </c>
      <c r="E207" s="155">
        <v>4</v>
      </c>
      <c r="F207" s="155">
        <v>3</v>
      </c>
      <c r="G207" s="155">
        <v>0</v>
      </c>
      <c r="H207" s="154">
        <v>2</v>
      </c>
      <c r="I207" s="154">
        <v>0</v>
      </c>
      <c r="J207" s="154">
        <v>1</v>
      </c>
      <c r="K207" s="154"/>
      <c r="L207" s="172"/>
      <c r="M207" s="172"/>
      <c r="N207" s="172"/>
      <c r="P207" s="184"/>
      <c r="Q207" s="173"/>
      <c r="R207" s="167"/>
      <c r="S207" s="184">
        <f t="shared" si="138"/>
        <v>2245.9487579663864</v>
      </c>
      <c r="T207" s="184">
        <f t="shared" si="138"/>
        <v>816.70863926050424</v>
      </c>
      <c r="U207" s="184">
        <f t="shared" si="138"/>
        <v>612.53147944537818</v>
      </c>
      <c r="V207" s="184">
        <f t="shared" si="138"/>
        <v>0</v>
      </c>
      <c r="W207" s="184">
        <f t="shared" si="138"/>
        <v>408.35431963025212</v>
      </c>
      <c r="X207" s="184">
        <f t="shared" si="138"/>
        <v>0</v>
      </c>
      <c r="Y207" s="184">
        <f t="shared" si="138"/>
        <v>204.17715981512606</v>
      </c>
      <c r="AA207" s="167">
        <f t="shared" si="139"/>
        <v>5044285.8234107541</v>
      </c>
      <c r="AB207" s="167">
        <f t="shared" si="140"/>
        <v>667013.0014427444</v>
      </c>
      <c r="AC207" s="167">
        <f t="shared" si="141"/>
        <v>375194.81331154378</v>
      </c>
      <c r="AD207" s="167">
        <f t="shared" si="142"/>
        <v>0</v>
      </c>
      <c r="AE207" s="167">
        <f t="shared" si="143"/>
        <v>166753.2503606861</v>
      </c>
      <c r="AF207" s="167">
        <f t="shared" si="144"/>
        <v>0</v>
      </c>
      <c r="AG207" s="167">
        <f t="shared" si="145"/>
        <v>41688.312590171525</v>
      </c>
      <c r="AK207" s="167"/>
      <c r="BA207" s="167"/>
      <c r="BJ207" s="201">
        <f t="shared" si="136"/>
        <v>1.2467312295802213E-4</v>
      </c>
      <c r="BK207" s="201">
        <f t="shared" si="137"/>
        <v>1.0632989300907915E-4</v>
      </c>
      <c r="BL207" s="243">
        <f t="shared" si="146"/>
        <v>-4.5558564175879313E-4</v>
      </c>
      <c r="BM207" s="243">
        <f t="shared" si="147"/>
        <v>1.0644895552864554E-4</v>
      </c>
      <c r="BN207" s="243">
        <f t="shared" si="148"/>
        <v>-4.289734028766318E-5</v>
      </c>
      <c r="BO207" s="243">
        <f t="shared" si="149"/>
        <v>-6.3154417645726351E-5</v>
      </c>
      <c r="BR207" s="200">
        <f t="shared" si="150"/>
        <v>1.5543387588106106E-8</v>
      </c>
      <c r="BS207" s="201">
        <f t="shared" si="151"/>
        <v>1.1306046147322219E-8</v>
      </c>
      <c r="BT207" s="201">
        <f t="shared" si="152"/>
        <v>2.075582769767714E-7</v>
      </c>
      <c r="BU207" s="201">
        <f t="shared" si="153"/>
        <v>1.1331380133139556E-8</v>
      </c>
      <c r="BV207" s="201">
        <f t="shared" si="154"/>
        <v>1.8401818037555705E-9</v>
      </c>
      <c r="BW207" s="201">
        <f t="shared" si="155"/>
        <v>3.988480468170832E-9</v>
      </c>
    </row>
    <row r="208" spans="1:75" x14ac:dyDescent="0.25">
      <c r="A208" s="122">
        <v>23098</v>
      </c>
      <c r="B208" s="153">
        <v>230</v>
      </c>
      <c r="C208" s="184">
        <f>+'Sampling Weights'!R208</f>
        <v>838.55129700349084</v>
      </c>
      <c r="D208" s="155">
        <f>+SUM('Sampling Weights'!I208:N208)</f>
        <v>15</v>
      </c>
      <c r="E208" s="155">
        <v>1</v>
      </c>
      <c r="F208" s="155">
        <v>1</v>
      </c>
      <c r="G208" s="155">
        <v>0</v>
      </c>
      <c r="H208" s="154">
        <v>1</v>
      </c>
      <c r="I208" s="154">
        <v>0</v>
      </c>
      <c r="J208" s="154">
        <v>0</v>
      </c>
      <c r="K208" s="155"/>
      <c r="L208" s="172"/>
      <c r="M208" s="172"/>
      <c r="N208" s="172"/>
      <c r="P208" s="184"/>
      <c r="Q208" s="173"/>
      <c r="R208" s="167"/>
      <c r="S208" s="184">
        <f t="shared" si="138"/>
        <v>12578.269455052363</v>
      </c>
      <c r="T208" s="184">
        <f t="shared" si="138"/>
        <v>838.55129700349084</v>
      </c>
      <c r="U208" s="184">
        <f t="shared" si="138"/>
        <v>838.55129700349084</v>
      </c>
      <c r="V208" s="184">
        <f t="shared" si="138"/>
        <v>0</v>
      </c>
      <c r="W208" s="184">
        <f t="shared" si="138"/>
        <v>838.55129700349084</v>
      </c>
      <c r="X208" s="184">
        <f t="shared" si="138"/>
        <v>0</v>
      </c>
      <c r="Y208" s="184">
        <f t="shared" si="138"/>
        <v>0</v>
      </c>
      <c r="AA208" s="167">
        <f t="shared" si="139"/>
        <v>158212862.48390326</v>
      </c>
      <c r="AB208" s="167">
        <f t="shared" si="140"/>
        <v>703168.27770623669</v>
      </c>
      <c r="AC208" s="167">
        <f t="shared" si="141"/>
        <v>703168.27770623669</v>
      </c>
      <c r="AD208" s="167">
        <f t="shared" si="142"/>
        <v>0</v>
      </c>
      <c r="AE208" s="167">
        <f t="shared" si="143"/>
        <v>703168.27770623669</v>
      </c>
      <c r="AF208" s="167">
        <f t="shared" si="144"/>
        <v>0</v>
      </c>
      <c r="AG208" s="167">
        <f t="shared" si="145"/>
        <v>0</v>
      </c>
      <c r="AK208" s="167"/>
      <c r="BA208" s="167"/>
      <c r="BJ208" s="201">
        <f t="shared" si="136"/>
        <v>-5.8118722648926239E-4</v>
      </c>
      <c r="BK208" s="201">
        <f t="shared" si="137"/>
        <v>-2.9226106250561948E-4</v>
      </c>
      <c r="BL208" s="243">
        <f t="shared" si="146"/>
        <v>-6.2369354655685254E-4</v>
      </c>
      <c r="BM208" s="243">
        <f t="shared" si="147"/>
        <v>8.5751065642559413E-4</v>
      </c>
      <c r="BN208" s="243">
        <f t="shared" si="148"/>
        <v>-5.8726157827497883E-5</v>
      </c>
      <c r="BO208" s="243">
        <f t="shared" si="149"/>
        <v>-7.9824073787747134E-4</v>
      </c>
      <c r="BR208" s="200">
        <f t="shared" si="150"/>
        <v>3.3777859223428119E-7</v>
      </c>
      <c r="BS208" s="201">
        <f t="shared" si="151"/>
        <v>8.5416528656913621E-8</v>
      </c>
      <c r="BT208" s="201">
        <f t="shared" si="152"/>
        <v>3.889936400166648E-7</v>
      </c>
      <c r="BU208" s="201">
        <f t="shared" si="153"/>
        <v>7.3532452588345335E-7</v>
      </c>
      <c r="BV208" s="201">
        <f t="shared" si="154"/>
        <v>3.4487616131801909E-9</v>
      </c>
      <c r="BW208" s="201">
        <f t="shared" si="155"/>
        <v>6.3718827560716989E-7</v>
      </c>
    </row>
    <row r="209" spans="1:75" x14ac:dyDescent="0.25">
      <c r="A209" s="122">
        <v>23099</v>
      </c>
      <c r="B209" s="153">
        <v>230</v>
      </c>
      <c r="C209" s="184">
        <f>+'Sampling Weights'!R209</f>
        <v>1607.8701538328612</v>
      </c>
      <c r="D209" s="155">
        <f>+SUM('Sampling Weights'!I209:N209)</f>
        <v>13</v>
      </c>
      <c r="E209" s="155">
        <v>1</v>
      </c>
      <c r="F209" s="155">
        <v>1</v>
      </c>
      <c r="G209" s="155">
        <v>0</v>
      </c>
      <c r="H209" s="154">
        <v>1</v>
      </c>
      <c r="I209" s="154">
        <v>0</v>
      </c>
      <c r="J209" s="154">
        <v>0</v>
      </c>
      <c r="K209" s="155"/>
      <c r="L209" s="172"/>
      <c r="M209" s="172"/>
      <c r="N209" s="172"/>
      <c r="P209" s="184"/>
      <c r="Q209" s="173"/>
      <c r="R209" s="167"/>
      <c r="S209" s="184">
        <f t="shared" si="138"/>
        <v>20902.311999827194</v>
      </c>
      <c r="T209" s="184">
        <f t="shared" si="138"/>
        <v>1607.8701538328612</v>
      </c>
      <c r="U209" s="184">
        <f t="shared" si="138"/>
        <v>1607.8701538328612</v>
      </c>
      <c r="V209" s="184">
        <f t="shared" si="138"/>
        <v>0</v>
      </c>
      <c r="W209" s="184">
        <f t="shared" si="138"/>
        <v>1607.8701538328612</v>
      </c>
      <c r="X209" s="184">
        <f t="shared" si="138"/>
        <v>0</v>
      </c>
      <c r="Y209" s="184">
        <f t="shared" si="138"/>
        <v>0</v>
      </c>
      <c r="AA209" s="167">
        <f t="shared" si="139"/>
        <v>436906646.93811989</v>
      </c>
      <c r="AB209" s="167">
        <f t="shared" si="140"/>
        <v>2585246.4315865086</v>
      </c>
      <c r="AC209" s="167">
        <f t="shared" si="141"/>
        <v>2585246.4315865086</v>
      </c>
      <c r="AD209" s="167">
        <f t="shared" si="142"/>
        <v>0</v>
      </c>
      <c r="AE209" s="167">
        <f t="shared" si="143"/>
        <v>2585246.4315865086</v>
      </c>
      <c r="AF209" s="167">
        <f t="shared" si="144"/>
        <v>0</v>
      </c>
      <c r="AG209" s="167">
        <f t="shared" si="145"/>
        <v>0</v>
      </c>
      <c r="AK209" s="167"/>
      <c r="BA209" s="167"/>
      <c r="BJ209" s="201">
        <f t="shared" si="136"/>
        <v>-8.9237630876395002E-4</v>
      </c>
      <c r="BK209" s="201">
        <f t="shared" si="137"/>
        <v>-4.1224469399133638E-4</v>
      </c>
      <c r="BL209" s="243">
        <f t="shared" si="146"/>
        <v>-1.1958937303304352E-3</v>
      </c>
      <c r="BM209" s="243">
        <f t="shared" si="147"/>
        <v>1.6442235507681743E-3</v>
      </c>
      <c r="BN209" s="243">
        <f t="shared" si="148"/>
        <v>-1.1260376885412989E-4</v>
      </c>
      <c r="BO209" s="243">
        <f t="shared" si="149"/>
        <v>-1.5305771544246547E-3</v>
      </c>
      <c r="BR209" s="200">
        <f t="shared" si="150"/>
        <v>7.9633547644317266E-7</v>
      </c>
      <c r="BS209" s="201">
        <f t="shared" si="151"/>
        <v>1.6994568772401058E-7</v>
      </c>
      <c r="BT209" s="201">
        <f t="shared" si="152"/>
        <v>1.4301618142436436E-6</v>
      </c>
      <c r="BU209" s="201">
        <f t="shared" si="153"/>
        <v>2.7034710849007032E-6</v>
      </c>
      <c r="BV209" s="201">
        <f t="shared" si="154"/>
        <v>1.2679608760154312E-8</v>
      </c>
      <c r="BW209" s="201">
        <f t="shared" si="155"/>
        <v>2.3426664256466733E-6</v>
      </c>
    </row>
    <row r="210" spans="1:75" x14ac:dyDescent="0.25">
      <c r="A210" s="122">
        <v>230100</v>
      </c>
      <c r="B210" s="153">
        <v>230</v>
      </c>
      <c r="C210" s="184">
        <f>+'Sampling Weights'!R210</f>
        <v>900.79123430927007</v>
      </c>
      <c r="D210" s="155">
        <f>+SUM('Sampling Weights'!I210:N210)</f>
        <v>13</v>
      </c>
      <c r="E210" s="155">
        <v>6</v>
      </c>
      <c r="F210" s="155">
        <v>2</v>
      </c>
      <c r="G210" s="155">
        <v>1</v>
      </c>
      <c r="H210" s="154">
        <v>1</v>
      </c>
      <c r="I210" s="154">
        <v>0</v>
      </c>
      <c r="J210" s="154">
        <v>1</v>
      </c>
      <c r="K210" s="155"/>
      <c r="L210" s="172"/>
      <c r="M210" s="172"/>
      <c r="N210" s="172"/>
      <c r="P210" s="184"/>
      <c r="Q210" s="173"/>
      <c r="R210" s="167"/>
      <c r="S210" s="184">
        <f t="shared" si="138"/>
        <v>11710.28604602051</v>
      </c>
      <c r="T210" s="184">
        <f t="shared" si="138"/>
        <v>5404.7474058556199</v>
      </c>
      <c r="U210" s="184">
        <f t="shared" si="138"/>
        <v>1801.5824686185401</v>
      </c>
      <c r="V210" s="184">
        <f t="shared" si="138"/>
        <v>900.79123430927007</v>
      </c>
      <c r="W210" s="184">
        <f t="shared" si="138"/>
        <v>900.79123430927007</v>
      </c>
      <c r="X210" s="184">
        <f t="shared" si="138"/>
        <v>0</v>
      </c>
      <c r="Y210" s="184">
        <f t="shared" si="138"/>
        <v>900.79123430927007</v>
      </c>
      <c r="AA210" s="167">
        <f t="shared" si="139"/>
        <v>137130799.27962267</v>
      </c>
      <c r="AB210" s="167">
        <f t="shared" si="140"/>
        <v>29211294.521103054</v>
      </c>
      <c r="AC210" s="167">
        <f t="shared" si="141"/>
        <v>3245699.3912336733</v>
      </c>
      <c r="AD210" s="167">
        <f t="shared" si="142"/>
        <v>811424.84780841833</v>
      </c>
      <c r="AE210" s="167">
        <f t="shared" si="143"/>
        <v>811424.84780841833</v>
      </c>
      <c r="AF210" s="167">
        <f t="shared" si="144"/>
        <v>0</v>
      </c>
      <c r="AG210" s="167">
        <f t="shared" si="145"/>
        <v>811424.84780841833</v>
      </c>
      <c r="AK210" s="167"/>
      <c r="BA210" s="167"/>
      <c r="BJ210" s="201">
        <f t="shared" si="136"/>
        <v>1.0427182411134031E-3</v>
      </c>
      <c r="BK210" s="201">
        <f t="shared" si="137"/>
        <v>7.7576943661394933E-5</v>
      </c>
      <c r="BL210" s="243">
        <f t="shared" si="146"/>
        <v>9.5386855803869964E-4</v>
      </c>
      <c r="BM210" s="243">
        <f t="shared" si="147"/>
        <v>-4.5152504308874165E-4</v>
      </c>
      <c r="BN210" s="243">
        <f t="shared" si="148"/>
        <v>-1.2616999910371041E-4</v>
      </c>
      <c r="BO210" s="243">
        <f t="shared" si="149"/>
        <v>5.7886328292489336E-4</v>
      </c>
      <c r="BR210" s="200">
        <f t="shared" si="150"/>
        <v>1.0872613303506291E-6</v>
      </c>
      <c r="BS210" s="201">
        <f t="shared" si="151"/>
        <v>6.0181821878432432E-9</v>
      </c>
      <c r="BT210" s="201">
        <f t="shared" si="152"/>
        <v>9.0986522601482808E-7</v>
      </c>
      <c r="BU210" s="201">
        <f t="shared" si="153"/>
        <v>2.0387486453629002E-7</v>
      </c>
      <c r="BV210" s="201">
        <f t="shared" si="154"/>
        <v>1.5918868673830286E-8</v>
      </c>
      <c r="BW210" s="201">
        <f t="shared" si="155"/>
        <v>3.3508270031858514E-7</v>
      </c>
    </row>
    <row r="211" spans="1:75" x14ac:dyDescent="0.25">
      <c r="A211" s="122">
        <v>230101</v>
      </c>
      <c r="B211" s="153">
        <v>230</v>
      </c>
      <c r="C211" s="184">
        <f>+'Sampling Weights'!R211</f>
        <v>1121.0132505357374</v>
      </c>
      <c r="D211" s="155">
        <f>+SUM('Sampling Weights'!I211:N211)</f>
        <v>19</v>
      </c>
      <c r="E211" s="155">
        <v>3</v>
      </c>
      <c r="F211" s="155">
        <v>3</v>
      </c>
      <c r="G211" s="155">
        <v>0</v>
      </c>
      <c r="H211" s="154">
        <v>2</v>
      </c>
      <c r="I211" s="154">
        <v>0</v>
      </c>
      <c r="J211" s="154">
        <v>1</v>
      </c>
      <c r="K211" s="155"/>
      <c r="L211" s="172"/>
      <c r="M211" s="172"/>
      <c r="N211" s="172"/>
      <c r="P211" s="184"/>
      <c r="Q211" s="173"/>
      <c r="R211" s="167"/>
      <c r="S211" s="184">
        <f t="shared" si="138"/>
        <v>21299.25176017901</v>
      </c>
      <c r="T211" s="184">
        <f t="shared" si="138"/>
        <v>3363.0397516072121</v>
      </c>
      <c r="U211" s="184">
        <f t="shared" si="138"/>
        <v>3363.0397516072121</v>
      </c>
      <c r="V211" s="184">
        <f t="shared" si="138"/>
        <v>0</v>
      </c>
      <c r="W211" s="184">
        <f t="shared" si="138"/>
        <v>2242.0265010714747</v>
      </c>
      <c r="X211" s="184">
        <f t="shared" si="138"/>
        <v>0</v>
      </c>
      <c r="Y211" s="184">
        <f t="shared" si="138"/>
        <v>1121.0132505357374</v>
      </c>
      <c r="AA211" s="167">
        <f t="shared" si="139"/>
        <v>453658125.54348862</v>
      </c>
      <c r="AB211" s="167">
        <f t="shared" si="140"/>
        <v>11310036.370890299</v>
      </c>
      <c r="AC211" s="167">
        <f t="shared" si="141"/>
        <v>11310036.370890299</v>
      </c>
      <c r="AD211" s="167">
        <f t="shared" si="142"/>
        <v>0</v>
      </c>
      <c r="AE211" s="167">
        <f t="shared" si="143"/>
        <v>5026682.8315067999</v>
      </c>
      <c r="AF211" s="167">
        <f t="shared" si="144"/>
        <v>0</v>
      </c>
      <c r="AG211" s="167">
        <f t="shared" si="145"/>
        <v>1256670.7078767</v>
      </c>
      <c r="AK211" s="167"/>
      <c r="BA211" s="167"/>
      <c r="BJ211" s="201">
        <f t="shared" si="136"/>
        <v>-3.1861313466145129E-4</v>
      </c>
      <c r="BK211" s="201">
        <f t="shared" si="137"/>
        <v>1.7063629100723705E-4</v>
      </c>
      <c r="BL211" s="243">
        <f t="shared" si="146"/>
        <v>-2.5013451143500488E-3</v>
      </c>
      <c r="BM211" s="243">
        <f t="shared" si="147"/>
        <v>5.8444680963017678E-4</v>
      </c>
      <c r="BN211" s="243">
        <f t="shared" si="148"/>
        <v>-2.3552334119425044E-4</v>
      </c>
      <c r="BO211" s="243">
        <f t="shared" si="149"/>
        <v>-3.4674269675820249E-4</v>
      </c>
      <c r="BR211" s="200">
        <f t="shared" si="150"/>
        <v>1.015143295787961E-7</v>
      </c>
      <c r="BS211" s="201">
        <f t="shared" si="151"/>
        <v>2.9116743808706489E-8</v>
      </c>
      <c r="BT211" s="201">
        <f t="shared" si="152"/>
        <v>6.2567273810828592E-6</v>
      </c>
      <c r="BU211" s="201">
        <f t="shared" si="153"/>
        <v>3.4157807328689209E-7</v>
      </c>
      <c r="BV211" s="201">
        <f t="shared" si="154"/>
        <v>5.5471244247303305E-8</v>
      </c>
      <c r="BW211" s="201">
        <f t="shared" si="155"/>
        <v>1.2023049775515077E-7</v>
      </c>
    </row>
    <row r="212" spans="1:75" x14ac:dyDescent="0.25">
      <c r="A212" s="122">
        <v>131104</v>
      </c>
      <c r="B212" s="153">
        <v>131</v>
      </c>
      <c r="C212" s="184">
        <f>+'Sampling Weights'!R212</f>
        <v>86.762772308059297</v>
      </c>
      <c r="D212" s="155">
        <f>+SUM('Sampling Weights'!I212:N212)</f>
        <v>17</v>
      </c>
      <c r="E212" s="155">
        <v>4</v>
      </c>
      <c r="F212" s="155">
        <v>3</v>
      </c>
      <c r="G212" s="155">
        <v>1</v>
      </c>
      <c r="H212" s="154">
        <v>1</v>
      </c>
      <c r="I212" s="154">
        <v>2</v>
      </c>
      <c r="J212" s="154">
        <v>0</v>
      </c>
      <c r="K212" s="155"/>
      <c r="L212" s="172"/>
      <c r="M212" s="172"/>
      <c r="N212" s="172"/>
      <c r="P212" s="184"/>
      <c r="Q212" s="173"/>
      <c r="R212" s="167"/>
      <c r="S212" s="184">
        <f t="shared" si="138"/>
        <v>1474.9671292370081</v>
      </c>
      <c r="T212" s="184">
        <f t="shared" si="138"/>
        <v>347.05108923223719</v>
      </c>
      <c r="U212" s="184">
        <f t="shared" si="138"/>
        <v>260.28831692417788</v>
      </c>
      <c r="V212" s="184">
        <f t="shared" si="138"/>
        <v>86.762772308059297</v>
      </c>
      <c r="W212" s="184">
        <f t="shared" si="138"/>
        <v>86.762772308059297</v>
      </c>
      <c r="X212" s="184">
        <f t="shared" si="138"/>
        <v>173.52554461611859</v>
      </c>
      <c r="Y212" s="184">
        <f t="shared" si="138"/>
        <v>0</v>
      </c>
      <c r="AA212" s="167">
        <f t="shared" si="139"/>
        <v>2175528.0323296608</v>
      </c>
      <c r="AB212" s="167">
        <f t="shared" si="140"/>
        <v>120444.45853728226</v>
      </c>
      <c r="AC212" s="167">
        <f t="shared" si="141"/>
        <v>67750.007927221261</v>
      </c>
      <c r="AD212" s="167">
        <f t="shared" si="142"/>
        <v>7527.7786585801414</v>
      </c>
      <c r="AE212" s="167">
        <f t="shared" si="143"/>
        <v>7527.7786585801414</v>
      </c>
      <c r="AF212" s="167">
        <f t="shared" si="144"/>
        <v>30111.114634320566</v>
      </c>
      <c r="AG212" s="167">
        <f t="shared" si="145"/>
        <v>0</v>
      </c>
      <c r="AK212" s="167"/>
      <c r="BA212" s="167"/>
      <c r="BJ212" s="201">
        <f t="shared" si="136"/>
        <v>1.7037906078649274E-5</v>
      </c>
      <c r="BK212" s="201">
        <f t="shared" si="137"/>
        <v>2.1200940660265589E-5</v>
      </c>
      <c r="BL212" s="243">
        <f t="shared" si="146"/>
        <v>2.7343108587928345E-5</v>
      </c>
      <c r="BM212" s="243">
        <f t="shared" si="147"/>
        <v>-1.7570479037057647E-4</v>
      </c>
      <c r="BN212" s="243">
        <f t="shared" si="148"/>
        <v>4.2364939849197597E-4</v>
      </c>
      <c r="BO212" s="243">
        <f t="shared" si="149"/>
        <v>-2.4777582350048633E-4</v>
      </c>
      <c r="BR212" s="200">
        <f t="shared" si="150"/>
        <v>2.9029024354487385E-10</v>
      </c>
      <c r="BS212" s="201">
        <f t="shared" si="151"/>
        <v>4.4947988488010269E-10</v>
      </c>
      <c r="BT212" s="201">
        <f t="shared" si="152"/>
        <v>7.4764558725124077E-10</v>
      </c>
      <c r="BU212" s="201">
        <f t="shared" si="153"/>
        <v>3.087217335916822E-8</v>
      </c>
      <c r="BV212" s="201">
        <f t="shared" si="154"/>
        <v>1.7947881284261304E-7</v>
      </c>
      <c r="BW212" s="201">
        <f t="shared" si="155"/>
        <v>6.1392858711344159E-8</v>
      </c>
    </row>
    <row r="213" spans="1:75" x14ac:dyDescent="0.25">
      <c r="A213" s="122">
        <v>231102</v>
      </c>
      <c r="B213" s="153">
        <v>231</v>
      </c>
      <c r="C213" s="184">
        <f>+'Sampling Weights'!R213</f>
        <v>656.39743570196401</v>
      </c>
      <c r="D213" s="155">
        <f>+SUM('Sampling Weights'!I213:N213)</f>
        <v>11</v>
      </c>
      <c r="E213" s="155">
        <v>2</v>
      </c>
      <c r="F213" s="155">
        <v>1</v>
      </c>
      <c r="G213" s="155">
        <v>0</v>
      </c>
      <c r="H213" s="154">
        <v>1</v>
      </c>
      <c r="I213" s="154">
        <v>0</v>
      </c>
      <c r="J213" s="154">
        <v>0</v>
      </c>
      <c r="K213" s="155"/>
      <c r="L213" s="172"/>
      <c r="M213" s="172"/>
      <c r="N213" s="172"/>
      <c r="P213" s="184"/>
      <c r="Q213" s="173"/>
      <c r="R213" s="167"/>
      <c r="S213" s="184">
        <f t="shared" si="138"/>
        <v>7220.3717927216039</v>
      </c>
      <c r="T213" s="184">
        <f t="shared" si="138"/>
        <v>1312.794871403928</v>
      </c>
      <c r="U213" s="184">
        <f t="shared" si="138"/>
        <v>656.39743570196401</v>
      </c>
      <c r="V213" s="184">
        <f t="shared" si="138"/>
        <v>0</v>
      </c>
      <c r="W213" s="184">
        <f t="shared" si="138"/>
        <v>656.39743570196401</v>
      </c>
      <c r="X213" s="184">
        <f t="shared" si="138"/>
        <v>0</v>
      </c>
      <c r="Y213" s="184">
        <f t="shared" si="138"/>
        <v>0</v>
      </c>
      <c r="AA213" s="167">
        <f t="shared" si="139"/>
        <v>52133768.825129792</v>
      </c>
      <c r="AB213" s="167">
        <f t="shared" si="140"/>
        <v>1723430.3743844558</v>
      </c>
      <c r="AC213" s="167">
        <f t="shared" si="141"/>
        <v>430857.59359611396</v>
      </c>
      <c r="AD213" s="167">
        <f t="shared" si="142"/>
        <v>0</v>
      </c>
      <c r="AE213" s="167">
        <f t="shared" si="143"/>
        <v>430857.59359611396</v>
      </c>
      <c r="AF213" s="167">
        <f t="shared" si="144"/>
        <v>0</v>
      </c>
      <c r="AG213" s="167">
        <f t="shared" si="145"/>
        <v>0</v>
      </c>
      <c r="AK213" s="167"/>
      <c r="BA213" s="167"/>
      <c r="BJ213" s="201">
        <f t="shared" si="136"/>
        <v>-4.8844411028665397E-5</v>
      </c>
      <c r="BK213" s="201">
        <f t="shared" si="137"/>
        <v>-1.0781500848373715E-4</v>
      </c>
      <c r="BL213" s="243">
        <f t="shared" si="146"/>
        <v>-4.8821204628352895E-4</v>
      </c>
      <c r="BM213" s="243">
        <f t="shared" si="147"/>
        <v>6.712383583165869E-4</v>
      </c>
      <c r="BN213" s="243">
        <f t="shared" si="148"/>
        <v>-4.5969399301326175E-5</v>
      </c>
      <c r="BO213" s="243">
        <f t="shared" si="149"/>
        <v>-6.2484331642913738E-4</v>
      </c>
      <c r="BR213" s="200">
        <f t="shared" si="150"/>
        <v>2.3857764887372098E-9</v>
      </c>
      <c r="BS213" s="201">
        <f t="shared" si="151"/>
        <v>1.1624076054348314E-8</v>
      </c>
      <c r="BT213" s="201">
        <f t="shared" si="152"/>
        <v>2.3835100213635062E-7</v>
      </c>
      <c r="BU213" s="201">
        <f t="shared" si="153"/>
        <v>4.5056093367554671E-7</v>
      </c>
      <c r="BV213" s="201">
        <f t="shared" si="154"/>
        <v>2.1131856721247674E-9</v>
      </c>
      <c r="BW213" s="201">
        <f t="shared" si="155"/>
        <v>3.9042917008616309E-7</v>
      </c>
    </row>
    <row r="214" spans="1:75" x14ac:dyDescent="0.25">
      <c r="A214" s="122">
        <v>231103</v>
      </c>
      <c r="B214" s="153">
        <v>231</v>
      </c>
      <c r="C214" s="184">
        <f>+'Sampling Weights'!R214</f>
        <v>574.20729457224888</v>
      </c>
      <c r="D214" s="155">
        <f>+SUM('Sampling Weights'!I214:N214)</f>
        <v>11</v>
      </c>
      <c r="E214" s="155">
        <v>4</v>
      </c>
      <c r="F214" s="155">
        <v>4</v>
      </c>
      <c r="G214" s="155">
        <v>3</v>
      </c>
      <c r="H214" s="154">
        <v>1</v>
      </c>
      <c r="I214" s="154">
        <v>0</v>
      </c>
      <c r="J214" s="154">
        <v>3</v>
      </c>
      <c r="K214" s="155"/>
      <c r="L214" s="172"/>
      <c r="M214" s="172"/>
      <c r="N214" s="172"/>
      <c r="P214" s="184"/>
      <c r="Q214" s="173"/>
      <c r="R214" s="167"/>
      <c r="S214" s="184">
        <f t="shared" si="138"/>
        <v>6316.2802402947382</v>
      </c>
      <c r="T214" s="184">
        <f t="shared" si="138"/>
        <v>2296.8291782889955</v>
      </c>
      <c r="U214" s="184">
        <f t="shared" si="138"/>
        <v>2296.8291782889955</v>
      </c>
      <c r="V214" s="184">
        <f t="shared" si="138"/>
        <v>1722.6218837167467</v>
      </c>
      <c r="W214" s="184">
        <f t="shared" si="138"/>
        <v>574.20729457224888</v>
      </c>
      <c r="X214" s="184">
        <f t="shared" si="138"/>
        <v>0</v>
      </c>
      <c r="Y214" s="184">
        <f t="shared" si="138"/>
        <v>1722.6218837167467</v>
      </c>
      <c r="AA214" s="167">
        <f t="shared" si="139"/>
        <v>39895396.073937759</v>
      </c>
      <c r="AB214" s="167">
        <f t="shared" si="140"/>
        <v>5275424.2742397022</v>
      </c>
      <c r="AC214" s="167">
        <f t="shared" si="141"/>
        <v>5275424.2742397022</v>
      </c>
      <c r="AD214" s="167">
        <f t="shared" si="142"/>
        <v>2967426.1542598326</v>
      </c>
      <c r="AE214" s="167">
        <f t="shared" si="143"/>
        <v>329714.01713998138</v>
      </c>
      <c r="AF214" s="167">
        <f t="shared" si="144"/>
        <v>0</v>
      </c>
      <c r="AG214" s="167">
        <f t="shared" si="145"/>
        <v>2967426.1542598326</v>
      </c>
      <c r="AK214" s="167"/>
      <c r="BA214" s="167"/>
      <c r="BJ214" s="201">
        <f t="shared" si="136"/>
        <v>3.5061814310875599E-4</v>
      </c>
      <c r="BK214" s="201">
        <f t="shared" si="137"/>
        <v>4.9570476468220387E-4</v>
      </c>
      <c r="BL214" s="243">
        <f t="shared" si="146"/>
        <v>2.6782860736958448E-3</v>
      </c>
      <c r="BM214" s="243">
        <f t="shared" si="147"/>
        <v>-2.0378506438672814E-3</v>
      </c>
      <c r="BN214" s="243">
        <f t="shared" si="148"/>
        <v>-1.6085354981740647E-4</v>
      </c>
      <c r="BO214" s="243">
        <f t="shared" si="149"/>
        <v>2.2001935784052196E-3</v>
      </c>
      <c r="BR214" s="200">
        <f t="shared" si="150"/>
        <v>1.2293308227703209E-7</v>
      </c>
      <c r="BS214" s="201">
        <f t="shared" si="151"/>
        <v>2.4572321372863909E-7</v>
      </c>
      <c r="BT214" s="201">
        <f t="shared" si="152"/>
        <v>7.1732162925531045E-6</v>
      </c>
      <c r="BU214" s="201">
        <f t="shared" si="153"/>
        <v>4.1528352467102935E-6</v>
      </c>
      <c r="BV214" s="201">
        <f t="shared" si="154"/>
        <v>2.5873864488860867E-8</v>
      </c>
      <c r="BW214" s="201">
        <f t="shared" si="155"/>
        <v>4.8408517824555651E-6</v>
      </c>
    </row>
    <row r="215" spans="1:75" x14ac:dyDescent="0.25">
      <c r="A215" s="122">
        <v>231104</v>
      </c>
      <c r="B215" s="153">
        <v>231</v>
      </c>
      <c r="C215" s="184">
        <f>+'Sampling Weights'!R215</f>
        <v>449.12679547520855</v>
      </c>
      <c r="D215" s="155">
        <f>+SUM('Sampling Weights'!I215:N215)</f>
        <v>12</v>
      </c>
      <c r="E215" s="155">
        <v>2</v>
      </c>
      <c r="F215" s="155">
        <v>1</v>
      </c>
      <c r="G215" s="155">
        <v>0</v>
      </c>
      <c r="H215" s="154">
        <v>1</v>
      </c>
      <c r="I215" s="154">
        <v>0</v>
      </c>
      <c r="J215" s="154">
        <v>0</v>
      </c>
      <c r="K215" s="155"/>
      <c r="L215" s="172"/>
      <c r="M215" s="172"/>
      <c r="N215" s="172"/>
      <c r="P215" s="184"/>
      <c r="Q215" s="173"/>
      <c r="R215" s="167"/>
      <c r="S215" s="184">
        <f t="shared" si="138"/>
        <v>5389.5215457025024</v>
      </c>
      <c r="T215" s="184">
        <f t="shared" si="138"/>
        <v>898.25359095041711</v>
      </c>
      <c r="U215" s="184">
        <f t="shared" si="138"/>
        <v>449.12679547520855</v>
      </c>
      <c r="V215" s="184">
        <f t="shared" si="138"/>
        <v>0</v>
      </c>
      <c r="W215" s="184">
        <f t="shared" si="138"/>
        <v>449.12679547520855</v>
      </c>
      <c r="X215" s="184">
        <f t="shared" si="138"/>
        <v>0</v>
      </c>
      <c r="Y215" s="184">
        <f t="shared" si="138"/>
        <v>0</v>
      </c>
      <c r="AA215" s="167">
        <f t="shared" si="139"/>
        <v>29046942.491591491</v>
      </c>
      <c r="AB215" s="167">
        <f t="shared" si="140"/>
        <v>806859.51365531923</v>
      </c>
      <c r="AC215" s="167">
        <f t="shared" si="141"/>
        <v>201714.87841382981</v>
      </c>
      <c r="AD215" s="167">
        <f t="shared" si="142"/>
        <v>0</v>
      </c>
      <c r="AE215" s="167">
        <f t="shared" si="143"/>
        <v>201714.87841382981</v>
      </c>
      <c r="AF215" s="167">
        <f t="shared" si="144"/>
        <v>0</v>
      </c>
      <c r="AG215" s="167">
        <f t="shared" si="145"/>
        <v>0</v>
      </c>
      <c r="AK215" s="167"/>
      <c r="BA215" s="167"/>
      <c r="BJ215" s="201">
        <f t="shared" si="136"/>
        <v>-6.4428450466647423E-5</v>
      </c>
      <c r="BK215" s="201">
        <f t="shared" si="137"/>
        <v>-9.4461339545801092E-5</v>
      </c>
      <c r="BL215" s="243">
        <f t="shared" si="146"/>
        <v>-3.3404931209888862E-4</v>
      </c>
      <c r="BM215" s="243">
        <f t="shared" si="147"/>
        <v>4.5928139945941354E-4</v>
      </c>
      <c r="BN215" s="243">
        <f t="shared" si="148"/>
        <v>-3.1453640546364402E-5</v>
      </c>
      <c r="BO215" s="243">
        <f t="shared" si="149"/>
        <v>-4.2753652150058291E-4</v>
      </c>
      <c r="BR215" s="200">
        <f t="shared" si="150"/>
        <v>4.1510252295332405E-9</v>
      </c>
      <c r="BS215" s="201">
        <f t="shared" si="151"/>
        <v>8.9229446687871259E-9</v>
      </c>
      <c r="BT215" s="201">
        <f t="shared" si="152"/>
        <v>1.1158894291374069E-7</v>
      </c>
      <c r="BU215" s="201">
        <f t="shared" si="153"/>
        <v>2.1093940388939739E-7</v>
      </c>
      <c r="BV215" s="201">
        <f t="shared" si="154"/>
        <v>9.8933150361989869E-10</v>
      </c>
      <c r="BW215" s="201">
        <f t="shared" si="155"/>
        <v>1.8278747721681838E-7</v>
      </c>
    </row>
    <row r="216" spans="1:75" x14ac:dyDescent="0.25">
      <c r="A216" s="122">
        <v>231105</v>
      </c>
      <c r="B216" s="153">
        <v>231</v>
      </c>
      <c r="C216" s="184">
        <f>+'Sampling Weights'!R216</f>
        <v>1032.714077844189</v>
      </c>
      <c r="D216" s="155">
        <f>+SUM('Sampling Weights'!I216:N216)</f>
        <v>13</v>
      </c>
      <c r="E216" s="155">
        <v>0</v>
      </c>
      <c r="F216" s="155">
        <v>0</v>
      </c>
      <c r="G216" s="155">
        <v>0</v>
      </c>
      <c r="H216" s="154">
        <v>0</v>
      </c>
      <c r="I216" s="154">
        <v>0</v>
      </c>
      <c r="J216" s="154">
        <v>0</v>
      </c>
      <c r="K216" s="155"/>
      <c r="L216" s="172"/>
      <c r="M216" s="172"/>
      <c r="N216" s="172"/>
      <c r="P216" s="184"/>
      <c r="Q216" s="173"/>
      <c r="R216" s="167"/>
      <c r="S216" s="184">
        <f t="shared" si="138"/>
        <v>13425.283011974458</v>
      </c>
      <c r="T216" s="184">
        <f t="shared" si="138"/>
        <v>0</v>
      </c>
      <c r="U216" s="184">
        <f t="shared" si="138"/>
        <v>0</v>
      </c>
      <c r="V216" s="184">
        <f t="shared" si="138"/>
        <v>0</v>
      </c>
      <c r="W216" s="184">
        <f t="shared" si="138"/>
        <v>0</v>
      </c>
      <c r="X216" s="184">
        <f t="shared" si="138"/>
        <v>0</v>
      </c>
      <c r="Y216" s="184">
        <f t="shared" si="138"/>
        <v>0</v>
      </c>
      <c r="AA216" s="167">
        <f t="shared" si="139"/>
        <v>180238223.95160997</v>
      </c>
      <c r="AB216" s="167">
        <f t="shared" si="140"/>
        <v>0</v>
      </c>
      <c r="AC216" s="167">
        <f t="shared" si="141"/>
        <v>0</v>
      </c>
      <c r="AD216" s="167">
        <f t="shared" si="142"/>
        <v>0</v>
      </c>
      <c r="AE216" s="167">
        <f t="shared" si="143"/>
        <v>0</v>
      </c>
      <c r="AF216" s="167">
        <f t="shared" si="144"/>
        <v>0</v>
      </c>
      <c r="AG216" s="167">
        <f t="shared" si="145"/>
        <v>0</v>
      </c>
      <c r="AK216" s="167"/>
      <c r="BA216" s="167"/>
      <c r="BJ216" s="201">
        <f t="shared" si="136"/>
        <v>-9.2687935053587965E-4</v>
      </c>
      <c r="BK216" s="201">
        <f t="shared" si="137"/>
        <v>-6.1849706194637205E-4</v>
      </c>
      <c r="BL216" s="243">
        <f t="shared" si="146"/>
        <v>0</v>
      </c>
      <c r="BM216" s="243">
        <f t="shared" si="147"/>
        <v>0</v>
      </c>
      <c r="BN216" s="243">
        <f t="shared" si="148"/>
        <v>0</v>
      </c>
      <c r="BO216" s="243">
        <f t="shared" si="149"/>
        <v>0</v>
      </c>
      <c r="BR216" s="200">
        <f t="shared" si="150"/>
        <v>8.5910533044981401E-7</v>
      </c>
      <c r="BS216" s="201">
        <f t="shared" si="151"/>
        <v>3.8253861563629437E-7</v>
      </c>
      <c r="BT216" s="201">
        <f t="shared" si="152"/>
        <v>0</v>
      </c>
      <c r="BU216" s="201">
        <f t="shared" si="153"/>
        <v>0</v>
      </c>
      <c r="BV216" s="201">
        <f t="shared" si="154"/>
        <v>0</v>
      </c>
      <c r="BW216" s="201">
        <f t="shared" si="155"/>
        <v>0</v>
      </c>
    </row>
    <row r="217" spans="1:75" x14ac:dyDescent="0.25">
      <c r="D217" s="155"/>
      <c r="E217" s="155"/>
      <c r="F217" s="155"/>
      <c r="G217" s="155"/>
      <c r="H217" s="155"/>
      <c r="I217" s="155"/>
      <c r="J217" s="155"/>
      <c r="K217" s="155"/>
      <c r="M217" s="154"/>
      <c r="O217" s="173"/>
      <c r="AK217" s="167"/>
      <c r="BA217" s="167"/>
      <c r="BR217" s="200"/>
      <c r="BS217" s="201"/>
      <c r="BT217" s="201"/>
    </row>
    <row r="218" spans="1:75" x14ac:dyDescent="0.25">
      <c r="D218" s="155"/>
      <c r="E218" s="155"/>
      <c r="F218" s="155"/>
      <c r="G218" s="155"/>
      <c r="H218" s="155"/>
      <c r="I218" s="155"/>
      <c r="J218" s="155"/>
      <c r="K218" s="155"/>
      <c r="M218" s="154"/>
      <c r="O218" s="173"/>
      <c r="AK218" s="167"/>
      <c r="BA218" s="167"/>
    </row>
    <row r="219" spans="1:75" x14ac:dyDescent="0.25">
      <c r="D219" s="155"/>
      <c r="E219" s="155"/>
      <c r="F219" s="155"/>
      <c r="G219" s="155"/>
      <c r="H219" s="155"/>
      <c r="I219" s="155"/>
      <c r="J219" s="155"/>
      <c r="K219" s="155"/>
      <c r="M219" s="154"/>
      <c r="O219" s="173"/>
      <c r="AK219" s="167"/>
      <c r="BA219" s="167"/>
    </row>
    <row r="220" spans="1:75" x14ac:dyDescent="0.25">
      <c r="D220" s="155"/>
      <c r="E220" s="155"/>
      <c r="F220" s="155"/>
      <c r="G220" s="155"/>
      <c r="H220" s="155"/>
      <c r="I220" s="155"/>
      <c r="J220" s="155"/>
      <c r="K220" s="155"/>
      <c r="M220" s="154"/>
      <c r="O220" s="173"/>
      <c r="AK220" s="167"/>
      <c r="BA220" s="167"/>
    </row>
    <row r="221" spans="1:75" x14ac:dyDescent="0.25">
      <c r="D221" s="155"/>
      <c r="E221" s="155"/>
      <c r="F221" s="155"/>
      <c r="G221" s="155"/>
      <c r="H221" s="155"/>
      <c r="I221" s="155"/>
      <c r="J221" s="155"/>
      <c r="K221" s="155"/>
      <c r="M221" s="154"/>
      <c r="O221" s="173"/>
      <c r="AK221" s="167"/>
      <c r="BA221" s="167"/>
    </row>
    <row r="222" spans="1:75" x14ac:dyDescent="0.25">
      <c r="D222" s="155"/>
      <c r="E222" s="155"/>
      <c r="F222" s="155"/>
      <c r="G222" s="155"/>
      <c r="H222" s="155"/>
      <c r="I222" s="155"/>
      <c r="J222" s="155"/>
      <c r="K222" s="155"/>
      <c r="M222" s="154"/>
      <c r="O222" s="173"/>
      <c r="AK222" s="167"/>
      <c r="BA222" s="167"/>
    </row>
    <row r="223" spans="1:75" x14ac:dyDescent="0.25">
      <c r="D223" s="155"/>
      <c r="E223" s="155"/>
      <c r="F223" s="155"/>
      <c r="G223" s="155"/>
      <c r="H223" s="155"/>
      <c r="I223" s="155"/>
      <c r="J223" s="155"/>
      <c r="K223" s="155"/>
      <c r="M223" s="154"/>
      <c r="O223" s="173"/>
      <c r="AK223" s="167"/>
      <c r="BA223" s="167"/>
    </row>
    <row r="224" spans="1:75" x14ac:dyDescent="0.25">
      <c r="D224" s="155"/>
      <c r="E224" s="155"/>
      <c r="F224" s="155"/>
      <c r="G224" s="155"/>
      <c r="H224" s="155"/>
      <c r="I224" s="155"/>
      <c r="J224" s="155"/>
      <c r="K224" s="155"/>
      <c r="M224" s="154"/>
      <c r="O224" s="173"/>
      <c r="AK224" s="167"/>
      <c r="BA224" s="167"/>
    </row>
    <row r="225" spans="4:53" x14ac:dyDescent="0.25">
      <c r="D225" s="155"/>
      <c r="E225" s="155"/>
      <c r="F225" s="155"/>
      <c r="G225" s="155"/>
      <c r="H225" s="155"/>
      <c r="I225" s="155"/>
      <c r="J225" s="155"/>
      <c r="K225" s="155"/>
      <c r="M225" s="154"/>
      <c r="O225" s="173"/>
      <c r="AK225" s="167"/>
      <c r="BA225" s="167"/>
    </row>
    <row r="226" spans="4:53" x14ac:dyDescent="0.25">
      <c r="D226" s="155"/>
      <c r="E226" s="155"/>
      <c r="F226" s="155"/>
      <c r="G226" s="155"/>
      <c r="H226" s="155"/>
      <c r="I226" s="155"/>
      <c r="J226" s="155"/>
      <c r="K226" s="155"/>
      <c r="M226" s="154"/>
      <c r="O226" s="173"/>
      <c r="AK226" s="167"/>
      <c r="BA226" s="167"/>
    </row>
    <row r="227" spans="4:53" x14ac:dyDescent="0.25">
      <c r="D227" s="155"/>
      <c r="E227" s="155"/>
      <c r="F227" s="155"/>
      <c r="G227" s="155"/>
      <c r="H227" s="155"/>
      <c r="I227" s="155"/>
      <c r="J227" s="155"/>
      <c r="K227" s="155"/>
      <c r="M227" s="154"/>
      <c r="O227" s="173"/>
      <c r="AK227" s="167"/>
      <c r="BA227" s="167"/>
    </row>
    <row r="228" spans="4:53" x14ac:dyDescent="0.25">
      <c r="D228" s="155"/>
      <c r="E228" s="155"/>
      <c r="F228" s="155"/>
      <c r="G228" s="155"/>
      <c r="H228" s="155"/>
      <c r="I228" s="155"/>
      <c r="J228" s="155"/>
      <c r="K228" s="155"/>
      <c r="M228" s="154"/>
      <c r="O228" s="173"/>
      <c r="AK228" s="167"/>
      <c r="BA228" s="167"/>
    </row>
    <row r="229" spans="4:53" x14ac:dyDescent="0.25">
      <c r="D229" s="155"/>
      <c r="E229" s="155"/>
      <c r="F229" s="155"/>
      <c r="G229" s="155"/>
      <c r="H229" s="155"/>
      <c r="I229" s="155"/>
      <c r="J229" s="155"/>
      <c r="K229" s="155"/>
      <c r="M229" s="154"/>
      <c r="O229" s="173"/>
      <c r="AK229" s="167"/>
      <c r="BA229" s="167"/>
    </row>
    <row r="230" spans="4:53" x14ac:dyDescent="0.25">
      <c r="D230" s="155"/>
      <c r="E230" s="155"/>
      <c r="F230" s="155"/>
      <c r="G230" s="155"/>
      <c r="H230" s="155"/>
      <c r="I230" s="155"/>
      <c r="J230" s="155"/>
      <c r="K230" s="155"/>
      <c r="M230" s="154"/>
      <c r="O230" s="173"/>
      <c r="AK230" s="167"/>
      <c r="BA230" s="167"/>
    </row>
    <row r="231" spans="4:53" x14ac:dyDescent="0.25">
      <c r="D231" s="155"/>
      <c r="E231" s="155"/>
      <c r="F231" s="155"/>
      <c r="G231" s="155"/>
      <c r="H231" s="155"/>
      <c r="I231" s="155"/>
      <c r="J231" s="155"/>
      <c r="K231" s="155"/>
      <c r="M231" s="154"/>
      <c r="O231" s="173"/>
      <c r="AK231" s="167"/>
      <c r="BA231" s="167"/>
    </row>
    <row r="232" spans="4:53" x14ac:dyDescent="0.25">
      <c r="D232" s="155"/>
      <c r="E232" s="155"/>
      <c r="F232" s="155"/>
      <c r="G232" s="155"/>
      <c r="H232" s="155"/>
      <c r="I232" s="155"/>
      <c r="J232" s="155"/>
      <c r="K232" s="155"/>
      <c r="M232" s="154"/>
      <c r="O232" s="173"/>
      <c r="AK232" s="167"/>
      <c r="BA232" s="167"/>
    </row>
    <row r="233" spans="4:53" x14ac:dyDescent="0.25">
      <c r="D233" s="154"/>
      <c r="E233" s="154"/>
      <c r="F233" s="154"/>
      <c r="G233" s="154"/>
      <c r="H233" s="154"/>
      <c r="I233" s="154"/>
      <c r="O233" s="173"/>
      <c r="AK233" s="167"/>
      <c r="BA233" s="167"/>
    </row>
    <row r="234" spans="4:53" x14ac:dyDescent="0.25">
      <c r="D234" s="154"/>
      <c r="E234" s="154"/>
      <c r="F234" s="154"/>
      <c r="G234" s="154"/>
      <c r="H234" s="154"/>
      <c r="I234" s="154"/>
      <c r="O234" s="173"/>
      <c r="AK234" s="167"/>
      <c r="BA234" s="167"/>
    </row>
    <row r="235" spans="4:53" x14ac:dyDescent="0.25">
      <c r="D235" s="154"/>
      <c r="E235" s="154"/>
      <c r="F235" s="154"/>
      <c r="G235" s="154"/>
      <c r="H235" s="154"/>
      <c r="I235" s="154"/>
      <c r="O235" s="173"/>
      <c r="AK235" s="167"/>
      <c r="BA235" s="167"/>
    </row>
    <row r="236" spans="4:53" x14ac:dyDescent="0.25">
      <c r="D236" s="154"/>
      <c r="E236" s="154"/>
      <c r="F236" s="154"/>
      <c r="G236" s="154"/>
      <c r="H236" s="154"/>
      <c r="I236" s="154"/>
      <c r="O236" s="173"/>
      <c r="AK236" s="167"/>
      <c r="BA236" s="167"/>
    </row>
    <row r="237" spans="4:53" x14ac:dyDescent="0.25">
      <c r="D237" s="154"/>
      <c r="E237" s="154"/>
      <c r="F237" s="154"/>
      <c r="G237" s="154"/>
      <c r="H237" s="154"/>
      <c r="I237" s="154"/>
      <c r="O237" s="173"/>
      <c r="AK237" s="167"/>
      <c r="BA237" s="167"/>
    </row>
    <row r="238" spans="4:53" x14ac:dyDescent="0.25">
      <c r="D238" s="154"/>
      <c r="E238" s="154"/>
      <c r="F238" s="154"/>
      <c r="G238" s="154"/>
      <c r="H238" s="154"/>
      <c r="I238" s="154"/>
      <c r="O238" s="173"/>
      <c r="AK238" s="167"/>
      <c r="BA238" s="167"/>
    </row>
    <row r="239" spans="4:53" x14ac:dyDescent="0.25">
      <c r="D239" s="154"/>
      <c r="E239" s="154"/>
      <c r="F239" s="154"/>
      <c r="G239" s="154"/>
      <c r="H239" s="154"/>
      <c r="I239" s="154"/>
      <c r="O239" s="173"/>
      <c r="AK239" s="167"/>
      <c r="BA239" s="167"/>
    </row>
    <row r="240" spans="4:53" x14ac:dyDescent="0.25">
      <c r="D240" s="154"/>
      <c r="E240" s="154"/>
      <c r="F240" s="154"/>
      <c r="G240" s="154"/>
      <c r="H240" s="154"/>
      <c r="I240" s="154"/>
      <c r="O240" s="173"/>
      <c r="AK240" s="167"/>
      <c r="BA240" s="167"/>
    </row>
    <row r="241" spans="4:53" x14ac:dyDescent="0.25">
      <c r="D241" s="154"/>
      <c r="E241" s="154"/>
      <c r="F241" s="154"/>
      <c r="G241" s="154"/>
      <c r="H241" s="154"/>
      <c r="I241" s="154"/>
      <c r="O241" s="173"/>
      <c r="AK241" s="167"/>
      <c r="BA241" s="167"/>
    </row>
    <row r="242" spans="4:53" x14ac:dyDescent="0.25">
      <c r="D242" s="154"/>
      <c r="E242" s="154"/>
      <c r="F242" s="154"/>
      <c r="G242" s="154"/>
      <c r="H242" s="154"/>
      <c r="I242" s="154"/>
      <c r="O242" s="173"/>
      <c r="AK242" s="167"/>
      <c r="BA242" s="167"/>
    </row>
    <row r="243" spans="4:53" x14ac:dyDescent="0.25">
      <c r="D243" s="154"/>
      <c r="E243" s="154"/>
      <c r="F243" s="154"/>
      <c r="G243" s="154"/>
      <c r="H243" s="154"/>
      <c r="I243" s="154"/>
      <c r="O243" s="173"/>
      <c r="AK243" s="167"/>
      <c r="BA243" s="167"/>
    </row>
    <row r="244" spans="4:53" x14ac:dyDescent="0.25">
      <c r="D244" s="154"/>
      <c r="E244" s="154"/>
      <c r="F244" s="154"/>
      <c r="G244" s="154"/>
      <c r="H244" s="154"/>
      <c r="I244" s="154"/>
      <c r="O244" s="173"/>
      <c r="AK244" s="167"/>
      <c r="BA244" s="167"/>
    </row>
    <row r="245" spans="4:53" x14ac:dyDescent="0.25">
      <c r="D245" s="154"/>
      <c r="E245" s="154"/>
      <c r="F245" s="154"/>
      <c r="G245" s="154"/>
      <c r="H245" s="154"/>
      <c r="I245" s="154"/>
      <c r="O245" s="173"/>
      <c r="AK245" s="167"/>
      <c r="BA245" s="167"/>
    </row>
    <row r="246" spans="4:53" x14ac:dyDescent="0.25">
      <c r="D246" s="154"/>
      <c r="E246" s="154"/>
      <c r="F246" s="154"/>
      <c r="G246" s="154"/>
      <c r="H246" s="154"/>
      <c r="I246" s="154"/>
      <c r="O246" s="173"/>
      <c r="AK246" s="167"/>
      <c r="BA246" s="167"/>
    </row>
    <row r="247" spans="4:53" x14ac:dyDescent="0.25">
      <c r="D247" s="154"/>
      <c r="E247" s="154"/>
      <c r="F247" s="154"/>
      <c r="G247" s="154"/>
      <c r="H247" s="154"/>
      <c r="I247" s="154"/>
      <c r="O247" s="173"/>
      <c r="AK247" s="167"/>
      <c r="BA247" s="167"/>
    </row>
    <row r="248" spans="4:53" x14ac:dyDescent="0.25">
      <c r="D248" s="154"/>
      <c r="E248" s="154"/>
      <c r="F248" s="154"/>
      <c r="G248" s="154"/>
      <c r="H248" s="154"/>
      <c r="I248" s="154"/>
      <c r="O248" s="173"/>
      <c r="AK248" s="167"/>
      <c r="BA248" s="167"/>
    </row>
    <row r="249" spans="4:53" x14ac:dyDescent="0.25">
      <c r="D249" s="154"/>
      <c r="E249" s="154"/>
      <c r="F249" s="154"/>
      <c r="G249" s="154"/>
      <c r="H249" s="154"/>
      <c r="I249" s="154"/>
      <c r="O249" s="173"/>
      <c r="AK249" s="167"/>
      <c r="BA249" s="167"/>
    </row>
    <row r="250" spans="4:53" x14ac:dyDescent="0.25">
      <c r="D250" s="154"/>
      <c r="E250" s="154"/>
      <c r="F250" s="154"/>
      <c r="G250" s="154"/>
      <c r="H250" s="154"/>
      <c r="I250" s="154"/>
      <c r="O250" s="173"/>
      <c r="AK250" s="167"/>
      <c r="BA250" s="167"/>
    </row>
    <row r="251" spans="4:53" x14ac:dyDescent="0.25">
      <c r="D251" s="154"/>
      <c r="E251" s="154"/>
      <c r="F251" s="154"/>
      <c r="G251" s="154"/>
      <c r="H251" s="154"/>
      <c r="I251" s="154"/>
      <c r="O251" s="173"/>
      <c r="AK251" s="167"/>
      <c r="BA251" s="167"/>
    </row>
    <row r="252" spans="4:53" x14ac:dyDescent="0.25">
      <c r="D252" s="154"/>
      <c r="E252" s="154"/>
      <c r="F252" s="154"/>
      <c r="G252" s="154"/>
      <c r="H252" s="154"/>
      <c r="I252" s="154"/>
      <c r="O252" s="173"/>
      <c r="AK252" s="167"/>
      <c r="BA252" s="167"/>
    </row>
    <row r="253" spans="4:53" x14ac:dyDescent="0.25">
      <c r="D253" s="154"/>
      <c r="E253" s="154"/>
      <c r="F253" s="154"/>
      <c r="G253" s="154"/>
      <c r="H253" s="154"/>
      <c r="I253" s="154"/>
      <c r="O253" s="173"/>
      <c r="AK253" s="167"/>
      <c r="BA253" s="167"/>
    </row>
    <row r="254" spans="4:53" x14ac:dyDescent="0.25">
      <c r="D254" s="154"/>
      <c r="E254" s="154"/>
      <c r="F254" s="154"/>
      <c r="G254" s="154"/>
      <c r="H254" s="154"/>
      <c r="I254" s="154"/>
      <c r="O254" s="173"/>
      <c r="AK254" s="167"/>
      <c r="BA254" s="167"/>
    </row>
    <row r="255" spans="4:53" x14ac:dyDescent="0.25">
      <c r="D255" s="154"/>
      <c r="E255" s="154"/>
      <c r="F255" s="154"/>
      <c r="G255" s="154"/>
      <c r="H255" s="154"/>
      <c r="I255" s="154"/>
      <c r="O255" s="173"/>
      <c r="AK255" s="167"/>
      <c r="BA255" s="167"/>
    </row>
    <row r="256" spans="4:53" x14ac:dyDescent="0.25">
      <c r="D256" s="154"/>
      <c r="E256" s="154"/>
      <c r="F256" s="154"/>
      <c r="G256" s="154"/>
      <c r="H256" s="154"/>
      <c r="I256" s="154"/>
      <c r="O256" s="173"/>
      <c r="AK256" s="167"/>
      <c r="BA256" s="167"/>
    </row>
    <row r="257" spans="4:53" x14ac:dyDescent="0.25">
      <c r="D257" s="154"/>
      <c r="E257" s="154"/>
      <c r="F257" s="154"/>
      <c r="G257" s="154"/>
      <c r="H257" s="154"/>
      <c r="I257" s="154"/>
      <c r="O257" s="173"/>
      <c r="AK257" s="167"/>
      <c r="BA257" s="167"/>
    </row>
    <row r="258" spans="4:53" x14ac:dyDescent="0.25">
      <c r="D258" s="154"/>
      <c r="E258" s="154"/>
      <c r="F258" s="154"/>
      <c r="G258" s="154"/>
      <c r="H258" s="154"/>
      <c r="I258" s="154"/>
      <c r="O258" s="173"/>
      <c r="AK258" s="167"/>
      <c r="BA258" s="167"/>
    </row>
    <row r="259" spans="4:53" x14ac:dyDescent="0.25">
      <c r="D259" s="154"/>
      <c r="E259" s="154"/>
      <c r="F259" s="154"/>
      <c r="G259" s="154"/>
      <c r="H259" s="154"/>
      <c r="I259" s="154"/>
      <c r="O259" s="173"/>
      <c r="AK259" s="167"/>
      <c r="BA259" s="167"/>
    </row>
    <row r="260" spans="4:53" x14ac:dyDescent="0.25">
      <c r="D260" s="154"/>
      <c r="E260" s="154"/>
      <c r="F260" s="154"/>
      <c r="G260" s="154"/>
      <c r="H260" s="154"/>
      <c r="I260" s="154"/>
      <c r="O260" s="173"/>
      <c r="AK260" s="167"/>
      <c r="BA260" s="167"/>
    </row>
    <row r="261" spans="4:53" x14ac:dyDescent="0.25">
      <c r="D261" s="154"/>
      <c r="E261" s="154"/>
      <c r="F261" s="154"/>
      <c r="G261" s="154"/>
      <c r="H261" s="154"/>
      <c r="I261" s="154"/>
      <c r="O261" s="173"/>
      <c r="AK261" s="167"/>
      <c r="BA261" s="167"/>
    </row>
    <row r="262" spans="4:53" x14ac:dyDescent="0.25">
      <c r="D262" s="154"/>
      <c r="E262" s="154"/>
      <c r="F262" s="154"/>
      <c r="G262" s="154"/>
      <c r="H262" s="154"/>
      <c r="I262" s="154"/>
      <c r="O262" s="173"/>
      <c r="AK262" s="167"/>
      <c r="BA262" s="167"/>
    </row>
    <row r="263" spans="4:53" x14ac:dyDescent="0.25">
      <c r="D263" s="154"/>
      <c r="E263" s="154"/>
      <c r="F263" s="154"/>
      <c r="G263" s="154"/>
      <c r="H263" s="154"/>
      <c r="I263" s="154"/>
      <c r="O263" s="173"/>
      <c r="AK263" s="167"/>
      <c r="BA263" s="167"/>
    </row>
    <row r="264" spans="4:53" x14ac:dyDescent="0.25">
      <c r="D264" s="154"/>
      <c r="E264" s="154"/>
      <c r="F264" s="154"/>
      <c r="G264" s="154"/>
      <c r="H264" s="154"/>
      <c r="I264" s="154"/>
      <c r="O264" s="173"/>
      <c r="AK264" s="167"/>
      <c r="BA264" s="167"/>
    </row>
    <row r="265" spans="4:53" x14ac:dyDescent="0.25">
      <c r="D265" s="154"/>
      <c r="E265" s="154"/>
      <c r="F265" s="154"/>
      <c r="G265" s="154"/>
      <c r="H265" s="154"/>
      <c r="I265" s="154"/>
      <c r="O265" s="173"/>
      <c r="AK265" s="167"/>
      <c r="BA265" s="167"/>
    </row>
    <row r="266" spans="4:53" x14ac:dyDescent="0.25">
      <c r="D266" s="154"/>
      <c r="E266" s="154"/>
      <c r="F266" s="154"/>
      <c r="G266" s="154"/>
      <c r="H266" s="154"/>
      <c r="I266" s="154"/>
      <c r="O266" s="173"/>
      <c r="AK266" s="167"/>
      <c r="BA266" s="167"/>
    </row>
    <row r="267" spans="4:53" x14ac:dyDescent="0.25">
      <c r="D267" s="154"/>
      <c r="E267" s="154"/>
      <c r="F267" s="154"/>
      <c r="G267" s="154"/>
      <c r="H267" s="154"/>
      <c r="I267" s="154"/>
      <c r="O267" s="173"/>
      <c r="AK267" s="167"/>
      <c r="BA267" s="167"/>
    </row>
    <row r="268" spans="4:53" x14ac:dyDescent="0.25">
      <c r="D268" s="154"/>
      <c r="E268" s="154"/>
      <c r="F268" s="154"/>
      <c r="G268" s="154"/>
      <c r="H268" s="154"/>
      <c r="I268" s="154"/>
      <c r="O268" s="173"/>
      <c r="AK268" s="167"/>
      <c r="BA268" s="167"/>
    </row>
    <row r="269" spans="4:53" x14ac:dyDescent="0.25">
      <c r="D269" s="154"/>
      <c r="E269" s="154"/>
      <c r="F269" s="154"/>
      <c r="G269" s="154"/>
      <c r="H269" s="154"/>
      <c r="I269" s="154"/>
      <c r="O269" s="173"/>
      <c r="AK269" s="167"/>
      <c r="BA269" s="167"/>
    </row>
    <row r="270" spans="4:53" x14ac:dyDescent="0.25">
      <c r="D270" s="154"/>
      <c r="E270" s="154"/>
      <c r="F270" s="154"/>
      <c r="G270" s="154"/>
      <c r="H270" s="154"/>
      <c r="I270" s="154"/>
      <c r="O270" s="173"/>
      <c r="AK270" s="167"/>
      <c r="BA270" s="167"/>
    </row>
    <row r="271" spans="4:53" x14ac:dyDescent="0.25">
      <c r="D271" s="154"/>
      <c r="E271" s="154"/>
      <c r="F271" s="154"/>
      <c r="G271" s="154"/>
      <c r="H271" s="154"/>
      <c r="I271" s="154"/>
      <c r="O271" s="173"/>
      <c r="AK271" s="167"/>
      <c r="BA271" s="167"/>
    </row>
    <row r="272" spans="4:53" x14ac:dyDescent="0.25">
      <c r="D272" s="154"/>
      <c r="E272" s="154"/>
      <c r="F272" s="154"/>
      <c r="G272" s="154"/>
      <c r="H272" s="154"/>
      <c r="I272" s="154"/>
      <c r="O272" s="173"/>
      <c r="AK272" s="167"/>
      <c r="BA272" s="167"/>
    </row>
    <row r="273" spans="4:53" x14ac:dyDescent="0.25">
      <c r="D273" s="154"/>
      <c r="E273" s="154"/>
      <c r="F273" s="154"/>
      <c r="G273" s="154"/>
      <c r="H273" s="154"/>
      <c r="I273" s="154"/>
      <c r="O273" s="173"/>
      <c r="AK273" s="167"/>
      <c r="BA273" s="167"/>
    </row>
    <row r="274" spans="4:53" x14ac:dyDescent="0.25">
      <c r="D274" s="154"/>
      <c r="E274" s="154"/>
      <c r="F274" s="154"/>
      <c r="G274" s="154"/>
      <c r="H274" s="154"/>
      <c r="I274" s="154"/>
      <c r="O274" s="173"/>
      <c r="AK274" s="167"/>
      <c r="BA274" s="167"/>
    </row>
    <row r="275" spans="4:53" x14ac:dyDescent="0.25">
      <c r="D275" s="154"/>
      <c r="E275" s="154"/>
      <c r="F275" s="154"/>
      <c r="G275" s="154"/>
      <c r="H275" s="154"/>
      <c r="I275" s="154"/>
      <c r="O275" s="173"/>
      <c r="AK275" s="167"/>
      <c r="BA275" s="167"/>
    </row>
    <row r="276" spans="4:53" x14ac:dyDescent="0.25">
      <c r="D276" s="154"/>
      <c r="E276" s="154"/>
      <c r="F276" s="154"/>
      <c r="G276" s="154"/>
      <c r="H276" s="154"/>
      <c r="I276" s="154"/>
      <c r="O276" s="173"/>
      <c r="AK276" s="167"/>
      <c r="BA276" s="167"/>
    </row>
    <row r="277" spans="4:53" x14ac:dyDescent="0.25">
      <c r="D277" s="154"/>
      <c r="E277" s="154"/>
      <c r="F277" s="154"/>
      <c r="G277" s="154"/>
      <c r="H277" s="154"/>
      <c r="I277" s="154"/>
      <c r="O277" s="173"/>
      <c r="AK277" s="167"/>
      <c r="BA277" s="167"/>
    </row>
    <row r="278" spans="4:53" x14ac:dyDescent="0.25">
      <c r="D278" s="154"/>
      <c r="E278" s="154"/>
      <c r="F278" s="154"/>
      <c r="G278" s="154"/>
      <c r="H278" s="154"/>
      <c r="I278" s="154"/>
      <c r="O278" s="173"/>
      <c r="AK278" s="167"/>
      <c r="BA278" s="167"/>
    </row>
    <row r="279" spans="4:53" x14ac:dyDescent="0.25">
      <c r="D279" s="154"/>
      <c r="E279" s="154"/>
      <c r="F279" s="154"/>
      <c r="G279" s="154"/>
      <c r="H279" s="154"/>
      <c r="I279" s="154"/>
      <c r="O279" s="173"/>
      <c r="AK279" s="167"/>
      <c r="BA279" s="167"/>
    </row>
    <row r="280" spans="4:53" x14ac:dyDescent="0.25">
      <c r="D280" s="154"/>
      <c r="E280" s="154"/>
      <c r="F280" s="154"/>
      <c r="G280" s="154"/>
      <c r="H280" s="154"/>
      <c r="I280" s="154"/>
      <c r="O280" s="173"/>
      <c r="AK280" s="167"/>
      <c r="BA280" s="167"/>
    </row>
    <row r="281" spans="4:53" x14ac:dyDescent="0.25">
      <c r="D281" s="154"/>
      <c r="E281" s="154"/>
      <c r="F281" s="154"/>
      <c r="G281" s="154"/>
      <c r="H281" s="154"/>
      <c r="I281" s="154"/>
      <c r="O281" s="173"/>
      <c r="AK281" s="167"/>
      <c r="BA281" s="167"/>
    </row>
    <row r="282" spans="4:53" x14ac:dyDescent="0.25">
      <c r="D282" s="154"/>
      <c r="E282" s="154"/>
      <c r="F282" s="154"/>
      <c r="G282" s="154"/>
      <c r="H282" s="154"/>
      <c r="I282" s="154"/>
      <c r="O282" s="173"/>
      <c r="AK282" s="167"/>
      <c r="BA282" s="167"/>
    </row>
    <row r="283" spans="4:53" x14ac:dyDescent="0.25">
      <c r="D283" s="154"/>
      <c r="E283" s="154"/>
      <c r="F283" s="154"/>
      <c r="G283" s="154"/>
      <c r="H283" s="154"/>
      <c r="I283" s="154"/>
      <c r="O283" s="173"/>
      <c r="AK283" s="167"/>
      <c r="BA283" s="167"/>
    </row>
    <row r="284" spans="4:53" x14ac:dyDescent="0.25">
      <c r="D284" s="154"/>
      <c r="E284" s="154"/>
      <c r="F284" s="154"/>
      <c r="G284" s="154"/>
      <c r="H284" s="154"/>
      <c r="I284" s="154"/>
      <c r="O284" s="173"/>
      <c r="AK284" s="167"/>
      <c r="BA284" s="167"/>
    </row>
    <row r="285" spans="4:53" x14ac:dyDescent="0.25">
      <c r="D285" s="154"/>
      <c r="E285" s="154"/>
      <c r="F285" s="154"/>
      <c r="G285" s="154"/>
      <c r="H285" s="154"/>
      <c r="I285" s="154"/>
      <c r="O285" s="173"/>
      <c r="AK285" s="167"/>
      <c r="BA285" s="167"/>
    </row>
    <row r="286" spans="4:53" x14ac:dyDescent="0.25">
      <c r="D286" s="154"/>
      <c r="E286" s="154"/>
      <c r="F286" s="154"/>
      <c r="G286" s="154"/>
      <c r="H286" s="154"/>
      <c r="I286" s="154"/>
      <c r="O286" s="173"/>
      <c r="AK286" s="167"/>
      <c r="BA286" s="167"/>
    </row>
    <row r="287" spans="4:53" x14ac:dyDescent="0.25">
      <c r="D287" s="154"/>
      <c r="E287" s="154"/>
      <c r="F287" s="154"/>
      <c r="G287" s="154"/>
      <c r="H287" s="154"/>
      <c r="I287" s="154"/>
      <c r="O287" s="173"/>
      <c r="AK287" s="167"/>
      <c r="BA287" s="167"/>
    </row>
    <row r="288" spans="4:53" x14ac:dyDescent="0.25">
      <c r="D288" s="154"/>
      <c r="E288" s="154"/>
      <c r="F288" s="154"/>
      <c r="G288" s="154"/>
      <c r="H288" s="154"/>
      <c r="I288" s="154"/>
      <c r="O288" s="173"/>
      <c r="AK288" s="167"/>
      <c r="BA288" s="167"/>
    </row>
    <row r="289" spans="4:53" x14ac:dyDescent="0.25">
      <c r="D289" s="154"/>
      <c r="E289" s="154"/>
      <c r="F289" s="154"/>
      <c r="G289" s="154"/>
      <c r="H289" s="154"/>
      <c r="I289" s="154"/>
      <c r="O289" s="173"/>
      <c r="AK289" s="167"/>
      <c r="BA289" s="167"/>
    </row>
    <row r="290" spans="4:53" x14ac:dyDescent="0.25">
      <c r="D290" s="154"/>
      <c r="E290" s="154"/>
      <c r="F290" s="154"/>
      <c r="G290" s="154"/>
      <c r="H290" s="154"/>
      <c r="I290" s="154"/>
      <c r="O290" s="173"/>
      <c r="AK290" s="167"/>
      <c r="BA290" s="167"/>
    </row>
    <row r="291" spans="4:53" x14ac:dyDescent="0.25">
      <c r="D291" s="154"/>
      <c r="E291" s="154"/>
      <c r="F291" s="154"/>
      <c r="G291" s="154"/>
      <c r="H291" s="154"/>
      <c r="I291" s="154"/>
      <c r="O291" s="173"/>
      <c r="AK291" s="167"/>
      <c r="BA291" s="167"/>
    </row>
    <row r="292" spans="4:53" x14ac:dyDescent="0.25">
      <c r="D292" s="154"/>
      <c r="E292" s="154"/>
      <c r="F292" s="154"/>
      <c r="G292" s="154"/>
      <c r="H292" s="154"/>
      <c r="I292" s="154"/>
      <c r="O292" s="173"/>
      <c r="AK292" s="167"/>
      <c r="BA292" s="167"/>
    </row>
    <row r="293" spans="4:53" x14ac:dyDescent="0.25">
      <c r="D293" s="154"/>
      <c r="E293" s="154"/>
      <c r="F293" s="154"/>
      <c r="G293" s="154"/>
      <c r="H293" s="154"/>
      <c r="I293" s="154"/>
      <c r="O293" s="173"/>
      <c r="AK293" s="167"/>
      <c r="BA293" s="167"/>
    </row>
    <row r="294" spans="4:53" x14ac:dyDescent="0.25">
      <c r="D294" s="154"/>
      <c r="E294" s="154"/>
      <c r="F294" s="154"/>
      <c r="G294" s="154"/>
      <c r="H294" s="154"/>
      <c r="I294" s="154"/>
      <c r="O294" s="173"/>
      <c r="AK294" s="167"/>
      <c r="BA294" s="167"/>
    </row>
    <row r="295" spans="4:53" x14ac:dyDescent="0.25">
      <c r="D295" s="154"/>
      <c r="E295" s="154"/>
      <c r="F295" s="154"/>
      <c r="G295" s="154"/>
      <c r="H295" s="154"/>
      <c r="I295" s="154"/>
      <c r="O295" s="173"/>
      <c r="AK295" s="167"/>
      <c r="BA295" s="167"/>
    </row>
    <row r="296" spans="4:53" x14ac:dyDescent="0.25">
      <c r="D296" s="154"/>
      <c r="E296" s="154"/>
      <c r="F296" s="154"/>
      <c r="G296" s="154"/>
      <c r="H296" s="154"/>
      <c r="I296" s="154"/>
      <c r="O296" s="173"/>
      <c r="AK296" s="167"/>
      <c r="BA296" s="167"/>
    </row>
    <row r="297" spans="4:53" x14ac:dyDescent="0.25">
      <c r="D297" s="154"/>
      <c r="E297" s="154"/>
      <c r="F297" s="154"/>
      <c r="G297" s="154"/>
      <c r="H297" s="154"/>
      <c r="I297" s="154"/>
      <c r="O297" s="173"/>
      <c r="AK297" s="167"/>
      <c r="BA297" s="167"/>
    </row>
    <row r="298" spans="4:53" x14ac:dyDescent="0.25">
      <c r="D298" s="154"/>
      <c r="E298" s="154"/>
      <c r="F298" s="154"/>
      <c r="G298" s="154"/>
      <c r="H298" s="154"/>
      <c r="I298" s="154"/>
      <c r="O298" s="173"/>
      <c r="AK298" s="167"/>
      <c r="BA298" s="167"/>
    </row>
    <row r="299" spans="4:53" x14ac:dyDescent="0.25">
      <c r="D299" s="154"/>
      <c r="E299" s="154"/>
      <c r="F299" s="154"/>
      <c r="G299" s="154"/>
      <c r="H299" s="154"/>
      <c r="I299" s="154"/>
      <c r="O299" s="173"/>
      <c r="AK299" s="167"/>
      <c r="BA299" s="167"/>
    </row>
    <row r="300" spans="4:53" x14ac:dyDescent="0.25">
      <c r="D300" s="154"/>
      <c r="E300" s="154"/>
      <c r="F300" s="154"/>
      <c r="G300" s="154"/>
      <c r="H300" s="154"/>
      <c r="I300" s="154"/>
      <c r="O300" s="173"/>
      <c r="AK300" s="167"/>
      <c r="BA300" s="167"/>
    </row>
    <row r="301" spans="4:53" x14ac:dyDescent="0.25">
      <c r="D301" s="154"/>
      <c r="E301" s="154"/>
      <c r="F301" s="154"/>
      <c r="G301" s="154"/>
      <c r="H301" s="154"/>
      <c r="I301" s="154"/>
      <c r="O301" s="173"/>
      <c r="AK301" s="167"/>
      <c r="BA301" s="167"/>
    </row>
    <row r="302" spans="4:53" x14ac:dyDescent="0.25">
      <c r="D302" s="154"/>
      <c r="E302" s="154"/>
      <c r="F302" s="154"/>
      <c r="G302" s="154"/>
      <c r="H302" s="154"/>
      <c r="I302" s="154"/>
      <c r="O302" s="173"/>
      <c r="AK302" s="167"/>
      <c r="BA302" s="167"/>
    </row>
    <row r="303" spans="4:53" x14ac:dyDescent="0.25">
      <c r="D303" s="154"/>
      <c r="E303" s="154"/>
      <c r="F303" s="154"/>
      <c r="G303" s="154"/>
      <c r="H303" s="154"/>
      <c r="I303" s="154"/>
      <c r="O303" s="173"/>
      <c r="AK303" s="167"/>
      <c r="BA303" s="167"/>
    </row>
    <row r="304" spans="4:53" x14ac:dyDescent="0.25">
      <c r="D304" s="154"/>
      <c r="E304" s="154"/>
      <c r="F304" s="154"/>
      <c r="G304" s="154"/>
      <c r="H304" s="154"/>
      <c r="I304" s="154"/>
      <c r="O304" s="173"/>
      <c r="AK304" s="167"/>
      <c r="BA304" s="167"/>
    </row>
    <row r="305" spans="4:53" x14ac:dyDescent="0.25">
      <c r="D305" s="154"/>
      <c r="E305" s="154"/>
      <c r="F305" s="154"/>
      <c r="G305" s="154"/>
      <c r="H305" s="154"/>
      <c r="I305" s="154"/>
      <c r="O305" s="173"/>
      <c r="AK305" s="167"/>
      <c r="BA305" s="167"/>
    </row>
    <row r="306" spans="4:53" x14ac:dyDescent="0.25">
      <c r="D306" s="154"/>
      <c r="E306" s="154"/>
      <c r="F306" s="154"/>
      <c r="G306" s="154"/>
      <c r="H306" s="154"/>
      <c r="I306" s="154"/>
      <c r="O306" s="173"/>
      <c r="AK306" s="167"/>
      <c r="BA306" s="167"/>
    </row>
    <row r="307" spans="4:53" x14ac:dyDescent="0.25">
      <c r="D307" s="154"/>
      <c r="E307" s="154"/>
      <c r="F307" s="154"/>
      <c r="G307" s="154"/>
      <c r="H307" s="154"/>
      <c r="I307" s="154"/>
      <c r="O307" s="173"/>
      <c r="AK307" s="167"/>
      <c r="BA307" s="167"/>
    </row>
    <row r="308" spans="4:53" x14ac:dyDescent="0.25">
      <c r="D308" s="154"/>
      <c r="E308" s="154"/>
      <c r="F308" s="154"/>
      <c r="G308" s="154"/>
      <c r="H308" s="154"/>
      <c r="I308" s="154"/>
      <c r="O308" s="173"/>
      <c r="AK308" s="167"/>
      <c r="BA308" s="167"/>
    </row>
    <row r="309" spans="4:53" x14ac:dyDescent="0.25">
      <c r="D309" s="154"/>
      <c r="E309" s="154"/>
      <c r="F309" s="154"/>
      <c r="G309" s="154"/>
      <c r="H309" s="154"/>
      <c r="I309" s="154"/>
      <c r="O309" s="173"/>
      <c r="AK309" s="167"/>
      <c r="BA309" s="167"/>
    </row>
    <row r="310" spans="4:53" x14ac:dyDescent="0.25">
      <c r="D310" s="154"/>
      <c r="E310" s="154"/>
      <c r="F310" s="154"/>
      <c r="G310" s="154"/>
      <c r="H310" s="154"/>
      <c r="I310" s="154"/>
      <c r="O310" s="173"/>
      <c r="AK310" s="167"/>
      <c r="BA310" s="167"/>
    </row>
    <row r="311" spans="4:53" x14ac:dyDescent="0.25">
      <c r="D311" s="154"/>
      <c r="E311" s="154"/>
      <c r="F311" s="154"/>
      <c r="G311" s="154"/>
      <c r="H311" s="154"/>
      <c r="I311" s="154"/>
      <c r="O311" s="173"/>
      <c r="AK311" s="167"/>
      <c r="BA311" s="167"/>
    </row>
    <row r="312" spans="4:53" x14ac:dyDescent="0.25">
      <c r="D312" s="154"/>
      <c r="E312" s="154"/>
      <c r="F312" s="154"/>
      <c r="G312" s="154"/>
      <c r="H312" s="154"/>
      <c r="I312" s="154"/>
      <c r="O312" s="173"/>
      <c r="AK312" s="167"/>
      <c r="BA312" s="167"/>
    </row>
    <row r="313" spans="4:53" x14ac:dyDescent="0.25">
      <c r="D313" s="154"/>
      <c r="E313" s="154"/>
      <c r="F313" s="154"/>
      <c r="G313" s="154"/>
      <c r="H313" s="154"/>
      <c r="I313" s="154"/>
      <c r="O313" s="173"/>
      <c r="AK313" s="167"/>
      <c r="BA313" s="167"/>
    </row>
    <row r="314" spans="4:53" x14ac:dyDescent="0.25">
      <c r="O314" s="173"/>
      <c r="AK314" s="167"/>
      <c r="BA314" s="167"/>
    </row>
    <row r="315" spans="4:53" x14ac:dyDescent="0.25">
      <c r="O315" s="173"/>
      <c r="AK315" s="167"/>
      <c r="BA315" s="167"/>
    </row>
    <row r="316" spans="4:53" x14ac:dyDescent="0.25">
      <c r="O316" s="173"/>
      <c r="AK316" s="167"/>
      <c r="BA316" s="167"/>
    </row>
    <row r="317" spans="4:53" x14ac:dyDescent="0.25">
      <c r="O317" s="173"/>
      <c r="AK317" s="167"/>
      <c r="BA317" s="167"/>
    </row>
    <row r="318" spans="4:53" x14ac:dyDescent="0.25">
      <c r="O318" s="173"/>
      <c r="AK318" s="167"/>
      <c r="BA318" s="167"/>
    </row>
    <row r="319" spans="4:53" x14ac:dyDescent="0.25">
      <c r="O319" s="173"/>
      <c r="AK319" s="167"/>
      <c r="BA319" s="167"/>
    </row>
  </sheetData>
  <sortState xmlns:xlrd2="http://schemas.microsoft.com/office/spreadsheetml/2017/richdata2" ref="AL8:AN48">
    <sortCondition ref="AL9:AL48"/>
  </sortState>
  <mergeCells count="35">
    <mergeCell ref="CY6:CZ6"/>
    <mergeCell ref="CY21:CZ21"/>
    <mergeCell ref="CY22:CZ22"/>
    <mergeCell ref="M34:Q34"/>
    <mergeCell ref="CY3:CZ3"/>
    <mergeCell ref="BA5:BG5"/>
    <mergeCell ref="AA3:AG3"/>
    <mergeCell ref="AI3:AQ3"/>
    <mergeCell ref="AS3:AY3"/>
    <mergeCell ref="BA3:BG3"/>
    <mergeCell ref="AI1:CZ1"/>
    <mergeCell ref="CY5:CZ5"/>
    <mergeCell ref="M23:Q23"/>
    <mergeCell ref="BI3:BO3"/>
    <mergeCell ref="BQ3:BW3"/>
    <mergeCell ref="CQ3:CW3"/>
    <mergeCell ref="CI3:CO3"/>
    <mergeCell ref="BY3:CG3"/>
    <mergeCell ref="BQ5:BW5"/>
    <mergeCell ref="CA5:CG5"/>
    <mergeCell ref="CI5:CO5"/>
    <mergeCell ref="CQ5:CW5"/>
    <mergeCell ref="BI5:BO5"/>
    <mergeCell ref="AK5:AQ5"/>
    <mergeCell ref="AS5:AY5"/>
    <mergeCell ref="AA5:AG5"/>
    <mergeCell ref="A1:Q1"/>
    <mergeCell ref="S3:Y3"/>
    <mergeCell ref="P5:Q5"/>
    <mergeCell ref="L3:Q3"/>
    <mergeCell ref="S5:Y5"/>
    <mergeCell ref="A5:B5"/>
    <mergeCell ref="D5:J5"/>
    <mergeCell ref="L5:N5"/>
    <mergeCell ref="A3:J3"/>
  </mergeCells>
  <phoneticPr fontId="18" type="noConversion"/>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Sample Size</vt:lpstr>
      <vt:lpstr>Sample Allocation</vt:lpstr>
      <vt:lpstr>PSU Selection</vt:lpstr>
      <vt:lpstr>PSU Listing</vt:lpstr>
      <vt:lpstr>HH Selection</vt:lpstr>
      <vt:lpstr>Sampling Weights</vt:lpstr>
      <vt:lpstr>Sampling Errors</vt:lpstr>
      <vt:lpstr>'Sample Allocation'!Print_Area</vt:lpstr>
      <vt:lpstr>'Sample Size'!Print_Area</vt:lpstr>
      <vt:lpstr>'Sampling Weights'!Print_Area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Castillo, Liliana</dc:creator>
  <cp:lastModifiedBy>Castillo, Liliana</cp:lastModifiedBy>
  <cp:lastPrinted>2014-09-13T07:45:16Z</cp:lastPrinted>
  <dcterms:created xsi:type="dcterms:W3CDTF">2011-11-13T22:24:40Z</dcterms:created>
  <dcterms:modified xsi:type="dcterms:W3CDTF">2024-09-02T09:17:46Z</dcterms:modified>
</cp:coreProperties>
</file>
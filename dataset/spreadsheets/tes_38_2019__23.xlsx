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Z:\PUBLICATION_2022\Macro_export_VF_&amp;ou_VE\"/>
    </mc:Choice>
  </mc:AlternateContent>
  <bookViews>
    <workbookView xWindow="7635" yWindow="-15" windowWidth="7680" windowHeight="9465"/>
  </bookViews>
  <sheets>
    <sheet name="Presentation of IOT" sheetId="1" r:id="rId1"/>
    <sheet name="SP" sheetId="2" r:id="rId2"/>
    <sheet name="FUT" sheetId="4" r:id="rId3"/>
    <sheet name="IIT" sheetId="6" r:id="rId4"/>
    <sheet name="PAI_GIAI" sheetId="8" r:id="rId5"/>
  </sheets>
  <definedNames>
    <definedName name="COMPTE_D_EXPLOITATION_PAR_BRANCHE" localSheetId="4">PAI_GIAI!$A$19</definedName>
    <definedName name="COMPTE_D_EXPLOITATION_PAR_BRANCHE">#REF!</definedName>
  </definedNames>
  <calcPr calcId="162913"/>
</workbook>
</file>

<file path=xl/calcChain.xml><?xml version="1.0" encoding="utf-8"?>
<calcChain xmlns="http://schemas.openxmlformats.org/spreadsheetml/2006/main">
  <c r="C4" i="1" l="1"/>
  <c r="E4" i="1"/>
  <c r="C6" i="1"/>
  <c r="C8" i="1"/>
  <c r="A4" i="1"/>
</calcChain>
</file>

<file path=xl/sharedStrings.xml><?xml version="1.0" encoding="utf-8"?>
<sst xmlns="http://schemas.openxmlformats.org/spreadsheetml/2006/main" count="446" uniqueCount="157">
  <si>
    <t>P2</t>
  </si>
  <si>
    <t>P1</t>
  </si>
  <si>
    <t>P11</t>
  </si>
  <si>
    <t>P12</t>
  </si>
  <si>
    <t>P13</t>
  </si>
  <si>
    <t>TR12</t>
  </si>
  <si>
    <t>TR13</t>
  </si>
  <si>
    <t xml:space="preserve">D1 </t>
  </si>
  <si>
    <t>D29</t>
  </si>
  <si>
    <t>D39</t>
  </si>
  <si>
    <t>TOTAL</t>
  </si>
  <si>
    <t>PCAFAB</t>
  </si>
  <si>
    <t xml:space="preserve">PCHTR </t>
  </si>
  <si>
    <t xml:space="preserve">TOTAL </t>
  </si>
  <si>
    <t>TR10</t>
  </si>
  <si>
    <t>BZ</t>
  </si>
  <si>
    <t>CA</t>
  </si>
  <si>
    <t>CB</t>
  </si>
  <si>
    <t>CC</t>
  </si>
  <si>
    <t>CD</t>
  </si>
  <si>
    <t>CE</t>
  </si>
  <si>
    <t>CF</t>
  </si>
  <si>
    <t>CG</t>
  </si>
  <si>
    <t>CH</t>
  </si>
  <si>
    <t>CI</t>
  </si>
  <si>
    <t>CJ</t>
  </si>
  <si>
    <t>CK</t>
  </si>
  <si>
    <t>CL</t>
  </si>
  <si>
    <t>CM</t>
  </si>
  <si>
    <t>DZ</t>
  </si>
  <si>
    <t>EZ</t>
  </si>
  <si>
    <t>FZ</t>
  </si>
  <si>
    <t>GZ</t>
  </si>
  <si>
    <t>HZ</t>
  </si>
  <si>
    <t>IZ</t>
  </si>
  <si>
    <t>JA</t>
  </si>
  <si>
    <t>JB</t>
  </si>
  <si>
    <t>JC</t>
  </si>
  <si>
    <t>KZ</t>
  </si>
  <si>
    <t>LZ</t>
  </si>
  <si>
    <t>MA</t>
  </si>
  <si>
    <t>MB</t>
  </si>
  <si>
    <t>MC</t>
  </si>
  <si>
    <t>NZ</t>
  </si>
  <si>
    <t>OZ</t>
  </si>
  <si>
    <t>PZ</t>
  </si>
  <si>
    <t>QA</t>
  </si>
  <si>
    <t>QB</t>
  </si>
  <si>
    <t>RZ</t>
  </si>
  <si>
    <t>SZ</t>
  </si>
  <si>
    <t>TZ</t>
  </si>
  <si>
    <t>AZ</t>
  </si>
  <si>
    <t>B1g</t>
  </si>
  <si>
    <t>B2g &amp; B3g</t>
  </si>
  <si>
    <t>Unit: Billion euros</t>
  </si>
  <si>
    <t>Market output</t>
  </si>
  <si>
    <t>Output for own final use</t>
  </si>
  <si>
    <t>Non-market output</t>
  </si>
  <si>
    <t>Intermediate consumption</t>
  </si>
  <si>
    <t>Compensation of employees</t>
  </si>
  <si>
    <t>Other taxes on production</t>
  </si>
  <si>
    <t>Other subsidies on production</t>
  </si>
  <si>
    <t>Organisation</t>
  </si>
  <si>
    <t>CONSTRUCTION</t>
  </si>
  <si>
    <t>PRODUCTS</t>
  </si>
  <si>
    <t>AGRICULTURE, FORESTRY AND FISHING</t>
  </si>
  <si>
    <t>MINING AND QUARRYING</t>
  </si>
  <si>
    <t>MANUFACTURE OF FOOD PRODUCTS, BEVERAGES AND TOBACCO PRODUCTS</t>
  </si>
  <si>
    <t>MANUFACTURE OF TEXTILES, WEARING APPAREL AND LEATHER PRODUCTS</t>
  </si>
  <si>
    <t>MANUFACTURE OF WOOD AND PAPER PRODUCTS, AND PRINTING</t>
  </si>
  <si>
    <t>MANUFACTURE OF COKE AND REFINED PETROLEUM PRODUCTS</t>
  </si>
  <si>
    <t>MANUFACTURE OF CHEMICALS AND CHEMICAL PRODUCTS</t>
  </si>
  <si>
    <t>MANUFACTURE OF BASIC PHARMACEUTICAL PRODUCTS AND PHARMACEUTICAL PREPARATIONS</t>
  </si>
  <si>
    <t>MANUFACTURE OF RUBBER AND PLASTICS PRODUCTS, AND OTHER NON-METALLIC MINERAL PRODUCTS</t>
  </si>
  <si>
    <t>MANUFACTURE OF BASIC METALS AND FABRICATED METAL PRODUCTS, EXCEPT MACHINERY AND EQUIPMENT</t>
  </si>
  <si>
    <t>MANUFACTURE OF COMPUTER, ELECTRONIC AND OPTICAL PRODUCTS</t>
  </si>
  <si>
    <t>MANUFACTURE OF ELECTRICAL EQUIPMENT</t>
  </si>
  <si>
    <t>MANUFACTURE OF MACHINERY AND EQUIPMENT N.E.C.</t>
  </si>
  <si>
    <t>MANUFACTURE OF TRANSPORT EQUIPMENT</t>
  </si>
  <si>
    <t>MANUFACTURE OF FURNITURE; OTHER MANUFACTURING; REPAIR AND INSTALLATION OF MACHINERY AND EQUIPMENT</t>
  </si>
  <si>
    <t>ELECTRICITY, GAS, STEAM AND AIR CONDITIONING SUPPLY</t>
  </si>
  <si>
    <t>WATER SUPPLY; SEWERAGE, WASTE MANAGEMENT AND REMEDIATION ACTIVITIES</t>
  </si>
  <si>
    <t>WHOLESALE AND RETAIL TRADE, REPAIR OF MOTOR VEHICLES AND MOTORCYCLES</t>
  </si>
  <si>
    <t>TRANSPORTATION AND STORAGE</t>
  </si>
  <si>
    <t>ACCOMMODATION AND FOOD SERVICE ACTIVITIES</t>
  </si>
  <si>
    <t>PUBLISHING, AUDIOVISUAL AND BROADCASTING ACTIVITIES</t>
  </si>
  <si>
    <t>TELECOMMUNICATIONS</t>
  </si>
  <si>
    <t>COMPUTER PROGRAMMING, CONSULTANCY AND RELATED ACTIVITIES; INFORMATION SERVICE ACTIVITIES</t>
  </si>
  <si>
    <t>FINANCIAL AND INSURANCE ACTIVITIES</t>
  </si>
  <si>
    <t>REAL ESTATE ACTIVITIES</t>
  </si>
  <si>
    <t>LEGAL AND ACCOUNTING ACTIVITIES; ACTIVITIES OF HEAD OFFICES; MANAGEMENT CONSULTANCY ACTIVITIES; ARCHITECTURE AND ENGINEERING ACTIVITIES; TECHNICAL TESTING AND ANALYSIS</t>
  </si>
  <si>
    <t>SCIENTIFIC RESEARCH AND DEVELOPMENT</t>
  </si>
  <si>
    <t>ADVERTISING AND MARKET RESEARCH; OTHER PROFESSIONAL, SCIENTIFIC AND TECHNICAL ACTIVITIES; VETERINARY ACTIVITIES</t>
  </si>
  <si>
    <t>ADMINISTRATIVE AND SUPPORT SERVICE ACTIVITIES</t>
  </si>
  <si>
    <t>PUBLIC ADMINISTRATION AND DEFENCE; COMPULSORY SOCIAL SECURITY</t>
  </si>
  <si>
    <t>EDUCATION</t>
  </si>
  <si>
    <t>HUMAN HEALTH ACTIVITIES</t>
  </si>
  <si>
    <t>SOCIAL WORK ACTIVITIES</t>
  </si>
  <si>
    <t>ARTS, ENTERTAINMENT AND RECREATION</t>
  </si>
  <si>
    <t>OTHER SERVICE ACTIVITIES</t>
  </si>
  <si>
    <t>ACTIVITIES OF HOUSEHOLDS AS EMPLOYERS OF DOMESTIC PERSONNEL AND UNDIFFERENTIATED GOODS AND SERVICES PRODUCTION OF HOUSEHOLDS FOR OWN USE</t>
  </si>
  <si>
    <t>CIF/FOB correction</t>
  </si>
  <si>
    <t>Imports of goods</t>
  </si>
  <si>
    <t>Imports of services</t>
  </si>
  <si>
    <t>Imports of goods and services</t>
  </si>
  <si>
    <t>Trade margins</t>
  </si>
  <si>
    <t>Transport margins</t>
  </si>
  <si>
    <t>Taxes on products - Total -</t>
  </si>
  <si>
    <t>Subsidies on products</t>
  </si>
  <si>
    <t>TOTAL SUPPLY (2)</t>
  </si>
  <si>
    <t>TOTAL SUPPLY (3)</t>
  </si>
  <si>
    <t>(2) Total supply at basic prices</t>
  </si>
  <si>
    <t>Final consumption expenditure</t>
  </si>
  <si>
    <t>TOTAL EXPENDITURE</t>
  </si>
  <si>
    <t>Gross fixed capital formation</t>
  </si>
  <si>
    <t xml:space="preserve">General government </t>
  </si>
  <si>
    <t>Changes in inventories</t>
  </si>
  <si>
    <t>Exports of goods and services</t>
  </si>
  <si>
    <t>click on the account you want to look at</t>
  </si>
  <si>
    <t>Supply and use table - Level A38</t>
  </si>
  <si>
    <t>Output of products (1)</t>
  </si>
  <si>
    <t>(3) Total supply at purchaser's prices</t>
  </si>
  <si>
    <t>Households</t>
  </si>
  <si>
    <t>Collective - General government</t>
  </si>
  <si>
    <t>Individual - General government</t>
  </si>
  <si>
    <t>Total - General government</t>
  </si>
  <si>
    <t>Non-profit institutions serving households (NPISH)</t>
  </si>
  <si>
    <t>Financial corporations</t>
  </si>
  <si>
    <t>FINAL USE TABLE</t>
  </si>
  <si>
    <t>TOTAL FINAL USE</t>
  </si>
  <si>
    <t>INTERMEDIATE INPUT TABLE</t>
  </si>
  <si>
    <t>Gross value added</t>
  </si>
  <si>
    <t xml:space="preserve">
Agricultural transfers</t>
  </si>
  <si>
    <t xml:space="preserve">Transfers of incidental sales </t>
  </si>
  <si>
    <t>Total transfers</t>
  </si>
  <si>
    <t>GROSS VALUE ADDED</t>
  </si>
  <si>
    <t>(1) In France, industries are homogeneous branches.</t>
  </si>
  <si>
    <t>INDUSTRIES (1)</t>
  </si>
  <si>
    <t>(2) GOS: Gross operating surplus</t>
  </si>
  <si>
    <t>SUPPLY IN PRODUCTS TABLE</t>
  </si>
  <si>
    <t>of which taxes VAT type</t>
  </si>
  <si>
    <t>Corporations and sole entrepreneurs</t>
  </si>
  <si>
    <t>Households (excluding sole entrepreneurs)</t>
  </si>
  <si>
    <t>TOTAL GFCF</t>
  </si>
  <si>
    <t>Acq. less disposal of valuables</t>
  </si>
  <si>
    <t>Total GFC</t>
  </si>
  <si>
    <t>OUTPUT BY INDUSTRY</t>
  </si>
  <si>
    <t>OUTPUT OF PRODUCTS</t>
  </si>
  <si>
    <t>GOS and mixed income (2)</t>
  </si>
  <si>
    <t xml:space="preserve">(1) Output at basic prices </t>
  </si>
  <si>
    <t>PRODUCTION ACCOUNT BY INDUSTRY</t>
  </si>
  <si>
    <t>(1)</t>
  </si>
  <si>
    <t>GENERATION OF INCOME ACCOUNT BY INDUSTRY</t>
  </si>
  <si>
    <t>Source: National accounts - 2014 base, Insee</t>
  </si>
  <si>
    <t>Year 2019</t>
  </si>
  <si>
    <t>TERRITORIAL ADJUSTMENT</t>
  </si>
  <si>
    <t>CIF/FOB CORRECTION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</si>
</sst>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0"/>
      <name val="Arial"/>
    </font>
    <font>
      <b/>
      <sz val="10"/>
      <name val="Arial"/>
      <family val="2"/>
    </font>
    <font>
      <b/>
      <sz val="8"/>
      <name val="Arial"/>
      <family val="2"/>
    </font>
    <font>
      <b/>
      <i/>
      <sz val="8"/>
      <name val="Arial"/>
      <family val="2"/>
    </font>
    <font>
      <sz val="7"/>
      <name val="Arial"/>
      <family val="2"/>
    </font>
    <font>
      <b/>
      <sz val="7"/>
      <name val="Arial"/>
      <family val="2"/>
    </font>
    <font>
      <sz val="8"/>
      <name val="Arial"/>
      <family val="2"/>
    </font>
    <font>
      <sz val="6"/>
      <name val="Arial"/>
      <family val="2"/>
    </font>
    <font>
      <b/>
      <sz val="13.5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i/>
      <sz val="9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12"/>
      </left>
      <right style="double">
        <color indexed="12"/>
      </right>
      <top style="double">
        <color indexed="12"/>
      </top>
      <bottom style="double">
        <color indexed="12"/>
      </bottom>
      <diagonal/>
    </border>
  </borders>
  <cellStyleXfs count="3">
    <xf numFmtId="0" fontId="0" fillId="0" borderId="0"/>
    <xf numFmtId="0" fontId="9" fillId="0" borderId="0" applyNumberFormat="0" applyFill="0" applyBorder="0" applyAlignment="0" applyProtection="0">
      <alignment vertical="top"/>
      <protection locked="0"/>
    </xf>
    <xf numFmtId="0" fontId="13" fillId="0" borderId="0"/>
  </cellStyleXfs>
  <cellXfs count="139">
    <xf numFmtId="0" fontId="0" fillId="0" borderId="0" xfId="0"/>
    <xf numFmtId="0" fontId="2" fillId="0" borderId="1" xfId="2" applyFont="1" applyBorder="1" applyAlignment="1">
      <alignment textRotation="90"/>
    </xf>
    <xf numFmtId="0" fontId="2" fillId="0" borderId="2" xfId="2" applyFont="1" applyBorder="1" applyAlignment="1">
      <alignment textRotation="90"/>
    </xf>
    <xf numFmtId="0" fontId="3" fillId="0" borderId="1" xfId="2" applyFont="1" applyBorder="1" applyAlignment="1">
      <alignment textRotation="90"/>
    </xf>
    <xf numFmtId="0" fontId="2" fillId="0" borderId="3" xfId="2" applyFont="1" applyBorder="1" applyAlignment="1">
      <alignment textRotation="90"/>
    </xf>
    <xf numFmtId="0" fontId="2" fillId="0" borderId="0" xfId="2" applyFont="1" applyAlignment="1">
      <alignment textRotation="90"/>
    </xf>
    <xf numFmtId="1" fontId="4" fillId="0" borderId="4" xfId="2" applyNumberFormat="1" applyFont="1" applyBorder="1" applyAlignment="1">
      <alignment horizontal="right"/>
    </xf>
    <xf numFmtId="1" fontId="4" fillId="0" borderId="5" xfId="2" quotePrefix="1" applyNumberFormat="1" applyFont="1" applyBorder="1" applyAlignment="1">
      <alignment horizontal="right"/>
    </xf>
    <xf numFmtId="1" fontId="4" fillId="0" borderId="5" xfId="2" applyNumberFormat="1" applyFont="1" applyBorder="1" applyAlignment="1">
      <alignment horizontal="right"/>
    </xf>
    <xf numFmtId="1" fontId="4" fillId="0" borderId="6" xfId="2" applyNumberFormat="1" applyFont="1" applyBorder="1" applyAlignment="1">
      <alignment horizontal="right"/>
    </xf>
    <xf numFmtId="1" fontId="5" fillId="0" borderId="7" xfId="2" applyNumberFormat="1" applyFont="1" applyBorder="1" applyAlignment="1">
      <alignment horizontal="right"/>
    </xf>
    <xf numFmtId="0" fontId="6" fillId="0" borderId="0" xfId="2" applyFont="1"/>
    <xf numFmtId="1" fontId="4" fillId="0" borderId="8" xfId="2" applyNumberFormat="1" applyFont="1" applyBorder="1" applyAlignment="1">
      <alignment horizontal="right"/>
    </xf>
    <xf numFmtId="1" fontId="4" fillId="0" borderId="0" xfId="2" applyNumberFormat="1" applyFont="1" applyBorder="1" applyAlignment="1">
      <alignment horizontal="right"/>
    </xf>
    <xf numFmtId="1" fontId="4" fillId="0" borderId="9" xfId="2" applyNumberFormat="1" applyFont="1" applyBorder="1" applyAlignment="1">
      <alignment horizontal="right"/>
    </xf>
    <xf numFmtId="1" fontId="5" fillId="0" borderId="10" xfId="2" applyNumberFormat="1" applyFont="1" applyBorder="1" applyAlignment="1">
      <alignment horizontal="right"/>
    </xf>
    <xf numFmtId="1" fontId="4" fillId="0" borderId="0" xfId="2" applyNumberFormat="1" applyFont="1"/>
    <xf numFmtId="0" fontId="5" fillId="0" borderId="2" xfId="2" applyFont="1" applyBorder="1"/>
    <xf numFmtId="0" fontId="5" fillId="0" borderId="2" xfId="2" applyFont="1" applyBorder="1" applyAlignment="1">
      <alignment textRotation="90"/>
    </xf>
    <xf numFmtId="0" fontId="2" fillId="0" borderId="11" xfId="2" applyFont="1" applyBorder="1" applyAlignment="1">
      <alignment textRotation="90"/>
    </xf>
    <xf numFmtId="3" fontId="4" fillId="0" borderId="8" xfId="2" applyNumberFormat="1" applyFont="1" applyBorder="1"/>
    <xf numFmtId="3" fontId="4" fillId="0" borderId="0" xfId="2" applyNumberFormat="1" applyFont="1" applyBorder="1"/>
    <xf numFmtId="0" fontId="4" fillId="0" borderId="0" xfId="2" applyFont="1" applyBorder="1"/>
    <xf numFmtId="0" fontId="5" fillId="0" borderId="12" xfId="2" applyFont="1" applyBorder="1"/>
    <xf numFmtId="0" fontId="5" fillId="0" borderId="13" xfId="2" applyFont="1" applyBorder="1" applyAlignment="1">
      <alignment horizontal="center"/>
    </xf>
    <xf numFmtId="0" fontId="5" fillId="0" borderId="10" xfId="2" applyFont="1" applyBorder="1"/>
    <xf numFmtId="0" fontId="7" fillId="0" borderId="2" xfId="2" applyFont="1" applyBorder="1"/>
    <xf numFmtId="0" fontId="5" fillId="0" borderId="7" xfId="2" applyFont="1" applyBorder="1"/>
    <xf numFmtId="0" fontId="7" fillId="0" borderId="11" xfId="2" applyFont="1" applyBorder="1"/>
    <xf numFmtId="0" fontId="5" fillId="0" borderId="11" xfId="2" applyFont="1" applyBorder="1"/>
    <xf numFmtId="0" fontId="4" fillId="0" borderId="0" xfId="2" applyFont="1"/>
    <xf numFmtId="0" fontId="0" fillId="0" borderId="0" xfId="2" applyFont="1" applyAlignment="1">
      <alignment horizontal="center" wrapText="1"/>
    </xf>
    <xf numFmtId="0" fontId="9" fillId="2" borderId="0" xfId="1" applyFill="1" applyBorder="1" applyAlignment="1" applyProtection="1">
      <alignment horizontal="center" wrapText="1"/>
    </xf>
    <xf numFmtId="0" fontId="9" fillId="3" borderId="0" xfId="1" applyFill="1" applyBorder="1" applyAlignment="1" applyProtection="1">
      <alignment horizontal="center" wrapText="1"/>
    </xf>
    <xf numFmtId="0" fontId="5" fillId="0" borderId="10" xfId="2" quotePrefix="1" applyFont="1" applyBorder="1"/>
    <xf numFmtId="0" fontId="1" fillId="0" borderId="0" xfId="2" applyFont="1"/>
    <xf numFmtId="37" fontId="6" fillId="0" borderId="0" xfId="2" applyNumberFormat="1" applyFont="1" applyAlignment="1">
      <alignment horizontal="right" vertical="center" wrapText="1"/>
    </xf>
    <xf numFmtId="0" fontId="5" fillId="0" borderId="11" xfId="2" quotePrefix="1" applyFont="1" applyBorder="1"/>
    <xf numFmtId="0" fontId="4" fillId="0" borderId="0" xfId="2" quotePrefix="1" applyFont="1" applyBorder="1"/>
    <xf numFmtId="0" fontId="5" fillId="0" borderId="7" xfId="2" quotePrefix="1" applyFont="1" applyBorder="1"/>
    <xf numFmtId="1" fontId="4" fillId="0" borderId="0" xfId="2" applyNumberFormat="1" applyFont="1" applyAlignment="1">
      <alignment horizontal="right"/>
    </xf>
    <xf numFmtId="1" fontId="4" fillId="0" borderId="10" xfId="2" applyNumberFormat="1" applyFont="1" applyBorder="1" applyAlignment="1">
      <alignment horizontal="right"/>
    </xf>
    <xf numFmtId="3" fontId="4" fillId="0" borderId="13" xfId="2" applyNumberFormat="1" applyFont="1" applyBorder="1" applyAlignment="1">
      <alignment horizontal="right"/>
    </xf>
    <xf numFmtId="1" fontId="5" fillId="0" borderId="11" xfId="2" applyNumberFormat="1" applyFont="1" applyBorder="1" applyAlignment="1">
      <alignment horizontal="right"/>
    </xf>
    <xf numFmtId="1" fontId="4" fillId="0" borderId="4" xfId="2" quotePrefix="1" applyNumberFormat="1" applyFont="1" applyBorder="1" applyAlignment="1">
      <alignment horizontal="right"/>
    </xf>
    <xf numFmtId="1" fontId="4" fillId="0" borderId="7" xfId="2" applyNumberFormat="1" applyFont="1" applyBorder="1" applyAlignment="1">
      <alignment horizontal="right"/>
    </xf>
    <xf numFmtId="3" fontId="4" fillId="0" borderId="0" xfId="2" applyNumberFormat="1" applyFont="1" applyBorder="1" applyAlignment="1">
      <alignment horizontal="right"/>
    </xf>
    <xf numFmtId="3" fontId="4" fillId="0" borderId="12" xfId="2" applyNumberFormat="1" applyFont="1" applyBorder="1" applyAlignment="1">
      <alignment horizontal="right"/>
    </xf>
    <xf numFmtId="1" fontId="5" fillId="0" borderId="12" xfId="2" applyNumberFormat="1" applyFont="1" applyBorder="1" applyAlignment="1">
      <alignment horizontal="right"/>
    </xf>
    <xf numFmtId="1" fontId="5" fillId="0" borderId="13" xfId="2" applyNumberFormat="1" applyFont="1" applyBorder="1" applyAlignment="1">
      <alignment horizontal="right"/>
    </xf>
    <xf numFmtId="1" fontId="5" fillId="0" borderId="14" xfId="2" applyNumberFormat="1" applyFont="1" applyBorder="1" applyAlignment="1">
      <alignment horizontal="right"/>
    </xf>
    <xf numFmtId="3" fontId="5" fillId="0" borderId="7" xfId="2" applyNumberFormat="1" applyFont="1" applyBorder="1" applyAlignment="1">
      <alignment horizontal="right"/>
    </xf>
    <xf numFmtId="3" fontId="5" fillId="0" borderId="10" xfId="2" applyNumberFormat="1" applyFont="1" applyBorder="1" applyAlignment="1">
      <alignment horizontal="right"/>
    </xf>
    <xf numFmtId="3" fontId="5" fillId="0" borderId="11" xfId="2" applyNumberFormat="1" applyFont="1" applyBorder="1" applyAlignment="1">
      <alignment horizontal="right"/>
    </xf>
    <xf numFmtId="0" fontId="5" fillId="0" borderId="11" xfId="2" applyFont="1" applyBorder="1" applyAlignment="1">
      <alignment horizontal="center"/>
    </xf>
    <xf numFmtId="0" fontId="5" fillId="0" borderId="2" xfId="2" applyFont="1" applyBorder="1" applyAlignment="1">
      <alignment horizontal="center"/>
    </xf>
    <xf numFmtId="3" fontId="4" fillId="0" borderId="2" xfId="2" applyNumberFormat="1" applyFont="1" applyBorder="1"/>
    <xf numFmtId="0" fontId="1" fillId="0" borderId="5" xfId="2" applyFont="1" applyBorder="1" applyAlignment="1">
      <alignment horizontal="left"/>
    </xf>
    <xf numFmtId="0" fontId="1" fillId="0" borderId="6" xfId="2" applyFont="1" applyBorder="1" applyAlignment="1">
      <alignment horizontal="left"/>
    </xf>
    <xf numFmtId="1" fontId="4" fillId="0" borderId="12" xfId="2" applyNumberFormat="1" applyFont="1" applyBorder="1" applyAlignment="1">
      <alignment horizontal="right"/>
    </xf>
    <xf numFmtId="1" fontId="4" fillId="0" borderId="13" xfId="2" applyNumberFormat="1" applyFont="1" applyBorder="1" applyAlignment="1">
      <alignment horizontal="right"/>
    </xf>
    <xf numFmtId="1" fontId="4" fillId="0" borderId="14" xfId="2" applyNumberFormat="1" applyFont="1" applyBorder="1" applyAlignment="1">
      <alignment horizontal="right"/>
    </xf>
    <xf numFmtId="1" fontId="4" fillId="0" borderId="11" xfId="2" applyNumberFormat="1" applyFont="1" applyBorder="1" applyAlignment="1">
      <alignment horizontal="right"/>
    </xf>
    <xf numFmtId="0" fontId="5" fillId="0" borderId="4" xfId="2" quotePrefix="1" applyFont="1" applyBorder="1" applyAlignment="1">
      <alignment horizontal="right"/>
    </xf>
    <xf numFmtId="0" fontId="5" fillId="0" borderId="5" xfId="2" applyFont="1" applyBorder="1" applyAlignment="1">
      <alignment horizontal="right"/>
    </xf>
    <xf numFmtId="0" fontId="5" fillId="0" borderId="7" xfId="2" applyFont="1" applyBorder="1" applyAlignment="1">
      <alignment horizontal="right"/>
    </xf>
    <xf numFmtId="3" fontId="5" fillId="0" borderId="1" xfId="2" applyNumberFormat="1" applyFont="1" applyBorder="1" applyAlignment="1">
      <alignment horizontal="right"/>
    </xf>
    <xf numFmtId="3" fontId="5" fillId="0" borderId="2" xfId="2" applyNumberFormat="1" applyFont="1" applyBorder="1" applyAlignment="1">
      <alignment horizontal="right"/>
    </xf>
    <xf numFmtId="0" fontId="7" fillId="0" borderId="7" xfId="2" quotePrefix="1" applyFont="1" applyBorder="1"/>
    <xf numFmtId="0" fontId="7" fillId="0" borderId="10" xfId="2" quotePrefix="1" applyFont="1" applyBorder="1"/>
    <xf numFmtId="0" fontId="7" fillId="0" borderId="11" xfId="2" quotePrefix="1" applyFont="1" applyBorder="1"/>
    <xf numFmtId="3" fontId="4" fillId="0" borderId="5" xfId="2" applyNumberFormat="1" applyFont="1" applyBorder="1" applyAlignment="1">
      <alignment horizontal="right"/>
    </xf>
    <xf numFmtId="3" fontId="4" fillId="0" borderId="4" xfId="2" applyNumberFormat="1" applyFont="1" applyBorder="1" applyAlignment="1">
      <alignment horizontal="right"/>
    </xf>
    <xf numFmtId="3" fontId="4" fillId="0" borderId="8" xfId="2" applyNumberFormat="1" applyFont="1" applyBorder="1" applyAlignment="1">
      <alignment horizontal="right"/>
    </xf>
    <xf numFmtId="3" fontId="4" fillId="0" borderId="15" xfId="2" quotePrefix="1" applyNumberFormat="1" applyFont="1" applyBorder="1" applyAlignment="1">
      <alignment horizontal="right"/>
    </xf>
    <xf numFmtId="3" fontId="4" fillId="0" borderId="1" xfId="2" quotePrefix="1" applyNumberFormat="1" applyFont="1" applyBorder="1" applyAlignment="1">
      <alignment horizontal="right"/>
    </xf>
    <xf numFmtId="3" fontId="5" fillId="0" borderId="2" xfId="2" quotePrefix="1" applyNumberFormat="1" applyFont="1" applyBorder="1" applyAlignment="1">
      <alignment horizontal="right"/>
    </xf>
    <xf numFmtId="3" fontId="4" fillId="0" borderId="15" xfId="2" applyNumberFormat="1" applyFont="1" applyBorder="1" applyAlignment="1">
      <alignment horizontal="right"/>
    </xf>
    <xf numFmtId="3" fontId="4" fillId="0" borderId="1" xfId="2" applyNumberFormat="1" applyFont="1" applyBorder="1" applyAlignment="1">
      <alignment horizontal="right"/>
    </xf>
    <xf numFmtId="0" fontId="4" fillId="0" borderId="7" xfId="2" applyFont="1" applyBorder="1"/>
    <xf numFmtId="0" fontId="4" fillId="0" borderId="10" xfId="2" applyFont="1" applyBorder="1"/>
    <xf numFmtId="0" fontId="4" fillId="0" borderId="11" xfId="2" applyFont="1" applyBorder="1"/>
    <xf numFmtId="0" fontId="4" fillId="0" borderId="2" xfId="2" applyFont="1" applyBorder="1"/>
    <xf numFmtId="0" fontId="5" fillId="0" borderId="10" xfId="2" quotePrefix="1" applyFont="1" applyBorder="1" applyAlignment="1">
      <alignment horizontal="left"/>
    </xf>
    <xf numFmtId="0" fontId="5" fillId="0" borderId="2" xfId="2" quotePrefix="1" applyFont="1" applyBorder="1" applyAlignment="1">
      <alignment horizontal="left"/>
    </xf>
    <xf numFmtId="0" fontId="9" fillId="4" borderId="16" xfId="1" applyFill="1" applyBorder="1" applyAlignment="1" applyProtection="1">
      <alignment horizontal="center" vertical="center" wrapText="1"/>
    </xf>
    <xf numFmtId="0" fontId="9" fillId="2" borderId="0" xfId="1" applyFill="1" applyBorder="1" applyAlignment="1" applyProtection="1">
      <alignment horizontal="center" vertical="center" wrapText="1"/>
    </xf>
    <xf numFmtId="0" fontId="0" fillId="0" borderId="0" xfId="2" applyFont="1" applyAlignment="1">
      <alignment horizontal="center" vertical="center"/>
    </xf>
    <xf numFmtId="0" fontId="12" fillId="0" borderId="0" xfId="2" applyFont="1"/>
    <xf numFmtId="0" fontId="5" fillId="0" borderId="0" xfId="2" applyFont="1" applyBorder="1"/>
    <xf numFmtId="3" fontId="4" fillId="0" borderId="0" xfId="2" quotePrefix="1" applyNumberFormat="1" applyFont="1" applyBorder="1" applyAlignment="1">
      <alignment horizontal="right"/>
    </xf>
    <xf numFmtId="3" fontId="5" fillId="0" borderId="0" xfId="2" quotePrefix="1" applyNumberFormat="1" applyFont="1" applyBorder="1" applyAlignment="1">
      <alignment horizontal="right"/>
    </xf>
    <xf numFmtId="0" fontId="10" fillId="3" borderId="4" xfId="2" applyFont="1" applyFill="1" applyBorder="1"/>
    <xf numFmtId="0" fontId="10" fillId="0" borderId="5" xfId="2" applyFont="1" applyBorder="1"/>
    <xf numFmtId="0" fontId="10" fillId="0" borderId="0" xfId="2" applyFont="1"/>
    <xf numFmtId="0" fontId="10" fillId="0" borderId="8" xfId="2" applyFont="1" applyBorder="1"/>
    <xf numFmtId="0" fontId="10" fillId="0" borderId="0" xfId="2" applyFont="1" applyBorder="1" applyAlignment="1">
      <alignment horizontal="center"/>
    </xf>
    <xf numFmtId="0" fontId="10" fillId="0" borderId="12" xfId="2" applyFont="1" applyBorder="1"/>
    <xf numFmtId="0" fontId="10" fillId="0" borderId="13" xfId="2" applyFont="1" applyBorder="1" applyAlignment="1">
      <alignment horizontal="center"/>
    </xf>
    <xf numFmtId="0" fontId="10" fillId="0" borderId="14" xfId="2" applyFont="1" applyBorder="1" applyAlignment="1">
      <alignment horizontal="center"/>
    </xf>
    <xf numFmtId="0" fontId="2" fillId="0" borderId="15" xfId="2" applyFont="1" applyBorder="1" applyAlignment="1">
      <alignment textRotation="90"/>
    </xf>
    <xf numFmtId="0" fontId="10" fillId="0" borderId="0" xfId="2" applyFont="1" applyAlignment="1">
      <alignment textRotation="90"/>
    </xf>
    <xf numFmtId="1" fontId="10" fillId="0" borderId="0" xfId="2" applyNumberFormat="1" applyFont="1"/>
    <xf numFmtId="0" fontId="10" fillId="0" borderId="4" xfId="2" applyFont="1" applyBorder="1"/>
    <xf numFmtId="0" fontId="10" fillId="0" borderId="7" xfId="2" applyFont="1" applyBorder="1"/>
    <xf numFmtId="0" fontId="1" fillId="0" borderId="4" xfId="2" applyFont="1" applyBorder="1" applyAlignment="1">
      <alignment horizontal="left"/>
    </xf>
    <xf numFmtId="0" fontId="10" fillId="0" borderId="5" xfId="2" applyFont="1" applyBorder="1" applyAlignment="1">
      <alignment horizontal="left"/>
    </xf>
    <xf numFmtId="0" fontId="10" fillId="0" borderId="6" xfId="2" applyFont="1" applyBorder="1" applyAlignment="1">
      <alignment horizontal="left"/>
    </xf>
    <xf numFmtId="0" fontId="10" fillId="0" borderId="2" xfId="2" applyFont="1" applyBorder="1"/>
    <xf numFmtId="0" fontId="10" fillId="0" borderId="12" xfId="2" applyFont="1" applyBorder="1" applyAlignment="1">
      <alignment horizontal="center"/>
    </xf>
    <xf numFmtId="0" fontId="10" fillId="0" borderId="2" xfId="2" applyFont="1" applyBorder="1" applyAlignment="1">
      <alignment horizontal="center"/>
    </xf>
    <xf numFmtId="0" fontId="1" fillId="0" borderId="5" xfId="2" applyFont="1" applyBorder="1" applyAlignment="1">
      <alignment horizontal="right"/>
    </xf>
    <xf numFmtId="0" fontId="11" fillId="3" borderId="0" xfId="2" applyFont="1" applyFill="1" applyAlignment="1">
      <alignment horizontal="center" wrapText="1"/>
    </xf>
    <xf numFmtId="0" fontId="0" fillId="3" borderId="0" xfId="2" applyFont="1" applyFill="1" applyAlignment="1">
      <alignment horizontal="center" wrapText="1"/>
    </xf>
    <xf numFmtId="0" fontId="8" fillId="3" borderId="0" xfId="2" applyFont="1" applyFill="1" applyBorder="1" applyAlignment="1">
      <alignment horizontal="center" wrapText="1"/>
    </xf>
    <xf numFmtId="0" fontId="2" fillId="0" borderId="15" xfId="2" applyFont="1" applyBorder="1" applyAlignment="1">
      <alignment horizontal="center" vertical="center"/>
    </xf>
    <xf numFmtId="0" fontId="10" fillId="0" borderId="3" xfId="2" applyFont="1" applyBorder="1" applyAlignment="1">
      <alignment horizontal="center" vertical="center"/>
    </xf>
    <xf numFmtId="0" fontId="1" fillId="0" borderId="5" xfId="2" applyFont="1" applyBorder="1" applyAlignment="1">
      <alignment horizontal="center"/>
    </xf>
    <xf numFmtId="0" fontId="1" fillId="0" borderId="6" xfId="2" applyFont="1" applyBorder="1" applyAlignment="1">
      <alignment horizontal="center"/>
    </xf>
    <xf numFmtId="0" fontId="10" fillId="0" borderId="0" xfId="2" applyFont="1" applyBorder="1" applyAlignment="1">
      <alignment horizontal="center"/>
    </xf>
    <xf numFmtId="0" fontId="10" fillId="0" borderId="9" xfId="2" applyFont="1" applyBorder="1" applyAlignment="1">
      <alignment horizontal="center"/>
    </xf>
    <xf numFmtId="0" fontId="1" fillId="0" borderId="4" xfId="2" applyFont="1" applyBorder="1" applyAlignment="1">
      <alignment horizontal="center" vertical="center"/>
    </xf>
    <xf numFmtId="0" fontId="1" fillId="0" borderId="6" xfId="2" applyFont="1" applyBorder="1" applyAlignment="1">
      <alignment horizontal="center" vertical="center"/>
    </xf>
    <xf numFmtId="0" fontId="1" fillId="0" borderId="12" xfId="2" applyFont="1" applyBorder="1" applyAlignment="1">
      <alignment horizontal="center" vertical="center"/>
    </xf>
    <xf numFmtId="0" fontId="1" fillId="0" borderId="14" xfId="2" applyFont="1" applyBorder="1" applyAlignment="1">
      <alignment horizontal="center" vertical="center"/>
    </xf>
    <xf numFmtId="0" fontId="10" fillId="0" borderId="13" xfId="2" applyFont="1" applyBorder="1" applyAlignment="1">
      <alignment horizontal="center"/>
    </xf>
    <xf numFmtId="0" fontId="10" fillId="0" borderId="14" xfId="2" applyFont="1" applyBorder="1" applyAlignment="1">
      <alignment horizontal="center"/>
    </xf>
    <xf numFmtId="0" fontId="2" fillId="0" borderId="15" xfId="2" applyFont="1" applyBorder="1" applyAlignment="1">
      <alignment horizontal="center"/>
    </xf>
    <xf numFmtId="0" fontId="2" fillId="0" borderId="1" xfId="2" applyFont="1" applyBorder="1" applyAlignment="1">
      <alignment horizontal="center"/>
    </xf>
    <xf numFmtId="0" fontId="2" fillId="0" borderId="3" xfId="2" applyFont="1" applyBorder="1" applyAlignment="1">
      <alignment horizontal="center"/>
    </xf>
    <xf numFmtId="0" fontId="10" fillId="0" borderId="1" xfId="2" applyFont="1" applyBorder="1" applyAlignment="1">
      <alignment horizontal="center"/>
    </xf>
    <xf numFmtId="0" fontId="10" fillId="0" borderId="3" xfId="2" applyFont="1" applyBorder="1" applyAlignment="1">
      <alignment horizontal="center"/>
    </xf>
    <xf numFmtId="0" fontId="10" fillId="0" borderId="12" xfId="2" applyFont="1" applyBorder="1" applyAlignment="1">
      <alignment horizontal="left"/>
    </xf>
    <xf numFmtId="0" fontId="10" fillId="0" borderId="13" xfId="2" applyFont="1" applyBorder="1" applyAlignment="1">
      <alignment horizontal="left"/>
    </xf>
    <xf numFmtId="0" fontId="10" fillId="0" borderId="14" xfId="2" applyFont="1" applyBorder="1" applyAlignment="1">
      <alignment horizontal="left"/>
    </xf>
    <xf numFmtId="0" fontId="5" fillId="0" borderId="15" xfId="2" applyFont="1" applyBorder="1" applyAlignment="1">
      <alignment horizontal="right"/>
    </xf>
    <xf numFmtId="0" fontId="10" fillId="0" borderId="3" xfId="2" applyFont="1" applyBorder="1" applyAlignment="1">
      <alignment horizontal="right"/>
    </xf>
    <xf numFmtId="0" fontId="5" fillId="0" borderId="15" xfId="2" applyFont="1" applyBorder="1" applyAlignment="1"/>
    <xf numFmtId="0" fontId="10" fillId="0" borderId="3" xfId="2" applyFont="1" applyBorder="1" applyAlignment="1"/>
  </cellXfs>
  <cellStyles count="3">
    <cellStyle name="Lien hypertexte" xfId="1" builtinId="8"/>
    <cellStyle name="Motif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/>
  <dimension ref="A1:E14"/>
  <sheetViews>
    <sheetView tabSelected="1" zoomScaleNormal="100" workbookViewId="0">
      <selection sqref="A1:E1"/>
    </sheetView>
  </sheetViews>
  <sheetFormatPr baseColWidth="10" defaultRowHeight="12.75" x14ac:dyDescent="0.2"/>
  <cols>
    <col min="1" max="1" width="25.7109375" customWidth="1"/>
    <col min="2" max="2" width="1.7109375" customWidth="1"/>
    <col min="3" max="3" width="25.7109375" customWidth="1"/>
    <col min="4" max="4" width="1.7109375" customWidth="1"/>
    <col min="5" max="5" width="25.7109375" customWidth="1"/>
  </cols>
  <sheetData>
    <row r="1" spans="1:5" ht="15.75" x14ac:dyDescent="0.25">
      <c r="A1" s="112" t="s">
        <v>119</v>
      </c>
      <c r="B1" s="112"/>
      <c r="C1" s="112"/>
      <c r="D1" s="112"/>
      <c r="E1" s="112"/>
    </row>
    <row r="2" spans="1:5" x14ac:dyDescent="0.2">
      <c r="A2" s="113"/>
      <c r="B2" s="113"/>
      <c r="C2" s="113"/>
      <c r="D2" s="113"/>
      <c r="E2" s="113"/>
    </row>
    <row r="3" spans="1:5" ht="24.95" customHeight="1" thickBot="1" x14ac:dyDescent="0.3">
      <c r="A3" s="114" t="s">
        <v>62</v>
      </c>
      <c r="B3" s="114"/>
      <c r="C3" s="114"/>
      <c r="D3" s="114"/>
      <c r="E3" s="114"/>
    </row>
    <row r="4" spans="1:5" s="87" customFormat="1" ht="50.1" customHeight="1" thickTop="1" thickBot="1" x14ac:dyDescent="0.25">
      <c r="A4" s="85" t="str">
        <f>SP!C1</f>
        <v>SUPPLY IN PRODUCTS TABLE</v>
      </c>
      <c r="B4" s="86"/>
      <c r="C4" s="85" t="str">
        <f>IIT!A1</f>
        <v>INTERMEDIATE INPUT TABLE</v>
      </c>
      <c r="D4" s="86"/>
      <c r="E4" s="85" t="str">
        <f>FUT!C1</f>
        <v>FINAL USE TABLE</v>
      </c>
    </row>
    <row r="5" spans="1:5" ht="6" customHeight="1" thickTop="1" thickBot="1" x14ac:dyDescent="0.25">
      <c r="A5" s="33"/>
      <c r="B5" s="33"/>
      <c r="C5" s="32"/>
      <c r="D5" s="33"/>
      <c r="E5" s="33"/>
    </row>
    <row r="6" spans="1:5" ht="50.1" customHeight="1" thickTop="1" thickBot="1" x14ac:dyDescent="0.25">
      <c r="A6" s="31"/>
      <c r="B6" s="31"/>
      <c r="C6" s="85" t="str">
        <f>PAI_GIAI!A1</f>
        <v>PRODUCTION ACCOUNT BY INDUSTRY</v>
      </c>
      <c r="D6" s="33"/>
      <c r="E6" s="31"/>
    </row>
    <row r="7" spans="1:5" ht="6" customHeight="1" thickTop="1" thickBot="1" x14ac:dyDescent="0.25">
      <c r="A7" s="31"/>
      <c r="B7" s="31"/>
      <c r="C7" s="32"/>
      <c r="D7" s="33"/>
      <c r="E7" s="31"/>
    </row>
    <row r="8" spans="1:5" ht="50.1" customHeight="1" thickTop="1" thickBot="1" x14ac:dyDescent="0.25">
      <c r="A8" s="31"/>
      <c r="B8" s="31"/>
      <c r="C8" s="85" t="str">
        <f>PAI_GIAI!COMPTE_D_EXPLOITATION_PAR_BRANCHE</f>
        <v>GENERATION OF INCOME ACCOUNT BY INDUSTRY</v>
      </c>
      <c r="D8" s="33"/>
      <c r="E8" s="31"/>
    </row>
    <row r="9" spans="1:5" ht="13.5" thickTop="1" x14ac:dyDescent="0.2"/>
    <row r="10" spans="1:5" x14ac:dyDescent="0.2">
      <c r="A10" s="88" t="s">
        <v>118</v>
      </c>
    </row>
    <row r="12" spans="1:5" x14ac:dyDescent="0.2">
      <c r="A12" s="35" t="s">
        <v>154</v>
      </c>
    </row>
    <row r="13" spans="1:5" x14ac:dyDescent="0.2">
      <c r="A13" s="11" t="s">
        <v>153</v>
      </c>
    </row>
    <row r="14" spans="1:5" x14ac:dyDescent="0.2">
      <c r="A14" s="11" t="s">
        <v>54</v>
      </c>
    </row>
  </sheetData>
  <mergeCells count="3">
    <mergeCell ref="A1:E1"/>
    <mergeCell ref="A2:E2"/>
    <mergeCell ref="A3:E3"/>
  </mergeCells>
  <phoneticPr fontId="0" type="noConversion"/>
  <hyperlinks>
    <hyperlink ref="A4" location="SP!A1" display="SP!A1"/>
    <hyperlink ref="C4" location="IIT!A1" display="IIT!A1"/>
    <hyperlink ref="E4" location="FUT!A1" display="FUT!A1"/>
    <hyperlink ref="C8" location="PAI_GIAI!A19" display="PAI_GIAI!A19"/>
    <hyperlink ref="C6" location="PAI_GIAI!A1" display="PAI_GIAI!A1"/>
  </hyperlinks>
  <pageMargins left="0.78740157499999996" right="0.78740157499999996" top="0.984251969" bottom="0.984251969" header="0.4921259845" footer="0.492125984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/>
  <dimension ref="A1:S45"/>
  <sheetViews>
    <sheetView showZeros="0" zoomScale="130" zoomScaleNormal="130" workbookViewId="0">
      <pane xSplit="2" ySplit="4" topLeftCell="C5" activePane="bottomRight" state="frozen"/>
      <selection activeCell="C8" sqref="C8"/>
      <selection pane="topRight" activeCell="C8" sqref="C8"/>
      <selection pane="bottomLeft" activeCell="C8" sqref="C8"/>
      <selection pane="bottomRight"/>
    </sheetView>
  </sheetViews>
  <sheetFormatPr baseColWidth="10" defaultColWidth="11.5703125" defaultRowHeight="12.75" x14ac:dyDescent="0.2"/>
  <cols>
    <col min="1" max="1" width="20.7109375" style="94" customWidth="1"/>
    <col min="2" max="2" width="6.7109375" style="94" customWidth="1"/>
    <col min="3" max="14" width="8.7109375" style="94" customWidth="1"/>
    <col min="15" max="15" width="5.42578125" style="94" customWidth="1"/>
    <col min="16" max="16384" width="11.5703125" style="94"/>
  </cols>
  <sheetData>
    <row r="1" spans="1:18" x14ac:dyDescent="0.2">
      <c r="A1" s="92"/>
      <c r="B1" s="93"/>
      <c r="C1" s="117" t="s">
        <v>139</v>
      </c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8"/>
    </row>
    <row r="2" spans="1:18" x14ac:dyDescent="0.2">
      <c r="A2" s="95"/>
      <c r="B2" s="96"/>
      <c r="C2" s="119" t="s">
        <v>154</v>
      </c>
      <c r="D2" s="119"/>
      <c r="E2" s="119"/>
      <c r="F2" s="119"/>
      <c r="G2" s="119"/>
      <c r="H2" s="119"/>
      <c r="I2" s="119"/>
      <c r="J2" s="119"/>
      <c r="K2" s="119"/>
      <c r="L2" s="119"/>
      <c r="M2" s="119"/>
      <c r="N2" s="120"/>
    </row>
    <row r="3" spans="1:18" x14ac:dyDescent="0.2">
      <c r="A3" s="97"/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9"/>
    </row>
    <row r="4" spans="1:18" ht="149.25" x14ac:dyDescent="0.2">
      <c r="A4" s="115" t="s">
        <v>64</v>
      </c>
      <c r="B4" s="116"/>
      <c r="C4" s="100" t="s">
        <v>120</v>
      </c>
      <c r="D4" s="1" t="s">
        <v>102</v>
      </c>
      <c r="E4" s="1" t="s">
        <v>103</v>
      </c>
      <c r="F4" s="1" t="s">
        <v>104</v>
      </c>
      <c r="G4" s="1" t="s">
        <v>101</v>
      </c>
      <c r="H4" s="2" t="s">
        <v>109</v>
      </c>
      <c r="I4" s="1" t="s">
        <v>105</v>
      </c>
      <c r="J4" s="1" t="s">
        <v>106</v>
      </c>
      <c r="K4" s="1" t="s">
        <v>107</v>
      </c>
      <c r="L4" s="3" t="s">
        <v>140</v>
      </c>
      <c r="M4" s="4" t="s">
        <v>108</v>
      </c>
      <c r="N4" s="2" t="s">
        <v>110</v>
      </c>
      <c r="P4" s="5"/>
      <c r="Q4" s="101"/>
      <c r="R4" s="101"/>
    </row>
    <row r="5" spans="1:18" x14ac:dyDescent="0.2">
      <c r="A5" s="68" t="s">
        <v>65</v>
      </c>
      <c r="B5" s="39" t="s">
        <v>51</v>
      </c>
      <c r="C5" s="6">
        <v>79701</v>
      </c>
      <c r="D5" s="7">
        <v>14672</v>
      </c>
      <c r="E5" s="8"/>
      <c r="F5" s="8">
        <v>14672</v>
      </c>
      <c r="G5" s="8"/>
      <c r="H5" s="10">
        <v>94373</v>
      </c>
      <c r="I5" s="6">
        <v>24671</v>
      </c>
      <c r="J5" s="8">
        <v>1879</v>
      </c>
      <c r="K5" s="8">
        <v>2275.34</v>
      </c>
      <c r="L5" s="8">
        <v>2216.34</v>
      </c>
      <c r="M5" s="9">
        <v>-1268</v>
      </c>
      <c r="N5" s="10">
        <v>121930.34</v>
      </c>
      <c r="O5" s="30" t="s">
        <v>149</v>
      </c>
      <c r="P5" s="11"/>
      <c r="Q5" s="36"/>
      <c r="R5" s="102"/>
    </row>
    <row r="6" spans="1:18" x14ac:dyDescent="0.2">
      <c r="A6" s="69" t="s">
        <v>66</v>
      </c>
      <c r="B6" s="25" t="s">
        <v>15</v>
      </c>
      <c r="C6" s="12">
        <v>4975</v>
      </c>
      <c r="D6" s="13">
        <v>37082</v>
      </c>
      <c r="E6" s="13"/>
      <c r="F6" s="13">
        <v>37082</v>
      </c>
      <c r="G6" s="13"/>
      <c r="H6" s="15">
        <v>42057</v>
      </c>
      <c r="I6" s="12">
        <v>1956</v>
      </c>
      <c r="J6" s="13">
        <v>1181</v>
      </c>
      <c r="K6" s="13">
        <v>148.99600000000001</v>
      </c>
      <c r="L6" s="13">
        <v>91.995999999999995</v>
      </c>
      <c r="M6" s="14"/>
      <c r="N6" s="15">
        <v>45342.995999999999</v>
      </c>
      <c r="O6" s="30" t="s">
        <v>111</v>
      </c>
      <c r="P6" s="11"/>
      <c r="Q6" s="36"/>
    </row>
    <row r="7" spans="1:18" x14ac:dyDescent="0.2">
      <c r="A7" s="69" t="s">
        <v>67</v>
      </c>
      <c r="B7" s="25" t="s">
        <v>16</v>
      </c>
      <c r="C7" s="12">
        <v>175930.56</v>
      </c>
      <c r="D7" s="13">
        <v>43054</v>
      </c>
      <c r="E7" s="13"/>
      <c r="F7" s="13">
        <v>43054</v>
      </c>
      <c r="G7" s="13"/>
      <c r="H7" s="15">
        <v>218984.56</v>
      </c>
      <c r="I7" s="12">
        <v>81456.165999999997</v>
      </c>
      <c r="J7" s="13">
        <v>5773</v>
      </c>
      <c r="K7" s="13">
        <v>34659.661</v>
      </c>
      <c r="L7" s="13">
        <v>15739.661</v>
      </c>
      <c r="M7" s="14">
        <v>-103</v>
      </c>
      <c r="N7" s="15">
        <v>340770.38699999999</v>
      </c>
      <c r="O7" s="30" t="s">
        <v>121</v>
      </c>
      <c r="P7" s="16"/>
      <c r="Q7" s="36"/>
    </row>
    <row r="8" spans="1:18" x14ac:dyDescent="0.2">
      <c r="A8" s="69" t="s">
        <v>68</v>
      </c>
      <c r="B8" s="25" t="s">
        <v>17</v>
      </c>
      <c r="C8" s="12">
        <v>17332</v>
      </c>
      <c r="D8" s="13">
        <v>40792</v>
      </c>
      <c r="E8" s="13"/>
      <c r="F8" s="13">
        <v>40792</v>
      </c>
      <c r="G8" s="13"/>
      <c r="H8" s="15">
        <v>58124</v>
      </c>
      <c r="I8" s="12">
        <v>34529</v>
      </c>
      <c r="J8" s="13">
        <v>1034</v>
      </c>
      <c r="K8" s="13">
        <v>9524.0130000000008</v>
      </c>
      <c r="L8" s="13">
        <v>8743.0130000000008</v>
      </c>
      <c r="M8" s="14"/>
      <c r="N8" s="15">
        <v>103211.01300000001</v>
      </c>
      <c r="P8" s="16"/>
      <c r="Q8" s="36"/>
    </row>
    <row r="9" spans="1:18" x14ac:dyDescent="0.2">
      <c r="A9" s="69" t="s">
        <v>69</v>
      </c>
      <c r="B9" s="25" t="s">
        <v>18</v>
      </c>
      <c r="C9" s="12">
        <v>36411</v>
      </c>
      <c r="D9" s="13">
        <v>13906</v>
      </c>
      <c r="E9" s="13"/>
      <c r="F9" s="13">
        <v>13906</v>
      </c>
      <c r="G9" s="13"/>
      <c r="H9" s="15">
        <v>50317</v>
      </c>
      <c r="I9" s="12">
        <v>8945</v>
      </c>
      <c r="J9" s="13">
        <v>1986</v>
      </c>
      <c r="K9" s="13">
        <v>2125.9789999999998</v>
      </c>
      <c r="L9" s="13">
        <v>2072.9789999999998</v>
      </c>
      <c r="M9" s="14">
        <v>-43</v>
      </c>
      <c r="N9" s="15">
        <v>63330.978999999999</v>
      </c>
      <c r="P9" s="16"/>
      <c r="Q9" s="36"/>
    </row>
    <row r="10" spans="1:18" x14ac:dyDescent="0.2">
      <c r="A10" s="69" t="s">
        <v>70</v>
      </c>
      <c r="B10" s="25" t="s">
        <v>19</v>
      </c>
      <c r="C10" s="12">
        <v>35587</v>
      </c>
      <c r="D10" s="13">
        <v>25866</v>
      </c>
      <c r="E10" s="13"/>
      <c r="F10" s="13">
        <v>25866</v>
      </c>
      <c r="G10" s="13"/>
      <c r="H10" s="15">
        <v>61453</v>
      </c>
      <c r="I10" s="12">
        <v>7425</v>
      </c>
      <c r="J10" s="13">
        <v>1905</v>
      </c>
      <c r="K10" s="13">
        <v>42562.25</v>
      </c>
      <c r="L10" s="13">
        <v>9982.25</v>
      </c>
      <c r="M10" s="14"/>
      <c r="N10" s="15">
        <v>113345.25</v>
      </c>
      <c r="Q10" s="36"/>
    </row>
    <row r="11" spans="1:18" x14ac:dyDescent="0.2">
      <c r="A11" s="69" t="s">
        <v>71</v>
      </c>
      <c r="B11" s="25" t="s">
        <v>20</v>
      </c>
      <c r="C11" s="12">
        <v>65992</v>
      </c>
      <c r="D11" s="13">
        <v>45857</v>
      </c>
      <c r="E11" s="13"/>
      <c r="F11" s="13">
        <v>45857</v>
      </c>
      <c r="G11" s="13"/>
      <c r="H11" s="15">
        <v>111849</v>
      </c>
      <c r="I11" s="12">
        <v>33075</v>
      </c>
      <c r="J11" s="13">
        <v>3931</v>
      </c>
      <c r="K11" s="13">
        <v>4554.2809999999999</v>
      </c>
      <c r="L11" s="13">
        <v>4276.2809999999999</v>
      </c>
      <c r="M11" s="14"/>
      <c r="N11" s="15">
        <v>153409.28099999999</v>
      </c>
      <c r="Q11" s="36"/>
    </row>
    <row r="12" spans="1:18" x14ac:dyDescent="0.2">
      <c r="A12" s="69" t="s">
        <v>72</v>
      </c>
      <c r="B12" s="25" t="s">
        <v>21</v>
      </c>
      <c r="C12" s="12">
        <v>28712</v>
      </c>
      <c r="D12" s="13">
        <v>27863</v>
      </c>
      <c r="E12" s="13"/>
      <c r="F12" s="13">
        <v>27863</v>
      </c>
      <c r="G12" s="13"/>
      <c r="H12" s="15">
        <v>56575</v>
      </c>
      <c r="I12" s="12">
        <v>32396</v>
      </c>
      <c r="J12" s="13">
        <v>1128</v>
      </c>
      <c r="K12" s="13">
        <v>1630.306</v>
      </c>
      <c r="L12" s="13">
        <v>1247.306</v>
      </c>
      <c r="M12" s="14"/>
      <c r="N12" s="15">
        <v>91729.305999999997</v>
      </c>
      <c r="P12" s="16"/>
      <c r="Q12" s="36"/>
    </row>
    <row r="13" spans="1:18" x14ac:dyDescent="0.2">
      <c r="A13" s="69" t="s">
        <v>73</v>
      </c>
      <c r="B13" s="25" t="s">
        <v>22</v>
      </c>
      <c r="C13" s="12">
        <v>55045</v>
      </c>
      <c r="D13" s="13">
        <v>27353</v>
      </c>
      <c r="E13" s="13"/>
      <c r="F13" s="13">
        <v>27353</v>
      </c>
      <c r="G13" s="13"/>
      <c r="H13" s="15">
        <v>82398</v>
      </c>
      <c r="I13" s="12">
        <v>19349</v>
      </c>
      <c r="J13" s="13">
        <v>3915</v>
      </c>
      <c r="K13" s="13">
        <v>2416.4299999999998</v>
      </c>
      <c r="L13" s="13">
        <v>2199.4299999999998</v>
      </c>
      <c r="M13" s="14"/>
      <c r="N13" s="15">
        <v>108078.43</v>
      </c>
      <c r="P13" s="16"/>
      <c r="Q13" s="36"/>
    </row>
    <row r="14" spans="1:18" x14ac:dyDescent="0.2">
      <c r="A14" s="69" t="s">
        <v>74</v>
      </c>
      <c r="B14" s="25" t="s">
        <v>23</v>
      </c>
      <c r="C14" s="12">
        <v>85349</v>
      </c>
      <c r="D14" s="13">
        <v>40820</v>
      </c>
      <c r="E14" s="13"/>
      <c r="F14" s="13">
        <v>40820</v>
      </c>
      <c r="G14" s="13"/>
      <c r="H14" s="15">
        <v>126169</v>
      </c>
      <c r="I14" s="12">
        <v>14324</v>
      </c>
      <c r="J14" s="13">
        <v>2855</v>
      </c>
      <c r="K14" s="13">
        <v>1434.4469999999999</v>
      </c>
      <c r="L14" s="13">
        <v>1283.4469999999999</v>
      </c>
      <c r="M14" s="14"/>
      <c r="N14" s="15">
        <v>144782.44699999999</v>
      </c>
      <c r="P14" s="16"/>
      <c r="Q14" s="36"/>
    </row>
    <row r="15" spans="1:18" x14ac:dyDescent="0.2">
      <c r="A15" s="69" t="s">
        <v>75</v>
      </c>
      <c r="B15" s="25" t="s">
        <v>24</v>
      </c>
      <c r="C15" s="12">
        <v>28571</v>
      </c>
      <c r="D15" s="13">
        <v>48823</v>
      </c>
      <c r="E15" s="13"/>
      <c r="F15" s="13">
        <v>48823</v>
      </c>
      <c r="G15" s="13"/>
      <c r="H15" s="15">
        <v>77394</v>
      </c>
      <c r="I15" s="12">
        <v>18845</v>
      </c>
      <c r="J15" s="13">
        <v>1618</v>
      </c>
      <c r="K15" s="13">
        <v>4260.759</v>
      </c>
      <c r="L15" s="13">
        <v>4107.759</v>
      </c>
      <c r="M15" s="14"/>
      <c r="N15" s="15">
        <v>102117.75900000001</v>
      </c>
      <c r="P15" s="16"/>
      <c r="Q15" s="36"/>
    </row>
    <row r="16" spans="1:18" x14ac:dyDescent="0.2">
      <c r="A16" s="69" t="s">
        <v>76</v>
      </c>
      <c r="B16" s="25" t="s">
        <v>25</v>
      </c>
      <c r="C16" s="12">
        <v>21002</v>
      </c>
      <c r="D16" s="13">
        <v>29603</v>
      </c>
      <c r="E16" s="13"/>
      <c r="F16" s="13">
        <v>29603</v>
      </c>
      <c r="G16" s="13"/>
      <c r="H16" s="15">
        <v>50605</v>
      </c>
      <c r="I16" s="12">
        <v>14338</v>
      </c>
      <c r="J16" s="13">
        <v>679</v>
      </c>
      <c r="K16" s="13">
        <v>2458.2620000000002</v>
      </c>
      <c r="L16" s="13">
        <v>2258.2620000000002</v>
      </c>
      <c r="M16" s="14"/>
      <c r="N16" s="15">
        <v>68080.262000000002</v>
      </c>
      <c r="P16" s="16"/>
      <c r="Q16" s="36"/>
    </row>
    <row r="17" spans="1:17" x14ac:dyDescent="0.2">
      <c r="A17" s="69" t="s">
        <v>77</v>
      </c>
      <c r="B17" s="25" t="s">
        <v>26</v>
      </c>
      <c r="C17" s="12">
        <v>39164</v>
      </c>
      <c r="D17" s="13">
        <v>47955</v>
      </c>
      <c r="E17" s="13"/>
      <c r="F17" s="13">
        <v>47955</v>
      </c>
      <c r="G17" s="13"/>
      <c r="H17" s="15">
        <v>87119</v>
      </c>
      <c r="I17" s="12">
        <v>30324</v>
      </c>
      <c r="J17" s="13">
        <v>1679</v>
      </c>
      <c r="K17" s="13">
        <v>966.13599999999997</v>
      </c>
      <c r="L17" s="13">
        <v>801.13599999999997</v>
      </c>
      <c r="M17" s="14"/>
      <c r="N17" s="15">
        <v>120088.136</v>
      </c>
      <c r="P17" s="16"/>
      <c r="Q17" s="36"/>
    </row>
    <row r="18" spans="1:17" x14ac:dyDescent="0.2">
      <c r="A18" s="69" t="s">
        <v>78</v>
      </c>
      <c r="B18" s="25" t="s">
        <v>27</v>
      </c>
      <c r="C18" s="12">
        <v>152090</v>
      </c>
      <c r="D18" s="13">
        <v>108680</v>
      </c>
      <c r="E18" s="13"/>
      <c r="F18" s="13">
        <v>108680</v>
      </c>
      <c r="G18" s="13"/>
      <c r="H18" s="15">
        <v>260770</v>
      </c>
      <c r="I18" s="12">
        <v>47145</v>
      </c>
      <c r="J18" s="13">
        <v>1129</v>
      </c>
      <c r="K18" s="13">
        <v>18124.632000000001</v>
      </c>
      <c r="L18" s="13">
        <v>14969.632</v>
      </c>
      <c r="M18" s="14">
        <v>-1141</v>
      </c>
      <c r="N18" s="15">
        <v>326027.63199999998</v>
      </c>
      <c r="P18" s="16"/>
      <c r="Q18" s="36"/>
    </row>
    <row r="19" spans="1:17" x14ac:dyDescent="0.2">
      <c r="A19" s="69" t="s">
        <v>79</v>
      </c>
      <c r="B19" s="25" t="s">
        <v>28</v>
      </c>
      <c r="C19" s="12">
        <v>78083</v>
      </c>
      <c r="D19" s="13">
        <v>35778</v>
      </c>
      <c r="E19" s="13"/>
      <c r="F19" s="13">
        <v>35778</v>
      </c>
      <c r="G19" s="13"/>
      <c r="H19" s="15">
        <v>113861</v>
      </c>
      <c r="I19" s="12">
        <v>35310</v>
      </c>
      <c r="J19" s="13">
        <v>721</v>
      </c>
      <c r="K19" s="13">
        <v>9311.4709999999995</v>
      </c>
      <c r="L19" s="13">
        <v>9025.4709999999995</v>
      </c>
      <c r="M19" s="14"/>
      <c r="N19" s="15">
        <v>159203.47099999999</v>
      </c>
      <c r="P19" s="16"/>
      <c r="Q19" s="36"/>
    </row>
    <row r="20" spans="1:17" x14ac:dyDescent="0.2">
      <c r="A20" s="69" t="s">
        <v>80</v>
      </c>
      <c r="B20" s="25" t="s">
        <v>29</v>
      </c>
      <c r="C20" s="12">
        <v>126557</v>
      </c>
      <c r="D20" s="13">
        <v>707</v>
      </c>
      <c r="E20" s="13"/>
      <c r="F20" s="13">
        <v>707</v>
      </c>
      <c r="G20" s="13"/>
      <c r="H20" s="15">
        <v>127264</v>
      </c>
      <c r="I20" s="12"/>
      <c r="J20" s="13">
        <v>1846</v>
      </c>
      <c r="K20" s="13">
        <v>19883.644</v>
      </c>
      <c r="L20" s="13">
        <v>7574.6440000000002</v>
      </c>
      <c r="M20" s="14">
        <v>-8259</v>
      </c>
      <c r="N20" s="15">
        <v>140734.644</v>
      </c>
      <c r="P20" s="16"/>
      <c r="Q20" s="36"/>
    </row>
    <row r="21" spans="1:17" x14ac:dyDescent="0.2">
      <c r="A21" s="69" t="s">
        <v>81</v>
      </c>
      <c r="B21" s="25" t="s">
        <v>30</v>
      </c>
      <c r="C21" s="12">
        <v>52383</v>
      </c>
      <c r="D21" s="13">
        <v>1605</v>
      </c>
      <c r="E21" s="13"/>
      <c r="F21" s="13">
        <v>1605</v>
      </c>
      <c r="G21" s="13"/>
      <c r="H21" s="15">
        <v>53988</v>
      </c>
      <c r="I21" s="12"/>
      <c r="J21" s="13"/>
      <c r="K21" s="13">
        <v>3357.7080000000001</v>
      </c>
      <c r="L21" s="13">
        <v>1237.7080000000001</v>
      </c>
      <c r="M21" s="14"/>
      <c r="N21" s="15">
        <v>57345.707999999999</v>
      </c>
      <c r="P21" s="16"/>
      <c r="Q21" s="36"/>
    </row>
    <row r="22" spans="1:17" x14ac:dyDescent="0.2">
      <c r="A22" s="69" t="s">
        <v>63</v>
      </c>
      <c r="B22" s="25" t="s">
        <v>31</v>
      </c>
      <c r="C22" s="12">
        <v>312805</v>
      </c>
      <c r="D22" s="13"/>
      <c r="E22" s="13"/>
      <c r="F22" s="13"/>
      <c r="G22" s="13"/>
      <c r="H22" s="15">
        <v>312805</v>
      </c>
      <c r="I22" s="12"/>
      <c r="J22" s="13"/>
      <c r="K22" s="13">
        <v>28906.569</v>
      </c>
      <c r="L22" s="13">
        <v>26794.569</v>
      </c>
      <c r="M22" s="14"/>
      <c r="N22" s="15">
        <v>341711.56900000002</v>
      </c>
      <c r="P22" s="16"/>
      <c r="Q22" s="36"/>
    </row>
    <row r="23" spans="1:17" x14ac:dyDescent="0.2">
      <c r="A23" s="69" t="s">
        <v>82</v>
      </c>
      <c r="B23" s="25" t="s">
        <v>32</v>
      </c>
      <c r="C23" s="12">
        <v>455877.16600000003</v>
      </c>
      <c r="D23" s="13"/>
      <c r="E23" s="13">
        <v>9682</v>
      </c>
      <c r="F23" s="13">
        <v>9682</v>
      </c>
      <c r="G23" s="13"/>
      <c r="H23" s="15">
        <v>465559.16600000003</v>
      </c>
      <c r="I23" s="12">
        <v>-407784.16600000003</v>
      </c>
      <c r="J23" s="13"/>
      <c r="K23" s="13">
        <v>2434.489</v>
      </c>
      <c r="L23" s="13">
        <v>2434.489</v>
      </c>
      <c r="M23" s="14"/>
      <c r="N23" s="15">
        <v>60209.489000000001</v>
      </c>
      <c r="P23" s="16"/>
      <c r="Q23" s="36"/>
    </row>
    <row r="24" spans="1:17" x14ac:dyDescent="0.2">
      <c r="A24" s="69" t="s">
        <v>83</v>
      </c>
      <c r="B24" s="25" t="s">
        <v>33</v>
      </c>
      <c r="C24" s="12">
        <v>225181</v>
      </c>
      <c r="D24" s="13"/>
      <c r="E24" s="13">
        <v>50462</v>
      </c>
      <c r="F24" s="13">
        <v>50462</v>
      </c>
      <c r="G24" s="13">
        <v>-18663</v>
      </c>
      <c r="H24" s="15">
        <v>256980</v>
      </c>
      <c r="I24" s="12"/>
      <c r="J24" s="13">
        <v>-33941</v>
      </c>
      <c r="K24" s="13">
        <v>6671.4250000000002</v>
      </c>
      <c r="L24" s="13">
        <v>5158.4250000000002</v>
      </c>
      <c r="M24" s="14">
        <v>-10569</v>
      </c>
      <c r="N24" s="15">
        <v>219141.42499999999</v>
      </c>
      <c r="P24" s="16"/>
      <c r="Q24" s="36"/>
    </row>
    <row r="25" spans="1:17" x14ac:dyDescent="0.2">
      <c r="A25" s="69" t="s">
        <v>84</v>
      </c>
      <c r="B25" s="25" t="s">
        <v>34</v>
      </c>
      <c r="C25" s="12">
        <v>122904</v>
      </c>
      <c r="D25" s="13"/>
      <c r="E25" s="13"/>
      <c r="F25" s="13"/>
      <c r="G25" s="13"/>
      <c r="H25" s="15">
        <v>122904</v>
      </c>
      <c r="I25" s="12"/>
      <c r="J25" s="13"/>
      <c r="K25" s="13">
        <v>9353.8289999999997</v>
      </c>
      <c r="L25" s="13">
        <v>8787.8289999999997</v>
      </c>
      <c r="M25" s="14">
        <v>-271</v>
      </c>
      <c r="N25" s="15">
        <v>131986.829</v>
      </c>
      <c r="P25" s="16"/>
      <c r="Q25" s="36"/>
    </row>
    <row r="26" spans="1:17" x14ac:dyDescent="0.2">
      <c r="A26" s="69" t="s">
        <v>85</v>
      </c>
      <c r="B26" s="25" t="s">
        <v>35</v>
      </c>
      <c r="C26" s="12">
        <v>59529</v>
      </c>
      <c r="D26" s="13"/>
      <c r="E26" s="13">
        <v>5689</v>
      </c>
      <c r="F26" s="13">
        <v>5689</v>
      </c>
      <c r="G26" s="13"/>
      <c r="H26" s="15">
        <v>65218</v>
      </c>
      <c r="I26" s="12">
        <v>3696</v>
      </c>
      <c r="J26" s="13">
        <v>682</v>
      </c>
      <c r="K26" s="13">
        <v>3111.5430000000001</v>
      </c>
      <c r="L26" s="13">
        <v>2364.5430000000001</v>
      </c>
      <c r="M26" s="14"/>
      <c r="N26" s="15">
        <v>72707.543000000005</v>
      </c>
      <c r="P26" s="16"/>
      <c r="Q26" s="36"/>
    </row>
    <row r="27" spans="1:17" x14ac:dyDescent="0.2">
      <c r="A27" s="69" t="s">
        <v>86</v>
      </c>
      <c r="B27" s="25" t="s">
        <v>36</v>
      </c>
      <c r="C27" s="12">
        <v>56075</v>
      </c>
      <c r="D27" s="13"/>
      <c r="E27" s="13">
        <v>3565</v>
      </c>
      <c r="F27" s="13">
        <v>3565</v>
      </c>
      <c r="G27" s="13"/>
      <c r="H27" s="15">
        <v>59640</v>
      </c>
      <c r="I27" s="12"/>
      <c r="J27" s="13"/>
      <c r="K27" s="13">
        <v>5395.3130000000001</v>
      </c>
      <c r="L27" s="13">
        <v>5382.3130000000001</v>
      </c>
      <c r="M27" s="14"/>
      <c r="N27" s="15">
        <v>65035.313000000002</v>
      </c>
      <c r="P27" s="16"/>
      <c r="Q27" s="36"/>
    </row>
    <row r="28" spans="1:17" x14ac:dyDescent="0.2">
      <c r="A28" s="69" t="s">
        <v>87</v>
      </c>
      <c r="B28" s="25" t="s">
        <v>37</v>
      </c>
      <c r="C28" s="12">
        <v>109802</v>
      </c>
      <c r="D28" s="13"/>
      <c r="E28" s="13">
        <v>14583</v>
      </c>
      <c r="F28" s="13">
        <v>14583</v>
      </c>
      <c r="G28" s="13"/>
      <c r="H28" s="15">
        <v>124385</v>
      </c>
      <c r="I28" s="12"/>
      <c r="J28" s="13"/>
      <c r="K28" s="13">
        <v>2384.848</v>
      </c>
      <c r="L28" s="13">
        <v>2107.848</v>
      </c>
      <c r="M28" s="14"/>
      <c r="N28" s="15">
        <v>126769.848</v>
      </c>
      <c r="P28" s="16"/>
      <c r="Q28" s="36"/>
    </row>
    <row r="29" spans="1:17" x14ac:dyDescent="0.2">
      <c r="A29" s="69" t="s">
        <v>88</v>
      </c>
      <c r="B29" s="25" t="s">
        <v>38</v>
      </c>
      <c r="C29" s="12">
        <v>235135</v>
      </c>
      <c r="D29" s="13"/>
      <c r="E29" s="13">
        <v>7675</v>
      </c>
      <c r="F29" s="13">
        <v>7675</v>
      </c>
      <c r="G29" s="13">
        <v>-149</v>
      </c>
      <c r="H29" s="15">
        <v>242661</v>
      </c>
      <c r="I29" s="12"/>
      <c r="J29" s="13"/>
      <c r="K29" s="13">
        <v>21338.651999999998</v>
      </c>
      <c r="L29" s="13">
        <v>5117.652</v>
      </c>
      <c r="M29" s="14">
        <v>-151</v>
      </c>
      <c r="N29" s="15">
        <v>263848.652</v>
      </c>
      <c r="P29" s="16"/>
      <c r="Q29" s="36"/>
    </row>
    <row r="30" spans="1:17" x14ac:dyDescent="0.2">
      <c r="A30" s="69" t="s">
        <v>89</v>
      </c>
      <c r="B30" s="25" t="s">
        <v>39</v>
      </c>
      <c r="C30" s="12">
        <v>340569</v>
      </c>
      <c r="D30" s="13"/>
      <c r="E30" s="13"/>
      <c r="F30" s="13"/>
      <c r="G30" s="13"/>
      <c r="H30" s="15">
        <v>340569</v>
      </c>
      <c r="I30" s="12"/>
      <c r="J30" s="13"/>
      <c r="K30" s="13">
        <v>3010.134</v>
      </c>
      <c r="L30" s="13">
        <v>2880.134</v>
      </c>
      <c r="M30" s="14"/>
      <c r="N30" s="15">
        <v>343579.13400000002</v>
      </c>
      <c r="P30" s="16"/>
      <c r="Q30" s="36"/>
    </row>
    <row r="31" spans="1:17" x14ac:dyDescent="0.2">
      <c r="A31" s="69" t="s">
        <v>90</v>
      </c>
      <c r="B31" s="25" t="s">
        <v>40</v>
      </c>
      <c r="C31" s="12">
        <v>278155</v>
      </c>
      <c r="D31" s="13"/>
      <c r="E31" s="13">
        <v>28859</v>
      </c>
      <c r="F31" s="13">
        <v>28859</v>
      </c>
      <c r="G31" s="13"/>
      <c r="H31" s="15">
        <v>307014</v>
      </c>
      <c r="I31" s="12"/>
      <c r="J31" s="13"/>
      <c r="K31" s="13">
        <v>27276.227999999999</v>
      </c>
      <c r="L31" s="13">
        <v>8125.2280000000001</v>
      </c>
      <c r="M31" s="14"/>
      <c r="N31" s="15">
        <v>334290.228</v>
      </c>
      <c r="P31" s="16"/>
      <c r="Q31" s="36"/>
    </row>
    <row r="32" spans="1:17" x14ac:dyDescent="0.2">
      <c r="A32" s="69" t="s">
        <v>91</v>
      </c>
      <c r="B32" s="25" t="s">
        <v>41</v>
      </c>
      <c r="C32" s="12">
        <v>67646</v>
      </c>
      <c r="D32" s="13"/>
      <c r="E32" s="13">
        <v>9616</v>
      </c>
      <c r="F32" s="13">
        <v>9616</v>
      </c>
      <c r="G32" s="13"/>
      <c r="H32" s="15">
        <v>77262</v>
      </c>
      <c r="I32" s="12"/>
      <c r="J32" s="13"/>
      <c r="K32" s="13">
        <v>951.60900000000004</v>
      </c>
      <c r="L32" s="13">
        <v>951.60900000000004</v>
      </c>
      <c r="M32" s="14"/>
      <c r="N32" s="15">
        <v>78213.608999999997</v>
      </c>
      <c r="P32" s="16"/>
      <c r="Q32" s="36"/>
    </row>
    <row r="33" spans="1:19" x14ac:dyDescent="0.2">
      <c r="A33" s="69" t="s">
        <v>92</v>
      </c>
      <c r="B33" s="25" t="s">
        <v>42</v>
      </c>
      <c r="C33" s="12">
        <v>40152</v>
      </c>
      <c r="D33" s="13"/>
      <c r="E33" s="13">
        <v>7575</v>
      </c>
      <c r="F33" s="13">
        <v>7575</v>
      </c>
      <c r="G33" s="13"/>
      <c r="H33" s="15">
        <v>47727</v>
      </c>
      <c r="I33" s="12"/>
      <c r="J33" s="13"/>
      <c r="K33" s="13">
        <v>1909.7249999999999</v>
      </c>
      <c r="L33" s="13">
        <v>1656.7249999999999</v>
      </c>
      <c r="M33" s="14"/>
      <c r="N33" s="15">
        <v>49636.724999999999</v>
      </c>
      <c r="P33" s="16"/>
      <c r="Q33" s="36"/>
    </row>
    <row r="34" spans="1:19" x14ac:dyDescent="0.2">
      <c r="A34" s="69" t="s">
        <v>93</v>
      </c>
      <c r="B34" s="25" t="s">
        <v>43</v>
      </c>
      <c r="C34" s="12">
        <v>226333</v>
      </c>
      <c r="D34" s="13"/>
      <c r="E34" s="13">
        <v>34623</v>
      </c>
      <c r="F34" s="13">
        <v>34623</v>
      </c>
      <c r="G34" s="13"/>
      <c r="H34" s="15">
        <v>260956</v>
      </c>
      <c r="I34" s="12"/>
      <c r="J34" s="13"/>
      <c r="K34" s="13">
        <v>7893.4189999999999</v>
      </c>
      <c r="L34" s="13">
        <v>7893.4189999999999</v>
      </c>
      <c r="M34" s="14">
        <v>-1653</v>
      </c>
      <c r="N34" s="15">
        <v>267196.41899999999</v>
      </c>
      <c r="P34" s="16"/>
      <c r="Q34" s="36"/>
    </row>
    <row r="35" spans="1:19" x14ac:dyDescent="0.2">
      <c r="A35" s="69" t="s">
        <v>94</v>
      </c>
      <c r="B35" s="25" t="s">
        <v>44</v>
      </c>
      <c r="C35" s="12">
        <v>200290</v>
      </c>
      <c r="D35" s="13"/>
      <c r="E35" s="13"/>
      <c r="F35" s="13"/>
      <c r="G35" s="13"/>
      <c r="H35" s="15">
        <v>200290</v>
      </c>
      <c r="I35" s="12"/>
      <c r="J35" s="13"/>
      <c r="K35" s="13"/>
      <c r="L35" s="13"/>
      <c r="M35" s="14"/>
      <c r="N35" s="15">
        <v>200290</v>
      </c>
      <c r="P35" s="16"/>
      <c r="Q35" s="36"/>
    </row>
    <row r="36" spans="1:19" x14ac:dyDescent="0.2">
      <c r="A36" s="69" t="s">
        <v>95</v>
      </c>
      <c r="B36" s="25" t="s">
        <v>45</v>
      </c>
      <c r="C36" s="12">
        <v>139558</v>
      </c>
      <c r="D36" s="13"/>
      <c r="E36" s="13"/>
      <c r="F36" s="13"/>
      <c r="G36" s="13"/>
      <c r="H36" s="15">
        <v>139558</v>
      </c>
      <c r="I36" s="12"/>
      <c r="J36" s="13"/>
      <c r="K36" s="13">
        <v>793.60400000000004</v>
      </c>
      <c r="L36" s="13">
        <v>793.60400000000004</v>
      </c>
      <c r="M36" s="14"/>
      <c r="N36" s="15">
        <v>140351.60399999999</v>
      </c>
      <c r="P36" s="16"/>
      <c r="Q36" s="36"/>
    </row>
    <row r="37" spans="1:19" x14ac:dyDescent="0.2">
      <c r="A37" s="69" t="s">
        <v>96</v>
      </c>
      <c r="B37" s="25" t="s">
        <v>46</v>
      </c>
      <c r="C37" s="12">
        <v>172245</v>
      </c>
      <c r="D37" s="13"/>
      <c r="E37" s="13">
        <v>913</v>
      </c>
      <c r="F37" s="13">
        <v>913</v>
      </c>
      <c r="G37" s="13"/>
      <c r="H37" s="15">
        <v>173158</v>
      </c>
      <c r="I37" s="12"/>
      <c r="J37" s="13"/>
      <c r="K37" s="13">
        <v>86.003</v>
      </c>
      <c r="L37" s="13">
        <v>86.003</v>
      </c>
      <c r="M37" s="14"/>
      <c r="N37" s="15">
        <v>173244.003</v>
      </c>
      <c r="P37" s="16"/>
      <c r="Q37" s="36"/>
    </row>
    <row r="38" spans="1:19" x14ac:dyDescent="0.2">
      <c r="A38" s="69" t="s">
        <v>97</v>
      </c>
      <c r="B38" s="25" t="s">
        <v>47</v>
      </c>
      <c r="C38" s="12">
        <v>86009</v>
      </c>
      <c r="D38" s="13"/>
      <c r="E38" s="13"/>
      <c r="F38" s="13"/>
      <c r="G38" s="13"/>
      <c r="H38" s="15">
        <v>86009</v>
      </c>
      <c r="I38" s="12"/>
      <c r="J38" s="13"/>
      <c r="K38" s="13">
        <v>1263</v>
      </c>
      <c r="L38" s="13">
        <v>1263</v>
      </c>
      <c r="M38" s="14"/>
      <c r="N38" s="15">
        <v>87272</v>
      </c>
      <c r="P38" s="16"/>
      <c r="Q38" s="36"/>
    </row>
    <row r="39" spans="1:19" x14ac:dyDescent="0.2">
      <c r="A39" s="69" t="s">
        <v>98</v>
      </c>
      <c r="B39" s="25" t="s">
        <v>48</v>
      </c>
      <c r="C39" s="12">
        <v>56376</v>
      </c>
      <c r="D39" s="13"/>
      <c r="E39" s="13">
        <v>694</v>
      </c>
      <c r="F39" s="13">
        <v>694</v>
      </c>
      <c r="G39" s="13"/>
      <c r="H39" s="15">
        <v>57070</v>
      </c>
      <c r="I39" s="12"/>
      <c r="J39" s="13"/>
      <c r="K39" s="13">
        <v>6385.5519999999997</v>
      </c>
      <c r="L39" s="13">
        <v>1324.5519999999999</v>
      </c>
      <c r="M39" s="14">
        <v>-53</v>
      </c>
      <c r="N39" s="15">
        <v>63402.552000000003</v>
      </c>
      <c r="P39" s="16"/>
      <c r="Q39" s="36"/>
    </row>
    <row r="40" spans="1:19" x14ac:dyDescent="0.2">
      <c r="A40" s="69" t="s">
        <v>99</v>
      </c>
      <c r="B40" s="25" t="s">
        <v>49</v>
      </c>
      <c r="C40" s="12">
        <v>45970</v>
      </c>
      <c r="D40" s="13"/>
      <c r="E40" s="13">
        <v>3150</v>
      </c>
      <c r="F40" s="13">
        <v>3150</v>
      </c>
      <c r="G40" s="13"/>
      <c r="H40" s="15">
        <v>49120</v>
      </c>
      <c r="I40" s="12"/>
      <c r="J40" s="13"/>
      <c r="K40" s="13">
        <v>3016.739</v>
      </c>
      <c r="L40" s="13">
        <v>3003.739</v>
      </c>
      <c r="M40" s="14"/>
      <c r="N40" s="15">
        <v>52136.739000000001</v>
      </c>
      <c r="P40" s="16"/>
      <c r="Q40" s="36"/>
    </row>
    <row r="41" spans="1:19" x14ac:dyDescent="0.2">
      <c r="A41" s="69" t="s">
        <v>100</v>
      </c>
      <c r="B41" s="25" t="s">
        <v>50</v>
      </c>
      <c r="C41" s="12">
        <v>1473</v>
      </c>
      <c r="D41" s="13"/>
      <c r="E41" s="13"/>
      <c r="F41" s="13"/>
      <c r="G41" s="13"/>
      <c r="H41" s="15">
        <v>1473</v>
      </c>
      <c r="I41" s="12"/>
      <c r="J41" s="13"/>
      <c r="K41" s="13"/>
      <c r="L41" s="13"/>
      <c r="M41" s="14"/>
      <c r="N41" s="15">
        <v>1473</v>
      </c>
      <c r="P41" s="16"/>
      <c r="Q41" s="36"/>
    </row>
    <row r="42" spans="1:19" x14ac:dyDescent="0.2">
      <c r="A42" s="69" t="s">
        <v>155</v>
      </c>
      <c r="B42" s="25" t="s">
        <v>12</v>
      </c>
      <c r="C42" s="12"/>
      <c r="D42" s="13"/>
      <c r="E42" s="13">
        <v>44746</v>
      </c>
      <c r="F42" s="13">
        <v>44746</v>
      </c>
      <c r="G42" s="13"/>
      <c r="H42" s="15">
        <v>44746</v>
      </c>
      <c r="I42" s="12"/>
      <c r="J42" s="13"/>
      <c r="K42" s="13"/>
      <c r="L42" s="13"/>
      <c r="M42" s="14"/>
      <c r="N42" s="15">
        <v>44746</v>
      </c>
      <c r="O42" s="16"/>
      <c r="P42" s="16"/>
      <c r="Q42" s="16"/>
      <c r="R42" s="16"/>
      <c r="S42" s="16"/>
    </row>
    <row r="43" spans="1:19" x14ac:dyDescent="0.2">
      <c r="A43" s="70" t="s">
        <v>156</v>
      </c>
      <c r="B43" s="25" t="s">
        <v>11</v>
      </c>
      <c r="C43" s="59"/>
      <c r="D43" s="60">
        <v>-18812</v>
      </c>
      <c r="E43" s="60"/>
      <c r="F43" s="60">
        <v>-18812</v>
      </c>
      <c r="G43" s="60">
        <v>18812</v>
      </c>
      <c r="H43" s="43"/>
      <c r="I43" s="59"/>
      <c r="J43" s="60"/>
      <c r="K43" s="60"/>
      <c r="L43" s="60"/>
      <c r="M43" s="61"/>
      <c r="N43" s="43"/>
      <c r="O43" s="16"/>
      <c r="P43" s="16"/>
      <c r="Q43" s="16"/>
      <c r="R43" s="16"/>
      <c r="S43" s="16"/>
    </row>
    <row r="44" spans="1:19" x14ac:dyDescent="0.2">
      <c r="A44" s="70" t="s">
        <v>10</v>
      </c>
      <c r="B44" s="17" t="s">
        <v>13</v>
      </c>
      <c r="C44" s="48">
        <v>4314968.7259999998</v>
      </c>
      <c r="D44" s="49">
        <v>571604</v>
      </c>
      <c r="E44" s="49">
        <v>221832</v>
      </c>
      <c r="F44" s="49">
        <v>793436</v>
      </c>
      <c r="G44" s="49"/>
      <c r="H44" s="43">
        <v>5108404.7259999998</v>
      </c>
      <c r="I44" s="48"/>
      <c r="J44" s="49"/>
      <c r="K44" s="49">
        <v>291877</v>
      </c>
      <c r="L44" s="49">
        <v>173953</v>
      </c>
      <c r="M44" s="50">
        <v>-23511</v>
      </c>
      <c r="N44" s="43">
        <v>5376770.7259999998</v>
      </c>
      <c r="O44" s="16"/>
      <c r="P44" s="16"/>
      <c r="Q44" s="16"/>
      <c r="R44" s="16"/>
      <c r="S44" s="16"/>
    </row>
    <row r="45" spans="1:19" x14ac:dyDescent="0.2">
      <c r="A45" s="38"/>
      <c r="B45" s="22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6"/>
      <c r="P45" s="16"/>
      <c r="Q45" s="16"/>
      <c r="R45" s="16"/>
      <c r="S45" s="16"/>
    </row>
  </sheetData>
  <mergeCells count="3">
    <mergeCell ref="A4:B4"/>
    <mergeCell ref="C1:N1"/>
    <mergeCell ref="C2:N2"/>
  </mergeCells>
  <phoneticPr fontId="0" type="noConversion"/>
  <pageMargins left="0" right="0" top="0" bottom="0" header="0.51181102362204722" footer="0.51181102362204722"/>
  <pageSetup paperSize="9" scale="8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8"/>
  <dimension ref="A1:S44"/>
  <sheetViews>
    <sheetView showZeros="0" zoomScaleNormal="100" workbookViewId="0">
      <pane xSplit="2" ySplit="4" topLeftCell="C5" activePane="bottomRight" state="frozen"/>
      <selection sqref="A1:XFD1048576"/>
      <selection pane="topRight" sqref="A1:XFD1048576"/>
      <selection pane="bottomLeft" sqref="A1:XFD1048576"/>
      <selection pane="bottomRight"/>
    </sheetView>
  </sheetViews>
  <sheetFormatPr baseColWidth="10" defaultColWidth="11.5703125" defaultRowHeight="12.75" x14ac:dyDescent="0.2"/>
  <cols>
    <col min="1" max="1" width="20.7109375" style="94" customWidth="1"/>
    <col min="2" max="2" width="8.42578125" style="94" customWidth="1"/>
    <col min="3" max="7" width="6.7109375" style="94" customWidth="1"/>
    <col min="8" max="8" width="8" style="94" customWidth="1"/>
    <col min="9" max="10" width="6.7109375" style="94" customWidth="1"/>
    <col min="11" max="11" width="6.42578125" style="94" customWidth="1"/>
    <col min="12" max="12" width="6.7109375" style="94" customWidth="1"/>
    <col min="13" max="13" width="5.7109375" style="94" customWidth="1"/>
    <col min="14" max="14" width="7.7109375" style="94" customWidth="1"/>
    <col min="15" max="16" width="5.42578125" style="94" customWidth="1"/>
    <col min="17" max="18" width="6.7109375" style="94" customWidth="1"/>
    <col min="19" max="19" width="7.7109375" style="94" customWidth="1"/>
    <col min="20" max="16384" width="11.5703125" style="94"/>
  </cols>
  <sheetData>
    <row r="1" spans="1:19" x14ac:dyDescent="0.2">
      <c r="A1" s="103"/>
      <c r="B1" s="93"/>
      <c r="C1" s="117" t="s">
        <v>128</v>
      </c>
      <c r="D1" s="117"/>
      <c r="E1" s="117"/>
      <c r="F1" s="117"/>
      <c r="G1" s="117"/>
      <c r="H1" s="117"/>
      <c r="I1" s="117"/>
      <c r="J1" s="117"/>
      <c r="K1" s="117"/>
      <c r="L1" s="117"/>
      <c r="M1" s="117"/>
      <c r="N1" s="117"/>
      <c r="O1" s="117"/>
      <c r="P1" s="117"/>
      <c r="Q1" s="117"/>
      <c r="R1" s="117"/>
      <c r="S1" s="118"/>
    </row>
    <row r="2" spans="1:19" x14ac:dyDescent="0.2">
      <c r="A2" s="97"/>
      <c r="C2" s="125" t="s">
        <v>154</v>
      </c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6"/>
    </row>
    <row r="3" spans="1:19" x14ac:dyDescent="0.2">
      <c r="A3" s="121" t="s">
        <v>64</v>
      </c>
      <c r="B3" s="122"/>
      <c r="C3" s="127" t="s">
        <v>112</v>
      </c>
      <c r="D3" s="128"/>
      <c r="E3" s="128"/>
      <c r="F3" s="128"/>
      <c r="G3" s="128"/>
      <c r="H3" s="129"/>
      <c r="I3" s="127" t="s">
        <v>114</v>
      </c>
      <c r="J3" s="130"/>
      <c r="K3" s="130"/>
      <c r="L3" s="130"/>
      <c r="M3" s="130"/>
      <c r="N3" s="131"/>
      <c r="O3" s="104"/>
      <c r="P3" s="104"/>
      <c r="Q3" s="104"/>
      <c r="R3" s="104"/>
      <c r="S3" s="104"/>
    </row>
    <row r="4" spans="1:19" ht="242.25" x14ac:dyDescent="0.2">
      <c r="A4" s="123"/>
      <c r="B4" s="124"/>
      <c r="C4" s="1" t="s">
        <v>122</v>
      </c>
      <c r="D4" s="1" t="s">
        <v>123</v>
      </c>
      <c r="E4" s="1" t="s">
        <v>124</v>
      </c>
      <c r="F4" s="1" t="s">
        <v>125</v>
      </c>
      <c r="G4" s="4" t="s">
        <v>126</v>
      </c>
      <c r="H4" s="18" t="s">
        <v>113</v>
      </c>
      <c r="I4" s="100" t="s">
        <v>141</v>
      </c>
      <c r="J4" s="1" t="s">
        <v>142</v>
      </c>
      <c r="K4" s="1" t="s">
        <v>127</v>
      </c>
      <c r="L4" s="1" t="s">
        <v>115</v>
      </c>
      <c r="M4" s="4" t="s">
        <v>126</v>
      </c>
      <c r="N4" s="18" t="s">
        <v>143</v>
      </c>
      <c r="O4" s="19" t="s">
        <v>144</v>
      </c>
      <c r="P4" s="19" t="s">
        <v>116</v>
      </c>
      <c r="Q4" s="19" t="s">
        <v>145</v>
      </c>
      <c r="R4" s="19" t="s">
        <v>117</v>
      </c>
      <c r="S4" s="19" t="s">
        <v>129</v>
      </c>
    </row>
    <row r="5" spans="1:19" x14ac:dyDescent="0.2">
      <c r="A5" s="68" t="s">
        <v>65</v>
      </c>
      <c r="B5" s="39" t="s">
        <v>51</v>
      </c>
      <c r="C5" s="44">
        <v>37961</v>
      </c>
      <c r="D5" s="40"/>
      <c r="E5" s="40"/>
      <c r="F5" s="40"/>
      <c r="G5" s="40"/>
      <c r="H5" s="10">
        <v>37961</v>
      </c>
      <c r="I5" s="6">
        <v>1015</v>
      </c>
      <c r="J5" s="8"/>
      <c r="K5" s="8"/>
      <c r="L5" s="8"/>
      <c r="M5" s="9"/>
      <c r="N5" s="10">
        <v>1015</v>
      </c>
      <c r="O5" s="45"/>
      <c r="P5" s="45">
        <v>3176</v>
      </c>
      <c r="Q5" s="45">
        <v>4191</v>
      </c>
      <c r="R5" s="45">
        <v>16094</v>
      </c>
      <c r="S5" s="51">
        <v>58246</v>
      </c>
    </row>
    <row r="6" spans="1:19" x14ac:dyDescent="0.2">
      <c r="A6" s="69" t="s">
        <v>66</v>
      </c>
      <c r="B6" s="34" t="s">
        <v>15</v>
      </c>
      <c r="C6" s="40">
        <v>21</v>
      </c>
      <c r="D6" s="40"/>
      <c r="E6" s="40"/>
      <c r="F6" s="40"/>
      <c r="G6" s="40"/>
      <c r="H6" s="15">
        <v>21</v>
      </c>
      <c r="I6" s="12"/>
      <c r="J6" s="13"/>
      <c r="K6" s="13"/>
      <c r="L6" s="13"/>
      <c r="M6" s="14"/>
      <c r="N6" s="15"/>
      <c r="O6" s="41"/>
      <c r="P6" s="41">
        <v>66</v>
      </c>
      <c r="Q6" s="41">
        <v>66</v>
      </c>
      <c r="R6" s="41">
        <v>3077</v>
      </c>
      <c r="S6" s="52">
        <v>3164</v>
      </c>
    </row>
    <row r="7" spans="1:19" x14ac:dyDescent="0.2">
      <c r="A7" s="69" t="s">
        <v>67</v>
      </c>
      <c r="B7" s="34" t="s">
        <v>16</v>
      </c>
      <c r="C7" s="40">
        <v>186144</v>
      </c>
      <c r="D7" s="40"/>
      <c r="E7" s="40">
        <v>382</v>
      </c>
      <c r="F7" s="40">
        <v>382</v>
      </c>
      <c r="G7" s="40"/>
      <c r="H7" s="15">
        <v>186526</v>
      </c>
      <c r="I7" s="12"/>
      <c r="J7" s="13"/>
      <c r="K7" s="13"/>
      <c r="L7" s="13"/>
      <c r="M7" s="14"/>
      <c r="N7" s="15"/>
      <c r="O7" s="41"/>
      <c r="P7" s="41">
        <v>3090</v>
      </c>
      <c r="Q7" s="41">
        <v>3090</v>
      </c>
      <c r="R7" s="41">
        <v>49796</v>
      </c>
      <c r="S7" s="52">
        <v>239412</v>
      </c>
    </row>
    <row r="8" spans="1:19" x14ac:dyDescent="0.2">
      <c r="A8" s="69" t="s">
        <v>68</v>
      </c>
      <c r="B8" s="34" t="s">
        <v>17</v>
      </c>
      <c r="C8" s="40">
        <v>51440</v>
      </c>
      <c r="D8" s="40"/>
      <c r="E8" s="40">
        <v>62</v>
      </c>
      <c r="F8" s="40">
        <v>62</v>
      </c>
      <c r="G8" s="40"/>
      <c r="H8" s="15">
        <v>51502</v>
      </c>
      <c r="I8" s="12"/>
      <c r="J8" s="13"/>
      <c r="K8" s="13"/>
      <c r="L8" s="13"/>
      <c r="M8" s="14"/>
      <c r="N8" s="15"/>
      <c r="O8" s="41"/>
      <c r="P8" s="41">
        <v>659</v>
      </c>
      <c r="Q8" s="41">
        <v>659</v>
      </c>
      <c r="R8" s="41">
        <v>28337</v>
      </c>
      <c r="S8" s="52">
        <v>80498</v>
      </c>
    </row>
    <row r="9" spans="1:19" x14ac:dyDescent="0.2">
      <c r="A9" s="69" t="s">
        <v>69</v>
      </c>
      <c r="B9" s="34" t="s">
        <v>18</v>
      </c>
      <c r="C9" s="40">
        <v>7052</v>
      </c>
      <c r="D9" s="40"/>
      <c r="E9" s="40"/>
      <c r="F9" s="40"/>
      <c r="G9" s="40"/>
      <c r="H9" s="15">
        <v>7052</v>
      </c>
      <c r="I9" s="12"/>
      <c r="J9" s="13"/>
      <c r="K9" s="13"/>
      <c r="L9" s="13"/>
      <c r="M9" s="14"/>
      <c r="N9" s="15"/>
      <c r="O9" s="41"/>
      <c r="P9" s="41">
        <v>479</v>
      </c>
      <c r="Q9" s="41">
        <v>479</v>
      </c>
      <c r="R9" s="41">
        <v>8843</v>
      </c>
      <c r="S9" s="52">
        <v>16374</v>
      </c>
    </row>
    <row r="10" spans="1:19" x14ac:dyDescent="0.2">
      <c r="A10" s="69" t="s">
        <v>70</v>
      </c>
      <c r="B10" s="34" t="s">
        <v>19</v>
      </c>
      <c r="C10" s="40">
        <v>49859</v>
      </c>
      <c r="D10" s="40"/>
      <c r="E10" s="40"/>
      <c r="F10" s="40"/>
      <c r="G10" s="40"/>
      <c r="H10" s="15">
        <v>49859</v>
      </c>
      <c r="I10" s="12"/>
      <c r="J10" s="13"/>
      <c r="K10" s="13"/>
      <c r="L10" s="13"/>
      <c r="M10" s="14"/>
      <c r="N10" s="15"/>
      <c r="O10" s="41"/>
      <c r="P10" s="41">
        <v>1201</v>
      </c>
      <c r="Q10" s="41">
        <v>1201</v>
      </c>
      <c r="R10" s="41">
        <v>12586</v>
      </c>
      <c r="S10" s="52">
        <v>63646</v>
      </c>
    </row>
    <row r="11" spans="1:19" x14ac:dyDescent="0.2">
      <c r="A11" s="69" t="s">
        <v>71</v>
      </c>
      <c r="B11" s="34" t="s">
        <v>20</v>
      </c>
      <c r="C11" s="40">
        <v>23575</v>
      </c>
      <c r="D11" s="40"/>
      <c r="E11" s="40">
        <v>377</v>
      </c>
      <c r="F11" s="40">
        <v>377</v>
      </c>
      <c r="G11" s="40"/>
      <c r="H11" s="15">
        <v>23952</v>
      </c>
      <c r="I11" s="12"/>
      <c r="J11" s="13"/>
      <c r="K11" s="13"/>
      <c r="L11" s="13"/>
      <c r="M11" s="14"/>
      <c r="N11" s="15"/>
      <c r="O11" s="41"/>
      <c r="P11" s="41">
        <v>618</v>
      </c>
      <c r="Q11" s="41">
        <v>618</v>
      </c>
      <c r="R11" s="41">
        <v>62864</v>
      </c>
      <c r="S11" s="52">
        <v>87434</v>
      </c>
    </row>
    <row r="12" spans="1:19" x14ac:dyDescent="0.2">
      <c r="A12" s="69" t="s">
        <v>72</v>
      </c>
      <c r="B12" s="34" t="s">
        <v>21</v>
      </c>
      <c r="C12" s="40">
        <v>13623</v>
      </c>
      <c r="D12" s="40"/>
      <c r="E12" s="40">
        <v>27241</v>
      </c>
      <c r="F12" s="40">
        <v>27241</v>
      </c>
      <c r="G12" s="40"/>
      <c r="H12" s="15">
        <v>40864</v>
      </c>
      <c r="I12" s="12"/>
      <c r="J12" s="13"/>
      <c r="K12" s="13"/>
      <c r="L12" s="13"/>
      <c r="M12" s="14"/>
      <c r="N12" s="15"/>
      <c r="O12" s="41"/>
      <c r="P12" s="41">
        <v>509</v>
      </c>
      <c r="Q12" s="41">
        <v>509</v>
      </c>
      <c r="R12" s="41">
        <v>35562</v>
      </c>
      <c r="S12" s="52">
        <v>76935</v>
      </c>
    </row>
    <row r="13" spans="1:19" x14ac:dyDescent="0.2">
      <c r="A13" s="69" t="s">
        <v>73</v>
      </c>
      <c r="B13" s="34" t="s">
        <v>22</v>
      </c>
      <c r="C13" s="40">
        <v>11277</v>
      </c>
      <c r="D13" s="40"/>
      <c r="E13" s="40"/>
      <c r="F13" s="40"/>
      <c r="G13" s="40"/>
      <c r="H13" s="15">
        <v>11277</v>
      </c>
      <c r="I13" s="12"/>
      <c r="J13" s="13"/>
      <c r="K13" s="13"/>
      <c r="L13" s="13"/>
      <c r="M13" s="14"/>
      <c r="N13" s="15"/>
      <c r="O13" s="41"/>
      <c r="P13" s="41">
        <v>1185</v>
      </c>
      <c r="Q13" s="41">
        <v>1185</v>
      </c>
      <c r="R13" s="41">
        <v>21554</v>
      </c>
      <c r="S13" s="52">
        <v>34016</v>
      </c>
    </row>
    <row r="14" spans="1:19" x14ac:dyDescent="0.2">
      <c r="A14" s="69" t="s">
        <v>74</v>
      </c>
      <c r="B14" s="34" t="s">
        <v>23</v>
      </c>
      <c r="C14" s="40">
        <v>5262</v>
      </c>
      <c r="D14" s="40"/>
      <c r="E14" s="40"/>
      <c r="F14" s="40"/>
      <c r="G14" s="40"/>
      <c r="H14" s="15">
        <v>5262</v>
      </c>
      <c r="I14" s="12">
        <v>5453</v>
      </c>
      <c r="J14" s="13"/>
      <c r="K14" s="13">
        <v>325</v>
      </c>
      <c r="L14" s="13">
        <v>99</v>
      </c>
      <c r="M14" s="14"/>
      <c r="N14" s="15">
        <v>5877</v>
      </c>
      <c r="O14" s="41">
        <v>248</v>
      </c>
      <c r="P14" s="41">
        <v>1157</v>
      </c>
      <c r="Q14" s="41">
        <v>7282</v>
      </c>
      <c r="R14" s="41">
        <v>32470</v>
      </c>
      <c r="S14" s="52">
        <v>45014</v>
      </c>
    </row>
    <row r="15" spans="1:19" x14ac:dyDescent="0.2">
      <c r="A15" s="69" t="s">
        <v>75</v>
      </c>
      <c r="B15" s="34" t="s">
        <v>24</v>
      </c>
      <c r="C15" s="40">
        <v>17234</v>
      </c>
      <c r="D15" s="40"/>
      <c r="E15" s="40">
        <v>287</v>
      </c>
      <c r="F15" s="40">
        <v>287</v>
      </c>
      <c r="G15" s="40"/>
      <c r="H15" s="15">
        <v>17521</v>
      </c>
      <c r="I15" s="12">
        <v>8655</v>
      </c>
      <c r="J15" s="13"/>
      <c r="K15" s="13">
        <v>3425</v>
      </c>
      <c r="L15" s="13">
        <v>970</v>
      </c>
      <c r="M15" s="14">
        <v>735</v>
      </c>
      <c r="N15" s="15">
        <v>13785</v>
      </c>
      <c r="O15" s="41"/>
      <c r="P15" s="41">
        <v>1840</v>
      </c>
      <c r="Q15" s="41">
        <v>15625</v>
      </c>
      <c r="R15" s="41">
        <v>32600</v>
      </c>
      <c r="S15" s="52">
        <v>65746</v>
      </c>
    </row>
    <row r="16" spans="1:19" x14ac:dyDescent="0.2">
      <c r="A16" s="69" t="s">
        <v>76</v>
      </c>
      <c r="B16" s="34" t="s">
        <v>25</v>
      </c>
      <c r="C16" s="40">
        <v>13054</v>
      </c>
      <c r="D16" s="40"/>
      <c r="E16" s="40"/>
      <c r="F16" s="40"/>
      <c r="G16" s="40"/>
      <c r="H16" s="15">
        <v>13054</v>
      </c>
      <c r="I16" s="12">
        <v>3570</v>
      </c>
      <c r="J16" s="13"/>
      <c r="K16" s="13">
        <v>19</v>
      </c>
      <c r="L16" s="13">
        <v>147</v>
      </c>
      <c r="M16" s="14"/>
      <c r="N16" s="15">
        <v>3736</v>
      </c>
      <c r="O16" s="41"/>
      <c r="P16" s="41">
        <v>1631</v>
      </c>
      <c r="Q16" s="41">
        <v>5367</v>
      </c>
      <c r="R16" s="41">
        <v>21399</v>
      </c>
      <c r="S16" s="52">
        <v>39820</v>
      </c>
    </row>
    <row r="17" spans="1:19" x14ac:dyDescent="0.2">
      <c r="A17" s="69" t="s">
        <v>77</v>
      </c>
      <c r="B17" s="34" t="s">
        <v>26</v>
      </c>
      <c r="C17" s="40">
        <v>1645</v>
      </c>
      <c r="D17" s="40"/>
      <c r="E17" s="40"/>
      <c r="F17" s="40"/>
      <c r="G17" s="40"/>
      <c r="H17" s="15">
        <v>1645</v>
      </c>
      <c r="I17" s="12">
        <v>24886</v>
      </c>
      <c r="J17" s="13"/>
      <c r="K17" s="13">
        <v>894</v>
      </c>
      <c r="L17" s="13">
        <v>689</v>
      </c>
      <c r="M17" s="14">
        <v>190</v>
      </c>
      <c r="N17" s="15">
        <v>26659</v>
      </c>
      <c r="O17" s="41"/>
      <c r="P17" s="41">
        <v>1065</v>
      </c>
      <c r="Q17" s="41">
        <v>27724</v>
      </c>
      <c r="R17" s="41">
        <v>39331</v>
      </c>
      <c r="S17" s="52">
        <v>68700</v>
      </c>
    </row>
    <row r="18" spans="1:19" x14ac:dyDescent="0.2">
      <c r="A18" s="69" t="s">
        <v>78</v>
      </c>
      <c r="B18" s="34" t="s">
        <v>27</v>
      </c>
      <c r="C18" s="40">
        <v>75340</v>
      </c>
      <c r="D18" s="40"/>
      <c r="E18" s="40">
        <v>170</v>
      </c>
      <c r="F18" s="40">
        <v>170</v>
      </c>
      <c r="G18" s="40"/>
      <c r="H18" s="15">
        <v>75510</v>
      </c>
      <c r="I18" s="12">
        <v>35220</v>
      </c>
      <c r="J18" s="13"/>
      <c r="K18" s="13">
        <v>642</v>
      </c>
      <c r="L18" s="13">
        <v>5238</v>
      </c>
      <c r="M18" s="14">
        <v>460</v>
      </c>
      <c r="N18" s="15">
        <v>41560</v>
      </c>
      <c r="O18" s="41"/>
      <c r="P18" s="41">
        <v>1203</v>
      </c>
      <c r="Q18" s="41">
        <v>42763</v>
      </c>
      <c r="R18" s="41">
        <v>137490</v>
      </c>
      <c r="S18" s="52">
        <v>255763</v>
      </c>
    </row>
    <row r="19" spans="1:19" x14ac:dyDescent="0.2">
      <c r="A19" s="69" t="s">
        <v>79</v>
      </c>
      <c r="B19" s="34" t="s">
        <v>28</v>
      </c>
      <c r="C19" s="40">
        <v>43902</v>
      </c>
      <c r="D19" s="40"/>
      <c r="E19" s="40">
        <v>4082</v>
      </c>
      <c r="F19" s="40">
        <v>4082</v>
      </c>
      <c r="G19" s="40"/>
      <c r="H19" s="15">
        <v>47984</v>
      </c>
      <c r="I19" s="12">
        <v>29924</v>
      </c>
      <c r="J19" s="13"/>
      <c r="K19" s="13">
        <v>929</v>
      </c>
      <c r="L19" s="13">
        <v>1812</v>
      </c>
      <c r="M19" s="14">
        <v>416</v>
      </c>
      <c r="N19" s="15">
        <v>33081</v>
      </c>
      <c r="O19" s="41">
        <v>562</v>
      </c>
      <c r="P19" s="41">
        <v>1175</v>
      </c>
      <c r="Q19" s="41">
        <v>34818</v>
      </c>
      <c r="R19" s="41">
        <v>27652</v>
      </c>
      <c r="S19" s="52">
        <v>110454</v>
      </c>
    </row>
    <row r="20" spans="1:19" x14ac:dyDescent="0.2">
      <c r="A20" s="69" t="s">
        <v>80</v>
      </c>
      <c r="B20" s="34" t="s">
        <v>29</v>
      </c>
      <c r="C20" s="40">
        <v>43465</v>
      </c>
      <c r="D20" s="40"/>
      <c r="E20" s="40"/>
      <c r="F20" s="40"/>
      <c r="G20" s="40"/>
      <c r="H20" s="15">
        <v>43465</v>
      </c>
      <c r="I20" s="12"/>
      <c r="J20" s="13"/>
      <c r="K20" s="13"/>
      <c r="L20" s="13"/>
      <c r="M20" s="14"/>
      <c r="N20" s="15"/>
      <c r="O20" s="41"/>
      <c r="P20" s="41"/>
      <c r="Q20" s="41"/>
      <c r="R20" s="41">
        <v>2831</v>
      </c>
      <c r="S20" s="52">
        <v>46296</v>
      </c>
    </row>
    <row r="21" spans="1:19" x14ac:dyDescent="0.2">
      <c r="A21" s="69" t="s">
        <v>81</v>
      </c>
      <c r="B21" s="34" t="s">
        <v>30</v>
      </c>
      <c r="C21" s="40">
        <v>14578</v>
      </c>
      <c r="D21" s="40"/>
      <c r="E21" s="40"/>
      <c r="F21" s="40"/>
      <c r="G21" s="40"/>
      <c r="H21" s="15">
        <v>14578</v>
      </c>
      <c r="I21" s="12"/>
      <c r="J21" s="13"/>
      <c r="K21" s="13"/>
      <c r="L21" s="13"/>
      <c r="M21" s="14"/>
      <c r="N21" s="15"/>
      <c r="O21" s="41"/>
      <c r="P21" s="41"/>
      <c r="Q21" s="41"/>
      <c r="R21" s="41">
        <v>4169</v>
      </c>
      <c r="S21" s="52">
        <v>18747</v>
      </c>
    </row>
    <row r="22" spans="1:19" x14ac:dyDescent="0.2">
      <c r="A22" s="69" t="s">
        <v>63</v>
      </c>
      <c r="B22" s="34" t="s">
        <v>31</v>
      </c>
      <c r="C22" s="40">
        <v>19949</v>
      </c>
      <c r="D22" s="40"/>
      <c r="E22" s="40"/>
      <c r="F22" s="40"/>
      <c r="G22" s="40"/>
      <c r="H22" s="15">
        <v>19949</v>
      </c>
      <c r="I22" s="12">
        <v>75466</v>
      </c>
      <c r="J22" s="13">
        <v>98697</v>
      </c>
      <c r="K22" s="13">
        <v>11506</v>
      </c>
      <c r="L22" s="13">
        <v>54853</v>
      </c>
      <c r="M22" s="14">
        <v>2756</v>
      </c>
      <c r="N22" s="15">
        <v>243278</v>
      </c>
      <c r="O22" s="41"/>
      <c r="P22" s="41">
        <v>917</v>
      </c>
      <c r="Q22" s="41">
        <v>244195</v>
      </c>
      <c r="R22" s="41"/>
      <c r="S22" s="52">
        <v>264144</v>
      </c>
    </row>
    <row r="23" spans="1:19" x14ac:dyDescent="0.2">
      <c r="A23" s="69" t="s">
        <v>82</v>
      </c>
      <c r="B23" s="34" t="s">
        <v>32</v>
      </c>
      <c r="C23" s="40">
        <v>16063</v>
      </c>
      <c r="D23" s="40"/>
      <c r="E23" s="40"/>
      <c r="F23" s="40"/>
      <c r="G23" s="40"/>
      <c r="H23" s="15">
        <v>16063</v>
      </c>
      <c r="I23" s="12"/>
      <c r="J23" s="13"/>
      <c r="K23" s="13"/>
      <c r="L23" s="13"/>
      <c r="M23" s="14"/>
      <c r="N23" s="15"/>
      <c r="O23" s="41"/>
      <c r="P23" s="41"/>
      <c r="Q23" s="41"/>
      <c r="R23" s="41">
        <v>6955</v>
      </c>
      <c r="S23" s="52">
        <v>23018</v>
      </c>
    </row>
    <row r="24" spans="1:19" x14ac:dyDescent="0.2">
      <c r="A24" s="69" t="s">
        <v>83</v>
      </c>
      <c r="B24" s="34" t="s">
        <v>33</v>
      </c>
      <c r="C24" s="40">
        <v>44622</v>
      </c>
      <c r="D24" s="40"/>
      <c r="E24" s="40">
        <v>3424</v>
      </c>
      <c r="F24" s="40">
        <v>3424</v>
      </c>
      <c r="G24" s="40"/>
      <c r="H24" s="15">
        <v>48046</v>
      </c>
      <c r="I24" s="12"/>
      <c r="J24" s="13"/>
      <c r="K24" s="13"/>
      <c r="L24" s="13"/>
      <c r="M24" s="14"/>
      <c r="N24" s="15"/>
      <c r="O24" s="41"/>
      <c r="P24" s="41"/>
      <c r="Q24" s="41"/>
      <c r="R24" s="41">
        <v>35348</v>
      </c>
      <c r="S24" s="52">
        <v>83394</v>
      </c>
    </row>
    <row r="25" spans="1:19" x14ac:dyDescent="0.2">
      <c r="A25" s="69" t="s">
        <v>84</v>
      </c>
      <c r="B25" s="34" t="s">
        <v>34</v>
      </c>
      <c r="C25" s="40">
        <v>96898</v>
      </c>
      <c r="D25" s="40"/>
      <c r="E25" s="40">
        <v>794</v>
      </c>
      <c r="F25" s="40">
        <v>794</v>
      </c>
      <c r="G25" s="40"/>
      <c r="H25" s="15">
        <v>97692</v>
      </c>
      <c r="I25" s="12"/>
      <c r="J25" s="13"/>
      <c r="K25" s="13"/>
      <c r="L25" s="13"/>
      <c r="M25" s="14"/>
      <c r="N25" s="15"/>
      <c r="O25" s="41"/>
      <c r="P25" s="41"/>
      <c r="Q25" s="41"/>
      <c r="R25" s="41"/>
      <c r="S25" s="52">
        <v>97692</v>
      </c>
    </row>
    <row r="26" spans="1:19" x14ac:dyDescent="0.2">
      <c r="A26" s="69" t="s">
        <v>85</v>
      </c>
      <c r="B26" s="34" t="s">
        <v>35</v>
      </c>
      <c r="C26" s="40">
        <v>15665</v>
      </c>
      <c r="D26" s="40"/>
      <c r="E26" s="40">
        <v>3770</v>
      </c>
      <c r="F26" s="40">
        <v>3770</v>
      </c>
      <c r="G26" s="40"/>
      <c r="H26" s="15">
        <v>19435</v>
      </c>
      <c r="I26" s="12">
        <v>16171</v>
      </c>
      <c r="J26" s="13"/>
      <c r="K26" s="13">
        <v>1501</v>
      </c>
      <c r="L26" s="13">
        <v>950</v>
      </c>
      <c r="M26" s="14"/>
      <c r="N26" s="15">
        <v>18622</v>
      </c>
      <c r="O26" s="41"/>
      <c r="P26" s="41">
        <v>242</v>
      </c>
      <c r="Q26" s="41">
        <v>18864</v>
      </c>
      <c r="R26" s="41">
        <v>5506</v>
      </c>
      <c r="S26" s="52">
        <v>43805</v>
      </c>
    </row>
    <row r="27" spans="1:19" x14ac:dyDescent="0.2">
      <c r="A27" s="69" t="s">
        <v>86</v>
      </c>
      <c r="B27" s="34" t="s">
        <v>36</v>
      </c>
      <c r="C27" s="40">
        <v>25772</v>
      </c>
      <c r="D27" s="40"/>
      <c r="E27" s="40"/>
      <c r="F27" s="40"/>
      <c r="G27" s="40"/>
      <c r="H27" s="15">
        <v>25772</v>
      </c>
      <c r="I27" s="12"/>
      <c r="J27" s="13"/>
      <c r="K27" s="13"/>
      <c r="L27" s="13"/>
      <c r="M27" s="14"/>
      <c r="N27" s="15"/>
      <c r="O27" s="41"/>
      <c r="P27" s="41"/>
      <c r="Q27" s="41"/>
      <c r="R27" s="41">
        <v>3429</v>
      </c>
      <c r="S27" s="52">
        <v>29201</v>
      </c>
    </row>
    <row r="28" spans="1:19" x14ac:dyDescent="0.2">
      <c r="A28" s="69" t="s">
        <v>87</v>
      </c>
      <c r="B28" s="34" t="s">
        <v>37</v>
      </c>
      <c r="C28" s="40">
        <v>1603</v>
      </c>
      <c r="D28" s="40"/>
      <c r="E28" s="40"/>
      <c r="F28" s="40"/>
      <c r="G28" s="40"/>
      <c r="H28" s="15">
        <v>1603</v>
      </c>
      <c r="I28" s="12">
        <v>56969</v>
      </c>
      <c r="J28" s="13"/>
      <c r="K28" s="13">
        <v>6910</v>
      </c>
      <c r="L28" s="13">
        <v>3397</v>
      </c>
      <c r="M28" s="14">
        <v>124</v>
      </c>
      <c r="N28" s="15">
        <v>67400</v>
      </c>
      <c r="O28" s="41"/>
      <c r="P28" s="41">
        <v>175</v>
      </c>
      <c r="Q28" s="41">
        <v>67575</v>
      </c>
      <c r="R28" s="41">
        <v>13292</v>
      </c>
      <c r="S28" s="52">
        <v>82470</v>
      </c>
    </row>
    <row r="29" spans="1:19" x14ac:dyDescent="0.2">
      <c r="A29" s="69" t="s">
        <v>88</v>
      </c>
      <c r="B29" s="34" t="s">
        <v>38</v>
      </c>
      <c r="C29" s="40">
        <v>69731</v>
      </c>
      <c r="D29" s="40"/>
      <c r="E29" s="40"/>
      <c r="F29" s="40"/>
      <c r="G29" s="40"/>
      <c r="H29" s="15">
        <v>69731</v>
      </c>
      <c r="I29" s="12"/>
      <c r="J29" s="13"/>
      <c r="K29" s="13"/>
      <c r="L29" s="13"/>
      <c r="M29" s="14"/>
      <c r="N29" s="15"/>
      <c r="O29" s="41"/>
      <c r="P29" s="41"/>
      <c r="Q29" s="41"/>
      <c r="R29" s="41">
        <v>16626</v>
      </c>
      <c r="S29" s="52">
        <v>86357</v>
      </c>
    </row>
    <row r="30" spans="1:19" x14ac:dyDescent="0.2">
      <c r="A30" s="69" t="s">
        <v>89</v>
      </c>
      <c r="B30" s="34" t="s">
        <v>39</v>
      </c>
      <c r="C30" s="40">
        <v>244470</v>
      </c>
      <c r="D30" s="40"/>
      <c r="E30" s="40">
        <v>14440</v>
      </c>
      <c r="F30" s="40">
        <v>14440</v>
      </c>
      <c r="G30" s="40"/>
      <c r="H30" s="15">
        <v>258910</v>
      </c>
      <c r="I30" s="12">
        <v>669</v>
      </c>
      <c r="J30" s="13">
        <v>6340</v>
      </c>
      <c r="K30" s="13">
        <v>200</v>
      </c>
      <c r="L30" s="13"/>
      <c r="M30" s="14"/>
      <c r="N30" s="15">
        <v>7209</v>
      </c>
      <c r="O30" s="41"/>
      <c r="P30" s="41"/>
      <c r="Q30" s="41">
        <v>7209</v>
      </c>
      <c r="R30" s="41"/>
      <c r="S30" s="52">
        <v>266119</v>
      </c>
    </row>
    <row r="31" spans="1:19" x14ac:dyDescent="0.2">
      <c r="A31" s="69" t="s">
        <v>90</v>
      </c>
      <c r="B31" s="34" t="s">
        <v>40</v>
      </c>
      <c r="C31" s="40">
        <v>11075</v>
      </c>
      <c r="D31" s="40"/>
      <c r="E31" s="40"/>
      <c r="F31" s="40"/>
      <c r="G31" s="40"/>
      <c r="H31" s="15">
        <v>11075</v>
      </c>
      <c r="I31" s="12">
        <v>24194</v>
      </c>
      <c r="J31" s="13">
        <v>26749</v>
      </c>
      <c r="K31" s="13">
        <v>839</v>
      </c>
      <c r="L31" s="13">
        <v>2080</v>
      </c>
      <c r="M31" s="14">
        <v>321</v>
      </c>
      <c r="N31" s="15">
        <v>54183</v>
      </c>
      <c r="O31" s="41"/>
      <c r="P31" s="41">
        <v>256</v>
      </c>
      <c r="Q31" s="41">
        <v>54439</v>
      </c>
      <c r="R31" s="41">
        <v>31731</v>
      </c>
      <c r="S31" s="52">
        <v>97245</v>
      </c>
    </row>
    <row r="32" spans="1:19" x14ac:dyDescent="0.2">
      <c r="A32" s="69" t="s">
        <v>91</v>
      </c>
      <c r="B32" s="34" t="s">
        <v>41</v>
      </c>
      <c r="C32" s="40"/>
      <c r="D32" s="40">
        <v>13091</v>
      </c>
      <c r="E32" s="40"/>
      <c r="F32" s="40">
        <v>13091</v>
      </c>
      <c r="G32" s="40"/>
      <c r="H32" s="15">
        <v>13091</v>
      </c>
      <c r="I32" s="12">
        <v>34914</v>
      </c>
      <c r="J32" s="13"/>
      <c r="K32" s="13"/>
      <c r="L32" s="13">
        <v>18451</v>
      </c>
      <c r="M32" s="14"/>
      <c r="N32" s="15">
        <v>53365</v>
      </c>
      <c r="O32" s="41"/>
      <c r="P32" s="41">
        <v>-66</v>
      </c>
      <c r="Q32" s="41">
        <v>53299</v>
      </c>
      <c r="R32" s="41">
        <v>9305</v>
      </c>
      <c r="S32" s="52">
        <v>75695</v>
      </c>
    </row>
    <row r="33" spans="1:19" x14ac:dyDescent="0.2">
      <c r="A33" s="69" t="s">
        <v>92</v>
      </c>
      <c r="B33" s="34" t="s">
        <v>42</v>
      </c>
      <c r="C33" s="40">
        <v>4548</v>
      </c>
      <c r="D33" s="40"/>
      <c r="E33" s="40"/>
      <c r="F33" s="40"/>
      <c r="G33" s="40"/>
      <c r="H33" s="15">
        <v>4548</v>
      </c>
      <c r="I33" s="12"/>
      <c r="J33" s="13"/>
      <c r="K33" s="13"/>
      <c r="L33" s="13"/>
      <c r="M33" s="14"/>
      <c r="N33" s="15"/>
      <c r="O33" s="41"/>
      <c r="P33" s="41">
        <v>182</v>
      </c>
      <c r="Q33" s="41">
        <v>182</v>
      </c>
      <c r="R33" s="41">
        <v>5611</v>
      </c>
      <c r="S33" s="52">
        <v>10341</v>
      </c>
    </row>
    <row r="34" spans="1:19" x14ac:dyDescent="0.2">
      <c r="A34" s="69" t="s">
        <v>93</v>
      </c>
      <c r="B34" s="34" t="s">
        <v>43</v>
      </c>
      <c r="C34" s="40">
        <v>11060</v>
      </c>
      <c r="D34" s="40"/>
      <c r="E34" s="40">
        <v>1187</v>
      </c>
      <c r="F34" s="40">
        <v>1187</v>
      </c>
      <c r="G34" s="40"/>
      <c r="H34" s="15">
        <v>12247</v>
      </c>
      <c r="I34" s="12"/>
      <c r="J34" s="13"/>
      <c r="K34" s="13"/>
      <c r="L34" s="13"/>
      <c r="M34" s="14"/>
      <c r="N34" s="15"/>
      <c r="O34" s="41"/>
      <c r="P34" s="41">
        <v>17</v>
      </c>
      <c r="Q34" s="41">
        <v>17</v>
      </c>
      <c r="R34" s="41">
        <v>39603</v>
      </c>
      <c r="S34" s="52">
        <v>51867</v>
      </c>
    </row>
    <row r="35" spans="1:19" x14ac:dyDescent="0.2">
      <c r="A35" s="69" t="s">
        <v>94</v>
      </c>
      <c r="B35" s="34" t="s">
        <v>44</v>
      </c>
      <c r="C35" s="40">
        <v>764</v>
      </c>
      <c r="D35" s="40">
        <v>182089</v>
      </c>
      <c r="E35" s="40">
        <v>17437</v>
      </c>
      <c r="F35" s="40">
        <v>199526</v>
      </c>
      <c r="G35" s="40"/>
      <c r="H35" s="15">
        <v>200290</v>
      </c>
      <c r="I35" s="12"/>
      <c r="J35" s="13"/>
      <c r="K35" s="13"/>
      <c r="L35" s="13"/>
      <c r="M35" s="14"/>
      <c r="N35" s="15"/>
      <c r="O35" s="41"/>
      <c r="P35" s="41"/>
      <c r="Q35" s="41"/>
      <c r="R35" s="41"/>
      <c r="S35" s="52">
        <v>200290</v>
      </c>
    </row>
    <row r="36" spans="1:19" x14ac:dyDescent="0.2">
      <c r="A36" s="69" t="s">
        <v>95</v>
      </c>
      <c r="B36" s="34" t="s">
        <v>45</v>
      </c>
      <c r="C36" s="40">
        <v>8828</v>
      </c>
      <c r="D36" s="40"/>
      <c r="E36" s="40">
        <v>102360</v>
      </c>
      <c r="F36" s="40">
        <v>102360</v>
      </c>
      <c r="G36" s="40">
        <v>4518</v>
      </c>
      <c r="H36" s="15">
        <v>115706</v>
      </c>
      <c r="I36" s="12"/>
      <c r="J36" s="13"/>
      <c r="K36" s="13"/>
      <c r="L36" s="13"/>
      <c r="M36" s="14"/>
      <c r="N36" s="15"/>
      <c r="O36" s="41"/>
      <c r="P36" s="41"/>
      <c r="Q36" s="41"/>
      <c r="R36" s="41"/>
      <c r="S36" s="52">
        <v>115706</v>
      </c>
    </row>
    <row r="37" spans="1:19" x14ac:dyDescent="0.2">
      <c r="A37" s="69" t="s">
        <v>96</v>
      </c>
      <c r="B37" s="34" t="s">
        <v>46</v>
      </c>
      <c r="C37" s="40">
        <v>30668</v>
      </c>
      <c r="D37" s="40"/>
      <c r="E37" s="40">
        <v>132892</v>
      </c>
      <c r="F37" s="40">
        <v>132892</v>
      </c>
      <c r="G37" s="40"/>
      <c r="H37" s="15">
        <v>163560</v>
      </c>
      <c r="I37" s="12"/>
      <c r="J37" s="13"/>
      <c r="K37" s="13"/>
      <c r="L37" s="13"/>
      <c r="M37" s="14"/>
      <c r="N37" s="15"/>
      <c r="O37" s="41"/>
      <c r="P37" s="41"/>
      <c r="Q37" s="41"/>
      <c r="R37" s="41">
        <v>928</v>
      </c>
      <c r="S37" s="52">
        <v>164488</v>
      </c>
    </row>
    <row r="38" spans="1:19" x14ac:dyDescent="0.2">
      <c r="A38" s="69" t="s">
        <v>97</v>
      </c>
      <c r="B38" s="34" t="s">
        <v>47</v>
      </c>
      <c r="C38" s="40">
        <v>25991</v>
      </c>
      <c r="D38" s="40"/>
      <c r="E38" s="40">
        <v>35511</v>
      </c>
      <c r="F38" s="40">
        <v>35511</v>
      </c>
      <c r="G38" s="40">
        <v>25770</v>
      </c>
      <c r="H38" s="15">
        <v>87272</v>
      </c>
      <c r="I38" s="12"/>
      <c r="J38" s="13"/>
      <c r="K38" s="13"/>
      <c r="L38" s="13"/>
      <c r="M38" s="14"/>
      <c r="N38" s="15"/>
      <c r="O38" s="41"/>
      <c r="P38" s="41"/>
      <c r="Q38" s="41"/>
      <c r="R38" s="41"/>
      <c r="S38" s="52">
        <v>87272</v>
      </c>
    </row>
    <row r="39" spans="1:19" x14ac:dyDescent="0.2">
      <c r="A39" s="69" t="s">
        <v>98</v>
      </c>
      <c r="B39" s="34" t="s">
        <v>48</v>
      </c>
      <c r="C39" s="40">
        <v>26342</v>
      </c>
      <c r="D39" s="40"/>
      <c r="E39" s="40">
        <v>19714</v>
      </c>
      <c r="F39" s="40">
        <v>19714</v>
      </c>
      <c r="G39" s="40">
        <v>6717</v>
      </c>
      <c r="H39" s="15">
        <v>52773</v>
      </c>
      <c r="I39" s="12">
        <v>42</v>
      </c>
      <c r="J39" s="13"/>
      <c r="K39" s="13"/>
      <c r="L39" s="13">
        <v>112</v>
      </c>
      <c r="M39" s="14"/>
      <c r="N39" s="15">
        <v>154</v>
      </c>
      <c r="O39" s="41"/>
      <c r="P39" s="41">
        <v>-4</v>
      </c>
      <c r="Q39" s="41">
        <v>150</v>
      </c>
      <c r="R39" s="41">
        <v>1483</v>
      </c>
      <c r="S39" s="52">
        <v>54406</v>
      </c>
    </row>
    <row r="40" spans="1:19" x14ac:dyDescent="0.2">
      <c r="A40" s="69" t="s">
        <v>99</v>
      </c>
      <c r="B40" s="34" t="s">
        <v>49</v>
      </c>
      <c r="C40" s="40">
        <v>21289</v>
      </c>
      <c r="D40" s="40">
        <v>225</v>
      </c>
      <c r="E40" s="40">
        <v>257</v>
      </c>
      <c r="F40" s="40">
        <v>482</v>
      </c>
      <c r="G40" s="40">
        <v>13067</v>
      </c>
      <c r="H40" s="15">
        <v>34838</v>
      </c>
      <c r="I40" s="12">
        <v>1835</v>
      </c>
      <c r="J40" s="13"/>
      <c r="K40" s="13">
        <v>314</v>
      </c>
      <c r="L40" s="13">
        <v>220</v>
      </c>
      <c r="M40" s="14"/>
      <c r="N40" s="15">
        <v>2369</v>
      </c>
      <c r="O40" s="41"/>
      <c r="P40" s="41">
        <v>45</v>
      </c>
      <c r="Q40" s="41">
        <v>2414</v>
      </c>
      <c r="R40" s="41">
        <v>3825</v>
      </c>
      <c r="S40" s="52">
        <v>41077</v>
      </c>
    </row>
    <row r="41" spans="1:19" x14ac:dyDescent="0.2">
      <c r="A41" s="69" t="s">
        <v>100</v>
      </c>
      <c r="B41" s="34" t="s">
        <v>50</v>
      </c>
      <c r="C41" s="40">
        <v>1010</v>
      </c>
      <c r="D41" s="40"/>
      <c r="E41" s="40">
        <v>463</v>
      </c>
      <c r="F41" s="40">
        <v>463</v>
      </c>
      <c r="G41" s="40"/>
      <c r="H41" s="15">
        <v>1473</v>
      </c>
      <c r="I41" s="12"/>
      <c r="J41" s="13"/>
      <c r="K41" s="13"/>
      <c r="L41" s="13"/>
      <c r="M41" s="14"/>
      <c r="N41" s="15"/>
      <c r="O41" s="41"/>
      <c r="P41" s="41"/>
      <c r="Q41" s="41"/>
      <c r="R41" s="41"/>
      <c r="S41" s="52">
        <v>1473</v>
      </c>
    </row>
    <row r="42" spans="1:19" x14ac:dyDescent="0.2">
      <c r="A42" s="69" t="s">
        <v>155</v>
      </c>
      <c r="B42" s="34" t="s">
        <v>12</v>
      </c>
      <c r="C42" s="40">
        <v>-15056</v>
      </c>
      <c r="D42" s="40"/>
      <c r="E42" s="40"/>
      <c r="F42" s="40"/>
      <c r="G42" s="40"/>
      <c r="H42" s="15">
        <v>-15056</v>
      </c>
      <c r="I42" s="12"/>
      <c r="J42" s="13"/>
      <c r="K42" s="13"/>
      <c r="L42" s="13"/>
      <c r="M42" s="14"/>
      <c r="N42" s="15"/>
      <c r="O42" s="41"/>
      <c r="P42" s="41"/>
      <c r="Q42" s="41"/>
      <c r="R42" s="41">
        <v>59802</v>
      </c>
      <c r="S42" s="52">
        <v>44746</v>
      </c>
    </row>
    <row r="43" spans="1:19" x14ac:dyDescent="0.2">
      <c r="A43" s="70" t="s">
        <v>156</v>
      </c>
      <c r="B43" s="37" t="s">
        <v>11</v>
      </c>
      <c r="C43" s="60"/>
      <c r="D43" s="60"/>
      <c r="E43" s="60"/>
      <c r="F43" s="60"/>
      <c r="G43" s="60"/>
      <c r="H43" s="43"/>
      <c r="I43" s="60"/>
      <c r="J43" s="60"/>
      <c r="K43" s="60"/>
      <c r="L43" s="60"/>
      <c r="M43" s="60"/>
      <c r="N43" s="43"/>
      <c r="O43" s="62"/>
      <c r="P43" s="62"/>
      <c r="Q43" s="62"/>
      <c r="R43" s="62"/>
      <c r="S43" s="53"/>
    </row>
    <row r="44" spans="1:19" x14ac:dyDescent="0.2">
      <c r="A44" s="28" t="s">
        <v>10</v>
      </c>
      <c r="B44" s="37" t="s">
        <v>13</v>
      </c>
      <c r="C44" s="49">
        <v>1256724</v>
      </c>
      <c r="D44" s="49">
        <v>195405</v>
      </c>
      <c r="E44" s="49">
        <v>364850</v>
      </c>
      <c r="F44" s="49">
        <v>560255</v>
      </c>
      <c r="G44" s="49">
        <v>50072</v>
      </c>
      <c r="H44" s="43">
        <v>1867051</v>
      </c>
      <c r="I44" s="49">
        <v>318983</v>
      </c>
      <c r="J44" s="49">
        <v>131786</v>
      </c>
      <c r="K44" s="49">
        <v>27504</v>
      </c>
      <c r="L44" s="49">
        <v>89018</v>
      </c>
      <c r="M44" s="49">
        <v>5002</v>
      </c>
      <c r="N44" s="43">
        <v>572293</v>
      </c>
      <c r="O44" s="43">
        <v>810</v>
      </c>
      <c r="P44" s="43">
        <v>20818</v>
      </c>
      <c r="Q44" s="43">
        <v>593921</v>
      </c>
      <c r="R44" s="43">
        <v>770099</v>
      </c>
      <c r="S44" s="53">
        <v>3231071</v>
      </c>
    </row>
  </sheetData>
  <mergeCells count="5">
    <mergeCell ref="A3:B4"/>
    <mergeCell ref="C1:S1"/>
    <mergeCell ref="C2:S2"/>
    <mergeCell ref="C3:H3"/>
    <mergeCell ref="I3:N3"/>
  </mergeCells>
  <phoneticPr fontId="0" type="noConversion"/>
  <pageMargins left="0" right="0" top="0" bottom="0" header="0.51181102362204722" footer="0.51181102362204722"/>
  <pageSetup paperSize="9" scale="8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9"/>
  <dimension ref="A1:AN46"/>
  <sheetViews>
    <sheetView showZeros="0" zoomScale="115" zoomScaleNormal="115" workbookViewId="0">
      <pane xSplit="2" ySplit="4" topLeftCell="H26" activePane="bottomRight" state="frozen"/>
      <selection sqref="A1:XFD1048576"/>
      <selection pane="topRight" sqref="A1:XFD1048576"/>
      <selection pane="bottomLeft" sqref="A1:XFD1048576"/>
      <selection pane="bottomRight"/>
    </sheetView>
  </sheetViews>
  <sheetFormatPr baseColWidth="10" defaultColWidth="11.5703125" defaultRowHeight="12.75" x14ac:dyDescent="0.2"/>
  <cols>
    <col min="1" max="1" width="20.7109375" style="94" customWidth="1"/>
    <col min="2" max="2" width="6.7109375" style="94" customWidth="1"/>
    <col min="3" max="3" width="5.85546875" style="94" customWidth="1"/>
    <col min="4" max="4" width="5.7109375" style="94" customWidth="1"/>
    <col min="5" max="5" width="5.85546875" style="94" customWidth="1"/>
    <col min="6" max="7" width="5.42578125" style="94" customWidth="1"/>
    <col min="8" max="8" width="5.7109375" style="94" customWidth="1"/>
    <col min="9" max="9" width="5.42578125" style="94" customWidth="1"/>
    <col min="10" max="10" width="5.7109375" style="94" customWidth="1"/>
    <col min="11" max="11" width="5.5703125" style="94" customWidth="1"/>
    <col min="12" max="12" width="5.7109375" style="94" customWidth="1"/>
    <col min="13" max="14" width="6" style="94" bestFit="1" customWidth="1"/>
    <col min="15" max="15" width="5.42578125" style="94" customWidth="1"/>
    <col min="16" max="16" width="5.85546875" style="94" customWidth="1"/>
    <col min="17" max="19" width="5.7109375" style="94" customWidth="1"/>
    <col min="20" max="20" width="5.5703125" style="94" customWidth="1"/>
    <col min="21" max="22" width="5.7109375" style="94" customWidth="1"/>
    <col min="23" max="23" width="6" style="94" bestFit="1" customWidth="1"/>
    <col min="24" max="24" width="5.42578125" style="94" customWidth="1"/>
    <col min="25" max="25" width="5.7109375" style="94" customWidth="1"/>
    <col min="26" max="26" width="6" style="94" bestFit="1" customWidth="1"/>
    <col min="27" max="27" width="5.7109375" style="94" customWidth="1"/>
    <col min="28" max="29" width="6" style="94" bestFit="1" customWidth="1"/>
    <col min="30" max="30" width="5.42578125" style="94" customWidth="1"/>
    <col min="31" max="31" width="5.85546875" style="94" customWidth="1"/>
    <col min="32" max="32" width="5.7109375" style="94" customWidth="1"/>
    <col min="33" max="33" width="6.28515625" style="94" bestFit="1" customWidth="1"/>
    <col min="34" max="34" width="5.7109375" style="94" customWidth="1"/>
    <col min="35" max="36" width="6" style="94" bestFit="1" customWidth="1"/>
    <col min="37" max="37" width="5.85546875" style="94" customWidth="1"/>
    <col min="38" max="39" width="5.42578125" style="94" customWidth="1"/>
    <col min="40" max="40" width="7.42578125" style="94" customWidth="1"/>
    <col min="41" max="16384" width="11.5703125" style="94"/>
  </cols>
  <sheetData>
    <row r="1" spans="1:40" x14ac:dyDescent="0.2">
      <c r="A1" s="105" t="s">
        <v>130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7"/>
    </row>
    <row r="2" spans="1:40" x14ac:dyDescent="0.2">
      <c r="A2" s="132" t="s">
        <v>154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3"/>
      <c r="AL2" s="133"/>
      <c r="AM2" s="133"/>
      <c r="AN2" s="134"/>
    </row>
    <row r="3" spans="1:40" x14ac:dyDescent="0.2">
      <c r="A3" s="135" t="s">
        <v>137</v>
      </c>
      <c r="B3" s="136"/>
      <c r="C3" s="63" t="s">
        <v>51</v>
      </c>
      <c r="D3" s="64" t="s">
        <v>15</v>
      </c>
      <c r="E3" s="64" t="s">
        <v>16</v>
      </c>
      <c r="F3" s="64" t="s">
        <v>17</v>
      </c>
      <c r="G3" s="64" t="s">
        <v>18</v>
      </c>
      <c r="H3" s="64" t="s">
        <v>19</v>
      </c>
      <c r="I3" s="64" t="s">
        <v>20</v>
      </c>
      <c r="J3" s="64" t="s">
        <v>21</v>
      </c>
      <c r="K3" s="64" t="s">
        <v>22</v>
      </c>
      <c r="L3" s="64" t="s">
        <v>23</v>
      </c>
      <c r="M3" s="64" t="s">
        <v>24</v>
      </c>
      <c r="N3" s="64" t="s">
        <v>25</v>
      </c>
      <c r="O3" s="64" t="s">
        <v>26</v>
      </c>
      <c r="P3" s="64" t="s">
        <v>27</v>
      </c>
      <c r="Q3" s="64" t="s">
        <v>28</v>
      </c>
      <c r="R3" s="64" t="s">
        <v>29</v>
      </c>
      <c r="S3" s="64" t="s">
        <v>30</v>
      </c>
      <c r="T3" s="64" t="s">
        <v>31</v>
      </c>
      <c r="U3" s="64" t="s">
        <v>32</v>
      </c>
      <c r="V3" s="64" t="s">
        <v>33</v>
      </c>
      <c r="W3" s="64" t="s">
        <v>34</v>
      </c>
      <c r="X3" s="64" t="s">
        <v>35</v>
      </c>
      <c r="Y3" s="64" t="s">
        <v>36</v>
      </c>
      <c r="Z3" s="64" t="s">
        <v>37</v>
      </c>
      <c r="AA3" s="64" t="s">
        <v>38</v>
      </c>
      <c r="AB3" s="64" t="s">
        <v>39</v>
      </c>
      <c r="AC3" s="64" t="s">
        <v>40</v>
      </c>
      <c r="AD3" s="64" t="s">
        <v>41</v>
      </c>
      <c r="AE3" s="64" t="s">
        <v>42</v>
      </c>
      <c r="AF3" s="64" t="s">
        <v>43</v>
      </c>
      <c r="AG3" s="64" t="s">
        <v>44</v>
      </c>
      <c r="AH3" s="64" t="s">
        <v>45</v>
      </c>
      <c r="AI3" s="64" t="s">
        <v>46</v>
      </c>
      <c r="AJ3" s="64" t="s">
        <v>47</v>
      </c>
      <c r="AK3" s="64" t="s">
        <v>48</v>
      </c>
      <c r="AL3" s="64" t="s">
        <v>49</v>
      </c>
      <c r="AM3" s="64" t="s">
        <v>50</v>
      </c>
      <c r="AN3" s="65" t="s">
        <v>10</v>
      </c>
    </row>
    <row r="4" spans="1:40" x14ac:dyDescent="0.2">
      <c r="A4" s="137" t="s">
        <v>64</v>
      </c>
      <c r="B4" s="138"/>
      <c r="C4" s="23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54"/>
    </row>
    <row r="5" spans="1:40" x14ac:dyDescent="0.2">
      <c r="A5" s="68" t="s">
        <v>65</v>
      </c>
      <c r="B5" s="83" t="s">
        <v>51</v>
      </c>
      <c r="C5" s="46">
        <v>18274.307000000001</v>
      </c>
      <c r="D5" s="46"/>
      <c r="E5" s="46">
        <v>39442.756000000001</v>
      </c>
      <c r="F5" s="46">
        <v>280.995</v>
      </c>
      <c r="G5" s="46">
        <v>2080.3969999999999</v>
      </c>
      <c r="H5" s="46"/>
      <c r="I5" s="46">
        <v>101.392</v>
      </c>
      <c r="J5" s="46"/>
      <c r="K5" s="46">
        <v>171</v>
      </c>
      <c r="L5" s="46"/>
      <c r="M5" s="46"/>
      <c r="N5" s="46"/>
      <c r="O5" s="46">
        <v>0.63700000000000001</v>
      </c>
      <c r="P5" s="46"/>
      <c r="Q5" s="46"/>
      <c r="R5" s="46">
        <v>28.23</v>
      </c>
      <c r="S5" s="46">
        <v>17.419</v>
      </c>
      <c r="T5" s="46">
        <v>312.12599999999998</v>
      </c>
      <c r="U5" s="46">
        <v>0.67600000000000005</v>
      </c>
      <c r="V5" s="46"/>
      <c r="W5" s="46">
        <v>2645.7750000000001</v>
      </c>
      <c r="X5" s="46">
        <v>10.835000000000001</v>
      </c>
      <c r="Y5" s="46">
        <v>0.89900000000000002</v>
      </c>
      <c r="Z5" s="46"/>
      <c r="AA5" s="46">
        <v>2</v>
      </c>
      <c r="AB5" s="46"/>
      <c r="AC5" s="46"/>
      <c r="AD5" s="46">
        <v>1.742</v>
      </c>
      <c r="AE5" s="46"/>
      <c r="AF5" s="46">
        <v>39.984999999999999</v>
      </c>
      <c r="AG5" s="46">
        <v>151</v>
      </c>
      <c r="AH5" s="46">
        <v>32</v>
      </c>
      <c r="AI5" s="46">
        <v>1</v>
      </c>
      <c r="AJ5" s="46">
        <v>8</v>
      </c>
      <c r="AK5" s="46">
        <v>56.828000000000003</v>
      </c>
      <c r="AL5" s="46">
        <v>24.337</v>
      </c>
      <c r="AM5" s="46"/>
      <c r="AN5" s="52">
        <v>63684.339</v>
      </c>
    </row>
    <row r="6" spans="1:40" x14ac:dyDescent="0.2">
      <c r="A6" s="69" t="s">
        <v>66</v>
      </c>
      <c r="B6" s="83" t="s">
        <v>15</v>
      </c>
      <c r="C6" s="46">
        <v>346.60300000000001</v>
      </c>
      <c r="D6" s="46">
        <v>126.04</v>
      </c>
      <c r="E6" s="46">
        <v>685.57</v>
      </c>
      <c r="F6" s="46">
        <v>30.835000000000001</v>
      </c>
      <c r="G6" s="46">
        <v>118.459</v>
      </c>
      <c r="H6" s="46">
        <v>21471.05</v>
      </c>
      <c r="I6" s="46">
        <v>1891.3040000000001</v>
      </c>
      <c r="J6" s="46">
        <v>30.158000000000001</v>
      </c>
      <c r="K6" s="46">
        <v>1116.55</v>
      </c>
      <c r="L6" s="46">
        <v>2983.6039999999998</v>
      </c>
      <c r="M6" s="46">
        <v>19.771000000000001</v>
      </c>
      <c r="N6" s="46">
        <v>19.048999999999999</v>
      </c>
      <c r="O6" s="46">
        <v>23.472999999999999</v>
      </c>
      <c r="P6" s="46">
        <v>73.311000000000007</v>
      </c>
      <c r="Q6" s="46">
        <v>71.608999999999995</v>
      </c>
      <c r="R6" s="46">
        <v>10856.51</v>
      </c>
      <c r="S6" s="46">
        <v>34.713999999999999</v>
      </c>
      <c r="T6" s="46">
        <v>1615.521</v>
      </c>
      <c r="U6" s="46">
        <v>64.206000000000003</v>
      </c>
      <c r="V6" s="46">
        <v>15.558999999999999</v>
      </c>
      <c r="W6" s="46">
        <v>159.01300000000001</v>
      </c>
      <c r="X6" s="46">
        <v>3.02</v>
      </c>
      <c r="Y6" s="46">
        <v>11.295999999999999</v>
      </c>
      <c r="Z6" s="46">
        <v>6.2510000000000003</v>
      </c>
      <c r="AA6" s="46">
        <v>14</v>
      </c>
      <c r="AB6" s="46">
        <v>0.98199999999999998</v>
      </c>
      <c r="AC6" s="46">
        <v>18.623999999999999</v>
      </c>
      <c r="AD6" s="46">
        <v>31.542999999999999</v>
      </c>
      <c r="AE6" s="46">
        <v>5.0659999999999998</v>
      </c>
      <c r="AF6" s="46">
        <v>72.408000000000001</v>
      </c>
      <c r="AG6" s="46">
        <v>166</v>
      </c>
      <c r="AH6" s="46">
        <v>21.533999999999999</v>
      </c>
      <c r="AI6" s="46">
        <v>33.784999999999997</v>
      </c>
      <c r="AJ6" s="46">
        <v>4.8879999999999999</v>
      </c>
      <c r="AK6" s="46">
        <v>10.468999999999999</v>
      </c>
      <c r="AL6" s="46">
        <v>26.222000000000001</v>
      </c>
      <c r="AM6" s="46"/>
      <c r="AN6" s="52">
        <v>42178.995999999999</v>
      </c>
    </row>
    <row r="7" spans="1:40" x14ac:dyDescent="0.2">
      <c r="A7" s="69" t="s">
        <v>67</v>
      </c>
      <c r="B7" s="83" t="s">
        <v>16</v>
      </c>
      <c r="C7" s="46">
        <v>8244.5499999999993</v>
      </c>
      <c r="D7" s="46">
        <v>39.484000000000002</v>
      </c>
      <c r="E7" s="46">
        <v>33559.656999999999</v>
      </c>
      <c r="F7" s="46">
        <v>373.34</v>
      </c>
      <c r="G7" s="46">
        <v>207.047</v>
      </c>
      <c r="H7" s="46">
        <v>83.075999999999993</v>
      </c>
      <c r="I7" s="46">
        <v>2321.6179999999999</v>
      </c>
      <c r="J7" s="46">
        <v>449.60599999999999</v>
      </c>
      <c r="K7" s="46">
        <v>137.59800000000001</v>
      </c>
      <c r="L7" s="46">
        <v>198.33600000000001</v>
      </c>
      <c r="M7" s="46">
        <v>60.704000000000001</v>
      </c>
      <c r="N7" s="46">
        <v>44.892000000000003</v>
      </c>
      <c r="O7" s="46">
        <v>83.778000000000006</v>
      </c>
      <c r="P7" s="46">
        <v>180.845</v>
      </c>
      <c r="Q7" s="46">
        <v>239.321</v>
      </c>
      <c r="R7" s="46">
        <v>64.468000000000004</v>
      </c>
      <c r="S7" s="46">
        <v>171.66800000000001</v>
      </c>
      <c r="T7" s="46">
        <v>553.923</v>
      </c>
      <c r="U7" s="46">
        <v>3285.16</v>
      </c>
      <c r="V7" s="46">
        <v>837.10799999999995</v>
      </c>
      <c r="W7" s="46">
        <v>32539.477999999999</v>
      </c>
      <c r="X7" s="46">
        <v>607.00900000000001</v>
      </c>
      <c r="Y7" s="46">
        <v>334.57100000000003</v>
      </c>
      <c r="Z7" s="46">
        <v>366.15600000000001</v>
      </c>
      <c r="AA7" s="46">
        <v>120.999</v>
      </c>
      <c r="AB7" s="46">
        <v>173.52</v>
      </c>
      <c r="AC7" s="46">
        <v>1314.232</v>
      </c>
      <c r="AD7" s="46">
        <v>863.74099999999999</v>
      </c>
      <c r="AE7" s="46">
        <v>520.64300000000003</v>
      </c>
      <c r="AF7" s="46">
        <v>1608.538</v>
      </c>
      <c r="AG7" s="46">
        <v>861</v>
      </c>
      <c r="AH7" s="46">
        <v>4101.3869999999997</v>
      </c>
      <c r="AI7" s="46">
        <v>3501.5990000000002</v>
      </c>
      <c r="AJ7" s="46">
        <v>881.43299999999999</v>
      </c>
      <c r="AK7" s="46">
        <v>2052.857</v>
      </c>
      <c r="AL7" s="46">
        <v>375.04500000000002</v>
      </c>
      <c r="AM7" s="46"/>
      <c r="AN7" s="52">
        <v>101358.387</v>
      </c>
    </row>
    <row r="8" spans="1:40" x14ac:dyDescent="0.2">
      <c r="A8" s="69" t="s">
        <v>68</v>
      </c>
      <c r="B8" s="83" t="s">
        <v>17</v>
      </c>
      <c r="C8" s="46">
        <v>218.43799999999999</v>
      </c>
      <c r="D8" s="46">
        <v>5.8140000000000001</v>
      </c>
      <c r="E8" s="46">
        <v>661.36400000000003</v>
      </c>
      <c r="F8" s="46">
        <v>5955.183</v>
      </c>
      <c r="G8" s="46">
        <v>1183.1189999999999</v>
      </c>
      <c r="H8" s="46">
        <v>66.004000000000005</v>
      </c>
      <c r="I8" s="46">
        <v>295.75200000000001</v>
      </c>
      <c r="J8" s="46">
        <v>132.28100000000001</v>
      </c>
      <c r="K8" s="46">
        <v>315.01299999999998</v>
      </c>
      <c r="L8" s="46">
        <v>202.67699999999999</v>
      </c>
      <c r="M8" s="46">
        <v>186.31899999999999</v>
      </c>
      <c r="N8" s="46">
        <v>97.504999999999995</v>
      </c>
      <c r="O8" s="46">
        <v>240.435</v>
      </c>
      <c r="P8" s="46">
        <v>1320.1659999999999</v>
      </c>
      <c r="Q8" s="46">
        <v>935.64700000000005</v>
      </c>
      <c r="R8" s="46">
        <v>47.929000000000002</v>
      </c>
      <c r="S8" s="46">
        <v>128.607</v>
      </c>
      <c r="T8" s="46">
        <v>1103.798</v>
      </c>
      <c r="U8" s="46">
        <v>3168.1010000000001</v>
      </c>
      <c r="V8" s="46">
        <v>386.61200000000002</v>
      </c>
      <c r="W8" s="46">
        <v>611.81200000000001</v>
      </c>
      <c r="X8" s="46">
        <v>1179.5450000000001</v>
      </c>
      <c r="Y8" s="46">
        <v>232.44800000000001</v>
      </c>
      <c r="Z8" s="46">
        <v>31.954999999999998</v>
      </c>
      <c r="AA8" s="46">
        <v>103.999</v>
      </c>
      <c r="AB8" s="46">
        <v>144.59299999999999</v>
      </c>
      <c r="AC8" s="46">
        <v>180.14099999999999</v>
      </c>
      <c r="AD8" s="46">
        <v>60.531999999999996</v>
      </c>
      <c r="AE8" s="46">
        <v>239.62100000000001</v>
      </c>
      <c r="AF8" s="46">
        <v>497.72899999999998</v>
      </c>
      <c r="AG8" s="46">
        <v>496</v>
      </c>
      <c r="AH8" s="46">
        <v>318.928</v>
      </c>
      <c r="AI8" s="46">
        <v>1073.126</v>
      </c>
      <c r="AJ8" s="46">
        <v>197.697</v>
      </c>
      <c r="AK8" s="46">
        <v>494.15600000000001</v>
      </c>
      <c r="AL8" s="46">
        <v>199.96700000000001</v>
      </c>
      <c r="AM8" s="46"/>
      <c r="AN8" s="52">
        <v>22713.012999999999</v>
      </c>
    </row>
    <row r="9" spans="1:40" x14ac:dyDescent="0.2">
      <c r="A9" s="69" t="s">
        <v>69</v>
      </c>
      <c r="B9" s="83" t="s">
        <v>18</v>
      </c>
      <c r="C9" s="46">
        <v>1003.039</v>
      </c>
      <c r="D9" s="46">
        <v>73.816000000000003</v>
      </c>
      <c r="E9" s="46">
        <v>2280.1439999999998</v>
      </c>
      <c r="F9" s="46">
        <v>214.863</v>
      </c>
      <c r="G9" s="46">
        <v>7659.2809999999999</v>
      </c>
      <c r="H9" s="46">
        <v>38.911999999999999</v>
      </c>
      <c r="I9" s="46">
        <v>767.38099999999997</v>
      </c>
      <c r="J9" s="46">
        <v>598.58500000000004</v>
      </c>
      <c r="K9" s="46">
        <v>1009.601</v>
      </c>
      <c r="L9" s="46">
        <v>368.00200000000001</v>
      </c>
      <c r="M9" s="46">
        <v>213.75700000000001</v>
      </c>
      <c r="N9" s="46">
        <v>159.06299999999999</v>
      </c>
      <c r="O9" s="46">
        <v>230.17500000000001</v>
      </c>
      <c r="P9" s="46">
        <v>1024.058</v>
      </c>
      <c r="Q9" s="46">
        <v>1433.5630000000001</v>
      </c>
      <c r="R9" s="46">
        <v>44.566000000000003</v>
      </c>
      <c r="S9" s="46">
        <v>455.32900000000001</v>
      </c>
      <c r="T9" s="46">
        <v>6472.433</v>
      </c>
      <c r="U9" s="46">
        <v>2891.9169999999999</v>
      </c>
      <c r="V9" s="46">
        <v>495.35199999999998</v>
      </c>
      <c r="W9" s="46">
        <v>315.55500000000001</v>
      </c>
      <c r="X9" s="46">
        <v>5669.7849999999999</v>
      </c>
      <c r="Y9" s="46">
        <v>506.65100000000001</v>
      </c>
      <c r="Z9" s="46">
        <v>361.38</v>
      </c>
      <c r="AA9" s="46">
        <v>2261.2979999999998</v>
      </c>
      <c r="AB9" s="46">
        <v>633.34799999999996</v>
      </c>
      <c r="AC9" s="46">
        <v>2657.0430000000001</v>
      </c>
      <c r="AD9" s="46">
        <v>619.17100000000005</v>
      </c>
      <c r="AE9" s="46">
        <v>252.221</v>
      </c>
      <c r="AF9" s="46">
        <v>1764.163</v>
      </c>
      <c r="AG9" s="46">
        <v>1505</v>
      </c>
      <c r="AH9" s="46">
        <v>878.19</v>
      </c>
      <c r="AI9" s="46">
        <v>239.405</v>
      </c>
      <c r="AJ9" s="46">
        <v>380.20400000000001</v>
      </c>
      <c r="AK9" s="46">
        <v>946.303</v>
      </c>
      <c r="AL9" s="46">
        <v>533.423</v>
      </c>
      <c r="AM9" s="46"/>
      <c r="AN9" s="52">
        <v>46956.978999999999</v>
      </c>
    </row>
    <row r="10" spans="1:40" x14ac:dyDescent="0.2">
      <c r="A10" s="69" t="s">
        <v>70</v>
      </c>
      <c r="B10" s="83" t="s">
        <v>19</v>
      </c>
      <c r="C10" s="46">
        <v>3437.8910000000001</v>
      </c>
      <c r="D10" s="46">
        <v>156.911</v>
      </c>
      <c r="E10" s="46">
        <v>892.81299999999999</v>
      </c>
      <c r="F10" s="46">
        <v>79.021000000000001</v>
      </c>
      <c r="G10" s="46">
        <v>241.102</v>
      </c>
      <c r="H10" s="46">
        <v>2166.576</v>
      </c>
      <c r="I10" s="46">
        <v>6107.6360000000004</v>
      </c>
      <c r="J10" s="46">
        <v>75.239000000000004</v>
      </c>
      <c r="K10" s="46">
        <v>503.50900000000001</v>
      </c>
      <c r="L10" s="46">
        <v>451.80200000000002</v>
      </c>
      <c r="M10" s="46">
        <v>69.006</v>
      </c>
      <c r="N10" s="46">
        <v>54.906999999999996</v>
      </c>
      <c r="O10" s="46">
        <v>144.21299999999999</v>
      </c>
      <c r="P10" s="46">
        <v>272.464</v>
      </c>
      <c r="Q10" s="46">
        <v>252.791</v>
      </c>
      <c r="R10" s="46">
        <v>805.48199999999997</v>
      </c>
      <c r="S10" s="46">
        <v>569.84799999999996</v>
      </c>
      <c r="T10" s="46">
        <v>2621.5659999999998</v>
      </c>
      <c r="U10" s="46">
        <v>5512.56</v>
      </c>
      <c r="V10" s="46">
        <v>16011.996999999999</v>
      </c>
      <c r="W10" s="46">
        <v>240.191</v>
      </c>
      <c r="X10" s="46">
        <v>395.93700000000001</v>
      </c>
      <c r="Y10" s="46">
        <v>380.35899999999998</v>
      </c>
      <c r="Z10" s="46">
        <v>466.94400000000002</v>
      </c>
      <c r="AA10" s="46">
        <v>598.89400000000001</v>
      </c>
      <c r="AB10" s="46">
        <v>157.238</v>
      </c>
      <c r="AC10" s="46">
        <v>1179.2360000000001</v>
      </c>
      <c r="AD10" s="46">
        <v>250.041</v>
      </c>
      <c r="AE10" s="46">
        <v>462.19499999999999</v>
      </c>
      <c r="AF10" s="46">
        <v>1519.7360000000001</v>
      </c>
      <c r="AG10" s="46">
        <v>1732</v>
      </c>
      <c r="AH10" s="46">
        <v>411.303</v>
      </c>
      <c r="AI10" s="46">
        <v>322.43400000000003</v>
      </c>
      <c r="AJ10" s="46">
        <v>183.83199999999999</v>
      </c>
      <c r="AK10" s="46">
        <v>632.88800000000003</v>
      </c>
      <c r="AL10" s="46">
        <v>338.68799999999999</v>
      </c>
      <c r="AM10" s="46"/>
      <c r="AN10" s="52">
        <v>49699.25</v>
      </c>
    </row>
    <row r="11" spans="1:40" x14ac:dyDescent="0.2">
      <c r="A11" s="69" t="s">
        <v>71</v>
      </c>
      <c r="B11" s="83" t="s">
        <v>20</v>
      </c>
      <c r="C11" s="46">
        <v>7387.6279999999997</v>
      </c>
      <c r="D11" s="46">
        <v>148.36500000000001</v>
      </c>
      <c r="E11" s="46">
        <v>1758.3119999999999</v>
      </c>
      <c r="F11" s="46">
        <v>889.79499999999996</v>
      </c>
      <c r="G11" s="46">
        <v>1859.682</v>
      </c>
      <c r="H11" s="46">
        <v>943.52200000000005</v>
      </c>
      <c r="I11" s="46">
        <v>15517.901</v>
      </c>
      <c r="J11" s="46">
        <v>2688.096</v>
      </c>
      <c r="K11" s="46">
        <v>9301.8160000000007</v>
      </c>
      <c r="L11" s="46">
        <v>2104.6320000000001</v>
      </c>
      <c r="M11" s="46">
        <v>248.09200000000001</v>
      </c>
      <c r="N11" s="46">
        <v>716.14</v>
      </c>
      <c r="O11" s="46">
        <v>666.59</v>
      </c>
      <c r="P11" s="46">
        <v>2047.5940000000001</v>
      </c>
      <c r="Q11" s="46">
        <v>1526.364</v>
      </c>
      <c r="R11" s="46">
        <v>4468.6710000000003</v>
      </c>
      <c r="S11" s="46">
        <v>251.02699999999999</v>
      </c>
      <c r="T11" s="46">
        <v>3812.9340000000002</v>
      </c>
      <c r="U11" s="46">
        <v>1945.7639999999999</v>
      </c>
      <c r="V11" s="46">
        <v>298.36599999999999</v>
      </c>
      <c r="W11" s="46">
        <v>355.23599999999999</v>
      </c>
      <c r="X11" s="46">
        <v>820.09199999999998</v>
      </c>
      <c r="Y11" s="46">
        <v>135.602</v>
      </c>
      <c r="Z11" s="46">
        <v>263.88799999999998</v>
      </c>
      <c r="AA11" s="46">
        <v>59.999000000000002</v>
      </c>
      <c r="AB11" s="46">
        <v>1171.421</v>
      </c>
      <c r="AC11" s="46">
        <v>423.06400000000002</v>
      </c>
      <c r="AD11" s="46">
        <v>565.12400000000002</v>
      </c>
      <c r="AE11" s="46">
        <v>296.916</v>
      </c>
      <c r="AF11" s="46">
        <v>754.40200000000004</v>
      </c>
      <c r="AG11" s="46">
        <v>467</v>
      </c>
      <c r="AH11" s="46">
        <v>294.08300000000003</v>
      </c>
      <c r="AI11" s="46">
        <v>1066.27</v>
      </c>
      <c r="AJ11" s="46">
        <v>69.933999999999997</v>
      </c>
      <c r="AK11" s="46">
        <v>395.97899999999998</v>
      </c>
      <c r="AL11" s="46">
        <v>254.98099999999999</v>
      </c>
      <c r="AM11" s="46"/>
      <c r="AN11" s="52">
        <v>65975.281000000003</v>
      </c>
    </row>
    <row r="12" spans="1:40" x14ac:dyDescent="0.2">
      <c r="A12" s="69" t="s">
        <v>72</v>
      </c>
      <c r="B12" s="83" t="s">
        <v>21</v>
      </c>
      <c r="C12" s="46">
        <v>1137.9570000000001</v>
      </c>
      <c r="D12" s="46"/>
      <c r="E12" s="46">
        <v>150.39099999999999</v>
      </c>
      <c r="F12" s="46">
        <v>3.802</v>
      </c>
      <c r="G12" s="46">
        <v>1.2150000000000001</v>
      </c>
      <c r="H12" s="46">
        <v>3.67</v>
      </c>
      <c r="I12" s="46">
        <v>371.315</v>
      </c>
      <c r="J12" s="46">
        <v>4857.5780000000004</v>
      </c>
      <c r="K12" s="46">
        <v>9.4049999999999994</v>
      </c>
      <c r="L12" s="46">
        <v>1.754</v>
      </c>
      <c r="M12" s="46">
        <v>0.70899999999999996</v>
      </c>
      <c r="N12" s="46">
        <v>1.198</v>
      </c>
      <c r="O12" s="46">
        <v>1.2749999999999999</v>
      </c>
      <c r="P12" s="46">
        <v>3.036</v>
      </c>
      <c r="Q12" s="46">
        <v>40.906999999999996</v>
      </c>
      <c r="R12" s="46">
        <v>2.3980000000000001</v>
      </c>
      <c r="S12" s="46">
        <v>4.3499999999999996</v>
      </c>
      <c r="T12" s="46">
        <v>5.298</v>
      </c>
      <c r="U12" s="46">
        <v>25.068999999999999</v>
      </c>
      <c r="V12" s="46">
        <v>16.375</v>
      </c>
      <c r="W12" s="46">
        <v>3.3029999999999999</v>
      </c>
      <c r="X12" s="46">
        <v>0.69499999999999995</v>
      </c>
      <c r="Y12" s="46">
        <v>1.19</v>
      </c>
      <c r="Z12" s="46">
        <v>10.753</v>
      </c>
      <c r="AA12" s="46">
        <v>23</v>
      </c>
      <c r="AB12" s="46">
        <v>0.66200000000000003</v>
      </c>
      <c r="AC12" s="46">
        <v>36.124000000000002</v>
      </c>
      <c r="AD12" s="46">
        <v>57.122</v>
      </c>
      <c r="AE12" s="46">
        <v>438.86099999999999</v>
      </c>
      <c r="AF12" s="46">
        <v>110.893</v>
      </c>
      <c r="AG12" s="46">
        <v>199</v>
      </c>
      <c r="AH12" s="46">
        <v>17.835999999999999</v>
      </c>
      <c r="AI12" s="46">
        <v>6985.9359999999997</v>
      </c>
      <c r="AJ12" s="46">
        <v>247.26599999999999</v>
      </c>
      <c r="AK12" s="46">
        <v>8.3409999999999993</v>
      </c>
      <c r="AL12" s="46">
        <v>15.621</v>
      </c>
      <c r="AM12" s="46"/>
      <c r="AN12" s="52">
        <v>14794.306</v>
      </c>
    </row>
    <row r="13" spans="1:40" x14ac:dyDescent="0.2">
      <c r="A13" s="69" t="s">
        <v>73</v>
      </c>
      <c r="B13" s="83" t="s">
        <v>22</v>
      </c>
      <c r="C13" s="46">
        <v>936.88599999999997</v>
      </c>
      <c r="D13" s="46">
        <v>413.565</v>
      </c>
      <c r="E13" s="46">
        <v>3760.1469999999999</v>
      </c>
      <c r="F13" s="46">
        <v>378.423</v>
      </c>
      <c r="G13" s="46">
        <v>690.54399999999998</v>
      </c>
      <c r="H13" s="46">
        <v>918.55399999999997</v>
      </c>
      <c r="I13" s="46">
        <v>2020.0319999999999</v>
      </c>
      <c r="J13" s="46">
        <v>576.13099999999997</v>
      </c>
      <c r="K13" s="46">
        <v>7026.3779999999997</v>
      </c>
      <c r="L13" s="46">
        <v>1729.8230000000001</v>
      </c>
      <c r="M13" s="46">
        <v>1336.145</v>
      </c>
      <c r="N13" s="46">
        <v>1256.203</v>
      </c>
      <c r="O13" s="46">
        <v>1668.366</v>
      </c>
      <c r="P13" s="46">
        <v>6066.8639999999996</v>
      </c>
      <c r="Q13" s="46">
        <v>3004.346</v>
      </c>
      <c r="R13" s="46">
        <v>845.745</v>
      </c>
      <c r="S13" s="46">
        <v>654.29100000000005</v>
      </c>
      <c r="T13" s="46">
        <v>26470.558000000001</v>
      </c>
      <c r="U13" s="46">
        <v>5725.4840000000004</v>
      </c>
      <c r="V13" s="46">
        <v>1128.154</v>
      </c>
      <c r="W13" s="46">
        <v>297.74900000000002</v>
      </c>
      <c r="X13" s="46">
        <v>534.34100000000001</v>
      </c>
      <c r="Y13" s="46">
        <v>552.35299999999995</v>
      </c>
      <c r="Z13" s="46">
        <v>204.256</v>
      </c>
      <c r="AA13" s="46">
        <v>162.893</v>
      </c>
      <c r="AB13" s="46">
        <v>362.3</v>
      </c>
      <c r="AC13" s="46">
        <v>933.48</v>
      </c>
      <c r="AD13" s="46">
        <v>549.73699999999997</v>
      </c>
      <c r="AE13" s="46">
        <v>324.12099999999998</v>
      </c>
      <c r="AF13" s="46">
        <v>1356.114</v>
      </c>
      <c r="AG13" s="46">
        <v>46</v>
      </c>
      <c r="AH13" s="46">
        <v>311.67200000000003</v>
      </c>
      <c r="AI13" s="46">
        <v>1164.2750000000001</v>
      </c>
      <c r="AJ13" s="46">
        <v>132.65899999999999</v>
      </c>
      <c r="AK13" s="46">
        <v>183.53200000000001</v>
      </c>
      <c r="AL13" s="46">
        <v>340.30900000000003</v>
      </c>
      <c r="AM13" s="46"/>
      <c r="AN13" s="52">
        <v>74062.429999999993</v>
      </c>
    </row>
    <row r="14" spans="1:40" x14ac:dyDescent="0.2">
      <c r="A14" s="69" t="s">
        <v>74</v>
      </c>
      <c r="B14" s="83" t="s">
        <v>23</v>
      </c>
      <c r="C14" s="46">
        <v>750.43899999999996</v>
      </c>
      <c r="D14" s="46">
        <v>164.685</v>
      </c>
      <c r="E14" s="46">
        <v>1661.259</v>
      </c>
      <c r="F14" s="46">
        <v>220.68299999999999</v>
      </c>
      <c r="G14" s="46">
        <v>763.55</v>
      </c>
      <c r="H14" s="46">
        <v>816.36099999999999</v>
      </c>
      <c r="I14" s="46">
        <v>1497.991</v>
      </c>
      <c r="J14" s="46">
        <v>350.28300000000002</v>
      </c>
      <c r="K14" s="46">
        <v>1582.8610000000001</v>
      </c>
      <c r="L14" s="46">
        <v>27166.227999999999</v>
      </c>
      <c r="M14" s="46">
        <v>2051.6410000000001</v>
      </c>
      <c r="N14" s="46">
        <v>3396.7460000000001</v>
      </c>
      <c r="O14" s="46">
        <v>6610.6210000000001</v>
      </c>
      <c r="P14" s="46">
        <v>11340.361999999999</v>
      </c>
      <c r="Q14" s="46">
        <v>8384.0759999999991</v>
      </c>
      <c r="R14" s="46">
        <v>688.96299999999997</v>
      </c>
      <c r="S14" s="46">
        <v>2274.8789999999999</v>
      </c>
      <c r="T14" s="46">
        <v>21797.495999999999</v>
      </c>
      <c r="U14" s="46">
        <v>1140.5530000000001</v>
      </c>
      <c r="V14" s="46">
        <v>767.45100000000002</v>
      </c>
      <c r="W14" s="46">
        <v>249.101</v>
      </c>
      <c r="X14" s="46">
        <v>243.68199999999999</v>
      </c>
      <c r="Y14" s="46">
        <v>344.32900000000001</v>
      </c>
      <c r="Z14" s="46">
        <v>231.85300000000001</v>
      </c>
      <c r="AA14" s="46">
        <v>8</v>
      </c>
      <c r="AB14" s="46">
        <v>453.50099999999998</v>
      </c>
      <c r="AC14" s="46">
        <v>455.33600000000001</v>
      </c>
      <c r="AD14" s="46">
        <v>266.88299999999998</v>
      </c>
      <c r="AE14" s="46">
        <v>149.51900000000001</v>
      </c>
      <c r="AF14" s="46">
        <v>1758.422</v>
      </c>
      <c r="AG14" s="46">
        <v>925</v>
      </c>
      <c r="AH14" s="46">
        <v>49.018999999999998</v>
      </c>
      <c r="AI14" s="46">
        <v>385.83100000000002</v>
      </c>
      <c r="AJ14" s="46">
        <v>174.26499999999999</v>
      </c>
      <c r="AK14" s="46">
        <v>134.29499999999999</v>
      </c>
      <c r="AL14" s="46">
        <v>512.28399999999999</v>
      </c>
      <c r="AM14" s="46"/>
      <c r="AN14" s="52">
        <v>99768.447</v>
      </c>
    </row>
    <row r="15" spans="1:40" x14ac:dyDescent="0.2">
      <c r="A15" s="69" t="s">
        <v>75</v>
      </c>
      <c r="B15" s="83" t="s">
        <v>24</v>
      </c>
      <c r="C15" s="46"/>
      <c r="D15" s="46">
        <v>13.191000000000001</v>
      </c>
      <c r="E15" s="46">
        <v>84.317999999999998</v>
      </c>
      <c r="F15" s="46">
        <v>18.805</v>
      </c>
      <c r="G15" s="46">
        <v>120.167</v>
      </c>
      <c r="H15" s="46">
        <v>127.571</v>
      </c>
      <c r="I15" s="46">
        <v>139.286</v>
      </c>
      <c r="J15" s="46">
        <v>13.912000000000001</v>
      </c>
      <c r="K15" s="46">
        <v>248.57300000000001</v>
      </c>
      <c r="L15" s="46">
        <v>703.43700000000001</v>
      </c>
      <c r="M15" s="46">
        <v>3918.5189999999998</v>
      </c>
      <c r="N15" s="46">
        <v>1909.5139999999999</v>
      </c>
      <c r="O15" s="46">
        <v>1439.98</v>
      </c>
      <c r="P15" s="46">
        <v>7643.0789999999997</v>
      </c>
      <c r="Q15" s="46">
        <v>1817.116</v>
      </c>
      <c r="R15" s="46">
        <v>425.52100000000002</v>
      </c>
      <c r="S15" s="46">
        <v>103.05200000000001</v>
      </c>
      <c r="T15" s="46">
        <v>2410.4299999999998</v>
      </c>
      <c r="U15" s="46">
        <v>1593.5550000000001</v>
      </c>
      <c r="V15" s="46">
        <v>628.61</v>
      </c>
      <c r="W15" s="46">
        <v>103.256</v>
      </c>
      <c r="X15" s="46">
        <v>218.25800000000001</v>
      </c>
      <c r="Y15" s="46">
        <v>1818.443</v>
      </c>
      <c r="Z15" s="46">
        <v>1677.8579999999999</v>
      </c>
      <c r="AA15" s="46">
        <v>380.99799999999999</v>
      </c>
      <c r="AB15" s="46">
        <v>41.585000000000001</v>
      </c>
      <c r="AC15" s="46">
        <v>983.50800000000004</v>
      </c>
      <c r="AD15" s="46">
        <v>1381.548</v>
      </c>
      <c r="AE15" s="46">
        <v>308.88</v>
      </c>
      <c r="AF15" s="46">
        <v>1202.854</v>
      </c>
      <c r="AG15" s="46">
        <v>882</v>
      </c>
      <c r="AH15" s="46">
        <v>205.12</v>
      </c>
      <c r="AI15" s="46">
        <v>2142.9389999999999</v>
      </c>
      <c r="AJ15" s="46">
        <v>231.56399999999999</v>
      </c>
      <c r="AK15" s="46">
        <v>469.11799999999999</v>
      </c>
      <c r="AL15" s="46">
        <v>965.19600000000003</v>
      </c>
      <c r="AM15" s="46"/>
      <c r="AN15" s="52">
        <v>36371.758999999998</v>
      </c>
    </row>
    <row r="16" spans="1:40" x14ac:dyDescent="0.2">
      <c r="A16" s="69" t="s">
        <v>76</v>
      </c>
      <c r="B16" s="83" t="s">
        <v>25</v>
      </c>
      <c r="C16" s="46">
        <v>60.118000000000002</v>
      </c>
      <c r="D16" s="46">
        <v>25.846</v>
      </c>
      <c r="E16" s="46">
        <v>244.673</v>
      </c>
      <c r="F16" s="46">
        <v>32.29</v>
      </c>
      <c r="G16" s="46">
        <v>250.90299999999999</v>
      </c>
      <c r="H16" s="46">
        <v>231.26499999999999</v>
      </c>
      <c r="I16" s="46">
        <v>308.06200000000001</v>
      </c>
      <c r="J16" s="46">
        <v>27.253</v>
      </c>
      <c r="K16" s="46">
        <v>233.072</v>
      </c>
      <c r="L16" s="46">
        <v>1381.463</v>
      </c>
      <c r="M16" s="46">
        <v>1273.5809999999999</v>
      </c>
      <c r="N16" s="46">
        <v>2237.9899999999998</v>
      </c>
      <c r="O16" s="46">
        <v>1471.258</v>
      </c>
      <c r="P16" s="46">
        <v>2928.154</v>
      </c>
      <c r="Q16" s="46">
        <v>1201.2470000000001</v>
      </c>
      <c r="R16" s="46">
        <v>569.45799999999997</v>
      </c>
      <c r="S16" s="46">
        <v>172.50399999999999</v>
      </c>
      <c r="T16" s="46">
        <v>5972.0569999999998</v>
      </c>
      <c r="U16" s="46">
        <v>2188.1709999999998</v>
      </c>
      <c r="V16" s="46">
        <v>837.82600000000002</v>
      </c>
      <c r="W16" s="46">
        <v>179.03800000000001</v>
      </c>
      <c r="X16" s="46">
        <v>136.35900000000001</v>
      </c>
      <c r="Y16" s="46">
        <v>1268.5150000000001</v>
      </c>
      <c r="Z16" s="46">
        <v>949.14099999999996</v>
      </c>
      <c r="AA16" s="46">
        <v>92.894999999999996</v>
      </c>
      <c r="AB16" s="46">
        <v>637.89499999999998</v>
      </c>
      <c r="AC16" s="46">
        <v>1359.806</v>
      </c>
      <c r="AD16" s="46">
        <v>451.81599999999997</v>
      </c>
      <c r="AE16" s="46">
        <v>109.92700000000001</v>
      </c>
      <c r="AF16" s="46">
        <v>776.88599999999997</v>
      </c>
      <c r="AG16" s="46">
        <v>90</v>
      </c>
      <c r="AH16" s="46">
        <v>24.116</v>
      </c>
      <c r="AI16" s="46">
        <v>59.860999999999997</v>
      </c>
      <c r="AJ16" s="46">
        <v>8.4320000000000004</v>
      </c>
      <c r="AK16" s="46">
        <v>118.89100000000001</v>
      </c>
      <c r="AL16" s="46">
        <v>349.49099999999999</v>
      </c>
      <c r="AM16" s="46"/>
      <c r="AN16" s="52">
        <v>28260.261999999999</v>
      </c>
    </row>
    <row r="17" spans="1:40" x14ac:dyDescent="0.2">
      <c r="A17" s="69" t="s">
        <v>77</v>
      </c>
      <c r="B17" s="83" t="s">
        <v>26</v>
      </c>
      <c r="C17" s="46">
        <v>474.89100000000002</v>
      </c>
      <c r="D17" s="46">
        <v>545.428</v>
      </c>
      <c r="E17" s="46">
        <v>1291.058</v>
      </c>
      <c r="F17" s="46">
        <v>202.285</v>
      </c>
      <c r="G17" s="46">
        <v>460.346</v>
      </c>
      <c r="H17" s="46">
        <v>395.96699999999998</v>
      </c>
      <c r="I17" s="46">
        <v>571.24800000000005</v>
      </c>
      <c r="J17" s="46">
        <v>73.918000000000006</v>
      </c>
      <c r="K17" s="46">
        <v>978.50900000000001</v>
      </c>
      <c r="L17" s="46">
        <v>2116.7460000000001</v>
      </c>
      <c r="M17" s="46">
        <v>919.42600000000004</v>
      </c>
      <c r="N17" s="46">
        <v>618.58000000000004</v>
      </c>
      <c r="O17" s="46">
        <v>4887.22</v>
      </c>
      <c r="P17" s="46">
        <v>10269.905000000001</v>
      </c>
      <c r="Q17" s="46">
        <v>6786.6620000000003</v>
      </c>
      <c r="R17" s="46">
        <v>1265.0450000000001</v>
      </c>
      <c r="S17" s="46">
        <v>1005.726</v>
      </c>
      <c r="T17" s="46">
        <v>8720.973</v>
      </c>
      <c r="U17" s="46">
        <v>2968.2649999999999</v>
      </c>
      <c r="V17" s="46">
        <v>1270.2760000000001</v>
      </c>
      <c r="W17" s="46">
        <v>221.31800000000001</v>
      </c>
      <c r="X17" s="46">
        <v>327.08800000000002</v>
      </c>
      <c r="Y17" s="46">
        <v>336.685</v>
      </c>
      <c r="Z17" s="46">
        <v>190.49</v>
      </c>
      <c r="AA17" s="46">
        <v>53</v>
      </c>
      <c r="AB17" s="46">
        <v>51.674999999999997</v>
      </c>
      <c r="AC17" s="46">
        <v>829.10900000000004</v>
      </c>
      <c r="AD17" s="46">
        <v>224.41399999999999</v>
      </c>
      <c r="AE17" s="46">
        <v>212.42099999999999</v>
      </c>
      <c r="AF17" s="46">
        <v>1190.0050000000001</v>
      </c>
      <c r="AG17" s="46">
        <v>474</v>
      </c>
      <c r="AH17" s="46">
        <v>113.041</v>
      </c>
      <c r="AI17" s="46">
        <v>221.43</v>
      </c>
      <c r="AJ17" s="46">
        <v>262.834</v>
      </c>
      <c r="AK17" s="46">
        <v>287.09500000000003</v>
      </c>
      <c r="AL17" s="46">
        <v>571.05600000000004</v>
      </c>
      <c r="AM17" s="46"/>
      <c r="AN17" s="52">
        <v>51388.135999999999</v>
      </c>
    </row>
    <row r="18" spans="1:40" x14ac:dyDescent="0.2">
      <c r="A18" s="69" t="s">
        <v>78</v>
      </c>
      <c r="B18" s="83" t="s">
        <v>27</v>
      </c>
      <c r="C18" s="46">
        <v>273.80099999999999</v>
      </c>
      <c r="D18" s="46">
        <v>10.371</v>
      </c>
      <c r="E18" s="46">
        <v>409.80799999999999</v>
      </c>
      <c r="F18" s="46">
        <v>17.158999999999999</v>
      </c>
      <c r="G18" s="46">
        <v>42.113</v>
      </c>
      <c r="H18" s="46">
        <v>59.664000000000001</v>
      </c>
      <c r="I18" s="46">
        <v>80.015000000000001</v>
      </c>
      <c r="J18" s="46">
        <v>2.4500000000000002</v>
      </c>
      <c r="K18" s="46">
        <v>100.535</v>
      </c>
      <c r="L18" s="46">
        <v>175.26599999999999</v>
      </c>
      <c r="M18" s="46">
        <v>48.732999999999997</v>
      </c>
      <c r="N18" s="46">
        <v>35.798000000000002</v>
      </c>
      <c r="O18" s="46">
        <v>1506.8320000000001</v>
      </c>
      <c r="P18" s="46">
        <v>47254.355000000003</v>
      </c>
      <c r="Q18" s="46">
        <v>871.96100000000001</v>
      </c>
      <c r="R18" s="46">
        <v>94.625</v>
      </c>
      <c r="S18" s="46">
        <v>401.13099999999997</v>
      </c>
      <c r="T18" s="46">
        <v>269.29599999999999</v>
      </c>
      <c r="U18" s="46">
        <v>9539.5669999999991</v>
      </c>
      <c r="V18" s="46">
        <v>2684.7089999999998</v>
      </c>
      <c r="W18" s="46">
        <v>48.621000000000002</v>
      </c>
      <c r="X18" s="46">
        <v>194.46</v>
      </c>
      <c r="Y18" s="46">
        <v>160.506</v>
      </c>
      <c r="Z18" s="46">
        <v>102.083</v>
      </c>
      <c r="AA18" s="46">
        <v>56.826999999999998</v>
      </c>
      <c r="AB18" s="46">
        <v>30.218</v>
      </c>
      <c r="AC18" s="46">
        <v>219.48699999999999</v>
      </c>
      <c r="AD18" s="46">
        <v>210.52099999999999</v>
      </c>
      <c r="AE18" s="46">
        <v>70.266999999999996</v>
      </c>
      <c r="AF18" s="46">
        <v>745.322</v>
      </c>
      <c r="AG18" s="46">
        <v>3715</v>
      </c>
      <c r="AH18" s="46">
        <v>54.188000000000002</v>
      </c>
      <c r="AI18" s="46">
        <v>168.822</v>
      </c>
      <c r="AJ18" s="46">
        <v>162.50299999999999</v>
      </c>
      <c r="AK18" s="46">
        <v>188.286</v>
      </c>
      <c r="AL18" s="46">
        <v>259.33499999999998</v>
      </c>
      <c r="AM18" s="46"/>
      <c r="AN18" s="52">
        <v>70264.631999999998</v>
      </c>
    </row>
    <row r="19" spans="1:40" x14ac:dyDescent="0.2">
      <c r="A19" s="69" t="s">
        <v>79</v>
      </c>
      <c r="B19" s="83" t="s">
        <v>28</v>
      </c>
      <c r="C19" s="46">
        <v>3331.5619999999999</v>
      </c>
      <c r="D19" s="46">
        <v>128.38</v>
      </c>
      <c r="E19" s="46">
        <v>464.69200000000001</v>
      </c>
      <c r="F19" s="46">
        <v>30.818999999999999</v>
      </c>
      <c r="G19" s="46">
        <v>320.48700000000002</v>
      </c>
      <c r="H19" s="46">
        <v>101.17100000000001</v>
      </c>
      <c r="I19" s="46">
        <v>304.98700000000002</v>
      </c>
      <c r="J19" s="46">
        <v>100.366</v>
      </c>
      <c r="K19" s="46">
        <v>164.34</v>
      </c>
      <c r="L19" s="46">
        <v>716.92700000000002</v>
      </c>
      <c r="M19" s="46">
        <v>557.99800000000005</v>
      </c>
      <c r="N19" s="46">
        <v>190.28399999999999</v>
      </c>
      <c r="O19" s="46">
        <v>837.08900000000006</v>
      </c>
      <c r="P19" s="46">
        <v>8275.5589999999993</v>
      </c>
      <c r="Q19" s="46">
        <v>10192.984</v>
      </c>
      <c r="R19" s="46">
        <v>100.63200000000001</v>
      </c>
      <c r="S19" s="46">
        <v>140.78399999999999</v>
      </c>
      <c r="T19" s="46">
        <v>3245.2359999999999</v>
      </c>
      <c r="U19" s="46">
        <v>4045.9180000000001</v>
      </c>
      <c r="V19" s="46">
        <v>1204.0409999999999</v>
      </c>
      <c r="W19" s="46">
        <v>329.661</v>
      </c>
      <c r="X19" s="46">
        <v>285.72800000000001</v>
      </c>
      <c r="Y19" s="46">
        <v>347.11500000000001</v>
      </c>
      <c r="Z19" s="46">
        <v>117.288</v>
      </c>
      <c r="AA19" s="46">
        <v>274.89499999999998</v>
      </c>
      <c r="AB19" s="46">
        <v>28.105</v>
      </c>
      <c r="AC19" s="46">
        <v>378.24400000000003</v>
      </c>
      <c r="AD19" s="46">
        <v>499.97300000000001</v>
      </c>
      <c r="AE19" s="46">
        <v>259.23</v>
      </c>
      <c r="AF19" s="46">
        <v>576.21299999999997</v>
      </c>
      <c r="AG19" s="46">
        <v>2246</v>
      </c>
      <c r="AH19" s="46">
        <v>90.983999999999995</v>
      </c>
      <c r="AI19" s="46">
        <v>6379.1009999999997</v>
      </c>
      <c r="AJ19" s="46">
        <v>613.73199999999997</v>
      </c>
      <c r="AK19" s="46">
        <v>1462.759</v>
      </c>
      <c r="AL19" s="46">
        <v>406.18799999999999</v>
      </c>
      <c r="AM19" s="46"/>
      <c r="AN19" s="52">
        <v>48749.470999999998</v>
      </c>
    </row>
    <row r="20" spans="1:40" x14ac:dyDescent="0.2">
      <c r="A20" s="69" t="s">
        <v>80</v>
      </c>
      <c r="B20" s="83" t="s">
        <v>29</v>
      </c>
      <c r="C20" s="46">
        <v>1351.3820000000001</v>
      </c>
      <c r="D20" s="46">
        <v>125.107</v>
      </c>
      <c r="E20" s="46">
        <v>2881.5189999999998</v>
      </c>
      <c r="F20" s="46">
        <v>177.07</v>
      </c>
      <c r="G20" s="46">
        <v>1515.076</v>
      </c>
      <c r="H20" s="46">
        <v>798.21100000000001</v>
      </c>
      <c r="I20" s="46">
        <v>3007.748</v>
      </c>
      <c r="J20" s="46">
        <v>321.303</v>
      </c>
      <c r="K20" s="46">
        <v>1603.8920000000001</v>
      </c>
      <c r="L20" s="46">
        <v>3091.12</v>
      </c>
      <c r="M20" s="46">
        <v>299.72000000000003</v>
      </c>
      <c r="N20" s="46">
        <v>190.83</v>
      </c>
      <c r="O20" s="46">
        <v>300.34399999999999</v>
      </c>
      <c r="P20" s="46">
        <v>985.41300000000001</v>
      </c>
      <c r="Q20" s="46">
        <v>206.32</v>
      </c>
      <c r="R20" s="46">
        <v>55177.472999999998</v>
      </c>
      <c r="S20" s="46">
        <v>550.47799999999995</v>
      </c>
      <c r="T20" s="46">
        <v>370.69900000000001</v>
      </c>
      <c r="U20" s="46">
        <v>4199.7380000000003</v>
      </c>
      <c r="V20" s="46">
        <v>2145.0920000000001</v>
      </c>
      <c r="W20" s="46">
        <v>1465.902</v>
      </c>
      <c r="X20" s="46">
        <v>1710.7460000000001</v>
      </c>
      <c r="Y20" s="46">
        <v>1098.0530000000001</v>
      </c>
      <c r="Z20" s="46">
        <v>302.01799999999997</v>
      </c>
      <c r="AA20" s="46">
        <v>600.89499999999998</v>
      </c>
      <c r="AB20" s="46">
        <v>680.74699999999996</v>
      </c>
      <c r="AC20" s="46">
        <v>1320.8009999999999</v>
      </c>
      <c r="AD20" s="46">
        <v>325.57299999999998</v>
      </c>
      <c r="AE20" s="46">
        <v>303.35399999999998</v>
      </c>
      <c r="AF20" s="46">
        <v>476.90699999999998</v>
      </c>
      <c r="AG20" s="46">
        <v>2104</v>
      </c>
      <c r="AH20" s="46">
        <v>1356</v>
      </c>
      <c r="AI20" s="46">
        <v>1076.9870000000001</v>
      </c>
      <c r="AJ20" s="46">
        <v>665.48299999999995</v>
      </c>
      <c r="AK20" s="46">
        <v>1327.056</v>
      </c>
      <c r="AL20" s="46">
        <v>325.58699999999999</v>
      </c>
      <c r="AM20" s="46"/>
      <c r="AN20" s="52">
        <v>94438.644</v>
      </c>
    </row>
    <row r="21" spans="1:40" x14ac:dyDescent="0.2">
      <c r="A21" s="69" t="s">
        <v>81</v>
      </c>
      <c r="B21" s="83" t="s">
        <v>30</v>
      </c>
      <c r="C21" s="46">
        <v>528.11400000000003</v>
      </c>
      <c r="D21" s="46">
        <v>30.736999999999998</v>
      </c>
      <c r="E21" s="46">
        <v>1226.201</v>
      </c>
      <c r="F21" s="46">
        <v>179.78700000000001</v>
      </c>
      <c r="G21" s="46">
        <v>784.04700000000003</v>
      </c>
      <c r="H21" s="46">
        <v>535.63599999999997</v>
      </c>
      <c r="I21" s="46">
        <v>647.99900000000002</v>
      </c>
      <c r="J21" s="46">
        <v>218.66900000000001</v>
      </c>
      <c r="K21" s="46">
        <v>581.83399999999995</v>
      </c>
      <c r="L21" s="46">
        <v>3304.9720000000002</v>
      </c>
      <c r="M21" s="46">
        <v>133.28800000000001</v>
      </c>
      <c r="N21" s="46">
        <v>101.253</v>
      </c>
      <c r="O21" s="46">
        <v>211.886</v>
      </c>
      <c r="P21" s="46">
        <v>504.94799999999998</v>
      </c>
      <c r="Q21" s="46">
        <v>301.03199999999998</v>
      </c>
      <c r="R21" s="46">
        <v>733.76199999999994</v>
      </c>
      <c r="S21" s="46">
        <v>8959.8940000000002</v>
      </c>
      <c r="T21" s="46">
        <v>1932.2629999999999</v>
      </c>
      <c r="U21" s="46">
        <v>2417.848</v>
      </c>
      <c r="V21" s="46">
        <v>688.20899999999995</v>
      </c>
      <c r="W21" s="46">
        <v>524.89800000000002</v>
      </c>
      <c r="X21" s="46">
        <v>568.75300000000004</v>
      </c>
      <c r="Y21" s="46">
        <v>313.08499999999998</v>
      </c>
      <c r="Z21" s="46">
        <v>579.95500000000004</v>
      </c>
      <c r="AA21" s="46">
        <v>383.68099999999998</v>
      </c>
      <c r="AB21" s="46">
        <v>1093.0250000000001</v>
      </c>
      <c r="AC21" s="46">
        <v>1278.5260000000001</v>
      </c>
      <c r="AD21" s="46">
        <v>484.35</v>
      </c>
      <c r="AE21" s="46">
        <v>648.68499999999995</v>
      </c>
      <c r="AF21" s="46">
        <v>1351.962</v>
      </c>
      <c r="AG21" s="46">
        <v>4672</v>
      </c>
      <c r="AH21" s="46">
        <v>840.58699999999999</v>
      </c>
      <c r="AI21" s="46">
        <v>912.89800000000002</v>
      </c>
      <c r="AJ21" s="46">
        <v>338.14600000000002</v>
      </c>
      <c r="AK21" s="46">
        <v>413.76299999999998</v>
      </c>
      <c r="AL21" s="46">
        <v>172.01300000000001</v>
      </c>
      <c r="AM21" s="46"/>
      <c r="AN21" s="52">
        <v>38598.707999999999</v>
      </c>
    </row>
    <row r="22" spans="1:40" x14ac:dyDescent="0.2">
      <c r="A22" s="69" t="s">
        <v>63</v>
      </c>
      <c r="B22" s="83" t="s">
        <v>31</v>
      </c>
      <c r="C22" s="46">
        <v>393.75299999999999</v>
      </c>
      <c r="D22" s="46">
        <v>45.835999999999999</v>
      </c>
      <c r="E22" s="46">
        <v>125.652</v>
      </c>
      <c r="F22" s="46">
        <v>27.581</v>
      </c>
      <c r="G22" s="46">
        <v>67.334000000000003</v>
      </c>
      <c r="H22" s="46">
        <v>243.78399999999999</v>
      </c>
      <c r="I22" s="46">
        <v>79.111000000000004</v>
      </c>
      <c r="J22" s="46">
        <v>22.477</v>
      </c>
      <c r="K22" s="46">
        <v>102.346</v>
      </c>
      <c r="L22" s="46">
        <v>255.887</v>
      </c>
      <c r="M22" s="46">
        <v>68.998999999999995</v>
      </c>
      <c r="N22" s="46">
        <v>56.488</v>
      </c>
      <c r="O22" s="46">
        <v>393.09699999999998</v>
      </c>
      <c r="P22" s="46">
        <v>393.70699999999999</v>
      </c>
      <c r="Q22" s="46">
        <v>204.6</v>
      </c>
      <c r="R22" s="46">
        <v>1243.4829999999999</v>
      </c>
      <c r="S22" s="46">
        <v>372.26900000000001</v>
      </c>
      <c r="T22" s="46">
        <v>52420.082999999999</v>
      </c>
      <c r="U22" s="46">
        <v>509.64699999999999</v>
      </c>
      <c r="V22" s="46">
        <v>541.30799999999999</v>
      </c>
      <c r="W22" s="46">
        <v>79.156999999999996</v>
      </c>
      <c r="X22" s="46">
        <v>460.029</v>
      </c>
      <c r="Y22" s="46">
        <v>453.47300000000001</v>
      </c>
      <c r="Z22" s="46">
        <v>159.499</v>
      </c>
      <c r="AA22" s="46">
        <v>1779.1020000000001</v>
      </c>
      <c r="AB22" s="46">
        <v>4848.0200000000004</v>
      </c>
      <c r="AC22" s="46">
        <v>374.01499999999999</v>
      </c>
      <c r="AD22" s="46">
        <v>1415.193</v>
      </c>
      <c r="AE22" s="46">
        <v>131.858</v>
      </c>
      <c r="AF22" s="46">
        <v>958.53700000000003</v>
      </c>
      <c r="AG22" s="46">
        <v>5215</v>
      </c>
      <c r="AH22" s="46">
        <v>1497.9870000000001</v>
      </c>
      <c r="AI22" s="46">
        <v>404.38200000000001</v>
      </c>
      <c r="AJ22" s="46">
        <v>790.75699999999995</v>
      </c>
      <c r="AK22" s="46">
        <v>1300.144</v>
      </c>
      <c r="AL22" s="46">
        <v>132.97499999999999</v>
      </c>
      <c r="AM22" s="46"/>
      <c r="AN22" s="52">
        <v>77567.569000000003</v>
      </c>
    </row>
    <row r="23" spans="1:40" x14ac:dyDescent="0.2">
      <c r="A23" s="69" t="s">
        <v>82</v>
      </c>
      <c r="B23" s="83" t="s">
        <v>32</v>
      </c>
      <c r="C23" s="46">
        <v>344.185</v>
      </c>
      <c r="D23" s="46">
        <v>102.303</v>
      </c>
      <c r="E23" s="46">
        <v>1261.1869999999999</v>
      </c>
      <c r="F23" s="46">
        <v>98.099000000000004</v>
      </c>
      <c r="G23" s="46">
        <v>293.80399999999997</v>
      </c>
      <c r="H23" s="46">
        <v>363.125</v>
      </c>
      <c r="I23" s="46">
        <v>418.11799999999999</v>
      </c>
      <c r="J23" s="46">
        <v>479.72399999999999</v>
      </c>
      <c r="K23" s="46">
        <v>734.45100000000002</v>
      </c>
      <c r="L23" s="46">
        <v>750.64400000000001</v>
      </c>
      <c r="M23" s="46">
        <v>233.04499999999999</v>
      </c>
      <c r="N23" s="46">
        <v>145.74299999999999</v>
      </c>
      <c r="O23" s="46">
        <v>387.08600000000001</v>
      </c>
      <c r="P23" s="46">
        <v>1376.739</v>
      </c>
      <c r="Q23" s="46">
        <v>596.89099999999996</v>
      </c>
      <c r="R23" s="46">
        <v>239.55600000000001</v>
      </c>
      <c r="S23" s="46">
        <v>237.828</v>
      </c>
      <c r="T23" s="46">
        <v>946.702</v>
      </c>
      <c r="U23" s="46">
        <v>18060.059000000001</v>
      </c>
      <c r="V23" s="46">
        <v>2693.6219999999998</v>
      </c>
      <c r="W23" s="46">
        <v>352.125</v>
      </c>
      <c r="X23" s="46">
        <v>625.52499999999998</v>
      </c>
      <c r="Y23" s="46">
        <v>218.155</v>
      </c>
      <c r="Z23" s="46">
        <v>718.56600000000003</v>
      </c>
      <c r="AA23" s="46">
        <v>274.61700000000002</v>
      </c>
      <c r="AB23" s="46">
        <v>397.68</v>
      </c>
      <c r="AC23" s="46">
        <v>1451.7750000000001</v>
      </c>
      <c r="AD23" s="46">
        <v>175.29900000000001</v>
      </c>
      <c r="AE23" s="46">
        <v>395.35199999999998</v>
      </c>
      <c r="AF23" s="46">
        <v>1114.79</v>
      </c>
      <c r="AG23" s="46">
        <v>342</v>
      </c>
      <c r="AH23" s="46">
        <v>153.55500000000001</v>
      </c>
      <c r="AI23" s="46">
        <v>319.358</v>
      </c>
      <c r="AJ23" s="46">
        <v>225.88200000000001</v>
      </c>
      <c r="AK23" s="46">
        <v>470.29</v>
      </c>
      <c r="AL23" s="46">
        <v>193.61099999999999</v>
      </c>
      <c r="AM23" s="46"/>
      <c r="AN23" s="52">
        <v>37191.489000000001</v>
      </c>
    </row>
    <row r="24" spans="1:40" x14ac:dyDescent="0.2">
      <c r="A24" s="69" t="s">
        <v>83</v>
      </c>
      <c r="B24" s="83" t="s">
        <v>33</v>
      </c>
      <c r="C24" s="46">
        <v>82.194000000000003</v>
      </c>
      <c r="D24" s="46">
        <v>151.393</v>
      </c>
      <c r="E24" s="46">
        <v>3014.3560000000002</v>
      </c>
      <c r="F24" s="46">
        <v>253.565</v>
      </c>
      <c r="G24" s="46">
        <v>970.78899999999999</v>
      </c>
      <c r="H24" s="46">
        <v>952.29100000000005</v>
      </c>
      <c r="I24" s="46">
        <v>1182.806</v>
      </c>
      <c r="J24" s="46">
        <v>436.875</v>
      </c>
      <c r="K24" s="46">
        <v>1176.4939999999999</v>
      </c>
      <c r="L24" s="46">
        <v>1548.71</v>
      </c>
      <c r="M24" s="46">
        <v>377.91699999999997</v>
      </c>
      <c r="N24" s="46">
        <v>257.86799999999999</v>
      </c>
      <c r="O24" s="46">
        <v>559.87300000000005</v>
      </c>
      <c r="P24" s="46">
        <v>1555.3040000000001</v>
      </c>
      <c r="Q24" s="46">
        <v>754.33299999999997</v>
      </c>
      <c r="R24" s="46">
        <v>570.02</v>
      </c>
      <c r="S24" s="46">
        <v>630.83100000000002</v>
      </c>
      <c r="T24" s="46">
        <v>3136.8580000000002</v>
      </c>
      <c r="U24" s="46">
        <v>37682.565000000002</v>
      </c>
      <c r="V24" s="46">
        <v>47771.499000000003</v>
      </c>
      <c r="W24" s="46">
        <v>1823.319</v>
      </c>
      <c r="X24" s="46">
        <v>1978.837</v>
      </c>
      <c r="Y24" s="46">
        <v>1187.0360000000001</v>
      </c>
      <c r="Z24" s="46">
        <v>1656.9190000000001</v>
      </c>
      <c r="AA24" s="46">
        <v>2755.067</v>
      </c>
      <c r="AB24" s="46">
        <v>1053.7080000000001</v>
      </c>
      <c r="AC24" s="46">
        <v>4465.549</v>
      </c>
      <c r="AD24" s="46">
        <v>1169.0119999999999</v>
      </c>
      <c r="AE24" s="46">
        <v>995.07600000000002</v>
      </c>
      <c r="AF24" s="46">
        <v>4126.2489999999998</v>
      </c>
      <c r="AG24" s="46">
        <v>5703</v>
      </c>
      <c r="AH24" s="46">
        <v>1959.962</v>
      </c>
      <c r="AI24" s="46">
        <v>1169.4670000000001</v>
      </c>
      <c r="AJ24" s="46">
        <v>564.58399999999995</v>
      </c>
      <c r="AK24" s="46">
        <v>1203.7539999999999</v>
      </c>
      <c r="AL24" s="46">
        <v>869.346</v>
      </c>
      <c r="AM24" s="46"/>
      <c r="AN24" s="52">
        <v>135747.42499999999</v>
      </c>
    </row>
    <row r="25" spans="1:40" x14ac:dyDescent="0.2">
      <c r="A25" s="69" t="s">
        <v>84</v>
      </c>
      <c r="B25" s="83" t="s">
        <v>34</v>
      </c>
      <c r="C25" s="46">
        <v>37.198</v>
      </c>
      <c r="D25" s="46">
        <v>62.999000000000002</v>
      </c>
      <c r="E25" s="46">
        <v>486.31799999999998</v>
      </c>
      <c r="F25" s="46">
        <v>41.045000000000002</v>
      </c>
      <c r="G25" s="46">
        <v>117.848</v>
      </c>
      <c r="H25" s="46">
        <v>120.63500000000001</v>
      </c>
      <c r="I25" s="46">
        <v>251.696</v>
      </c>
      <c r="J25" s="46">
        <v>151.80699999999999</v>
      </c>
      <c r="K25" s="46">
        <v>239.202</v>
      </c>
      <c r="L25" s="46">
        <v>363.31599999999997</v>
      </c>
      <c r="M25" s="46">
        <v>94.231999999999999</v>
      </c>
      <c r="N25" s="46">
        <v>64.778000000000006</v>
      </c>
      <c r="O25" s="46">
        <v>159.32300000000001</v>
      </c>
      <c r="P25" s="46">
        <v>441.33800000000002</v>
      </c>
      <c r="Q25" s="46">
        <v>232.447</v>
      </c>
      <c r="R25" s="46">
        <v>204.49799999999999</v>
      </c>
      <c r="S25" s="46">
        <v>196.12799999999999</v>
      </c>
      <c r="T25" s="46">
        <v>455.67599999999999</v>
      </c>
      <c r="U25" s="46">
        <v>8997.8330000000005</v>
      </c>
      <c r="V25" s="46">
        <v>2210.5990000000002</v>
      </c>
      <c r="W25" s="46">
        <v>2078.08</v>
      </c>
      <c r="X25" s="46">
        <v>719.51800000000003</v>
      </c>
      <c r="Y25" s="46">
        <v>413.05099999999999</v>
      </c>
      <c r="Z25" s="46">
        <v>1309.1120000000001</v>
      </c>
      <c r="AA25" s="46">
        <v>1134.1579999999999</v>
      </c>
      <c r="AB25" s="46">
        <v>704.03800000000001</v>
      </c>
      <c r="AC25" s="46">
        <v>3146.6509999999998</v>
      </c>
      <c r="AD25" s="46">
        <v>577.35199999999998</v>
      </c>
      <c r="AE25" s="46">
        <v>528.52300000000002</v>
      </c>
      <c r="AF25" s="46">
        <v>3296.893</v>
      </c>
      <c r="AG25" s="46">
        <v>511</v>
      </c>
      <c r="AH25" s="46">
        <v>841.01</v>
      </c>
      <c r="AI25" s="46">
        <v>554.95000000000005</v>
      </c>
      <c r="AJ25" s="46">
        <v>2463.84</v>
      </c>
      <c r="AK25" s="46">
        <v>775.79399999999998</v>
      </c>
      <c r="AL25" s="46">
        <v>311.94400000000002</v>
      </c>
      <c r="AM25" s="46"/>
      <c r="AN25" s="52">
        <v>34294.828999999998</v>
      </c>
    </row>
    <row r="26" spans="1:40" x14ac:dyDescent="0.2">
      <c r="A26" s="69" t="s">
        <v>85</v>
      </c>
      <c r="B26" s="83" t="s">
        <v>35</v>
      </c>
      <c r="C26" s="46">
        <v>172.19399999999999</v>
      </c>
      <c r="D26" s="46">
        <v>0.01</v>
      </c>
      <c r="E26" s="46">
        <v>206.251</v>
      </c>
      <c r="F26" s="46">
        <v>17.338000000000001</v>
      </c>
      <c r="G26" s="46">
        <v>38.61</v>
      </c>
      <c r="H26" s="46">
        <v>27.997</v>
      </c>
      <c r="I26" s="46">
        <v>88.75</v>
      </c>
      <c r="J26" s="46">
        <v>44.655999999999999</v>
      </c>
      <c r="K26" s="46">
        <v>44.768000000000001</v>
      </c>
      <c r="L26" s="46">
        <v>70.429000000000002</v>
      </c>
      <c r="M26" s="46">
        <v>61.530999999999999</v>
      </c>
      <c r="N26" s="46">
        <v>24.055</v>
      </c>
      <c r="O26" s="46">
        <v>43.7</v>
      </c>
      <c r="P26" s="46">
        <v>163.65100000000001</v>
      </c>
      <c r="Q26" s="46">
        <v>54.566000000000003</v>
      </c>
      <c r="R26" s="46">
        <v>181.54300000000001</v>
      </c>
      <c r="S26" s="46">
        <v>76.382000000000005</v>
      </c>
      <c r="T26" s="46">
        <v>294.73200000000003</v>
      </c>
      <c r="U26" s="46">
        <v>2061.9349999999999</v>
      </c>
      <c r="V26" s="46">
        <v>462.39100000000002</v>
      </c>
      <c r="W26" s="46">
        <v>149.96199999999999</v>
      </c>
      <c r="X26" s="46">
        <v>3894.72</v>
      </c>
      <c r="Y26" s="46">
        <v>756.54499999999996</v>
      </c>
      <c r="Z26" s="46">
        <v>2453.7260000000001</v>
      </c>
      <c r="AA26" s="46">
        <v>4761.732</v>
      </c>
      <c r="AB26" s="46">
        <v>357.15699999999998</v>
      </c>
      <c r="AC26" s="46">
        <v>3287.181</v>
      </c>
      <c r="AD26" s="46">
        <v>976.51499999999999</v>
      </c>
      <c r="AE26" s="46">
        <v>1173.9690000000001</v>
      </c>
      <c r="AF26" s="46">
        <v>2082.145</v>
      </c>
      <c r="AG26" s="46">
        <v>1654</v>
      </c>
      <c r="AH26" s="46">
        <v>865.899</v>
      </c>
      <c r="AI26" s="46">
        <v>421.476</v>
      </c>
      <c r="AJ26" s="46">
        <v>263.459</v>
      </c>
      <c r="AK26" s="46">
        <v>1119.1400000000001</v>
      </c>
      <c r="AL26" s="46">
        <v>549.42499999999995</v>
      </c>
      <c r="AM26" s="46"/>
      <c r="AN26" s="52">
        <v>28902.543000000001</v>
      </c>
    </row>
    <row r="27" spans="1:40" x14ac:dyDescent="0.2">
      <c r="A27" s="69" t="s">
        <v>86</v>
      </c>
      <c r="B27" s="83" t="s">
        <v>36</v>
      </c>
      <c r="C27" s="46">
        <v>38.066000000000003</v>
      </c>
      <c r="D27" s="46">
        <v>10.27</v>
      </c>
      <c r="E27" s="46">
        <v>209.93799999999999</v>
      </c>
      <c r="F27" s="46">
        <v>34.945999999999998</v>
      </c>
      <c r="G27" s="46">
        <v>64.391000000000005</v>
      </c>
      <c r="H27" s="46">
        <v>65.230999999999995</v>
      </c>
      <c r="I27" s="46">
        <v>114.72</v>
      </c>
      <c r="J27" s="46">
        <v>76.978999999999999</v>
      </c>
      <c r="K27" s="46">
        <v>64.507999999999996</v>
      </c>
      <c r="L27" s="46">
        <v>96.394999999999996</v>
      </c>
      <c r="M27" s="46">
        <v>48.097999999999999</v>
      </c>
      <c r="N27" s="46">
        <v>50.097999999999999</v>
      </c>
      <c r="O27" s="46">
        <v>103.313</v>
      </c>
      <c r="P27" s="46">
        <v>192.959</v>
      </c>
      <c r="Q27" s="46">
        <v>101.378</v>
      </c>
      <c r="R27" s="46">
        <v>221.38499999999999</v>
      </c>
      <c r="S27" s="46">
        <v>69.474999999999994</v>
      </c>
      <c r="T27" s="46">
        <v>503.66699999999997</v>
      </c>
      <c r="U27" s="46">
        <v>5171.5929999999998</v>
      </c>
      <c r="V27" s="46">
        <v>825.72299999999996</v>
      </c>
      <c r="W27" s="46">
        <v>476.74099999999999</v>
      </c>
      <c r="X27" s="46">
        <v>418.09199999999998</v>
      </c>
      <c r="Y27" s="46">
        <v>8044.076</v>
      </c>
      <c r="Z27" s="46">
        <v>1665.61</v>
      </c>
      <c r="AA27" s="46">
        <v>6949.9840000000004</v>
      </c>
      <c r="AB27" s="46">
        <v>423.233</v>
      </c>
      <c r="AC27" s="46">
        <v>2609.9029999999998</v>
      </c>
      <c r="AD27" s="46">
        <v>834.91200000000003</v>
      </c>
      <c r="AE27" s="46">
        <v>383.54199999999997</v>
      </c>
      <c r="AF27" s="46">
        <v>2430.2170000000001</v>
      </c>
      <c r="AG27" s="46">
        <v>1422</v>
      </c>
      <c r="AH27" s="46">
        <v>515.00699999999995</v>
      </c>
      <c r="AI27" s="46">
        <v>655.61400000000003</v>
      </c>
      <c r="AJ27" s="46">
        <v>98.986999999999995</v>
      </c>
      <c r="AK27" s="46">
        <v>546.45799999999997</v>
      </c>
      <c r="AL27" s="46">
        <v>296.803</v>
      </c>
      <c r="AM27" s="46"/>
      <c r="AN27" s="52">
        <v>35834.313000000002</v>
      </c>
    </row>
    <row r="28" spans="1:40" x14ac:dyDescent="0.2">
      <c r="A28" s="69" t="s">
        <v>87</v>
      </c>
      <c r="B28" s="83" t="s">
        <v>37</v>
      </c>
      <c r="C28" s="46">
        <v>1</v>
      </c>
      <c r="D28" s="46">
        <v>1.4119999999999999</v>
      </c>
      <c r="E28" s="46">
        <v>647.83100000000002</v>
      </c>
      <c r="F28" s="46">
        <v>71.260000000000005</v>
      </c>
      <c r="G28" s="46">
        <v>181.68600000000001</v>
      </c>
      <c r="H28" s="46">
        <v>237.417</v>
      </c>
      <c r="I28" s="46">
        <v>293.36799999999999</v>
      </c>
      <c r="J28" s="46">
        <v>127.973</v>
      </c>
      <c r="K28" s="46">
        <v>189.62200000000001</v>
      </c>
      <c r="L28" s="46">
        <v>262.279</v>
      </c>
      <c r="M28" s="46">
        <v>380.15899999999999</v>
      </c>
      <c r="N28" s="46">
        <v>90.399000000000001</v>
      </c>
      <c r="O28" s="46">
        <v>179.565</v>
      </c>
      <c r="P28" s="46">
        <v>446.46199999999999</v>
      </c>
      <c r="Q28" s="46">
        <v>223.917</v>
      </c>
      <c r="R28" s="46">
        <v>557.55399999999997</v>
      </c>
      <c r="S28" s="46">
        <v>187.64099999999999</v>
      </c>
      <c r="T28" s="46">
        <v>920.30200000000002</v>
      </c>
      <c r="U28" s="46">
        <v>3837.0430000000001</v>
      </c>
      <c r="V28" s="46">
        <v>940.78700000000003</v>
      </c>
      <c r="W28" s="46">
        <v>282.53100000000001</v>
      </c>
      <c r="X28" s="46">
        <v>856.88699999999994</v>
      </c>
      <c r="Y28" s="46">
        <v>1075.021</v>
      </c>
      <c r="Z28" s="46">
        <v>14982.501</v>
      </c>
      <c r="AA28" s="46">
        <v>7329.7389999999996</v>
      </c>
      <c r="AB28" s="46">
        <v>659.50300000000004</v>
      </c>
      <c r="AC28" s="46">
        <v>2592.3980000000001</v>
      </c>
      <c r="AD28" s="46">
        <v>878.31700000000001</v>
      </c>
      <c r="AE28" s="46">
        <v>427.488</v>
      </c>
      <c r="AF28" s="46">
        <v>2362.1010000000001</v>
      </c>
      <c r="AG28" s="46">
        <v>1432</v>
      </c>
      <c r="AH28" s="46">
        <v>300.42899999999997</v>
      </c>
      <c r="AI28" s="46">
        <v>421.21600000000001</v>
      </c>
      <c r="AJ28" s="46">
        <v>236.18100000000001</v>
      </c>
      <c r="AK28" s="46">
        <v>290.46899999999999</v>
      </c>
      <c r="AL28" s="46">
        <v>395.387</v>
      </c>
      <c r="AM28" s="46"/>
      <c r="AN28" s="52">
        <v>44299.847999999998</v>
      </c>
    </row>
    <row r="29" spans="1:40" x14ac:dyDescent="0.2">
      <c r="A29" s="69" t="s">
        <v>88</v>
      </c>
      <c r="B29" s="83" t="s">
        <v>38</v>
      </c>
      <c r="C29" s="46">
        <v>2075.395</v>
      </c>
      <c r="D29" s="46">
        <v>136.83600000000001</v>
      </c>
      <c r="E29" s="46">
        <v>2959.5390000000002</v>
      </c>
      <c r="F29" s="46">
        <v>317.661</v>
      </c>
      <c r="G29" s="46">
        <v>668.60400000000004</v>
      </c>
      <c r="H29" s="46">
        <v>518.91800000000001</v>
      </c>
      <c r="I29" s="46">
        <v>1130.1279999999999</v>
      </c>
      <c r="J29" s="46">
        <v>350.36200000000002</v>
      </c>
      <c r="K29" s="46">
        <v>634.58299999999997</v>
      </c>
      <c r="L29" s="46">
        <v>924.56899999999996</v>
      </c>
      <c r="M29" s="46">
        <v>408.00099999999998</v>
      </c>
      <c r="N29" s="46">
        <v>274.11500000000001</v>
      </c>
      <c r="O29" s="46">
        <v>659.48199999999997</v>
      </c>
      <c r="P29" s="46">
        <v>1230.191</v>
      </c>
      <c r="Q29" s="46">
        <v>647.32899999999995</v>
      </c>
      <c r="R29" s="46">
        <v>891.93399999999997</v>
      </c>
      <c r="S29" s="46">
        <v>1066.614</v>
      </c>
      <c r="T29" s="46">
        <v>5685.4790000000003</v>
      </c>
      <c r="U29" s="46">
        <v>15561.868</v>
      </c>
      <c r="V29" s="46">
        <v>8479.7119999999995</v>
      </c>
      <c r="W29" s="46">
        <v>1963.825</v>
      </c>
      <c r="X29" s="46">
        <v>1013.86</v>
      </c>
      <c r="Y29" s="46">
        <v>2860.1779999999999</v>
      </c>
      <c r="Z29" s="46">
        <v>1215.7929999999999</v>
      </c>
      <c r="AA29" s="46">
        <v>80802.131999999998</v>
      </c>
      <c r="AB29" s="46">
        <v>16585.559000000001</v>
      </c>
      <c r="AC29" s="46">
        <v>11333.94</v>
      </c>
      <c r="AD29" s="46">
        <v>1072.92</v>
      </c>
      <c r="AE29" s="46">
        <v>1235.0409999999999</v>
      </c>
      <c r="AF29" s="46">
        <v>5330.83</v>
      </c>
      <c r="AG29" s="46">
        <v>3916</v>
      </c>
      <c r="AH29" s="46">
        <v>862.07500000000005</v>
      </c>
      <c r="AI29" s="46">
        <v>1849.4690000000001</v>
      </c>
      <c r="AJ29" s="46">
        <v>364.52800000000002</v>
      </c>
      <c r="AK29" s="46">
        <v>828.41800000000001</v>
      </c>
      <c r="AL29" s="46">
        <v>1635.7619999999999</v>
      </c>
      <c r="AM29" s="46"/>
      <c r="AN29" s="52">
        <v>177491.652</v>
      </c>
    </row>
    <row r="30" spans="1:40" x14ac:dyDescent="0.2">
      <c r="A30" s="69" t="s">
        <v>89</v>
      </c>
      <c r="B30" s="83" t="s">
        <v>39</v>
      </c>
      <c r="C30" s="46">
        <v>19.024000000000001</v>
      </c>
      <c r="D30" s="46">
        <v>69.507000000000005</v>
      </c>
      <c r="E30" s="46">
        <v>670.20399999999995</v>
      </c>
      <c r="F30" s="46">
        <v>53.779000000000003</v>
      </c>
      <c r="G30" s="46">
        <v>296.82799999999997</v>
      </c>
      <c r="H30" s="46">
        <v>123.997</v>
      </c>
      <c r="I30" s="46">
        <v>324.31700000000001</v>
      </c>
      <c r="J30" s="46">
        <v>272.28399999999999</v>
      </c>
      <c r="K30" s="46">
        <v>326.64100000000002</v>
      </c>
      <c r="L30" s="46">
        <v>473.48099999999999</v>
      </c>
      <c r="M30" s="46">
        <v>102.19799999999999</v>
      </c>
      <c r="N30" s="46">
        <v>35.523000000000003</v>
      </c>
      <c r="O30" s="46">
        <v>198.06299999999999</v>
      </c>
      <c r="P30" s="46">
        <v>486.33100000000002</v>
      </c>
      <c r="Q30" s="46">
        <v>192.53100000000001</v>
      </c>
      <c r="R30" s="46">
        <v>191.68899999999999</v>
      </c>
      <c r="S30" s="46">
        <v>147.88200000000001</v>
      </c>
      <c r="T30" s="46">
        <v>767.7</v>
      </c>
      <c r="U30" s="46">
        <v>19142.225999999999</v>
      </c>
      <c r="V30" s="46">
        <v>2942.08</v>
      </c>
      <c r="W30" s="46">
        <v>2102.9870000000001</v>
      </c>
      <c r="X30" s="46">
        <v>783.00599999999997</v>
      </c>
      <c r="Y30" s="46">
        <v>958.17399999999998</v>
      </c>
      <c r="Z30" s="46">
        <v>2609.5300000000002</v>
      </c>
      <c r="AA30" s="46">
        <v>7982.7269999999999</v>
      </c>
      <c r="AB30" s="46">
        <v>11658.393</v>
      </c>
      <c r="AC30" s="46">
        <v>7427.165</v>
      </c>
      <c r="AD30" s="46">
        <v>1922.6890000000001</v>
      </c>
      <c r="AE30" s="46">
        <v>910.57500000000005</v>
      </c>
      <c r="AF30" s="46">
        <v>7084.7259999999997</v>
      </c>
      <c r="AG30" s="46">
        <v>2221</v>
      </c>
      <c r="AH30" s="46">
        <v>700.30799999999999</v>
      </c>
      <c r="AI30" s="46">
        <v>1585.509</v>
      </c>
      <c r="AJ30" s="46">
        <v>1121.5039999999999</v>
      </c>
      <c r="AK30" s="46">
        <v>822.548</v>
      </c>
      <c r="AL30" s="46">
        <v>733.00699999999995</v>
      </c>
      <c r="AM30" s="46"/>
      <c r="AN30" s="52">
        <v>77460.134000000005</v>
      </c>
    </row>
    <row r="31" spans="1:40" x14ac:dyDescent="0.2">
      <c r="A31" s="69" t="s">
        <v>90</v>
      </c>
      <c r="B31" s="83" t="s">
        <v>40</v>
      </c>
      <c r="C31" s="46">
        <v>1571.0160000000001</v>
      </c>
      <c r="D31" s="46">
        <v>207.45699999999999</v>
      </c>
      <c r="E31" s="46">
        <v>5832.1310000000003</v>
      </c>
      <c r="F31" s="46">
        <v>373.988</v>
      </c>
      <c r="G31" s="46">
        <v>1653.2170000000001</v>
      </c>
      <c r="H31" s="46">
        <v>1057.6300000000001</v>
      </c>
      <c r="I31" s="46">
        <v>1516.961</v>
      </c>
      <c r="J31" s="46">
        <v>1184.2159999999999</v>
      </c>
      <c r="K31" s="46">
        <v>2491.8090000000002</v>
      </c>
      <c r="L31" s="46">
        <v>3144.9229999999998</v>
      </c>
      <c r="M31" s="46">
        <v>953.02700000000004</v>
      </c>
      <c r="N31" s="46">
        <v>529.14300000000003</v>
      </c>
      <c r="O31" s="46">
        <v>1582.3720000000001</v>
      </c>
      <c r="P31" s="46">
        <v>3988.9920000000002</v>
      </c>
      <c r="Q31" s="46">
        <v>1899.58</v>
      </c>
      <c r="R31" s="46">
        <v>2371.1190000000001</v>
      </c>
      <c r="S31" s="46">
        <v>1379.694</v>
      </c>
      <c r="T31" s="46">
        <v>16704.348999999998</v>
      </c>
      <c r="U31" s="46">
        <v>28294.434000000001</v>
      </c>
      <c r="V31" s="46">
        <v>9235.8989999999994</v>
      </c>
      <c r="W31" s="46">
        <v>4297.1899999999996</v>
      </c>
      <c r="X31" s="46">
        <v>3301.6849999999999</v>
      </c>
      <c r="Y31" s="46">
        <v>2462.2930000000001</v>
      </c>
      <c r="Z31" s="46">
        <v>6380.0659999999998</v>
      </c>
      <c r="AA31" s="46">
        <v>10620.231</v>
      </c>
      <c r="AB31" s="46">
        <v>7189.6329999999998</v>
      </c>
      <c r="AC31" s="46">
        <v>76895.387000000002</v>
      </c>
      <c r="AD31" s="46">
        <v>5561.85</v>
      </c>
      <c r="AE31" s="46">
        <v>2362.6239999999998</v>
      </c>
      <c r="AF31" s="46">
        <v>15787.11</v>
      </c>
      <c r="AG31" s="46">
        <v>5340</v>
      </c>
      <c r="AH31" s="46">
        <v>1992.912</v>
      </c>
      <c r="AI31" s="46">
        <v>3368.9409999999998</v>
      </c>
      <c r="AJ31" s="46">
        <v>1801.8589999999999</v>
      </c>
      <c r="AK31" s="46">
        <v>1834.454</v>
      </c>
      <c r="AL31" s="46">
        <v>1877.038</v>
      </c>
      <c r="AM31" s="46"/>
      <c r="AN31" s="52">
        <v>237045.228</v>
      </c>
    </row>
    <row r="32" spans="1:40" x14ac:dyDescent="0.2">
      <c r="A32" s="69" t="s">
        <v>91</v>
      </c>
      <c r="B32" s="83" t="s">
        <v>41</v>
      </c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>
        <v>2518.6089999999999</v>
      </c>
      <c r="AE32" s="46"/>
      <c r="AF32" s="46"/>
      <c r="AG32" s="46"/>
      <c r="AH32" s="46"/>
      <c r="AI32" s="46"/>
      <c r="AJ32" s="46"/>
      <c r="AK32" s="46"/>
      <c r="AL32" s="46"/>
      <c r="AM32" s="46"/>
      <c r="AN32" s="52">
        <v>2518.6089999999999</v>
      </c>
    </row>
    <row r="33" spans="1:40" x14ac:dyDescent="0.2">
      <c r="A33" s="69" t="s">
        <v>92</v>
      </c>
      <c r="B33" s="83" t="s">
        <v>42</v>
      </c>
      <c r="C33" s="46">
        <v>420.834</v>
      </c>
      <c r="D33" s="46">
        <v>22.117999999999999</v>
      </c>
      <c r="E33" s="46">
        <v>3455.527</v>
      </c>
      <c r="F33" s="46">
        <v>229.595</v>
      </c>
      <c r="G33" s="46">
        <v>330.69099999999997</v>
      </c>
      <c r="H33" s="46">
        <v>154.41900000000001</v>
      </c>
      <c r="I33" s="46">
        <v>1338.71</v>
      </c>
      <c r="J33" s="46">
        <v>993.69399999999996</v>
      </c>
      <c r="K33" s="46">
        <v>186.48500000000001</v>
      </c>
      <c r="L33" s="46">
        <v>293.87</v>
      </c>
      <c r="M33" s="46">
        <v>130.054</v>
      </c>
      <c r="N33" s="46">
        <v>104.373</v>
      </c>
      <c r="O33" s="46">
        <v>110.504</v>
      </c>
      <c r="P33" s="46">
        <v>1445.9670000000001</v>
      </c>
      <c r="Q33" s="46">
        <v>512.822</v>
      </c>
      <c r="R33" s="46">
        <v>290.00700000000001</v>
      </c>
      <c r="S33" s="46">
        <v>168.61600000000001</v>
      </c>
      <c r="T33" s="46">
        <v>770.78399999999999</v>
      </c>
      <c r="U33" s="46">
        <v>7082.3580000000002</v>
      </c>
      <c r="V33" s="46">
        <v>1122.5889999999999</v>
      </c>
      <c r="W33" s="46">
        <v>416.18700000000001</v>
      </c>
      <c r="X33" s="46">
        <v>664.11500000000001</v>
      </c>
      <c r="Y33" s="46">
        <v>946.66099999999994</v>
      </c>
      <c r="Z33" s="46">
        <v>874.57</v>
      </c>
      <c r="AA33" s="46">
        <v>3800.9119999999998</v>
      </c>
      <c r="AB33" s="46">
        <v>282.13099999999997</v>
      </c>
      <c r="AC33" s="46">
        <v>1565.53</v>
      </c>
      <c r="AD33" s="46">
        <v>682.48</v>
      </c>
      <c r="AE33" s="46">
        <v>2856.9059999999999</v>
      </c>
      <c r="AF33" s="46">
        <v>2515.2489999999998</v>
      </c>
      <c r="AG33" s="46">
        <v>1879</v>
      </c>
      <c r="AH33" s="46">
        <v>701.30700000000002</v>
      </c>
      <c r="AI33" s="46">
        <v>1034.329</v>
      </c>
      <c r="AJ33" s="46">
        <v>663.524</v>
      </c>
      <c r="AK33" s="46">
        <v>907.61500000000001</v>
      </c>
      <c r="AL33" s="46">
        <v>341.19200000000001</v>
      </c>
      <c r="AM33" s="46"/>
      <c r="AN33" s="52">
        <v>39295.724999999999</v>
      </c>
    </row>
    <row r="34" spans="1:40" x14ac:dyDescent="0.2">
      <c r="A34" s="69" t="s">
        <v>93</v>
      </c>
      <c r="B34" s="83" t="s">
        <v>43</v>
      </c>
      <c r="C34" s="46">
        <v>678.54700000000003</v>
      </c>
      <c r="D34" s="46">
        <v>219.863</v>
      </c>
      <c r="E34" s="46">
        <v>6568.8249999999998</v>
      </c>
      <c r="F34" s="46">
        <v>698.18799999999999</v>
      </c>
      <c r="G34" s="46">
        <v>1612.895</v>
      </c>
      <c r="H34" s="46">
        <v>777.85</v>
      </c>
      <c r="I34" s="46">
        <v>1686.0509999999999</v>
      </c>
      <c r="J34" s="46">
        <v>927.024</v>
      </c>
      <c r="K34" s="46">
        <v>3136.404</v>
      </c>
      <c r="L34" s="46">
        <v>4311.9260000000004</v>
      </c>
      <c r="M34" s="46">
        <v>713.14300000000003</v>
      </c>
      <c r="N34" s="46">
        <v>892.07500000000005</v>
      </c>
      <c r="O34" s="46">
        <v>1595.7760000000001</v>
      </c>
      <c r="P34" s="46">
        <v>4044.1790000000001</v>
      </c>
      <c r="Q34" s="46">
        <v>1994.202</v>
      </c>
      <c r="R34" s="46">
        <v>2624.3270000000002</v>
      </c>
      <c r="S34" s="46">
        <v>4152.9719999999998</v>
      </c>
      <c r="T34" s="46">
        <v>16208.849</v>
      </c>
      <c r="U34" s="46">
        <v>27746.397000000001</v>
      </c>
      <c r="V34" s="46">
        <v>14315.545</v>
      </c>
      <c r="W34" s="46">
        <v>3048.89</v>
      </c>
      <c r="X34" s="46">
        <v>2115.509</v>
      </c>
      <c r="Y34" s="46">
        <v>2862.3449999999998</v>
      </c>
      <c r="Z34" s="46">
        <v>4132.674</v>
      </c>
      <c r="AA34" s="46">
        <v>16289.574000000001</v>
      </c>
      <c r="AB34" s="46">
        <v>6888.1819999999998</v>
      </c>
      <c r="AC34" s="46">
        <v>16972.103999999999</v>
      </c>
      <c r="AD34" s="46">
        <v>6709.183</v>
      </c>
      <c r="AE34" s="46">
        <v>4295.2349999999997</v>
      </c>
      <c r="AF34" s="46">
        <v>28050.407999999999</v>
      </c>
      <c r="AG34" s="46">
        <v>10266</v>
      </c>
      <c r="AH34" s="46">
        <v>4667.3680000000004</v>
      </c>
      <c r="AI34" s="46">
        <v>4605.1030000000001</v>
      </c>
      <c r="AJ34" s="46">
        <v>3004.0720000000001</v>
      </c>
      <c r="AK34" s="46">
        <v>2990.1990000000001</v>
      </c>
      <c r="AL34" s="46">
        <v>3527.5320000000002</v>
      </c>
      <c r="AM34" s="46"/>
      <c r="AN34" s="52">
        <v>215329.416</v>
      </c>
    </row>
    <row r="35" spans="1:40" x14ac:dyDescent="0.2">
      <c r="A35" s="69" t="s">
        <v>94</v>
      </c>
      <c r="B35" s="83" t="s">
        <v>44</v>
      </c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52"/>
    </row>
    <row r="36" spans="1:40" x14ac:dyDescent="0.2">
      <c r="A36" s="69" t="s">
        <v>95</v>
      </c>
      <c r="B36" s="83" t="s">
        <v>45</v>
      </c>
      <c r="C36" s="46">
        <v>151.25899999999999</v>
      </c>
      <c r="D36" s="46">
        <v>29.768000000000001</v>
      </c>
      <c r="E36" s="46">
        <v>547.81799999999998</v>
      </c>
      <c r="F36" s="46">
        <v>64.415000000000006</v>
      </c>
      <c r="G36" s="46">
        <v>132.464</v>
      </c>
      <c r="H36" s="46">
        <v>160.44800000000001</v>
      </c>
      <c r="I36" s="46">
        <v>378.39400000000001</v>
      </c>
      <c r="J36" s="46">
        <v>204.87100000000001</v>
      </c>
      <c r="K36" s="46">
        <v>342.98200000000003</v>
      </c>
      <c r="L36" s="46">
        <v>362.35500000000002</v>
      </c>
      <c r="M36" s="46">
        <v>199.86799999999999</v>
      </c>
      <c r="N36" s="46">
        <v>144.517</v>
      </c>
      <c r="O36" s="46">
        <v>262.64800000000002</v>
      </c>
      <c r="P36" s="46">
        <v>1028.25</v>
      </c>
      <c r="Q36" s="46">
        <v>457.28100000000001</v>
      </c>
      <c r="R36" s="46">
        <v>686.18499999999995</v>
      </c>
      <c r="S36" s="46">
        <v>133.58699999999999</v>
      </c>
      <c r="T36" s="46">
        <v>849.92200000000003</v>
      </c>
      <c r="U36" s="46">
        <v>2891.7339999999999</v>
      </c>
      <c r="V36" s="46">
        <v>2981.2350000000001</v>
      </c>
      <c r="W36" s="46">
        <v>299.565</v>
      </c>
      <c r="X36" s="46">
        <v>192.101</v>
      </c>
      <c r="Y36" s="46">
        <v>661.05499999999995</v>
      </c>
      <c r="Z36" s="46">
        <v>1124.7529999999999</v>
      </c>
      <c r="AA36" s="46">
        <v>1047.896</v>
      </c>
      <c r="AB36" s="46">
        <v>150.31899999999999</v>
      </c>
      <c r="AC36" s="46">
        <v>1432.799</v>
      </c>
      <c r="AD36" s="46">
        <v>436.255</v>
      </c>
      <c r="AE36" s="46">
        <v>491.40899999999999</v>
      </c>
      <c r="AF36" s="46">
        <v>998.09299999999996</v>
      </c>
      <c r="AG36" s="46">
        <v>729</v>
      </c>
      <c r="AH36" s="46">
        <v>1799.982</v>
      </c>
      <c r="AI36" s="46">
        <v>2708.3130000000001</v>
      </c>
      <c r="AJ36" s="46">
        <v>194.46700000000001</v>
      </c>
      <c r="AK36" s="46">
        <v>264.92500000000001</v>
      </c>
      <c r="AL36" s="46">
        <v>104.672</v>
      </c>
      <c r="AM36" s="46"/>
      <c r="AN36" s="52">
        <v>24645.603999999999</v>
      </c>
    </row>
    <row r="37" spans="1:40" x14ac:dyDescent="0.2">
      <c r="A37" s="69" t="s">
        <v>96</v>
      </c>
      <c r="B37" s="83" t="s">
        <v>46</v>
      </c>
      <c r="C37" s="46"/>
      <c r="D37" s="46">
        <v>1.21</v>
      </c>
      <c r="E37" s="46">
        <v>104.41800000000001</v>
      </c>
      <c r="F37" s="46">
        <v>10.577999999999999</v>
      </c>
      <c r="G37" s="46">
        <v>14.214</v>
      </c>
      <c r="H37" s="46">
        <v>33.460999999999999</v>
      </c>
      <c r="I37" s="46">
        <v>27.042000000000002</v>
      </c>
      <c r="J37" s="46">
        <v>7.1280000000000001</v>
      </c>
      <c r="K37" s="46">
        <v>19.616</v>
      </c>
      <c r="L37" s="46">
        <v>50.116999999999997</v>
      </c>
      <c r="M37" s="46">
        <v>7.7430000000000003</v>
      </c>
      <c r="N37" s="46">
        <v>7.3780000000000001</v>
      </c>
      <c r="O37" s="46">
        <v>18.89</v>
      </c>
      <c r="P37" s="46">
        <v>55.921999999999997</v>
      </c>
      <c r="Q37" s="46">
        <v>26.376999999999999</v>
      </c>
      <c r="R37" s="46">
        <v>45.793999999999997</v>
      </c>
      <c r="S37" s="46">
        <v>17.393999999999998</v>
      </c>
      <c r="T37" s="46">
        <v>182.04</v>
      </c>
      <c r="U37" s="46">
        <v>213.83799999999999</v>
      </c>
      <c r="V37" s="46">
        <v>173.583</v>
      </c>
      <c r="W37" s="46">
        <v>217.161</v>
      </c>
      <c r="X37" s="46">
        <v>37.738</v>
      </c>
      <c r="Y37" s="46">
        <v>47.109000000000002</v>
      </c>
      <c r="Z37" s="46">
        <v>91.113</v>
      </c>
      <c r="AA37" s="46">
        <v>373.58100000000002</v>
      </c>
      <c r="AB37" s="46">
        <v>30.462</v>
      </c>
      <c r="AC37" s="46">
        <v>95.147000000000006</v>
      </c>
      <c r="AD37" s="46">
        <v>117.227</v>
      </c>
      <c r="AE37" s="46">
        <v>61.765999999999998</v>
      </c>
      <c r="AF37" s="46">
        <v>337.50200000000001</v>
      </c>
      <c r="AG37" s="46">
        <v>306</v>
      </c>
      <c r="AH37" s="46">
        <v>19.344999999999999</v>
      </c>
      <c r="AI37" s="46">
        <v>5648.1</v>
      </c>
      <c r="AJ37" s="46">
        <v>301.50099999999998</v>
      </c>
      <c r="AK37" s="46">
        <v>43.017000000000003</v>
      </c>
      <c r="AL37" s="46">
        <v>12.493</v>
      </c>
      <c r="AM37" s="46"/>
      <c r="AN37" s="52">
        <v>8756.0030000000006</v>
      </c>
    </row>
    <row r="38" spans="1:40" x14ac:dyDescent="0.2">
      <c r="A38" s="69" t="s">
        <v>97</v>
      </c>
      <c r="B38" s="83" t="s">
        <v>47</v>
      </c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52"/>
    </row>
    <row r="39" spans="1:40" x14ac:dyDescent="0.2">
      <c r="A39" s="69" t="s">
        <v>98</v>
      </c>
      <c r="B39" s="83" t="s">
        <v>48</v>
      </c>
      <c r="C39" s="46"/>
      <c r="D39" s="46"/>
      <c r="E39" s="46">
        <v>84.082999999999998</v>
      </c>
      <c r="F39" s="46">
        <v>7.218</v>
      </c>
      <c r="G39" s="46">
        <v>23.149000000000001</v>
      </c>
      <c r="H39" s="46">
        <v>25.920999999999999</v>
      </c>
      <c r="I39" s="46">
        <v>39.945</v>
      </c>
      <c r="J39" s="46">
        <v>31.117000000000001</v>
      </c>
      <c r="K39" s="46">
        <v>43.771000000000001</v>
      </c>
      <c r="L39" s="46">
        <v>66.304000000000002</v>
      </c>
      <c r="M39" s="46">
        <v>15.836</v>
      </c>
      <c r="N39" s="46">
        <v>11.038</v>
      </c>
      <c r="O39" s="46">
        <v>29.274000000000001</v>
      </c>
      <c r="P39" s="46">
        <v>76.941000000000003</v>
      </c>
      <c r="Q39" s="46">
        <v>43.838000000000001</v>
      </c>
      <c r="R39" s="46">
        <v>44.313000000000002</v>
      </c>
      <c r="S39" s="46">
        <v>33.317</v>
      </c>
      <c r="T39" s="46">
        <v>63.905000000000001</v>
      </c>
      <c r="U39" s="46">
        <v>1626.8330000000001</v>
      </c>
      <c r="V39" s="46">
        <v>380.80200000000002</v>
      </c>
      <c r="W39" s="46">
        <v>585.19200000000001</v>
      </c>
      <c r="X39" s="46">
        <v>127.012</v>
      </c>
      <c r="Y39" s="46">
        <v>72.087000000000003</v>
      </c>
      <c r="Z39" s="46">
        <v>241.73599999999999</v>
      </c>
      <c r="AA39" s="46">
        <v>8</v>
      </c>
      <c r="AB39" s="46">
        <v>171.24799999999999</v>
      </c>
      <c r="AC39" s="46">
        <v>557.81399999999996</v>
      </c>
      <c r="AD39" s="46">
        <v>105.908</v>
      </c>
      <c r="AE39" s="46">
        <v>142.898</v>
      </c>
      <c r="AF39" s="46">
        <v>684.173</v>
      </c>
      <c r="AG39" s="46">
        <v>425</v>
      </c>
      <c r="AH39" s="46">
        <v>213.13</v>
      </c>
      <c r="AI39" s="46">
        <v>81.83</v>
      </c>
      <c r="AJ39" s="46">
        <v>135.42099999999999</v>
      </c>
      <c r="AK39" s="46">
        <v>2490.576</v>
      </c>
      <c r="AL39" s="46">
        <v>306.92399999999998</v>
      </c>
      <c r="AM39" s="46"/>
      <c r="AN39" s="52">
        <v>8996.5519999999997</v>
      </c>
    </row>
    <row r="40" spans="1:40" x14ac:dyDescent="0.2">
      <c r="A40" s="69" t="s">
        <v>99</v>
      </c>
      <c r="B40" s="83" t="s">
        <v>49</v>
      </c>
      <c r="C40" s="46">
        <v>90.182000000000002</v>
      </c>
      <c r="D40" s="46"/>
      <c r="E40" s="46">
        <v>513.45500000000004</v>
      </c>
      <c r="F40" s="46">
        <v>32.856000000000002</v>
      </c>
      <c r="G40" s="46">
        <v>55.572000000000003</v>
      </c>
      <c r="H40" s="46">
        <v>153.84899999999999</v>
      </c>
      <c r="I40" s="46">
        <v>171.524</v>
      </c>
      <c r="J40" s="46">
        <v>52.128999999999998</v>
      </c>
      <c r="K40" s="46">
        <v>119.482</v>
      </c>
      <c r="L40" s="46">
        <v>111.154</v>
      </c>
      <c r="M40" s="46">
        <v>54.886000000000003</v>
      </c>
      <c r="N40" s="46">
        <v>63.125999999999998</v>
      </c>
      <c r="O40" s="46">
        <v>175.06399999999999</v>
      </c>
      <c r="P40" s="46">
        <v>669.82100000000003</v>
      </c>
      <c r="Q40" s="46">
        <v>372.24900000000002</v>
      </c>
      <c r="R40" s="46">
        <v>183.61799999999999</v>
      </c>
      <c r="S40" s="46">
        <v>119.71899999999999</v>
      </c>
      <c r="T40" s="46">
        <v>523.17700000000002</v>
      </c>
      <c r="U40" s="46">
        <v>1340.395</v>
      </c>
      <c r="V40" s="46">
        <v>662.03899999999999</v>
      </c>
      <c r="W40" s="46">
        <v>207.03100000000001</v>
      </c>
      <c r="X40" s="46">
        <v>281.16800000000001</v>
      </c>
      <c r="Y40" s="46">
        <v>245.43600000000001</v>
      </c>
      <c r="Z40" s="46">
        <v>202.46299999999999</v>
      </c>
      <c r="AA40" s="46">
        <v>831.58100000000002</v>
      </c>
      <c r="AB40" s="46">
        <v>107.672</v>
      </c>
      <c r="AC40" s="46">
        <v>472.92099999999999</v>
      </c>
      <c r="AD40" s="46">
        <v>136.541</v>
      </c>
      <c r="AE40" s="46">
        <v>320.68200000000002</v>
      </c>
      <c r="AF40" s="46">
        <v>957.19500000000005</v>
      </c>
      <c r="AG40" s="46">
        <v>130</v>
      </c>
      <c r="AH40" s="46">
        <v>34.997</v>
      </c>
      <c r="AI40" s="46">
        <v>92.933999999999997</v>
      </c>
      <c r="AJ40" s="46">
        <v>61.927</v>
      </c>
      <c r="AK40" s="46">
        <v>85.1</v>
      </c>
      <c r="AL40" s="46">
        <v>1427.7929999999999</v>
      </c>
      <c r="AM40" s="46"/>
      <c r="AN40" s="52">
        <v>11059.739</v>
      </c>
    </row>
    <row r="41" spans="1:40" x14ac:dyDescent="0.2">
      <c r="A41" s="69" t="s">
        <v>100</v>
      </c>
      <c r="B41" s="83" t="s">
        <v>50</v>
      </c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52"/>
    </row>
    <row r="42" spans="1:40" x14ac:dyDescent="0.2">
      <c r="A42" s="69" t="s">
        <v>155</v>
      </c>
      <c r="B42" s="83" t="s">
        <v>12</v>
      </c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52"/>
    </row>
    <row r="43" spans="1:40" x14ac:dyDescent="0.2">
      <c r="A43" s="70" t="s">
        <v>156</v>
      </c>
      <c r="B43" s="83" t="s">
        <v>11</v>
      </c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52"/>
    </row>
    <row r="44" spans="1:40" x14ac:dyDescent="0.2">
      <c r="A44" s="26" t="s">
        <v>10</v>
      </c>
      <c r="B44" s="84" t="s">
        <v>13</v>
      </c>
      <c r="C44" s="66">
        <v>53832.45</v>
      </c>
      <c r="D44" s="66">
        <v>3068.723</v>
      </c>
      <c r="E44" s="66">
        <v>118142.21799999999</v>
      </c>
      <c r="F44" s="66">
        <v>11417.27</v>
      </c>
      <c r="G44" s="66">
        <v>24819.631000000001</v>
      </c>
      <c r="H44" s="66">
        <v>33774.184000000001</v>
      </c>
      <c r="I44" s="66">
        <v>44993.305999999997</v>
      </c>
      <c r="J44" s="66">
        <v>15879.144</v>
      </c>
      <c r="K44" s="66">
        <v>34937.652000000002</v>
      </c>
      <c r="L44" s="66">
        <v>59783.146000000001</v>
      </c>
      <c r="M44" s="66">
        <v>15186.145</v>
      </c>
      <c r="N44" s="66">
        <v>13780.671</v>
      </c>
      <c r="O44" s="66">
        <v>26782.204000000002</v>
      </c>
      <c r="P44" s="66">
        <v>117786.86500000001</v>
      </c>
      <c r="Q44" s="66">
        <v>45580.286999999997</v>
      </c>
      <c r="R44" s="66">
        <v>86766.502999999997</v>
      </c>
      <c r="S44" s="66">
        <v>24886.052</v>
      </c>
      <c r="T44" s="66">
        <v>188120.834</v>
      </c>
      <c r="U44" s="66">
        <v>230933.307</v>
      </c>
      <c r="V44" s="66">
        <v>125155.148</v>
      </c>
      <c r="W44" s="66">
        <v>58669.85</v>
      </c>
      <c r="X44" s="66">
        <v>30376.133999999998</v>
      </c>
      <c r="Y44" s="66">
        <v>31104.793000000001</v>
      </c>
      <c r="Z44" s="66">
        <v>45680.9</v>
      </c>
      <c r="AA44" s="66">
        <v>151939.30499999999</v>
      </c>
      <c r="AB44" s="66">
        <v>57167.754999999997</v>
      </c>
      <c r="AC44" s="66">
        <v>148247.041</v>
      </c>
      <c r="AD44" s="66">
        <v>32134.091</v>
      </c>
      <c r="AE44" s="66">
        <v>21314.871999999999</v>
      </c>
      <c r="AF44" s="66">
        <v>93918.76</v>
      </c>
      <c r="AG44" s="66">
        <v>62222</v>
      </c>
      <c r="AH44" s="66">
        <v>26245.261999999999</v>
      </c>
      <c r="AI44" s="66">
        <v>50656.688999999998</v>
      </c>
      <c r="AJ44" s="66">
        <v>16855.365000000002</v>
      </c>
      <c r="AK44" s="66">
        <v>25155.518</v>
      </c>
      <c r="AL44" s="66">
        <v>18385.647000000001</v>
      </c>
      <c r="AM44" s="66"/>
      <c r="AN44" s="67">
        <v>2145699.7209999999</v>
      </c>
    </row>
    <row r="46" spans="1:40" x14ac:dyDescent="0.2">
      <c r="A46" s="30" t="s">
        <v>136</v>
      </c>
    </row>
  </sheetData>
  <mergeCells count="3">
    <mergeCell ref="A2:AN2"/>
    <mergeCell ref="A3:B3"/>
    <mergeCell ref="A4:B4"/>
  </mergeCells>
  <phoneticPr fontId="0" type="noConversion"/>
  <pageMargins left="0" right="0" top="0" bottom="0" header="0.51181102362204722" footer="0.51181102362204722"/>
  <pageSetup paperSize="9" scale="5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0"/>
  <dimension ref="A1:AN28"/>
  <sheetViews>
    <sheetView showZeros="0" zoomScale="190" zoomScaleNormal="190" workbookViewId="0">
      <pane xSplit="2" ySplit="3" topLeftCell="I10" activePane="bottomRight" state="frozen"/>
      <selection sqref="A1:XFD1048576"/>
      <selection pane="topRight" sqref="A1:XFD1048576"/>
      <selection pane="bottomLeft" sqref="A1:XFD1048576"/>
      <selection pane="bottomRight"/>
    </sheetView>
  </sheetViews>
  <sheetFormatPr baseColWidth="10" defaultColWidth="11.5703125" defaultRowHeight="12.75" x14ac:dyDescent="0.2"/>
  <cols>
    <col min="1" max="1" width="9.42578125" style="94" customWidth="1"/>
    <col min="2" max="2" width="26.28515625" style="94" customWidth="1"/>
    <col min="3" max="4" width="4.85546875" style="94" bestFit="1" customWidth="1"/>
    <col min="5" max="5" width="5.28515625" style="94" bestFit="1" customWidth="1"/>
    <col min="6" max="6" width="4.5703125" style="94" bestFit="1" customWidth="1"/>
    <col min="7" max="11" width="4.85546875" style="94" bestFit="1" customWidth="1"/>
    <col min="12" max="12" width="5.28515625" style="94" bestFit="1" customWidth="1"/>
    <col min="13" max="13" width="4.5703125" style="94" bestFit="1" customWidth="1"/>
    <col min="14" max="14" width="4.85546875" style="94" bestFit="1" customWidth="1"/>
    <col min="15" max="15" width="4.5703125" style="94" bestFit="1" customWidth="1"/>
    <col min="16" max="16" width="5.28515625" style="94" bestFit="1" customWidth="1"/>
    <col min="17" max="19" width="4.85546875" style="94" bestFit="1" customWidth="1"/>
    <col min="20" max="21" width="5.5703125" style="94" bestFit="1" customWidth="1"/>
    <col min="22" max="22" width="5.28515625" style="94" bestFit="1" customWidth="1"/>
    <col min="23" max="23" width="4.5703125" style="94" bestFit="1" customWidth="1"/>
    <col min="24" max="24" width="4.85546875" style="94" bestFit="1" customWidth="1"/>
    <col min="25" max="27" width="5.28515625" style="94" bestFit="1" customWidth="1"/>
    <col min="28" max="28" width="5.5703125" style="94" bestFit="1" customWidth="1"/>
    <col min="29" max="29" width="5.28515625" style="94" bestFit="1" customWidth="1"/>
    <col min="30" max="30" width="4.85546875" style="94" bestFit="1" customWidth="1"/>
    <col min="31" max="35" width="5.28515625" style="94" bestFit="1" customWidth="1"/>
    <col min="36" max="38" width="4.85546875" style="94" bestFit="1" customWidth="1"/>
    <col min="39" max="39" width="5.28515625" style="94" bestFit="1" customWidth="1"/>
    <col min="40" max="40" width="8.140625" style="94" customWidth="1"/>
    <col min="41" max="16384" width="11.5703125" style="94"/>
  </cols>
  <sheetData>
    <row r="1" spans="1:40" x14ac:dyDescent="0.2">
      <c r="A1" s="105" t="s">
        <v>150</v>
      </c>
      <c r="B1" s="106"/>
      <c r="C1" s="111" t="s">
        <v>151</v>
      </c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6"/>
      <c r="AL1" s="106"/>
      <c r="AM1" s="106"/>
      <c r="AN1" s="107"/>
    </row>
    <row r="2" spans="1:40" x14ac:dyDescent="0.2">
      <c r="A2" s="132" t="s">
        <v>154</v>
      </c>
      <c r="B2" s="133"/>
      <c r="C2" s="133"/>
      <c r="D2" s="133"/>
      <c r="E2" s="133"/>
      <c r="F2" s="133"/>
      <c r="G2" s="133"/>
      <c r="H2" s="133"/>
      <c r="I2" s="133"/>
      <c r="J2" s="133"/>
      <c r="K2" s="133"/>
      <c r="L2" s="133"/>
      <c r="M2" s="133"/>
      <c r="N2" s="133"/>
      <c r="O2" s="133"/>
      <c r="P2" s="133"/>
      <c r="Q2" s="133"/>
      <c r="R2" s="133"/>
      <c r="S2" s="133"/>
      <c r="T2" s="133"/>
      <c r="U2" s="133"/>
      <c r="V2" s="133"/>
      <c r="W2" s="133"/>
      <c r="X2" s="133"/>
      <c r="Y2" s="133"/>
      <c r="Z2" s="133"/>
      <c r="AA2" s="133"/>
      <c r="AB2" s="133"/>
      <c r="AC2" s="133"/>
      <c r="AD2" s="133"/>
      <c r="AE2" s="133"/>
      <c r="AF2" s="133"/>
      <c r="AG2" s="133"/>
      <c r="AH2" s="133"/>
      <c r="AI2" s="133"/>
      <c r="AJ2" s="133"/>
      <c r="AK2" s="133"/>
      <c r="AL2" s="133"/>
      <c r="AM2" s="133"/>
      <c r="AN2" s="134"/>
    </row>
    <row r="3" spans="1:40" x14ac:dyDescent="0.2">
      <c r="A3" s="108"/>
      <c r="B3" s="108"/>
      <c r="C3" s="24" t="s">
        <v>51</v>
      </c>
      <c r="D3" s="24" t="s">
        <v>15</v>
      </c>
      <c r="E3" s="24" t="s">
        <v>16</v>
      </c>
      <c r="F3" s="24" t="s">
        <v>17</v>
      </c>
      <c r="G3" s="24" t="s">
        <v>18</v>
      </c>
      <c r="H3" s="24" t="s">
        <v>19</v>
      </c>
      <c r="I3" s="24" t="s">
        <v>20</v>
      </c>
      <c r="J3" s="24" t="s">
        <v>21</v>
      </c>
      <c r="K3" s="24" t="s">
        <v>22</v>
      </c>
      <c r="L3" s="24" t="s">
        <v>23</v>
      </c>
      <c r="M3" s="24" t="s">
        <v>24</v>
      </c>
      <c r="N3" s="24" t="s">
        <v>25</v>
      </c>
      <c r="O3" s="24" t="s">
        <v>26</v>
      </c>
      <c r="P3" s="24" t="s">
        <v>27</v>
      </c>
      <c r="Q3" s="24" t="s">
        <v>28</v>
      </c>
      <c r="R3" s="24" t="s">
        <v>29</v>
      </c>
      <c r="S3" s="24" t="s">
        <v>30</v>
      </c>
      <c r="T3" s="24" t="s">
        <v>31</v>
      </c>
      <c r="U3" s="24" t="s">
        <v>32</v>
      </c>
      <c r="V3" s="24" t="s">
        <v>33</v>
      </c>
      <c r="W3" s="24" t="s">
        <v>34</v>
      </c>
      <c r="X3" s="24" t="s">
        <v>35</v>
      </c>
      <c r="Y3" s="24" t="s">
        <v>36</v>
      </c>
      <c r="Z3" s="24" t="s">
        <v>37</v>
      </c>
      <c r="AA3" s="24" t="s">
        <v>38</v>
      </c>
      <c r="AB3" s="24" t="s">
        <v>39</v>
      </c>
      <c r="AC3" s="24" t="s">
        <v>40</v>
      </c>
      <c r="AD3" s="24" t="s">
        <v>41</v>
      </c>
      <c r="AE3" s="24" t="s">
        <v>42</v>
      </c>
      <c r="AF3" s="24" t="s">
        <v>43</v>
      </c>
      <c r="AG3" s="24" t="s">
        <v>44</v>
      </c>
      <c r="AH3" s="24" t="s">
        <v>45</v>
      </c>
      <c r="AI3" s="24" t="s">
        <v>46</v>
      </c>
      <c r="AJ3" s="24" t="s">
        <v>47</v>
      </c>
      <c r="AK3" s="24" t="s">
        <v>48</v>
      </c>
      <c r="AL3" s="24" t="s">
        <v>49</v>
      </c>
      <c r="AM3" s="24" t="s">
        <v>50</v>
      </c>
      <c r="AN3" s="55" t="s">
        <v>10</v>
      </c>
    </row>
    <row r="4" spans="1:40" x14ac:dyDescent="0.2">
      <c r="A4" s="79" t="s">
        <v>0</v>
      </c>
      <c r="B4" s="27" t="s">
        <v>58</v>
      </c>
      <c r="C4" s="72">
        <v>53832.45</v>
      </c>
      <c r="D4" s="71">
        <v>3068.723</v>
      </c>
      <c r="E4" s="71">
        <v>118142.21799999999</v>
      </c>
      <c r="F4" s="71">
        <v>11417.27</v>
      </c>
      <c r="G4" s="71">
        <v>24819.631000000001</v>
      </c>
      <c r="H4" s="71">
        <v>33774.184000000001</v>
      </c>
      <c r="I4" s="71">
        <v>44993.305999999997</v>
      </c>
      <c r="J4" s="71">
        <v>15879.144</v>
      </c>
      <c r="K4" s="71">
        <v>34937.652000000002</v>
      </c>
      <c r="L4" s="71">
        <v>59783.146000000001</v>
      </c>
      <c r="M4" s="71">
        <v>15186.145</v>
      </c>
      <c r="N4" s="71">
        <v>13780.671</v>
      </c>
      <c r="O4" s="71">
        <v>26782.204000000002</v>
      </c>
      <c r="P4" s="71">
        <v>117786.86500000001</v>
      </c>
      <c r="Q4" s="71">
        <v>45580.286999999997</v>
      </c>
      <c r="R4" s="71">
        <v>86766.502999999997</v>
      </c>
      <c r="S4" s="71">
        <v>24886.052</v>
      </c>
      <c r="T4" s="71">
        <v>188120.834</v>
      </c>
      <c r="U4" s="71">
        <v>230933.307</v>
      </c>
      <c r="V4" s="71">
        <v>125155.148</v>
      </c>
      <c r="W4" s="71">
        <v>58669.85</v>
      </c>
      <c r="X4" s="71">
        <v>30376.133999999998</v>
      </c>
      <c r="Y4" s="71">
        <v>31104.793000000001</v>
      </c>
      <c r="Z4" s="71">
        <v>45680.9</v>
      </c>
      <c r="AA4" s="71">
        <v>151939.30499999999</v>
      </c>
      <c r="AB4" s="71">
        <v>57167.754999999997</v>
      </c>
      <c r="AC4" s="71">
        <v>148247.041</v>
      </c>
      <c r="AD4" s="71">
        <v>32134.091</v>
      </c>
      <c r="AE4" s="71">
        <v>21314.871999999999</v>
      </c>
      <c r="AF4" s="71">
        <v>93918.76</v>
      </c>
      <c r="AG4" s="71">
        <v>62222</v>
      </c>
      <c r="AH4" s="71">
        <v>26245.261999999999</v>
      </c>
      <c r="AI4" s="71">
        <v>50656.688999999998</v>
      </c>
      <c r="AJ4" s="71">
        <v>16855.365000000002</v>
      </c>
      <c r="AK4" s="71">
        <v>25155.518</v>
      </c>
      <c r="AL4" s="71">
        <v>18385.647000000001</v>
      </c>
      <c r="AM4" s="71"/>
      <c r="AN4" s="51">
        <v>2145699.7209999999</v>
      </c>
    </row>
    <row r="5" spans="1:40" x14ac:dyDescent="0.2">
      <c r="A5" s="80" t="s">
        <v>52</v>
      </c>
      <c r="B5" s="27" t="s">
        <v>131</v>
      </c>
      <c r="C5" s="73">
        <v>37111.550000000003</v>
      </c>
      <c r="D5" s="46">
        <v>1904.277</v>
      </c>
      <c r="E5" s="46">
        <v>46216.341999999997</v>
      </c>
      <c r="F5" s="46">
        <v>5845.73</v>
      </c>
      <c r="G5" s="46">
        <v>11522.369000000001</v>
      </c>
      <c r="H5" s="46">
        <v>1812.816</v>
      </c>
      <c r="I5" s="46">
        <v>20898.694</v>
      </c>
      <c r="J5" s="46">
        <v>12828.856</v>
      </c>
      <c r="K5" s="46">
        <v>20107.348000000002</v>
      </c>
      <c r="L5" s="46">
        <v>25544.853999999999</v>
      </c>
      <c r="M5" s="46">
        <v>13288.855</v>
      </c>
      <c r="N5" s="46">
        <v>7152.3289999999997</v>
      </c>
      <c r="O5" s="46">
        <v>12312.796</v>
      </c>
      <c r="P5" s="46">
        <v>34303.135000000002</v>
      </c>
      <c r="Q5" s="46">
        <v>32119.713</v>
      </c>
      <c r="R5" s="46">
        <v>39710.497000000003</v>
      </c>
      <c r="S5" s="46">
        <v>15066.948</v>
      </c>
      <c r="T5" s="46">
        <v>124114.166</v>
      </c>
      <c r="U5" s="46">
        <v>224943.859</v>
      </c>
      <c r="V5" s="46">
        <v>99335.851999999999</v>
      </c>
      <c r="W5" s="46">
        <v>63075.15</v>
      </c>
      <c r="X5" s="46">
        <v>27514.866000000002</v>
      </c>
      <c r="Y5" s="46">
        <v>24970.206999999999</v>
      </c>
      <c r="Z5" s="46">
        <v>63755.1</v>
      </c>
      <c r="AA5" s="46">
        <v>83195.695000000007</v>
      </c>
      <c r="AB5" s="46">
        <v>277995.245</v>
      </c>
      <c r="AC5" s="46">
        <v>124184.959</v>
      </c>
      <c r="AD5" s="46">
        <v>37064.909</v>
      </c>
      <c r="AE5" s="46">
        <v>17088.128000000001</v>
      </c>
      <c r="AF5" s="46">
        <v>127330.24000000001</v>
      </c>
      <c r="AG5" s="46">
        <v>166097</v>
      </c>
      <c r="AH5" s="46">
        <v>114115.738</v>
      </c>
      <c r="AI5" s="46">
        <v>123591.311</v>
      </c>
      <c r="AJ5" s="46">
        <v>70424.634999999995</v>
      </c>
      <c r="AK5" s="46">
        <v>32479.482</v>
      </c>
      <c r="AL5" s="46">
        <v>28772.352999999999</v>
      </c>
      <c r="AM5" s="46">
        <v>1473</v>
      </c>
      <c r="AN5" s="52">
        <v>2169269.0049999999</v>
      </c>
    </row>
    <row r="6" spans="1:40" x14ac:dyDescent="0.2">
      <c r="A6" s="80" t="s">
        <v>1</v>
      </c>
      <c r="B6" s="27" t="s">
        <v>146</v>
      </c>
      <c r="C6" s="73">
        <v>90944</v>
      </c>
      <c r="D6" s="46">
        <v>4973</v>
      </c>
      <c r="E6" s="46">
        <v>164358.56</v>
      </c>
      <c r="F6" s="46">
        <v>17263</v>
      </c>
      <c r="G6" s="46">
        <v>36342</v>
      </c>
      <c r="H6" s="46">
        <v>35587</v>
      </c>
      <c r="I6" s="46">
        <v>65892</v>
      </c>
      <c r="J6" s="46">
        <v>28708</v>
      </c>
      <c r="K6" s="46">
        <v>55045</v>
      </c>
      <c r="L6" s="46">
        <v>85328</v>
      </c>
      <c r="M6" s="46">
        <v>28475</v>
      </c>
      <c r="N6" s="46">
        <v>20933</v>
      </c>
      <c r="O6" s="46">
        <v>39095</v>
      </c>
      <c r="P6" s="46">
        <v>152090</v>
      </c>
      <c r="Q6" s="46">
        <v>77700</v>
      </c>
      <c r="R6" s="46">
        <v>126477</v>
      </c>
      <c r="S6" s="46">
        <v>39953</v>
      </c>
      <c r="T6" s="46">
        <v>312235</v>
      </c>
      <c r="U6" s="46">
        <v>455877.16600000003</v>
      </c>
      <c r="V6" s="46">
        <v>224491</v>
      </c>
      <c r="W6" s="46">
        <v>121745</v>
      </c>
      <c r="X6" s="46">
        <v>57891</v>
      </c>
      <c r="Y6" s="46">
        <v>56075</v>
      </c>
      <c r="Z6" s="46">
        <v>109436</v>
      </c>
      <c r="AA6" s="46">
        <v>235135</v>
      </c>
      <c r="AB6" s="46">
        <v>335163</v>
      </c>
      <c r="AC6" s="46">
        <v>272432</v>
      </c>
      <c r="AD6" s="46">
        <v>69199</v>
      </c>
      <c r="AE6" s="46">
        <v>38403</v>
      </c>
      <c r="AF6" s="46">
        <v>221249</v>
      </c>
      <c r="AG6" s="46">
        <v>228319</v>
      </c>
      <c r="AH6" s="46">
        <v>140361</v>
      </c>
      <c r="AI6" s="46">
        <v>174248</v>
      </c>
      <c r="AJ6" s="46">
        <v>87280</v>
      </c>
      <c r="AK6" s="46">
        <v>57635</v>
      </c>
      <c r="AL6" s="46">
        <v>47158</v>
      </c>
      <c r="AM6" s="46">
        <v>1473</v>
      </c>
      <c r="AN6" s="52">
        <v>4314968.7259999998</v>
      </c>
    </row>
    <row r="7" spans="1:40" x14ac:dyDescent="0.2">
      <c r="A7" s="80" t="s">
        <v>2</v>
      </c>
      <c r="B7" s="27" t="s">
        <v>55</v>
      </c>
      <c r="C7" s="73">
        <v>86508</v>
      </c>
      <c r="D7" s="46">
        <v>4973</v>
      </c>
      <c r="E7" s="46">
        <v>163564</v>
      </c>
      <c r="F7" s="46">
        <v>17263</v>
      </c>
      <c r="G7" s="46">
        <v>36342</v>
      </c>
      <c r="H7" s="46">
        <v>35587</v>
      </c>
      <c r="I7" s="46">
        <v>65892</v>
      </c>
      <c r="J7" s="46">
        <v>28562</v>
      </c>
      <c r="K7" s="46">
        <v>55045</v>
      </c>
      <c r="L7" s="46">
        <v>83952</v>
      </c>
      <c r="M7" s="46">
        <v>28475</v>
      </c>
      <c r="N7" s="46">
        <v>20122</v>
      </c>
      <c r="O7" s="46">
        <v>39095</v>
      </c>
      <c r="P7" s="46">
        <v>152090</v>
      </c>
      <c r="Q7" s="46">
        <v>67204</v>
      </c>
      <c r="R7" s="46">
        <v>126477</v>
      </c>
      <c r="S7" s="46">
        <v>39953</v>
      </c>
      <c r="T7" s="46">
        <v>301672</v>
      </c>
      <c r="U7" s="46">
        <v>455877.16600000003</v>
      </c>
      <c r="V7" s="46">
        <v>224491</v>
      </c>
      <c r="W7" s="46">
        <v>121745</v>
      </c>
      <c r="X7" s="46">
        <v>53239</v>
      </c>
      <c r="Y7" s="46">
        <v>56075</v>
      </c>
      <c r="Z7" s="46">
        <v>81516</v>
      </c>
      <c r="AA7" s="46">
        <v>235135</v>
      </c>
      <c r="AB7" s="46">
        <v>152352</v>
      </c>
      <c r="AC7" s="46">
        <v>271785</v>
      </c>
      <c r="AD7" s="46">
        <v>15402</v>
      </c>
      <c r="AE7" s="46">
        <v>38403</v>
      </c>
      <c r="AF7" s="46">
        <v>221249</v>
      </c>
      <c r="AG7" s="46">
        <v>28029</v>
      </c>
      <c r="AH7" s="46">
        <v>29463</v>
      </c>
      <c r="AI7" s="46">
        <v>96042</v>
      </c>
      <c r="AJ7" s="46">
        <v>32009</v>
      </c>
      <c r="AK7" s="46">
        <v>29673</v>
      </c>
      <c r="AL7" s="46">
        <v>33866</v>
      </c>
      <c r="AM7" s="46"/>
      <c r="AN7" s="52">
        <v>3529127.1660000002</v>
      </c>
    </row>
    <row r="8" spans="1:40" x14ac:dyDescent="0.2">
      <c r="A8" s="80" t="s">
        <v>3</v>
      </c>
      <c r="B8" s="27" t="s">
        <v>56</v>
      </c>
      <c r="C8" s="73">
        <v>4436</v>
      </c>
      <c r="D8" s="46"/>
      <c r="E8" s="46">
        <v>794.56</v>
      </c>
      <c r="F8" s="46"/>
      <c r="G8" s="46"/>
      <c r="H8" s="46"/>
      <c r="I8" s="46"/>
      <c r="J8" s="46">
        <v>146</v>
      </c>
      <c r="K8" s="46"/>
      <c r="L8" s="46">
        <v>1376</v>
      </c>
      <c r="M8" s="46"/>
      <c r="N8" s="46">
        <v>811</v>
      </c>
      <c r="O8" s="46"/>
      <c r="P8" s="46"/>
      <c r="Q8" s="46">
        <v>10496</v>
      </c>
      <c r="R8" s="46"/>
      <c r="S8" s="46"/>
      <c r="T8" s="46">
        <v>10563</v>
      </c>
      <c r="U8" s="46"/>
      <c r="V8" s="46"/>
      <c r="W8" s="46"/>
      <c r="X8" s="46">
        <v>4652</v>
      </c>
      <c r="Y8" s="46"/>
      <c r="Z8" s="46">
        <v>27920</v>
      </c>
      <c r="AA8" s="46"/>
      <c r="AB8" s="46">
        <v>182811</v>
      </c>
      <c r="AC8" s="46">
        <v>647</v>
      </c>
      <c r="AD8" s="46">
        <v>40706</v>
      </c>
      <c r="AE8" s="46"/>
      <c r="AF8" s="46"/>
      <c r="AG8" s="46"/>
      <c r="AH8" s="46"/>
      <c r="AI8" s="46"/>
      <c r="AJ8" s="46">
        <v>18530</v>
      </c>
      <c r="AK8" s="46">
        <v>42</v>
      </c>
      <c r="AL8" s="46"/>
      <c r="AM8" s="46">
        <v>1473</v>
      </c>
      <c r="AN8" s="52">
        <v>305403.56</v>
      </c>
    </row>
    <row r="9" spans="1:40" x14ac:dyDescent="0.2">
      <c r="A9" s="81" t="s">
        <v>4</v>
      </c>
      <c r="B9" s="17" t="s">
        <v>57</v>
      </c>
      <c r="C9" s="47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>
        <v>13091</v>
      </c>
      <c r="AE9" s="42"/>
      <c r="AF9" s="42"/>
      <c r="AG9" s="42">
        <v>200290</v>
      </c>
      <c r="AH9" s="42">
        <v>110898</v>
      </c>
      <c r="AI9" s="42">
        <v>78206</v>
      </c>
      <c r="AJ9" s="42">
        <v>36741</v>
      </c>
      <c r="AK9" s="42">
        <v>27920</v>
      </c>
      <c r="AL9" s="42">
        <v>13292</v>
      </c>
      <c r="AM9" s="42"/>
      <c r="AN9" s="53">
        <v>480438</v>
      </c>
    </row>
    <row r="10" spans="1:40" x14ac:dyDescent="0.2">
      <c r="A10" s="80"/>
      <c r="B10" s="25"/>
      <c r="C10" s="20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56"/>
    </row>
    <row r="11" spans="1:40" x14ac:dyDescent="0.2">
      <c r="A11" s="82" t="s">
        <v>1</v>
      </c>
      <c r="B11" s="17" t="s">
        <v>146</v>
      </c>
      <c r="C11" s="74">
        <v>90944</v>
      </c>
      <c r="D11" s="75">
        <v>4973</v>
      </c>
      <c r="E11" s="75">
        <v>164358.56</v>
      </c>
      <c r="F11" s="75">
        <v>17263</v>
      </c>
      <c r="G11" s="75">
        <v>36342</v>
      </c>
      <c r="H11" s="75">
        <v>35587</v>
      </c>
      <c r="I11" s="75">
        <v>65892</v>
      </c>
      <c r="J11" s="75">
        <v>28708</v>
      </c>
      <c r="K11" s="75">
        <v>55045</v>
      </c>
      <c r="L11" s="75">
        <v>85328</v>
      </c>
      <c r="M11" s="75">
        <v>28475</v>
      </c>
      <c r="N11" s="75">
        <v>20933</v>
      </c>
      <c r="O11" s="75">
        <v>39095</v>
      </c>
      <c r="P11" s="75">
        <v>152090</v>
      </c>
      <c r="Q11" s="75">
        <v>77700</v>
      </c>
      <c r="R11" s="75">
        <v>126477</v>
      </c>
      <c r="S11" s="75">
        <v>39953</v>
      </c>
      <c r="T11" s="75">
        <v>312235</v>
      </c>
      <c r="U11" s="75">
        <v>455877.16600000003</v>
      </c>
      <c r="V11" s="75">
        <v>224491</v>
      </c>
      <c r="W11" s="75">
        <v>121745</v>
      </c>
      <c r="X11" s="75">
        <v>57891</v>
      </c>
      <c r="Y11" s="75">
        <v>56075</v>
      </c>
      <c r="Z11" s="75">
        <v>109436</v>
      </c>
      <c r="AA11" s="75">
        <v>235135</v>
      </c>
      <c r="AB11" s="75">
        <v>335163</v>
      </c>
      <c r="AC11" s="75">
        <v>272432</v>
      </c>
      <c r="AD11" s="75">
        <v>69199</v>
      </c>
      <c r="AE11" s="75">
        <v>38403</v>
      </c>
      <c r="AF11" s="75">
        <v>221249</v>
      </c>
      <c r="AG11" s="75">
        <v>228319</v>
      </c>
      <c r="AH11" s="75">
        <v>140361</v>
      </c>
      <c r="AI11" s="75">
        <v>174248</v>
      </c>
      <c r="AJ11" s="75">
        <v>87280</v>
      </c>
      <c r="AK11" s="75">
        <v>57635</v>
      </c>
      <c r="AL11" s="75">
        <v>47158</v>
      </c>
      <c r="AM11" s="75">
        <v>1473</v>
      </c>
      <c r="AN11" s="76">
        <v>4314968.7259999998</v>
      </c>
    </row>
    <row r="12" spans="1:40" x14ac:dyDescent="0.2">
      <c r="A12" s="80" t="s">
        <v>5</v>
      </c>
      <c r="B12" s="17" t="s">
        <v>132</v>
      </c>
      <c r="C12" s="73">
        <v>-11572</v>
      </c>
      <c r="D12" s="46"/>
      <c r="E12" s="46">
        <v>11572</v>
      </c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52"/>
    </row>
    <row r="13" spans="1:40" x14ac:dyDescent="0.2">
      <c r="A13" s="80" t="s">
        <v>6</v>
      </c>
      <c r="B13" s="17" t="s">
        <v>133</v>
      </c>
      <c r="C13" s="73">
        <v>329</v>
      </c>
      <c r="D13" s="46">
        <v>2</v>
      </c>
      <c r="E13" s="46"/>
      <c r="F13" s="46">
        <v>69</v>
      </c>
      <c r="G13" s="46">
        <v>69</v>
      </c>
      <c r="H13" s="46"/>
      <c r="I13" s="46">
        <v>100</v>
      </c>
      <c r="J13" s="46">
        <v>4</v>
      </c>
      <c r="K13" s="46"/>
      <c r="L13" s="46">
        <v>21</v>
      </c>
      <c r="M13" s="46">
        <v>96</v>
      </c>
      <c r="N13" s="46">
        <v>69</v>
      </c>
      <c r="O13" s="46">
        <v>69</v>
      </c>
      <c r="P13" s="46"/>
      <c r="Q13" s="46">
        <v>383</v>
      </c>
      <c r="R13" s="46">
        <v>80</v>
      </c>
      <c r="S13" s="46">
        <v>12430</v>
      </c>
      <c r="T13" s="46">
        <v>570</v>
      </c>
      <c r="U13" s="46"/>
      <c r="V13" s="46">
        <v>690</v>
      </c>
      <c r="W13" s="46">
        <v>1159</v>
      </c>
      <c r="X13" s="46">
        <v>1638</v>
      </c>
      <c r="Y13" s="46"/>
      <c r="Z13" s="46">
        <v>366</v>
      </c>
      <c r="AA13" s="46"/>
      <c r="AB13" s="46">
        <v>5406</v>
      </c>
      <c r="AC13" s="46">
        <v>5723</v>
      </c>
      <c r="AD13" s="46">
        <v>-1553</v>
      </c>
      <c r="AE13" s="46">
        <v>1749</v>
      </c>
      <c r="AF13" s="46">
        <v>5084</v>
      </c>
      <c r="AG13" s="46">
        <v>-28029</v>
      </c>
      <c r="AH13" s="46">
        <v>-803</v>
      </c>
      <c r="AI13" s="46">
        <v>-2003</v>
      </c>
      <c r="AJ13" s="46">
        <v>-1271</v>
      </c>
      <c r="AK13" s="46">
        <v>-1259</v>
      </c>
      <c r="AL13" s="46">
        <v>-1188</v>
      </c>
      <c r="AM13" s="46"/>
      <c r="AN13" s="52"/>
    </row>
    <row r="14" spans="1:40" x14ac:dyDescent="0.2">
      <c r="A14" s="80" t="s">
        <v>14</v>
      </c>
      <c r="B14" s="17" t="s">
        <v>134</v>
      </c>
      <c r="C14" s="73">
        <v>-11243</v>
      </c>
      <c r="D14" s="46">
        <v>2</v>
      </c>
      <c r="E14" s="46">
        <v>11572</v>
      </c>
      <c r="F14" s="46">
        <v>69</v>
      </c>
      <c r="G14" s="46">
        <v>69</v>
      </c>
      <c r="H14" s="46"/>
      <c r="I14" s="46">
        <v>100</v>
      </c>
      <c r="J14" s="46">
        <v>4</v>
      </c>
      <c r="K14" s="46"/>
      <c r="L14" s="46">
        <v>21</v>
      </c>
      <c r="M14" s="46">
        <v>96</v>
      </c>
      <c r="N14" s="46">
        <v>69</v>
      </c>
      <c r="O14" s="46">
        <v>69</v>
      </c>
      <c r="P14" s="46"/>
      <c r="Q14" s="46">
        <v>383</v>
      </c>
      <c r="R14" s="46">
        <v>80</v>
      </c>
      <c r="S14" s="46">
        <v>12430</v>
      </c>
      <c r="T14" s="46">
        <v>570</v>
      </c>
      <c r="U14" s="46"/>
      <c r="V14" s="46">
        <v>690</v>
      </c>
      <c r="W14" s="46">
        <v>1159</v>
      </c>
      <c r="X14" s="46">
        <v>1638</v>
      </c>
      <c r="Y14" s="46"/>
      <c r="Z14" s="46">
        <v>366</v>
      </c>
      <c r="AA14" s="46"/>
      <c r="AB14" s="46">
        <v>5406</v>
      </c>
      <c r="AC14" s="46">
        <v>5723</v>
      </c>
      <c r="AD14" s="46">
        <v>-1553</v>
      </c>
      <c r="AE14" s="46">
        <v>1749</v>
      </c>
      <c r="AF14" s="46">
        <v>5084</v>
      </c>
      <c r="AG14" s="46">
        <v>-28029</v>
      </c>
      <c r="AH14" s="46">
        <v>-803</v>
      </c>
      <c r="AI14" s="46">
        <v>-2003</v>
      </c>
      <c r="AJ14" s="46">
        <v>-1271</v>
      </c>
      <c r="AK14" s="46">
        <v>-1259</v>
      </c>
      <c r="AL14" s="46">
        <v>-1188</v>
      </c>
      <c r="AM14" s="46"/>
      <c r="AN14" s="52"/>
    </row>
    <row r="15" spans="1:40" x14ac:dyDescent="0.2">
      <c r="A15" s="82" t="s">
        <v>1</v>
      </c>
      <c r="B15" s="17" t="s">
        <v>147</v>
      </c>
      <c r="C15" s="74">
        <v>79701</v>
      </c>
      <c r="D15" s="75">
        <v>4975</v>
      </c>
      <c r="E15" s="75">
        <v>175930.56</v>
      </c>
      <c r="F15" s="75">
        <v>17332</v>
      </c>
      <c r="G15" s="75">
        <v>36411</v>
      </c>
      <c r="H15" s="75">
        <v>35587</v>
      </c>
      <c r="I15" s="75">
        <v>65992</v>
      </c>
      <c r="J15" s="75">
        <v>28712</v>
      </c>
      <c r="K15" s="75">
        <v>55045</v>
      </c>
      <c r="L15" s="75">
        <v>85349</v>
      </c>
      <c r="M15" s="75">
        <v>28571</v>
      </c>
      <c r="N15" s="75">
        <v>21002</v>
      </c>
      <c r="O15" s="75">
        <v>39164</v>
      </c>
      <c r="P15" s="75">
        <v>152090</v>
      </c>
      <c r="Q15" s="75">
        <v>78083</v>
      </c>
      <c r="R15" s="75">
        <v>126557</v>
      </c>
      <c r="S15" s="75">
        <v>52383</v>
      </c>
      <c r="T15" s="75">
        <v>312805</v>
      </c>
      <c r="U15" s="75">
        <v>455877.16600000003</v>
      </c>
      <c r="V15" s="75">
        <v>225181</v>
      </c>
      <c r="W15" s="75">
        <v>122904</v>
      </c>
      <c r="X15" s="75">
        <v>59529</v>
      </c>
      <c r="Y15" s="75">
        <v>56075</v>
      </c>
      <c r="Z15" s="75">
        <v>109802</v>
      </c>
      <c r="AA15" s="75">
        <v>235135</v>
      </c>
      <c r="AB15" s="75">
        <v>340569</v>
      </c>
      <c r="AC15" s="75">
        <v>278155</v>
      </c>
      <c r="AD15" s="75">
        <v>67646</v>
      </c>
      <c r="AE15" s="75">
        <v>40152</v>
      </c>
      <c r="AF15" s="75">
        <v>226333</v>
      </c>
      <c r="AG15" s="75">
        <v>200290</v>
      </c>
      <c r="AH15" s="75">
        <v>139558</v>
      </c>
      <c r="AI15" s="75">
        <v>172245</v>
      </c>
      <c r="AJ15" s="75">
        <v>86009</v>
      </c>
      <c r="AK15" s="75">
        <v>56376</v>
      </c>
      <c r="AL15" s="75">
        <v>45970</v>
      </c>
      <c r="AM15" s="75">
        <v>1473</v>
      </c>
      <c r="AN15" s="76">
        <v>4314968.7259999998</v>
      </c>
    </row>
    <row r="16" spans="1:40" x14ac:dyDescent="0.2">
      <c r="A16" s="22" t="s">
        <v>136</v>
      </c>
      <c r="B16" s="89"/>
      <c r="C16" s="90"/>
      <c r="D16" s="90"/>
      <c r="E16" s="90"/>
      <c r="F16" s="90"/>
      <c r="G16" s="90"/>
      <c r="H16" s="90"/>
      <c r="I16" s="90"/>
      <c r="J16" s="90"/>
      <c r="K16" s="90"/>
      <c r="L16" s="90"/>
      <c r="M16" s="90"/>
      <c r="N16" s="90"/>
      <c r="O16" s="90"/>
      <c r="P16" s="90"/>
      <c r="Q16" s="90"/>
      <c r="R16" s="90"/>
      <c r="S16" s="90"/>
      <c r="T16" s="90"/>
      <c r="U16" s="90"/>
      <c r="V16" s="90"/>
      <c r="W16" s="90"/>
      <c r="X16" s="90"/>
      <c r="Y16" s="90"/>
      <c r="Z16" s="90"/>
      <c r="AA16" s="90"/>
      <c r="AB16" s="90"/>
      <c r="AC16" s="90"/>
      <c r="AD16" s="90"/>
      <c r="AE16" s="90"/>
      <c r="AF16" s="90"/>
      <c r="AG16" s="90"/>
      <c r="AH16" s="90"/>
      <c r="AI16" s="90"/>
      <c r="AJ16" s="90"/>
      <c r="AK16" s="90"/>
      <c r="AL16" s="90"/>
      <c r="AM16" s="90"/>
      <c r="AN16" s="91"/>
    </row>
    <row r="17" spans="1:40" x14ac:dyDescent="0.2">
      <c r="A17" s="22"/>
      <c r="B17" s="89"/>
      <c r="C17" s="90"/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0"/>
      <c r="O17" s="90"/>
      <c r="P17" s="90"/>
      <c r="Q17" s="90"/>
      <c r="R17" s="90"/>
      <c r="S17" s="90"/>
      <c r="T17" s="90"/>
      <c r="U17" s="90"/>
      <c r="V17" s="90"/>
      <c r="W17" s="90"/>
      <c r="X17" s="90"/>
      <c r="Y17" s="90"/>
      <c r="Z17" s="90"/>
      <c r="AA17" s="90"/>
      <c r="AB17" s="90"/>
      <c r="AC17" s="90"/>
      <c r="AD17" s="90"/>
      <c r="AE17" s="90"/>
      <c r="AF17" s="90"/>
      <c r="AG17" s="90"/>
      <c r="AH17" s="90"/>
      <c r="AI17" s="90"/>
      <c r="AJ17" s="90"/>
      <c r="AK17" s="90"/>
      <c r="AL17" s="90"/>
      <c r="AM17" s="90"/>
      <c r="AN17" s="91"/>
    </row>
    <row r="18" spans="1:40" x14ac:dyDescent="0.2"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</row>
    <row r="19" spans="1:40" x14ac:dyDescent="0.2">
      <c r="A19" s="105" t="s">
        <v>152</v>
      </c>
      <c r="B19" s="57"/>
      <c r="C19" s="57"/>
      <c r="D19" s="57"/>
      <c r="E19" s="111" t="s">
        <v>151</v>
      </c>
      <c r="F19" s="57"/>
      <c r="G19" s="57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8"/>
    </row>
    <row r="20" spans="1:40" x14ac:dyDescent="0.2">
      <c r="A20" s="132" t="s">
        <v>154</v>
      </c>
      <c r="B20" s="133"/>
      <c r="C20" s="133"/>
      <c r="D20" s="133"/>
      <c r="E20" s="133"/>
      <c r="F20" s="133"/>
      <c r="G20" s="133"/>
      <c r="H20" s="133"/>
      <c r="I20" s="133"/>
      <c r="J20" s="133"/>
      <c r="K20" s="133"/>
      <c r="L20" s="133"/>
      <c r="M20" s="133"/>
      <c r="N20" s="133"/>
      <c r="O20" s="133"/>
      <c r="P20" s="133"/>
      <c r="Q20" s="133"/>
      <c r="R20" s="133"/>
      <c r="S20" s="133"/>
      <c r="T20" s="133"/>
      <c r="U20" s="133"/>
      <c r="V20" s="133"/>
      <c r="W20" s="133"/>
      <c r="X20" s="133"/>
      <c r="Y20" s="133"/>
      <c r="Z20" s="133"/>
      <c r="AA20" s="133"/>
      <c r="AB20" s="133"/>
      <c r="AC20" s="133"/>
      <c r="AD20" s="133"/>
      <c r="AE20" s="133"/>
      <c r="AF20" s="133"/>
      <c r="AG20" s="133"/>
      <c r="AH20" s="133"/>
      <c r="AI20" s="133"/>
      <c r="AJ20" s="133"/>
      <c r="AK20" s="133"/>
      <c r="AL20" s="133"/>
      <c r="AM20" s="133"/>
      <c r="AN20" s="134"/>
    </row>
    <row r="21" spans="1:40" x14ac:dyDescent="0.2">
      <c r="A21" s="109"/>
      <c r="B21" s="110"/>
      <c r="C21" s="24" t="s">
        <v>51</v>
      </c>
      <c r="D21" s="24" t="s">
        <v>15</v>
      </c>
      <c r="E21" s="24" t="s">
        <v>16</v>
      </c>
      <c r="F21" s="24" t="s">
        <v>17</v>
      </c>
      <c r="G21" s="24" t="s">
        <v>18</v>
      </c>
      <c r="H21" s="24" t="s">
        <v>19</v>
      </c>
      <c r="I21" s="24" t="s">
        <v>20</v>
      </c>
      <c r="J21" s="24" t="s">
        <v>21</v>
      </c>
      <c r="K21" s="24" t="s">
        <v>22</v>
      </c>
      <c r="L21" s="24" t="s">
        <v>23</v>
      </c>
      <c r="M21" s="24" t="s">
        <v>24</v>
      </c>
      <c r="N21" s="24" t="s">
        <v>25</v>
      </c>
      <c r="O21" s="24" t="s">
        <v>26</v>
      </c>
      <c r="P21" s="24" t="s">
        <v>27</v>
      </c>
      <c r="Q21" s="24" t="s">
        <v>28</v>
      </c>
      <c r="R21" s="24" t="s">
        <v>29</v>
      </c>
      <c r="S21" s="24" t="s">
        <v>30</v>
      </c>
      <c r="T21" s="24" t="s">
        <v>31</v>
      </c>
      <c r="U21" s="24" t="s">
        <v>32</v>
      </c>
      <c r="V21" s="24" t="s">
        <v>33</v>
      </c>
      <c r="W21" s="24" t="s">
        <v>34</v>
      </c>
      <c r="X21" s="24" t="s">
        <v>35</v>
      </c>
      <c r="Y21" s="24" t="s">
        <v>36</v>
      </c>
      <c r="Z21" s="24" t="s">
        <v>37</v>
      </c>
      <c r="AA21" s="24" t="s">
        <v>38</v>
      </c>
      <c r="AB21" s="24" t="s">
        <v>39</v>
      </c>
      <c r="AC21" s="24" t="s">
        <v>40</v>
      </c>
      <c r="AD21" s="24" t="s">
        <v>41</v>
      </c>
      <c r="AE21" s="24" t="s">
        <v>42</v>
      </c>
      <c r="AF21" s="24" t="s">
        <v>43</v>
      </c>
      <c r="AG21" s="24" t="s">
        <v>44</v>
      </c>
      <c r="AH21" s="24" t="s">
        <v>45</v>
      </c>
      <c r="AI21" s="24" t="s">
        <v>46</v>
      </c>
      <c r="AJ21" s="24" t="s">
        <v>47</v>
      </c>
      <c r="AK21" s="24" t="s">
        <v>48</v>
      </c>
      <c r="AL21" s="24" t="s">
        <v>49</v>
      </c>
      <c r="AM21" s="24" t="s">
        <v>50</v>
      </c>
      <c r="AN21" s="55" t="s">
        <v>10</v>
      </c>
    </row>
    <row r="22" spans="1:40" x14ac:dyDescent="0.2">
      <c r="A22" s="82" t="s">
        <v>52</v>
      </c>
      <c r="B22" s="17" t="s">
        <v>135</v>
      </c>
      <c r="C22" s="77">
        <v>37111.550000000003</v>
      </c>
      <c r="D22" s="78">
        <v>1904.277</v>
      </c>
      <c r="E22" s="78">
        <v>46216.341999999997</v>
      </c>
      <c r="F22" s="78">
        <v>5845.73</v>
      </c>
      <c r="G22" s="78">
        <v>11522.369000000001</v>
      </c>
      <c r="H22" s="78">
        <v>1812.816</v>
      </c>
      <c r="I22" s="78">
        <v>20898.694</v>
      </c>
      <c r="J22" s="78">
        <v>12828.856</v>
      </c>
      <c r="K22" s="78">
        <v>20107.348000000002</v>
      </c>
      <c r="L22" s="78">
        <v>25544.853999999999</v>
      </c>
      <c r="M22" s="78">
        <v>13288.855</v>
      </c>
      <c r="N22" s="78">
        <v>7152.3289999999997</v>
      </c>
      <c r="O22" s="78">
        <v>12312.796</v>
      </c>
      <c r="P22" s="78">
        <v>34303.135000000002</v>
      </c>
      <c r="Q22" s="78">
        <v>32119.713</v>
      </c>
      <c r="R22" s="78">
        <v>39710.497000000003</v>
      </c>
      <c r="S22" s="78">
        <v>15066.948</v>
      </c>
      <c r="T22" s="78">
        <v>124114.166</v>
      </c>
      <c r="U22" s="78">
        <v>224943.859</v>
      </c>
      <c r="V22" s="78">
        <v>99335.851999999999</v>
      </c>
      <c r="W22" s="78">
        <v>63075.15</v>
      </c>
      <c r="X22" s="78">
        <v>27514.866000000002</v>
      </c>
      <c r="Y22" s="78">
        <v>24970.206999999999</v>
      </c>
      <c r="Z22" s="78">
        <v>63755.1</v>
      </c>
      <c r="AA22" s="78">
        <v>83195.695000000007</v>
      </c>
      <c r="AB22" s="78">
        <v>277995.245</v>
      </c>
      <c r="AC22" s="78">
        <v>124184.959</v>
      </c>
      <c r="AD22" s="78">
        <v>37064.909</v>
      </c>
      <c r="AE22" s="78">
        <v>17088.128000000001</v>
      </c>
      <c r="AF22" s="78">
        <v>127330.24000000001</v>
      </c>
      <c r="AG22" s="78">
        <v>166097</v>
      </c>
      <c r="AH22" s="78">
        <v>114115.738</v>
      </c>
      <c r="AI22" s="78">
        <v>123591.311</v>
      </c>
      <c r="AJ22" s="78">
        <v>70424.634999999995</v>
      </c>
      <c r="AK22" s="78">
        <v>32479.482</v>
      </c>
      <c r="AL22" s="78">
        <v>28772.352999999999</v>
      </c>
      <c r="AM22" s="78">
        <v>1473</v>
      </c>
      <c r="AN22" s="67">
        <v>2169269.0049999999</v>
      </c>
    </row>
    <row r="23" spans="1:40" x14ac:dyDescent="0.2">
      <c r="A23" s="79" t="s">
        <v>7</v>
      </c>
      <c r="B23" s="17" t="s">
        <v>59</v>
      </c>
      <c r="C23" s="46">
        <v>9973</v>
      </c>
      <c r="D23" s="46">
        <v>953</v>
      </c>
      <c r="E23" s="46">
        <v>25817</v>
      </c>
      <c r="F23" s="46">
        <v>3874</v>
      </c>
      <c r="G23" s="46">
        <v>7907</v>
      </c>
      <c r="H23" s="46">
        <v>801</v>
      </c>
      <c r="I23" s="46">
        <v>9299</v>
      </c>
      <c r="J23" s="46">
        <v>4328</v>
      </c>
      <c r="K23" s="46">
        <v>12220</v>
      </c>
      <c r="L23" s="46">
        <v>18389</v>
      </c>
      <c r="M23" s="46">
        <v>6450</v>
      </c>
      <c r="N23" s="46">
        <v>4651</v>
      </c>
      <c r="O23" s="46">
        <v>8240</v>
      </c>
      <c r="P23" s="46">
        <v>15970</v>
      </c>
      <c r="Q23" s="46">
        <v>23439</v>
      </c>
      <c r="R23" s="46">
        <v>12296</v>
      </c>
      <c r="S23" s="46">
        <v>7471</v>
      </c>
      <c r="T23" s="46">
        <v>75005</v>
      </c>
      <c r="U23" s="46">
        <v>142420</v>
      </c>
      <c r="V23" s="46">
        <v>62065</v>
      </c>
      <c r="W23" s="46">
        <v>38335</v>
      </c>
      <c r="X23" s="46">
        <v>16110</v>
      </c>
      <c r="Y23" s="46">
        <v>8819</v>
      </c>
      <c r="Z23" s="46">
        <v>43889</v>
      </c>
      <c r="AA23" s="46">
        <v>54285</v>
      </c>
      <c r="AB23" s="46">
        <v>16663.169999999998</v>
      </c>
      <c r="AC23" s="46">
        <v>93290</v>
      </c>
      <c r="AD23" s="46">
        <v>22870</v>
      </c>
      <c r="AE23" s="46">
        <v>11654</v>
      </c>
      <c r="AF23" s="46">
        <v>82597</v>
      </c>
      <c r="AG23" s="46">
        <v>121611</v>
      </c>
      <c r="AH23" s="46">
        <v>98435</v>
      </c>
      <c r="AI23" s="46">
        <v>71456</v>
      </c>
      <c r="AJ23" s="46">
        <v>63960.1</v>
      </c>
      <c r="AK23" s="46">
        <v>22442</v>
      </c>
      <c r="AL23" s="46">
        <v>20212</v>
      </c>
      <c r="AM23" s="46">
        <v>4674.75</v>
      </c>
      <c r="AN23" s="52">
        <v>1242871.02</v>
      </c>
    </row>
    <row r="24" spans="1:40" x14ac:dyDescent="0.2">
      <c r="A24" s="82" t="s">
        <v>53</v>
      </c>
      <c r="B24" s="17" t="s">
        <v>148</v>
      </c>
      <c r="C24" s="78">
        <v>33912.550000000003</v>
      </c>
      <c r="D24" s="78">
        <v>866.27700000000004</v>
      </c>
      <c r="E24" s="78">
        <v>18582.342000000001</v>
      </c>
      <c r="F24" s="78">
        <v>1765.73</v>
      </c>
      <c r="G24" s="78">
        <v>3092.3690000000001</v>
      </c>
      <c r="H24" s="78">
        <v>797.81600000000003</v>
      </c>
      <c r="I24" s="78">
        <v>10783.694</v>
      </c>
      <c r="J24" s="78">
        <v>8105.8559999999998</v>
      </c>
      <c r="K24" s="78">
        <v>6975.348</v>
      </c>
      <c r="L24" s="78">
        <v>6091.8540000000003</v>
      </c>
      <c r="M24" s="78">
        <v>6481.8549999999996</v>
      </c>
      <c r="N24" s="78">
        <v>2227.3290000000002</v>
      </c>
      <c r="O24" s="78">
        <v>3535.7959999999998</v>
      </c>
      <c r="P24" s="78">
        <v>17145.134999999998</v>
      </c>
      <c r="Q24" s="78">
        <v>7578.7129999999997</v>
      </c>
      <c r="R24" s="78">
        <v>25221.496999999999</v>
      </c>
      <c r="S24" s="78">
        <v>7130.9480000000003</v>
      </c>
      <c r="T24" s="78">
        <v>46460.165999999997</v>
      </c>
      <c r="U24" s="78">
        <v>75705.858999999997</v>
      </c>
      <c r="V24" s="78">
        <v>34494.851999999999</v>
      </c>
      <c r="W24" s="78">
        <v>23226.15</v>
      </c>
      <c r="X24" s="78">
        <v>11602.866</v>
      </c>
      <c r="Y24" s="78">
        <v>15248.207</v>
      </c>
      <c r="Z24" s="78">
        <v>18311.099999999999</v>
      </c>
      <c r="AA24" s="78">
        <v>19764.695</v>
      </c>
      <c r="AB24" s="78">
        <v>233197.07500000001</v>
      </c>
      <c r="AC24" s="78">
        <v>27983.958999999999</v>
      </c>
      <c r="AD24" s="78">
        <v>15116.909</v>
      </c>
      <c r="AE24" s="78">
        <v>5051.1279999999997</v>
      </c>
      <c r="AF24" s="78">
        <v>42128.24</v>
      </c>
      <c r="AG24" s="78">
        <v>40935</v>
      </c>
      <c r="AH24" s="78">
        <v>16640.738000000001</v>
      </c>
      <c r="AI24" s="78">
        <v>47195.311000000002</v>
      </c>
      <c r="AJ24" s="78">
        <v>6041.5349999999999</v>
      </c>
      <c r="AK24" s="78">
        <v>10599.482</v>
      </c>
      <c r="AL24" s="78">
        <v>8158.3530000000001</v>
      </c>
      <c r="AM24" s="78">
        <v>0.23</v>
      </c>
      <c r="AN24" s="67">
        <v>858156.96499999997</v>
      </c>
    </row>
    <row r="25" spans="1:40" x14ac:dyDescent="0.2">
      <c r="A25" s="80" t="s">
        <v>8</v>
      </c>
      <c r="B25" s="27" t="s">
        <v>60</v>
      </c>
      <c r="C25" s="46">
        <v>1551</v>
      </c>
      <c r="D25" s="46">
        <v>109</v>
      </c>
      <c r="E25" s="46">
        <v>2655</v>
      </c>
      <c r="F25" s="46">
        <v>320</v>
      </c>
      <c r="G25" s="46">
        <v>753</v>
      </c>
      <c r="H25" s="46">
        <v>237</v>
      </c>
      <c r="I25" s="46">
        <v>1039</v>
      </c>
      <c r="J25" s="46">
        <v>475</v>
      </c>
      <c r="K25" s="46">
        <v>1219</v>
      </c>
      <c r="L25" s="46">
        <v>1611</v>
      </c>
      <c r="M25" s="46">
        <v>545</v>
      </c>
      <c r="N25" s="46">
        <v>382</v>
      </c>
      <c r="O25" s="46">
        <v>720</v>
      </c>
      <c r="P25" s="46">
        <v>1578</v>
      </c>
      <c r="Q25" s="46">
        <v>1600</v>
      </c>
      <c r="R25" s="46">
        <v>2473</v>
      </c>
      <c r="S25" s="46">
        <v>1100</v>
      </c>
      <c r="T25" s="46">
        <v>5133</v>
      </c>
      <c r="U25" s="46">
        <v>12267</v>
      </c>
      <c r="V25" s="46">
        <v>7089</v>
      </c>
      <c r="W25" s="46">
        <v>2651</v>
      </c>
      <c r="X25" s="46">
        <v>1050</v>
      </c>
      <c r="Y25" s="46">
        <v>1042</v>
      </c>
      <c r="Z25" s="46">
        <v>2544</v>
      </c>
      <c r="AA25" s="46">
        <v>10463</v>
      </c>
      <c r="AB25" s="46">
        <v>30033</v>
      </c>
      <c r="AC25" s="46">
        <v>5639</v>
      </c>
      <c r="AD25" s="46">
        <v>1577</v>
      </c>
      <c r="AE25" s="46">
        <v>790</v>
      </c>
      <c r="AF25" s="46">
        <v>5448</v>
      </c>
      <c r="AG25" s="46">
        <v>4169</v>
      </c>
      <c r="AH25" s="46">
        <v>1715</v>
      </c>
      <c r="AI25" s="46">
        <v>6031</v>
      </c>
      <c r="AJ25" s="46">
        <v>1557</v>
      </c>
      <c r="AK25" s="46">
        <v>1030</v>
      </c>
      <c r="AL25" s="46">
        <v>1182</v>
      </c>
      <c r="AM25" s="46">
        <v>6.02</v>
      </c>
      <c r="AN25" s="52">
        <v>119783.02</v>
      </c>
    </row>
    <row r="26" spans="1:40" x14ac:dyDescent="0.2">
      <c r="A26" s="81" t="s">
        <v>9</v>
      </c>
      <c r="B26" s="29" t="s">
        <v>61</v>
      </c>
      <c r="C26" s="42">
        <v>-8325</v>
      </c>
      <c r="D26" s="42">
        <v>-24</v>
      </c>
      <c r="E26" s="42">
        <v>-838</v>
      </c>
      <c r="F26" s="42">
        <v>-114</v>
      </c>
      <c r="G26" s="42">
        <v>-230</v>
      </c>
      <c r="H26" s="42">
        <v>-23</v>
      </c>
      <c r="I26" s="42">
        <v>-223</v>
      </c>
      <c r="J26" s="42">
        <v>-80</v>
      </c>
      <c r="K26" s="42">
        <v>-307</v>
      </c>
      <c r="L26" s="42">
        <v>-547</v>
      </c>
      <c r="M26" s="42">
        <v>-188</v>
      </c>
      <c r="N26" s="42">
        <v>-108</v>
      </c>
      <c r="O26" s="42">
        <v>-183</v>
      </c>
      <c r="P26" s="42">
        <v>-390</v>
      </c>
      <c r="Q26" s="42">
        <v>-498</v>
      </c>
      <c r="R26" s="42">
        <v>-280</v>
      </c>
      <c r="S26" s="42">
        <v>-635</v>
      </c>
      <c r="T26" s="42">
        <v>-2484</v>
      </c>
      <c r="U26" s="42">
        <v>-5449</v>
      </c>
      <c r="V26" s="42">
        <v>-4313</v>
      </c>
      <c r="W26" s="42">
        <v>-1137</v>
      </c>
      <c r="X26" s="42">
        <v>-1248</v>
      </c>
      <c r="Y26" s="42">
        <v>-139</v>
      </c>
      <c r="Z26" s="42">
        <v>-989</v>
      </c>
      <c r="AA26" s="42">
        <v>-1317</v>
      </c>
      <c r="AB26" s="42">
        <v>-1898</v>
      </c>
      <c r="AC26" s="42">
        <v>-2728</v>
      </c>
      <c r="AD26" s="42">
        <v>-2499</v>
      </c>
      <c r="AE26" s="42">
        <v>-407</v>
      </c>
      <c r="AF26" s="42">
        <v>-2843</v>
      </c>
      <c r="AG26" s="42">
        <v>-618</v>
      </c>
      <c r="AH26" s="42">
        <v>-2675</v>
      </c>
      <c r="AI26" s="42">
        <v>-1091</v>
      </c>
      <c r="AJ26" s="42">
        <v>-1134</v>
      </c>
      <c r="AK26" s="42">
        <v>-1592</v>
      </c>
      <c r="AL26" s="42">
        <v>-780</v>
      </c>
      <c r="AM26" s="42">
        <v>-3208</v>
      </c>
      <c r="AN26" s="53">
        <v>-51542</v>
      </c>
    </row>
    <row r="27" spans="1:40" s="30" customFormat="1" ht="9" x14ac:dyDescent="0.15">
      <c r="A27" s="30" t="s">
        <v>136</v>
      </c>
    </row>
    <row r="28" spans="1:40" s="30" customFormat="1" ht="9" x14ac:dyDescent="0.15">
      <c r="A28" s="30" t="s">
        <v>138</v>
      </c>
    </row>
  </sheetData>
  <mergeCells count="2">
    <mergeCell ref="A20:AN20"/>
    <mergeCell ref="A2:AN2"/>
  </mergeCells>
  <phoneticPr fontId="0" type="noConversion"/>
  <pageMargins left="0" right="0" top="0" bottom="0" header="0.51181102362204722" footer="0.51181102362204722"/>
  <pageSetup paperSize="9" scale="6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1</vt:i4>
      </vt:variant>
    </vt:vector>
  </HeadingPairs>
  <TitlesOfParts>
    <vt:vector size="6" baseType="lpstr">
      <vt:lpstr>Presentation of IOT</vt:lpstr>
      <vt:lpstr>SP</vt:lpstr>
      <vt:lpstr>FUT</vt:lpstr>
      <vt:lpstr>IIT</vt:lpstr>
      <vt:lpstr>PAI_GIAI</vt:lpstr>
      <vt:lpstr>PAI_GIAI!COMPTE_D_EXPLOITATION_PAR_BRANCHE</vt:lpstr>
    </vt:vector>
  </TitlesOfParts>
  <Company>INSEE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CAZANAVE Marie Thérèse</dc:creator>
  <cp:lastModifiedBy>Montel Olivier</cp:lastModifiedBy>
  <cp:lastPrinted>2016-11-17T13:02:09Z</cp:lastPrinted>
  <dcterms:created xsi:type="dcterms:W3CDTF">2006-01-23T10:03:06Z</dcterms:created>
  <dcterms:modified xsi:type="dcterms:W3CDTF">2022-06-30T09:40:01Z</dcterms:modified>
</cp:coreProperties>
</file>
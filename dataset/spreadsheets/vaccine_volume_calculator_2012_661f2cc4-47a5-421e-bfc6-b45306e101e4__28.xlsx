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heets/sheet13.xml" ContentType="application/vnd.openxmlformats-officedocument.spreadsheetml.chart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drawings/drawing8.xml" ContentType="application/vnd.openxmlformats-officedocument.drawing+xml"/>
  <Override PartName="/xl/charts/chart13.xml" ContentType="application/vnd.openxmlformats-officedocument.drawingml.chart+xml"/>
  <Override PartName="/xl/drawings/drawing9.xml" ContentType="application/vnd.openxmlformats-officedocument.drawing+xml"/>
  <Override PartName="/xl/charts/chart14.xml" ContentType="application/vnd.openxmlformats-officedocument.drawingml.chart+xml"/>
  <Override PartName="/xl/drawings/drawing10.xml" ContentType="application/vnd.openxmlformats-officedocument.drawing+xml"/>
  <Override PartName="/xl/charts/chart15.xml" ContentType="application/vnd.openxmlformats-officedocument.drawingml.chart+xml"/>
  <Override PartName="/xl/drawings/drawing11.xml" ContentType="application/vnd.openxmlformats-officedocument.drawing+xml"/>
  <Override PartName="/xl/charts/chart16.xml" ContentType="application/vnd.openxmlformats-officedocument.drawingml.chart+xml"/>
  <Override PartName="/xl/drawings/drawing12.xml" ContentType="application/vnd.openxmlformats-officedocument.drawing+xml"/>
  <Override PartName="/xl/charts/chart17.xml" ContentType="application/vnd.openxmlformats-officedocument.drawingml.chart+xml"/>
  <Override PartName="/xl/drawings/drawing13.xml" ContentType="application/vnd.openxmlformats-officedocument.drawing+xml"/>
  <Override PartName="/xl/charts/chart18.xml" ContentType="application/vnd.openxmlformats-officedocument.drawingml.chart+xml"/>
  <Override PartName="/xl/drawings/drawing14.xml" ContentType="application/vnd.openxmlformats-officedocument.drawing+xml"/>
  <Override PartName="/xl/charts/chart19.xml" ContentType="application/vnd.openxmlformats-officedocument.drawingml.chart+xml"/>
  <Override PartName="/xl/drawings/drawing15.xml" ContentType="application/vnd.openxmlformats-officedocument.drawing+xml"/>
  <Override PartName="/xl/charts/chart20.xml" ContentType="application/vnd.openxmlformats-officedocument.drawingml.chart+xml"/>
  <Override PartName="/xl/drawings/drawing16.xml" ContentType="application/vnd.openxmlformats-officedocument.drawing+xml"/>
  <Override PartName="/xl/drawings/drawing17.xml" ContentType="application/vnd.openxmlformats-officedocument.drawing+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defaultThemeVersion="124226"/>
  <mc:AlternateContent xmlns:mc="http://schemas.openxmlformats.org/markup-compatibility/2006">
    <mc:Choice Requires="x15">
      <x15ac:absPath xmlns:x15ac="http://schemas.microsoft.com/office/spreadsheetml/2010/11/ac" url="C:\Users\WHO\Downloads\"/>
    </mc:Choice>
  </mc:AlternateContent>
  <xr:revisionPtr revIDLastSave="0" documentId="8_{5EB081D8-918C-4E6E-A974-C3AD4FF37E7D}" xr6:coauthVersionLast="45" xr6:coauthVersionMax="45" xr10:uidLastSave="{00000000-0000-0000-0000-000000000000}"/>
  <bookViews>
    <workbookView xWindow="-108" yWindow="-108" windowWidth="46296" windowHeight="25536" tabRatio="623" xr2:uid="{00000000-000D-0000-FFFF-FFFF00000000}"/>
  </bookViews>
  <sheets>
    <sheet name="Cover" sheetId="32" r:id="rId1"/>
    <sheet name="Index" sheetId="1" r:id="rId2"/>
    <sheet name="Vaccine_Selection" sheetId="4" r:id="rId3"/>
    <sheet name="Abacus_Tables" sheetId="35" r:id="rId4"/>
    <sheet name="Volume_Inject" sheetId="5" r:id="rId5"/>
    <sheet name="Weight_Inject" sheetId="18" r:id="rId6"/>
    <sheet name="Qty_Waste" sheetId="12" r:id="rId7"/>
    <sheet name="Cost_Supplies" sheetId="20" r:id="rId8"/>
    <sheet name="Routine_illustration" sheetId="28" r:id="rId9"/>
    <sheet name="SIAs_illustration" sheetId="29" r:id="rId10"/>
    <sheet name="Abacus_NatStore_1" sheetId="38" r:id="rId11"/>
    <sheet name="Abacus_NatStore_2" sheetId="39" r:id="rId12"/>
    <sheet name="Abacus_Dist_1" sheetId="41" r:id="rId13"/>
    <sheet name="Abacus_Dist_2" sheetId="40" r:id="rId14"/>
    <sheet name="Abacus_SP_1" sheetId="42" r:id="rId15"/>
    <sheet name="Abacus_SP_2" sheetId="43" r:id="rId16"/>
    <sheet name="ds_Abacus_NatStore_1" sheetId="49" r:id="rId17"/>
    <sheet name="ds_Abacus_NatStore_2" sheetId="48" r:id="rId18"/>
    <sheet name="ds_Abacus_Dist_1" sheetId="47" r:id="rId19"/>
    <sheet name="ds_Abacus_Dist_2" sheetId="46" r:id="rId20"/>
    <sheet name="ds_Abacus_SP_1" sheetId="45" r:id="rId21"/>
    <sheet name="ds_Abacus_SP_2" sheetId="44" r:id="rId22"/>
    <sheet name="Passive_containers" sheetId="24" r:id="rId23"/>
    <sheet name="PQEquipment" sheetId="19" r:id="rId24"/>
    <sheet name="Supplies" sheetId="17" r:id="rId25"/>
    <sheet name="CR_FR_cost_chart" sheetId="36" r:id="rId26"/>
    <sheet name="Vaccine_database" sheetId="2" r:id="rId27"/>
    <sheet name="Country_data" sheetId="34" r:id="rId28"/>
    <sheet name="Translation" sheetId="33" r:id="rId29"/>
    <sheet name="Revision_history" sheetId="50" r:id="rId30"/>
    <sheet name="Exercise" sheetId="30" state="hidden" r:id="rId31"/>
  </sheets>
  <externalReferences>
    <externalReference r:id="rId32"/>
    <externalReference r:id="rId33"/>
  </externalReferences>
  <definedNames>
    <definedName name="_xlnm._FilterDatabase" localSheetId="27" hidden="1">Country_data!#REF!</definedName>
    <definedName name="_xlnm._FilterDatabase" localSheetId="22" hidden="1">Passive_containers!$B$5:$W$71</definedName>
    <definedName name="_xlnm._FilterDatabase" localSheetId="23" hidden="1">PQEquipment!$B$5:$AJ$5</definedName>
    <definedName name="_xlnm._FilterDatabase" localSheetId="28" hidden="1">Translation!$A$9:$I$432</definedName>
    <definedName name="_xlnm._FilterDatabase" localSheetId="26" hidden="1">Vaccine_database!$B$9:$P$269</definedName>
    <definedName name="cce">Translation!$C$256</definedName>
    <definedName name="Country" localSheetId="27">Country_data!$B$2:$B$197</definedName>
    <definedName name="Country">Country_data!$B$2:$B$197</definedName>
    <definedName name="cr">Translation!$C$254</definedName>
    <definedName name="Eqpt_list">PQEquipment!$D$6:$D$97</definedName>
    <definedName name="_xlnm.Extract" localSheetId="26">Vaccine_database!$B$281</definedName>
    <definedName name="filtr">Translation!$C$325:$C$327</definedName>
    <definedName name="Formulation">Vaccine_database!$D$10:$D$278</definedName>
    <definedName name="fr">Translation!$C$255</definedName>
    <definedName name="freez">Translation!$C$258</definedName>
    <definedName name="Icepack_Freezers">Supplies!$C$51:$C$60</definedName>
    <definedName name="Icepacks">Supplies!$E$50:$G$50</definedName>
    <definedName name="Langues" localSheetId="28">Translation!$D$9:$I$9</definedName>
    <definedName name="Langues">Translation!$D$9:$I$9</definedName>
    <definedName name="max">Translation!$C$326</definedName>
    <definedName name="min">Translation!$C$325</definedName>
    <definedName name="Passive_contain">Supplies!$C$64:$C$71</definedName>
    <definedName name="per_individual_vaccine">Translation!$C$21:$C$24</definedName>
    <definedName name="_xlnm.Print_Area" localSheetId="0">Cover!$B$2:$F$29</definedName>
    <definedName name="_xlnm.Print_Titles" localSheetId="1">Index!#REF!</definedName>
    <definedName name="_xlnm.Print_Titles" localSheetId="23">PQEquipment!$3:$4</definedName>
    <definedName name="_xlnm.Print_Titles" localSheetId="24">Supplies!$1:$2</definedName>
    <definedName name="_xlnm.Print_Titles" localSheetId="26">Vaccine_database!$1:$9</definedName>
    <definedName name="_xlnm.Print_Titles" localSheetId="2">Vaccine_Selection!$B:$G</definedName>
    <definedName name="refr">Translation!$C$257</definedName>
    <definedName name="Schedule">Vaccine_Selection!$M$16:$Q$16</definedName>
    <definedName name="SIAs">Vaccine_Selection!$S$16:$U$16</definedName>
    <definedName name="smax">Abacus_Tables!$F$4:$F$7</definedName>
    <definedName name="target">Translation!XFC$314:XFC$315</definedName>
    <definedName name="target1">Translation!$C$314</definedName>
    <definedName name="target2">Translation!$C$315</definedName>
    <definedName name="Vaccines" localSheetId="27">OFFSET([1]Vaccine_database!$B$11,0,0,COUNTA([1]Vaccine_database!$B$1:$B$65536)-1,1)</definedName>
    <definedName name="Vaccines">Vaccine_database!$C$10:$C$278</definedName>
    <definedName name="Vaccines1" localSheetId="27">OFFSET([2]Vaccine_database!$B$221,0,0,COUNTA([2]Vaccine_database!$B1048574:$B36)-1,1)</definedName>
    <definedName name="Vaccines1">Vaccine_database!$B$283:$B$325</definedName>
    <definedName name="WICR">Supplies!$B$36:$B$46</definedName>
    <definedName name="WICR_list">Supplies!$C$36:$C$46</definedName>
    <definedName name="WIFR">Supplies!$N$36:$N$46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7" i="5" l="1"/>
  <c r="G17" i="20" s="1"/>
  <c r="G22" i="5"/>
  <c r="G22" i="18" s="1"/>
  <c r="D1" i="33"/>
  <c r="A10" i="33"/>
  <c r="A11" i="33" s="1"/>
  <c r="K52" i="2"/>
  <c r="K51" i="2"/>
  <c r="B14" i="5"/>
  <c r="B15" i="5"/>
  <c r="B16" i="5"/>
  <c r="C16" i="5" s="1" a="1"/>
  <c r="C16" i="5" s="1"/>
  <c r="B17" i="5"/>
  <c r="B18" i="5"/>
  <c r="C18" i="5" a="1"/>
  <c r="C18" i="5" s="1"/>
  <c r="J22" i="4" s="1"/>
  <c r="K22" i="4" s="1"/>
  <c r="B19" i="5"/>
  <c r="B19" i="18" s="1"/>
  <c r="B20" i="5"/>
  <c r="B21" i="5"/>
  <c r="B22" i="5"/>
  <c r="C22" i="5" s="1" a="1"/>
  <c r="C22" i="5" s="1"/>
  <c r="B23" i="5"/>
  <c r="B24" i="5"/>
  <c r="F29" i="4" a="1"/>
  <c r="F29" i="4" s="1"/>
  <c r="F25" i="5" s="1"/>
  <c r="F25" i="20" s="1"/>
  <c r="G29" i="4" a="1"/>
  <c r="G29" i="4" s="1"/>
  <c r="F30" i="4" a="1"/>
  <c r="F30" i="4" s="1"/>
  <c r="F26" i="5" s="1"/>
  <c r="G30" i="4" a="1"/>
  <c r="G30" i="4" s="1"/>
  <c r="G26" i="5" s="1"/>
  <c r="G26" i="20" s="1"/>
  <c r="F31" i="4" a="1"/>
  <c r="F31" i="4" s="1"/>
  <c r="F27" i="5" s="1"/>
  <c r="F27" i="18" s="1"/>
  <c r="G31" i="4" a="1"/>
  <c r="G31" i="4" s="1"/>
  <c r="F32" i="4" a="1"/>
  <c r="F32" i="4" s="1"/>
  <c r="F28" i="5" s="1"/>
  <c r="G32" i="4" a="1"/>
  <c r="G32" i="4" s="1"/>
  <c r="G28" i="5" s="1"/>
  <c r="F33" i="4" a="1"/>
  <c r="F33" i="4" s="1"/>
  <c r="F29" i="5" s="1"/>
  <c r="G33" i="4" a="1"/>
  <c r="G33" i="4" s="1"/>
  <c r="G29" i="5" s="1"/>
  <c r="G29" i="20" s="1"/>
  <c r="F34" i="4" a="1"/>
  <c r="F34" i="4" s="1"/>
  <c r="F30" i="5" s="1"/>
  <c r="F30" i="18" s="1"/>
  <c r="G34" i="4" a="1"/>
  <c r="G34" i="4" s="1"/>
  <c r="G30" i="5" s="1"/>
  <c r="F35" i="4" a="1"/>
  <c r="F35" i="4" s="1"/>
  <c r="F31" i="5" s="1"/>
  <c r="F31" i="18" s="1"/>
  <c r="G35" i="4" a="1"/>
  <c r="G35" i="4" s="1"/>
  <c r="G31" i="5" s="1"/>
  <c r="G28" i="12" s="1"/>
  <c r="F36" i="4" a="1"/>
  <c r="F36" i="4" s="1"/>
  <c r="F32" i="5" s="1"/>
  <c r="F32" i="20" s="1"/>
  <c r="G36" i="4" a="1"/>
  <c r="G36" i="4" s="1"/>
  <c r="G32" i="5" s="1"/>
  <c r="B13" i="5"/>
  <c r="B13" i="18" s="1"/>
  <c r="J27" i="4"/>
  <c r="K27" i="4" s="1"/>
  <c r="J20" i="4"/>
  <c r="K20" i="4" s="1"/>
  <c r="J25" i="4"/>
  <c r="K25" i="4" s="1"/>
  <c r="J28" i="4"/>
  <c r="K28" i="4" s="1"/>
  <c r="J29" i="4"/>
  <c r="K29" i="4" s="1"/>
  <c r="J30" i="4"/>
  <c r="K30" i="4" s="1"/>
  <c r="J31" i="4"/>
  <c r="K31" i="4" s="1"/>
  <c r="J32" i="4"/>
  <c r="K32" i="4" s="1"/>
  <c r="J33" i="4"/>
  <c r="K33" i="4" s="1"/>
  <c r="J34" i="4"/>
  <c r="K34" i="4" s="1"/>
  <c r="J35" i="4"/>
  <c r="K35" i="4" s="1"/>
  <c r="J36" i="4"/>
  <c r="K36" i="4"/>
  <c r="C11" i="35"/>
  <c r="D11" i="35" s="1"/>
  <c r="E11" i="35" s="1"/>
  <c r="F11" i="35" s="1"/>
  <c r="G11" i="35" s="1"/>
  <c r="H11" i="35" s="1"/>
  <c r="I11" i="35" s="1"/>
  <c r="J11" i="35" s="1"/>
  <c r="K11" i="35" s="1"/>
  <c r="L11" i="35" s="1"/>
  <c r="M11" i="35" s="1"/>
  <c r="N11" i="35" s="1"/>
  <c r="O11" i="35" s="1"/>
  <c r="P11" i="35" s="1"/>
  <c r="Q11" i="35" s="1"/>
  <c r="R11" i="35" s="1"/>
  <c r="S11" i="35" s="1"/>
  <c r="T11" i="35" s="1"/>
  <c r="U11" i="35" s="1"/>
  <c r="V11" i="35" s="1"/>
  <c r="W11" i="35" s="1"/>
  <c r="X11" i="35" s="1"/>
  <c r="Y11" i="35" s="1"/>
  <c r="Z11" i="35" s="1"/>
  <c r="AA11" i="35" s="1"/>
  <c r="AB11" i="35" s="1"/>
  <c r="C8" i="35"/>
  <c r="D8" i="35" s="1"/>
  <c r="Y26" i="4"/>
  <c r="Y27" i="4"/>
  <c r="Y28" i="4"/>
  <c r="Y29" i="4"/>
  <c r="Y30" i="4"/>
  <c r="Y31" i="4"/>
  <c r="Y32" i="4"/>
  <c r="Y33" i="4"/>
  <c r="Y34" i="4"/>
  <c r="Y35" i="4"/>
  <c r="Y36" i="4"/>
  <c r="Z26" i="4"/>
  <c r="Z27" i="4"/>
  <c r="Z28" i="4"/>
  <c r="Z29" i="4"/>
  <c r="Z30" i="4"/>
  <c r="Z31" i="4"/>
  <c r="Z32" i="4"/>
  <c r="Z33" i="4"/>
  <c r="Z34" i="4"/>
  <c r="Z35" i="4"/>
  <c r="Z36" i="4"/>
  <c r="AA26" i="4"/>
  <c r="AA27" i="4"/>
  <c r="AA28" i="4"/>
  <c r="AA29" i="4"/>
  <c r="AA30" i="4"/>
  <c r="AA31" i="4"/>
  <c r="AA32" i="4"/>
  <c r="AA33" i="4"/>
  <c r="AA34" i="4"/>
  <c r="AA35" i="4"/>
  <c r="AA36" i="4"/>
  <c r="AB26" i="4"/>
  <c r="AB27" i="4"/>
  <c r="AB28" i="4"/>
  <c r="AB29" i="4"/>
  <c r="AB30" i="4"/>
  <c r="AB31" i="4"/>
  <c r="AB32" i="4"/>
  <c r="AB33" i="4"/>
  <c r="AB34" i="4"/>
  <c r="AB35" i="4"/>
  <c r="AB36" i="4"/>
  <c r="AC26" i="4"/>
  <c r="AC27" i="4"/>
  <c r="AC28" i="4"/>
  <c r="AC29" i="4"/>
  <c r="AC30" i="4"/>
  <c r="AC31" i="4"/>
  <c r="AC32" i="4"/>
  <c r="AC33" i="4"/>
  <c r="AC34" i="4"/>
  <c r="AC35" i="4"/>
  <c r="AC36" i="4"/>
  <c r="AB187" i="35"/>
  <c r="AA187" i="35"/>
  <c r="Z187" i="35"/>
  <c r="Y187" i="35"/>
  <c r="X187" i="35"/>
  <c r="W187" i="35"/>
  <c r="V187" i="35"/>
  <c r="U187" i="35"/>
  <c r="T187" i="35"/>
  <c r="S187" i="35"/>
  <c r="R187" i="35"/>
  <c r="Q187" i="35"/>
  <c r="P187" i="35"/>
  <c r="O187" i="35"/>
  <c r="N187" i="35"/>
  <c r="M187" i="35"/>
  <c r="L187" i="35"/>
  <c r="K187" i="35"/>
  <c r="J187" i="35"/>
  <c r="I187" i="35"/>
  <c r="H187" i="35"/>
  <c r="G187" i="35"/>
  <c r="F187" i="35"/>
  <c r="E187" i="35"/>
  <c r="D187" i="35"/>
  <c r="C187" i="35"/>
  <c r="C192" i="35"/>
  <c r="C197" i="35" s="1"/>
  <c r="C193" i="35"/>
  <c r="D146" i="35"/>
  <c r="C4" i="35"/>
  <c r="C149" i="35"/>
  <c r="D149" i="35"/>
  <c r="C102" i="35"/>
  <c r="D102" i="35" s="1"/>
  <c r="D105" i="35" s="1"/>
  <c r="E105" i="35" s="1"/>
  <c r="F105" i="35" s="1"/>
  <c r="G105" i="35" s="1"/>
  <c r="H105" i="35" s="1"/>
  <c r="I105" i="35" s="1"/>
  <c r="J105" i="35" s="1"/>
  <c r="K105" i="35" s="1"/>
  <c r="L105" i="35" s="1"/>
  <c r="M105" i="35" s="1"/>
  <c r="N105" i="35" s="1"/>
  <c r="O105" i="35" s="1"/>
  <c r="P105" i="35" s="1"/>
  <c r="Q105" i="35" s="1"/>
  <c r="R105" i="35" s="1"/>
  <c r="S105" i="35" s="1"/>
  <c r="T105" i="35" s="1"/>
  <c r="U105" i="35" s="1"/>
  <c r="V105" i="35" s="1"/>
  <c r="W105" i="35" s="1"/>
  <c r="X105" i="35" s="1"/>
  <c r="Y105" i="35" s="1"/>
  <c r="Z105" i="35" s="1"/>
  <c r="AA105" i="35" s="1"/>
  <c r="AB105" i="35" s="1"/>
  <c r="C55" i="35"/>
  <c r="D55" i="35"/>
  <c r="E15" i="5"/>
  <c r="E16" i="5"/>
  <c r="E17" i="5"/>
  <c r="E17" i="18"/>
  <c r="E18" i="5"/>
  <c r="B19" i="20"/>
  <c r="E19" i="5"/>
  <c r="E16" i="12"/>
  <c r="E20" i="5"/>
  <c r="E17" i="12" s="1"/>
  <c r="E21" i="5"/>
  <c r="B22" i="20"/>
  <c r="E22" i="5"/>
  <c r="E23" i="5"/>
  <c r="B25" i="5"/>
  <c r="C25" i="5" a="1"/>
  <c r="C25" i="5" s="1"/>
  <c r="B26" i="5"/>
  <c r="K26" i="5" s="1"/>
  <c r="B27" i="5"/>
  <c r="B27" i="18"/>
  <c r="K27" i="18" s="1"/>
  <c r="B28" i="5"/>
  <c r="B29" i="5"/>
  <c r="B26" i="12"/>
  <c r="I26" i="12"/>
  <c r="B30" i="5"/>
  <c r="B31" i="5"/>
  <c r="B31" i="20"/>
  <c r="K31" i="20"/>
  <c r="B32" i="5"/>
  <c r="B32" i="20" s="1"/>
  <c r="E13" i="5"/>
  <c r="E10" i="12" s="1"/>
  <c r="E13" i="20"/>
  <c r="E14" i="5"/>
  <c r="E11" i="12" s="1"/>
  <c r="E24" i="5"/>
  <c r="K25" i="5"/>
  <c r="K29" i="5"/>
  <c r="C152" i="35"/>
  <c r="AB176" i="35"/>
  <c r="AA176" i="35"/>
  <c r="Z176" i="35"/>
  <c r="Y176" i="35"/>
  <c r="X176" i="35"/>
  <c r="W176" i="35"/>
  <c r="V176" i="35"/>
  <c r="U176" i="35"/>
  <c r="T176" i="35"/>
  <c r="S176" i="35"/>
  <c r="R176" i="35"/>
  <c r="Q176" i="35"/>
  <c r="P176" i="35"/>
  <c r="O176" i="35"/>
  <c r="N176" i="35"/>
  <c r="M176" i="35"/>
  <c r="L176" i="35"/>
  <c r="K176" i="35"/>
  <c r="J176" i="35"/>
  <c r="I176" i="35"/>
  <c r="H176" i="35"/>
  <c r="G176" i="35"/>
  <c r="F176" i="35"/>
  <c r="E176" i="35"/>
  <c r="D176" i="35"/>
  <c r="C176" i="35"/>
  <c r="C58" i="35"/>
  <c r="B176" i="35"/>
  <c r="B187" i="35" s="1"/>
  <c r="B182" i="35"/>
  <c r="B16" i="35"/>
  <c r="B17" i="35"/>
  <c r="B41" i="35" s="1"/>
  <c r="B29" i="35"/>
  <c r="B214" i="35"/>
  <c r="B219" i="35"/>
  <c r="B165" i="35"/>
  <c r="B157" i="35"/>
  <c r="B170" i="35"/>
  <c r="B164" i="35"/>
  <c r="B158" i="35"/>
  <c r="B171" i="35" s="1"/>
  <c r="B140" i="35"/>
  <c r="B123" i="35"/>
  <c r="B129" i="35"/>
  <c r="B118" i="35"/>
  <c r="B110" i="35"/>
  <c r="B134" i="35" s="1"/>
  <c r="B117" i="35"/>
  <c r="B76" i="35"/>
  <c r="B82" i="35"/>
  <c r="B111" i="35"/>
  <c r="B135" i="35"/>
  <c r="B71" i="35"/>
  <c r="B63" i="35"/>
  <c r="B87" i="35" s="1"/>
  <c r="B70" i="35"/>
  <c r="B24" i="35"/>
  <c r="B23" i="35"/>
  <c r="B64" i="35"/>
  <c r="B88" i="35" s="1"/>
  <c r="B93" i="35"/>
  <c r="N17" i="5"/>
  <c r="N13" i="5"/>
  <c r="N14" i="5"/>
  <c r="N15" i="5"/>
  <c r="N16" i="5"/>
  <c r="N18" i="5"/>
  <c r="N19" i="5"/>
  <c r="N20" i="5"/>
  <c r="N21" i="5"/>
  <c r="N22" i="5"/>
  <c r="N23" i="5"/>
  <c r="N24" i="5"/>
  <c r="N25" i="5"/>
  <c r="N26" i="5"/>
  <c r="N27" i="5"/>
  <c r="N28" i="5"/>
  <c r="N29" i="5"/>
  <c r="N30" i="5"/>
  <c r="N31" i="5"/>
  <c r="N32" i="5"/>
  <c r="E25" i="5"/>
  <c r="E22" i="12" s="1"/>
  <c r="E26" i="5"/>
  <c r="E26" i="20" s="1"/>
  <c r="E27" i="5"/>
  <c r="E28" i="5"/>
  <c r="C29" i="5" a="1"/>
  <c r="C29" i="5" s="1"/>
  <c r="E29" i="5"/>
  <c r="E29" i="18" s="1"/>
  <c r="E30" i="5"/>
  <c r="E31" i="5"/>
  <c r="E31" i="18"/>
  <c r="E32" i="5"/>
  <c r="C31" i="1"/>
  <c r="C30" i="1"/>
  <c r="C29" i="1"/>
  <c r="C28" i="1"/>
  <c r="C27" i="1"/>
  <c r="C26" i="1"/>
  <c r="K7" i="20"/>
  <c r="K6" i="20"/>
  <c r="K5" i="20"/>
  <c r="B22" i="12"/>
  <c r="I22" i="12" s="1"/>
  <c r="K7" i="5"/>
  <c r="K6" i="5"/>
  <c r="K5" i="5"/>
  <c r="K7" i="18"/>
  <c r="K6" i="18"/>
  <c r="K5" i="18"/>
  <c r="AC16" i="4"/>
  <c r="AB16" i="4"/>
  <c r="AA16" i="4"/>
  <c r="Z16" i="4"/>
  <c r="V71" i="24"/>
  <c r="W71" i="24" s="1"/>
  <c r="V70" i="24"/>
  <c r="W70" i="24" s="1"/>
  <c r="V69" i="24"/>
  <c r="W69" i="24"/>
  <c r="V68" i="24"/>
  <c r="W68" i="24" s="1"/>
  <c r="V67" i="24"/>
  <c r="W67" i="24" s="1"/>
  <c r="V66" i="24"/>
  <c r="W66" i="24" s="1"/>
  <c r="V65" i="24"/>
  <c r="W65" i="24" s="1"/>
  <c r="V64" i="24"/>
  <c r="W64" i="24" s="1"/>
  <c r="V63" i="24"/>
  <c r="W63" i="24" s="1"/>
  <c r="V62" i="24"/>
  <c r="W62" i="24" s="1"/>
  <c r="V61" i="24"/>
  <c r="W61" i="24" s="1"/>
  <c r="V60" i="24"/>
  <c r="W60" i="24" s="1"/>
  <c r="V59" i="24"/>
  <c r="W59" i="24" s="1"/>
  <c r="V58" i="24"/>
  <c r="W58" i="24" s="1"/>
  <c r="V57" i="24"/>
  <c r="W57" i="24" s="1"/>
  <c r="V56" i="24"/>
  <c r="W56" i="24" s="1"/>
  <c r="V55" i="24"/>
  <c r="W55" i="24" s="1"/>
  <c r="V54" i="24"/>
  <c r="W54" i="24" s="1"/>
  <c r="V53" i="24"/>
  <c r="W53" i="24" s="1"/>
  <c r="V52" i="24"/>
  <c r="W52" i="24" s="1"/>
  <c r="V51" i="24"/>
  <c r="W51" i="24" s="1"/>
  <c r="V50" i="24"/>
  <c r="W50" i="24" s="1"/>
  <c r="V49" i="24"/>
  <c r="W49" i="24" s="1"/>
  <c r="V48" i="24"/>
  <c r="W48" i="24" s="1"/>
  <c r="V47" i="24"/>
  <c r="W47" i="24" s="1"/>
  <c r="V46" i="24"/>
  <c r="W46" i="24" s="1"/>
  <c r="V45" i="24"/>
  <c r="W45" i="24" s="1"/>
  <c r="V44" i="24"/>
  <c r="W44" i="24" s="1"/>
  <c r="V43" i="24"/>
  <c r="W43" i="24" s="1"/>
  <c r="V42" i="24"/>
  <c r="W42" i="24" s="1"/>
  <c r="V41" i="24"/>
  <c r="W41" i="24" s="1"/>
  <c r="V40" i="24"/>
  <c r="W40" i="24" s="1"/>
  <c r="V39" i="24"/>
  <c r="W39" i="24" s="1"/>
  <c r="V38" i="24"/>
  <c r="W38" i="24" s="1"/>
  <c r="V37" i="24"/>
  <c r="W37" i="24"/>
  <c r="V36" i="24"/>
  <c r="W36" i="24" s="1"/>
  <c r="V35" i="24"/>
  <c r="W35" i="24" s="1"/>
  <c r="V34" i="24"/>
  <c r="W34" i="24" s="1"/>
  <c r="V33" i="24"/>
  <c r="W33" i="24"/>
  <c r="V32" i="24"/>
  <c r="W32" i="24" s="1"/>
  <c r="V31" i="24"/>
  <c r="W31" i="24" s="1"/>
  <c r="V30" i="24"/>
  <c r="W30" i="24" s="1"/>
  <c r="V29" i="24"/>
  <c r="W29" i="24" s="1"/>
  <c r="V28" i="24"/>
  <c r="W28" i="24" s="1"/>
  <c r="V27" i="24"/>
  <c r="W27" i="24" s="1"/>
  <c r="V26" i="24"/>
  <c r="W26" i="24" s="1"/>
  <c r="V25" i="24"/>
  <c r="W25" i="24" s="1"/>
  <c r="V24" i="24"/>
  <c r="W24" i="24" s="1"/>
  <c r="V23" i="24"/>
  <c r="W23" i="24" s="1"/>
  <c r="V22" i="24"/>
  <c r="W22" i="24" s="1"/>
  <c r="V21" i="24"/>
  <c r="W21" i="24"/>
  <c r="V20" i="24"/>
  <c r="W20" i="24" s="1"/>
  <c r="V19" i="24"/>
  <c r="W19" i="24" s="1"/>
  <c r="V18" i="24"/>
  <c r="W18" i="24" s="1"/>
  <c r="V17" i="24"/>
  <c r="W17" i="24" s="1"/>
  <c r="V16" i="24"/>
  <c r="W16" i="24" s="1"/>
  <c r="V15" i="24"/>
  <c r="W15" i="24" s="1"/>
  <c r="V14" i="24"/>
  <c r="W14" i="24" s="1"/>
  <c r="V13" i="24"/>
  <c r="W13" i="24" s="1"/>
  <c r="V12" i="24"/>
  <c r="W12" i="24" s="1"/>
  <c r="V11" i="24"/>
  <c r="W11" i="24" s="1"/>
  <c r="V10" i="24"/>
  <c r="W10" i="24" s="1"/>
  <c r="V9" i="24"/>
  <c r="W9" i="24" s="1"/>
  <c r="V8" i="24"/>
  <c r="W8" i="24" s="1"/>
  <c r="V7" i="24"/>
  <c r="W7" i="24" s="1"/>
  <c r="V6" i="24"/>
  <c r="W6" i="24" s="1"/>
  <c r="U35" i="24"/>
  <c r="U36" i="24"/>
  <c r="U41" i="24"/>
  <c r="U42" i="24"/>
  <c r="U43" i="24"/>
  <c r="U44" i="24"/>
  <c r="U45" i="24"/>
  <c r="L2" i="24"/>
  <c r="K20" i="2"/>
  <c r="K67" i="2"/>
  <c r="K68" i="2"/>
  <c r="K71" i="2"/>
  <c r="K72" i="2"/>
  <c r="K73" i="2"/>
  <c r="K74" i="2"/>
  <c r="K75" i="2"/>
  <c r="K76" i="2"/>
  <c r="K77" i="2"/>
  <c r="K78" i="2"/>
  <c r="K79" i="2"/>
  <c r="K80" i="2"/>
  <c r="K141" i="2"/>
  <c r="K147" i="2"/>
  <c r="K148" i="2"/>
  <c r="K149" i="2"/>
  <c r="L151" i="2"/>
  <c r="K152" i="2"/>
  <c r="L152" i="2"/>
  <c r="K153" i="2"/>
  <c r="L153" i="2"/>
  <c r="K154" i="2"/>
  <c r="L154" i="2"/>
  <c r="K155" i="2"/>
  <c r="L155" i="2"/>
  <c r="K170" i="2"/>
  <c r="K201" i="2"/>
  <c r="K204" i="2"/>
  <c r="K210" i="2"/>
  <c r="K216" i="2"/>
  <c r="K217" i="2"/>
  <c r="K218" i="2"/>
  <c r="K219" i="2"/>
  <c r="K220" i="2"/>
  <c r="K224" i="2"/>
  <c r="K225" i="2"/>
  <c r="K226" i="2"/>
  <c r="K227" i="2"/>
  <c r="L227" i="2"/>
  <c r="K233" i="2"/>
  <c r="K238" i="2"/>
  <c r="AJ73" i="19"/>
  <c r="AI73" i="19"/>
  <c r="AH73" i="19"/>
  <c r="AG73" i="19"/>
  <c r="AF73" i="19"/>
  <c r="AE73" i="19"/>
  <c r="AD73" i="19"/>
  <c r="AC73" i="19"/>
  <c r="AB73" i="19"/>
  <c r="N72" i="19"/>
  <c r="AJ72" i="19"/>
  <c r="AH72" i="19"/>
  <c r="AF72" i="19"/>
  <c r="AD72" i="19"/>
  <c r="AC72" i="19"/>
  <c r="AB72" i="19"/>
  <c r="D37" i="1"/>
  <c r="B37" i="1" s="1"/>
  <c r="C25" i="1"/>
  <c r="C24" i="1"/>
  <c r="C23" i="1"/>
  <c r="C22" i="1"/>
  <c r="C21" i="1"/>
  <c r="C20" i="1"/>
  <c r="R70" i="19"/>
  <c r="C105" i="35"/>
  <c r="C125" i="35"/>
  <c r="D125" i="35"/>
  <c r="E125" i="35" s="1"/>
  <c r="F125" i="35" s="1"/>
  <c r="G125" i="35" s="1"/>
  <c r="H125" i="35" s="1"/>
  <c r="I125" i="35" s="1"/>
  <c r="J125" i="35" s="1"/>
  <c r="K125" i="35" s="1"/>
  <c r="L125" i="35" s="1"/>
  <c r="M125" i="35" s="1"/>
  <c r="N125" i="35" s="1"/>
  <c r="O125" i="35" s="1"/>
  <c r="P125" i="35" s="1"/>
  <c r="Q125" i="35" s="1"/>
  <c r="R125" i="35" s="1"/>
  <c r="S125" i="35" s="1"/>
  <c r="T125" i="35" s="1"/>
  <c r="U125" i="35" s="1"/>
  <c r="V125" i="35" s="1"/>
  <c r="W125" i="35" s="1"/>
  <c r="X125" i="35" s="1"/>
  <c r="Y125" i="35" s="1"/>
  <c r="Z125" i="35" s="1"/>
  <c r="AA125" i="35" s="1"/>
  <c r="AB125" i="35" s="1"/>
  <c r="C113" i="35"/>
  <c r="D113" i="35" s="1"/>
  <c r="E113" i="35" s="1"/>
  <c r="F113" i="35" s="1"/>
  <c r="G113" i="35" s="1"/>
  <c r="H113" i="35" s="1"/>
  <c r="I113" i="35" s="1"/>
  <c r="J113" i="35" s="1"/>
  <c r="K113" i="35" s="1"/>
  <c r="L113" i="35" s="1"/>
  <c r="M113" i="35" s="1"/>
  <c r="N113" i="35" s="1"/>
  <c r="O113" i="35" s="1"/>
  <c r="P113" i="35" s="1"/>
  <c r="Q113" i="35" s="1"/>
  <c r="R113" i="35" s="1"/>
  <c r="S113" i="35" s="1"/>
  <c r="T113" i="35" s="1"/>
  <c r="U113" i="35" s="1"/>
  <c r="V113" i="35" s="1"/>
  <c r="W113" i="35" s="1"/>
  <c r="X113" i="35" s="1"/>
  <c r="Y113" i="35" s="1"/>
  <c r="Z113" i="35" s="1"/>
  <c r="AA113" i="35" s="1"/>
  <c r="AB113" i="35" s="1"/>
  <c r="C78" i="35"/>
  <c r="D78" i="35" s="1"/>
  <c r="E78" i="35" s="1"/>
  <c r="F78" i="35" s="1"/>
  <c r="G78" i="35" s="1"/>
  <c r="H78" i="35" s="1"/>
  <c r="I78" i="35" s="1"/>
  <c r="J78" i="35" s="1"/>
  <c r="K78" i="35" s="1"/>
  <c r="L78" i="35" s="1"/>
  <c r="M78" i="35" s="1"/>
  <c r="N78" i="35" s="1"/>
  <c r="O78" i="35" s="1"/>
  <c r="P78" i="35" s="1"/>
  <c r="Q78" i="35" s="1"/>
  <c r="R78" i="35" s="1"/>
  <c r="S78" i="35" s="1"/>
  <c r="T78" i="35" s="1"/>
  <c r="U78" i="35" s="1"/>
  <c r="V78" i="35" s="1"/>
  <c r="W78" i="35" s="1"/>
  <c r="X78" i="35" s="1"/>
  <c r="Y78" i="35" s="1"/>
  <c r="Z78" i="35" s="1"/>
  <c r="AA78" i="35" s="1"/>
  <c r="AB78" i="35" s="1"/>
  <c r="C66" i="35"/>
  <c r="D66" i="35" s="1"/>
  <c r="E66" i="35" s="1"/>
  <c r="F66" i="35" s="1"/>
  <c r="G66" i="35" s="1"/>
  <c r="H66" i="35" s="1"/>
  <c r="I66" i="35" s="1"/>
  <c r="J66" i="35" s="1"/>
  <c r="K66" i="35" s="1"/>
  <c r="L66" i="35" s="1"/>
  <c r="M66" i="35" s="1"/>
  <c r="N66" i="35" s="1"/>
  <c r="O66" i="35" s="1"/>
  <c r="P66" i="35" s="1"/>
  <c r="Q66" i="35" s="1"/>
  <c r="R66" i="35" s="1"/>
  <c r="S66" i="35" s="1"/>
  <c r="T66" i="35" s="1"/>
  <c r="U66" i="35" s="1"/>
  <c r="V66" i="35" s="1"/>
  <c r="W66" i="35" s="1"/>
  <c r="X66" i="35" s="1"/>
  <c r="Y66" i="35" s="1"/>
  <c r="Z66" i="35" s="1"/>
  <c r="AA66" i="35" s="1"/>
  <c r="AB66" i="35" s="1"/>
  <c r="D53" i="35"/>
  <c r="D100" i="35" s="1"/>
  <c r="D52" i="35"/>
  <c r="D99" i="35" s="1"/>
  <c r="D147" i="35" s="1"/>
  <c r="D10" i="1"/>
  <c r="B10" i="1" s="1"/>
  <c r="F191" i="35"/>
  <c r="F192" i="35"/>
  <c r="F193" i="35"/>
  <c r="F194" i="35"/>
  <c r="C194" i="35"/>
  <c r="D46" i="17"/>
  <c r="E46" i="17"/>
  <c r="F41" i="17"/>
  <c r="J41" i="17" s="1"/>
  <c r="F46" i="17"/>
  <c r="I46" i="17"/>
  <c r="H46" i="17"/>
  <c r="D45" i="17"/>
  <c r="E45" i="17"/>
  <c r="J45" i="17" s="1"/>
  <c r="I45" i="17"/>
  <c r="H45" i="17"/>
  <c r="D44" i="17"/>
  <c r="E44" i="17" s="1"/>
  <c r="I40" i="17"/>
  <c r="I44" i="17" s="1"/>
  <c r="H40" i="17"/>
  <c r="H44" i="17"/>
  <c r="D43" i="17"/>
  <c r="E43" i="17" s="1"/>
  <c r="I43" i="17"/>
  <c r="H43" i="17"/>
  <c r="L43" i="17"/>
  <c r="D42" i="17"/>
  <c r="E42" i="17"/>
  <c r="I42" i="17"/>
  <c r="M42" i="17" s="1"/>
  <c r="H42" i="17"/>
  <c r="L42" i="17" s="1"/>
  <c r="E41" i="17"/>
  <c r="E40" i="17"/>
  <c r="E39" i="17"/>
  <c r="J39" i="17" s="1"/>
  <c r="F39" i="17"/>
  <c r="F42" i="17" s="1"/>
  <c r="J42" i="17" s="1"/>
  <c r="E38" i="17"/>
  <c r="E37" i="17"/>
  <c r="F37" i="17"/>
  <c r="J37" i="17"/>
  <c r="E36" i="17"/>
  <c r="D18" i="1"/>
  <c r="B18" i="1" s="1"/>
  <c r="D9" i="1"/>
  <c r="B9" i="1" s="1"/>
  <c r="O13" i="5"/>
  <c r="O14" i="5"/>
  <c r="O15" i="5"/>
  <c r="O28" i="5"/>
  <c r="O27" i="5"/>
  <c r="O24" i="5"/>
  <c r="O21" i="5"/>
  <c r="O18" i="5"/>
  <c r="O31" i="5"/>
  <c r="M14" i="5"/>
  <c r="M28" i="5"/>
  <c r="M25" i="5"/>
  <c r="M24" i="5"/>
  <c r="M22" i="5"/>
  <c r="M20" i="5"/>
  <c r="M19" i="5"/>
  <c r="M18" i="5"/>
  <c r="M29" i="5"/>
  <c r="S13" i="5"/>
  <c r="Q13" i="5"/>
  <c r="Q14" i="5"/>
  <c r="Q15" i="5"/>
  <c r="Q16" i="5"/>
  <c r="Q17" i="5"/>
  <c r="Q18" i="5"/>
  <c r="Q19" i="5"/>
  <c r="Q20" i="5"/>
  <c r="Q21" i="5"/>
  <c r="Q23" i="5"/>
  <c r="Q24" i="5"/>
  <c r="Q25" i="5"/>
  <c r="Q26" i="5"/>
  <c r="Q27" i="5"/>
  <c r="Q28" i="5"/>
  <c r="Q29" i="5"/>
  <c r="Q30" i="5"/>
  <c r="Q31" i="5"/>
  <c r="Q32" i="5"/>
  <c r="Q22" i="5"/>
  <c r="P13" i="5"/>
  <c r="P14" i="5"/>
  <c r="P15" i="5"/>
  <c r="P16" i="5"/>
  <c r="P17" i="5"/>
  <c r="P18" i="5"/>
  <c r="P19" i="5"/>
  <c r="P20" i="5"/>
  <c r="P21" i="5"/>
  <c r="P23" i="5"/>
  <c r="P24" i="5"/>
  <c r="P25" i="5"/>
  <c r="P26" i="5"/>
  <c r="P27" i="5"/>
  <c r="P28" i="5"/>
  <c r="P29" i="5"/>
  <c r="P30" i="5"/>
  <c r="P31" i="5"/>
  <c r="P32" i="5"/>
  <c r="P22" i="5"/>
  <c r="O16" i="5"/>
  <c r="O17" i="5"/>
  <c r="O19" i="5"/>
  <c r="O20" i="5"/>
  <c r="O23" i="5"/>
  <c r="O25" i="5"/>
  <c r="O26" i="5"/>
  <c r="O29" i="5"/>
  <c r="O30" i="5"/>
  <c r="O32" i="5"/>
  <c r="O22" i="5"/>
  <c r="M13" i="5"/>
  <c r="M15" i="5"/>
  <c r="M16" i="5"/>
  <c r="M17" i="5"/>
  <c r="M21" i="5"/>
  <c r="M23" i="5"/>
  <c r="M26" i="5"/>
  <c r="M27" i="5"/>
  <c r="M30" i="5"/>
  <c r="M31" i="5"/>
  <c r="M32" i="5"/>
  <c r="Q13" i="18"/>
  <c r="Q14" i="18"/>
  <c r="Q15" i="18"/>
  <c r="Q16" i="18"/>
  <c r="Q17" i="18"/>
  <c r="Q18" i="18"/>
  <c r="Q19" i="18"/>
  <c r="Q20" i="18"/>
  <c r="Q21" i="18"/>
  <c r="Q23" i="18"/>
  <c r="Q24" i="18"/>
  <c r="Q25" i="18"/>
  <c r="Q26" i="18"/>
  <c r="Q27" i="18"/>
  <c r="Q28" i="18"/>
  <c r="Q29" i="18"/>
  <c r="Q30" i="18"/>
  <c r="Q31" i="18"/>
  <c r="Q32" i="18"/>
  <c r="Q22" i="18"/>
  <c r="P13" i="18"/>
  <c r="P14" i="18"/>
  <c r="P15" i="18"/>
  <c r="P16" i="18"/>
  <c r="P17" i="18"/>
  <c r="P18" i="18"/>
  <c r="P19" i="18"/>
  <c r="P20" i="18"/>
  <c r="P21" i="18"/>
  <c r="P23" i="18"/>
  <c r="P24" i="18"/>
  <c r="P25" i="18"/>
  <c r="P26" i="18"/>
  <c r="P27" i="18"/>
  <c r="P28" i="18"/>
  <c r="P29" i="18"/>
  <c r="P30" i="18"/>
  <c r="P31" i="18"/>
  <c r="P32" i="18"/>
  <c r="P22" i="18"/>
  <c r="O13" i="18"/>
  <c r="O14" i="18"/>
  <c r="O15" i="18"/>
  <c r="O16" i="18"/>
  <c r="O17" i="18"/>
  <c r="O18" i="18"/>
  <c r="O19" i="18"/>
  <c r="O20" i="18"/>
  <c r="O21" i="18"/>
  <c r="O23" i="18"/>
  <c r="O24" i="18"/>
  <c r="O25" i="18"/>
  <c r="O26" i="18"/>
  <c r="O27" i="18"/>
  <c r="O28" i="18"/>
  <c r="O29" i="18"/>
  <c r="O30" i="18"/>
  <c r="O31" i="18"/>
  <c r="O32" i="18"/>
  <c r="O22" i="18"/>
  <c r="N13" i="18"/>
  <c r="N14" i="18"/>
  <c r="N15" i="18"/>
  <c r="N16" i="18"/>
  <c r="N17" i="18"/>
  <c r="N18" i="18"/>
  <c r="N19" i="18"/>
  <c r="N20" i="18"/>
  <c r="N21" i="18"/>
  <c r="N23" i="18"/>
  <c r="N24" i="18"/>
  <c r="N25" i="18"/>
  <c r="N26" i="18"/>
  <c r="N27" i="18"/>
  <c r="N28" i="18"/>
  <c r="N29" i="18"/>
  <c r="N30" i="18"/>
  <c r="N31" i="18"/>
  <c r="N32" i="18"/>
  <c r="N22" i="18"/>
  <c r="M13" i="18"/>
  <c r="M14" i="18"/>
  <c r="M15" i="18"/>
  <c r="M16" i="18"/>
  <c r="M17" i="18"/>
  <c r="M18" i="18"/>
  <c r="M19" i="18"/>
  <c r="M20" i="18"/>
  <c r="M21" i="18"/>
  <c r="M23" i="18"/>
  <c r="M24" i="18"/>
  <c r="M25" i="18"/>
  <c r="M26" i="18"/>
  <c r="M27" i="18"/>
  <c r="M28" i="18"/>
  <c r="M29" i="18"/>
  <c r="M30" i="18"/>
  <c r="M31" i="18"/>
  <c r="M32" i="18"/>
  <c r="M22" i="18"/>
  <c r="R69" i="19"/>
  <c r="AB69" i="19" s="1"/>
  <c r="AD69" i="19"/>
  <c r="R68" i="19"/>
  <c r="AB68" i="19" s="1"/>
  <c r="N13" i="20"/>
  <c r="N14" i="20"/>
  <c r="N15" i="20"/>
  <c r="N16" i="20"/>
  <c r="N17" i="20"/>
  <c r="N18" i="20"/>
  <c r="N19" i="20"/>
  <c r="N20" i="20"/>
  <c r="N21" i="20"/>
  <c r="N22" i="20"/>
  <c r="N23" i="20"/>
  <c r="N24" i="20"/>
  <c r="N25" i="20"/>
  <c r="N26" i="20"/>
  <c r="N27" i="20"/>
  <c r="N28" i="20"/>
  <c r="N29" i="20"/>
  <c r="N30" i="20"/>
  <c r="N31" i="20"/>
  <c r="N32" i="20"/>
  <c r="O13" i="20"/>
  <c r="O14" i="20"/>
  <c r="O15" i="20"/>
  <c r="O16" i="20"/>
  <c r="O17" i="20"/>
  <c r="O18" i="20"/>
  <c r="O19" i="20"/>
  <c r="O20" i="20"/>
  <c r="O21" i="20"/>
  <c r="O22" i="20"/>
  <c r="O23" i="20"/>
  <c r="O24" i="20"/>
  <c r="O25" i="20"/>
  <c r="O26" i="20"/>
  <c r="O27" i="20"/>
  <c r="O28" i="20"/>
  <c r="O29" i="20"/>
  <c r="O30" i="20"/>
  <c r="O31" i="20"/>
  <c r="O32" i="20"/>
  <c r="P13" i="20"/>
  <c r="P14" i="20"/>
  <c r="P15" i="20"/>
  <c r="P16" i="20"/>
  <c r="P17" i="20"/>
  <c r="P18" i="20"/>
  <c r="P19" i="20"/>
  <c r="P20" i="20"/>
  <c r="P21" i="20"/>
  <c r="P22" i="20"/>
  <c r="P23" i="20"/>
  <c r="P24" i="20"/>
  <c r="P25" i="20"/>
  <c r="P26" i="20"/>
  <c r="P27" i="20"/>
  <c r="P28" i="20"/>
  <c r="P29" i="20"/>
  <c r="P30" i="20"/>
  <c r="P31" i="20"/>
  <c r="P32" i="20"/>
  <c r="E24" i="20"/>
  <c r="E25" i="20"/>
  <c r="M13" i="20"/>
  <c r="M14" i="20"/>
  <c r="M15" i="20"/>
  <c r="M16" i="20"/>
  <c r="M17" i="20"/>
  <c r="M18" i="20"/>
  <c r="M19" i="20"/>
  <c r="M20" i="20"/>
  <c r="M21" i="20"/>
  <c r="M22" i="20"/>
  <c r="M23" i="20"/>
  <c r="M24" i="20"/>
  <c r="M25" i="20"/>
  <c r="M26" i="20"/>
  <c r="M27" i="20"/>
  <c r="M28" i="20"/>
  <c r="M29" i="20"/>
  <c r="M30" i="20"/>
  <c r="M31" i="20"/>
  <c r="M32" i="20"/>
  <c r="N10" i="12"/>
  <c r="N11" i="12"/>
  <c r="N12" i="12"/>
  <c r="N13" i="12"/>
  <c r="N14" i="12"/>
  <c r="N15" i="12"/>
  <c r="N16" i="12"/>
  <c r="N17" i="12"/>
  <c r="N18" i="12"/>
  <c r="N19" i="12"/>
  <c r="N20" i="12"/>
  <c r="N21" i="12"/>
  <c r="N22" i="12"/>
  <c r="N23" i="12"/>
  <c r="N24" i="12"/>
  <c r="N25" i="12"/>
  <c r="N26" i="12"/>
  <c r="N27" i="12"/>
  <c r="N28" i="12"/>
  <c r="N29" i="12"/>
  <c r="O10" i="12"/>
  <c r="O11" i="12"/>
  <c r="O12" i="12"/>
  <c r="O13" i="12"/>
  <c r="O14" i="12"/>
  <c r="O15" i="12"/>
  <c r="O16" i="12"/>
  <c r="O17" i="12"/>
  <c r="O18" i="12"/>
  <c r="O19" i="12"/>
  <c r="O20" i="12"/>
  <c r="O21" i="12"/>
  <c r="O22" i="12"/>
  <c r="O23" i="12"/>
  <c r="O24" i="12"/>
  <c r="O25" i="12"/>
  <c r="O26" i="12"/>
  <c r="O27" i="12"/>
  <c r="O28" i="12"/>
  <c r="O29" i="12"/>
  <c r="P10" i="12"/>
  <c r="P11" i="12"/>
  <c r="P12" i="12"/>
  <c r="P13" i="12"/>
  <c r="P14" i="12"/>
  <c r="P15" i="12"/>
  <c r="P16" i="12"/>
  <c r="P17" i="12"/>
  <c r="P18" i="12"/>
  <c r="P19" i="12"/>
  <c r="P20" i="12"/>
  <c r="P21" i="12"/>
  <c r="P22" i="12"/>
  <c r="P23" i="12"/>
  <c r="P24" i="12"/>
  <c r="P25" i="12"/>
  <c r="P26" i="12"/>
  <c r="P27" i="12"/>
  <c r="P28" i="12"/>
  <c r="P29" i="12"/>
  <c r="M10" i="12"/>
  <c r="M11" i="12"/>
  <c r="M12" i="12"/>
  <c r="M13" i="12"/>
  <c r="M14" i="12"/>
  <c r="M15" i="12"/>
  <c r="M16" i="12"/>
  <c r="M17" i="12"/>
  <c r="M18" i="12"/>
  <c r="M19" i="12"/>
  <c r="M20" i="12"/>
  <c r="M21" i="12"/>
  <c r="M22" i="12"/>
  <c r="M23" i="12"/>
  <c r="M24" i="12"/>
  <c r="M25" i="12"/>
  <c r="M26" i="12"/>
  <c r="M27" i="12"/>
  <c r="M28" i="12"/>
  <c r="M29" i="12"/>
  <c r="R67" i="19"/>
  <c r="J67" i="19"/>
  <c r="AH67" i="19"/>
  <c r="R65" i="19"/>
  <c r="AB65" i="19" s="1"/>
  <c r="R64" i="19"/>
  <c r="R63" i="19"/>
  <c r="AD63" i="19"/>
  <c r="J63" i="19"/>
  <c r="R62" i="19"/>
  <c r="AB62" i="19"/>
  <c r="R61" i="19"/>
  <c r="AD61" i="19" s="1"/>
  <c r="J61" i="19"/>
  <c r="R60" i="19"/>
  <c r="R59" i="19"/>
  <c r="AB59" i="19" s="1"/>
  <c r="R58" i="19"/>
  <c r="AB58" i="19" s="1"/>
  <c r="R57" i="19"/>
  <c r="J57" i="19"/>
  <c r="AH57" i="19" s="1"/>
  <c r="R56" i="19"/>
  <c r="AD56" i="19" s="1"/>
  <c r="AC56" i="19"/>
  <c r="R55" i="19"/>
  <c r="R54" i="19"/>
  <c r="AD54" i="19" s="1"/>
  <c r="AJ63" i="19"/>
  <c r="AI63" i="19"/>
  <c r="AF63" i="19"/>
  <c r="AE63" i="19"/>
  <c r="AJ62" i="19"/>
  <c r="AI62" i="19"/>
  <c r="AH62" i="19"/>
  <c r="AG62" i="19"/>
  <c r="AF62" i="19"/>
  <c r="AE62" i="19"/>
  <c r="AD62" i="19"/>
  <c r="AC62" i="19"/>
  <c r="AJ65" i="19"/>
  <c r="AI65" i="19"/>
  <c r="AH65" i="19"/>
  <c r="AG65" i="19"/>
  <c r="AF65" i="19"/>
  <c r="AE65" i="19"/>
  <c r="AD65" i="19"/>
  <c r="AC65" i="19"/>
  <c r="AJ66" i="19"/>
  <c r="AI66" i="19"/>
  <c r="AH66" i="19"/>
  <c r="AG66" i="19"/>
  <c r="AF66" i="19"/>
  <c r="AE66" i="19"/>
  <c r="AD66" i="19"/>
  <c r="AC66" i="19"/>
  <c r="AB66" i="19"/>
  <c r="AJ67" i="19"/>
  <c r="AI67" i="19"/>
  <c r="AG67" i="19"/>
  <c r="AF67" i="19"/>
  <c r="AE67" i="19"/>
  <c r="AJ68" i="19"/>
  <c r="AI68" i="19"/>
  <c r="AH68" i="19"/>
  <c r="AG68" i="19"/>
  <c r="AF68" i="19"/>
  <c r="AE68" i="19"/>
  <c r="AD68" i="19"/>
  <c r="AC68" i="19"/>
  <c r="AJ69" i="19"/>
  <c r="AI69" i="19"/>
  <c r="AH69" i="19"/>
  <c r="AG69" i="19"/>
  <c r="AF69" i="19"/>
  <c r="AE69" i="19"/>
  <c r="AC69" i="19"/>
  <c r="Q53" i="19"/>
  <c r="Q13" i="20"/>
  <c r="Q14" i="20"/>
  <c r="Q15" i="20"/>
  <c r="Q16" i="20"/>
  <c r="Q17" i="20"/>
  <c r="Q18" i="20"/>
  <c r="Q19" i="20"/>
  <c r="Q20" i="20"/>
  <c r="Q21" i="20"/>
  <c r="Q22" i="20"/>
  <c r="Q23" i="20"/>
  <c r="Q24" i="20"/>
  <c r="Q25" i="20"/>
  <c r="Q26" i="20"/>
  <c r="Q27" i="20"/>
  <c r="Q28" i="20"/>
  <c r="Q29" i="20"/>
  <c r="Q30" i="20"/>
  <c r="Q31" i="20"/>
  <c r="Q32" i="20"/>
  <c r="G37" i="17"/>
  <c r="K37" i="17" s="1"/>
  <c r="F36" i="17"/>
  <c r="J36" i="17" s="1"/>
  <c r="G41" i="17"/>
  <c r="G43" i="17" s="1"/>
  <c r="F45" i="17"/>
  <c r="G40" i="17"/>
  <c r="G39" i="17"/>
  <c r="F40" i="17"/>
  <c r="F43" i="17"/>
  <c r="G38" i="17"/>
  <c r="F38" i="17"/>
  <c r="G36" i="17"/>
  <c r="K36" i="17" s="1"/>
  <c r="U12" i="5"/>
  <c r="U12" i="18"/>
  <c r="U9" i="12"/>
  <c r="U12" i="20"/>
  <c r="T13" i="5"/>
  <c r="T14" i="5"/>
  <c r="T15" i="5"/>
  <c r="T16" i="5"/>
  <c r="T17" i="5"/>
  <c r="T18" i="5"/>
  <c r="T19" i="5"/>
  <c r="T20" i="5"/>
  <c r="T21" i="5"/>
  <c r="T23" i="5"/>
  <c r="S14" i="5"/>
  <c r="S15" i="5"/>
  <c r="S16" i="5"/>
  <c r="S17" i="5"/>
  <c r="S18" i="5"/>
  <c r="S19" i="5"/>
  <c r="S20" i="5"/>
  <c r="S21" i="5"/>
  <c r="S22" i="5"/>
  <c r="S23" i="5"/>
  <c r="S24" i="5"/>
  <c r="S25" i="5"/>
  <c r="T24" i="5"/>
  <c r="L14" i="5"/>
  <c r="L15" i="5"/>
  <c r="L16" i="5"/>
  <c r="L17" i="5"/>
  <c r="L18" i="5"/>
  <c r="L19" i="5"/>
  <c r="L20" i="5"/>
  <c r="L21" i="5"/>
  <c r="L22" i="5"/>
  <c r="L23" i="5"/>
  <c r="L24" i="5"/>
  <c r="L25" i="5"/>
  <c r="L26" i="5"/>
  <c r="L27" i="5"/>
  <c r="L28" i="5"/>
  <c r="L29" i="5"/>
  <c r="L30" i="5"/>
  <c r="L31" i="5"/>
  <c r="L32" i="5"/>
  <c r="L13" i="5"/>
  <c r="Q9" i="12"/>
  <c r="P9" i="12"/>
  <c r="O9" i="12"/>
  <c r="N9" i="12"/>
  <c r="Q12" i="5"/>
  <c r="P12" i="5"/>
  <c r="O12" i="5"/>
  <c r="N12" i="5"/>
  <c r="Q12" i="18"/>
  <c r="P12" i="18"/>
  <c r="O12" i="18"/>
  <c r="N12" i="18"/>
  <c r="N43" i="4"/>
  <c r="O43" i="4"/>
  <c r="P43" i="4"/>
  <c r="Q43" i="4"/>
  <c r="Q18" i="12"/>
  <c r="Q19" i="12"/>
  <c r="Q20" i="12"/>
  <c r="Q21" i="12"/>
  <c r="Q22" i="12"/>
  <c r="Q23" i="12"/>
  <c r="Q24" i="12"/>
  <c r="Q25" i="12"/>
  <c r="Q26" i="12"/>
  <c r="Q27" i="12"/>
  <c r="Q28" i="12"/>
  <c r="Q29" i="12"/>
  <c r="U32" i="5"/>
  <c r="T32" i="5"/>
  <c r="S32" i="5"/>
  <c r="U31" i="5"/>
  <c r="T31" i="5"/>
  <c r="S31" i="5"/>
  <c r="U30" i="5"/>
  <c r="T30" i="5"/>
  <c r="S30" i="5"/>
  <c r="U29" i="5"/>
  <c r="T29" i="5"/>
  <c r="S29" i="5"/>
  <c r="U28" i="5"/>
  <c r="T28" i="5"/>
  <c r="S28" i="5"/>
  <c r="U27" i="5"/>
  <c r="T27" i="5"/>
  <c r="S27" i="5"/>
  <c r="U32" i="18"/>
  <c r="T32" i="18"/>
  <c r="S32" i="18"/>
  <c r="U31" i="18"/>
  <c r="T31" i="18"/>
  <c r="S31" i="18"/>
  <c r="U30" i="18"/>
  <c r="T30" i="18"/>
  <c r="S30" i="18"/>
  <c r="U29" i="18"/>
  <c r="T29" i="18"/>
  <c r="S29" i="18"/>
  <c r="U28" i="18"/>
  <c r="T28" i="18"/>
  <c r="S28" i="18"/>
  <c r="U27" i="18"/>
  <c r="T27" i="18"/>
  <c r="S27" i="18"/>
  <c r="U29" i="12"/>
  <c r="T29" i="12"/>
  <c r="S29" i="12"/>
  <c r="U28" i="12"/>
  <c r="T28" i="12"/>
  <c r="S28" i="12"/>
  <c r="U27" i="12"/>
  <c r="T27" i="12"/>
  <c r="S27" i="12"/>
  <c r="U26" i="12"/>
  <c r="T26" i="12"/>
  <c r="S26" i="12"/>
  <c r="U25" i="12"/>
  <c r="T25" i="12"/>
  <c r="S25" i="12"/>
  <c r="U24" i="12"/>
  <c r="T24" i="12"/>
  <c r="S24" i="12"/>
  <c r="U32" i="20"/>
  <c r="T32" i="20"/>
  <c r="S32" i="20"/>
  <c r="U31" i="20"/>
  <c r="T31" i="20"/>
  <c r="S31" i="20"/>
  <c r="U30" i="20"/>
  <c r="T30" i="20"/>
  <c r="S30" i="20"/>
  <c r="U29" i="20"/>
  <c r="T29" i="20"/>
  <c r="S29" i="20"/>
  <c r="U28" i="20"/>
  <c r="T28" i="20"/>
  <c r="S28" i="20"/>
  <c r="U27" i="20"/>
  <c r="T27" i="20"/>
  <c r="S27" i="20"/>
  <c r="N12" i="20"/>
  <c r="O12" i="20"/>
  <c r="P12" i="20"/>
  <c r="Q12" i="20"/>
  <c r="M43" i="4"/>
  <c r="S12" i="5"/>
  <c r="S26" i="5"/>
  <c r="T25" i="5"/>
  <c r="T26" i="5"/>
  <c r="T12" i="5"/>
  <c r="S12" i="18"/>
  <c r="S16" i="18"/>
  <c r="S13" i="18"/>
  <c r="S14" i="18"/>
  <c r="S15" i="18"/>
  <c r="S17" i="18"/>
  <c r="S18" i="18"/>
  <c r="S19" i="18"/>
  <c r="S20" i="18"/>
  <c r="S21" i="18"/>
  <c r="S22" i="18"/>
  <c r="S23" i="18"/>
  <c r="S24" i="18"/>
  <c r="S25" i="18"/>
  <c r="S26" i="18"/>
  <c r="T21" i="18"/>
  <c r="T22" i="18"/>
  <c r="T13" i="18"/>
  <c r="T14" i="18"/>
  <c r="T15" i="18"/>
  <c r="T16" i="18"/>
  <c r="T17" i="18"/>
  <c r="T18" i="18"/>
  <c r="T19" i="18"/>
  <c r="T20" i="18"/>
  <c r="T23" i="18"/>
  <c r="T24" i="18"/>
  <c r="T25" i="18"/>
  <c r="T26" i="18"/>
  <c r="T12" i="18"/>
  <c r="S9" i="12"/>
  <c r="T9" i="12"/>
  <c r="U10" i="12"/>
  <c r="U11" i="12"/>
  <c r="U12" i="12"/>
  <c r="U13" i="12"/>
  <c r="U14" i="12"/>
  <c r="U15" i="12"/>
  <c r="U16" i="12"/>
  <c r="U17" i="12"/>
  <c r="U18" i="12"/>
  <c r="U19" i="12"/>
  <c r="U20" i="12"/>
  <c r="U21" i="12"/>
  <c r="U22" i="12"/>
  <c r="U23" i="12"/>
  <c r="T10" i="12"/>
  <c r="T11" i="12"/>
  <c r="T12" i="12"/>
  <c r="T13" i="12"/>
  <c r="T14" i="12"/>
  <c r="T15" i="12"/>
  <c r="T16" i="12"/>
  <c r="T17" i="12"/>
  <c r="T18" i="12"/>
  <c r="T19" i="12"/>
  <c r="T20" i="12"/>
  <c r="T21" i="12"/>
  <c r="T22" i="12"/>
  <c r="T23" i="12"/>
  <c r="S18" i="12"/>
  <c r="S10" i="12"/>
  <c r="S11" i="12"/>
  <c r="S12" i="12"/>
  <c r="S13" i="12"/>
  <c r="S14" i="12"/>
  <c r="S15" i="12"/>
  <c r="S16" i="12"/>
  <c r="S17" i="12"/>
  <c r="S19" i="12"/>
  <c r="S20" i="12"/>
  <c r="S21" i="12"/>
  <c r="S22" i="12"/>
  <c r="S23" i="12"/>
  <c r="D17" i="1"/>
  <c r="B17" i="1" s="1"/>
  <c r="D15" i="1"/>
  <c r="B15" i="1" s="1"/>
  <c r="D14" i="1"/>
  <c r="B14" i="1" s="1"/>
  <c r="D13" i="1"/>
  <c r="B13" i="1" s="1"/>
  <c r="D12" i="1"/>
  <c r="B12" i="1" s="1"/>
  <c r="Q17" i="12"/>
  <c r="Q13" i="12"/>
  <c r="Q10" i="12"/>
  <c r="Q11" i="12"/>
  <c r="Q12" i="12"/>
  <c r="Q14" i="12"/>
  <c r="Q15" i="12"/>
  <c r="Q16" i="12"/>
  <c r="U13" i="18"/>
  <c r="U14" i="18"/>
  <c r="U15" i="18"/>
  <c r="U16" i="18"/>
  <c r="U17" i="18"/>
  <c r="U18" i="18"/>
  <c r="U19" i="18"/>
  <c r="U20" i="18"/>
  <c r="U21" i="18"/>
  <c r="U22" i="18"/>
  <c r="U23" i="18"/>
  <c r="U24" i="18"/>
  <c r="U25" i="18"/>
  <c r="U26" i="18"/>
  <c r="G7" i="30"/>
  <c r="G28" i="30" s="1"/>
  <c r="G8" i="30"/>
  <c r="G9" i="30"/>
  <c r="G10" i="30"/>
  <c r="G11" i="30"/>
  <c r="G12" i="30"/>
  <c r="G13" i="30"/>
  <c r="G14" i="30"/>
  <c r="G15" i="30"/>
  <c r="G16" i="30"/>
  <c r="G17" i="30"/>
  <c r="G18" i="30"/>
  <c r="G19" i="30"/>
  <c r="G20" i="30"/>
  <c r="G21" i="30"/>
  <c r="G22" i="30"/>
  <c r="G23" i="30"/>
  <c r="G24" i="30"/>
  <c r="G25" i="30"/>
  <c r="G26" i="30"/>
  <c r="G27" i="30"/>
  <c r="G6" i="30"/>
  <c r="E28" i="30"/>
  <c r="U13" i="5"/>
  <c r="U14" i="5"/>
  <c r="U15" i="5"/>
  <c r="U16" i="5"/>
  <c r="U17" i="5"/>
  <c r="U18" i="5"/>
  <c r="U19" i="5"/>
  <c r="U20" i="5"/>
  <c r="U21" i="5"/>
  <c r="U22" i="5"/>
  <c r="U23" i="5"/>
  <c r="U24" i="5"/>
  <c r="U25" i="5"/>
  <c r="U26" i="5"/>
  <c r="T13" i="20"/>
  <c r="U13" i="20"/>
  <c r="T14" i="20"/>
  <c r="U14" i="20"/>
  <c r="T15" i="20"/>
  <c r="U15" i="20"/>
  <c r="T16" i="20"/>
  <c r="U16" i="20"/>
  <c r="T17" i="20"/>
  <c r="U17" i="20"/>
  <c r="T18" i="20"/>
  <c r="U18" i="20"/>
  <c r="T19" i="20"/>
  <c r="U19" i="20"/>
  <c r="T20" i="20"/>
  <c r="U20" i="20"/>
  <c r="T21" i="20"/>
  <c r="U21" i="20"/>
  <c r="T22" i="20"/>
  <c r="U22" i="20"/>
  <c r="T23" i="20"/>
  <c r="U23" i="20"/>
  <c r="T24" i="20"/>
  <c r="U24" i="20"/>
  <c r="T25" i="20"/>
  <c r="U25" i="20"/>
  <c r="T26" i="20"/>
  <c r="U26" i="20"/>
  <c r="T12" i="20"/>
  <c r="D58" i="17"/>
  <c r="G58" i="17"/>
  <c r="D33" i="1"/>
  <c r="B33" i="1" s="1"/>
  <c r="S22" i="20"/>
  <c r="S13" i="20"/>
  <c r="S14" i="20"/>
  <c r="S15" i="20"/>
  <c r="S16" i="20"/>
  <c r="S17" i="20"/>
  <c r="S18" i="20"/>
  <c r="S19" i="20"/>
  <c r="S20" i="20"/>
  <c r="S21" i="20"/>
  <c r="S23" i="20"/>
  <c r="S24" i="20"/>
  <c r="S25" i="20"/>
  <c r="S26" i="20"/>
  <c r="S12" i="20"/>
  <c r="D36" i="1"/>
  <c r="B36" i="1" s="1"/>
  <c r="D34" i="1"/>
  <c r="B34" i="1" s="1"/>
  <c r="U37" i="24"/>
  <c r="U38" i="24"/>
  <c r="U39" i="24"/>
  <c r="G76" i="17"/>
  <c r="C76" i="17"/>
  <c r="E76" i="17"/>
  <c r="I76" i="17" s="1"/>
  <c r="G77" i="17"/>
  <c r="O77" i="17" s="1"/>
  <c r="C77" i="17"/>
  <c r="E77" i="17" s="1"/>
  <c r="G78" i="17"/>
  <c r="C78" i="17"/>
  <c r="E78" i="17" s="1"/>
  <c r="N78" i="17" s="1"/>
  <c r="G79" i="17"/>
  <c r="K79" i="17" s="1"/>
  <c r="C79" i="17"/>
  <c r="E79" i="17" s="1"/>
  <c r="G80" i="17"/>
  <c r="C80" i="17"/>
  <c r="E80" i="17" s="1"/>
  <c r="O80" i="17" s="1"/>
  <c r="D80" i="17"/>
  <c r="D79" i="17"/>
  <c r="D78" i="17"/>
  <c r="D77" i="17"/>
  <c r="D76" i="17"/>
  <c r="D60" i="17"/>
  <c r="G60" i="17" s="1"/>
  <c r="D59" i="17"/>
  <c r="E59" i="17" s="1"/>
  <c r="D57" i="17"/>
  <c r="F57" i="17" s="1"/>
  <c r="D56" i="17"/>
  <c r="D55" i="17"/>
  <c r="E55" i="17" s="1"/>
  <c r="F55" i="17"/>
  <c r="D54" i="17"/>
  <c r="G54" i="17" s="1"/>
  <c r="D53" i="17"/>
  <c r="D52" i="17"/>
  <c r="F52" i="17" s="1"/>
  <c r="E52" i="17"/>
  <c r="D51" i="17"/>
  <c r="F51" i="17" s="1"/>
  <c r="G55" i="17"/>
  <c r="G53" i="17"/>
  <c r="F53" i="17"/>
  <c r="E53" i="17"/>
  <c r="K2" i="19"/>
  <c r="AB6" i="19"/>
  <c r="AC6" i="19"/>
  <c r="AD6" i="19"/>
  <c r="AE6" i="19"/>
  <c r="AF6" i="19"/>
  <c r="AG6" i="19"/>
  <c r="AH6" i="19"/>
  <c r="AI6" i="19"/>
  <c r="AJ6" i="19"/>
  <c r="AB7" i="19"/>
  <c r="AC7" i="19"/>
  <c r="AD7" i="19"/>
  <c r="AE7" i="19"/>
  <c r="AF7" i="19"/>
  <c r="AG7" i="19"/>
  <c r="AH7" i="19"/>
  <c r="AI7" i="19"/>
  <c r="AJ7" i="19"/>
  <c r="AB8" i="19"/>
  <c r="AC8" i="19"/>
  <c r="AD8" i="19"/>
  <c r="AE8" i="19"/>
  <c r="AF8" i="19"/>
  <c r="AG8" i="19"/>
  <c r="AH8" i="19"/>
  <c r="AI8" i="19"/>
  <c r="AJ8" i="19"/>
  <c r="AB9" i="19"/>
  <c r="AC9" i="19"/>
  <c r="AD9" i="19"/>
  <c r="AE9" i="19"/>
  <c r="AF9" i="19"/>
  <c r="AG9" i="19"/>
  <c r="AH9" i="19"/>
  <c r="AI9" i="19"/>
  <c r="AJ9" i="19"/>
  <c r="AB10" i="19"/>
  <c r="AC10" i="19"/>
  <c r="AD10" i="19"/>
  <c r="AE10" i="19"/>
  <c r="AF10" i="19"/>
  <c r="AG10" i="19"/>
  <c r="AH10" i="19"/>
  <c r="AI10" i="19"/>
  <c r="AJ10" i="19"/>
  <c r="AB11" i="19"/>
  <c r="AC11" i="19"/>
  <c r="AD11" i="19"/>
  <c r="AE11" i="19"/>
  <c r="AF11" i="19"/>
  <c r="AG11" i="19"/>
  <c r="AH11" i="19"/>
  <c r="AI11" i="19"/>
  <c r="AJ11" i="19"/>
  <c r="AB12" i="19"/>
  <c r="AC12" i="19"/>
  <c r="AD12" i="19"/>
  <c r="AE12" i="19"/>
  <c r="AF12" i="19"/>
  <c r="AG12" i="19"/>
  <c r="AH12" i="19"/>
  <c r="AI12" i="19"/>
  <c r="AJ12" i="19"/>
  <c r="AB13" i="19"/>
  <c r="AC13" i="19"/>
  <c r="AD13" i="19"/>
  <c r="AE13" i="19"/>
  <c r="AF13" i="19"/>
  <c r="AG13" i="19"/>
  <c r="AH13" i="19"/>
  <c r="AI13" i="19"/>
  <c r="AJ13" i="19"/>
  <c r="AB14" i="19"/>
  <c r="AC14" i="19"/>
  <c r="AD14" i="19"/>
  <c r="AE14" i="19"/>
  <c r="AF14" i="19"/>
  <c r="AG14" i="19"/>
  <c r="AH14" i="19"/>
  <c r="AI14" i="19"/>
  <c r="AJ14" i="19"/>
  <c r="AB15" i="19"/>
  <c r="AC15" i="19"/>
  <c r="AD15" i="19"/>
  <c r="AE15" i="19"/>
  <c r="AF15" i="19"/>
  <c r="AG15" i="19"/>
  <c r="AH15" i="19"/>
  <c r="AI15" i="19"/>
  <c r="AJ15" i="19"/>
  <c r="AB16" i="19"/>
  <c r="AC16" i="19"/>
  <c r="AD16" i="19"/>
  <c r="AE16" i="19"/>
  <c r="AF16" i="19"/>
  <c r="AG16" i="19"/>
  <c r="AH16" i="19"/>
  <c r="AI16" i="19"/>
  <c r="AJ16" i="19"/>
  <c r="AB17" i="19"/>
  <c r="AC17" i="19"/>
  <c r="AD17" i="19"/>
  <c r="AE17" i="19"/>
  <c r="AF17" i="19"/>
  <c r="AG17" i="19"/>
  <c r="AH17" i="19"/>
  <c r="AI17" i="19"/>
  <c r="AJ17" i="19"/>
  <c r="AB18" i="19"/>
  <c r="AC18" i="19"/>
  <c r="AD18" i="19"/>
  <c r="AE18" i="19"/>
  <c r="AF18" i="19"/>
  <c r="AG18" i="19"/>
  <c r="AH18" i="19"/>
  <c r="AI18" i="19"/>
  <c r="AJ18" i="19"/>
  <c r="AB19" i="19"/>
  <c r="AC19" i="19"/>
  <c r="AD19" i="19"/>
  <c r="AE19" i="19"/>
  <c r="AF19" i="19"/>
  <c r="AG19" i="19"/>
  <c r="AH19" i="19"/>
  <c r="AI19" i="19"/>
  <c r="AJ19" i="19"/>
  <c r="AB20" i="19"/>
  <c r="AC20" i="19"/>
  <c r="AD20" i="19"/>
  <c r="AE20" i="19"/>
  <c r="AF20" i="19"/>
  <c r="AG20" i="19"/>
  <c r="AH20" i="19"/>
  <c r="AI20" i="19"/>
  <c r="AJ20" i="19"/>
  <c r="AB21" i="19"/>
  <c r="AC21" i="19"/>
  <c r="AD21" i="19"/>
  <c r="AE21" i="19"/>
  <c r="AF21" i="19"/>
  <c r="AG21" i="19"/>
  <c r="AH21" i="19"/>
  <c r="AI21" i="19"/>
  <c r="AJ21" i="19"/>
  <c r="AB22" i="19"/>
  <c r="AC22" i="19"/>
  <c r="AD22" i="19"/>
  <c r="AE22" i="19"/>
  <c r="AF22" i="19"/>
  <c r="AG22" i="19"/>
  <c r="AH22" i="19"/>
  <c r="AI22" i="19"/>
  <c r="AJ22" i="19"/>
  <c r="AB23" i="19"/>
  <c r="AC23" i="19"/>
  <c r="AD23" i="19"/>
  <c r="AE23" i="19"/>
  <c r="AF23" i="19"/>
  <c r="AG23" i="19"/>
  <c r="AH23" i="19"/>
  <c r="AI23" i="19"/>
  <c r="AJ23" i="19"/>
  <c r="AB24" i="19"/>
  <c r="AC24" i="19"/>
  <c r="AD24" i="19"/>
  <c r="AE24" i="19"/>
  <c r="AF24" i="19"/>
  <c r="AG24" i="19"/>
  <c r="AH24" i="19"/>
  <c r="AI24" i="19"/>
  <c r="AJ24" i="19"/>
  <c r="AB25" i="19"/>
  <c r="AC25" i="19"/>
  <c r="AD25" i="19"/>
  <c r="AE25" i="19"/>
  <c r="AF25" i="19"/>
  <c r="AG25" i="19"/>
  <c r="AH25" i="19"/>
  <c r="AI25" i="19"/>
  <c r="AJ25" i="19"/>
  <c r="AB26" i="19"/>
  <c r="AC26" i="19"/>
  <c r="AD26" i="19"/>
  <c r="AE26" i="19"/>
  <c r="AF26" i="19"/>
  <c r="AG26" i="19"/>
  <c r="AH26" i="19"/>
  <c r="AI26" i="19"/>
  <c r="AJ26" i="19"/>
  <c r="AB27" i="19"/>
  <c r="AC27" i="19"/>
  <c r="AD27" i="19"/>
  <c r="AE27" i="19"/>
  <c r="AF27" i="19"/>
  <c r="AG27" i="19"/>
  <c r="AH27" i="19"/>
  <c r="AI27" i="19"/>
  <c r="AJ27" i="19"/>
  <c r="AB28" i="19"/>
  <c r="AC28" i="19"/>
  <c r="AD28" i="19"/>
  <c r="AE28" i="19"/>
  <c r="AF28" i="19"/>
  <c r="AG28" i="19"/>
  <c r="AH28" i="19"/>
  <c r="AI28" i="19"/>
  <c r="AJ28" i="19"/>
  <c r="AB29" i="19"/>
  <c r="AC29" i="19"/>
  <c r="AD29" i="19"/>
  <c r="AE29" i="19"/>
  <c r="AF29" i="19"/>
  <c r="AG29" i="19"/>
  <c r="AH29" i="19"/>
  <c r="AI29" i="19"/>
  <c r="AJ29" i="19"/>
  <c r="AB30" i="19"/>
  <c r="AC30" i="19"/>
  <c r="AD30" i="19"/>
  <c r="AE30" i="19"/>
  <c r="AF30" i="19"/>
  <c r="AG30" i="19"/>
  <c r="AH30" i="19"/>
  <c r="AI30" i="19"/>
  <c r="AJ30" i="19"/>
  <c r="AB31" i="19"/>
  <c r="AC31" i="19"/>
  <c r="AD31" i="19"/>
  <c r="AE31" i="19"/>
  <c r="AF31" i="19"/>
  <c r="AG31" i="19"/>
  <c r="AH31" i="19"/>
  <c r="AI31" i="19"/>
  <c r="AJ31" i="19"/>
  <c r="AB32" i="19"/>
  <c r="AC32" i="19"/>
  <c r="AD32" i="19"/>
  <c r="AE32" i="19"/>
  <c r="AF32" i="19"/>
  <c r="AG32" i="19"/>
  <c r="AH32" i="19"/>
  <c r="AI32" i="19"/>
  <c r="AJ32" i="19"/>
  <c r="AB33" i="19"/>
  <c r="AC33" i="19"/>
  <c r="AD33" i="19"/>
  <c r="AE33" i="19"/>
  <c r="AF33" i="19"/>
  <c r="AG33" i="19"/>
  <c r="AH33" i="19"/>
  <c r="AI33" i="19"/>
  <c r="AJ33" i="19"/>
  <c r="AB34" i="19"/>
  <c r="AC34" i="19"/>
  <c r="AD34" i="19"/>
  <c r="AE34" i="19"/>
  <c r="AF34" i="19"/>
  <c r="AG34" i="19"/>
  <c r="AH34" i="19"/>
  <c r="AI34" i="19"/>
  <c r="AJ34" i="19"/>
  <c r="AB35" i="19"/>
  <c r="AC35" i="19"/>
  <c r="AD35" i="19"/>
  <c r="AE35" i="19"/>
  <c r="AF35" i="19"/>
  <c r="AG35" i="19"/>
  <c r="AH35" i="19"/>
  <c r="AI35" i="19"/>
  <c r="AJ35" i="19"/>
  <c r="AB36" i="19"/>
  <c r="AC36" i="19"/>
  <c r="AD36" i="19"/>
  <c r="AE36" i="19"/>
  <c r="AF36" i="19"/>
  <c r="AG36" i="19"/>
  <c r="AH36" i="19"/>
  <c r="AI36" i="19"/>
  <c r="AJ36" i="19"/>
  <c r="AB37" i="19"/>
  <c r="AC37" i="19"/>
  <c r="AD37" i="19"/>
  <c r="AE37" i="19"/>
  <c r="AF37" i="19"/>
  <c r="AG37" i="19"/>
  <c r="AH37" i="19"/>
  <c r="AI37" i="19"/>
  <c r="AJ37" i="19"/>
  <c r="AB38" i="19"/>
  <c r="AC38" i="19"/>
  <c r="AD38" i="19"/>
  <c r="AE38" i="19"/>
  <c r="AF38" i="19"/>
  <c r="AG38" i="19"/>
  <c r="AH38" i="19"/>
  <c r="AI38" i="19"/>
  <c r="AJ38" i="19"/>
  <c r="AB39" i="19"/>
  <c r="AC39" i="19"/>
  <c r="AD39" i="19"/>
  <c r="AE39" i="19"/>
  <c r="AF39" i="19"/>
  <c r="AG39" i="19"/>
  <c r="AH39" i="19"/>
  <c r="AI39" i="19"/>
  <c r="AJ39" i="19"/>
  <c r="AB40" i="19"/>
  <c r="AC40" i="19"/>
  <c r="AD40" i="19"/>
  <c r="AE40" i="19"/>
  <c r="AF40" i="19"/>
  <c r="AG40" i="19"/>
  <c r="AH40" i="19"/>
  <c r="AI40" i="19"/>
  <c r="AJ40" i="19"/>
  <c r="AB41" i="19"/>
  <c r="AC41" i="19"/>
  <c r="AD41" i="19"/>
  <c r="AE41" i="19"/>
  <c r="AF41" i="19"/>
  <c r="AG41" i="19"/>
  <c r="AH41" i="19"/>
  <c r="AI41" i="19"/>
  <c r="AJ41" i="19"/>
  <c r="AB42" i="19"/>
  <c r="AC42" i="19"/>
  <c r="AD42" i="19"/>
  <c r="AE42" i="19"/>
  <c r="AF42" i="19"/>
  <c r="AG42" i="19"/>
  <c r="AH42" i="19"/>
  <c r="AI42" i="19"/>
  <c r="AJ42" i="19"/>
  <c r="AB43" i="19"/>
  <c r="AC43" i="19"/>
  <c r="AD43" i="19"/>
  <c r="AE43" i="19"/>
  <c r="AF43" i="19"/>
  <c r="AG43" i="19"/>
  <c r="AH43" i="19"/>
  <c r="AI43" i="19"/>
  <c r="AJ43" i="19"/>
  <c r="AB44" i="19"/>
  <c r="AC44" i="19"/>
  <c r="AD44" i="19"/>
  <c r="AE44" i="19"/>
  <c r="AF44" i="19"/>
  <c r="AG44" i="19"/>
  <c r="AH44" i="19"/>
  <c r="AI44" i="19"/>
  <c r="AJ44" i="19"/>
  <c r="AB45" i="19"/>
  <c r="AC45" i="19"/>
  <c r="AD45" i="19"/>
  <c r="AE45" i="19"/>
  <c r="AF45" i="19"/>
  <c r="AG45" i="19"/>
  <c r="AH45" i="19"/>
  <c r="AI45" i="19"/>
  <c r="AJ45" i="19"/>
  <c r="AB46" i="19"/>
  <c r="AC46" i="19"/>
  <c r="AD46" i="19"/>
  <c r="AE46" i="19"/>
  <c r="AF46" i="19"/>
  <c r="AG46" i="19"/>
  <c r="AH46" i="19"/>
  <c r="AI46" i="19"/>
  <c r="AJ46" i="19"/>
  <c r="AB47" i="19"/>
  <c r="AC47" i="19"/>
  <c r="AD47" i="19"/>
  <c r="AE47" i="19"/>
  <c r="AF47" i="19"/>
  <c r="AG47" i="19"/>
  <c r="AH47" i="19"/>
  <c r="AI47" i="19"/>
  <c r="AJ47" i="19"/>
  <c r="AB48" i="19"/>
  <c r="AC48" i="19"/>
  <c r="AD48" i="19"/>
  <c r="AE48" i="19"/>
  <c r="AF48" i="19"/>
  <c r="AG48" i="19"/>
  <c r="AH48" i="19"/>
  <c r="AI48" i="19"/>
  <c r="AJ48" i="19"/>
  <c r="AB49" i="19"/>
  <c r="AC49" i="19"/>
  <c r="AD49" i="19"/>
  <c r="AE49" i="19"/>
  <c r="AF49" i="19"/>
  <c r="AG49" i="19"/>
  <c r="AH49" i="19"/>
  <c r="AI49" i="19"/>
  <c r="AJ49" i="19"/>
  <c r="AB50" i="19"/>
  <c r="AC50" i="19"/>
  <c r="AD50" i="19"/>
  <c r="AE50" i="19"/>
  <c r="AF50" i="19"/>
  <c r="AG50" i="19"/>
  <c r="AH50" i="19"/>
  <c r="AI50" i="19"/>
  <c r="AJ50" i="19"/>
  <c r="AB51" i="19"/>
  <c r="AC51" i="19"/>
  <c r="AD51" i="19"/>
  <c r="AE51" i="19"/>
  <c r="AF51" i="19"/>
  <c r="AG51" i="19"/>
  <c r="AH51" i="19"/>
  <c r="AI51" i="19"/>
  <c r="AJ51" i="19"/>
  <c r="AB52" i="19"/>
  <c r="AC52" i="19"/>
  <c r="AD52" i="19"/>
  <c r="AE52" i="19"/>
  <c r="AF52" i="19"/>
  <c r="AG52" i="19"/>
  <c r="AH52" i="19"/>
  <c r="AI52" i="19"/>
  <c r="AJ52" i="19"/>
  <c r="K53" i="19"/>
  <c r="N53" i="19" s="1"/>
  <c r="R53" i="19"/>
  <c r="AB53" i="19" s="1"/>
  <c r="AF53" i="19"/>
  <c r="AH53" i="19"/>
  <c r="AE54" i="19"/>
  <c r="AF54" i="19"/>
  <c r="AG54" i="19"/>
  <c r="AH54" i="19"/>
  <c r="AI54" i="19"/>
  <c r="AJ54" i="19"/>
  <c r="AB55" i="19"/>
  <c r="AE55" i="19"/>
  <c r="AF55" i="19"/>
  <c r="AG55" i="19"/>
  <c r="AH55" i="19"/>
  <c r="AI55" i="19"/>
  <c r="AJ55" i="19"/>
  <c r="AB56" i="19"/>
  <c r="AE56" i="19"/>
  <c r="AF56" i="19"/>
  <c r="AG56" i="19"/>
  <c r="AH56" i="19"/>
  <c r="AI56" i="19"/>
  <c r="AJ56" i="19"/>
  <c r="AB57" i="19"/>
  <c r="AD57" i="19"/>
  <c r="AE57" i="19"/>
  <c r="AF57" i="19"/>
  <c r="AI57" i="19"/>
  <c r="AJ57" i="19"/>
  <c r="AC58" i="19"/>
  <c r="AD58" i="19"/>
  <c r="AE58" i="19"/>
  <c r="AF58" i="19"/>
  <c r="AG58" i="19"/>
  <c r="AH58" i="19"/>
  <c r="AI58" i="19"/>
  <c r="AJ58" i="19"/>
  <c r="AC59" i="19"/>
  <c r="AD59" i="19"/>
  <c r="AE59" i="19"/>
  <c r="AF59" i="19"/>
  <c r="AG59" i="19"/>
  <c r="AH59" i="19"/>
  <c r="AI59" i="19"/>
  <c r="AJ59" i="19"/>
  <c r="AB60" i="19"/>
  <c r="AC60" i="19"/>
  <c r="AD60" i="19"/>
  <c r="AE60" i="19"/>
  <c r="AF60" i="19"/>
  <c r="AG60" i="19"/>
  <c r="AH60" i="19"/>
  <c r="AI60" i="19"/>
  <c r="AJ60" i="19"/>
  <c r="AE61" i="19"/>
  <c r="AF61" i="19"/>
  <c r="AG61" i="19"/>
  <c r="AH61" i="19"/>
  <c r="AI61" i="19"/>
  <c r="AJ61" i="19"/>
  <c r="AB64" i="19"/>
  <c r="AC64" i="19"/>
  <c r="AD64" i="19"/>
  <c r="AE64" i="19"/>
  <c r="AF64" i="19"/>
  <c r="AG64" i="19"/>
  <c r="AH64" i="19"/>
  <c r="AI64" i="19"/>
  <c r="AJ64" i="19"/>
  <c r="AB70" i="19"/>
  <c r="AC70" i="19"/>
  <c r="AD70" i="19"/>
  <c r="AE70" i="19"/>
  <c r="AF70" i="19"/>
  <c r="AG70" i="19"/>
  <c r="AH70" i="19"/>
  <c r="AI70" i="19"/>
  <c r="AJ70" i="19"/>
  <c r="AB71" i="19"/>
  <c r="AC71" i="19"/>
  <c r="AD71" i="19"/>
  <c r="AE71" i="19"/>
  <c r="AF71" i="19"/>
  <c r="AG71" i="19"/>
  <c r="AH71" i="19"/>
  <c r="AI71" i="19"/>
  <c r="AJ71" i="19"/>
  <c r="AB74" i="19"/>
  <c r="AC74" i="19"/>
  <c r="AD74" i="19"/>
  <c r="AE74" i="19"/>
  <c r="AF74" i="19"/>
  <c r="AG74" i="19"/>
  <c r="AH74" i="19"/>
  <c r="AI74" i="19"/>
  <c r="AJ74" i="19"/>
  <c r="AB75" i="19"/>
  <c r="AC75" i="19"/>
  <c r="AD75" i="19"/>
  <c r="AE75" i="19"/>
  <c r="AF75" i="19"/>
  <c r="AG75" i="19"/>
  <c r="AH75" i="19"/>
  <c r="AI75" i="19"/>
  <c r="AJ75" i="19"/>
  <c r="AB76" i="19"/>
  <c r="AC76" i="19"/>
  <c r="AD76" i="19"/>
  <c r="AE76" i="19"/>
  <c r="AF76" i="19"/>
  <c r="AG76" i="19"/>
  <c r="AH76" i="19"/>
  <c r="AI76" i="19"/>
  <c r="AJ76" i="19"/>
  <c r="AB77" i="19"/>
  <c r="AC77" i="19"/>
  <c r="AD77" i="19"/>
  <c r="AE77" i="19"/>
  <c r="AF77" i="19"/>
  <c r="AG77" i="19"/>
  <c r="AH77" i="19"/>
  <c r="AI77" i="19"/>
  <c r="AJ77" i="19"/>
  <c r="AB78" i="19"/>
  <c r="AC78" i="19"/>
  <c r="AD78" i="19"/>
  <c r="AE78" i="19"/>
  <c r="AF78" i="19"/>
  <c r="AG78" i="19"/>
  <c r="AH78" i="19"/>
  <c r="AI78" i="19"/>
  <c r="AJ78" i="19"/>
  <c r="AB79" i="19"/>
  <c r="AC79" i="19"/>
  <c r="AD79" i="19"/>
  <c r="AE79" i="19"/>
  <c r="AF79" i="19"/>
  <c r="AG79" i="19"/>
  <c r="AH79" i="19"/>
  <c r="AI79" i="19"/>
  <c r="AJ79" i="19"/>
  <c r="AB80" i="19"/>
  <c r="AC80" i="19"/>
  <c r="AD80" i="19"/>
  <c r="AE80" i="19"/>
  <c r="AF80" i="19"/>
  <c r="AG80" i="19"/>
  <c r="AH80" i="19"/>
  <c r="AI80" i="19"/>
  <c r="AJ80" i="19"/>
  <c r="AB81" i="19"/>
  <c r="AC81" i="19"/>
  <c r="AD81" i="19"/>
  <c r="AE81" i="19"/>
  <c r="AF81" i="19"/>
  <c r="AG81" i="19"/>
  <c r="AH81" i="19"/>
  <c r="AI81" i="19"/>
  <c r="AJ81" i="19"/>
  <c r="AB82" i="19"/>
  <c r="AC82" i="19"/>
  <c r="AD82" i="19"/>
  <c r="AE82" i="19"/>
  <c r="AF82" i="19"/>
  <c r="AG82" i="19"/>
  <c r="AH82" i="19"/>
  <c r="AI82" i="19"/>
  <c r="AJ82" i="19"/>
  <c r="AB83" i="19"/>
  <c r="AC83" i="19"/>
  <c r="AD83" i="19"/>
  <c r="AE83" i="19"/>
  <c r="AF83" i="19"/>
  <c r="AG83" i="19"/>
  <c r="AH83" i="19"/>
  <c r="AI83" i="19"/>
  <c r="AJ83" i="19"/>
  <c r="AB84" i="19"/>
  <c r="AC84" i="19"/>
  <c r="AD84" i="19"/>
  <c r="AE84" i="19"/>
  <c r="AF84" i="19"/>
  <c r="AG84" i="19"/>
  <c r="AH84" i="19"/>
  <c r="AI84" i="19"/>
  <c r="AJ84" i="19"/>
  <c r="AB85" i="19"/>
  <c r="AC85" i="19"/>
  <c r="AD85" i="19"/>
  <c r="AE85" i="19"/>
  <c r="AF85" i="19"/>
  <c r="AG85" i="19"/>
  <c r="AH85" i="19"/>
  <c r="AI85" i="19"/>
  <c r="AJ85" i="19"/>
  <c r="AB86" i="19"/>
  <c r="AC86" i="19"/>
  <c r="AD86" i="19"/>
  <c r="AE86" i="19"/>
  <c r="AF86" i="19"/>
  <c r="AG86" i="19"/>
  <c r="AH86" i="19"/>
  <c r="AI86" i="19"/>
  <c r="AJ86" i="19"/>
  <c r="AB87" i="19"/>
  <c r="AC87" i="19"/>
  <c r="AD87" i="19"/>
  <c r="AE87" i="19"/>
  <c r="AF87" i="19"/>
  <c r="AG87" i="19"/>
  <c r="AH87" i="19"/>
  <c r="AI87" i="19"/>
  <c r="AJ87" i="19"/>
  <c r="AB88" i="19"/>
  <c r="AC88" i="19"/>
  <c r="AD88" i="19"/>
  <c r="AE88" i="19"/>
  <c r="AF88" i="19"/>
  <c r="AG88" i="19"/>
  <c r="AH88" i="19"/>
  <c r="AI88" i="19"/>
  <c r="AJ88" i="19"/>
  <c r="AB89" i="19"/>
  <c r="AC89" i="19"/>
  <c r="AD89" i="19"/>
  <c r="AE89" i="19"/>
  <c r="AF89" i="19"/>
  <c r="AG89" i="19"/>
  <c r="AH89" i="19"/>
  <c r="AI89" i="19"/>
  <c r="AJ89" i="19"/>
  <c r="AB90" i="19"/>
  <c r="AC90" i="19"/>
  <c r="AD90" i="19"/>
  <c r="AE90" i="19"/>
  <c r="AF90" i="19"/>
  <c r="AG90" i="19"/>
  <c r="AH90" i="19"/>
  <c r="AI90" i="19"/>
  <c r="AJ90" i="19"/>
  <c r="AB91" i="19"/>
  <c r="AC91" i="19"/>
  <c r="AD91" i="19"/>
  <c r="AE91" i="19"/>
  <c r="AF91" i="19"/>
  <c r="AG91" i="19"/>
  <c r="AH91" i="19"/>
  <c r="AI91" i="19"/>
  <c r="AJ91" i="19"/>
  <c r="AB92" i="19"/>
  <c r="AC92" i="19"/>
  <c r="AD92" i="19"/>
  <c r="AE92" i="19"/>
  <c r="AF92" i="19"/>
  <c r="AG92" i="19"/>
  <c r="AH92" i="19"/>
  <c r="AI92" i="19"/>
  <c r="AJ92" i="19"/>
  <c r="AB93" i="19"/>
  <c r="AC93" i="19"/>
  <c r="AD93" i="19"/>
  <c r="AE93" i="19"/>
  <c r="AF93" i="19"/>
  <c r="AG93" i="19"/>
  <c r="AH93" i="19"/>
  <c r="AI93" i="19"/>
  <c r="AJ93" i="19"/>
  <c r="AB94" i="19"/>
  <c r="AC94" i="19"/>
  <c r="AD94" i="19"/>
  <c r="AE94" i="19"/>
  <c r="AF94" i="19"/>
  <c r="AG94" i="19"/>
  <c r="AH94" i="19"/>
  <c r="AI94" i="19"/>
  <c r="AJ94" i="19"/>
  <c r="AB95" i="19"/>
  <c r="AC95" i="19"/>
  <c r="AD95" i="19"/>
  <c r="AE95" i="19"/>
  <c r="AF95" i="19"/>
  <c r="AG95" i="19"/>
  <c r="AH95" i="19"/>
  <c r="AI95" i="19"/>
  <c r="AJ95" i="19"/>
  <c r="AB96" i="19"/>
  <c r="AC96" i="19"/>
  <c r="AD96" i="19"/>
  <c r="AE96" i="19"/>
  <c r="AF96" i="19"/>
  <c r="AG96" i="19"/>
  <c r="AH96" i="19"/>
  <c r="AI96" i="19"/>
  <c r="AJ96" i="19"/>
  <c r="AB97" i="19"/>
  <c r="AC97" i="19"/>
  <c r="AD97" i="19"/>
  <c r="AE97" i="19"/>
  <c r="AF97" i="19"/>
  <c r="AG97" i="19"/>
  <c r="AH97" i="19"/>
  <c r="AI97" i="19"/>
  <c r="AJ97" i="19"/>
  <c r="H31" i="17"/>
  <c r="H30" i="17"/>
  <c r="H29" i="17"/>
  <c r="H28" i="17"/>
  <c r="H27" i="17"/>
  <c r="H26" i="17"/>
  <c r="H25" i="17"/>
  <c r="H24" i="17"/>
  <c r="G6" i="17"/>
  <c r="G7" i="17"/>
  <c r="G8" i="17"/>
  <c r="G9" i="17"/>
  <c r="G10" i="17"/>
  <c r="G11" i="17"/>
  <c r="G12" i="17"/>
  <c r="G13" i="17"/>
  <c r="H13" i="17"/>
  <c r="G14" i="17"/>
  <c r="G15" i="17"/>
  <c r="G20" i="17"/>
  <c r="G21" i="17"/>
  <c r="G22" i="17"/>
  <c r="G23" i="17"/>
  <c r="G24" i="17"/>
  <c r="G25" i="17"/>
  <c r="G26" i="17"/>
  <c r="G27" i="17"/>
  <c r="G28" i="17"/>
  <c r="G29" i="17"/>
  <c r="G30" i="17"/>
  <c r="G31" i="17"/>
  <c r="C26" i="5" a="1"/>
  <c r="C26" i="5" s="1"/>
  <c r="B23" i="20"/>
  <c r="B17" i="20"/>
  <c r="B17" i="12"/>
  <c r="B23" i="12"/>
  <c r="I23" i="12" s="1"/>
  <c r="C28" i="5" a="1"/>
  <c r="C28" i="5" s="1"/>
  <c r="C25" i="12" s="1"/>
  <c r="B32" i="18"/>
  <c r="I32" i="18" s="1"/>
  <c r="K32" i="18"/>
  <c r="B25" i="18"/>
  <c r="K25" i="18" s="1"/>
  <c r="B27" i="20"/>
  <c r="E26" i="18"/>
  <c r="B10" i="12"/>
  <c r="B26" i="18"/>
  <c r="I26" i="18"/>
  <c r="K28" i="5"/>
  <c r="B29" i="12"/>
  <c r="C32" i="5" a="1"/>
  <c r="C32" i="5" s="1"/>
  <c r="K32" i="5"/>
  <c r="B29" i="18"/>
  <c r="K29" i="18" s="1"/>
  <c r="D32" i="5" a="1"/>
  <c r="D32" i="5" s="1"/>
  <c r="I27" i="18"/>
  <c r="J80" i="17"/>
  <c r="E22" i="20"/>
  <c r="E19" i="12"/>
  <c r="E26" i="12"/>
  <c r="E18" i="18"/>
  <c r="C24" i="5" a="1"/>
  <c r="C24" i="5" s="1"/>
  <c r="D22" i="5" a="1"/>
  <c r="D22" i="5" s="1"/>
  <c r="D19" i="12" s="1"/>
  <c r="B22" i="18"/>
  <c r="B14" i="20"/>
  <c r="B11" i="12"/>
  <c r="F58" i="17"/>
  <c r="AI72" i="19"/>
  <c r="AE72" i="19"/>
  <c r="E28" i="12"/>
  <c r="E31" i="20"/>
  <c r="D58" i="35"/>
  <c r="E58" i="35" s="1"/>
  <c r="F58" i="35" s="1"/>
  <c r="G58" i="35" s="1"/>
  <c r="H58" i="35" s="1"/>
  <c r="I58" i="35" s="1"/>
  <c r="J58" i="35" s="1"/>
  <c r="K58" i="35" s="1"/>
  <c r="L58" i="35" s="1"/>
  <c r="M58" i="35" s="1"/>
  <c r="N58" i="35" s="1"/>
  <c r="O58" i="35" s="1"/>
  <c r="P58" i="35" s="1"/>
  <c r="Q58" i="35" s="1"/>
  <c r="R58" i="35" s="1"/>
  <c r="S58" i="35" s="1"/>
  <c r="T58" i="35" s="1"/>
  <c r="U58" i="35" s="1"/>
  <c r="V58" i="35" s="1"/>
  <c r="W58" i="35" s="1"/>
  <c r="X58" i="35" s="1"/>
  <c r="Y58" i="35" s="1"/>
  <c r="Z58" i="35" s="1"/>
  <c r="AA58" i="35" s="1"/>
  <c r="AB58" i="35" s="1"/>
  <c r="B14" i="18"/>
  <c r="D31" i="5" a="1"/>
  <c r="D31" i="5" s="1"/>
  <c r="D31" i="20" s="1"/>
  <c r="I31" i="20" s="1"/>
  <c r="B31" i="18"/>
  <c r="I31" i="18" s="1"/>
  <c r="B28" i="12"/>
  <c r="K31" i="5"/>
  <c r="C31" i="5" a="1"/>
  <c r="C31" i="5" s="1"/>
  <c r="E17" i="20"/>
  <c r="E14" i="12"/>
  <c r="L39" i="17"/>
  <c r="E25" i="18"/>
  <c r="E58" i="17"/>
  <c r="M40" i="17"/>
  <c r="D27" i="5" a="1"/>
  <c r="D27" i="5" s="1"/>
  <c r="B24" i="12"/>
  <c r="I24" i="12" s="1"/>
  <c r="K27" i="5"/>
  <c r="C27" i="5" a="1"/>
  <c r="C27" i="5" s="1"/>
  <c r="C27" i="20" s="1"/>
  <c r="E60" i="17"/>
  <c r="K40" i="17"/>
  <c r="AG72" i="19"/>
  <c r="E24" i="12"/>
  <c r="C20" i="5" a="1"/>
  <c r="C20" i="5" s="1"/>
  <c r="C20" i="18" s="1"/>
  <c r="D20" i="5" a="1"/>
  <c r="D20" i="5" s="1"/>
  <c r="D17" i="12" s="1"/>
  <c r="D18" i="5" a="1"/>
  <c r="D18" i="5" s="1"/>
  <c r="D18" i="20" s="1"/>
  <c r="B18" i="18"/>
  <c r="B18" i="20"/>
  <c r="B15" i="12"/>
  <c r="M36" i="17"/>
  <c r="L40" i="17"/>
  <c r="O79" i="17"/>
  <c r="G52" i="17"/>
  <c r="L79" i="17"/>
  <c r="J26" i="4"/>
  <c r="K26" i="4" s="1"/>
  <c r="AB63" i="19"/>
  <c r="C26" i="20"/>
  <c r="F60" i="17"/>
  <c r="O78" i="17"/>
  <c r="M37" i="17"/>
  <c r="L37" i="17"/>
  <c r="M41" i="17"/>
  <c r="L41" i="17"/>
  <c r="E21" i="20"/>
  <c r="E19" i="18"/>
  <c r="E19" i="20"/>
  <c r="D25" i="5" a="1"/>
  <c r="D25" i="5" s="1"/>
  <c r="B25" i="20"/>
  <c r="K25" i="20" s="1"/>
  <c r="D29" i="5" a="1"/>
  <c r="D29" i="5" s="1"/>
  <c r="D29" i="18" s="1"/>
  <c r="B29" i="20"/>
  <c r="K29" i="20" s="1"/>
  <c r="E20" i="20"/>
  <c r="E20" i="18"/>
  <c r="D26" i="5" a="1"/>
  <c r="D26" i="5" s="1"/>
  <c r="D26" i="20" s="1"/>
  <c r="E22" i="18"/>
  <c r="C13" i="5" a="1"/>
  <c r="C13" i="5" s="1"/>
  <c r="C10" i="12" s="1"/>
  <c r="D13" i="5" a="1"/>
  <c r="D13" i="5" s="1"/>
  <c r="C17" i="5" a="1"/>
  <c r="C17" i="5" s="1"/>
  <c r="K26" i="18"/>
  <c r="I25" i="18"/>
  <c r="K31" i="18"/>
  <c r="F27" i="12"/>
  <c r="C10" i="33"/>
  <c r="B1" i="35" s="1"/>
  <c r="C10" i="1" s="1"/>
  <c r="B35" i="35"/>
  <c r="C14" i="12"/>
  <c r="J21" i="4"/>
  <c r="K21" i="4" s="1"/>
  <c r="E51" i="17"/>
  <c r="G51" i="17"/>
  <c r="L76" i="17"/>
  <c r="N76" i="17"/>
  <c r="E27" i="20"/>
  <c r="E27" i="18"/>
  <c r="B30" i="20"/>
  <c r="C30" i="5" a="1"/>
  <c r="C30" i="5" s="1"/>
  <c r="D30" i="5" a="1"/>
  <c r="D30" i="5" s="1"/>
  <c r="I30" i="5" s="1"/>
  <c r="B27" i="12"/>
  <c r="B30" i="18"/>
  <c r="K30" i="5"/>
  <c r="K77" i="17"/>
  <c r="AB54" i="19"/>
  <c r="AC54" i="19"/>
  <c r="B24" i="20"/>
  <c r="K24" i="20" s="1"/>
  <c r="D24" i="5" a="1"/>
  <c r="D24" i="5" s="1"/>
  <c r="B21" i="12"/>
  <c r="I21" i="12" s="1"/>
  <c r="B24" i="18"/>
  <c r="I24" i="18" s="1"/>
  <c r="AC53" i="19"/>
  <c r="L36" i="17"/>
  <c r="D28" i="5" a="1"/>
  <c r="D28" i="5" s="1"/>
  <c r="D28" i="18" s="1"/>
  <c r="B28" i="18"/>
  <c r="K28" i="18" s="1"/>
  <c r="B28" i="20"/>
  <c r="K28" i="20" s="1"/>
  <c r="B25" i="12"/>
  <c r="I25" i="12" s="1"/>
  <c r="C25" i="18"/>
  <c r="E18" i="20"/>
  <c r="E15" i="12"/>
  <c r="E20" i="12"/>
  <c r="K24" i="5"/>
  <c r="G27" i="4" a="1"/>
  <c r="G27" i="4" s="1"/>
  <c r="G23" i="5" s="1"/>
  <c r="G28" i="4" a="1"/>
  <c r="G28" i="4" s="1"/>
  <c r="G24" i="5" s="1"/>
  <c r="F28" i="4" a="1"/>
  <c r="F28" i="4" s="1"/>
  <c r="F24" i="5" s="1"/>
  <c r="F27" i="4" a="1"/>
  <c r="F27" i="4" s="1"/>
  <c r="F23" i="5" s="1"/>
  <c r="F20" i="12" s="1"/>
  <c r="F17" i="5"/>
  <c r="F17" i="20" s="1"/>
  <c r="F22" i="5"/>
  <c r="F22" i="18" s="1"/>
  <c r="B40" i="35"/>
  <c r="B202" i="35"/>
  <c r="B208" i="35" s="1"/>
  <c r="F32" i="18"/>
  <c r="G27" i="12"/>
  <c r="G14" i="12"/>
  <c r="AG53" i="19" l="1"/>
  <c r="AI53" i="19"/>
  <c r="AE53" i="19"/>
  <c r="I28" i="18"/>
  <c r="I79" i="17"/>
  <c r="E29" i="20"/>
  <c r="G57" i="17"/>
  <c r="E57" i="17"/>
  <c r="N79" i="17"/>
  <c r="J76" i="17"/>
  <c r="AJ53" i="19"/>
  <c r="D31" i="18"/>
  <c r="AD53" i="19"/>
  <c r="I78" i="17"/>
  <c r="B19" i="12"/>
  <c r="B13" i="20"/>
  <c r="E23" i="12"/>
  <c r="AC61" i="19"/>
  <c r="S34" i="20"/>
  <c r="E14" i="20"/>
  <c r="B203" i="35"/>
  <c r="B209" i="35" s="1"/>
  <c r="M45" i="17"/>
  <c r="L45" i="17"/>
  <c r="I29" i="18"/>
  <c r="AB61" i="19"/>
  <c r="E14" i="18"/>
  <c r="B26" i="20"/>
  <c r="K26" i="20" s="1"/>
  <c r="D152" i="35"/>
  <c r="E152" i="35" s="1"/>
  <c r="F152" i="35" s="1"/>
  <c r="G152" i="35" s="1"/>
  <c r="H152" i="35" s="1"/>
  <c r="I152" i="35" s="1"/>
  <c r="J152" i="35" s="1"/>
  <c r="K152" i="35" s="1"/>
  <c r="L152" i="35" s="1"/>
  <c r="M152" i="35" s="1"/>
  <c r="N152" i="35" s="1"/>
  <c r="O152" i="35" s="1"/>
  <c r="P152" i="35" s="1"/>
  <c r="Q152" i="35" s="1"/>
  <c r="R152" i="35" s="1"/>
  <c r="S152" i="35" s="1"/>
  <c r="T152" i="35" s="1"/>
  <c r="U152" i="35" s="1"/>
  <c r="V152" i="35" s="1"/>
  <c r="W152" i="35" s="1"/>
  <c r="X152" i="35" s="1"/>
  <c r="Y152" i="35" s="1"/>
  <c r="Z152" i="35" s="1"/>
  <c r="AA152" i="35" s="1"/>
  <c r="AB152" i="35" s="1"/>
  <c r="G32" i="18"/>
  <c r="G29" i="12"/>
  <c r="C28" i="18"/>
  <c r="D22" i="20"/>
  <c r="I22" i="20" s="1"/>
  <c r="F22" i="20"/>
  <c r="F28" i="20"/>
  <c r="F25" i="12"/>
  <c r="F19" i="12"/>
  <c r="D15" i="12"/>
  <c r="J15" i="12" s="1"/>
  <c r="Y21" i="4"/>
  <c r="D27" i="18"/>
  <c r="D27" i="20"/>
  <c r="J27" i="20" s="1"/>
  <c r="I27" i="5"/>
  <c r="D24" i="12"/>
  <c r="J24" i="12" s="1"/>
  <c r="C31" i="20"/>
  <c r="J31" i="20" s="1"/>
  <c r="C31" i="18"/>
  <c r="J31" i="5"/>
  <c r="C28" i="12"/>
  <c r="C32" i="18"/>
  <c r="C32" i="20"/>
  <c r="C29" i="12"/>
  <c r="I29" i="5"/>
  <c r="D22" i="18"/>
  <c r="I22" i="18" s="1"/>
  <c r="I22" i="5"/>
  <c r="F31" i="20"/>
  <c r="C28" i="20"/>
  <c r="J19" i="12"/>
  <c r="F24" i="12"/>
  <c r="G31" i="18"/>
  <c r="F28" i="12"/>
  <c r="G25" i="12"/>
  <c r="G28" i="20"/>
  <c r="G28" i="18"/>
  <c r="F29" i="20"/>
  <c r="F26" i="12"/>
  <c r="F29" i="18"/>
  <c r="F23" i="18"/>
  <c r="F17" i="18"/>
  <c r="F27" i="20"/>
  <c r="G31" i="20"/>
  <c r="AB21" i="4"/>
  <c r="G19" i="12"/>
  <c r="E25" i="12"/>
  <c r="K25" i="12" s="1"/>
  <c r="E28" i="20"/>
  <c r="E28" i="18"/>
  <c r="J28" i="5"/>
  <c r="D24" i="18"/>
  <c r="I24" i="5"/>
  <c r="D21" i="12"/>
  <c r="J21" i="12" s="1"/>
  <c r="D30" i="20"/>
  <c r="D30" i="18"/>
  <c r="D27" i="12"/>
  <c r="J27" i="12" s="1"/>
  <c r="K30" i="20"/>
  <c r="I30" i="20"/>
  <c r="AA21" i="4"/>
  <c r="Z21" i="4"/>
  <c r="F44" i="17"/>
  <c r="J44" i="17" s="1"/>
  <c r="J40" i="17"/>
  <c r="G44" i="17"/>
  <c r="K44" i="17" s="1"/>
  <c r="G46" i="17"/>
  <c r="K46" i="17" s="1"/>
  <c r="E27" i="12"/>
  <c r="E30" i="18"/>
  <c r="E30" i="20"/>
  <c r="I26" i="5"/>
  <c r="D23" i="12"/>
  <c r="J23" i="12" s="1"/>
  <c r="D26" i="18"/>
  <c r="K41" i="17"/>
  <c r="H77" i="17"/>
  <c r="N77" i="17"/>
  <c r="I77" i="17"/>
  <c r="J77" i="17"/>
  <c r="L77" i="17"/>
  <c r="M77" i="17"/>
  <c r="G42" i="17"/>
  <c r="K42" i="17" s="1"/>
  <c r="G45" i="17"/>
  <c r="K45" i="17" s="1"/>
  <c r="H80" i="17"/>
  <c r="I80" i="17"/>
  <c r="L80" i="17"/>
  <c r="N80" i="17"/>
  <c r="K80" i="17"/>
  <c r="M80" i="17"/>
  <c r="M78" i="17"/>
  <c r="L78" i="17"/>
  <c r="H78" i="17"/>
  <c r="K78" i="17"/>
  <c r="J78" i="17"/>
  <c r="I28" i="5"/>
  <c r="D25" i="12"/>
  <c r="J25" i="12" s="1"/>
  <c r="E56" i="17"/>
  <c r="G56" i="17"/>
  <c r="F56" i="17"/>
  <c r="AH63" i="19"/>
  <c r="AG63" i="19"/>
  <c r="AC63" i="19"/>
  <c r="AC67" i="19"/>
  <c r="AB67" i="19"/>
  <c r="AD67" i="19"/>
  <c r="L46" i="17"/>
  <c r="M46" i="17"/>
  <c r="J46" i="17"/>
  <c r="J30" i="5"/>
  <c r="F54" i="17"/>
  <c r="E54" i="17"/>
  <c r="H79" i="17"/>
  <c r="J79" i="17"/>
  <c r="M79" i="17"/>
  <c r="K76" i="17"/>
  <c r="O76" i="17"/>
  <c r="H76" i="17"/>
  <c r="M76" i="17"/>
  <c r="T34" i="20"/>
  <c r="L38" i="17"/>
  <c r="K38" i="17"/>
  <c r="M38" i="17"/>
  <c r="J38" i="17"/>
  <c r="M43" i="17"/>
  <c r="J43" i="17"/>
  <c r="K43" i="17"/>
  <c r="L44" i="17"/>
  <c r="M44" i="17"/>
  <c r="G30" i="20"/>
  <c r="G30" i="18"/>
  <c r="C14" i="5" a="1"/>
  <c r="C14" i="5" s="1"/>
  <c r="D14" i="5" a="1"/>
  <c r="D14" i="5" s="1"/>
  <c r="D11" i="12" s="1"/>
  <c r="J11" i="12" s="1"/>
  <c r="I18" i="20"/>
  <c r="K39" i="17"/>
  <c r="M39" i="17"/>
  <c r="E29" i="12"/>
  <c r="E32" i="18"/>
  <c r="E32" i="20"/>
  <c r="D197" i="35"/>
  <c r="E197" i="35" s="1"/>
  <c r="F197" i="35" s="1"/>
  <c r="G197" i="35" s="1"/>
  <c r="H197" i="35" s="1"/>
  <c r="I197" i="35" s="1"/>
  <c r="J197" i="35" s="1"/>
  <c r="K197" i="35" s="1"/>
  <c r="L197" i="35" s="1"/>
  <c r="M197" i="35" s="1"/>
  <c r="N197" i="35" s="1"/>
  <c r="O197" i="35" s="1"/>
  <c r="P197" i="35" s="1"/>
  <c r="Q197" i="35" s="1"/>
  <c r="R197" i="35" s="1"/>
  <c r="S197" i="35" s="1"/>
  <c r="T197" i="35" s="1"/>
  <c r="U197" i="35" s="1"/>
  <c r="V197" i="35" s="1"/>
  <c r="W197" i="35" s="1"/>
  <c r="X197" i="35" s="1"/>
  <c r="Y197" i="35" s="1"/>
  <c r="Z197" i="35" s="1"/>
  <c r="AA197" i="35" s="1"/>
  <c r="AB197" i="35" s="1"/>
  <c r="G26" i="12"/>
  <c r="B14" i="12"/>
  <c r="B17" i="18"/>
  <c r="D17" i="5" a="1"/>
  <c r="D17" i="5" s="1"/>
  <c r="J17" i="5" s="1"/>
  <c r="G59" i="17"/>
  <c r="F59" i="17"/>
  <c r="U34" i="20"/>
  <c r="AC55" i="19"/>
  <c r="AD55" i="19"/>
  <c r="AC57" i="19"/>
  <c r="AG57" i="19"/>
  <c r="E24" i="18"/>
  <c r="E21" i="12"/>
  <c r="C51" i="35"/>
  <c r="C191" i="35"/>
  <c r="A12" i="33"/>
  <c r="C11" i="33"/>
  <c r="B4" i="35" s="1"/>
  <c r="F30" i="20"/>
  <c r="G27" i="5"/>
  <c r="G24" i="12" s="1"/>
  <c r="C195" i="35"/>
  <c r="D195" i="35" s="1"/>
  <c r="G25" i="5"/>
  <c r="E13" i="18"/>
  <c r="G24" i="20"/>
  <c r="G24" i="18"/>
  <c r="G21" i="12"/>
  <c r="C21" i="12"/>
  <c r="J24" i="5"/>
  <c r="C24" i="18"/>
  <c r="C24" i="20"/>
  <c r="F21" i="12"/>
  <c r="F24" i="20"/>
  <c r="F24" i="18"/>
  <c r="K24" i="18"/>
  <c r="D24" i="20"/>
  <c r="I24" i="20" s="1"/>
  <c r="C16" i="18"/>
  <c r="C16" i="20"/>
  <c r="C13" i="12"/>
  <c r="G20" i="12"/>
  <c r="G23" i="18"/>
  <c r="D13" i="20"/>
  <c r="I13" i="20" s="1"/>
  <c r="I13" i="5"/>
  <c r="D10" i="12"/>
  <c r="J10" i="12" s="1"/>
  <c r="D13" i="18"/>
  <c r="I13" i="18" s="1"/>
  <c r="E15" i="18"/>
  <c r="E12" i="12"/>
  <c r="E15" i="20"/>
  <c r="F23" i="20"/>
  <c r="C15" i="12"/>
  <c r="I15" i="12" s="1"/>
  <c r="J18" i="5"/>
  <c r="C18" i="18"/>
  <c r="C18" i="20"/>
  <c r="J18" i="20" s="1"/>
  <c r="B16" i="20"/>
  <c r="B13" i="12"/>
  <c r="D16" i="5" a="1"/>
  <c r="D16" i="5" s="1"/>
  <c r="B16" i="18"/>
  <c r="F14" i="12"/>
  <c r="AC21" i="4"/>
  <c r="B21" i="20"/>
  <c r="B21" i="18"/>
  <c r="B18" i="12"/>
  <c r="C21" i="5" a="1"/>
  <c r="C21" i="5" s="1"/>
  <c r="D21" i="5" a="1"/>
  <c r="D21" i="5" s="1"/>
  <c r="C13" i="20"/>
  <c r="C13" i="18"/>
  <c r="D20" i="18"/>
  <c r="D20" i="20"/>
  <c r="J17" i="12"/>
  <c r="K23" i="20"/>
  <c r="E18" i="12"/>
  <c r="E21" i="18"/>
  <c r="J22" i="5"/>
  <c r="C22" i="20"/>
  <c r="C19" i="12"/>
  <c r="G22" i="20"/>
  <c r="C17" i="20"/>
  <c r="C17" i="18"/>
  <c r="C22" i="18"/>
  <c r="D18" i="18"/>
  <c r="I18" i="18" s="1"/>
  <c r="I18" i="5"/>
  <c r="J24" i="4"/>
  <c r="K24" i="4" s="1"/>
  <c r="C20" i="20"/>
  <c r="C17" i="12"/>
  <c r="E23" i="18"/>
  <c r="E23" i="20"/>
  <c r="C19" i="5" a="1"/>
  <c r="C19" i="5" s="1"/>
  <c r="B16" i="12"/>
  <c r="D19" i="5" a="1"/>
  <c r="D19" i="5" s="1"/>
  <c r="J17" i="4"/>
  <c r="K17" i="4" s="1"/>
  <c r="I20" i="5"/>
  <c r="C23" i="5" a="1"/>
  <c r="C23" i="5" s="1"/>
  <c r="B20" i="12"/>
  <c r="B23" i="18"/>
  <c r="D23" i="5" a="1"/>
  <c r="D23" i="5" s="1"/>
  <c r="K23" i="5"/>
  <c r="B20" i="18"/>
  <c r="J20" i="5"/>
  <c r="B20" i="20"/>
  <c r="B15" i="18"/>
  <c r="D15" i="5" a="1"/>
  <c r="D15" i="5" s="1"/>
  <c r="C15" i="5" a="1"/>
  <c r="C15" i="5" s="1"/>
  <c r="B15" i="20"/>
  <c r="B12" i="12"/>
  <c r="G23" i="20"/>
  <c r="G17" i="18"/>
  <c r="G29" i="18"/>
  <c r="F26" i="20"/>
  <c r="F26" i="18"/>
  <c r="F23" i="12"/>
  <c r="C29" i="20"/>
  <c r="J29" i="5"/>
  <c r="C29" i="18"/>
  <c r="J29" i="18" s="1"/>
  <c r="C26" i="12"/>
  <c r="D29" i="12"/>
  <c r="J29" i="12" s="1"/>
  <c r="I32" i="5"/>
  <c r="D32" i="20"/>
  <c r="I32" i="20" s="1"/>
  <c r="D32" i="18"/>
  <c r="J32" i="18" s="1"/>
  <c r="K29" i="12"/>
  <c r="I25" i="5"/>
  <c r="D25" i="18"/>
  <c r="J25" i="18" s="1"/>
  <c r="G26" i="18"/>
  <c r="I30" i="18"/>
  <c r="K30" i="18"/>
  <c r="C30" i="18"/>
  <c r="C30" i="20"/>
  <c r="D22" i="12"/>
  <c r="J22" i="12" s="1"/>
  <c r="J32" i="5"/>
  <c r="C22" i="12"/>
  <c r="J25" i="5"/>
  <c r="C25" i="20"/>
  <c r="G23" i="12"/>
  <c r="F25" i="18"/>
  <c r="C27" i="12"/>
  <c r="D28" i="20"/>
  <c r="I28" i="20" s="1"/>
  <c r="J28" i="18"/>
  <c r="D25" i="20"/>
  <c r="I25" i="20" s="1"/>
  <c r="D29" i="20"/>
  <c r="I29" i="20" s="1"/>
  <c r="D28" i="12"/>
  <c r="K28" i="12" s="1"/>
  <c r="I31" i="5"/>
  <c r="K27" i="20"/>
  <c r="K32" i="20"/>
  <c r="G32" i="20"/>
  <c r="F29" i="12"/>
  <c r="F28" i="18"/>
  <c r="I27" i="12"/>
  <c r="I28" i="12"/>
  <c r="D26" i="12"/>
  <c r="J26" i="12" s="1"/>
  <c r="F22" i="12"/>
  <c r="C24" i="12"/>
  <c r="C27" i="18"/>
  <c r="J27" i="18" s="1"/>
  <c r="J27" i="5"/>
  <c r="I29" i="12"/>
  <c r="C26" i="18"/>
  <c r="C23" i="12"/>
  <c r="J26" i="5"/>
  <c r="E13" i="12"/>
  <c r="E16" i="18"/>
  <c r="E16" i="20"/>
  <c r="J28" i="20" l="1"/>
  <c r="K21" i="12"/>
  <c r="J26" i="20"/>
  <c r="K22" i="5"/>
  <c r="J31" i="18"/>
  <c r="I26" i="20"/>
  <c r="J14" i="5"/>
  <c r="J22" i="20"/>
  <c r="K22" i="20" s="1"/>
  <c r="I27" i="20"/>
  <c r="K18" i="20"/>
  <c r="J30" i="18"/>
  <c r="J18" i="4"/>
  <c r="K18" i="4" s="1"/>
  <c r="J26" i="18"/>
  <c r="D17" i="20"/>
  <c r="I17" i="20" s="1"/>
  <c r="J22" i="18"/>
  <c r="K22" i="18" s="1"/>
  <c r="C14" i="18"/>
  <c r="I14" i="5"/>
  <c r="K14" i="5" s="1"/>
  <c r="K24" i="12"/>
  <c r="J23" i="5"/>
  <c r="C11" i="12"/>
  <c r="K11" i="12" s="1"/>
  <c r="J32" i="20"/>
  <c r="C14" i="20"/>
  <c r="G27" i="18"/>
  <c r="G22" i="12"/>
  <c r="G25" i="18"/>
  <c r="K22" i="12"/>
  <c r="K18" i="5"/>
  <c r="G25" i="20"/>
  <c r="K23" i="12"/>
  <c r="J28" i="12"/>
  <c r="D14" i="20"/>
  <c r="I14" i="20" s="1"/>
  <c r="J24" i="20"/>
  <c r="G27" i="20"/>
  <c r="C145" i="35"/>
  <c r="C98" i="35"/>
  <c r="A13" i="33"/>
  <c r="C12" i="33"/>
  <c r="D17" i="18"/>
  <c r="I17" i="18" s="1"/>
  <c r="D14" i="12"/>
  <c r="J30" i="20"/>
  <c r="I17" i="5"/>
  <c r="K17" i="5" s="1"/>
  <c r="J17" i="18"/>
  <c r="K27" i="12"/>
  <c r="D14" i="18"/>
  <c r="I14" i="18" s="1"/>
  <c r="J18" i="18"/>
  <c r="K18" i="18" s="1"/>
  <c r="J24" i="18"/>
  <c r="B51" i="35"/>
  <c r="B191" i="35"/>
  <c r="I19" i="12"/>
  <c r="K19" i="12"/>
  <c r="K23" i="18"/>
  <c r="I23" i="18"/>
  <c r="K20" i="5"/>
  <c r="D15" i="18"/>
  <c r="I15" i="18" s="1"/>
  <c r="I15" i="5"/>
  <c r="D15" i="20"/>
  <c r="I15" i="20" s="1"/>
  <c r="D12" i="12"/>
  <c r="J12" i="12" s="1"/>
  <c r="I20" i="18"/>
  <c r="J20" i="18"/>
  <c r="I20" i="12"/>
  <c r="I10" i="12"/>
  <c r="J17" i="20"/>
  <c r="K17" i="20" s="1"/>
  <c r="D21" i="18"/>
  <c r="I21" i="18" s="1"/>
  <c r="D21" i="20"/>
  <c r="I21" i="20" s="1"/>
  <c r="D18" i="12"/>
  <c r="J18" i="12" s="1"/>
  <c r="I21" i="5"/>
  <c r="D16" i="18"/>
  <c r="I16" i="18" s="1"/>
  <c r="D16" i="20"/>
  <c r="I16" i="20" s="1"/>
  <c r="D13" i="12"/>
  <c r="J13" i="12" s="1"/>
  <c r="J16" i="5"/>
  <c r="I16" i="5"/>
  <c r="I11" i="12"/>
  <c r="C19" i="18"/>
  <c r="J23" i="4"/>
  <c r="K23" i="4" s="1"/>
  <c r="C19" i="20"/>
  <c r="C16" i="12"/>
  <c r="J13" i="18"/>
  <c r="K13" i="18" s="1"/>
  <c r="C21" i="18"/>
  <c r="C18" i="12"/>
  <c r="I18" i="12" s="1"/>
  <c r="C21" i="20"/>
  <c r="J21" i="20" s="1"/>
  <c r="J21" i="5"/>
  <c r="K15" i="12"/>
  <c r="J19" i="4"/>
  <c r="K19" i="4" s="1"/>
  <c r="C15" i="18"/>
  <c r="J15" i="5"/>
  <c r="C15" i="20"/>
  <c r="C12" i="12"/>
  <c r="J20" i="20"/>
  <c r="I20" i="20"/>
  <c r="D20" i="12"/>
  <c r="J20" i="12" s="1"/>
  <c r="D23" i="20"/>
  <c r="I23" i="20" s="1"/>
  <c r="I23" i="5"/>
  <c r="D23" i="18"/>
  <c r="C23" i="18"/>
  <c r="C23" i="20"/>
  <c r="J23" i="20" s="1"/>
  <c r="C20" i="12"/>
  <c r="D19" i="20"/>
  <c r="I19" i="20" s="1"/>
  <c r="D16" i="12"/>
  <c r="J16" i="12" s="1"/>
  <c r="D19" i="18"/>
  <c r="I19" i="18" s="1"/>
  <c r="J13" i="20"/>
  <c r="K13" i="20" s="1"/>
  <c r="I19" i="5"/>
  <c r="K10" i="12"/>
  <c r="I17" i="12"/>
  <c r="K17" i="12"/>
  <c r="J13" i="5"/>
  <c r="K13" i="5" s="1"/>
  <c r="J29" i="20"/>
  <c r="K26" i="12"/>
  <c r="J25" i="20"/>
  <c r="J16" i="20"/>
  <c r="I13" i="12"/>
  <c r="J16" i="18" l="1"/>
  <c r="K13" i="12"/>
  <c r="K20" i="20"/>
  <c r="K21" i="5"/>
  <c r="J23" i="18"/>
  <c r="K20" i="12"/>
  <c r="K18" i="12"/>
  <c r="B145" i="35"/>
  <c r="B98" i="35"/>
  <c r="A14" i="33"/>
  <c r="C13" i="33"/>
  <c r="K20" i="18"/>
  <c r="J14" i="12"/>
  <c r="U34" i="12" s="1"/>
  <c r="I14" i="12"/>
  <c r="K14" i="12"/>
  <c r="J14" i="18"/>
  <c r="K14" i="18" s="1"/>
  <c r="J21" i="18"/>
  <c r="K21" i="18" s="1"/>
  <c r="K12" i="12"/>
  <c r="K17" i="18"/>
  <c r="J14" i="20"/>
  <c r="K14" i="20" s="1"/>
  <c r="J19" i="20"/>
  <c r="K19" i="20" s="1"/>
  <c r="K16" i="5"/>
  <c r="I16" i="12"/>
  <c r="K16" i="12"/>
  <c r="U43" i="4"/>
  <c r="J19" i="5"/>
  <c r="J15" i="20"/>
  <c r="J15" i="18"/>
  <c r="K15" i="18" s="1"/>
  <c r="K21" i="20"/>
  <c r="T43" i="4"/>
  <c r="J19" i="18"/>
  <c r="K15" i="5"/>
  <c r="I12" i="12"/>
  <c r="S43" i="4"/>
  <c r="S35" i="18"/>
  <c r="T35" i="18"/>
  <c r="U35" i="18"/>
  <c r="K16" i="18"/>
  <c r="K16" i="20"/>
  <c r="S34" i="18" l="1"/>
  <c r="U31" i="12"/>
  <c r="U34" i="18"/>
  <c r="T31" i="12"/>
  <c r="T34" i="12"/>
  <c r="S34" i="12"/>
  <c r="T34" i="18"/>
  <c r="S31" i="12"/>
  <c r="T36" i="12" s="1"/>
  <c r="S32" i="12"/>
  <c r="S33" i="12" s="1"/>
  <c r="K19" i="5"/>
  <c r="S36" i="5" s="1"/>
  <c r="A15" i="33"/>
  <c r="C14" i="33"/>
  <c r="T32" i="12"/>
  <c r="T33" i="12" s="1"/>
  <c r="T37" i="12" s="1"/>
  <c r="U38" i="12"/>
  <c r="S35" i="5"/>
  <c r="T35" i="5"/>
  <c r="K15" i="20"/>
  <c r="U35" i="20" s="1"/>
  <c r="U37" i="20" s="1"/>
  <c r="K19" i="18"/>
  <c r="T36" i="18" s="1"/>
  <c r="U35" i="5"/>
  <c r="U32" i="12"/>
  <c r="U33" i="12" s="1"/>
  <c r="U36" i="12"/>
  <c r="U37" i="12" l="1"/>
  <c r="T38" i="18"/>
  <c r="U36" i="5"/>
  <c r="T36" i="5"/>
  <c r="S36" i="18"/>
  <c r="S38" i="18" s="1"/>
  <c r="A16" i="33"/>
  <c r="C15" i="33"/>
  <c r="T38" i="12"/>
  <c r="U36" i="18"/>
  <c r="U38" i="18" s="1"/>
  <c r="U39" i="18" s="1"/>
  <c r="S35" i="20"/>
  <c r="S37" i="20" s="1"/>
  <c r="T35" i="20"/>
  <c r="T37" i="20" s="1"/>
  <c r="T39" i="18" l="1"/>
  <c r="A17" i="33"/>
  <c r="C16" i="33"/>
  <c r="T38" i="20"/>
  <c r="U38" i="20"/>
  <c r="A18" i="33" l="1"/>
  <c r="C17" i="33"/>
  <c r="E7" i="35" s="1"/>
  <c r="A19" i="33" l="1"/>
  <c r="C18" i="33"/>
  <c r="B7" i="35" s="1"/>
  <c r="B15" i="35"/>
  <c r="B22" i="35"/>
  <c r="B14" i="35"/>
  <c r="B26" i="35"/>
  <c r="B28" i="35"/>
  <c r="B21" i="35"/>
  <c r="B46" i="35"/>
  <c r="D54" i="35"/>
  <c r="B27" i="35"/>
  <c r="B45" i="35"/>
  <c r="B44" i="35"/>
  <c r="B43" i="35"/>
  <c r="B38" i="35" l="1"/>
  <c r="B200" i="35"/>
  <c r="B206" i="35" s="1"/>
  <c r="A20" i="33"/>
  <c r="C19" i="33"/>
  <c r="F2" i="35" s="1"/>
  <c r="B212" i="35"/>
  <c r="B217" i="35" s="1"/>
  <c r="B33" i="35"/>
  <c r="B34" i="35"/>
  <c r="B213" i="35"/>
  <c r="B218" i="35" s="1"/>
  <c r="B201" i="35"/>
  <c r="B207" i="35" s="1"/>
  <c r="B39" i="35"/>
  <c r="B62" i="35"/>
  <c r="B74" i="35"/>
  <c r="B80" i="35" s="1"/>
  <c r="B122" i="35"/>
  <c r="B128" i="35" s="1"/>
  <c r="B120" i="35"/>
  <c r="B126" i="35" s="1"/>
  <c r="B75" i="35"/>
  <c r="B81" i="35" s="1"/>
  <c r="B73" i="35"/>
  <c r="B79" i="35" s="1"/>
  <c r="D101" i="35"/>
  <c r="B121" i="35"/>
  <c r="B127" i="35" s="1"/>
  <c r="B61" i="35"/>
  <c r="B211" i="35"/>
  <c r="B216" i="35" s="1"/>
  <c r="B32" i="35"/>
  <c r="B194" i="35"/>
  <c r="B54" i="35"/>
  <c r="B101" i="35" s="1"/>
  <c r="B92" i="35" l="1"/>
  <c r="F190" i="35"/>
  <c r="F49" i="35"/>
  <c r="F96" i="35" s="1"/>
  <c r="B109" i="35"/>
  <c r="B137" i="35"/>
  <c r="B138" i="35"/>
  <c r="B139" i="35"/>
  <c r="B108" i="35"/>
  <c r="B90" i="35"/>
  <c r="B69" i="35"/>
  <c r="B86" i="35"/>
  <c r="C20" i="33"/>
  <c r="F3" i="35" s="1"/>
  <c r="F50" i="35" s="1"/>
  <c r="A21" i="33"/>
  <c r="B85" i="35"/>
  <c r="B68" i="35"/>
  <c r="B91" i="35"/>
  <c r="A22" i="33" l="1"/>
  <c r="C21" i="33"/>
  <c r="B132" i="35"/>
  <c r="B115" i="35"/>
  <c r="B133" i="35"/>
  <c r="B116" i="35"/>
  <c r="F144" i="35"/>
  <c r="F97" i="35"/>
  <c r="A23" i="33" l="1"/>
  <c r="C22" i="33"/>
  <c r="C23" i="33" l="1"/>
  <c r="A24" i="33"/>
  <c r="A25" i="33" l="1"/>
  <c r="C24" i="33"/>
  <c r="C25" i="33" l="1"/>
  <c r="H3" i="35" s="1"/>
  <c r="G50" i="35" s="1"/>
  <c r="A26" i="33"/>
  <c r="G144" i="35" l="1"/>
  <c r="G97" i="35"/>
  <c r="C26" i="33"/>
  <c r="K5" i="35" s="1"/>
  <c r="A27" i="33"/>
  <c r="A28" i="33" l="1"/>
  <c r="C27" i="33"/>
  <c r="O5" i="35" s="1"/>
  <c r="C28" i="33" l="1"/>
  <c r="B10" i="35" s="1"/>
  <c r="A29" i="33"/>
  <c r="A30" i="33" l="1"/>
  <c r="C29" i="33"/>
  <c r="C30" i="33" l="1"/>
  <c r="A31" i="33"/>
  <c r="B59" i="35"/>
  <c r="B106" i="35"/>
  <c r="B12" i="35"/>
  <c r="A32" i="33" l="1"/>
  <c r="C31" i="33"/>
  <c r="C32" i="33" l="1"/>
  <c r="A33" i="33"/>
  <c r="C33" i="33" l="1"/>
  <c r="A34" i="33"/>
  <c r="C34" i="33" l="1"/>
  <c r="A35" i="33"/>
  <c r="A36" i="33" l="1"/>
  <c r="C35" i="33"/>
  <c r="A37" i="33" l="1"/>
  <c r="C36" i="33"/>
  <c r="A38" i="33" l="1"/>
  <c r="C37" i="33"/>
  <c r="A39" i="33" l="1"/>
  <c r="C38" i="33"/>
  <c r="C39" i="33" l="1"/>
  <c r="A40" i="33"/>
  <c r="B65" i="35"/>
  <c r="B112" i="35"/>
  <c r="B18" i="35"/>
  <c r="A41" i="33" l="1"/>
  <c r="C40" i="33"/>
  <c r="B30" i="35"/>
  <c r="B124" i="35"/>
  <c r="B77" i="35"/>
  <c r="C41" i="33" l="1"/>
  <c r="A42" i="33"/>
  <c r="E18" i="35"/>
  <c r="E124" i="35"/>
  <c r="E77" i="35"/>
  <c r="E30" i="35"/>
  <c r="E65" i="35"/>
  <c r="E112" i="35"/>
  <c r="C42" i="33" l="1"/>
  <c r="A43" i="33"/>
  <c r="B25" i="35" l="1"/>
  <c r="B72" i="35"/>
  <c r="B119" i="35"/>
  <c r="A44" i="33"/>
  <c r="C43" i="33"/>
  <c r="B130" i="35" l="1"/>
  <c r="B36" i="35"/>
  <c r="B83" i="35"/>
  <c r="C44" i="33"/>
  <c r="A45" i="33"/>
  <c r="C45" i="33" l="1"/>
  <c r="A46" i="33"/>
  <c r="B42" i="35"/>
  <c r="B89" i="35"/>
  <c r="B136" i="35"/>
  <c r="E42" i="35" l="1"/>
  <c r="E136" i="35"/>
  <c r="E119" i="35"/>
  <c r="E89" i="35"/>
  <c r="E172" i="35"/>
  <c r="E25" i="35"/>
  <c r="E72" i="35"/>
  <c r="A47" i="33"/>
  <c r="C46" i="33"/>
  <c r="B48" i="35" s="1"/>
  <c r="A48" i="33" l="1"/>
  <c r="C47" i="33"/>
  <c r="B57" i="35" s="1"/>
  <c r="B104" i="35" s="1"/>
  <c r="A49" i="33" l="1"/>
  <c r="C48" i="33"/>
  <c r="C49" i="33" l="1"/>
  <c r="A50" i="33"/>
  <c r="A51" i="33" l="1"/>
  <c r="C50" i="33"/>
  <c r="C51" i="33" l="1"/>
  <c r="A52" i="33"/>
  <c r="A53" i="33" l="1"/>
  <c r="C52" i="33"/>
  <c r="A54" i="33" l="1"/>
  <c r="C53" i="33"/>
  <c r="A55" i="33" l="1"/>
  <c r="C54" i="33"/>
  <c r="A56" i="33" l="1"/>
  <c r="C55" i="33"/>
  <c r="A57" i="33" l="1"/>
  <c r="C56" i="33"/>
  <c r="B95" i="35" s="1"/>
  <c r="C57" i="33" l="1"/>
  <c r="A58" i="33"/>
  <c r="C58" i="33" l="1"/>
  <c r="A59" i="33"/>
  <c r="C59" i="33" l="1"/>
  <c r="A60" i="33"/>
  <c r="A61" i="33" l="1"/>
  <c r="C60" i="33"/>
  <c r="C61" i="33" l="1"/>
  <c r="A62" i="33"/>
  <c r="C62" i="33" l="1"/>
  <c r="A63" i="33"/>
  <c r="C63" i="33" l="1"/>
  <c r="A64" i="33"/>
  <c r="C64" i="33" l="1"/>
  <c r="A65" i="33"/>
  <c r="C65" i="33" l="1"/>
  <c r="A66" i="33"/>
  <c r="A67" i="33" l="1"/>
  <c r="C66" i="33"/>
  <c r="B142" i="35" s="1"/>
  <c r="A68" i="33" l="1"/>
  <c r="C67" i="33"/>
  <c r="B148" i="35" s="1"/>
  <c r="A69" i="33" l="1"/>
  <c r="C68" i="33"/>
  <c r="B156" i="35"/>
  <c r="B155" i="35"/>
  <c r="F143" i="35"/>
  <c r="B175" i="35" l="1"/>
  <c r="B174" i="35"/>
  <c r="B173" i="35"/>
  <c r="A70" i="33"/>
  <c r="C69" i="33"/>
  <c r="B151" i="35" s="1"/>
  <c r="B169" i="35"/>
  <c r="B163" i="35"/>
  <c r="B168" i="35"/>
  <c r="B162" i="35"/>
  <c r="B186" i="35" l="1"/>
  <c r="B181" i="35"/>
  <c r="B179" i="35"/>
  <c r="B184" i="35"/>
  <c r="C70" i="33"/>
  <c r="B153" i="35" s="1"/>
  <c r="B172" i="35" s="1"/>
  <c r="A71" i="33"/>
  <c r="B180" i="35"/>
  <c r="B185" i="35"/>
  <c r="A72" i="33" l="1"/>
  <c r="C71" i="33"/>
  <c r="B159" i="35" s="1"/>
  <c r="B177" i="35" s="1"/>
  <c r="A73" i="33" l="1"/>
  <c r="C72" i="33"/>
  <c r="B166" i="35" s="1"/>
  <c r="B183" i="35" s="1"/>
  <c r="C73" i="33" l="1"/>
  <c r="B189" i="35" s="1"/>
  <c r="A74" i="33"/>
  <c r="A75" i="33" l="1"/>
  <c r="C74" i="33"/>
  <c r="B198" i="35" s="1"/>
  <c r="B210" i="35" s="1"/>
  <c r="A76" i="33" l="1"/>
  <c r="C75" i="33"/>
  <c r="B204" i="35" s="1"/>
  <c r="B215" i="35" s="1"/>
  <c r="A77" i="33" l="1"/>
  <c r="C76" i="33"/>
  <c r="B2" i="20" s="1"/>
  <c r="C15" i="1" s="1"/>
  <c r="A78" i="33" l="1"/>
  <c r="C77" i="33"/>
  <c r="O2" i="20" s="1"/>
  <c r="C78" i="33" l="1"/>
  <c r="B5" i="20" s="1"/>
  <c r="A79" i="33"/>
  <c r="C79" i="33" l="1"/>
  <c r="B6" i="20" s="1"/>
  <c r="A80" i="33"/>
  <c r="A81" i="33" l="1"/>
  <c r="C80" i="33"/>
  <c r="B7" i="20" s="1"/>
  <c r="C81" i="33" l="1"/>
  <c r="I10" i="20" s="1"/>
  <c r="A82" i="33"/>
  <c r="A83" i="33" l="1"/>
  <c r="C82" i="33"/>
  <c r="I11" i="20" s="1"/>
  <c r="C83" i="33" l="1"/>
  <c r="K34" i="20" s="1"/>
  <c r="A84" i="33"/>
  <c r="A85" i="33" l="1"/>
  <c r="C84" i="33"/>
  <c r="K35" i="20" s="1"/>
  <c r="C85" i="33" l="1"/>
  <c r="K37" i="20" s="1"/>
  <c r="A86" i="33"/>
  <c r="A87" i="33" l="1"/>
  <c r="C86" i="33"/>
  <c r="K38" i="20" s="1"/>
  <c r="C87" i="33" l="1"/>
  <c r="R34" i="20" s="1"/>
  <c r="A88" i="33"/>
  <c r="C88" i="33" l="1"/>
  <c r="R35" i="20" s="1"/>
  <c r="A89" i="33"/>
  <c r="A90" i="33" l="1"/>
  <c r="C89" i="33"/>
  <c r="R37" i="20" s="1"/>
  <c r="A91" i="33" l="1"/>
  <c r="C90" i="33"/>
  <c r="C3" i="32" s="1"/>
  <c r="C91" i="33" l="1"/>
  <c r="C10" i="32" s="1"/>
  <c r="A92" i="33"/>
  <c r="C92" i="33" l="1"/>
  <c r="C12" i="32" s="1"/>
  <c r="A93" i="33"/>
  <c r="A94" i="33" l="1"/>
  <c r="C93" i="33"/>
  <c r="C14" i="32" s="1"/>
  <c r="A95" i="33" l="1"/>
  <c r="C94" i="33"/>
  <c r="D18" i="32" s="1"/>
  <c r="C95" i="33" l="1"/>
  <c r="D20" i="32" s="1"/>
  <c r="A96" i="33"/>
  <c r="A97" i="33" l="1"/>
  <c r="C96" i="33"/>
  <c r="B2" i="1" s="1"/>
  <c r="A98" i="33" l="1"/>
  <c r="C97" i="33"/>
  <c r="C98" i="33" l="1"/>
  <c r="A99" i="33"/>
  <c r="A100" i="33" l="1"/>
  <c r="C99" i="33"/>
  <c r="B8" i="1" s="1"/>
  <c r="A101" i="33" l="1"/>
  <c r="C100" i="33"/>
  <c r="B16" i="1" s="1"/>
  <c r="C101" i="33" l="1"/>
  <c r="B11" i="1" s="1"/>
  <c r="A102" i="33"/>
  <c r="A103" i="33" l="1"/>
  <c r="C102" i="33"/>
  <c r="B19" i="1" s="1"/>
  <c r="C103" i="33" l="1"/>
  <c r="B32" i="1" s="1"/>
  <c r="A104" i="33"/>
  <c r="A105" i="33" l="1"/>
  <c r="C104" i="33"/>
  <c r="B3" i="1" s="1"/>
  <c r="C105" i="33" l="1"/>
  <c r="B4" i="1" s="1"/>
  <c r="A106" i="33"/>
  <c r="A107" i="33" l="1"/>
  <c r="C106" i="33"/>
  <c r="B5" i="1" s="1"/>
  <c r="C107" i="33" l="1"/>
  <c r="B6" i="1" s="1"/>
  <c r="A108" i="33"/>
  <c r="A109" i="33" l="1"/>
  <c r="C108" i="33"/>
  <c r="B7" i="1" s="1"/>
  <c r="C109" i="33" l="1"/>
  <c r="A110" i="33"/>
  <c r="C110" i="33" l="1"/>
  <c r="B1" i="24" s="1"/>
  <c r="C36" i="1" s="1"/>
  <c r="A111" i="33"/>
  <c r="M2" i="17"/>
  <c r="V2" i="4"/>
  <c r="U2" i="5"/>
  <c r="H1" i="2"/>
  <c r="U2" i="20"/>
  <c r="F1" i="33"/>
  <c r="U2" i="18"/>
  <c r="U2" i="12"/>
  <c r="Q1" i="24"/>
  <c r="Q1" i="19"/>
  <c r="O1" i="35"/>
  <c r="A112" i="33" l="1"/>
  <c r="C111" i="33"/>
  <c r="F1" i="24" s="1"/>
  <c r="C112" i="33" l="1"/>
  <c r="G3" i="24" s="1"/>
  <c r="A113" i="33"/>
  <c r="A114" i="33" l="1"/>
  <c r="C113" i="33"/>
  <c r="G4" i="24" s="1"/>
  <c r="C114" i="33" l="1"/>
  <c r="C3" i="24" s="1"/>
  <c r="A115" i="33"/>
  <c r="A116" i="33" l="1"/>
  <c r="C115" i="33"/>
  <c r="C4" i="24" s="1"/>
  <c r="A117" i="33" l="1"/>
  <c r="C116" i="33"/>
  <c r="D4" i="24" s="1"/>
  <c r="A118" i="33" l="1"/>
  <c r="C117" i="33"/>
  <c r="E4" i="24" s="1"/>
  <c r="C118" i="33" l="1"/>
  <c r="F4" i="24" s="1"/>
  <c r="A119" i="33"/>
  <c r="C119" i="33" l="1"/>
  <c r="I2" i="24" s="1"/>
  <c r="A120" i="33"/>
  <c r="A121" i="33" l="1"/>
  <c r="C120" i="33"/>
  <c r="H3" i="24" s="1"/>
  <c r="A122" i="33" l="1"/>
  <c r="C121" i="33"/>
  <c r="H4" i="24" s="1"/>
  <c r="C122" i="33" l="1"/>
  <c r="I4" i="24" s="1"/>
  <c r="A123" i="33"/>
  <c r="A124" i="33" l="1"/>
  <c r="C123" i="33"/>
  <c r="J3" i="24" s="1"/>
  <c r="C124" i="33" l="1"/>
  <c r="J4" i="24" s="1"/>
  <c r="A125" i="33"/>
  <c r="A126" i="33" l="1"/>
  <c r="C125" i="33"/>
  <c r="K4" i="24" s="1"/>
  <c r="C126" i="33" l="1"/>
  <c r="L4" i="24" s="1"/>
  <c r="A127" i="33"/>
  <c r="A128" i="33" l="1"/>
  <c r="C127" i="33"/>
  <c r="M3" i="24" s="1"/>
  <c r="C128" i="33" l="1"/>
  <c r="M4" i="24" s="1"/>
  <c r="A129" i="33"/>
  <c r="A130" i="33" l="1"/>
  <c r="C129" i="33"/>
  <c r="N4" i="24" s="1"/>
  <c r="C130" i="33" l="1"/>
  <c r="O4" i="24" s="1"/>
  <c r="A131" i="33"/>
  <c r="C131" i="33" l="1"/>
  <c r="P3" i="24" s="1"/>
  <c r="A132" i="33"/>
  <c r="A133" i="33" l="1"/>
  <c r="C132" i="33"/>
  <c r="P4" i="24" s="1"/>
  <c r="A134" i="33" l="1"/>
  <c r="C133" i="33"/>
  <c r="Q4" i="24" s="1"/>
  <c r="C134" i="33" l="1"/>
  <c r="R3" i="24" s="1"/>
  <c r="A135" i="33"/>
  <c r="C135" i="33" l="1"/>
  <c r="S3" i="24" s="1"/>
  <c r="A136" i="33"/>
  <c r="A137" i="33" l="1"/>
  <c r="C136" i="33"/>
  <c r="T3" i="24" s="1"/>
  <c r="A138" i="33" l="1"/>
  <c r="C137" i="33"/>
  <c r="U3" i="24" s="1"/>
  <c r="C138" i="33" l="1"/>
  <c r="U4" i="24" s="1"/>
  <c r="A139" i="33"/>
  <c r="A140" i="33" l="1"/>
  <c r="C139" i="33"/>
  <c r="V3" i="24" s="1"/>
  <c r="A141" i="33" l="1"/>
  <c r="C140" i="33"/>
  <c r="W3" i="24" s="1"/>
  <c r="A142" i="33" l="1"/>
  <c r="C141" i="33"/>
  <c r="W4" i="24" s="1"/>
  <c r="C142" i="33" l="1"/>
  <c r="B1" i="19" s="1"/>
  <c r="C35" i="1" s="1"/>
  <c r="A143" i="33"/>
  <c r="C143" i="33" l="1"/>
  <c r="H1" i="19" s="1"/>
  <c r="A144" i="33"/>
  <c r="A145" i="33" l="1"/>
  <c r="C144" i="33"/>
  <c r="J2" i="19" s="1"/>
  <c r="C145" i="33" l="1"/>
  <c r="B3" i="19" s="1"/>
  <c r="A146" i="33"/>
  <c r="A147" i="33" l="1"/>
  <c r="C146" i="33"/>
  <c r="B4" i="19" s="1"/>
  <c r="A148" i="33" l="1"/>
  <c r="C147" i="33"/>
  <c r="C4" i="19" s="1"/>
  <c r="A149" i="33" l="1"/>
  <c r="C148" i="33"/>
  <c r="D4" i="19" s="1"/>
  <c r="C149" i="33" l="1"/>
  <c r="E4" i="19" s="1"/>
  <c r="A150" i="33"/>
  <c r="A151" i="33" l="1"/>
  <c r="C150" i="33"/>
  <c r="F4" i="19" s="1"/>
  <c r="C151" i="33" l="1"/>
  <c r="G4" i="19" s="1"/>
  <c r="A152" i="33"/>
  <c r="C152" i="33" l="1"/>
  <c r="H4" i="19" s="1"/>
  <c r="A153" i="33"/>
  <c r="A154" i="33" l="1"/>
  <c r="C153" i="33"/>
  <c r="C154" i="33" l="1"/>
  <c r="I3" i="19" s="1"/>
  <c r="A155" i="33"/>
  <c r="A156" i="33" l="1"/>
  <c r="C155" i="33"/>
  <c r="I4" i="19" s="1"/>
  <c r="C156" i="33" l="1"/>
  <c r="J4" i="19" s="1"/>
  <c r="A157" i="33"/>
  <c r="A158" i="33" l="1"/>
  <c r="C157" i="33"/>
  <c r="K3" i="19" s="1"/>
  <c r="C158" i="33" l="1"/>
  <c r="K4" i="19" s="1"/>
  <c r="A159" i="33"/>
  <c r="A160" i="33" l="1"/>
  <c r="C159" i="33"/>
  <c r="L3" i="19" s="1"/>
  <c r="C160" i="33" l="1"/>
  <c r="L4" i="19" s="1"/>
  <c r="A161" i="33"/>
  <c r="A162" i="33" l="1"/>
  <c r="C161" i="33"/>
  <c r="M4" i="19" s="1"/>
  <c r="C162" i="33" l="1"/>
  <c r="N3" i="19" s="1"/>
  <c r="A163" i="33"/>
  <c r="C163" i="33" l="1"/>
  <c r="N4" i="19" s="1"/>
  <c r="A164" i="33"/>
  <c r="A165" i="33" l="1"/>
  <c r="C164" i="33"/>
  <c r="O4" i="19" s="1"/>
  <c r="A166" i="33" l="1"/>
  <c r="C165" i="33"/>
  <c r="P4" i="19" s="1"/>
  <c r="C166" i="33" l="1"/>
  <c r="Q3" i="19" s="1"/>
  <c r="A167" i="33"/>
  <c r="C167" i="33" l="1"/>
  <c r="Q4" i="19" s="1"/>
  <c r="A168" i="33"/>
  <c r="A169" i="33" l="1"/>
  <c r="C168" i="33"/>
  <c r="R4" i="19" s="1"/>
  <c r="A170" i="33" l="1"/>
  <c r="C169" i="33"/>
  <c r="S4" i="19" s="1"/>
  <c r="C170" i="33" l="1"/>
  <c r="T3" i="19" s="1"/>
  <c r="A171" i="33"/>
  <c r="A172" i="33" l="1"/>
  <c r="C171" i="33"/>
  <c r="T4" i="19" s="1"/>
  <c r="A173" i="33" l="1"/>
  <c r="C172" i="33"/>
  <c r="U4" i="19" s="1"/>
  <c r="A174" i="33" l="1"/>
  <c r="C173" i="33"/>
  <c r="V3" i="19" s="1"/>
  <c r="C174" i="33" l="1"/>
  <c r="V4" i="19" s="1"/>
  <c r="A175" i="33"/>
  <c r="A176" i="33" l="1"/>
  <c r="C175" i="33"/>
  <c r="W4" i="19" s="1"/>
  <c r="C176" i="33" l="1"/>
  <c r="X4" i="19" s="1"/>
  <c r="A177" i="33"/>
  <c r="A178" i="33" l="1"/>
  <c r="C177" i="33"/>
  <c r="Y3" i="19" s="1"/>
  <c r="C178" i="33" l="1"/>
  <c r="Y4" i="19" s="1"/>
  <c r="A179" i="33"/>
  <c r="A180" i="33" l="1"/>
  <c r="C179" i="33"/>
  <c r="Z4" i="19" s="1"/>
  <c r="A181" i="33" l="1"/>
  <c r="C180" i="33"/>
  <c r="AB3" i="19" s="1"/>
  <c r="A182" i="33" l="1"/>
  <c r="C181" i="33"/>
  <c r="AB4" i="19" s="1"/>
  <c r="C182" i="33" l="1"/>
  <c r="AC4" i="19" s="1"/>
  <c r="A183" i="33"/>
  <c r="C183" i="33" l="1"/>
  <c r="AD4" i="19" s="1"/>
  <c r="A184" i="33"/>
  <c r="A185" i="33" l="1"/>
  <c r="C184" i="33"/>
  <c r="AE3" i="19" s="1"/>
  <c r="A186" i="33" l="1"/>
  <c r="C185" i="33"/>
  <c r="AE4" i="19" s="1"/>
  <c r="C186" i="33" l="1"/>
  <c r="AF4" i="19" s="1"/>
  <c r="A187" i="33"/>
  <c r="A188" i="33" l="1"/>
  <c r="C187" i="33"/>
  <c r="AG4" i="19" s="1"/>
  <c r="A189" i="33" l="1"/>
  <c r="C188" i="33"/>
  <c r="AH4" i="19" s="1"/>
  <c r="A190" i="33" l="1"/>
  <c r="C189" i="33"/>
  <c r="AI4" i="19" s="1"/>
  <c r="C190" i="33" l="1"/>
  <c r="AJ4" i="19" s="1"/>
  <c r="A191" i="33"/>
  <c r="C191" i="33" l="1"/>
  <c r="AB1" i="19" s="1"/>
  <c r="A192" i="33"/>
  <c r="A193" i="33" l="1"/>
  <c r="C192" i="33"/>
  <c r="B2" i="12" s="1"/>
  <c r="C14" i="1" s="1"/>
  <c r="A194" i="33" l="1"/>
  <c r="C193" i="33"/>
  <c r="I7" i="12" s="1"/>
  <c r="A195" i="33" l="1"/>
  <c r="C194" i="33"/>
  <c r="I8" i="12" s="1"/>
  <c r="C195" i="33" l="1"/>
  <c r="K31" i="12" s="1"/>
  <c r="A196" i="33"/>
  <c r="C196" i="33" l="1"/>
  <c r="K32" i="12" s="1"/>
  <c r="A197" i="33"/>
  <c r="A198" i="33" l="1"/>
  <c r="C197" i="33"/>
  <c r="K33" i="12" s="1"/>
  <c r="A199" i="33" l="1"/>
  <c r="C198" i="33"/>
  <c r="K34" i="12" s="1"/>
  <c r="C199" i="33" l="1"/>
  <c r="K36" i="12" s="1"/>
  <c r="A200" i="33"/>
  <c r="A201" i="33" l="1"/>
  <c r="C200" i="33"/>
  <c r="K37" i="12" s="1"/>
  <c r="A202" i="33" l="1"/>
  <c r="C201" i="33"/>
  <c r="K38" i="12" s="1"/>
  <c r="A203" i="33" l="1"/>
  <c r="C202" i="33"/>
  <c r="R31" i="12" s="1"/>
  <c r="C203" i="33" l="1"/>
  <c r="R32" i="12" s="1"/>
  <c r="A204" i="33"/>
  <c r="C204" i="33" l="1"/>
  <c r="R33" i="12" s="1"/>
  <c r="A205" i="33"/>
  <c r="A206" i="33" l="1"/>
  <c r="C205" i="33"/>
  <c r="R34" i="12" s="1"/>
  <c r="A207" i="33" l="1"/>
  <c r="C206" i="33"/>
  <c r="B2" i="28" s="1"/>
  <c r="C17" i="1" s="1"/>
  <c r="A208" i="33" l="1"/>
  <c r="C207" i="33"/>
  <c r="B2" i="29" s="1"/>
  <c r="C18" i="1" s="1"/>
  <c r="A209" i="33" l="1"/>
  <c r="C208" i="33"/>
  <c r="B2" i="17" s="1"/>
  <c r="C34" i="1" s="1"/>
  <c r="A210" i="33" l="1"/>
  <c r="C209" i="33"/>
  <c r="B4" i="17" s="1"/>
  <c r="C210" i="33" l="1"/>
  <c r="B5" i="17" s="1"/>
  <c r="A211" i="33"/>
  <c r="C211" i="33" l="1"/>
  <c r="C5" i="17" s="1"/>
  <c r="C19" i="17" s="1"/>
  <c r="A212" i="33"/>
  <c r="A213" i="33" l="1"/>
  <c r="C212" i="33"/>
  <c r="E5" i="17" s="1"/>
  <c r="A214" i="33" l="1"/>
  <c r="C213" i="33"/>
  <c r="F5" i="17" s="1"/>
  <c r="A215" i="33" l="1"/>
  <c r="C214" i="33"/>
  <c r="G5" i="17" s="1"/>
  <c r="G19" i="17" s="1"/>
  <c r="A216" i="33" l="1"/>
  <c r="C215" i="33"/>
  <c r="H5" i="17" s="1"/>
  <c r="H19" i="17" s="1"/>
  <c r="A217" i="33" l="1"/>
  <c r="C216" i="33"/>
  <c r="I5" i="17" s="1"/>
  <c r="C217" i="33" l="1"/>
  <c r="B6" i="17" s="1"/>
  <c r="A218" i="33"/>
  <c r="C218" i="33" l="1"/>
  <c r="B7" i="17" s="1"/>
  <c r="A219" i="33"/>
  <c r="A220" i="33" l="1"/>
  <c r="C219" i="33"/>
  <c r="B8" i="17" s="1"/>
  <c r="A221" i="33" l="1"/>
  <c r="C220" i="33"/>
  <c r="B9" i="17" s="1"/>
  <c r="C221" i="33" l="1"/>
  <c r="B10" i="17" s="1"/>
  <c r="A222" i="33"/>
  <c r="A223" i="33" l="1"/>
  <c r="C222" i="33"/>
  <c r="B11" i="17" s="1"/>
  <c r="A224" i="33" l="1"/>
  <c r="C223" i="33"/>
  <c r="B12" i="17" s="1"/>
  <c r="A225" i="33" l="1"/>
  <c r="C224" i="33"/>
  <c r="B13" i="17" s="1"/>
  <c r="C225" i="33" l="1"/>
  <c r="B14" i="17" s="1"/>
  <c r="A226" i="33"/>
  <c r="C226" i="33" l="1"/>
  <c r="B15" i="17" s="1"/>
  <c r="A227" i="33"/>
  <c r="A228" i="33" l="1"/>
  <c r="C227" i="33"/>
  <c r="C6" i="17" s="1"/>
  <c r="A229" i="33" l="1"/>
  <c r="C228" i="33"/>
  <c r="C7" i="17" s="1"/>
  <c r="C229" i="33" l="1"/>
  <c r="C8" i="17" s="1"/>
  <c r="A230" i="33"/>
  <c r="A231" i="33" l="1"/>
  <c r="C230" i="33"/>
  <c r="C9" i="17" s="1"/>
  <c r="A232" i="33" l="1"/>
  <c r="C231" i="33"/>
  <c r="C10" i="17" s="1"/>
  <c r="A233" i="33" l="1"/>
  <c r="C232" i="33"/>
  <c r="C11" i="17" s="1"/>
  <c r="C233" i="33" l="1"/>
  <c r="C12" i="17" s="1"/>
  <c r="A234" i="33"/>
  <c r="A235" i="33" l="1"/>
  <c r="C234" i="33"/>
  <c r="C13" i="17" s="1"/>
  <c r="A236" i="33" l="1"/>
  <c r="C235" i="33"/>
  <c r="C14" i="17" s="1"/>
  <c r="A237" i="33" l="1"/>
  <c r="C236" i="33"/>
  <c r="C15" i="17" s="1"/>
  <c r="C237" i="33" l="1"/>
  <c r="B18" i="17" s="1"/>
  <c r="A238" i="33"/>
  <c r="A239" i="33" l="1"/>
  <c r="C238" i="33"/>
  <c r="B19" i="17" s="1"/>
  <c r="A240" i="33" l="1"/>
  <c r="C239" i="33"/>
  <c r="C240" i="33" l="1"/>
  <c r="E19" i="17" s="1"/>
  <c r="A241" i="33"/>
  <c r="A242" i="33" l="1"/>
  <c r="C241" i="33"/>
  <c r="B34" i="17" s="1"/>
  <c r="A243" i="33" l="1"/>
  <c r="C242" i="33"/>
  <c r="B35" i="17" s="1"/>
  <c r="A244" i="33" l="1"/>
  <c r="C243" i="33"/>
  <c r="C35" i="17" s="1"/>
  <c r="C244" i="33" l="1"/>
  <c r="D35" i="17" s="1"/>
  <c r="A245" i="33"/>
  <c r="A246" i="33" l="1"/>
  <c r="C245" i="33"/>
  <c r="E35" i="17" s="1"/>
  <c r="A247" i="33" l="1"/>
  <c r="C246" i="33"/>
  <c r="F35" i="17" s="1"/>
  <c r="A248" i="33" l="1"/>
  <c r="C247" i="33"/>
  <c r="G35" i="17" s="1"/>
  <c r="C248" i="33" l="1"/>
  <c r="H35" i="17" s="1"/>
  <c r="A249" i="33"/>
  <c r="C249" i="33" l="1"/>
  <c r="I35" i="17" s="1"/>
  <c r="A250" i="33"/>
  <c r="C250" i="33" l="1"/>
  <c r="J35" i="17" s="1"/>
  <c r="A251" i="33"/>
  <c r="A252" i="33" l="1"/>
  <c r="C251" i="33"/>
  <c r="K35" i="17" s="1"/>
  <c r="C252" i="33" l="1"/>
  <c r="L35" i="17" s="1"/>
  <c r="A253" i="33"/>
  <c r="A254" i="33" l="1"/>
  <c r="C253" i="33"/>
  <c r="M35" i="17" s="1"/>
  <c r="A255" i="33" l="1"/>
  <c r="C254" i="33"/>
  <c r="A256" i="33" l="1"/>
  <c r="C255" i="33"/>
  <c r="O6" i="35"/>
  <c r="B38" i="17"/>
  <c r="B40" i="17"/>
  <c r="B44" i="17"/>
  <c r="B45" i="17"/>
  <c r="B43" i="17"/>
  <c r="B46" i="17"/>
  <c r="B36" i="17"/>
  <c r="B39" i="17"/>
  <c r="B42" i="17"/>
  <c r="B37" i="17"/>
  <c r="B41" i="17"/>
  <c r="C256" i="33" l="1"/>
  <c r="A257" i="33"/>
  <c r="C19" i="35"/>
  <c r="C31" i="35"/>
  <c r="N39" i="17"/>
  <c r="N38" i="17"/>
  <c r="N45" i="17"/>
  <c r="N44" i="17"/>
  <c r="N37" i="17"/>
  <c r="N46" i="17"/>
  <c r="N42" i="17"/>
  <c r="N40" i="17"/>
  <c r="N43" i="17"/>
  <c r="N41" i="17"/>
  <c r="N36" i="17"/>
  <c r="O7" i="35"/>
  <c r="D19" i="35" l="1"/>
  <c r="D31" i="35"/>
  <c r="A258" i="33"/>
  <c r="C257" i="33"/>
  <c r="C258" i="33" l="1"/>
  <c r="A259" i="33"/>
  <c r="E31" i="35"/>
  <c r="E19" i="35"/>
  <c r="F19" i="35" l="1"/>
  <c r="F31" i="35"/>
  <c r="A260" i="33"/>
  <c r="C259" i="33"/>
  <c r="B48" i="17" s="1"/>
  <c r="G19" i="35" l="1"/>
  <c r="G31" i="35"/>
  <c r="A261" i="33"/>
  <c r="C260" i="33"/>
  <c r="B50" i="17" s="1"/>
  <c r="H19" i="35" l="1"/>
  <c r="H31" i="35"/>
  <c r="C261" i="33"/>
  <c r="C50" i="17" s="1"/>
  <c r="A262" i="33"/>
  <c r="I19" i="35" l="1"/>
  <c r="A263" i="33"/>
  <c r="C262" i="33"/>
  <c r="D50" i="17" s="1"/>
  <c r="I31" i="35"/>
  <c r="J19" i="35" l="1"/>
  <c r="J31" i="35"/>
  <c r="A264" i="33"/>
  <c r="C263" i="33"/>
  <c r="E49" i="17" s="1"/>
  <c r="K19" i="35" l="1"/>
  <c r="A265" i="33"/>
  <c r="C264" i="33"/>
  <c r="B62" i="17" s="1"/>
  <c r="K31" i="35"/>
  <c r="C265" i="33" l="1"/>
  <c r="B63" i="17" s="1"/>
  <c r="A266" i="33"/>
  <c r="L31" i="35"/>
  <c r="L19" i="35"/>
  <c r="M19" i="35" l="1"/>
  <c r="M31" i="35"/>
  <c r="C266" i="33"/>
  <c r="C63" i="17" s="1"/>
  <c r="A267" i="33"/>
  <c r="N31" i="35" l="1"/>
  <c r="C267" i="33"/>
  <c r="D63" i="17" s="1"/>
  <c r="A268" i="33"/>
  <c r="N19" i="35"/>
  <c r="O31" i="35" l="1"/>
  <c r="O19" i="35"/>
  <c r="A269" i="33"/>
  <c r="C268" i="33"/>
  <c r="E63" i="17" s="1"/>
  <c r="C269" i="33" l="1"/>
  <c r="F63" i="17" s="1"/>
  <c r="A270" i="33"/>
  <c r="P31" i="35"/>
  <c r="P19" i="35"/>
  <c r="Q19" i="35" l="1"/>
  <c r="Q31" i="35"/>
  <c r="A271" i="33"/>
  <c r="C270" i="33"/>
  <c r="G63" i="17" s="1"/>
  <c r="R19" i="35" l="1"/>
  <c r="A272" i="33"/>
  <c r="C271" i="33"/>
  <c r="B64" i="17" s="1"/>
  <c r="R31" i="35"/>
  <c r="S19" i="35" l="1"/>
  <c r="S31" i="35"/>
  <c r="A273" i="33"/>
  <c r="C272" i="33"/>
  <c r="B65" i="17" s="1"/>
  <c r="T19" i="35" l="1"/>
  <c r="C273" i="33"/>
  <c r="B66" i="17" s="1"/>
  <c r="A274" i="33"/>
  <c r="T31" i="35"/>
  <c r="U19" i="35" l="1"/>
  <c r="U31" i="35"/>
  <c r="C274" i="33"/>
  <c r="B67" i="17" s="1"/>
  <c r="A275" i="33"/>
  <c r="V19" i="35" l="1"/>
  <c r="C275" i="33"/>
  <c r="B68" i="17" s="1"/>
  <c r="A276" i="33"/>
  <c r="V31" i="35"/>
  <c r="W31" i="35" l="1"/>
  <c r="W19" i="35"/>
  <c r="A277" i="33"/>
  <c r="C276" i="33"/>
  <c r="B69" i="17" s="1"/>
  <c r="X31" i="35" l="1"/>
  <c r="C277" i="33"/>
  <c r="B70" i="17" s="1"/>
  <c r="A278" i="33"/>
  <c r="X19" i="35"/>
  <c r="Y31" i="35" l="1"/>
  <c r="Y19" i="35"/>
  <c r="A279" i="33"/>
  <c r="C278" i="33"/>
  <c r="B71" i="17" s="1"/>
  <c r="A280" i="33" l="1"/>
  <c r="C279" i="33"/>
  <c r="C64" i="17" s="1"/>
  <c r="Z31" i="35"/>
  <c r="Z19" i="35"/>
  <c r="A281" i="33" l="1"/>
  <c r="C280" i="33"/>
  <c r="C65" i="17" s="1"/>
  <c r="AA19" i="35"/>
  <c r="AA31" i="35"/>
  <c r="AB31" i="35" l="1"/>
  <c r="C281" i="33"/>
  <c r="C66" i="17" s="1"/>
  <c r="A282" i="33"/>
  <c r="AB19" i="35"/>
  <c r="C282" i="33" l="1"/>
  <c r="C67" i="17" s="1"/>
  <c r="A283" i="33"/>
  <c r="C283" i="33" l="1"/>
  <c r="C69" i="17" s="1"/>
  <c r="A284" i="33"/>
  <c r="A285" i="33" l="1"/>
  <c r="C284" i="33"/>
  <c r="C70" i="17" s="1"/>
  <c r="C285" i="33" l="1"/>
  <c r="C71" i="17" s="1"/>
  <c r="A286" i="33"/>
  <c r="C160" i="35" l="1"/>
  <c r="D160" i="35" s="1"/>
  <c r="E160" i="35" s="1"/>
  <c r="F160" i="35" s="1"/>
  <c r="G160" i="35" s="1"/>
  <c r="H160" i="35" s="1"/>
  <c r="I160" i="35" s="1"/>
  <c r="J160" i="35" s="1"/>
  <c r="K160" i="35" s="1"/>
  <c r="L160" i="35" s="1"/>
  <c r="M160" i="35" s="1"/>
  <c r="N160" i="35" s="1"/>
  <c r="O160" i="35" s="1"/>
  <c r="P160" i="35" s="1"/>
  <c r="Q160" i="35" s="1"/>
  <c r="R160" i="35" s="1"/>
  <c r="S160" i="35" s="1"/>
  <c r="T160" i="35" s="1"/>
  <c r="U160" i="35" s="1"/>
  <c r="V160" i="35" s="1"/>
  <c r="W160" i="35" s="1"/>
  <c r="X160" i="35" s="1"/>
  <c r="Y160" i="35" s="1"/>
  <c r="Z160" i="35" s="1"/>
  <c r="AA160" i="35" s="1"/>
  <c r="AB160" i="35" s="1"/>
  <c r="C178" i="35"/>
  <c r="A287" i="33"/>
  <c r="C286" i="33"/>
  <c r="B73" i="17" s="1"/>
  <c r="A288" i="33" l="1"/>
  <c r="C287" i="33"/>
  <c r="B75" i="17" s="1"/>
  <c r="D178" i="35"/>
  <c r="C182" i="35"/>
  <c r="A289" i="33" l="1"/>
  <c r="C288" i="33"/>
  <c r="C75" i="17" s="1"/>
  <c r="E178" i="35"/>
  <c r="D182" i="35"/>
  <c r="C289" i="33" l="1"/>
  <c r="D75" i="17" s="1"/>
  <c r="A290" i="33"/>
  <c r="F178" i="35"/>
  <c r="E182" i="35"/>
  <c r="G178" i="35" l="1"/>
  <c r="F182" i="35"/>
  <c r="C290" i="33"/>
  <c r="E75" i="17" s="1"/>
  <c r="A291" i="33"/>
  <c r="H178" i="35" l="1"/>
  <c r="G182" i="35"/>
  <c r="A292" i="33"/>
  <c r="C291" i="33"/>
  <c r="F75" i="17" s="1"/>
  <c r="I178" i="35" l="1"/>
  <c r="H182" i="35"/>
  <c r="A293" i="33"/>
  <c r="C292" i="33"/>
  <c r="G75" i="17" s="1"/>
  <c r="C293" i="33" l="1"/>
  <c r="A294" i="33"/>
  <c r="J178" i="35"/>
  <c r="I182" i="35"/>
  <c r="H75" i="17" l="1"/>
  <c r="K75" i="17"/>
  <c r="L75" i="17"/>
  <c r="N75" i="17"/>
  <c r="M75" i="17"/>
  <c r="J75" i="17"/>
  <c r="O75" i="17"/>
  <c r="I75" i="17"/>
  <c r="K178" i="35"/>
  <c r="J182" i="35"/>
  <c r="A295" i="33"/>
  <c r="C294" i="33"/>
  <c r="G82" i="17" s="1"/>
  <c r="L178" i="35" l="1"/>
  <c r="K182" i="35"/>
  <c r="A296" i="33"/>
  <c r="C295" i="33"/>
  <c r="G83" i="17" s="1"/>
  <c r="A297" i="33" l="1"/>
  <c r="C296" i="33"/>
  <c r="I83" i="17" s="1"/>
  <c r="M178" i="35"/>
  <c r="L182" i="35"/>
  <c r="C297" i="33" l="1"/>
  <c r="A298" i="33"/>
  <c r="N178" i="35"/>
  <c r="M182" i="35"/>
  <c r="O178" i="35" l="1"/>
  <c r="N182" i="35"/>
  <c r="A299" i="33"/>
  <c r="C298" i="33"/>
  <c r="B82" i="17" s="1"/>
  <c r="A300" i="33" l="1"/>
  <c r="C299" i="33"/>
  <c r="B83" i="17" s="1"/>
  <c r="O182" i="35"/>
  <c r="P178" i="35"/>
  <c r="C300" i="33" l="1"/>
  <c r="B84" i="17" s="1"/>
  <c r="A301" i="33"/>
  <c r="Q178" i="35"/>
  <c r="P182" i="35"/>
  <c r="R178" i="35" l="1"/>
  <c r="Q182" i="35"/>
  <c r="C301" i="33"/>
  <c r="A302" i="33"/>
  <c r="S178" i="35" l="1"/>
  <c r="R182" i="35"/>
  <c r="A303" i="33"/>
  <c r="C302" i="33"/>
  <c r="A304" i="33" l="1"/>
  <c r="C303" i="33"/>
  <c r="T178" i="35"/>
  <c r="S182" i="35"/>
  <c r="A305" i="33" l="1"/>
  <c r="C304" i="33"/>
  <c r="B1" i="33" s="1"/>
  <c r="C37" i="1" s="1"/>
  <c r="U178" i="35"/>
  <c r="T182" i="35"/>
  <c r="A306" i="33" l="1"/>
  <c r="C305" i="33"/>
  <c r="C1" i="33" s="1"/>
  <c r="V178" i="35"/>
  <c r="U182" i="35"/>
  <c r="C306" i="33" l="1"/>
  <c r="B3" i="33" s="1"/>
  <c r="A307" i="33"/>
  <c r="W178" i="35"/>
  <c r="V182" i="35"/>
  <c r="X178" i="35" l="1"/>
  <c r="W182" i="35"/>
  <c r="C307" i="33"/>
  <c r="B4" i="33" s="1"/>
  <c r="A308" i="33"/>
  <c r="Y178" i="35" l="1"/>
  <c r="X182" i="35"/>
  <c r="A309" i="33"/>
  <c r="C308" i="33"/>
  <c r="B5" i="33" s="1"/>
  <c r="A310" i="33" l="1"/>
  <c r="C309" i="33"/>
  <c r="B6" i="33" s="1"/>
  <c r="Z178" i="35"/>
  <c r="Y182" i="35"/>
  <c r="C310" i="33" l="1"/>
  <c r="B7" i="33" s="1"/>
  <c r="A311" i="33"/>
  <c r="AA178" i="35"/>
  <c r="Z182" i="35"/>
  <c r="AB178" i="35" l="1"/>
  <c r="AB182" i="35" s="1"/>
  <c r="AA182" i="35"/>
  <c r="A312" i="33"/>
  <c r="C311" i="33"/>
  <c r="B2" i="4" s="1"/>
  <c r="C9" i="1" s="1"/>
  <c r="C312" i="33" l="1"/>
  <c r="A313" i="33"/>
  <c r="A314" i="33" l="1"/>
  <c r="C313" i="33"/>
  <c r="A315" i="33" l="1"/>
  <c r="C314" i="33"/>
  <c r="Q34" i="20" l="1"/>
  <c r="M34" i="20"/>
  <c r="P34" i="20"/>
  <c r="O34" i="20"/>
  <c r="AC8" i="4"/>
  <c r="N34" i="20"/>
  <c r="O34" i="12"/>
  <c r="M34" i="12"/>
  <c r="M35" i="18"/>
  <c r="O35" i="18"/>
  <c r="O36" i="5"/>
  <c r="Q34" i="18"/>
  <c r="M32" i="12"/>
  <c r="M33" i="12" s="1"/>
  <c r="O34" i="18"/>
  <c r="P34" i="12"/>
  <c r="N32" i="12"/>
  <c r="N33" i="12" s="1"/>
  <c r="N35" i="18"/>
  <c r="P36" i="5"/>
  <c r="Q31" i="12"/>
  <c r="Q34" i="12"/>
  <c r="N34" i="12"/>
  <c r="Q32" i="12"/>
  <c r="Q33" i="12" s="1"/>
  <c r="P35" i="18"/>
  <c r="Q35" i="18"/>
  <c r="Q36" i="5"/>
  <c r="P31" i="12"/>
  <c r="N31" i="12"/>
  <c r="M34" i="18"/>
  <c r="O31" i="12"/>
  <c r="M31" i="12"/>
  <c r="N34" i="18"/>
  <c r="O32" i="12"/>
  <c r="O33" i="12" s="1"/>
  <c r="N36" i="5"/>
  <c r="M35" i="5"/>
  <c r="M36" i="5"/>
  <c r="P36" i="18"/>
  <c r="P32" i="12"/>
  <c r="P33" i="12" s="1"/>
  <c r="O35" i="5"/>
  <c r="P35" i="5"/>
  <c r="M36" i="18"/>
  <c r="P34" i="18"/>
  <c r="Q35" i="5"/>
  <c r="N35" i="5"/>
  <c r="N36" i="18"/>
  <c r="N35" i="20"/>
  <c r="N37" i="20" s="1"/>
  <c r="M35" i="20"/>
  <c r="M37" i="20" s="1"/>
  <c r="Q35" i="20"/>
  <c r="Q37" i="20" s="1"/>
  <c r="Q36" i="18"/>
  <c r="O36" i="18"/>
  <c r="P35" i="20"/>
  <c r="O35" i="20"/>
  <c r="A316" i="33"/>
  <c r="C315" i="33"/>
  <c r="O37" i="20" l="1"/>
  <c r="P37" i="20"/>
  <c r="P38" i="20" s="1"/>
  <c r="O38" i="18"/>
  <c r="N38" i="20"/>
  <c r="Q38" i="20"/>
  <c r="O38" i="20"/>
  <c r="O36" i="12"/>
  <c r="P36" i="12"/>
  <c r="N36" i="12"/>
  <c r="Q36" i="12"/>
  <c r="F57" i="35"/>
  <c r="F10" i="35"/>
  <c r="B11" i="35" s="1"/>
  <c r="F196" i="35"/>
  <c r="B6" i="35"/>
  <c r="B5" i="35"/>
  <c r="F104" i="35"/>
  <c r="F151" i="35"/>
  <c r="M38" i="18"/>
  <c r="O39" i="18" s="1"/>
  <c r="P38" i="18"/>
  <c r="Q37" i="12"/>
  <c r="N37" i="12"/>
  <c r="O37" i="12"/>
  <c r="P37" i="12"/>
  <c r="Q38" i="12"/>
  <c r="O38" i="12"/>
  <c r="P38" i="12"/>
  <c r="N38" i="12"/>
  <c r="C316" i="33"/>
  <c r="G8" i="4" s="1"/>
  <c r="A317" i="33"/>
  <c r="Q38" i="18"/>
  <c r="N38" i="18"/>
  <c r="N39" i="18" l="1"/>
  <c r="B193" i="35"/>
  <c r="B53" i="35"/>
  <c r="C317" i="33"/>
  <c r="B5" i="4" s="1"/>
  <c r="A318" i="33"/>
  <c r="P39" i="18"/>
  <c r="Q39" i="18"/>
  <c r="B152" i="35"/>
  <c r="B197" i="35"/>
  <c r="B58" i="35"/>
  <c r="B105" i="35" s="1"/>
  <c r="B192" i="35"/>
  <c r="B52" i="35"/>
  <c r="A319" i="33" l="1"/>
  <c r="C318" i="33"/>
  <c r="B6" i="4" s="1"/>
  <c r="B146" i="35"/>
  <c r="B99" i="35"/>
  <c r="B100" i="35"/>
  <c r="B147" i="35"/>
  <c r="C319" i="33" l="1"/>
  <c r="B7" i="4" s="1"/>
  <c r="A320" i="33"/>
  <c r="A321" i="33" l="1"/>
  <c r="C320" i="33"/>
  <c r="B8" i="4" s="1"/>
  <c r="A322" i="33" l="1"/>
  <c r="C321" i="33"/>
  <c r="B9" i="4" s="1"/>
  <c r="A323" i="33" l="1"/>
  <c r="C322" i="33"/>
  <c r="B10" i="4" s="1"/>
  <c r="C323" i="33" l="1"/>
  <c r="B11" i="4" s="1"/>
  <c r="A324" i="33"/>
  <c r="C324" i="33" l="1"/>
  <c r="B12" i="4" s="1"/>
  <c r="A325" i="33"/>
  <c r="C325" i="33" l="1"/>
  <c r="A326" i="33"/>
  <c r="C326" i="33" l="1"/>
  <c r="G18" i="4" s="1" a="1"/>
  <c r="G18" i="4" s="1"/>
  <c r="G14" i="5" s="1"/>
  <c r="A327" i="33"/>
  <c r="G11" i="12" l="1"/>
  <c r="G14" i="18"/>
  <c r="G14" i="20"/>
  <c r="F23" i="4" a="1"/>
  <c r="F23" i="4" s="1"/>
  <c r="F19" i="5" s="1"/>
  <c r="G24" i="4" a="1"/>
  <c r="G24" i="4" s="1"/>
  <c r="G20" i="5" s="1"/>
  <c r="F26" i="4" a="1"/>
  <c r="F26" i="4" s="1"/>
  <c r="G20" i="4" a="1"/>
  <c r="G20" i="4" s="1"/>
  <c r="G16" i="5" s="1"/>
  <c r="G21" i="4" a="1"/>
  <c r="G21" i="4" s="1"/>
  <c r="F20" i="4" a="1"/>
  <c r="F20" i="4" s="1"/>
  <c r="F16" i="5" s="1"/>
  <c r="F25" i="4" a="1"/>
  <c r="F25" i="4" s="1"/>
  <c r="F21" i="5" s="1"/>
  <c r="G26" i="4" a="1"/>
  <c r="G26" i="4" s="1"/>
  <c r="G22" i="4" a="1"/>
  <c r="G22" i="4" s="1"/>
  <c r="G18" i="5" s="1"/>
  <c r="F21" i="4" a="1"/>
  <c r="F21" i="4" s="1"/>
  <c r="G19" i="4" a="1"/>
  <c r="G19" i="4" s="1"/>
  <c r="G15" i="5" s="1"/>
  <c r="G23" i="4" a="1"/>
  <c r="G23" i="4" s="1"/>
  <c r="G19" i="5" s="1"/>
  <c r="G17" i="4" a="1"/>
  <c r="G17" i="4" s="1"/>
  <c r="G13" i="5" s="1"/>
  <c r="F22" i="4" a="1"/>
  <c r="F22" i="4" s="1"/>
  <c r="F18" i="5" s="1"/>
  <c r="F17" i="4" a="1"/>
  <c r="F17" i="4" s="1"/>
  <c r="F13" i="5" s="1"/>
  <c r="A328" i="33"/>
  <c r="C327" i="33"/>
  <c r="G25" i="4" a="1"/>
  <c r="G25" i="4" s="1"/>
  <c r="G21" i="5" s="1"/>
  <c r="F19" i="4" a="1"/>
  <c r="F19" i="4" s="1"/>
  <c r="F15" i="5" s="1"/>
  <c r="F24" i="4" a="1"/>
  <c r="F24" i="4" s="1"/>
  <c r="F20" i="5" s="1"/>
  <c r="F18" i="4" a="1"/>
  <c r="F18" i="4" s="1"/>
  <c r="F14" i="5" s="1"/>
  <c r="G18" i="12" l="1"/>
  <c r="G21" i="20"/>
  <c r="G21" i="18"/>
  <c r="G20" i="18"/>
  <c r="G17" i="12"/>
  <c r="G20" i="20"/>
  <c r="G13" i="18"/>
  <c r="G13" i="20"/>
  <c r="G10" i="12"/>
  <c r="U34" i="5"/>
  <c r="U38" i="5" s="1"/>
  <c r="T34" i="5"/>
  <c r="T38" i="5" s="1"/>
  <c r="S34" i="5"/>
  <c r="S38" i="5" s="1"/>
  <c r="M34" i="5"/>
  <c r="M38" i="5" s="1"/>
  <c r="N34" i="5"/>
  <c r="N38" i="5" s="1"/>
  <c r="O34" i="5"/>
  <c r="O38" i="5" s="1"/>
  <c r="P34" i="5"/>
  <c r="P38" i="5" s="1"/>
  <c r="Q34" i="5"/>
  <c r="Q38" i="5" s="1"/>
  <c r="AB23" i="4"/>
  <c r="Y23" i="4"/>
  <c r="F19" i="20"/>
  <c r="AC23" i="4"/>
  <c r="F19" i="18"/>
  <c r="AA23" i="4"/>
  <c r="F16" i="12"/>
  <c r="Z23" i="4"/>
  <c r="AC24" i="4"/>
  <c r="F17" i="12"/>
  <c r="AA24" i="4"/>
  <c r="Z24" i="4"/>
  <c r="F20" i="18"/>
  <c r="AB24" i="4"/>
  <c r="F20" i="20"/>
  <c r="Y24" i="4"/>
  <c r="C328" i="33"/>
  <c r="E5" i="4" s="1"/>
  <c r="A329" i="33"/>
  <c r="G19" i="18"/>
  <c r="G19" i="20"/>
  <c r="G16" i="12"/>
  <c r="G16" i="18"/>
  <c r="G13" i="12"/>
  <c r="G16" i="20"/>
  <c r="Z22" i="4"/>
  <c r="F18" i="20"/>
  <c r="AA22" i="4"/>
  <c r="AC22" i="4"/>
  <c r="AB22" i="4"/>
  <c r="Y22" i="4"/>
  <c r="F18" i="18"/>
  <c r="F15" i="12"/>
  <c r="Y20" i="4"/>
  <c r="F13" i="12"/>
  <c r="AC20" i="4"/>
  <c r="Z20" i="4"/>
  <c r="AA20" i="4"/>
  <c r="AB20" i="4"/>
  <c r="F16" i="18"/>
  <c r="F16" i="20"/>
  <c r="F14" i="20"/>
  <c r="Y18" i="4"/>
  <c r="AA18" i="4"/>
  <c r="F11" i="12"/>
  <c r="F14" i="18"/>
  <c r="AC18" i="4"/>
  <c r="Z18" i="4"/>
  <c r="AB18" i="4"/>
  <c r="G18" i="20"/>
  <c r="G15" i="12"/>
  <c r="G18" i="18"/>
  <c r="N38" i="4" a="1"/>
  <c r="N38" i="4" s="1"/>
  <c r="N39" i="4" s="1" a="1"/>
  <c r="N39" i="4" s="1"/>
  <c r="F12" i="12"/>
  <c r="AA19" i="4"/>
  <c r="AB19" i="4"/>
  <c r="AC19" i="4"/>
  <c r="Z19" i="4"/>
  <c r="Y19" i="4"/>
  <c r="F15" i="18"/>
  <c r="F15" i="20"/>
  <c r="F10" i="12"/>
  <c r="F13" i="20"/>
  <c r="F13" i="18"/>
  <c r="AB17" i="4"/>
  <c r="Y17" i="4"/>
  <c r="AC17" i="4"/>
  <c r="AA17" i="4"/>
  <c r="Z17" i="4"/>
  <c r="U41" i="4"/>
  <c r="T41" i="4"/>
  <c r="U40" i="4"/>
  <c r="S41" i="4"/>
  <c r="T40" i="4"/>
  <c r="S40" i="4"/>
  <c r="M40" i="4" a="1"/>
  <c r="M40" i="4" s="1"/>
  <c r="O38" i="4" a="1"/>
  <c r="O38" i="4" s="1"/>
  <c r="O39" i="4" s="1" a="1"/>
  <c r="O39" i="4" s="1"/>
  <c r="P41" i="4"/>
  <c r="O41" i="4"/>
  <c r="Q40" i="4" a="1"/>
  <c r="Q40" i="4" s="1"/>
  <c r="P40" i="4" a="1"/>
  <c r="P40" i="4" s="1"/>
  <c r="M38" i="4" a="1"/>
  <c r="M38" i="4" s="1"/>
  <c r="N41" i="4"/>
  <c r="O40" i="4" a="1"/>
  <c r="O40" i="4" s="1"/>
  <c r="M41" i="4"/>
  <c r="P38" i="4" a="1"/>
  <c r="P38" i="4" s="1"/>
  <c r="P39" i="4" s="1" a="1"/>
  <c r="P39" i="4" s="1"/>
  <c r="Q38" i="4" a="1"/>
  <c r="Q38" i="4" s="1"/>
  <c r="Q39" i="4" s="1" a="1"/>
  <c r="Q39" i="4" s="1"/>
  <c r="N40" i="4" a="1"/>
  <c r="N40" i="4" s="1"/>
  <c r="Q41" i="4"/>
  <c r="M39" i="4" a="1"/>
  <c r="M39" i="4" s="1"/>
  <c r="G12" i="12"/>
  <c r="G15" i="18"/>
  <c r="G15" i="20"/>
  <c r="AC25" i="4"/>
  <c r="Z25" i="4"/>
  <c r="Y25" i="4"/>
  <c r="F18" i="12"/>
  <c r="F21" i="20"/>
  <c r="F21" i="18"/>
  <c r="AB25" i="4"/>
  <c r="AA25" i="4"/>
  <c r="W111" i="35" l="1"/>
  <c r="W118" i="35" s="1"/>
  <c r="K111" i="35"/>
  <c r="K118" i="35" s="1"/>
  <c r="R111" i="35"/>
  <c r="R118" i="35" s="1"/>
  <c r="T111" i="35"/>
  <c r="T118" i="35" s="1"/>
  <c r="X111" i="35"/>
  <c r="X118" i="35" s="1"/>
  <c r="D111" i="35"/>
  <c r="D118" i="35" s="1"/>
  <c r="J111" i="35"/>
  <c r="J118" i="35" s="1"/>
  <c r="S111" i="35"/>
  <c r="S118" i="35" s="1"/>
  <c r="C111" i="35"/>
  <c r="C118" i="35" s="1"/>
  <c r="Q111" i="35"/>
  <c r="Q118" i="35" s="1"/>
  <c r="H111" i="35"/>
  <c r="H118" i="35" s="1"/>
  <c r="V111" i="35"/>
  <c r="V118" i="35" s="1"/>
  <c r="O111" i="35"/>
  <c r="O118" i="35" s="1"/>
  <c r="P111" i="35"/>
  <c r="P118" i="35" s="1"/>
  <c r="Z111" i="35"/>
  <c r="Z118" i="35" s="1"/>
  <c r="G111" i="35"/>
  <c r="G118" i="35" s="1"/>
  <c r="L111" i="35"/>
  <c r="L118" i="35" s="1"/>
  <c r="E111" i="35"/>
  <c r="E118" i="35" s="1"/>
  <c r="N111" i="35"/>
  <c r="N118" i="35" s="1"/>
  <c r="M111" i="35"/>
  <c r="M118" i="35" s="1"/>
  <c r="AA111" i="35"/>
  <c r="AA118" i="35" s="1"/>
  <c r="Y111" i="35"/>
  <c r="Y118" i="35" s="1"/>
  <c r="F111" i="35"/>
  <c r="F118" i="35" s="1"/>
  <c r="AB111" i="35"/>
  <c r="AB118" i="35" s="1"/>
  <c r="U111" i="35"/>
  <c r="U118" i="35" s="1"/>
  <c r="I111" i="35"/>
  <c r="I118" i="35" s="1"/>
  <c r="U48" i="4"/>
  <c r="T48" i="4"/>
  <c r="Z38" i="4" a="1"/>
  <c r="Z38" i="4" s="1"/>
  <c r="Z40" i="4" a="1"/>
  <c r="Z40" i="4" s="1"/>
  <c r="AB38" i="4" a="1"/>
  <c r="AB38" i="4" s="1"/>
  <c r="AB40" i="4" a="1"/>
  <c r="AB40" i="4" s="1"/>
  <c r="X167" i="35"/>
  <c r="T84" i="35"/>
  <c r="L167" i="35"/>
  <c r="Q37" i="35"/>
  <c r="I84" i="35"/>
  <c r="J131" i="35"/>
  <c r="Y37" i="35"/>
  <c r="F184" i="35"/>
  <c r="K167" i="35"/>
  <c r="K37" i="35"/>
  <c r="O184" i="35"/>
  <c r="X84" i="35"/>
  <c r="D184" i="35"/>
  <c r="V184" i="35"/>
  <c r="R167" i="35"/>
  <c r="N131" i="35"/>
  <c r="U37" i="35"/>
  <c r="I184" i="35"/>
  <c r="S84" i="35"/>
  <c r="L84" i="35"/>
  <c r="L37" i="35"/>
  <c r="AA131" i="35"/>
  <c r="H84" i="35"/>
  <c r="N37" i="35"/>
  <c r="P131" i="35"/>
  <c r="Z131" i="35"/>
  <c r="O167" i="35"/>
  <c r="E37" i="35"/>
  <c r="U84" i="35"/>
  <c r="R131" i="35"/>
  <c r="AA167" i="35"/>
  <c r="Z84" i="35"/>
  <c r="AB84" i="35"/>
  <c r="P37" i="35"/>
  <c r="H184" i="35"/>
  <c r="L131" i="35"/>
  <c r="J184" i="35"/>
  <c r="AA84" i="35"/>
  <c r="K131" i="35"/>
  <c r="O84" i="35"/>
  <c r="F37" i="35"/>
  <c r="Z37" i="35"/>
  <c r="U184" i="35"/>
  <c r="J84" i="35"/>
  <c r="T37" i="35"/>
  <c r="V37" i="35"/>
  <c r="T184" i="35"/>
  <c r="N39" i="5"/>
  <c r="O37" i="35"/>
  <c r="E84" i="35"/>
  <c r="AB37" i="35"/>
  <c r="W167" i="35"/>
  <c r="I167" i="35"/>
  <c r="R84" i="35"/>
  <c r="O131" i="35"/>
  <c r="Q84" i="35"/>
  <c r="W84" i="35"/>
  <c r="W131" i="35"/>
  <c r="H131" i="35"/>
  <c r="C131" i="35"/>
  <c r="E184" i="35"/>
  <c r="F167" i="35"/>
  <c r="J167" i="35"/>
  <c r="X184" i="35"/>
  <c r="Y167" i="35"/>
  <c r="I131" i="35"/>
  <c r="S131" i="35"/>
  <c r="Z167" i="35"/>
  <c r="C167" i="35"/>
  <c r="N84" i="35"/>
  <c r="X37" i="35"/>
  <c r="AB131" i="35"/>
  <c r="D37" i="35"/>
  <c r="P39" i="5"/>
  <c r="F131" i="35"/>
  <c r="S37" i="35"/>
  <c r="N184" i="35"/>
  <c r="D84" i="35"/>
  <c r="K184" i="35"/>
  <c r="E167" i="35"/>
  <c r="Q184" i="35"/>
  <c r="D131" i="35"/>
  <c r="K84" i="35"/>
  <c r="U131" i="35"/>
  <c r="T167" i="35"/>
  <c r="S184" i="35"/>
  <c r="Y84" i="35"/>
  <c r="L184" i="35"/>
  <c r="N167" i="35"/>
  <c r="G167" i="35"/>
  <c r="AA37" i="35"/>
  <c r="AB167" i="35"/>
  <c r="C37" i="35"/>
  <c r="G37" i="35"/>
  <c r="V84" i="35"/>
  <c r="V131" i="35"/>
  <c r="G84" i="35"/>
  <c r="Q39" i="5"/>
  <c r="J37" i="35"/>
  <c r="I37" i="35"/>
  <c r="M37" i="35"/>
  <c r="P184" i="35"/>
  <c r="Q167" i="35"/>
  <c r="G184" i="35"/>
  <c r="E131" i="35"/>
  <c r="R37" i="35"/>
  <c r="D167" i="35"/>
  <c r="P84" i="35"/>
  <c r="Q131" i="35"/>
  <c r="W184" i="35"/>
  <c r="M184" i="35"/>
  <c r="X131" i="35"/>
  <c r="C184" i="35"/>
  <c r="C84" i="35"/>
  <c r="M84" i="35"/>
  <c r="P167" i="35"/>
  <c r="M167" i="35"/>
  <c r="H167" i="35"/>
  <c r="AB184" i="35"/>
  <c r="Z184" i="35"/>
  <c r="AA184" i="35"/>
  <c r="T131" i="35"/>
  <c r="F84" i="35"/>
  <c r="O39" i="5"/>
  <c r="G131" i="35"/>
  <c r="S167" i="35"/>
  <c r="U167" i="35"/>
  <c r="V167" i="35"/>
  <c r="W37" i="35"/>
  <c r="Y184" i="35"/>
  <c r="M131" i="35"/>
  <c r="H37" i="35"/>
  <c r="Y131" i="35"/>
  <c r="R184" i="35"/>
  <c r="H62" i="35"/>
  <c r="H69" i="35" s="1"/>
  <c r="G156" i="35"/>
  <c r="G163" i="35" s="1"/>
  <c r="N62" i="35"/>
  <c r="N69" i="35" s="1"/>
  <c r="F62" i="35"/>
  <c r="F69" i="35" s="1"/>
  <c r="X156" i="35"/>
  <c r="X163" i="35" s="1"/>
  <c r="O156" i="35"/>
  <c r="O163" i="35" s="1"/>
  <c r="N156" i="35"/>
  <c r="N163" i="35" s="1"/>
  <c r="H156" i="35"/>
  <c r="H163" i="35" s="1"/>
  <c r="P156" i="35"/>
  <c r="P163" i="35" s="1"/>
  <c r="S156" i="35"/>
  <c r="S163" i="35" s="1"/>
  <c r="I156" i="35"/>
  <c r="I163" i="35" s="1"/>
  <c r="E62" i="35"/>
  <c r="E69" i="35" s="1"/>
  <c r="AB156" i="35"/>
  <c r="AB163" i="35" s="1"/>
  <c r="K62" i="35"/>
  <c r="K69" i="35" s="1"/>
  <c r="Y62" i="35"/>
  <c r="Y69" i="35" s="1"/>
  <c r="C156" i="35"/>
  <c r="C163" i="35" s="1"/>
  <c r="C62" i="35"/>
  <c r="C69" i="35" s="1"/>
  <c r="P62" i="35"/>
  <c r="P69" i="35" s="1"/>
  <c r="L156" i="35"/>
  <c r="L163" i="35" s="1"/>
  <c r="J62" i="35"/>
  <c r="J69" i="35" s="1"/>
  <c r="K156" i="35"/>
  <c r="K163" i="35" s="1"/>
  <c r="W156" i="35"/>
  <c r="W163" i="35" s="1"/>
  <c r="T156" i="35"/>
  <c r="T163" i="35" s="1"/>
  <c r="T62" i="35"/>
  <c r="T69" i="35" s="1"/>
  <c r="O62" i="35"/>
  <c r="O69" i="35" s="1"/>
  <c r="V62" i="35"/>
  <c r="V69" i="35" s="1"/>
  <c r="G62" i="35"/>
  <c r="G69" i="35" s="1"/>
  <c r="S62" i="35"/>
  <c r="S69" i="35" s="1"/>
  <c r="Q62" i="35"/>
  <c r="Q69" i="35" s="1"/>
  <c r="D62" i="35"/>
  <c r="D69" i="35" s="1"/>
  <c r="U156" i="35"/>
  <c r="U163" i="35" s="1"/>
  <c r="M62" i="35"/>
  <c r="M69" i="35" s="1"/>
  <c r="Q156" i="35"/>
  <c r="Q163" i="35" s="1"/>
  <c r="D156" i="35"/>
  <c r="D163" i="35" s="1"/>
  <c r="I62" i="35"/>
  <c r="I69" i="35" s="1"/>
  <c r="U62" i="35"/>
  <c r="U69" i="35" s="1"/>
  <c r="R156" i="35"/>
  <c r="R163" i="35" s="1"/>
  <c r="L62" i="35"/>
  <c r="L69" i="35" s="1"/>
  <c r="W62" i="35"/>
  <c r="W69" i="35" s="1"/>
  <c r="AA62" i="35"/>
  <c r="AA69" i="35" s="1"/>
  <c r="R62" i="35"/>
  <c r="R69" i="35" s="1"/>
  <c r="AB62" i="35"/>
  <c r="AB69" i="35" s="1"/>
  <c r="Z62" i="35"/>
  <c r="Z69" i="35" s="1"/>
  <c r="Y156" i="35"/>
  <c r="Y163" i="35" s="1"/>
  <c r="M156" i="35"/>
  <c r="M163" i="35" s="1"/>
  <c r="E156" i="35"/>
  <c r="E163" i="35" s="1"/>
  <c r="X62" i="35"/>
  <c r="X69" i="35" s="1"/>
  <c r="V156" i="35"/>
  <c r="V163" i="35" s="1"/>
  <c r="F156" i="35"/>
  <c r="F163" i="35" s="1"/>
  <c r="J156" i="35"/>
  <c r="J163" i="35" s="1"/>
  <c r="AA156" i="35"/>
  <c r="AA163" i="35" s="1"/>
  <c r="Z156" i="35"/>
  <c r="Z163" i="35" s="1"/>
  <c r="Z64" i="35"/>
  <c r="Z71" i="35" s="1"/>
  <c r="Q64" i="35"/>
  <c r="Q71" i="35" s="1"/>
  <c r="Q158" i="35"/>
  <c r="Q165" i="35" s="1"/>
  <c r="K64" i="35"/>
  <c r="K71" i="35" s="1"/>
  <c r="L158" i="35"/>
  <c r="L165" i="35" s="1"/>
  <c r="M64" i="35"/>
  <c r="M71" i="35" s="1"/>
  <c r="H64" i="35"/>
  <c r="H71" i="35" s="1"/>
  <c r="X158" i="35"/>
  <c r="X165" i="35" s="1"/>
  <c r="J64" i="35"/>
  <c r="J71" i="35" s="1"/>
  <c r="AB158" i="35"/>
  <c r="AB165" i="35" s="1"/>
  <c r="L64" i="35"/>
  <c r="L71" i="35" s="1"/>
  <c r="H158" i="35"/>
  <c r="H165" i="35" s="1"/>
  <c r="E64" i="35"/>
  <c r="E71" i="35" s="1"/>
  <c r="P158" i="35"/>
  <c r="P165" i="35" s="1"/>
  <c r="N64" i="35"/>
  <c r="N71" i="35" s="1"/>
  <c r="V64" i="35"/>
  <c r="V71" i="35" s="1"/>
  <c r="R64" i="35"/>
  <c r="R71" i="35" s="1"/>
  <c r="AA158" i="35"/>
  <c r="AA165" i="35" s="1"/>
  <c r="S158" i="35"/>
  <c r="S165" i="35" s="1"/>
  <c r="D158" i="35"/>
  <c r="D165" i="35" s="1"/>
  <c r="S64" i="35"/>
  <c r="S71" i="35" s="1"/>
  <c r="O158" i="35"/>
  <c r="O165" i="35" s="1"/>
  <c r="I64" i="35"/>
  <c r="I71" i="35" s="1"/>
  <c r="F64" i="35"/>
  <c r="F71" i="35" s="1"/>
  <c r="M158" i="35"/>
  <c r="M165" i="35" s="1"/>
  <c r="C64" i="35"/>
  <c r="C71" i="35" s="1"/>
  <c r="U158" i="35"/>
  <c r="U165" i="35" s="1"/>
  <c r="T64" i="35"/>
  <c r="T71" i="35" s="1"/>
  <c r="D64" i="35"/>
  <c r="D71" i="35" s="1"/>
  <c r="G158" i="35"/>
  <c r="G165" i="35" s="1"/>
  <c r="E158" i="35"/>
  <c r="E165" i="35" s="1"/>
  <c r="Y158" i="35"/>
  <c r="Y165" i="35" s="1"/>
  <c r="X64" i="35"/>
  <c r="X71" i="35" s="1"/>
  <c r="W64" i="35"/>
  <c r="W71" i="35" s="1"/>
  <c r="R158" i="35"/>
  <c r="R165" i="35" s="1"/>
  <c r="Z158" i="35"/>
  <c r="Z165" i="35" s="1"/>
  <c r="J158" i="35"/>
  <c r="J165" i="35" s="1"/>
  <c r="W158" i="35"/>
  <c r="W165" i="35" s="1"/>
  <c r="C158" i="35"/>
  <c r="C165" i="35" s="1"/>
  <c r="AB64" i="35"/>
  <c r="AB71" i="35" s="1"/>
  <c r="Y64" i="35"/>
  <c r="Y71" i="35" s="1"/>
  <c r="F158" i="35"/>
  <c r="F165" i="35" s="1"/>
  <c r="V158" i="35"/>
  <c r="V165" i="35" s="1"/>
  <c r="P64" i="35"/>
  <c r="P71" i="35" s="1"/>
  <c r="U64" i="35"/>
  <c r="U71" i="35" s="1"/>
  <c r="T158" i="35"/>
  <c r="T165" i="35" s="1"/>
  <c r="O64" i="35"/>
  <c r="O71" i="35" s="1"/>
  <c r="I158" i="35"/>
  <c r="I165" i="35" s="1"/>
  <c r="N158" i="35"/>
  <c r="N165" i="35" s="1"/>
  <c r="K158" i="35"/>
  <c r="K165" i="35" s="1"/>
  <c r="G64" i="35"/>
  <c r="G71" i="35" s="1"/>
  <c r="AA64" i="35"/>
  <c r="AA71" i="35" s="1"/>
  <c r="AA38" i="4" a="1"/>
  <c r="AA38" i="4" s="1"/>
  <c r="AA40" i="4" a="1"/>
  <c r="AA40" i="4" s="1"/>
  <c r="AB170" i="35"/>
  <c r="H134" i="35"/>
  <c r="E87" i="35"/>
  <c r="N87" i="35"/>
  <c r="V170" i="35"/>
  <c r="X134" i="35"/>
  <c r="C170" i="35"/>
  <c r="J134" i="35"/>
  <c r="G170" i="35"/>
  <c r="G40" i="35"/>
  <c r="V87" i="35"/>
  <c r="J87" i="35"/>
  <c r="X87" i="35"/>
  <c r="N40" i="35"/>
  <c r="S87" i="35"/>
  <c r="V134" i="35"/>
  <c r="M87" i="35"/>
  <c r="AB134" i="35"/>
  <c r="Z134" i="35"/>
  <c r="U40" i="35"/>
  <c r="O40" i="35"/>
  <c r="U170" i="35"/>
  <c r="Y134" i="35"/>
  <c r="Y40" i="35"/>
  <c r="V40" i="35"/>
  <c r="Z170" i="35"/>
  <c r="W134" i="35"/>
  <c r="L40" i="35"/>
  <c r="D134" i="35"/>
  <c r="J40" i="35"/>
  <c r="W40" i="35"/>
  <c r="G87" i="35"/>
  <c r="H40" i="35"/>
  <c r="AB40" i="35"/>
  <c r="X170" i="35"/>
  <c r="Q170" i="35"/>
  <c r="AA87" i="35"/>
  <c r="W170" i="35"/>
  <c r="E134" i="35"/>
  <c r="I170" i="35"/>
  <c r="AA134" i="35"/>
  <c r="O134" i="35"/>
  <c r="N170" i="35"/>
  <c r="R40" i="35"/>
  <c r="J170" i="35"/>
  <c r="K87" i="35"/>
  <c r="P40" i="35"/>
  <c r="R134" i="35"/>
  <c r="F170" i="35"/>
  <c r="R170" i="35"/>
  <c r="P134" i="35"/>
  <c r="C134" i="35"/>
  <c r="U87" i="35"/>
  <c r="AA170" i="35"/>
  <c r="Q87" i="35"/>
  <c r="Z40" i="35"/>
  <c r="C87" i="35"/>
  <c r="Z87" i="35"/>
  <c r="N134" i="35"/>
  <c r="H87" i="35"/>
  <c r="X40" i="35"/>
  <c r="D87" i="35"/>
  <c r="F40" i="35"/>
  <c r="I40" i="35"/>
  <c r="Y87" i="35"/>
  <c r="Q134" i="35"/>
  <c r="T40" i="35"/>
  <c r="W87" i="35"/>
  <c r="E40" i="35"/>
  <c r="Y170" i="35"/>
  <c r="I134" i="35"/>
  <c r="U134" i="35"/>
  <c r="T170" i="35"/>
  <c r="F87" i="35"/>
  <c r="S170" i="35"/>
  <c r="K134" i="35"/>
  <c r="AB87" i="35"/>
  <c r="C40" i="35"/>
  <c r="T87" i="35"/>
  <c r="AA40" i="35"/>
  <c r="R87" i="35"/>
  <c r="P87" i="35"/>
  <c r="S134" i="35"/>
  <c r="L87" i="35"/>
  <c r="E170" i="35"/>
  <c r="O87" i="35"/>
  <c r="G134" i="35"/>
  <c r="M134" i="35"/>
  <c r="D170" i="35"/>
  <c r="F134" i="35"/>
  <c r="K40" i="35"/>
  <c r="T134" i="35"/>
  <c r="D40" i="35"/>
  <c r="O170" i="35"/>
  <c r="I87" i="35"/>
  <c r="M40" i="35"/>
  <c r="L170" i="35"/>
  <c r="H170" i="35"/>
  <c r="S40" i="35"/>
  <c r="K170" i="35"/>
  <c r="M170" i="35"/>
  <c r="Q40" i="35"/>
  <c r="P170" i="35"/>
  <c r="L134" i="35"/>
  <c r="U39" i="5"/>
  <c r="T39" i="5"/>
  <c r="E108" i="35"/>
  <c r="E115" i="35" s="1"/>
  <c r="X108" i="35"/>
  <c r="X115" i="35" s="1"/>
  <c r="G108" i="35"/>
  <c r="G115" i="35" s="1"/>
  <c r="Z108" i="35"/>
  <c r="Z115" i="35" s="1"/>
  <c r="T108" i="35"/>
  <c r="T115" i="35" s="1"/>
  <c r="L108" i="35"/>
  <c r="L115" i="35" s="1"/>
  <c r="Q108" i="35"/>
  <c r="Q115" i="35" s="1"/>
  <c r="Y108" i="35"/>
  <c r="Y115" i="35" s="1"/>
  <c r="AA108" i="35"/>
  <c r="AA115" i="35" s="1"/>
  <c r="I108" i="35"/>
  <c r="I115" i="35" s="1"/>
  <c r="N108" i="35"/>
  <c r="N115" i="35" s="1"/>
  <c r="O108" i="35"/>
  <c r="O115" i="35" s="1"/>
  <c r="P108" i="35"/>
  <c r="P115" i="35" s="1"/>
  <c r="V108" i="35"/>
  <c r="V115" i="35" s="1"/>
  <c r="M108" i="35"/>
  <c r="M115" i="35" s="1"/>
  <c r="C108" i="35"/>
  <c r="C115" i="35" s="1"/>
  <c r="H108" i="35"/>
  <c r="H115" i="35" s="1"/>
  <c r="F108" i="35"/>
  <c r="F115" i="35" s="1"/>
  <c r="AB108" i="35"/>
  <c r="AB115" i="35" s="1"/>
  <c r="K108" i="35"/>
  <c r="K115" i="35" s="1"/>
  <c r="W108" i="35"/>
  <c r="W115" i="35" s="1"/>
  <c r="J108" i="35"/>
  <c r="J115" i="35" s="1"/>
  <c r="D108" i="35"/>
  <c r="D115" i="35" s="1"/>
  <c r="S108" i="35"/>
  <c r="S115" i="35" s="1"/>
  <c r="U108" i="35"/>
  <c r="U115" i="35" s="1"/>
  <c r="R108" i="35"/>
  <c r="R115" i="35" s="1"/>
  <c r="R109" i="35"/>
  <c r="R116" i="35" s="1"/>
  <c r="Q109" i="35"/>
  <c r="Q116" i="35" s="1"/>
  <c r="E109" i="35"/>
  <c r="E116" i="35" s="1"/>
  <c r="H109" i="35"/>
  <c r="H116" i="35" s="1"/>
  <c r="Z109" i="35"/>
  <c r="Z116" i="35" s="1"/>
  <c r="AA109" i="35"/>
  <c r="AA116" i="35" s="1"/>
  <c r="I109" i="35"/>
  <c r="I116" i="35" s="1"/>
  <c r="P109" i="35"/>
  <c r="P116" i="35" s="1"/>
  <c r="O109" i="35"/>
  <c r="O116" i="35" s="1"/>
  <c r="G109" i="35"/>
  <c r="G116" i="35" s="1"/>
  <c r="U109" i="35"/>
  <c r="U116" i="35" s="1"/>
  <c r="T109" i="35"/>
  <c r="T116" i="35" s="1"/>
  <c r="K109" i="35"/>
  <c r="K116" i="35" s="1"/>
  <c r="N109" i="35"/>
  <c r="N116" i="35" s="1"/>
  <c r="V109" i="35"/>
  <c r="V116" i="35" s="1"/>
  <c r="L109" i="35"/>
  <c r="L116" i="35" s="1"/>
  <c r="M109" i="35"/>
  <c r="M116" i="35" s="1"/>
  <c r="J109" i="35"/>
  <c r="J116" i="35" s="1"/>
  <c r="F109" i="35"/>
  <c r="F116" i="35" s="1"/>
  <c r="C109" i="35"/>
  <c r="C116" i="35" s="1"/>
  <c r="W109" i="35"/>
  <c r="W116" i="35" s="1"/>
  <c r="Y109" i="35"/>
  <c r="Y116" i="35" s="1"/>
  <c r="X109" i="35"/>
  <c r="X116" i="35" s="1"/>
  <c r="S109" i="35"/>
  <c r="S116" i="35" s="1"/>
  <c r="D109" i="35"/>
  <c r="D116" i="35" s="1"/>
  <c r="AB109" i="35"/>
  <c r="AB116" i="35" s="1"/>
  <c r="T47" i="4"/>
  <c r="U47" i="4"/>
  <c r="AC40" i="4" a="1"/>
  <c r="AC40" i="4" s="1"/>
  <c r="AC38" i="4" a="1"/>
  <c r="AC38" i="4" s="1"/>
  <c r="A330" i="33"/>
  <c r="C329" i="33"/>
  <c r="B14" i="4" s="1"/>
  <c r="B10" i="5" s="1"/>
  <c r="P86" i="35"/>
  <c r="X39" i="35"/>
  <c r="P186" i="35"/>
  <c r="X169" i="35"/>
  <c r="U169" i="35"/>
  <c r="J86" i="35"/>
  <c r="H133" i="35"/>
  <c r="AB39" i="35"/>
  <c r="C133" i="35"/>
  <c r="D169" i="35"/>
  <c r="D133" i="35"/>
  <c r="AB86" i="35"/>
  <c r="AA86" i="35"/>
  <c r="O133" i="35"/>
  <c r="M169" i="35"/>
  <c r="R39" i="35"/>
  <c r="J169" i="35"/>
  <c r="D39" i="35"/>
  <c r="AB169" i="35"/>
  <c r="E169" i="35"/>
  <c r="F169" i="35"/>
  <c r="I186" i="35"/>
  <c r="I39" i="35"/>
  <c r="Q133" i="35"/>
  <c r="L39" i="35"/>
  <c r="G86" i="35"/>
  <c r="V169" i="35"/>
  <c r="E133" i="35"/>
  <c r="U86" i="35"/>
  <c r="X86" i="35"/>
  <c r="N186" i="35"/>
  <c r="F133" i="35"/>
  <c r="Q169" i="35"/>
  <c r="Z186" i="35"/>
  <c r="V133" i="35"/>
  <c r="Y86" i="35"/>
  <c r="W169" i="35"/>
  <c r="V186" i="35"/>
  <c r="W86" i="35"/>
  <c r="T39" i="35"/>
  <c r="C39" i="35"/>
  <c r="E86" i="35"/>
  <c r="Y39" i="35"/>
  <c r="O186" i="35"/>
  <c r="E186" i="35"/>
  <c r="Z133" i="35"/>
  <c r="U133" i="35"/>
  <c r="W186" i="35"/>
  <c r="H186" i="35"/>
  <c r="G186" i="35"/>
  <c r="P169" i="35"/>
  <c r="G133" i="35"/>
  <c r="J133" i="35"/>
  <c r="K186" i="35"/>
  <c r="Q86" i="35"/>
  <c r="T169" i="35"/>
  <c r="P39" i="35"/>
  <c r="AA186" i="35"/>
  <c r="Q39" i="35"/>
  <c r="F186" i="35"/>
  <c r="Z39" i="35"/>
  <c r="R169" i="35"/>
  <c r="T86" i="35"/>
  <c r="K86" i="35"/>
  <c r="I169" i="35"/>
  <c r="O39" i="35"/>
  <c r="AA169" i="35"/>
  <c r="M86" i="35"/>
  <c r="G169" i="35"/>
  <c r="Q186" i="35"/>
  <c r="K133" i="35"/>
  <c r="K169" i="35"/>
  <c r="X186" i="35"/>
  <c r="R86" i="35"/>
  <c r="O169" i="35"/>
  <c r="M39" i="35"/>
  <c r="H169" i="35"/>
  <c r="N169" i="35"/>
  <c r="S86" i="35"/>
  <c r="L169" i="35"/>
  <c r="J186" i="35"/>
  <c r="V86" i="35"/>
  <c r="V39" i="35"/>
  <c r="M186" i="35"/>
  <c r="Z86" i="35"/>
  <c r="S169" i="35"/>
  <c r="U186" i="35"/>
  <c r="C169" i="35"/>
  <c r="Y169" i="35"/>
  <c r="D86" i="35"/>
  <c r="L133" i="35"/>
  <c r="F86" i="35"/>
  <c r="AB186" i="35"/>
  <c r="H39" i="35"/>
  <c r="S39" i="35"/>
  <c r="J39" i="35"/>
  <c r="I133" i="35"/>
  <c r="G39" i="35"/>
  <c r="N39" i="35"/>
  <c r="Y186" i="35"/>
  <c r="S186" i="35"/>
  <c r="AB133" i="35"/>
  <c r="N133" i="35"/>
  <c r="S133" i="35"/>
  <c r="W133" i="35"/>
  <c r="Z169" i="35"/>
  <c r="C86" i="35"/>
  <c r="O86" i="35"/>
  <c r="L86" i="35"/>
  <c r="N86" i="35"/>
  <c r="X133" i="35"/>
  <c r="U39" i="35"/>
  <c r="R133" i="35"/>
  <c r="H86" i="35"/>
  <c r="AA133" i="35"/>
  <c r="W39" i="35"/>
  <c r="M133" i="35"/>
  <c r="E39" i="35"/>
  <c r="L186" i="35"/>
  <c r="T133" i="35"/>
  <c r="K39" i="35"/>
  <c r="AA39" i="35"/>
  <c r="P133" i="35"/>
  <c r="R186" i="35"/>
  <c r="C186" i="35"/>
  <c r="I86" i="35"/>
  <c r="F39" i="35"/>
  <c r="Y133" i="35"/>
  <c r="D186" i="35"/>
  <c r="T186" i="35"/>
  <c r="K107" i="35"/>
  <c r="K114" i="35" s="1"/>
  <c r="O48" i="4"/>
  <c r="N48" i="4"/>
  <c r="Q48" i="4"/>
  <c r="T107" i="35"/>
  <c r="T114" i="35" s="1"/>
  <c r="Q107" i="35"/>
  <c r="Q114" i="35" s="1"/>
  <c r="H107" i="35"/>
  <c r="H114" i="35" s="1"/>
  <c r="O107" i="35"/>
  <c r="O114" i="35" s="1"/>
  <c r="Z107" i="35"/>
  <c r="Z114" i="35" s="1"/>
  <c r="J107" i="35"/>
  <c r="J114" i="35" s="1"/>
  <c r="V107" i="35"/>
  <c r="V114" i="35" s="1"/>
  <c r="R107" i="35"/>
  <c r="R114" i="35" s="1"/>
  <c r="I107" i="35"/>
  <c r="I114" i="35" s="1"/>
  <c r="D107" i="35"/>
  <c r="D114" i="35" s="1"/>
  <c r="P48" i="4"/>
  <c r="W107" i="35"/>
  <c r="W114" i="35" s="1"/>
  <c r="P107" i="35"/>
  <c r="P114" i="35" s="1"/>
  <c r="C107" i="35"/>
  <c r="C114" i="35" s="1"/>
  <c r="M107" i="35"/>
  <c r="M114" i="35" s="1"/>
  <c r="U107" i="35"/>
  <c r="U114" i="35" s="1"/>
  <c r="X107" i="35"/>
  <c r="X114" i="35" s="1"/>
  <c r="Y107" i="35"/>
  <c r="Y114" i="35" s="1"/>
  <c r="G107" i="35"/>
  <c r="G114" i="35" s="1"/>
  <c r="S107" i="35"/>
  <c r="S114" i="35" s="1"/>
  <c r="AB107" i="35"/>
  <c r="AB114" i="35" s="1"/>
  <c r="E107" i="35"/>
  <c r="E114" i="35" s="1"/>
  <c r="N107" i="35"/>
  <c r="N114" i="35" s="1"/>
  <c r="AA107" i="35"/>
  <c r="AA114" i="35" s="1"/>
  <c r="L107" i="35"/>
  <c r="L114" i="35" s="1"/>
  <c r="F107" i="35"/>
  <c r="F114" i="35" s="1"/>
  <c r="S157" i="35"/>
  <c r="S164" i="35" s="1"/>
  <c r="AA157" i="35"/>
  <c r="AA164" i="35" s="1"/>
  <c r="Z63" i="35"/>
  <c r="Z70" i="35" s="1"/>
  <c r="J157" i="35"/>
  <c r="J164" i="35" s="1"/>
  <c r="AA63" i="35"/>
  <c r="AA70" i="35" s="1"/>
  <c r="R157" i="35"/>
  <c r="R164" i="35" s="1"/>
  <c r="L157" i="35"/>
  <c r="L164" i="35" s="1"/>
  <c r="U63" i="35"/>
  <c r="U70" i="35" s="1"/>
  <c r="P157" i="35"/>
  <c r="P164" i="35" s="1"/>
  <c r="T157" i="35"/>
  <c r="T164" i="35" s="1"/>
  <c r="AB63" i="35"/>
  <c r="AB70" i="35" s="1"/>
  <c r="K157" i="35"/>
  <c r="K164" i="35" s="1"/>
  <c r="V157" i="35"/>
  <c r="V164" i="35" s="1"/>
  <c r="M157" i="35"/>
  <c r="M164" i="35" s="1"/>
  <c r="W63" i="35"/>
  <c r="W70" i="35" s="1"/>
  <c r="M63" i="35"/>
  <c r="M70" i="35" s="1"/>
  <c r="O63" i="35"/>
  <c r="O70" i="35" s="1"/>
  <c r="Q157" i="35"/>
  <c r="Q164" i="35" s="1"/>
  <c r="V63" i="35"/>
  <c r="V70" i="35" s="1"/>
  <c r="C63" i="35"/>
  <c r="C70" i="35" s="1"/>
  <c r="E157" i="35"/>
  <c r="E164" i="35" s="1"/>
  <c r="I63" i="35"/>
  <c r="I70" i="35" s="1"/>
  <c r="G157" i="35"/>
  <c r="G164" i="35" s="1"/>
  <c r="H157" i="35"/>
  <c r="H164" i="35" s="1"/>
  <c r="E63" i="35"/>
  <c r="E70" i="35" s="1"/>
  <c r="N157" i="35"/>
  <c r="N164" i="35" s="1"/>
  <c r="F63" i="35"/>
  <c r="F70" i="35" s="1"/>
  <c r="H63" i="35"/>
  <c r="H70" i="35" s="1"/>
  <c r="W157" i="35"/>
  <c r="W164" i="35" s="1"/>
  <c r="P63" i="35"/>
  <c r="P70" i="35" s="1"/>
  <c r="D157" i="35"/>
  <c r="D164" i="35" s="1"/>
  <c r="Y63" i="35"/>
  <c r="Y70" i="35" s="1"/>
  <c r="F157" i="35"/>
  <c r="F164" i="35" s="1"/>
  <c r="AB157" i="35"/>
  <c r="AB164" i="35" s="1"/>
  <c r="J63" i="35"/>
  <c r="J70" i="35" s="1"/>
  <c r="Q63" i="35"/>
  <c r="Q70" i="35" s="1"/>
  <c r="Y157" i="35"/>
  <c r="Y164" i="35" s="1"/>
  <c r="C157" i="35"/>
  <c r="C164" i="35" s="1"/>
  <c r="R63" i="35"/>
  <c r="R70" i="35" s="1"/>
  <c r="X63" i="35"/>
  <c r="X70" i="35" s="1"/>
  <c r="O157" i="35"/>
  <c r="O164" i="35" s="1"/>
  <c r="U157" i="35"/>
  <c r="U164" i="35" s="1"/>
  <c r="I157" i="35"/>
  <c r="I164" i="35" s="1"/>
  <c r="K63" i="35"/>
  <c r="K70" i="35" s="1"/>
  <c r="X157" i="35"/>
  <c r="X164" i="35" s="1"/>
  <c r="D63" i="35"/>
  <c r="D70" i="35" s="1"/>
  <c r="T63" i="35"/>
  <c r="T70" i="35" s="1"/>
  <c r="S63" i="35"/>
  <c r="S70" i="35" s="1"/>
  <c r="Z157" i="35"/>
  <c r="Z164" i="35" s="1"/>
  <c r="N63" i="35"/>
  <c r="N70" i="35" s="1"/>
  <c r="G63" i="35"/>
  <c r="G70" i="35" s="1"/>
  <c r="L63" i="35"/>
  <c r="L70" i="35" s="1"/>
  <c r="C88" i="35"/>
  <c r="C171" i="35"/>
  <c r="T88" i="35"/>
  <c r="Q135" i="35"/>
  <c r="P88" i="35"/>
  <c r="O171" i="35"/>
  <c r="G171" i="35"/>
  <c r="H135" i="35"/>
  <c r="N41" i="35"/>
  <c r="Z41" i="35"/>
  <c r="F171" i="35"/>
  <c r="Z171" i="35"/>
  <c r="W88" i="35"/>
  <c r="R88" i="35"/>
  <c r="D135" i="35"/>
  <c r="AB41" i="35"/>
  <c r="AA171" i="35"/>
  <c r="K171" i="35"/>
  <c r="Z88" i="35"/>
  <c r="T171" i="35"/>
  <c r="W135" i="35"/>
  <c r="V135" i="35"/>
  <c r="X135" i="35"/>
  <c r="D88" i="35"/>
  <c r="U135" i="35"/>
  <c r="T41" i="35"/>
  <c r="E88" i="35"/>
  <c r="I171" i="35"/>
  <c r="C41" i="35"/>
  <c r="V88" i="35"/>
  <c r="AA41" i="35"/>
  <c r="U41" i="35"/>
  <c r="J41" i="35"/>
  <c r="N135" i="35"/>
  <c r="X171" i="35"/>
  <c r="R41" i="35"/>
  <c r="R135" i="35"/>
  <c r="W171" i="35"/>
  <c r="X88" i="35"/>
  <c r="S135" i="35"/>
  <c r="L41" i="35"/>
  <c r="AA135" i="35"/>
  <c r="H171" i="35"/>
  <c r="H41" i="35"/>
  <c r="Y171" i="35"/>
  <c r="Q88" i="35"/>
  <c r="G88" i="35"/>
  <c r="C135" i="35"/>
  <c r="L171" i="35"/>
  <c r="N171" i="35"/>
  <c r="U171" i="35"/>
  <c r="D171" i="35"/>
  <c r="F41" i="35"/>
  <c r="K88" i="35"/>
  <c r="J171" i="35"/>
  <c r="Q171" i="35"/>
  <c r="X41" i="35"/>
  <c r="J135" i="35"/>
  <c r="T135" i="35"/>
  <c r="AB88" i="35"/>
  <c r="K41" i="35"/>
  <c r="O88" i="35"/>
  <c r="V41" i="35"/>
  <c r="G41" i="35"/>
  <c r="F88" i="35"/>
  <c r="P41" i="35"/>
  <c r="I41" i="35"/>
  <c r="G135" i="35"/>
  <c r="N88" i="35"/>
  <c r="AB135" i="35"/>
  <c r="Y135" i="35"/>
  <c r="Q41" i="35"/>
  <c r="D41" i="35"/>
  <c r="J88" i="35"/>
  <c r="M88" i="35"/>
  <c r="R171" i="35"/>
  <c r="M41" i="35"/>
  <c r="F135" i="35"/>
  <c r="Y41" i="35"/>
  <c r="I88" i="35"/>
  <c r="E41" i="35"/>
  <c r="M171" i="35"/>
  <c r="H88" i="35"/>
  <c r="S171" i="35"/>
  <c r="L88" i="35"/>
  <c r="M135" i="35"/>
  <c r="Y88" i="35"/>
  <c r="U88" i="35"/>
  <c r="Z135" i="35"/>
  <c r="P135" i="35"/>
  <c r="E135" i="35"/>
  <c r="AA88" i="35"/>
  <c r="K135" i="35"/>
  <c r="AB171" i="35"/>
  <c r="E171" i="35"/>
  <c r="O41" i="35"/>
  <c r="O135" i="35"/>
  <c r="S88" i="35"/>
  <c r="L135" i="35"/>
  <c r="S41" i="35"/>
  <c r="W41" i="35"/>
  <c r="I135" i="35"/>
  <c r="V171" i="35"/>
  <c r="P171" i="35"/>
  <c r="K61" i="35"/>
  <c r="K68" i="35" s="1"/>
  <c r="G155" i="35"/>
  <c r="G162" i="35" s="1"/>
  <c r="E61" i="35"/>
  <c r="E68" i="35" s="1"/>
  <c r="T155" i="35"/>
  <c r="T162" i="35" s="1"/>
  <c r="Z61" i="35"/>
  <c r="Z68" i="35" s="1"/>
  <c r="N155" i="35"/>
  <c r="N162" i="35" s="1"/>
  <c r="M155" i="35"/>
  <c r="M162" i="35" s="1"/>
  <c r="V155" i="35"/>
  <c r="V162" i="35" s="1"/>
  <c r="AA61" i="35"/>
  <c r="AA68" i="35" s="1"/>
  <c r="J155" i="35"/>
  <c r="J162" i="35" s="1"/>
  <c r="U155" i="35"/>
  <c r="U162" i="35" s="1"/>
  <c r="AA155" i="35"/>
  <c r="AA162" i="35" s="1"/>
  <c r="P61" i="35"/>
  <c r="P68" i="35" s="1"/>
  <c r="AB61" i="35"/>
  <c r="AB68" i="35" s="1"/>
  <c r="W61" i="35"/>
  <c r="W68" i="35" s="1"/>
  <c r="S155" i="35"/>
  <c r="S162" i="35" s="1"/>
  <c r="M61" i="35"/>
  <c r="M68" i="35" s="1"/>
  <c r="AB155" i="35"/>
  <c r="AB162" i="35" s="1"/>
  <c r="W155" i="35"/>
  <c r="W162" i="35" s="1"/>
  <c r="F155" i="35"/>
  <c r="F162" i="35" s="1"/>
  <c r="H155" i="35"/>
  <c r="H162" i="35" s="1"/>
  <c r="X155" i="35"/>
  <c r="X162" i="35" s="1"/>
  <c r="Q61" i="35"/>
  <c r="Q68" i="35" s="1"/>
  <c r="L155" i="35"/>
  <c r="L162" i="35" s="1"/>
  <c r="P155" i="35"/>
  <c r="P162" i="35" s="1"/>
  <c r="E155" i="35"/>
  <c r="E162" i="35" s="1"/>
  <c r="X61" i="35"/>
  <c r="X68" i="35" s="1"/>
  <c r="R155" i="35"/>
  <c r="R162" i="35" s="1"/>
  <c r="R61" i="35"/>
  <c r="R68" i="35" s="1"/>
  <c r="S61" i="35"/>
  <c r="S68" i="35" s="1"/>
  <c r="I61" i="35"/>
  <c r="I68" i="35" s="1"/>
  <c r="C61" i="35"/>
  <c r="C68" i="35" s="1"/>
  <c r="Z155" i="35"/>
  <c r="Z162" i="35" s="1"/>
  <c r="K155" i="35"/>
  <c r="K162" i="35" s="1"/>
  <c r="D61" i="35"/>
  <c r="D68" i="35" s="1"/>
  <c r="T61" i="35"/>
  <c r="T68" i="35" s="1"/>
  <c r="U61" i="35"/>
  <c r="U68" i="35" s="1"/>
  <c r="O155" i="35"/>
  <c r="O162" i="35" s="1"/>
  <c r="O61" i="35"/>
  <c r="O68" i="35" s="1"/>
  <c r="J61" i="35"/>
  <c r="J68" i="35" s="1"/>
  <c r="G61" i="35"/>
  <c r="G68" i="35" s="1"/>
  <c r="Q155" i="35"/>
  <c r="Q162" i="35" s="1"/>
  <c r="L61" i="35"/>
  <c r="L68" i="35" s="1"/>
  <c r="F61" i="35"/>
  <c r="F68" i="35" s="1"/>
  <c r="I155" i="35"/>
  <c r="I162" i="35" s="1"/>
  <c r="V61" i="35"/>
  <c r="V68" i="35" s="1"/>
  <c r="H61" i="35"/>
  <c r="H68" i="35" s="1"/>
  <c r="Y61" i="35"/>
  <c r="Y68" i="35" s="1"/>
  <c r="Y155" i="35"/>
  <c r="Y162" i="35" s="1"/>
  <c r="C155" i="35"/>
  <c r="C162" i="35" s="1"/>
  <c r="D155" i="35"/>
  <c r="D162" i="35" s="1"/>
  <c r="N61" i="35"/>
  <c r="N68" i="35" s="1"/>
  <c r="T60" i="35"/>
  <c r="T67" i="35" s="1"/>
  <c r="H60" i="35"/>
  <c r="H67" i="35" s="1"/>
  <c r="P47" i="4"/>
  <c r="F154" i="35"/>
  <c r="F161" i="35" s="1"/>
  <c r="D154" i="35"/>
  <c r="D161" i="35" s="1"/>
  <c r="Y60" i="35"/>
  <c r="Y67" i="35" s="1"/>
  <c r="Q60" i="35"/>
  <c r="Q67" i="35" s="1"/>
  <c r="AA154" i="35"/>
  <c r="AA161" i="35" s="1"/>
  <c r="Z60" i="35"/>
  <c r="Z67" i="35" s="1"/>
  <c r="Q47" i="4"/>
  <c r="V60" i="35"/>
  <c r="V67" i="35" s="1"/>
  <c r="G60" i="35"/>
  <c r="G67" i="35" s="1"/>
  <c r="AB60" i="35"/>
  <c r="AB67" i="35" s="1"/>
  <c r="J60" i="35"/>
  <c r="J67" i="35" s="1"/>
  <c r="E154" i="35"/>
  <c r="E161" i="35" s="1"/>
  <c r="H154" i="35"/>
  <c r="H161" i="35" s="1"/>
  <c r="L60" i="35"/>
  <c r="L67" i="35" s="1"/>
  <c r="X154" i="35"/>
  <c r="X161" i="35" s="1"/>
  <c r="D60" i="35"/>
  <c r="D67" i="35" s="1"/>
  <c r="M154" i="35"/>
  <c r="M161" i="35" s="1"/>
  <c r="N60" i="35"/>
  <c r="N67" i="35" s="1"/>
  <c r="F60" i="35"/>
  <c r="F67" i="35" s="1"/>
  <c r="O47" i="4"/>
  <c r="W154" i="35"/>
  <c r="W161" i="35" s="1"/>
  <c r="T154" i="35"/>
  <c r="T161" i="35" s="1"/>
  <c r="S154" i="35"/>
  <c r="S161" i="35" s="1"/>
  <c r="I60" i="35"/>
  <c r="I67" i="35" s="1"/>
  <c r="K60" i="35"/>
  <c r="K67" i="35" s="1"/>
  <c r="W60" i="35"/>
  <c r="W67" i="35" s="1"/>
  <c r="P60" i="35"/>
  <c r="P67" i="35" s="1"/>
  <c r="Y154" i="35"/>
  <c r="Y161" i="35" s="1"/>
  <c r="U154" i="35"/>
  <c r="U161" i="35" s="1"/>
  <c r="P154" i="35"/>
  <c r="P161" i="35" s="1"/>
  <c r="N154" i="35"/>
  <c r="N161" i="35" s="1"/>
  <c r="G154" i="35"/>
  <c r="G161" i="35" s="1"/>
  <c r="Z154" i="35"/>
  <c r="Z161" i="35" s="1"/>
  <c r="C154" i="35"/>
  <c r="C161" i="35" s="1"/>
  <c r="O154" i="35"/>
  <c r="O161" i="35" s="1"/>
  <c r="M60" i="35"/>
  <c r="M67" i="35" s="1"/>
  <c r="C60" i="35"/>
  <c r="C67" i="35" s="1"/>
  <c r="X60" i="35"/>
  <c r="X67" i="35" s="1"/>
  <c r="L154" i="35"/>
  <c r="L161" i="35" s="1"/>
  <c r="AA60" i="35"/>
  <c r="AA67" i="35" s="1"/>
  <c r="U60" i="35"/>
  <c r="U67" i="35" s="1"/>
  <c r="R154" i="35"/>
  <c r="R161" i="35" s="1"/>
  <c r="I154" i="35"/>
  <c r="I161" i="35" s="1"/>
  <c r="N47" i="4"/>
  <c r="S60" i="35"/>
  <c r="S67" i="35" s="1"/>
  <c r="AB154" i="35"/>
  <c r="AB161" i="35" s="1"/>
  <c r="Q154" i="35"/>
  <c r="Q161" i="35" s="1"/>
  <c r="K154" i="35"/>
  <c r="K161" i="35" s="1"/>
  <c r="J154" i="35"/>
  <c r="J161" i="35" s="1"/>
  <c r="R60" i="35"/>
  <c r="R67" i="35" s="1"/>
  <c r="V154" i="35"/>
  <c r="V161" i="35" s="1"/>
  <c r="O60" i="35"/>
  <c r="O67" i="35" s="1"/>
  <c r="E60" i="35"/>
  <c r="E67" i="35" s="1"/>
  <c r="N46" i="4"/>
  <c r="P46" i="4"/>
  <c r="Q46" i="4"/>
  <c r="O46" i="4"/>
  <c r="P45" i="4"/>
  <c r="N45" i="4"/>
  <c r="Q45" i="4"/>
  <c r="O45" i="4"/>
  <c r="R110" i="35"/>
  <c r="R117" i="35" s="1"/>
  <c r="D110" i="35"/>
  <c r="D117" i="35" s="1"/>
  <c r="E110" i="35"/>
  <c r="E117" i="35" s="1"/>
  <c r="C110" i="35"/>
  <c r="C117" i="35" s="1"/>
  <c r="Z110" i="35"/>
  <c r="Z117" i="35" s="1"/>
  <c r="T110" i="35"/>
  <c r="T117" i="35" s="1"/>
  <c r="AB110" i="35"/>
  <c r="AB117" i="35" s="1"/>
  <c r="N110" i="35"/>
  <c r="N117" i="35" s="1"/>
  <c r="J110" i="35"/>
  <c r="J117" i="35" s="1"/>
  <c r="O110" i="35"/>
  <c r="O117" i="35" s="1"/>
  <c r="U110" i="35"/>
  <c r="U117" i="35" s="1"/>
  <c r="K110" i="35"/>
  <c r="K117" i="35" s="1"/>
  <c r="G110" i="35"/>
  <c r="G117" i="35" s="1"/>
  <c r="M110" i="35"/>
  <c r="M117" i="35" s="1"/>
  <c r="F110" i="35"/>
  <c r="F117" i="35" s="1"/>
  <c r="S110" i="35"/>
  <c r="S117" i="35" s="1"/>
  <c r="V110" i="35"/>
  <c r="V117" i="35" s="1"/>
  <c r="AA110" i="35"/>
  <c r="AA117" i="35" s="1"/>
  <c r="Q110" i="35"/>
  <c r="Q117" i="35" s="1"/>
  <c r="L110" i="35"/>
  <c r="L117" i="35" s="1"/>
  <c r="P110" i="35"/>
  <c r="P117" i="35" s="1"/>
  <c r="I110" i="35"/>
  <c r="I117" i="35" s="1"/>
  <c r="H110" i="35"/>
  <c r="H117" i="35" s="1"/>
  <c r="W110" i="35"/>
  <c r="W117" i="35" s="1"/>
  <c r="X110" i="35"/>
  <c r="X117" i="35" s="1"/>
  <c r="Y110" i="35"/>
  <c r="Y117" i="35" s="1"/>
  <c r="Y38" i="4" a="1"/>
  <c r="Y38" i="4" s="1"/>
  <c r="Y40" i="4" a="1"/>
  <c r="Y40" i="4" s="1"/>
  <c r="J85" i="35"/>
  <c r="K185" i="35"/>
  <c r="J168" i="35"/>
  <c r="M85" i="35"/>
  <c r="R38" i="35"/>
  <c r="U38" i="35"/>
  <c r="AB132" i="35"/>
  <c r="H185" i="35"/>
  <c r="I132" i="35"/>
  <c r="D85" i="35"/>
  <c r="L38" i="35"/>
  <c r="K168" i="35"/>
  <c r="F168" i="35"/>
  <c r="F85" i="35"/>
  <c r="R132" i="35"/>
  <c r="S185" i="35"/>
  <c r="J38" i="35"/>
  <c r="AB85" i="35"/>
  <c r="W132" i="35"/>
  <c r="K132" i="35"/>
  <c r="G185" i="35"/>
  <c r="X185" i="35"/>
  <c r="M168" i="35"/>
  <c r="Y185" i="35"/>
  <c r="L185" i="35"/>
  <c r="P85" i="35"/>
  <c r="Q185" i="35"/>
  <c r="Q168" i="35"/>
  <c r="E38" i="35"/>
  <c r="V168" i="35"/>
  <c r="I185" i="35"/>
  <c r="V38" i="35"/>
  <c r="U85" i="35"/>
  <c r="O85" i="35"/>
  <c r="P38" i="35"/>
  <c r="G85" i="35"/>
  <c r="E168" i="35"/>
  <c r="O132" i="35"/>
  <c r="D38" i="35"/>
  <c r="S168" i="35"/>
  <c r="E132" i="35"/>
  <c r="AB185" i="35"/>
  <c r="Q132" i="35"/>
  <c r="G168" i="35"/>
  <c r="AA85" i="35"/>
  <c r="S38" i="35"/>
  <c r="L132" i="35"/>
  <c r="V185" i="35"/>
  <c r="W185" i="35"/>
  <c r="C85" i="35"/>
  <c r="W168" i="35"/>
  <c r="J132" i="35"/>
  <c r="AB168" i="35"/>
  <c r="M38" i="35"/>
  <c r="S85" i="35"/>
  <c r="P168" i="35"/>
  <c r="O168" i="35"/>
  <c r="L85" i="35"/>
  <c r="F38" i="35"/>
  <c r="F132" i="35"/>
  <c r="X132" i="35"/>
  <c r="T132" i="35"/>
  <c r="T168" i="35"/>
  <c r="Q38" i="35"/>
  <c r="H132" i="35"/>
  <c r="D168" i="35"/>
  <c r="X168" i="35"/>
  <c r="N168" i="35"/>
  <c r="H85" i="35"/>
  <c r="Z132" i="35"/>
  <c r="M185" i="35"/>
  <c r="Z168" i="35"/>
  <c r="N38" i="35"/>
  <c r="U168" i="35"/>
  <c r="C168" i="35"/>
  <c r="N132" i="35"/>
  <c r="R168" i="35"/>
  <c r="G132" i="35"/>
  <c r="N85" i="35"/>
  <c r="Z85" i="35"/>
  <c r="R185" i="35"/>
  <c r="P132" i="35"/>
  <c r="Z185" i="35"/>
  <c r="D132" i="35"/>
  <c r="AA185" i="35"/>
  <c r="H168" i="35"/>
  <c r="W38" i="35"/>
  <c r="E185" i="35"/>
  <c r="AB38" i="35"/>
  <c r="N185" i="35"/>
  <c r="S132" i="35"/>
  <c r="D185" i="35"/>
  <c r="T185" i="35"/>
  <c r="K38" i="35"/>
  <c r="X38" i="35"/>
  <c r="Q85" i="35"/>
  <c r="AA132" i="35"/>
  <c r="M132" i="35"/>
  <c r="Y38" i="35"/>
  <c r="I85" i="35"/>
  <c r="C38" i="35"/>
  <c r="F185" i="35"/>
  <c r="U185" i="35"/>
  <c r="L168" i="35"/>
  <c r="Y85" i="35"/>
  <c r="V132" i="35"/>
  <c r="J185" i="35"/>
  <c r="AA38" i="35"/>
  <c r="T85" i="35"/>
  <c r="O38" i="35"/>
  <c r="U132" i="35"/>
  <c r="E85" i="35"/>
  <c r="T38" i="35"/>
  <c r="K85" i="35"/>
  <c r="H38" i="35"/>
  <c r="AA168" i="35"/>
  <c r="X85" i="35"/>
  <c r="C185" i="35"/>
  <c r="O185" i="35"/>
  <c r="Z38" i="35"/>
  <c r="I38" i="35"/>
  <c r="V85" i="35"/>
  <c r="R85" i="35"/>
  <c r="P185" i="35"/>
  <c r="Y168" i="35"/>
  <c r="I168" i="35"/>
  <c r="C132" i="35"/>
  <c r="Y132" i="35"/>
  <c r="W85" i="35"/>
  <c r="G38" i="35"/>
  <c r="AA39" i="4" l="1"/>
  <c r="D15" i="35" s="1"/>
  <c r="AB39" i="4"/>
  <c r="AB16" i="35" s="1"/>
  <c r="AC39" i="4"/>
  <c r="P17" i="35" s="1"/>
  <c r="AC47" i="4"/>
  <c r="Z47" i="4"/>
  <c r="Y39" i="4"/>
  <c r="AB47" i="4"/>
  <c r="AA47" i="4"/>
  <c r="G15" i="35"/>
  <c r="O15" i="35"/>
  <c r="L15" i="35"/>
  <c r="P15" i="35"/>
  <c r="T15" i="35"/>
  <c r="Y15" i="35"/>
  <c r="X15" i="35"/>
  <c r="R15" i="35"/>
  <c r="K15" i="35"/>
  <c r="Z15" i="35"/>
  <c r="Q15" i="35"/>
  <c r="AA15" i="35"/>
  <c r="S15" i="35"/>
  <c r="V15" i="35"/>
  <c r="J15" i="35"/>
  <c r="I15" i="35"/>
  <c r="AB15" i="35"/>
  <c r="M15" i="35"/>
  <c r="N15" i="35"/>
  <c r="Z45" i="4"/>
  <c r="AB45" i="4"/>
  <c r="C330" i="33"/>
  <c r="B15" i="4" s="1"/>
  <c r="A331" i="33"/>
  <c r="AA45" i="4"/>
  <c r="B7" i="12"/>
  <c r="B10" i="18"/>
  <c r="B10" i="20"/>
  <c r="Q16" i="35"/>
  <c r="AC45" i="4"/>
  <c r="Z39" i="4"/>
  <c r="G17" i="35" l="1"/>
  <c r="L16" i="35"/>
  <c r="I16" i="35"/>
  <c r="I208" i="35" s="1"/>
  <c r="E15" i="35"/>
  <c r="E22" i="35" s="1"/>
  <c r="D16" i="35"/>
  <c r="I17" i="35"/>
  <c r="U16" i="35"/>
  <c r="U208" i="35" s="1"/>
  <c r="R17" i="35"/>
  <c r="R24" i="35" s="1"/>
  <c r="E17" i="35"/>
  <c r="V16" i="35"/>
  <c r="T17" i="35"/>
  <c r="T24" i="35" s="1"/>
  <c r="F15" i="35"/>
  <c r="F22" i="35" s="1"/>
  <c r="U15" i="35"/>
  <c r="H15" i="35"/>
  <c r="X17" i="35"/>
  <c r="X203" i="35" s="1"/>
  <c r="AA16" i="35"/>
  <c r="AA208" i="35" s="1"/>
  <c r="G16" i="35"/>
  <c r="G23" i="35" s="1"/>
  <c r="C16" i="35"/>
  <c r="C208" i="35" s="1"/>
  <c r="W15" i="35"/>
  <c r="W22" i="35" s="1"/>
  <c r="C15" i="35"/>
  <c r="C22" i="35" s="1"/>
  <c r="Y16" i="35"/>
  <c r="Y23" i="35" s="1"/>
  <c r="P16" i="35"/>
  <c r="P202" i="35" s="1"/>
  <c r="O16" i="35"/>
  <c r="O208" i="35" s="1"/>
  <c r="Z16" i="35"/>
  <c r="Z208" i="35" s="1"/>
  <c r="AB17" i="35"/>
  <c r="AB24" i="35" s="1"/>
  <c r="M17" i="35"/>
  <c r="M203" i="35" s="1"/>
  <c r="K17" i="35"/>
  <c r="K209" i="35" s="1"/>
  <c r="F16" i="35"/>
  <c r="F202" i="35" s="1"/>
  <c r="J16" i="35"/>
  <c r="J23" i="35" s="1"/>
  <c r="X16" i="35"/>
  <c r="X208" i="35" s="1"/>
  <c r="K16" i="35"/>
  <c r="K23" i="35" s="1"/>
  <c r="M16" i="35"/>
  <c r="M202" i="35" s="1"/>
  <c r="N16" i="35"/>
  <c r="N202" i="35" s="1"/>
  <c r="Q17" i="35"/>
  <c r="Q203" i="35" s="1"/>
  <c r="C17" i="35"/>
  <c r="C203" i="35" s="1"/>
  <c r="N17" i="35"/>
  <c r="N203" i="35" s="1"/>
  <c r="O17" i="35"/>
  <c r="O203" i="35" s="1"/>
  <c r="D17" i="35"/>
  <c r="D24" i="35" s="1"/>
  <c r="V17" i="35"/>
  <c r="V209" i="35" s="1"/>
  <c r="H17" i="35"/>
  <c r="H209" i="35" s="1"/>
  <c r="W17" i="35"/>
  <c r="W24" i="35" s="1"/>
  <c r="Z17" i="35"/>
  <c r="Z209" i="35" s="1"/>
  <c r="Y17" i="35"/>
  <c r="Y24" i="35" s="1"/>
  <c r="W16" i="35"/>
  <c r="W202" i="35" s="1"/>
  <c r="S16" i="35"/>
  <c r="S23" i="35" s="1"/>
  <c r="E16" i="35"/>
  <c r="E208" i="35" s="1"/>
  <c r="T16" i="35"/>
  <c r="T23" i="35" s="1"/>
  <c r="H16" i="35"/>
  <c r="H208" i="35" s="1"/>
  <c r="R16" i="35"/>
  <c r="R23" i="35" s="1"/>
  <c r="F17" i="35"/>
  <c r="F24" i="35" s="1"/>
  <c r="U17" i="35"/>
  <c r="U24" i="35" s="1"/>
  <c r="L17" i="35"/>
  <c r="L203" i="35" s="1"/>
  <c r="AA17" i="35"/>
  <c r="AA203" i="35" s="1"/>
  <c r="S17" i="35"/>
  <c r="S203" i="35" s="1"/>
  <c r="J17" i="35"/>
  <c r="J209" i="35" s="1"/>
  <c r="F208" i="35"/>
  <c r="J202" i="35"/>
  <c r="N23" i="35"/>
  <c r="N208" i="35"/>
  <c r="O209" i="35"/>
  <c r="S201" i="35"/>
  <c r="S207" i="35" s="1"/>
  <c r="S22" i="35"/>
  <c r="Y22" i="35"/>
  <c r="Y201" i="35"/>
  <c r="Y207" i="35" s="1"/>
  <c r="L208" i="35"/>
  <c r="L202" i="35"/>
  <c r="L23" i="35"/>
  <c r="V208" i="35"/>
  <c r="V202" i="35"/>
  <c r="V23" i="35"/>
  <c r="Q208" i="35"/>
  <c r="Q202" i="35"/>
  <c r="Q23" i="35"/>
  <c r="T209" i="35"/>
  <c r="G24" i="35"/>
  <c r="G209" i="35"/>
  <c r="G203" i="35"/>
  <c r="I203" i="35"/>
  <c r="I209" i="35"/>
  <c r="I24" i="35"/>
  <c r="E203" i="35"/>
  <c r="E209" i="35"/>
  <c r="E24" i="35"/>
  <c r="I201" i="35"/>
  <c r="I207" i="35" s="1"/>
  <c r="I22" i="35"/>
  <c r="AA201" i="35"/>
  <c r="AA207" i="35" s="1"/>
  <c r="AA22" i="35"/>
  <c r="D22" i="35"/>
  <c r="D201" i="35"/>
  <c r="D207" i="35" s="1"/>
  <c r="Y208" i="35"/>
  <c r="Y202" i="35"/>
  <c r="G208" i="35"/>
  <c r="O23" i="35"/>
  <c r="C23" i="35"/>
  <c r="W209" i="35"/>
  <c r="AB209" i="35"/>
  <c r="AB203" i="35"/>
  <c r="M209" i="35"/>
  <c r="A332" i="33"/>
  <c r="C331" i="33"/>
  <c r="C15" i="4" s="1"/>
  <c r="N201" i="35"/>
  <c r="N207" i="35" s="1"/>
  <c r="N22" i="35"/>
  <c r="J201" i="35"/>
  <c r="J207" i="35" s="1"/>
  <c r="J22" i="35"/>
  <c r="Q22" i="35"/>
  <c r="Q201" i="35"/>
  <c r="Q207" i="35" s="1"/>
  <c r="R201" i="35"/>
  <c r="R207" i="35" s="1"/>
  <c r="R22" i="35"/>
  <c r="U201" i="35"/>
  <c r="U207" i="35" s="1"/>
  <c r="U22" i="35"/>
  <c r="L201" i="35"/>
  <c r="L207" i="35" s="1"/>
  <c r="L22" i="35"/>
  <c r="O201" i="35"/>
  <c r="O207" i="35" s="1"/>
  <c r="O22" i="35"/>
  <c r="G13" i="35"/>
  <c r="AA13" i="35"/>
  <c r="AB13" i="35"/>
  <c r="D13" i="35"/>
  <c r="O13" i="35"/>
  <c r="M13" i="35"/>
  <c r="I13" i="35"/>
  <c r="C13" i="35"/>
  <c r="AB46" i="4"/>
  <c r="J13" i="35"/>
  <c r="V13" i="35"/>
  <c r="S13" i="35"/>
  <c r="L13" i="35"/>
  <c r="N13" i="35"/>
  <c r="AA46" i="4"/>
  <c r="P13" i="35"/>
  <c r="AC46" i="4"/>
  <c r="H13" i="35"/>
  <c r="Y13" i="35"/>
  <c r="F13" i="35"/>
  <c r="E13" i="35"/>
  <c r="Z13" i="35"/>
  <c r="X13" i="35"/>
  <c r="T13" i="35"/>
  <c r="Z46" i="4"/>
  <c r="U13" i="35"/>
  <c r="R13" i="35"/>
  <c r="Q13" i="35"/>
  <c r="W13" i="35"/>
  <c r="K13" i="35"/>
  <c r="G14" i="35"/>
  <c r="AB14" i="35"/>
  <c r="R14" i="35"/>
  <c r="S14" i="35"/>
  <c r="Y14" i="35"/>
  <c r="M14" i="35"/>
  <c r="I14" i="35"/>
  <c r="E14" i="35"/>
  <c r="T14" i="35"/>
  <c r="V14" i="35"/>
  <c r="N14" i="35"/>
  <c r="H14" i="35"/>
  <c r="P14" i="35"/>
  <c r="W14" i="35"/>
  <c r="Q14" i="35"/>
  <c r="K14" i="35"/>
  <c r="F14" i="35"/>
  <c r="L14" i="35"/>
  <c r="Z14" i="35"/>
  <c r="O14" i="35"/>
  <c r="D14" i="35"/>
  <c r="U14" i="35"/>
  <c r="C14" i="35"/>
  <c r="X14" i="35"/>
  <c r="J14" i="35"/>
  <c r="AA14" i="35"/>
  <c r="AB201" i="35"/>
  <c r="AB207" i="35" s="1"/>
  <c r="AB22" i="35"/>
  <c r="K201" i="35"/>
  <c r="K207" i="35" s="1"/>
  <c r="K22" i="35"/>
  <c r="P201" i="35"/>
  <c r="P207" i="35" s="1"/>
  <c r="P22" i="35"/>
  <c r="D202" i="35"/>
  <c r="D208" i="35"/>
  <c r="D23" i="35"/>
  <c r="S202" i="35"/>
  <c r="E23" i="35"/>
  <c r="R208" i="35"/>
  <c r="R202" i="35"/>
  <c r="AB202" i="35"/>
  <c r="AB208" i="35"/>
  <c r="AB23" i="35"/>
  <c r="F209" i="35"/>
  <c r="AA24" i="35"/>
  <c r="S209" i="35"/>
  <c r="P209" i="35"/>
  <c r="P203" i="35"/>
  <c r="P24" i="35"/>
  <c r="M201" i="35"/>
  <c r="M207" i="35" s="1"/>
  <c r="M22" i="35"/>
  <c r="V201" i="35"/>
  <c r="V207" i="35" s="1"/>
  <c r="V22" i="35"/>
  <c r="Z201" i="35"/>
  <c r="Z207" i="35" s="1"/>
  <c r="Z22" i="35"/>
  <c r="X22" i="35"/>
  <c r="X201" i="35"/>
  <c r="X207" i="35" s="1"/>
  <c r="T22" i="35"/>
  <c r="T201" i="35"/>
  <c r="T207" i="35" s="1"/>
  <c r="H22" i="35"/>
  <c r="H201" i="35"/>
  <c r="H207" i="35" s="1"/>
  <c r="G201" i="35"/>
  <c r="G207" i="35" s="1"/>
  <c r="G22" i="35"/>
  <c r="N24" i="35" l="1"/>
  <c r="X24" i="35"/>
  <c r="I23" i="35"/>
  <c r="V24" i="35"/>
  <c r="K208" i="35"/>
  <c r="Y203" i="35"/>
  <c r="AA23" i="35"/>
  <c r="I202" i="35"/>
  <c r="C201" i="35"/>
  <c r="C207" i="35" s="1"/>
  <c r="J24" i="35"/>
  <c r="U209" i="35"/>
  <c r="T202" i="35"/>
  <c r="Z23" i="35"/>
  <c r="F201" i="35"/>
  <c r="F207" i="35" s="1"/>
  <c r="R209" i="35"/>
  <c r="E201" i="35"/>
  <c r="E207" i="35" s="1"/>
  <c r="U203" i="35"/>
  <c r="H23" i="35"/>
  <c r="W208" i="35"/>
  <c r="K24" i="35"/>
  <c r="O202" i="35"/>
  <c r="W201" i="35"/>
  <c r="W207" i="35" s="1"/>
  <c r="T203" i="35"/>
  <c r="U23" i="35"/>
  <c r="C24" i="35"/>
  <c r="K202" i="35"/>
  <c r="H202" i="35"/>
  <c r="J203" i="35"/>
  <c r="T208" i="35"/>
  <c r="W23" i="35"/>
  <c r="H203" i="35"/>
  <c r="Y209" i="35"/>
  <c r="K203" i="35"/>
  <c r="R203" i="35"/>
  <c r="X209" i="35"/>
  <c r="U202" i="35"/>
  <c r="V203" i="35"/>
  <c r="C209" i="35"/>
  <c r="F23" i="35"/>
  <c r="N209" i="35"/>
  <c r="Z202" i="35"/>
  <c r="AA202" i="35"/>
  <c r="L209" i="35"/>
  <c r="H24" i="35"/>
  <c r="M208" i="35"/>
  <c r="Q209" i="35"/>
  <c r="C202" i="35"/>
  <c r="AA209" i="35"/>
  <c r="S208" i="35"/>
  <c r="X202" i="35"/>
  <c r="W203" i="35"/>
  <c r="G202" i="35"/>
  <c r="P208" i="35"/>
  <c r="O24" i="35"/>
  <c r="J208" i="35"/>
  <c r="E202" i="35"/>
  <c r="Z24" i="35"/>
  <c r="P23" i="35"/>
  <c r="D203" i="35"/>
  <c r="X23" i="35"/>
  <c r="Z203" i="35"/>
  <c r="S24" i="35"/>
  <c r="L24" i="35"/>
  <c r="F203" i="35"/>
  <c r="D209" i="35"/>
  <c r="Q24" i="35"/>
  <c r="M24" i="35"/>
  <c r="M23" i="35"/>
  <c r="C200" i="35"/>
  <c r="C206" i="35" s="1"/>
  <c r="C21" i="35"/>
  <c r="Q200" i="35"/>
  <c r="Q206" i="35" s="1"/>
  <c r="Q21" i="35"/>
  <c r="I200" i="35"/>
  <c r="I206" i="35" s="1"/>
  <c r="I21" i="35"/>
  <c r="W199" i="35"/>
  <c r="W205" i="35" s="1"/>
  <c r="W20" i="35"/>
  <c r="L199" i="35"/>
  <c r="L205" i="35" s="1"/>
  <c r="L20" i="35"/>
  <c r="O199" i="35"/>
  <c r="O205" i="35" s="1"/>
  <c r="O20" i="35"/>
  <c r="U200" i="35"/>
  <c r="U206" i="35" s="1"/>
  <c r="U21" i="35"/>
  <c r="W200" i="35"/>
  <c r="W206" i="35" s="1"/>
  <c r="W21" i="35"/>
  <c r="M200" i="35"/>
  <c r="M206" i="35" s="1"/>
  <c r="M21" i="35"/>
  <c r="Q199" i="35"/>
  <c r="Q205" i="35" s="1"/>
  <c r="Q20" i="35"/>
  <c r="F199" i="35"/>
  <c r="F205" i="35" s="1"/>
  <c r="F20" i="35"/>
  <c r="C199" i="35"/>
  <c r="C205" i="35" s="1"/>
  <c r="C20" i="35"/>
  <c r="J200" i="35"/>
  <c r="J206" i="35" s="1"/>
  <c r="J21" i="35"/>
  <c r="D200" i="35"/>
  <c r="D206" i="35" s="1"/>
  <c r="D21" i="35"/>
  <c r="F200" i="35"/>
  <c r="F206" i="35" s="1"/>
  <c r="F21" i="35"/>
  <c r="P200" i="35"/>
  <c r="P206" i="35" s="1"/>
  <c r="P21" i="35"/>
  <c r="T200" i="35"/>
  <c r="T206" i="35" s="1"/>
  <c r="T21" i="35"/>
  <c r="Y200" i="35"/>
  <c r="Y206" i="35" s="1"/>
  <c r="Y21" i="35"/>
  <c r="G200" i="35"/>
  <c r="G206" i="35" s="1"/>
  <c r="G21" i="35"/>
  <c r="R199" i="35"/>
  <c r="R205" i="35" s="1"/>
  <c r="R20" i="35"/>
  <c r="X199" i="35"/>
  <c r="X205" i="35" s="1"/>
  <c r="X20" i="35"/>
  <c r="Y199" i="35"/>
  <c r="Y205" i="35" s="1"/>
  <c r="Y20" i="35"/>
  <c r="V199" i="35"/>
  <c r="V205" i="35" s="1"/>
  <c r="V20" i="35"/>
  <c r="I199" i="35"/>
  <c r="I205" i="35" s="1"/>
  <c r="I20" i="35"/>
  <c r="AB199" i="35"/>
  <c r="AB205" i="35" s="1"/>
  <c r="AB20" i="35"/>
  <c r="Z200" i="35"/>
  <c r="Z206" i="35" s="1"/>
  <c r="Z21" i="35"/>
  <c r="N200" i="35"/>
  <c r="N206" i="35" s="1"/>
  <c r="N21" i="35"/>
  <c r="R200" i="35"/>
  <c r="R206" i="35" s="1"/>
  <c r="R21" i="35"/>
  <c r="E199" i="35"/>
  <c r="E205" i="35" s="1"/>
  <c r="E20" i="35"/>
  <c r="G199" i="35"/>
  <c r="G205" i="35" s="1"/>
  <c r="G20" i="35"/>
  <c r="AA200" i="35"/>
  <c r="AA206" i="35" s="1"/>
  <c r="AA21" i="35"/>
  <c r="L200" i="35"/>
  <c r="L206" i="35" s="1"/>
  <c r="L21" i="35"/>
  <c r="V200" i="35"/>
  <c r="V206" i="35" s="1"/>
  <c r="V21" i="35"/>
  <c r="AB200" i="35"/>
  <c r="AB206" i="35" s="1"/>
  <c r="AB21" i="35"/>
  <c r="T199" i="35"/>
  <c r="T205" i="35" s="1"/>
  <c r="T20" i="35"/>
  <c r="P199" i="35"/>
  <c r="P205" i="35" s="1"/>
  <c r="P20" i="35"/>
  <c r="S199" i="35"/>
  <c r="S205" i="35" s="1"/>
  <c r="S20" i="35"/>
  <c r="D199" i="35"/>
  <c r="D205" i="35" s="1"/>
  <c r="D20" i="35"/>
  <c r="X200" i="35"/>
  <c r="X206" i="35" s="1"/>
  <c r="X21" i="35"/>
  <c r="O200" i="35"/>
  <c r="O206" i="35" s="1"/>
  <c r="O21" i="35"/>
  <c r="K200" i="35"/>
  <c r="K206" i="35" s="1"/>
  <c r="K21" i="35"/>
  <c r="H200" i="35"/>
  <c r="H206" i="35" s="1"/>
  <c r="H21" i="35"/>
  <c r="E200" i="35"/>
  <c r="E206" i="35" s="1"/>
  <c r="E21" i="35"/>
  <c r="S200" i="35"/>
  <c r="S206" i="35" s="1"/>
  <c r="S21" i="35"/>
  <c r="K199" i="35"/>
  <c r="K205" i="35" s="1"/>
  <c r="K20" i="35"/>
  <c r="U199" i="35"/>
  <c r="U205" i="35" s="1"/>
  <c r="U20" i="35"/>
  <c r="Z199" i="35"/>
  <c r="Z205" i="35" s="1"/>
  <c r="Z20" i="35"/>
  <c r="H199" i="35"/>
  <c r="H205" i="35" s="1"/>
  <c r="H20" i="35"/>
  <c r="N199" i="35"/>
  <c r="N205" i="35" s="1"/>
  <c r="N20" i="35"/>
  <c r="J199" i="35"/>
  <c r="J205" i="35" s="1"/>
  <c r="J20" i="35"/>
  <c r="M199" i="35"/>
  <c r="M205" i="35" s="1"/>
  <c r="M20" i="35"/>
  <c r="AA199" i="35"/>
  <c r="AA205" i="35" s="1"/>
  <c r="AA20" i="35"/>
  <c r="A333" i="33"/>
  <c r="C332" i="33"/>
  <c r="B16" i="4" s="1"/>
  <c r="C16" i="4" s="1"/>
  <c r="C333" i="33" l="1"/>
  <c r="D15" i="4" s="1"/>
  <c r="A334" i="33"/>
  <c r="A335" i="33" l="1"/>
  <c r="C334" i="33"/>
  <c r="C335" i="33" l="1"/>
  <c r="F15" i="4" s="1"/>
  <c r="A336" i="33"/>
  <c r="C336" i="33" l="1"/>
  <c r="D16" i="4" s="1"/>
  <c r="F16" i="4" s="1"/>
  <c r="F12" i="5" s="1"/>
  <c r="A337" i="33"/>
  <c r="F12" i="18" l="1"/>
  <c r="F9" i="12"/>
  <c r="F12" i="20"/>
  <c r="A338" i="33"/>
  <c r="C337" i="33"/>
  <c r="E16" i="4" s="1"/>
  <c r="G16" i="4" s="1"/>
  <c r="G12" i="5" s="1"/>
  <c r="C338" i="33" l="1"/>
  <c r="H15" i="4" s="1"/>
  <c r="A339" i="33"/>
  <c r="G12" i="18"/>
  <c r="G12" i="20"/>
  <c r="G9" i="12"/>
  <c r="C339" i="33" l="1"/>
  <c r="H16" i="4" s="1"/>
  <c r="A340" i="33"/>
  <c r="C340" i="33" l="1"/>
  <c r="I14" i="4" s="1"/>
  <c r="A341" i="33"/>
  <c r="A342" i="33" l="1"/>
  <c r="C341" i="33"/>
  <c r="I16" i="4" s="1"/>
  <c r="C342" i="33" l="1"/>
  <c r="J16" i="4" s="1"/>
  <c r="A343" i="33"/>
  <c r="A344" i="33" l="1"/>
  <c r="C343" i="33"/>
  <c r="K16" i="4" s="1"/>
  <c r="A345" i="33" l="1"/>
  <c r="C344" i="33"/>
  <c r="L14" i="4" s="1"/>
  <c r="A346" i="33" l="1"/>
  <c r="C345" i="33"/>
  <c r="L16" i="4" s="1"/>
  <c r="C346" i="33" l="1"/>
  <c r="M14" i="4" s="1"/>
  <c r="A347" i="33"/>
  <c r="C347" i="33" l="1"/>
  <c r="M15" i="4" s="1"/>
  <c r="A348" i="33"/>
  <c r="Y14" i="4"/>
  <c r="M10" i="18"/>
  <c r="M10" i="5"/>
  <c r="M11" i="18" l="1"/>
  <c r="M11" i="5"/>
  <c r="M10" i="20"/>
  <c r="M7" i="12"/>
  <c r="C348" i="33"/>
  <c r="M16" i="4" s="1"/>
  <c r="A349" i="33"/>
  <c r="M9" i="12" l="1"/>
  <c r="B20" i="35"/>
  <c r="M12" i="18"/>
  <c r="B13" i="35"/>
  <c r="Y16" i="4"/>
  <c r="B154" i="35"/>
  <c r="B167" i="35" s="1"/>
  <c r="M12" i="20"/>
  <c r="B107" i="35"/>
  <c r="B131" i="35" s="1"/>
  <c r="M12" i="5"/>
  <c r="B60" i="35"/>
  <c r="B84" i="35" s="1"/>
  <c r="G76" i="35"/>
  <c r="G82" i="35" s="1"/>
  <c r="H173" i="35"/>
  <c r="H179" i="35" s="1"/>
  <c r="J175" i="35"/>
  <c r="J181" i="35" s="1"/>
  <c r="L76" i="35"/>
  <c r="L82" i="35" s="1"/>
  <c r="K73" i="35"/>
  <c r="K79" i="35" s="1"/>
  <c r="C73" i="35"/>
  <c r="C79" i="35" s="1"/>
  <c r="I76" i="35"/>
  <c r="I82" i="35" s="1"/>
  <c r="T74" i="35"/>
  <c r="T80" i="35" s="1"/>
  <c r="F75" i="35"/>
  <c r="F81" i="35" s="1"/>
  <c r="U75" i="35"/>
  <c r="U81" i="35" s="1"/>
  <c r="Q76" i="35"/>
  <c r="Q82" i="35" s="1"/>
  <c r="AA74" i="35"/>
  <c r="AA80" i="35" s="1"/>
  <c r="R75" i="35"/>
  <c r="R81" i="35" s="1"/>
  <c r="G74" i="35"/>
  <c r="G80" i="35" s="1"/>
  <c r="R76" i="35"/>
  <c r="R82" i="35" s="1"/>
  <c r="U73" i="35"/>
  <c r="U79" i="35" s="1"/>
  <c r="C175" i="35"/>
  <c r="C181" i="35" s="1"/>
  <c r="T174" i="35"/>
  <c r="T180" i="35" s="1"/>
  <c r="T173" i="35"/>
  <c r="T179" i="35" s="1"/>
  <c r="O174" i="35"/>
  <c r="O180" i="35" s="1"/>
  <c r="W73" i="35"/>
  <c r="W79" i="35" s="1"/>
  <c r="M74" i="35"/>
  <c r="M80" i="35" s="1"/>
  <c r="Y173" i="35"/>
  <c r="Y179" i="35" s="1"/>
  <c r="F173" i="35"/>
  <c r="F179" i="35" s="1"/>
  <c r="R175" i="35"/>
  <c r="R181" i="35" s="1"/>
  <c r="J75" i="35"/>
  <c r="J81" i="35" s="1"/>
  <c r="D175" i="35"/>
  <c r="D181" i="35" s="1"/>
  <c r="AB74" i="35"/>
  <c r="AB80" i="35" s="1"/>
  <c r="G175" i="35"/>
  <c r="G181" i="35" s="1"/>
  <c r="N74" i="35"/>
  <c r="N80" i="35" s="1"/>
  <c r="P173" i="35"/>
  <c r="P179" i="35" s="1"/>
  <c r="J76" i="35"/>
  <c r="J82" i="35" s="1"/>
  <c r="P75" i="35"/>
  <c r="P81" i="35" s="1"/>
  <c r="R74" i="35"/>
  <c r="R80" i="35" s="1"/>
  <c r="I74" i="35"/>
  <c r="I80" i="35" s="1"/>
  <c r="Q174" i="35"/>
  <c r="Q180" i="35" s="1"/>
  <c r="K76" i="35"/>
  <c r="K82" i="35" s="1"/>
  <c r="L173" i="35"/>
  <c r="L179" i="35" s="1"/>
  <c r="AB173" i="35"/>
  <c r="AB179" i="35" s="1"/>
  <c r="L74" i="35"/>
  <c r="L80" i="35" s="1"/>
  <c r="W175" i="35"/>
  <c r="W181" i="35" s="1"/>
  <c r="C174" i="35"/>
  <c r="C180" i="35" s="1"/>
  <c r="M73" i="35"/>
  <c r="M79" i="35" s="1"/>
  <c r="N76" i="35"/>
  <c r="N82" i="35" s="1"/>
  <c r="Z175" i="35"/>
  <c r="Z181" i="35" s="1"/>
  <c r="Z122" i="35"/>
  <c r="Z128" i="35" s="1"/>
  <c r="S122" i="35"/>
  <c r="S128" i="35" s="1"/>
  <c r="X121" i="35"/>
  <c r="X127" i="35" s="1"/>
  <c r="F122" i="35"/>
  <c r="F128" i="35" s="1"/>
  <c r="W122" i="35"/>
  <c r="W128" i="35" s="1"/>
  <c r="X120" i="35"/>
  <c r="X126" i="35" s="1"/>
  <c r="L121" i="35"/>
  <c r="L127" i="35" s="1"/>
  <c r="K121" i="35"/>
  <c r="K127" i="35" s="1"/>
  <c r="G123" i="35"/>
  <c r="G129" i="35" s="1"/>
  <c r="X122" i="35"/>
  <c r="X128" i="35" s="1"/>
  <c r="P123" i="35"/>
  <c r="P129" i="35" s="1"/>
  <c r="L123" i="35"/>
  <c r="L129" i="35" s="1"/>
  <c r="E123" i="35"/>
  <c r="E129" i="35" s="1"/>
  <c r="J120" i="35"/>
  <c r="J126" i="35" s="1"/>
  <c r="F121" i="35"/>
  <c r="F127" i="35" s="1"/>
  <c r="S121" i="35"/>
  <c r="S127" i="35" s="1"/>
  <c r="M121" i="35"/>
  <c r="M127" i="35" s="1"/>
  <c r="O122" i="35"/>
  <c r="O128" i="35" s="1"/>
  <c r="AB121" i="35"/>
  <c r="AB127" i="35" s="1"/>
  <c r="K120" i="35"/>
  <c r="K126" i="35" s="1"/>
  <c r="R122" i="35"/>
  <c r="R128" i="35" s="1"/>
  <c r="Q122" i="35"/>
  <c r="Q128" i="35" s="1"/>
  <c r="E120" i="35"/>
  <c r="E126" i="35" s="1"/>
  <c r="O121" i="35"/>
  <c r="O127" i="35" s="1"/>
  <c r="U121" i="35"/>
  <c r="U127" i="35" s="1"/>
  <c r="J121" i="35"/>
  <c r="J127" i="35" s="1"/>
  <c r="I73" i="35"/>
  <c r="I79" i="35" s="1"/>
  <c r="AB73" i="35"/>
  <c r="AB79" i="35" s="1"/>
  <c r="L175" i="35"/>
  <c r="L181" i="35" s="1"/>
  <c r="S73" i="35"/>
  <c r="S79" i="35" s="1"/>
  <c r="D73" i="35"/>
  <c r="D79" i="35" s="1"/>
  <c r="V75" i="35"/>
  <c r="V81" i="35" s="1"/>
  <c r="AA175" i="35"/>
  <c r="AA181" i="35" s="1"/>
  <c r="U174" i="35"/>
  <c r="U180" i="35" s="1"/>
  <c r="Q175" i="35"/>
  <c r="Q181" i="35" s="1"/>
  <c r="U76" i="35"/>
  <c r="U82" i="35" s="1"/>
  <c r="J174" i="35"/>
  <c r="J180" i="35" s="1"/>
  <c r="X76" i="35"/>
  <c r="X82" i="35" s="1"/>
  <c r="Q75" i="35"/>
  <c r="Q81" i="35" s="1"/>
  <c r="N173" i="35"/>
  <c r="N179" i="35" s="1"/>
  <c r="C76" i="35"/>
  <c r="C82" i="35" s="1"/>
  <c r="F174" i="35"/>
  <c r="F180" i="35" s="1"/>
  <c r="P73" i="35"/>
  <c r="P79" i="35" s="1"/>
  <c r="F74" i="35"/>
  <c r="F80" i="35" s="1"/>
  <c r="W174" i="35"/>
  <c r="W180" i="35" s="1"/>
  <c r="S75" i="35"/>
  <c r="S81" i="35" s="1"/>
  <c r="E175" i="35"/>
  <c r="E181" i="35" s="1"/>
  <c r="AA76" i="35"/>
  <c r="AA82" i="35" s="1"/>
  <c r="M173" i="35"/>
  <c r="M179" i="35" s="1"/>
  <c r="D173" i="35"/>
  <c r="D179" i="35" s="1"/>
  <c r="J123" i="35"/>
  <c r="J129" i="35" s="1"/>
  <c r="V122" i="35"/>
  <c r="V128" i="35" s="1"/>
  <c r="K122" i="35"/>
  <c r="K128" i="35" s="1"/>
  <c r="N122" i="35"/>
  <c r="N128" i="35" s="1"/>
  <c r="Y121" i="35"/>
  <c r="Y127" i="35" s="1"/>
  <c r="M120" i="35"/>
  <c r="M126" i="35" s="1"/>
  <c r="O120" i="35"/>
  <c r="O126" i="35" s="1"/>
  <c r="L122" i="35"/>
  <c r="L128" i="35" s="1"/>
  <c r="V121" i="35"/>
  <c r="V127" i="35" s="1"/>
  <c r="H120" i="35"/>
  <c r="H126" i="35" s="1"/>
  <c r="R123" i="35"/>
  <c r="R129" i="35" s="1"/>
  <c r="T122" i="35"/>
  <c r="T128" i="35" s="1"/>
  <c r="I122" i="35"/>
  <c r="I128" i="35" s="1"/>
  <c r="U120" i="35"/>
  <c r="U126" i="35" s="1"/>
  <c r="Q123" i="35"/>
  <c r="Q129" i="35" s="1"/>
  <c r="D174" i="35"/>
  <c r="D180" i="35" s="1"/>
  <c r="X174" i="35"/>
  <c r="X180" i="35" s="1"/>
  <c r="N75" i="35"/>
  <c r="N81" i="35" s="1"/>
  <c r="Y174" i="35"/>
  <c r="Y180" i="35" s="1"/>
  <c r="O175" i="35"/>
  <c r="O181" i="35" s="1"/>
  <c r="K75" i="35"/>
  <c r="K81" i="35" s="1"/>
  <c r="M175" i="35"/>
  <c r="M181" i="35" s="1"/>
  <c r="Q73" i="35"/>
  <c r="Q79" i="35" s="1"/>
  <c r="C173" i="35"/>
  <c r="C179" i="35" s="1"/>
  <c r="K74" i="35"/>
  <c r="K80" i="35" s="1"/>
  <c r="E74" i="35"/>
  <c r="E80" i="35" s="1"/>
  <c r="Z74" i="35"/>
  <c r="Z80" i="35" s="1"/>
  <c r="Z173" i="35"/>
  <c r="Z179" i="35" s="1"/>
  <c r="H175" i="35"/>
  <c r="H181" i="35" s="1"/>
  <c r="E174" i="35"/>
  <c r="E180" i="35" s="1"/>
  <c r="K175" i="35"/>
  <c r="K181" i="35" s="1"/>
  <c r="H73" i="35"/>
  <c r="H79" i="35" s="1"/>
  <c r="I175" i="35"/>
  <c r="I181" i="35" s="1"/>
  <c r="P175" i="35"/>
  <c r="P181" i="35" s="1"/>
  <c r="V174" i="35"/>
  <c r="V180" i="35" s="1"/>
  <c r="W75" i="35"/>
  <c r="W81" i="35" s="1"/>
  <c r="E76" i="35"/>
  <c r="E82" i="35" s="1"/>
  <c r="R120" i="35"/>
  <c r="R126" i="35" s="1"/>
  <c r="Q121" i="35"/>
  <c r="Q127" i="35" s="1"/>
  <c r="G120" i="35"/>
  <c r="G126" i="35" s="1"/>
  <c r="F120" i="35"/>
  <c r="F126" i="35" s="1"/>
  <c r="P120" i="35"/>
  <c r="P126" i="35" s="1"/>
  <c r="D123" i="35"/>
  <c r="D129" i="35" s="1"/>
  <c r="S120" i="35"/>
  <c r="S126" i="35" s="1"/>
  <c r="AB122" i="35"/>
  <c r="AB128" i="35" s="1"/>
  <c r="C120" i="35"/>
  <c r="C126" i="35" s="1"/>
  <c r="G121" i="35"/>
  <c r="G127" i="35" s="1"/>
  <c r="Q120" i="35"/>
  <c r="Q126" i="35" s="1"/>
  <c r="G122" i="35"/>
  <c r="G128" i="35" s="1"/>
  <c r="T120" i="35"/>
  <c r="T126" i="35" s="1"/>
  <c r="N120" i="35"/>
  <c r="N126" i="35" s="1"/>
  <c r="U123" i="35"/>
  <c r="U129" i="35" s="1"/>
  <c r="I123" i="35"/>
  <c r="I129" i="35" s="1"/>
  <c r="W123" i="35"/>
  <c r="W129" i="35" s="1"/>
  <c r="W121" i="35"/>
  <c r="W127" i="35" s="1"/>
  <c r="D122" i="35"/>
  <c r="D128" i="35" s="1"/>
  <c r="C122" i="35"/>
  <c r="C128" i="35" s="1"/>
  <c r="M123" i="35"/>
  <c r="M129" i="35" s="1"/>
  <c r="D120" i="35"/>
  <c r="D126" i="35" s="1"/>
  <c r="M122" i="35"/>
  <c r="M128" i="35" s="1"/>
  <c r="W120" i="35"/>
  <c r="W126" i="35" s="1"/>
  <c r="AB123" i="35"/>
  <c r="AB129" i="35" s="1"/>
  <c r="Z123" i="35"/>
  <c r="Z129" i="35" s="1"/>
  <c r="P122" i="35"/>
  <c r="P128" i="35" s="1"/>
  <c r="I75" i="35"/>
  <c r="I81" i="35" s="1"/>
  <c r="E173" i="35"/>
  <c r="E179" i="35" s="1"/>
  <c r="AA173" i="35"/>
  <c r="AA179" i="35" s="1"/>
  <c r="N73" i="35"/>
  <c r="N79" i="35" s="1"/>
  <c r="V76" i="35"/>
  <c r="V82" i="35" s="1"/>
  <c r="F76" i="35"/>
  <c r="F82" i="35" s="1"/>
  <c r="V175" i="35"/>
  <c r="V181" i="35" s="1"/>
  <c r="AA73" i="35"/>
  <c r="AA79" i="35" s="1"/>
  <c r="S174" i="35"/>
  <c r="S180" i="35" s="1"/>
  <c r="U173" i="35"/>
  <c r="U179" i="35" s="1"/>
  <c r="Y75" i="35"/>
  <c r="Y81" i="35" s="1"/>
  <c r="L73" i="35"/>
  <c r="L79" i="35" s="1"/>
  <c r="O75" i="35"/>
  <c r="O81" i="35" s="1"/>
  <c r="W76" i="35"/>
  <c r="W82" i="35" s="1"/>
  <c r="O73" i="35"/>
  <c r="O79" i="35" s="1"/>
  <c r="AB175" i="35"/>
  <c r="AB181" i="35" s="1"/>
  <c r="N175" i="35"/>
  <c r="N181" i="35" s="1"/>
  <c r="M75" i="35"/>
  <c r="M81" i="35" s="1"/>
  <c r="I174" i="35"/>
  <c r="I180" i="35" s="1"/>
  <c r="G73" i="35"/>
  <c r="G79" i="35" s="1"/>
  <c r="G173" i="35"/>
  <c r="G179" i="35" s="1"/>
  <c r="U175" i="35"/>
  <c r="U181" i="35" s="1"/>
  <c r="D74" i="35"/>
  <c r="D80" i="35" s="1"/>
  <c r="X73" i="35"/>
  <c r="X79" i="35" s="1"/>
  <c r="AB76" i="35"/>
  <c r="AB82" i="35" s="1"/>
  <c r="H76" i="35"/>
  <c r="H82" i="35" s="1"/>
  <c r="W173" i="35"/>
  <c r="W179" i="35" s="1"/>
  <c r="O76" i="35"/>
  <c r="O82" i="35" s="1"/>
  <c r="T73" i="35"/>
  <c r="T79" i="35" s="1"/>
  <c r="AB75" i="35"/>
  <c r="AB81" i="35" s="1"/>
  <c r="AA75" i="35"/>
  <c r="AA81" i="35" s="1"/>
  <c r="M174" i="35"/>
  <c r="M180" i="35" s="1"/>
  <c r="W74" i="35"/>
  <c r="W80" i="35" s="1"/>
  <c r="Y73" i="35"/>
  <c r="Y79" i="35" s="1"/>
  <c r="O74" i="35"/>
  <c r="O80" i="35" s="1"/>
  <c r="X173" i="35"/>
  <c r="X179" i="35" s="1"/>
  <c r="F73" i="35"/>
  <c r="F79" i="35" s="1"/>
  <c r="R73" i="35"/>
  <c r="R79" i="35" s="1"/>
  <c r="J173" i="35"/>
  <c r="J179" i="35" s="1"/>
  <c r="X74" i="35"/>
  <c r="X80" i="35" s="1"/>
  <c r="X175" i="35"/>
  <c r="X181" i="35" s="1"/>
  <c r="C121" i="35"/>
  <c r="C127" i="35" s="1"/>
  <c r="R121" i="35"/>
  <c r="R127" i="35" s="1"/>
  <c r="C123" i="35"/>
  <c r="C129" i="35" s="1"/>
  <c r="T121" i="35"/>
  <c r="T127" i="35" s="1"/>
  <c r="L120" i="35"/>
  <c r="L126" i="35" s="1"/>
  <c r="N123" i="35"/>
  <c r="N129" i="35" s="1"/>
  <c r="AA122" i="35"/>
  <c r="AA128" i="35" s="1"/>
  <c r="H122" i="35"/>
  <c r="H128" i="35" s="1"/>
  <c r="E121" i="35"/>
  <c r="E127" i="35" s="1"/>
  <c r="Z121" i="35"/>
  <c r="Z127" i="35" s="1"/>
  <c r="I121" i="35"/>
  <c r="I127" i="35" s="1"/>
  <c r="K123" i="35"/>
  <c r="K129" i="35" s="1"/>
  <c r="H121" i="35"/>
  <c r="H127" i="35" s="1"/>
  <c r="T123" i="35"/>
  <c r="T129" i="35" s="1"/>
  <c r="D121" i="35"/>
  <c r="D127" i="35" s="1"/>
  <c r="AB120" i="35"/>
  <c r="AB126" i="35" s="1"/>
  <c r="Y123" i="35"/>
  <c r="Y129" i="35" s="1"/>
  <c r="J122" i="35"/>
  <c r="J128" i="35" s="1"/>
  <c r="I120" i="35"/>
  <c r="I126" i="35" s="1"/>
  <c r="U122" i="35"/>
  <c r="U128" i="35" s="1"/>
  <c r="O123" i="35"/>
  <c r="O129" i="35" s="1"/>
  <c r="P121" i="35"/>
  <c r="P127" i="35" s="1"/>
  <c r="E122" i="35"/>
  <c r="E128" i="35" s="1"/>
  <c r="X123" i="35"/>
  <c r="X129" i="35" s="1"/>
  <c r="AA120" i="35"/>
  <c r="AA126" i="35" s="1"/>
  <c r="Z76" i="35"/>
  <c r="Z82" i="35" s="1"/>
  <c r="T75" i="35"/>
  <c r="T81" i="35" s="1"/>
  <c r="P74" i="35"/>
  <c r="P80" i="35" s="1"/>
  <c r="Q74" i="35"/>
  <c r="Q80" i="35" s="1"/>
  <c r="P174" i="35"/>
  <c r="P180" i="35" s="1"/>
  <c r="R173" i="35"/>
  <c r="R179" i="35" s="1"/>
  <c r="N174" i="35"/>
  <c r="N180" i="35" s="1"/>
  <c r="Y175" i="35"/>
  <c r="Y181" i="35" s="1"/>
  <c r="R174" i="35"/>
  <c r="R180" i="35" s="1"/>
  <c r="H74" i="35"/>
  <c r="H80" i="35" s="1"/>
  <c r="AA174" i="35"/>
  <c r="AA180" i="35" s="1"/>
  <c r="X75" i="35"/>
  <c r="X81" i="35" s="1"/>
  <c r="Z73" i="35"/>
  <c r="Z79" i="35" s="1"/>
  <c r="S175" i="35"/>
  <c r="S181" i="35" s="1"/>
  <c r="Z75" i="35"/>
  <c r="Z81" i="35" s="1"/>
  <c r="V73" i="35"/>
  <c r="V79" i="35" s="1"/>
  <c r="I173" i="35"/>
  <c r="I179" i="35" s="1"/>
  <c r="Q173" i="35"/>
  <c r="Q179" i="35" s="1"/>
  <c r="S74" i="35"/>
  <c r="S80" i="35" s="1"/>
  <c r="E75" i="35"/>
  <c r="E81" i="35" s="1"/>
  <c r="M76" i="35"/>
  <c r="M82" i="35" s="1"/>
  <c r="S76" i="35"/>
  <c r="S82" i="35" s="1"/>
  <c r="L174" i="35"/>
  <c r="L180" i="35" s="1"/>
  <c r="E73" i="35"/>
  <c r="E79" i="35" s="1"/>
  <c r="Y122" i="35"/>
  <c r="Y128" i="35" s="1"/>
  <c r="N121" i="35"/>
  <c r="N127" i="35" s="1"/>
  <c r="Y120" i="35"/>
  <c r="Y126" i="35" s="1"/>
  <c r="V120" i="35"/>
  <c r="V126" i="35" s="1"/>
  <c r="H123" i="35"/>
  <c r="H129" i="35" s="1"/>
  <c r="AA121" i="35"/>
  <c r="AA127" i="35" s="1"/>
  <c r="V123" i="35"/>
  <c r="V129" i="35" s="1"/>
  <c r="F123" i="35"/>
  <c r="F129" i="35" s="1"/>
  <c r="AA123" i="35"/>
  <c r="AA129" i="35" s="1"/>
  <c r="Z120" i="35"/>
  <c r="Z126" i="35" s="1"/>
  <c r="S123" i="35"/>
  <c r="S129" i="35" s="1"/>
  <c r="H174" i="35"/>
  <c r="H180" i="35" s="1"/>
  <c r="H75" i="35"/>
  <c r="H81" i="35" s="1"/>
  <c r="O173" i="35"/>
  <c r="O179" i="35" s="1"/>
  <c r="U74" i="35"/>
  <c r="U80" i="35" s="1"/>
  <c r="G75" i="35"/>
  <c r="G81" i="35" s="1"/>
  <c r="C74" i="35"/>
  <c r="C80" i="35" s="1"/>
  <c r="F175" i="35"/>
  <c r="F181" i="35" s="1"/>
  <c r="L75" i="35"/>
  <c r="L81" i="35" s="1"/>
  <c r="Y76" i="35"/>
  <c r="Y82" i="35" s="1"/>
  <c r="J73" i="35"/>
  <c r="J79" i="35" s="1"/>
  <c r="D75" i="35"/>
  <c r="D81" i="35" s="1"/>
  <c r="AB174" i="35"/>
  <c r="AB180" i="35" s="1"/>
  <c r="Y74" i="35"/>
  <c r="Y80" i="35" s="1"/>
  <c r="P76" i="35"/>
  <c r="P82" i="35" s="1"/>
  <c r="V173" i="35"/>
  <c r="V179" i="35" s="1"/>
  <c r="Z174" i="35"/>
  <c r="Z180" i="35" s="1"/>
  <c r="G174" i="35"/>
  <c r="G180" i="35" s="1"/>
  <c r="C75" i="35"/>
  <c r="C81" i="35" s="1"/>
  <c r="K174" i="35"/>
  <c r="K180" i="35" s="1"/>
  <c r="K173" i="35"/>
  <c r="K179" i="35" s="1"/>
  <c r="J74" i="35"/>
  <c r="J80" i="35" s="1"/>
  <c r="T76" i="35"/>
  <c r="T82" i="35" s="1"/>
  <c r="S173" i="35"/>
  <c r="S179" i="35" s="1"/>
  <c r="D76" i="35"/>
  <c r="D82" i="35" s="1"/>
  <c r="T175" i="35"/>
  <c r="T181" i="35" s="1"/>
  <c r="V74" i="35"/>
  <c r="V80" i="35" s="1"/>
  <c r="Y28" i="35" a="1"/>
  <c r="Y28" i="35" s="1"/>
  <c r="X28" i="35" a="1"/>
  <c r="X28" i="35" s="1"/>
  <c r="U26" i="35" a="1"/>
  <c r="U26" i="35" s="1"/>
  <c r="Q26" i="35" a="1"/>
  <c r="Q26" i="35" s="1"/>
  <c r="N28" i="35" a="1"/>
  <c r="N28" i="35" s="1"/>
  <c r="I28" i="35" a="1"/>
  <c r="I28" i="35" s="1"/>
  <c r="N27" i="35" a="1"/>
  <c r="N27" i="35" s="1"/>
  <c r="C28" i="35" a="1"/>
  <c r="C28" i="35" s="1"/>
  <c r="C27" i="35" a="1"/>
  <c r="C27" i="35" s="1"/>
  <c r="Q28" i="35" a="1"/>
  <c r="Q28" i="35" s="1"/>
  <c r="H26" i="35" a="1"/>
  <c r="H26" i="35" s="1"/>
  <c r="C26" i="35" a="1"/>
  <c r="C26" i="35" s="1"/>
  <c r="W28" i="35" a="1"/>
  <c r="W28" i="35" s="1"/>
  <c r="S28" i="35" a="1"/>
  <c r="S28" i="35" s="1"/>
  <c r="Z28" i="35" a="1"/>
  <c r="Z28" i="35" s="1"/>
  <c r="I27" i="35" a="1"/>
  <c r="I27" i="35" s="1"/>
  <c r="AB27" i="35" a="1"/>
  <c r="AB27" i="35" s="1"/>
  <c r="V28" i="35" a="1"/>
  <c r="V28" i="35" s="1"/>
  <c r="X26" i="35" a="1"/>
  <c r="X26" i="35" s="1"/>
  <c r="G28" i="35" a="1"/>
  <c r="G28" i="35" s="1"/>
  <c r="S27" i="35" a="1"/>
  <c r="S27" i="35" s="1"/>
  <c r="P27" i="35" a="1"/>
  <c r="P27" i="35" s="1"/>
  <c r="E28" i="35" a="1"/>
  <c r="E28" i="35" s="1"/>
  <c r="J28" i="35" a="1"/>
  <c r="J28" i="35" s="1"/>
  <c r="N26" i="35" a="1"/>
  <c r="N26" i="35" s="1"/>
  <c r="P26" i="35" a="1"/>
  <c r="P26" i="35" s="1"/>
  <c r="F28" i="35" a="1"/>
  <c r="F28" i="35" s="1"/>
  <c r="Q27" i="35" a="1"/>
  <c r="Q27" i="35" s="1"/>
  <c r="AB26" i="35" a="1"/>
  <c r="AB26" i="35" s="1"/>
  <c r="H28" i="35" a="1"/>
  <c r="H28" i="35" s="1"/>
  <c r="J27" i="35" a="1"/>
  <c r="J27" i="35" s="1"/>
  <c r="I26" i="35" a="1"/>
  <c r="I26" i="35" s="1"/>
  <c r="S26" i="35" a="1"/>
  <c r="S26" i="35" s="1"/>
  <c r="D26" i="35" a="1"/>
  <c r="D26" i="35" s="1"/>
  <c r="O26" i="35" a="1"/>
  <c r="O26" i="35" s="1"/>
  <c r="E27" i="35" a="1"/>
  <c r="E27" i="35" s="1"/>
  <c r="V27" i="35" a="1"/>
  <c r="V27" i="35" s="1"/>
  <c r="Z27" i="35" a="1"/>
  <c r="Z27" i="35" s="1"/>
  <c r="V26" i="35" a="1"/>
  <c r="V26" i="35" s="1"/>
  <c r="K28" i="35" a="1"/>
  <c r="K28" i="35" s="1"/>
  <c r="F27" i="35" a="1"/>
  <c r="F27" i="35" s="1"/>
  <c r="H27" i="35" a="1"/>
  <c r="H27" i="35" s="1"/>
  <c r="M28" i="35" a="1"/>
  <c r="M28" i="35" s="1"/>
  <c r="K27" i="35" a="1"/>
  <c r="K27" i="35" s="1"/>
  <c r="Y26" i="35" a="1"/>
  <c r="Y26" i="35" s="1"/>
  <c r="AA28" i="35" a="1"/>
  <c r="AA28" i="35" s="1"/>
  <c r="K26" i="35" a="1"/>
  <c r="K26" i="35" s="1"/>
  <c r="X27" i="35" a="1"/>
  <c r="X27" i="35" s="1"/>
  <c r="D27" i="35" a="1"/>
  <c r="D27" i="35" s="1"/>
  <c r="O27" i="35" a="1"/>
  <c r="O27" i="35" s="1"/>
  <c r="R26" i="35" a="1"/>
  <c r="R26" i="35" s="1"/>
  <c r="D28" i="35" a="1"/>
  <c r="D28" i="35" s="1"/>
  <c r="P28" i="35" a="1"/>
  <c r="P28" i="35" s="1"/>
  <c r="AA26" i="35" a="1"/>
  <c r="AA26" i="35" s="1"/>
  <c r="Y27" i="35" a="1"/>
  <c r="Y27" i="35" s="1"/>
  <c r="G27" i="35" a="1"/>
  <c r="G27" i="35" s="1"/>
  <c r="AA27" i="35" a="1"/>
  <c r="AA27" i="35" s="1"/>
  <c r="E26" i="35" a="1"/>
  <c r="E26" i="35" s="1"/>
  <c r="T28" i="35" a="1"/>
  <c r="T28" i="35" s="1"/>
  <c r="G26" i="35" a="1"/>
  <c r="G26" i="35" s="1"/>
  <c r="T27" i="35" a="1"/>
  <c r="T27" i="35" s="1"/>
  <c r="R28" i="35" a="1"/>
  <c r="R28" i="35" s="1"/>
  <c r="L27" i="35" a="1"/>
  <c r="L27" i="35" s="1"/>
  <c r="W27" i="35" a="1"/>
  <c r="W27" i="35" s="1"/>
  <c r="R27" i="35" a="1"/>
  <c r="R27" i="35" s="1"/>
  <c r="L26" i="35" a="1"/>
  <c r="L26" i="35" s="1"/>
  <c r="U28" i="35" a="1"/>
  <c r="U28" i="35" s="1"/>
  <c r="T26" i="35" a="1"/>
  <c r="T26" i="35" s="1"/>
  <c r="M26" i="35" a="1"/>
  <c r="M26" i="35" s="1"/>
  <c r="U27" i="35" a="1"/>
  <c r="U27" i="35" s="1"/>
  <c r="M27" i="35" a="1"/>
  <c r="M27" i="35" s="1"/>
  <c r="L28" i="35" a="1"/>
  <c r="L28" i="35" s="1"/>
  <c r="W26" i="35" a="1"/>
  <c r="W26" i="35" s="1"/>
  <c r="AB28" i="35" a="1"/>
  <c r="AB28" i="35" s="1"/>
  <c r="J26" i="35" a="1"/>
  <c r="J26" i="35" s="1"/>
  <c r="F26" i="35" a="1"/>
  <c r="F26" i="35" s="1"/>
  <c r="Z26" i="35" a="1"/>
  <c r="Z26" i="35" s="1"/>
  <c r="O28" i="35" a="1"/>
  <c r="O28" i="35" s="1"/>
  <c r="Q29" i="35" a="1"/>
  <c r="Q29" i="35" s="1"/>
  <c r="W29" i="35" a="1"/>
  <c r="W29" i="35" s="1"/>
  <c r="M29" i="35" a="1"/>
  <c r="M29" i="35" s="1"/>
  <c r="K29" i="35" a="1"/>
  <c r="K29" i="35" s="1"/>
  <c r="U29" i="35" a="1"/>
  <c r="U29" i="35" s="1"/>
  <c r="S29" i="35" a="1"/>
  <c r="S29" i="35" s="1"/>
  <c r="H29" i="35" a="1"/>
  <c r="H29" i="35" s="1"/>
  <c r="D29" i="35" a="1"/>
  <c r="D29" i="35" s="1"/>
  <c r="O29" i="35" a="1"/>
  <c r="O29" i="35" s="1"/>
  <c r="V29" i="35" a="1"/>
  <c r="V29" i="35" s="1"/>
  <c r="Z29" i="35" a="1"/>
  <c r="Z29" i="35" s="1"/>
  <c r="AB29" i="35" a="1"/>
  <c r="AB29" i="35" s="1"/>
  <c r="R29" i="35" a="1"/>
  <c r="R29" i="35" s="1"/>
  <c r="L29" i="35" a="1"/>
  <c r="L29" i="35" s="1"/>
  <c r="P29" i="35" a="1"/>
  <c r="P29" i="35" s="1"/>
  <c r="G29" i="35" a="1"/>
  <c r="G29" i="35" s="1"/>
  <c r="AA29" i="35" a="1"/>
  <c r="AA29" i="35" s="1"/>
  <c r="T29" i="35" a="1"/>
  <c r="T29" i="35" s="1"/>
  <c r="F29" i="35" a="1"/>
  <c r="F29" i="35" s="1"/>
  <c r="C29" i="35" a="1"/>
  <c r="C29" i="35" s="1"/>
  <c r="J29" i="35" a="1"/>
  <c r="J29" i="35" s="1"/>
  <c r="Y29" i="35" a="1"/>
  <c r="Y29" i="35" s="1"/>
  <c r="N29" i="35" a="1"/>
  <c r="N29" i="35" s="1"/>
  <c r="E29" i="35" a="1"/>
  <c r="E29" i="35" s="1"/>
  <c r="I29" i="35" a="1"/>
  <c r="I29" i="35" s="1"/>
  <c r="X29" i="35" a="1"/>
  <c r="X29" i="35" s="1"/>
  <c r="C349" i="33"/>
  <c r="S14" i="4" s="1"/>
  <c r="A350" i="33"/>
  <c r="M11" i="20"/>
  <c r="M8" i="12"/>
  <c r="A351" i="33" l="1"/>
  <c r="C350" i="33"/>
  <c r="S15" i="4" s="1"/>
  <c r="C214" i="35"/>
  <c r="C219" i="35" s="1"/>
  <c r="C35" i="35"/>
  <c r="AB214" i="35"/>
  <c r="AB219" i="35" s="1"/>
  <c r="AB35" i="35"/>
  <c r="K214" i="35"/>
  <c r="K219" i="35" s="1"/>
  <c r="K35" i="35"/>
  <c r="AB213" i="35"/>
  <c r="AB218" i="35" s="1"/>
  <c r="AB34" i="35"/>
  <c r="L211" i="35"/>
  <c r="L216" i="35" s="1"/>
  <c r="L32" i="35"/>
  <c r="E211" i="35"/>
  <c r="E216" i="35" s="1"/>
  <c r="E32" i="35"/>
  <c r="O212" i="35"/>
  <c r="O217" i="35" s="1"/>
  <c r="O33" i="35"/>
  <c r="H212" i="35"/>
  <c r="H217" i="35" s="1"/>
  <c r="H33" i="35"/>
  <c r="D211" i="35"/>
  <c r="D216" i="35" s="1"/>
  <c r="D32" i="35"/>
  <c r="P211" i="35"/>
  <c r="P216" i="35" s="1"/>
  <c r="P32" i="35"/>
  <c r="V213" i="35"/>
  <c r="V218" i="35" s="1"/>
  <c r="V34" i="35"/>
  <c r="Q213" i="35"/>
  <c r="Q218" i="35" s="1"/>
  <c r="Q34" i="35"/>
  <c r="X213" i="35"/>
  <c r="X218" i="35" s="1"/>
  <c r="X34" i="35"/>
  <c r="B37" i="35"/>
  <c r="B199" i="35"/>
  <c r="B205" i="35" s="1"/>
  <c r="S10" i="5"/>
  <c r="S10" i="20"/>
  <c r="S7" i="12"/>
  <c r="S10" i="18"/>
  <c r="F214" i="35"/>
  <c r="F219" i="35" s="1"/>
  <c r="F35" i="35"/>
  <c r="Z214" i="35"/>
  <c r="Z219" i="35" s="1"/>
  <c r="Z35" i="35"/>
  <c r="M214" i="35"/>
  <c r="M219" i="35" s="1"/>
  <c r="M35" i="35"/>
  <c r="W211" i="35"/>
  <c r="W216" i="35" s="1"/>
  <c r="W32" i="35"/>
  <c r="R212" i="35"/>
  <c r="R217" i="35" s="1"/>
  <c r="R33" i="35"/>
  <c r="AA212" i="35"/>
  <c r="AA217" i="35" s="1"/>
  <c r="AA33" i="35"/>
  <c r="D212" i="35"/>
  <c r="D217" i="35" s="1"/>
  <c r="D33" i="35"/>
  <c r="F212" i="35"/>
  <c r="F217" i="35" s="1"/>
  <c r="F33" i="35"/>
  <c r="S211" i="35"/>
  <c r="S216" i="35" s="1"/>
  <c r="S32" i="35"/>
  <c r="N211" i="35"/>
  <c r="N216" i="35" s="1"/>
  <c r="N32" i="35"/>
  <c r="AB212" i="35"/>
  <c r="AB217" i="35" s="1"/>
  <c r="AB33" i="35"/>
  <c r="C212" i="35"/>
  <c r="C217" i="35" s="1"/>
  <c r="C33" i="35"/>
  <c r="Y213" i="35"/>
  <c r="Y218" i="35" s="1"/>
  <c r="Y34" i="35"/>
  <c r="AA137" i="35"/>
  <c r="J139" i="35"/>
  <c r="Z92" i="35"/>
  <c r="O43" i="35"/>
  <c r="Z46" i="35"/>
  <c r="Z137" i="35"/>
  <c r="T44" i="35"/>
  <c r="L90" i="35"/>
  <c r="F46" i="35"/>
  <c r="H43" i="35"/>
  <c r="D93" i="35"/>
  <c r="U93" i="35"/>
  <c r="O91" i="35"/>
  <c r="E91" i="35"/>
  <c r="H90" i="35"/>
  <c r="AB91" i="35"/>
  <c r="D92" i="35"/>
  <c r="X46" i="35"/>
  <c r="C45" i="35"/>
  <c r="AA93" i="35"/>
  <c r="K43" i="35"/>
  <c r="R91" i="35"/>
  <c r="X45" i="35"/>
  <c r="E93" i="35"/>
  <c r="L91" i="35"/>
  <c r="T140" i="35"/>
  <c r="R140" i="35"/>
  <c r="G138" i="35"/>
  <c r="AA43" i="35"/>
  <c r="X138" i="35"/>
  <c r="P139" i="35"/>
  <c r="AB92" i="35"/>
  <c r="R45" i="35"/>
  <c r="D140" i="35"/>
  <c r="C93" i="35"/>
  <c r="W93" i="35"/>
  <c r="W43" i="35"/>
  <c r="G91" i="35"/>
  <c r="O45" i="35"/>
  <c r="Z139" i="35"/>
  <c r="V43" i="35"/>
  <c r="P90" i="35"/>
  <c r="F91" i="35"/>
  <c r="L93" i="35"/>
  <c r="U46" i="35"/>
  <c r="H137" i="35"/>
  <c r="I43" i="35"/>
  <c r="S138" i="35"/>
  <c r="J92" i="35"/>
  <c r="W140" i="35"/>
  <c r="H140" i="35"/>
  <c r="AB140" i="35"/>
  <c r="T92" i="35"/>
  <c r="AA139" i="35"/>
  <c r="E139" i="35"/>
  <c r="P137" i="35"/>
  <c r="Z44" i="35"/>
  <c r="S137" i="35"/>
  <c r="K140" i="35"/>
  <c r="K137" i="35"/>
  <c r="P92" i="35"/>
  <c r="AB45" i="35"/>
  <c r="K93" i="35"/>
  <c r="P140" i="35"/>
  <c r="U137" i="35"/>
  <c r="S92" i="35"/>
  <c r="H138" i="35"/>
  <c r="G44" i="35"/>
  <c r="U140" i="35"/>
  <c r="X91" i="35"/>
  <c r="H44" i="35"/>
  <c r="X43" i="35"/>
  <c r="J46" i="35"/>
  <c r="F137" i="35"/>
  <c r="C92" i="35"/>
  <c r="N139" i="35"/>
  <c r="Y45" i="35"/>
  <c r="X92" i="35"/>
  <c r="W46" i="35"/>
  <c r="L139" i="35"/>
  <c r="E137" i="35"/>
  <c r="F140" i="35"/>
  <c r="D44" i="35"/>
  <c r="U45" i="35"/>
  <c r="L43" i="35"/>
  <c r="M90" i="35"/>
  <c r="G140" i="35"/>
  <c r="X93" i="35"/>
  <c r="D139" i="35"/>
  <c r="G43" i="35"/>
  <c r="V46" i="35"/>
  <c r="K138" i="35"/>
  <c r="V45" i="35"/>
  <c r="O139" i="35"/>
  <c r="Y43" i="35"/>
  <c r="D46" i="35"/>
  <c r="N91" i="35"/>
  <c r="C90" i="35"/>
  <c r="T137" i="35"/>
  <c r="E138" i="35"/>
  <c r="I93" i="35"/>
  <c r="L137" i="35"/>
  <c r="F138" i="35"/>
  <c r="W92" i="35"/>
  <c r="F44" i="35"/>
  <c r="K44" i="35"/>
  <c r="W90" i="35"/>
  <c r="AA45" i="35"/>
  <c r="N45" i="35"/>
  <c r="G46" i="35"/>
  <c r="P43" i="35"/>
  <c r="U138" i="35"/>
  <c r="O138" i="35"/>
  <c r="J140" i="35"/>
  <c r="J93" i="35"/>
  <c r="AA46" i="35"/>
  <c r="Y44" i="35"/>
  <c r="K46" i="35"/>
  <c r="H92" i="35"/>
  <c r="M45" i="35"/>
  <c r="Y138" i="35"/>
  <c r="J91" i="35"/>
  <c r="S91" i="35"/>
  <c r="I139" i="35"/>
  <c r="R93" i="35"/>
  <c r="M92" i="35"/>
  <c r="AB43" i="35"/>
  <c r="I137" i="35"/>
  <c r="J137" i="35"/>
  <c r="N90" i="35"/>
  <c r="O46" i="35"/>
  <c r="S139" i="35"/>
  <c r="X44" i="35"/>
  <c r="S46" i="35"/>
  <c r="D91" i="35"/>
  <c r="M139" i="35"/>
  <c r="J43" i="35"/>
  <c r="Z43" i="35"/>
  <c r="D138" i="35"/>
  <c r="O44" i="35"/>
  <c r="AA91" i="35"/>
  <c r="AB139" i="35"/>
  <c r="L140" i="35"/>
  <c r="T138" i="35"/>
  <c r="E90" i="35"/>
  <c r="V137" i="35"/>
  <c r="O90" i="35"/>
  <c r="D90" i="35"/>
  <c r="AB137" i="35"/>
  <c r="V93" i="35"/>
  <c r="C140" i="35"/>
  <c r="S44" i="35"/>
  <c r="O92" i="35"/>
  <c r="M93" i="35"/>
  <c r="D43" i="35"/>
  <c r="N43" i="35"/>
  <c r="AA140" i="35"/>
  <c r="F43" i="35"/>
  <c r="S140" i="35"/>
  <c r="C46" i="35"/>
  <c r="F93" i="35"/>
  <c r="W137" i="35"/>
  <c r="X137" i="35"/>
  <c r="T43" i="35"/>
  <c r="H45" i="35"/>
  <c r="G45" i="35"/>
  <c r="T90" i="35"/>
  <c r="Z45" i="35"/>
  <c r="C137" i="35"/>
  <c r="W44" i="35"/>
  <c r="L92" i="35"/>
  <c r="G137" i="35"/>
  <c r="I90" i="35"/>
  <c r="V90" i="35"/>
  <c r="Z91" i="35"/>
  <c r="E44" i="35"/>
  <c r="AA44" i="35"/>
  <c r="Y91" i="35"/>
  <c r="M91" i="35"/>
  <c r="U92" i="35"/>
  <c r="P45" i="35"/>
  <c r="AA138" i="35"/>
  <c r="M138" i="35"/>
  <c r="P44" i="35"/>
  <c r="R44" i="35"/>
  <c r="K92" i="35"/>
  <c r="W138" i="35"/>
  <c r="AA92" i="35"/>
  <c r="R92" i="35"/>
  <c r="N137" i="35"/>
  <c r="V138" i="35"/>
  <c r="C91" i="35"/>
  <c r="AA90" i="35"/>
  <c r="G92" i="35"/>
  <c r="I91" i="35"/>
  <c r="U90" i="35"/>
  <c r="E43" i="35"/>
  <c r="H139" i="35"/>
  <c r="R139" i="35"/>
  <c r="C138" i="35"/>
  <c r="E46" i="35"/>
  <c r="H93" i="35"/>
  <c r="M46" i="35"/>
  <c r="T91" i="35"/>
  <c r="E140" i="35"/>
  <c r="F139" i="35"/>
  <c r="P91" i="35"/>
  <c r="AB138" i="35"/>
  <c r="J90" i="35"/>
  <c r="P46" i="35"/>
  <c r="C139" i="35"/>
  <c r="I92" i="35"/>
  <c r="M44" i="35"/>
  <c r="F90" i="35"/>
  <c r="I138" i="35"/>
  <c r="N46" i="35"/>
  <c r="J138" i="35"/>
  <c r="S93" i="35"/>
  <c r="N92" i="35"/>
  <c r="Y137" i="35"/>
  <c r="N140" i="35"/>
  <c r="V139" i="35"/>
  <c r="AB93" i="35"/>
  <c r="Q92" i="35"/>
  <c r="X90" i="35"/>
  <c r="I45" i="35"/>
  <c r="Q44" i="35"/>
  <c r="O93" i="35"/>
  <c r="N138" i="35"/>
  <c r="U139" i="35"/>
  <c r="F92" i="35"/>
  <c r="Q43" i="35"/>
  <c r="Y139" i="35"/>
  <c r="M140" i="35"/>
  <c r="G90" i="35"/>
  <c r="U44" i="35"/>
  <c r="U91" i="35"/>
  <c r="Q138" i="35"/>
  <c r="W45" i="35"/>
  <c r="R43" i="35"/>
  <c r="V140" i="35"/>
  <c r="H46" i="35"/>
  <c r="G93" i="35"/>
  <c r="Z93" i="35"/>
  <c r="Z138" i="35"/>
  <c r="R90" i="35"/>
  <c r="Q91" i="35"/>
  <c r="T46" i="35"/>
  <c r="I140" i="35"/>
  <c r="M137" i="35"/>
  <c r="W91" i="35"/>
  <c r="X140" i="35"/>
  <c r="V44" i="35"/>
  <c r="AB90" i="35"/>
  <c r="O140" i="35"/>
  <c r="K45" i="35"/>
  <c r="N44" i="35"/>
  <c r="U43" i="35"/>
  <c r="O137" i="35"/>
  <c r="C43" i="35"/>
  <c r="L46" i="35"/>
  <c r="K139" i="35"/>
  <c r="C44" i="35"/>
  <c r="T45" i="35"/>
  <c r="Q137" i="35"/>
  <c r="H91" i="35"/>
  <c r="D45" i="35"/>
  <c r="E45" i="35"/>
  <c r="K90" i="35"/>
  <c r="Q140" i="35"/>
  <c r="T93" i="35"/>
  <c r="F45" i="35"/>
  <c r="E92" i="35"/>
  <c r="Q93" i="35"/>
  <c r="J44" i="35"/>
  <c r="T139" i="35"/>
  <c r="P93" i="35"/>
  <c r="Y46" i="35"/>
  <c r="L45" i="35"/>
  <c r="Y90" i="35"/>
  <c r="I46" i="35"/>
  <c r="V92" i="35"/>
  <c r="D137" i="35"/>
  <c r="Z90" i="35"/>
  <c r="S45" i="35"/>
  <c r="L44" i="35"/>
  <c r="I44" i="35"/>
  <c r="K91" i="35"/>
  <c r="AB46" i="35"/>
  <c r="S43" i="35"/>
  <c r="Y92" i="35"/>
  <c r="W139" i="35"/>
  <c r="Y140" i="35"/>
  <c r="Z140" i="35"/>
  <c r="V91" i="35"/>
  <c r="N93" i="35"/>
  <c r="AB44" i="35"/>
  <c r="Q90" i="35"/>
  <c r="L138" i="35"/>
  <c r="Q45" i="35"/>
  <c r="R138" i="35"/>
  <c r="S90" i="35"/>
  <c r="M43" i="35"/>
  <c r="R137" i="35"/>
  <c r="P138" i="35"/>
  <c r="Y93" i="35"/>
  <c r="J45" i="35"/>
  <c r="G139" i="35"/>
  <c r="Q139" i="35"/>
  <c r="R46" i="35"/>
  <c r="Q46" i="35"/>
  <c r="X139" i="35"/>
  <c r="X214" i="35"/>
  <c r="X219" i="35" s="1"/>
  <c r="X35" i="35"/>
  <c r="Y214" i="35"/>
  <c r="Y219" i="35" s="1"/>
  <c r="Y35" i="35"/>
  <c r="T214" i="35"/>
  <c r="T219" i="35" s="1"/>
  <c r="T35" i="35"/>
  <c r="L214" i="35"/>
  <c r="L219" i="35" s="1"/>
  <c r="L35" i="35"/>
  <c r="V214" i="35"/>
  <c r="V219" i="35" s="1"/>
  <c r="V35" i="35"/>
  <c r="S214" i="35"/>
  <c r="S219" i="35" s="1"/>
  <c r="S35" i="35"/>
  <c r="W214" i="35"/>
  <c r="W219" i="35" s="1"/>
  <c r="W35" i="35"/>
  <c r="F211" i="35"/>
  <c r="F216" i="35" s="1"/>
  <c r="F32" i="35"/>
  <c r="L213" i="35"/>
  <c r="L218" i="35" s="1"/>
  <c r="L34" i="35"/>
  <c r="T211" i="35"/>
  <c r="T216" i="35" s="1"/>
  <c r="T32" i="35"/>
  <c r="W212" i="35"/>
  <c r="W217" i="35" s="1"/>
  <c r="W33" i="35"/>
  <c r="G211" i="35"/>
  <c r="G216" i="35" s="1"/>
  <c r="G32" i="35"/>
  <c r="G212" i="35"/>
  <c r="G217" i="35" s="1"/>
  <c r="G33" i="35"/>
  <c r="D213" i="35"/>
  <c r="D218" i="35" s="1"/>
  <c r="D34" i="35"/>
  <c r="X212" i="35"/>
  <c r="X217" i="35" s="1"/>
  <c r="X33" i="35"/>
  <c r="K212" i="35"/>
  <c r="K217" i="35" s="1"/>
  <c r="K33" i="35"/>
  <c r="K213" i="35"/>
  <c r="K218" i="35" s="1"/>
  <c r="K34" i="35"/>
  <c r="E212" i="35"/>
  <c r="E217" i="35" s="1"/>
  <c r="E33" i="35"/>
  <c r="I211" i="35"/>
  <c r="I216" i="35" s="1"/>
  <c r="I32" i="35"/>
  <c r="Q212" i="35"/>
  <c r="Q217" i="35" s="1"/>
  <c r="Q33" i="35"/>
  <c r="J213" i="35"/>
  <c r="J218" i="35" s="1"/>
  <c r="J34" i="35"/>
  <c r="G213" i="35"/>
  <c r="G218" i="35" s="1"/>
  <c r="G34" i="35"/>
  <c r="I212" i="35"/>
  <c r="I217" i="35" s="1"/>
  <c r="I33" i="35"/>
  <c r="C211" i="35"/>
  <c r="C216" i="35" s="1"/>
  <c r="C32" i="35"/>
  <c r="C213" i="35"/>
  <c r="C218" i="35" s="1"/>
  <c r="C34" i="35"/>
  <c r="Q211" i="35"/>
  <c r="Q216" i="35" s="1"/>
  <c r="Q32" i="35"/>
  <c r="B67" i="35"/>
  <c r="E214" i="35"/>
  <c r="E219" i="35" s="1"/>
  <c r="E35" i="35"/>
  <c r="G214" i="35"/>
  <c r="G219" i="35" s="1"/>
  <c r="G35" i="35"/>
  <c r="D214" i="35"/>
  <c r="D219" i="35" s="1"/>
  <c r="D35" i="35"/>
  <c r="O213" i="35"/>
  <c r="O218" i="35" s="1"/>
  <c r="O34" i="35"/>
  <c r="U212" i="35"/>
  <c r="U217" i="35" s="1"/>
  <c r="U33" i="35"/>
  <c r="R213" i="35"/>
  <c r="R218" i="35" s="1"/>
  <c r="R34" i="35"/>
  <c r="AA211" i="35"/>
  <c r="AA216" i="35" s="1"/>
  <c r="AA32" i="35"/>
  <c r="AA213" i="35"/>
  <c r="AA218" i="35" s="1"/>
  <c r="AA34" i="35"/>
  <c r="Z212" i="35"/>
  <c r="Z217" i="35" s="1"/>
  <c r="Z33" i="35"/>
  <c r="H213" i="35"/>
  <c r="H218" i="35" s="1"/>
  <c r="H34" i="35"/>
  <c r="P212" i="35"/>
  <c r="P217" i="35" s="1"/>
  <c r="P33" i="35"/>
  <c r="S213" i="35"/>
  <c r="S218" i="35" s="1"/>
  <c r="S34" i="35"/>
  <c r="I213" i="35"/>
  <c r="I218" i="35" s="1"/>
  <c r="I34" i="35"/>
  <c r="N214" i="35"/>
  <c r="N219" i="35" s="1"/>
  <c r="N35" i="35"/>
  <c r="P214" i="35"/>
  <c r="P219" i="35" s="1"/>
  <c r="P35" i="35"/>
  <c r="H214" i="35"/>
  <c r="H219" i="35" s="1"/>
  <c r="H35" i="35"/>
  <c r="Z211" i="35"/>
  <c r="Z216" i="35" s="1"/>
  <c r="Z32" i="35"/>
  <c r="M211" i="35"/>
  <c r="M216" i="35" s="1"/>
  <c r="M32" i="35"/>
  <c r="T212" i="35"/>
  <c r="T217" i="35" s="1"/>
  <c r="T33" i="35"/>
  <c r="P213" i="35"/>
  <c r="P218" i="35" s="1"/>
  <c r="P34" i="35"/>
  <c r="Y211" i="35"/>
  <c r="Y216" i="35" s="1"/>
  <c r="Y32" i="35"/>
  <c r="V212" i="35"/>
  <c r="V217" i="35" s="1"/>
  <c r="V33" i="35"/>
  <c r="AB211" i="35"/>
  <c r="AB216" i="35" s="1"/>
  <c r="AB32" i="35"/>
  <c r="S212" i="35"/>
  <c r="S217" i="35" s="1"/>
  <c r="S33" i="35"/>
  <c r="W213" i="35"/>
  <c r="W218" i="35" s="1"/>
  <c r="W34" i="35"/>
  <c r="N213" i="35"/>
  <c r="N218" i="35" s="1"/>
  <c r="N34" i="35"/>
  <c r="I214" i="35"/>
  <c r="I219" i="35" s="1"/>
  <c r="I35" i="35"/>
  <c r="J214" i="35"/>
  <c r="J219" i="35" s="1"/>
  <c r="J35" i="35"/>
  <c r="AA214" i="35"/>
  <c r="AA219" i="35" s="1"/>
  <c r="AA35" i="35"/>
  <c r="R214" i="35"/>
  <c r="R219" i="35" s="1"/>
  <c r="R35" i="35"/>
  <c r="O214" i="35"/>
  <c r="O219" i="35" s="1"/>
  <c r="O35" i="35"/>
  <c r="U214" i="35"/>
  <c r="U219" i="35" s="1"/>
  <c r="U35" i="35"/>
  <c r="Q214" i="35"/>
  <c r="Q219" i="35" s="1"/>
  <c r="Q35" i="35"/>
  <c r="J211" i="35"/>
  <c r="J216" i="35" s="1"/>
  <c r="J32" i="35"/>
  <c r="M212" i="35"/>
  <c r="M217" i="35" s="1"/>
  <c r="M33" i="35"/>
  <c r="U213" i="35"/>
  <c r="U218" i="35" s="1"/>
  <c r="U34" i="35"/>
  <c r="L212" i="35"/>
  <c r="L217" i="35" s="1"/>
  <c r="L33" i="35"/>
  <c r="T213" i="35"/>
  <c r="T218" i="35" s="1"/>
  <c r="T34" i="35"/>
  <c r="Y212" i="35"/>
  <c r="Y217" i="35" s="1"/>
  <c r="Y33" i="35"/>
  <c r="R211" i="35"/>
  <c r="R216" i="35" s="1"/>
  <c r="R32" i="35"/>
  <c r="K211" i="35"/>
  <c r="K216" i="35" s="1"/>
  <c r="K32" i="35"/>
  <c r="M213" i="35"/>
  <c r="M218" i="35" s="1"/>
  <c r="M34" i="35"/>
  <c r="V211" i="35"/>
  <c r="V216" i="35" s="1"/>
  <c r="V32" i="35"/>
  <c r="O211" i="35"/>
  <c r="O216" i="35" s="1"/>
  <c r="O32" i="35"/>
  <c r="J212" i="35"/>
  <c r="J217" i="35" s="1"/>
  <c r="J33" i="35"/>
  <c r="F213" i="35"/>
  <c r="F218" i="35" s="1"/>
  <c r="F34" i="35"/>
  <c r="E213" i="35"/>
  <c r="E218" i="35" s="1"/>
  <c r="E34" i="35"/>
  <c r="X211" i="35"/>
  <c r="X216" i="35" s="1"/>
  <c r="X32" i="35"/>
  <c r="Z213" i="35"/>
  <c r="Z218" i="35" s="1"/>
  <c r="Z34" i="35"/>
  <c r="H211" i="35"/>
  <c r="H216" i="35" s="1"/>
  <c r="H32" i="35"/>
  <c r="N212" i="35"/>
  <c r="N217" i="35" s="1"/>
  <c r="N33" i="35"/>
  <c r="U211" i="35"/>
  <c r="U216" i="35" s="1"/>
  <c r="U32" i="35"/>
  <c r="B114" i="35"/>
  <c r="B161" i="35"/>
  <c r="A352" i="33" l="1"/>
  <c r="C351" i="33"/>
  <c r="V14" i="4" s="1"/>
  <c r="S11" i="18"/>
  <c r="S8" i="12"/>
  <c r="S11" i="20"/>
  <c r="S11" i="5"/>
  <c r="A353" i="33" l="1"/>
  <c r="C352" i="33"/>
  <c r="V15" i="4" s="1"/>
  <c r="C353" i="33" l="1"/>
  <c r="V16" i="4" s="1"/>
  <c r="A354" i="33"/>
  <c r="C354" i="33" l="1"/>
  <c r="W16" i="4" s="1"/>
  <c r="A355" i="33"/>
  <c r="A356" i="33" l="1"/>
  <c r="C355" i="33"/>
  <c r="Y15" i="4" s="1"/>
  <c r="A357" i="33" l="1"/>
  <c r="C356" i="33"/>
  <c r="L38" i="4" s="1"/>
  <c r="C357" i="33" l="1"/>
  <c r="A358" i="33"/>
  <c r="R40" i="4" l="1"/>
  <c r="L39" i="4"/>
  <c r="A359" i="33"/>
  <c r="C358" i="33"/>
  <c r="L40" i="4" s="1"/>
  <c r="A360" i="33" l="1"/>
  <c r="C359" i="33"/>
  <c r="L41" i="4" s="1"/>
  <c r="A361" i="33" l="1"/>
  <c r="C360" i="33"/>
  <c r="L43" i="4" s="1"/>
  <c r="C361" i="33" l="1"/>
  <c r="L45" i="4" s="1"/>
  <c r="A362" i="33"/>
  <c r="A363" i="33" l="1"/>
  <c r="C362" i="33"/>
  <c r="L46" i="4" s="1"/>
  <c r="C363" i="33" l="1"/>
  <c r="L47" i="4" s="1"/>
  <c r="A364" i="33"/>
  <c r="A365" i="33" l="1"/>
  <c r="C364" i="33"/>
  <c r="L48" i="4" s="1"/>
  <c r="C365" i="33" l="1"/>
  <c r="A366" i="33"/>
  <c r="A367" i="33" l="1"/>
  <c r="C366" i="33"/>
  <c r="R41" i="4" s="1"/>
  <c r="A368" i="33" l="1"/>
  <c r="C367" i="33"/>
  <c r="C368" i="33" l="1"/>
  <c r="B2" i="5" s="1"/>
  <c r="C12" i="1" s="1"/>
  <c r="A369" i="33"/>
  <c r="A370" i="33" l="1"/>
  <c r="C369" i="33"/>
  <c r="O2" i="5" s="1"/>
  <c r="A371" i="33" l="1"/>
  <c r="C370" i="33"/>
  <c r="B5" i="5" s="1"/>
  <c r="A372" i="33" l="1"/>
  <c r="C371" i="33"/>
  <c r="B6" i="5" s="1"/>
  <c r="C372" i="33" l="1"/>
  <c r="B7" i="5" s="1"/>
  <c r="A373" i="33"/>
  <c r="A374" i="33" l="1"/>
  <c r="C373" i="33"/>
  <c r="A375" i="33" l="1"/>
  <c r="C374" i="33"/>
  <c r="B12" i="5" s="1"/>
  <c r="A376" i="33" l="1"/>
  <c r="C375" i="33"/>
  <c r="C12" i="5" s="1"/>
  <c r="B12" i="18"/>
  <c r="B9" i="12"/>
  <c r="B12" i="20"/>
  <c r="C376" i="33" l="1"/>
  <c r="D12" i="5" s="1"/>
  <c r="A377" i="33"/>
  <c r="C12" i="20"/>
  <c r="C9" i="12"/>
  <c r="C12" i="18"/>
  <c r="D12" i="20" l="1"/>
  <c r="D9" i="12"/>
  <c r="D12" i="18"/>
  <c r="C377" i="33"/>
  <c r="E12" i="5" s="1"/>
  <c r="A378" i="33"/>
  <c r="E12" i="18" l="1"/>
  <c r="E9" i="12"/>
  <c r="E12" i="20"/>
  <c r="C378" i="33"/>
  <c r="F11" i="5" s="1"/>
  <c r="A379" i="33"/>
  <c r="F11" i="18" l="1"/>
  <c r="F11" i="20"/>
  <c r="F8" i="12"/>
  <c r="A380" i="33"/>
  <c r="C379" i="33"/>
  <c r="I10" i="5" s="1"/>
  <c r="A381" i="33" l="1"/>
  <c r="C380" i="33"/>
  <c r="I11" i="5" s="1"/>
  <c r="A382" i="33" l="1"/>
  <c r="C381" i="33"/>
  <c r="I12" i="5" s="1"/>
  <c r="C382" i="33" l="1"/>
  <c r="J12" i="5" s="1"/>
  <c r="A383" i="33"/>
  <c r="I12" i="20"/>
  <c r="I12" i="18"/>
  <c r="J9" i="12"/>
  <c r="J12" i="20" l="1"/>
  <c r="J12" i="18"/>
  <c r="K9" i="12"/>
  <c r="A384" i="33"/>
  <c r="C383" i="33"/>
  <c r="K12" i="5" s="1"/>
  <c r="K12" i="18" l="1"/>
  <c r="K12" i="20"/>
  <c r="C384" i="33"/>
  <c r="K34" i="5" s="1"/>
  <c r="A385" i="33"/>
  <c r="A386" i="33" l="1"/>
  <c r="C385" i="33"/>
  <c r="K35" i="5" s="1"/>
  <c r="C386" i="33" l="1"/>
  <c r="K36" i="5" s="1"/>
  <c r="A387" i="33"/>
  <c r="A388" i="33" l="1"/>
  <c r="C387" i="33"/>
  <c r="K38" i="5" s="1"/>
  <c r="A389" i="33" l="1"/>
  <c r="C388" i="33"/>
  <c r="K39" i="5" s="1"/>
  <c r="A390" i="33" l="1"/>
  <c r="C389" i="33"/>
  <c r="R34" i="5" s="1"/>
  <c r="C390" i="33" l="1"/>
  <c r="R35" i="5" s="1"/>
  <c r="A391" i="33"/>
  <c r="C391" i="33" l="1"/>
  <c r="R36" i="5" s="1"/>
  <c r="A392" i="33"/>
  <c r="C392" i="33" l="1"/>
  <c r="R38" i="5" s="1"/>
  <c r="A393" i="33"/>
  <c r="A394" i="33" l="1"/>
  <c r="C393" i="33"/>
  <c r="B2" i="18" s="1"/>
  <c r="C13" i="1" s="1"/>
  <c r="A395" i="33" l="1"/>
  <c r="C394" i="33"/>
  <c r="O2" i="18" s="1"/>
  <c r="C395" i="33" l="1"/>
  <c r="B5" i="18" s="1"/>
  <c r="A396" i="33"/>
  <c r="C396" i="33" l="1"/>
  <c r="B6" i="18" s="1"/>
  <c r="A397" i="33"/>
  <c r="A398" i="33" l="1"/>
  <c r="C397" i="33"/>
  <c r="B7" i="18" s="1"/>
  <c r="A399" i="33" l="1"/>
  <c r="C398" i="33"/>
  <c r="I10" i="18" s="1"/>
  <c r="C399" i="33" l="1"/>
  <c r="I11" i="18" s="1"/>
  <c r="A400" i="33"/>
  <c r="A401" i="33" l="1"/>
  <c r="C400" i="33"/>
  <c r="K34" i="18" s="1"/>
  <c r="A402" i="33" l="1"/>
  <c r="C401" i="33"/>
  <c r="K35" i="18" s="1"/>
  <c r="A403" i="33" l="1"/>
  <c r="C402" i="33"/>
  <c r="K36" i="18" s="1"/>
  <c r="C403" i="33" l="1"/>
  <c r="K38" i="18" s="1"/>
  <c r="A404" i="33"/>
  <c r="A405" i="33" l="1"/>
  <c r="C404" i="33"/>
  <c r="K39" i="18" s="1"/>
  <c r="C405" i="33" l="1"/>
  <c r="R34" i="18" s="1"/>
  <c r="A406" i="33"/>
  <c r="A407" i="33" l="1"/>
  <c r="C406" i="33"/>
  <c r="R35" i="18" s="1"/>
  <c r="C407" i="33" l="1"/>
  <c r="R36" i="18" s="1"/>
  <c r="A408" i="33"/>
  <c r="A409" i="33" l="1"/>
  <c r="C408" i="33"/>
  <c r="R38" i="18" s="1"/>
  <c r="A410" i="33" l="1"/>
  <c r="C409" i="33"/>
  <c r="B1" i="2" s="1"/>
  <c r="C33" i="1" s="1"/>
  <c r="C410" i="33" l="1"/>
  <c r="A411" i="33"/>
  <c r="C411" i="33" l="1"/>
  <c r="A412" i="33"/>
  <c r="A413" i="33" l="1"/>
  <c r="C412" i="33"/>
  <c r="B3" i="2" s="1"/>
  <c r="A414" i="33" l="1"/>
  <c r="C413" i="33"/>
  <c r="B4" i="2" s="1"/>
  <c r="C414" i="33" l="1"/>
  <c r="B5" i="2" s="1"/>
  <c r="A415" i="33"/>
  <c r="A416" i="33" l="1"/>
  <c r="C415" i="33"/>
  <c r="B6" i="2" s="1"/>
  <c r="C416" i="33" l="1"/>
  <c r="B7" i="2" s="1"/>
  <c r="A417" i="33"/>
  <c r="A418" i="33" l="1"/>
  <c r="C417" i="33"/>
  <c r="B9" i="2" s="1"/>
  <c r="C418" i="33" l="1"/>
  <c r="D9" i="2" s="1"/>
  <c r="A419" i="33"/>
  <c r="A420" i="33" l="1"/>
  <c r="C419" i="33"/>
  <c r="E9" i="2" s="1"/>
  <c r="A421" i="33" l="1"/>
  <c r="C420" i="33"/>
  <c r="F9" i="2" s="1"/>
  <c r="A422" i="33" l="1"/>
  <c r="C421" i="33"/>
  <c r="G9" i="2" s="1"/>
  <c r="C422" i="33" l="1"/>
  <c r="H9" i="2" s="1"/>
  <c r="A423" i="33"/>
  <c r="C423" i="33" l="1"/>
  <c r="I9" i="2" s="1"/>
  <c r="A424" i="33"/>
  <c r="C424" i="33" l="1"/>
  <c r="J9" i="2" s="1"/>
  <c r="A425" i="33"/>
  <c r="A426" i="33" l="1"/>
  <c r="C425" i="33"/>
  <c r="K9" i="2" s="1"/>
  <c r="C426" i="33" l="1"/>
  <c r="L9" i="2" s="1"/>
  <c r="A427" i="33"/>
  <c r="A428" i="33" l="1"/>
  <c r="C427" i="33"/>
  <c r="M9" i="2" s="1"/>
  <c r="A429" i="33" l="1"/>
  <c r="C428" i="33"/>
  <c r="N9" i="2" s="1"/>
  <c r="A430" i="33" l="1"/>
  <c r="C429" i="33"/>
  <c r="O9" i="2" s="1"/>
  <c r="C430" i="33" l="1"/>
  <c r="P9" i="2" s="1"/>
  <c r="A431" i="33"/>
  <c r="C431" i="33" l="1"/>
  <c r="A432" i="33"/>
  <c r="D281" i="2" l="1"/>
  <c r="B281" i="2"/>
  <c r="C432" i="33"/>
  <c r="B282" i="2" s="1"/>
  <c r="A433" i="33"/>
  <c r="A434" i="33" s="1"/>
  <c r="A435" i="33" s="1"/>
  <c r="A436" i="33" s="1"/>
  <c r="A437" i="33" s="1"/>
  <c r="A438" i="33" s="1"/>
  <c r="A439" i="33" s="1"/>
  <c r="A440" i="33" s="1"/>
  <c r="A441" i="33" s="1"/>
  <c r="A442" i="33" s="1"/>
  <c r="A443" i="33" s="1"/>
  <c r="A444" i="33" s="1"/>
  <c r="A445" i="33" s="1"/>
  <c r="A446" i="33" s="1"/>
  <c r="A447" i="33" s="1"/>
  <c r="A448" i="33" s="1"/>
  <c r="A449" i="33" s="1"/>
  <c r="A450" i="33" s="1"/>
  <c r="A451" i="33" s="1"/>
  <c r="A452" i="33" s="1"/>
  <c r="A453" i="33" s="1"/>
  <c r="A454" i="33" s="1"/>
  <c r="A455" i="33" s="1"/>
  <c r="A456" i="33" s="1"/>
  <c r="A457" i="33" s="1"/>
  <c r="A458" i="33" s="1"/>
  <c r="A459" i="33" s="1"/>
  <c r="A460" i="33" s="1"/>
  <c r="A461" i="33" s="1"/>
  <c r="A462" i="33" s="1"/>
  <c r="A463" i="33" s="1"/>
  <c r="A464" i="33" s="1"/>
  <c r="A465" i="33" s="1"/>
  <c r="A466" i="33" s="1"/>
  <c r="A467" i="33" s="1"/>
  <c r="A468" i="33" s="1"/>
  <c r="A469" i="33" s="1"/>
  <c r="A470" i="33" s="1"/>
  <c r="A471" i="33" s="1"/>
  <c r="A472" i="33" s="1"/>
  <c r="A473" i="33" s="1"/>
  <c r="A474" i="33" s="1"/>
  <c r="A475" i="33" s="1"/>
  <c r="A476" i="33" s="1"/>
  <c r="A477" i="33" s="1"/>
  <c r="A478" i="33" s="1"/>
  <c r="A479" i="33" s="1"/>
  <c r="A480" i="33" s="1"/>
  <c r="A481" i="33" s="1"/>
  <c r="A482" i="33" s="1"/>
  <c r="A483" i="33" s="1"/>
  <c r="A484" i="33" s="1"/>
  <c r="A485" i="33" s="1"/>
  <c r="A486" i="33" s="1"/>
  <c r="A487" i="33" s="1"/>
  <c r="A488" i="33" s="1"/>
  <c r="A489" i="33" s="1"/>
  <c r="A490" i="33" s="1"/>
  <c r="A491" i="33" s="1"/>
  <c r="A492" i="33" s="1"/>
  <c r="A493" i="33" s="1"/>
  <c r="A494" i="33" s="1"/>
  <c r="A495" i="33" s="1"/>
  <c r="A496" i="33" s="1"/>
  <c r="A497" i="33" s="1"/>
  <c r="A498" i="33" s="1"/>
  <c r="A499" i="33" s="1"/>
  <c r="A500" i="33" s="1"/>
  <c r="A501" i="33" s="1"/>
  <c r="A502" i="33" s="1"/>
  <c r="A503" i="33" s="1"/>
  <c r="A504" i="33" s="1"/>
  <c r="A505" i="33" s="1"/>
  <c r="A506" i="33" s="1"/>
  <c r="A507" i="33" s="1"/>
  <c r="A508" i="33" s="1"/>
  <c r="A509" i="33" s="1"/>
  <c r="A510" i="33" s="1"/>
  <c r="A511" i="33" s="1"/>
  <c r="A512" i="33" s="1"/>
  <c r="A513" i="33" s="1"/>
  <c r="A514" i="33" s="1"/>
  <c r="A515" i="33" s="1"/>
  <c r="A516" i="33" s="1"/>
  <c r="A517" i="33" s="1"/>
  <c r="A518" i="33" s="1"/>
  <c r="A519" i="33" s="1"/>
  <c r="A520" i="33" s="1"/>
  <c r="A521" i="33" s="1"/>
  <c r="A522" i="33" s="1"/>
  <c r="A523" i="33" s="1"/>
  <c r="A524" i="33" s="1"/>
  <c r="A525" i="33" s="1"/>
  <c r="A526" i="33" s="1"/>
  <c r="A527" i="33" s="1"/>
  <c r="A528" i="33" s="1"/>
  <c r="A529" i="33" s="1"/>
  <c r="A530" i="33" s="1"/>
  <c r="A531" i="33" s="1"/>
  <c r="A532" i="33" s="1"/>
  <c r="A533" i="33" s="1"/>
  <c r="A534" i="33" s="1"/>
  <c r="A535" i="33" s="1"/>
  <c r="A536" i="33" s="1"/>
  <c r="A537" i="33" s="1"/>
  <c r="A538" i="33" s="1"/>
  <c r="A539" i="33" s="1"/>
  <c r="A540" i="33" s="1"/>
  <c r="A541" i="33" s="1"/>
  <c r="A542" i="33" s="1"/>
  <c r="A543" i="33" s="1"/>
  <c r="A544" i="33" s="1"/>
  <c r="A545" i="33" s="1"/>
  <c r="A546" i="33" s="1"/>
  <c r="A547" i="33" s="1"/>
  <c r="A548" i="33" s="1"/>
  <c r="A549" i="33" s="1"/>
  <c r="A550" i="33" s="1"/>
  <c r="A551" i="33" s="1"/>
  <c r="A552" i="33" s="1"/>
  <c r="A553" i="33" s="1"/>
  <c r="A554" i="33" s="1"/>
  <c r="A555" i="33" s="1"/>
  <c r="A556" i="33" s="1"/>
  <c r="A557" i="33" s="1"/>
  <c r="A558" i="33" s="1"/>
  <c r="A559" i="33" s="1"/>
  <c r="A560" i="33" s="1"/>
  <c r="A561" i="33" s="1"/>
  <c r="A562" i="33" s="1"/>
  <c r="A563" i="33" s="1"/>
  <c r="A564" i="33" s="1"/>
  <c r="A565" i="33" s="1"/>
  <c r="A566" i="33" s="1"/>
  <c r="A567" i="33" s="1"/>
  <c r="A568" i="33" s="1"/>
  <c r="A569" i="33" s="1"/>
  <c r="A570" i="33" s="1"/>
  <c r="A571" i="33" s="1"/>
  <c r="A572" i="33" s="1"/>
  <c r="A573" i="33" s="1"/>
  <c r="A574" i="33" s="1"/>
  <c r="A575" i="33" s="1"/>
  <c r="A576" i="33" s="1"/>
  <c r="A577" i="33" s="1"/>
  <c r="A578" i="33" s="1"/>
  <c r="A579" i="33" s="1"/>
  <c r="A580" i="33" s="1"/>
  <c r="A581" i="33" s="1"/>
  <c r="A582" i="33" s="1"/>
  <c r="A583" i="33" s="1"/>
</calcChain>
</file>

<file path=xl/sharedStrings.xml><?xml version="1.0" encoding="utf-8"?>
<sst xmlns="http://schemas.openxmlformats.org/spreadsheetml/2006/main" count="5356" uniqueCount="2218">
  <si>
    <t>Объем (см³/шт.)</t>
  </si>
  <si>
    <t>External volume (m³)</t>
  </si>
  <si>
    <t>Volume externe (m³)</t>
  </si>
  <si>
    <t>Внешний Объем, м³</t>
  </si>
  <si>
    <t>Transport cost, $/m³.km</t>
  </si>
  <si>
    <t>Coût du transport, $/m³.km</t>
  </si>
  <si>
    <t>Стоимость транспорт, $/м³.км</t>
  </si>
  <si>
    <t>Annual energy consumption</t>
  </si>
  <si>
    <t>Consommation annuelle énergie</t>
  </si>
  <si>
    <t>Analysis of national and sub-national storage</t>
  </si>
  <si>
    <t>Analyse du stockage niveaux principal et secondaires</t>
  </si>
  <si>
    <t>Indicate as well data on the cost for transport, electricity and fuel.</t>
  </si>
  <si>
    <t>Net volume of vaccines, litres</t>
  </si>
  <si>
    <t>Volume net des vaccins, litres</t>
  </si>
  <si>
    <t>Net volume of safe injection supplies (m³)</t>
  </si>
  <si>
    <t>Translation needed</t>
  </si>
  <si>
    <t>Country list</t>
  </si>
  <si>
    <t>Data output sheets: results of assessment of requirements per recipient</t>
  </si>
  <si>
    <t>Feuilles des résultats: illustrations graphiques des résultats</t>
  </si>
  <si>
    <t>South Sudan</t>
  </si>
  <si>
    <t xml:space="preserve">4) The translations below are grouped by worksheet name in their alphabetical order.  This order is not the same as the order of worksheets in the workbook.  DO NOT attempt to reorder the layout. </t>
  </si>
  <si>
    <t>4) Les traductions ci-dessous sont groupées par feuille, classées par ordre alphabétique. Ce classement des feuilles n'est le meme dans le fichier. NE CHANGER PAS l'ordre actuel des feuilles dans le fichier.</t>
  </si>
  <si>
    <t>Characteristics of vaccines selected for use</t>
  </si>
  <si>
    <t>Choose from dropdown list</t>
  </si>
  <si>
    <t>Vaccine storage volumes</t>
  </si>
  <si>
    <t>1) The Vaccine Volume Calculator is used to estimate the net volume of vaccines and related supplies at each level in the supply chain. It can also be used to estimate the type of cold chain equipment needed for a specific target population. The effect of new vaccine introductions can be tested by comparing one or more of these against the current schedule.</t>
  </si>
  <si>
    <t>(Routine vaccinations)</t>
  </si>
  <si>
    <t>(PEV systématique)</t>
  </si>
  <si>
    <t>Vaccin Select</t>
  </si>
  <si>
    <t>Формы "Входные данные":</t>
  </si>
  <si>
    <t>Формы "Выходные данные": Организация плановой иммунизации</t>
  </si>
  <si>
    <t>Grand porte-vaccin (PQS)</t>
  </si>
  <si>
    <t>Petit porte-vaccin (PQS)</t>
  </si>
  <si>
    <t>Autres caisses isothermes</t>
  </si>
  <si>
    <t>Caisse isotherm_1</t>
  </si>
  <si>
    <t>Caisse isotherm_2</t>
  </si>
  <si>
    <t>Caisse isotherm_3</t>
  </si>
  <si>
    <t>Grde_Glacière</t>
  </si>
  <si>
    <t>Petite_Glacière</t>
  </si>
  <si>
    <t>Grd_PV</t>
  </si>
  <si>
    <t>Petit_PV</t>
  </si>
  <si>
    <t>Caisse_1</t>
  </si>
  <si>
    <t>Caisse_2</t>
  </si>
  <si>
    <t>Caisse_3</t>
  </si>
  <si>
    <t>Storage capacity (litres)</t>
  </si>
  <si>
    <t>Abra</t>
  </si>
  <si>
    <t>Golf</t>
  </si>
  <si>
    <t>Bac Lieu</t>
  </si>
  <si>
    <t>Khong</t>
  </si>
  <si>
    <t>Bua</t>
  </si>
  <si>
    <t>Bavel</t>
  </si>
  <si>
    <t>Malai</t>
  </si>
  <si>
    <t>Sheets with reference data:</t>
  </si>
  <si>
    <t>Assumption Berenger 2009</t>
  </si>
  <si>
    <t>Nasal</t>
  </si>
  <si>
    <t>Flumist</t>
  </si>
  <si>
    <t xml:space="preserve">The package contains 10 pre-filled sprayers (5x2). </t>
  </si>
  <si>
    <t>Prefilled sprayer</t>
  </si>
  <si>
    <t>MedImmune</t>
  </si>
  <si>
    <t>CSL Limited</t>
  </si>
  <si>
    <t>Carton holding 1 vial (glass); brick holding 10 cartons; case holding 108 bricks (10,800 doses) - Case dimensions: 44 x 35 x 42 cm; Shipper holding 8 cases (86,400 doses); Shipper dimensions: 125 x 105 x 132 cm (including passive cooling materials)</t>
  </si>
  <si>
    <t>‘10 x 17 multi-dose vials - Inner carton holding 800 vials (13,600 doses); Standard inner carton packing dimensions: 38.9 x 24.4 x 24.7 cm; Export packing holding 12 inner cartons, meaning 9,600 vials (163,200 doses); Shipper dimensions: 120 x 100 x 125 cm (packed with ice packs)</t>
  </si>
  <si>
    <t>Celtura</t>
  </si>
  <si>
    <t>Panvax</t>
  </si>
  <si>
    <t xml:space="preserve">Укажите данные по затратам на транспортировку, электричество и горючее.
</t>
  </si>
  <si>
    <t>ВОЗ/ГАВИ оценочные потери</t>
  </si>
  <si>
    <t>Макс-ный объем упаковки</t>
  </si>
  <si>
    <t>Наци-ный календарь прививок</t>
  </si>
  <si>
    <t>Допол-ные мероприятия</t>
  </si>
  <si>
    <t>E003/011</t>
  </si>
  <si>
    <t>MK404</t>
  </si>
  <si>
    <t>E003/012</t>
  </si>
  <si>
    <t>True Energy</t>
  </si>
  <si>
    <t>BLF100AC</t>
  </si>
  <si>
    <t>E003/013</t>
  </si>
  <si>
    <t>ice-lined refrigerator/icepack freezer</t>
  </si>
  <si>
    <t>TCW2000AC</t>
  </si>
  <si>
    <t>E003/014</t>
  </si>
  <si>
    <t>Travelling range</t>
  </si>
  <si>
    <t>in 1day</t>
  </si>
  <si>
    <t>Cost of electricity, $/kWh</t>
  </si>
  <si>
    <t>Cost of diesel, $/litre</t>
  </si>
  <si>
    <t>RCW 50 EK</t>
  </si>
  <si>
    <t>E3/91-M</t>
  </si>
  <si>
    <t>Model 120-30</t>
  </si>
  <si>
    <t>E3/92-M</t>
  </si>
  <si>
    <t>RCW 50DC/CF</t>
  </si>
  <si>
    <t>E3/93-M</t>
  </si>
  <si>
    <t>RCW 50 AC</t>
  </si>
  <si>
    <t>E3/94-M</t>
  </si>
  <si>
    <t>PF 230 IP KE</t>
  </si>
  <si>
    <t>E3/95-M</t>
  </si>
  <si>
    <t>Vaccine/icepack freezer</t>
  </si>
  <si>
    <t>MF 114</t>
  </si>
  <si>
    <t>E3/96-M</t>
  </si>
  <si>
    <t>MF 214</t>
  </si>
  <si>
    <t>E3/97-M</t>
  </si>
  <si>
    <t>MF 314</t>
  </si>
  <si>
    <t>E3/98-M</t>
  </si>
  <si>
    <t>FCW 300</t>
  </si>
  <si>
    <t>E3/99-M</t>
  </si>
  <si>
    <t>FCW 200</t>
  </si>
  <si>
    <t>E3/100-M</t>
  </si>
  <si>
    <t>Solamatic</t>
  </si>
  <si>
    <t>PVR150</t>
  </si>
  <si>
    <t>E3/101-M</t>
  </si>
  <si>
    <t>GR 265 G/E</t>
  </si>
  <si>
    <t>E3/102-M</t>
  </si>
  <si>
    <t>VC-65 F</t>
  </si>
  <si>
    <t>E3/103-M</t>
  </si>
  <si>
    <t>Kyocera Solar</t>
  </si>
  <si>
    <t>VaccPack XL 2100</t>
  </si>
  <si>
    <t>GR 245 G/E</t>
  </si>
  <si>
    <t>E3/90-M</t>
  </si>
  <si>
    <t>or pickup</t>
  </si>
  <si>
    <t>(single cab)</t>
  </si>
  <si>
    <t>pickup</t>
  </si>
  <si>
    <t>(regular,</t>
  </si>
  <si>
    <t>closed back)</t>
  </si>
  <si>
    <t>Air plane</t>
  </si>
  <si>
    <t>Azerbaijan</t>
  </si>
  <si>
    <t>Bahrain</t>
  </si>
  <si>
    <t>Bahamas</t>
  </si>
  <si>
    <t>Bangladesh</t>
  </si>
  <si>
    <t>SEARO</t>
  </si>
  <si>
    <t>Barbados</t>
  </si>
  <si>
    <t>Belgium</t>
  </si>
  <si>
    <t>Burkina Faso</t>
  </si>
  <si>
    <t>Bhutan</t>
  </si>
  <si>
    <t>Bosnia and Herzegovina</t>
  </si>
  <si>
    <t>Palau</t>
  </si>
  <si>
    <t>Belarus</t>
  </si>
  <si>
    <t>Belize</t>
  </si>
  <si>
    <t>Bolivia</t>
  </si>
  <si>
    <t>Botswana</t>
  </si>
  <si>
    <t>Brazil</t>
  </si>
  <si>
    <t>Brunei</t>
  </si>
  <si>
    <t>Bulgaria</t>
  </si>
  <si>
    <t>Burundi</t>
  </si>
  <si>
    <t>Cambodia</t>
  </si>
  <si>
    <t>Canada</t>
  </si>
  <si>
    <t>Cape Verde</t>
  </si>
  <si>
    <t>Chile</t>
  </si>
  <si>
    <t>China</t>
  </si>
  <si>
    <t>Congo</t>
  </si>
  <si>
    <t>Cook Islands</t>
  </si>
  <si>
    <t>Colombia</t>
  </si>
  <si>
    <t>Comoros</t>
  </si>
  <si>
    <t>Costa Rica</t>
  </si>
  <si>
    <t>Croatia</t>
  </si>
  <si>
    <t>Cuba</t>
  </si>
  <si>
    <t>Cyprus</t>
  </si>
  <si>
    <t>Czech Republic</t>
  </si>
  <si>
    <t>Denmark</t>
  </si>
  <si>
    <t>Germany</t>
  </si>
  <si>
    <t>Djibouti</t>
  </si>
  <si>
    <t>Dominica</t>
  </si>
  <si>
    <t>Dominican Republic</t>
  </si>
  <si>
    <t>Ecuador</t>
  </si>
  <si>
    <t>El Salvador</t>
  </si>
  <si>
    <t>Equatorial Guinea</t>
  </si>
  <si>
    <t>Eritrea</t>
  </si>
  <si>
    <t>Estonia</t>
  </si>
  <si>
    <t>Ethiopia</t>
  </si>
  <si>
    <t>Fiji</t>
  </si>
  <si>
    <t>Finland</t>
  </si>
  <si>
    <t>France</t>
  </si>
  <si>
    <t>Gabon</t>
  </si>
  <si>
    <t>Gambia</t>
  </si>
  <si>
    <t>Ghana</t>
  </si>
  <si>
    <t>Georgia</t>
  </si>
  <si>
    <t>Grenada</t>
  </si>
  <si>
    <t>Greece</t>
  </si>
  <si>
    <t>par injection (cm³)</t>
  </si>
  <si>
    <t>Small vaccine carrier</t>
  </si>
  <si>
    <t>RCW 2/CF</t>
  </si>
  <si>
    <t>E4/53-M</t>
  </si>
  <si>
    <t>True Pack</t>
  </si>
  <si>
    <t>T.P.001</t>
  </si>
  <si>
    <t>E4/55-M</t>
  </si>
  <si>
    <t>Blow Kings</t>
  </si>
  <si>
    <t>55-CF</t>
  </si>
  <si>
    <t>E4/57-M</t>
  </si>
  <si>
    <t>0,3 &amp; 0,4</t>
  </si>
  <si>
    <t xml:space="preserve">Inalsa </t>
  </si>
  <si>
    <t>IVC-3</t>
  </si>
  <si>
    <t>E4/67</t>
  </si>
  <si>
    <t>Apex Continental</t>
  </si>
  <si>
    <t>IVC-9AF</t>
  </si>
  <si>
    <t>E4/67-M</t>
  </si>
  <si>
    <t>0,3&amp; 0,4&amp;0,6</t>
  </si>
  <si>
    <t>IVC-8F</t>
  </si>
  <si>
    <t>E4/68-M</t>
  </si>
  <si>
    <t>VDC-24-CF</t>
  </si>
  <si>
    <t>RCW 6/CF</t>
  </si>
  <si>
    <t>E4/70-M</t>
  </si>
  <si>
    <t>ICB-11F</t>
  </si>
  <si>
    <t>D</t>
  </si>
  <si>
    <t>H</t>
  </si>
  <si>
    <t>Net storage volume</t>
  </si>
  <si>
    <t>Other</t>
  </si>
  <si>
    <t>capacity</t>
  </si>
  <si>
    <t>equipment</t>
  </si>
  <si>
    <t>Region</t>
  </si>
  <si>
    <t>Afghanistan</t>
  </si>
  <si>
    <t>EMRO</t>
  </si>
  <si>
    <t>Albania</t>
  </si>
  <si>
    <t>EURO</t>
  </si>
  <si>
    <t>AFRO</t>
  </si>
  <si>
    <t>Andorra</t>
  </si>
  <si>
    <t>Angola</t>
  </si>
  <si>
    <t>E4/72-M</t>
  </si>
  <si>
    <t>ICB-8F</t>
  </si>
  <si>
    <t>E4/75-M</t>
  </si>
  <si>
    <t>CB/20/5U-CF</t>
  </si>
  <si>
    <t>E4/76-M</t>
  </si>
  <si>
    <t>VC/42/MOD/2/CF</t>
  </si>
  <si>
    <t>E4/77-M</t>
  </si>
  <si>
    <t>CB/5/2A/CF</t>
  </si>
  <si>
    <t>E4/78-M</t>
  </si>
  <si>
    <t>Promociones LISA</t>
  </si>
  <si>
    <t>E4/79</t>
  </si>
  <si>
    <t>Caractéristiques des vaccins sélectionnés</t>
  </si>
  <si>
    <t>Malawi</t>
  </si>
  <si>
    <t>Mauritius</t>
  </si>
  <si>
    <t>Malta</t>
  </si>
  <si>
    <t>Maldives</t>
  </si>
  <si>
    <t>Republic of Moldova</t>
  </si>
  <si>
    <t>Mexico</t>
  </si>
  <si>
    <t>Micronesia</t>
  </si>
  <si>
    <t>Macedonia</t>
  </si>
  <si>
    <t>Myanmar</t>
  </si>
  <si>
    <t>Montenegro</t>
  </si>
  <si>
    <t>Mongolia</t>
  </si>
  <si>
    <t>Monaco</t>
  </si>
  <si>
    <t>Morocco</t>
  </si>
  <si>
    <t>Mozambique</t>
  </si>
  <si>
    <t>Marshall Islands</t>
  </si>
  <si>
    <t>Namibia</t>
  </si>
  <si>
    <t>Nepal</t>
  </si>
  <si>
    <t>Netherlands</t>
  </si>
  <si>
    <t>New Zealand</t>
  </si>
  <si>
    <t>Nicaragua</t>
  </si>
  <si>
    <t>Nigeria</t>
  </si>
  <si>
    <t>Niger</t>
  </si>
  <si>
    <t>Niue</t>
  </si>
  <si>
    <t>one pack of single-dose vial</t>
  </si>
  <si>
    <t>pack of 1-dose vial + diluents in prefilled syringe</t>
  </si>
  <si>
    <t>Typhoid</t>
  </si>
  <si>
    <t>Large vaccine carrier</t>
  </si>
  <si>
    <t>Thermos</t>
  </si>
  <si>
    <t>3504 UN/CF</t>
  </si>
  <si>
    <t>E4/18-M</t>
  </si>
  <si>
    <t>ребенка</t>
  </si>
  <si>
    <t>Максимальный объем  одной дозы вакцины во флаконе</t>
  </si>
  <si>
    <t>вакцина</t>
  </si>
  <si>
    <t>вакцина (см3/доза)</t>
  </si>
  <si>
    <t>растворитель (см3/доза)</t>
  </si>
  <si>
    <t>Стоим-ть</t>
  </si>
  <si>
    <t>потери вакцин</t>
  </si>
  <si>
    <t>Нац-й ур. oжидаемые данные</t>
  </si>
  <si>
    <t>Нац-й ур. данные</t>
  </si>
  <si>
    <t>(см3/доза)</t>
  </si>
  <si>
    <t>Фактор потери</t>
  </si>
  <si>
    <t xml:space="preserve">Форма выпуска </t>
  </si>
  <si>
    <t>Общий полезный объем хранения ОПВ в складе на одного</t>
  </si>
  <si>
    <t>Общий полезный объем хранения вакцин без ОПВ в складе на одного</t>
  </si>
  <si>
    <t>Общий полезный объем хранения вакцин с ОПВ в складе на одного</t>
  </si>
  <si>
    <t>Кол-во доз вакцины на</t>
  </si>
  <si>
    <t>% увеличения полезного объема вакцин от исходного уровня на складе при -20°C</t>
  </si>
  <si>
    <t>% увеличения полезного объема вакцин от исходного уровня на складе без ОПВ @+5°C</t>
  </si>
  <si>
    <t xml:space="preserve">    WARNING: The packed volume for each vaccine presentation differs between manufacturers. Select 'Min/Max/Average' depending upon whether you want to use the minimum, maximum or 
     average packed volume per vaccine presentation from the vaccine database.</t>
  </si>
  <si>
    <t>Min</t>
  </si>
  <si>
    <t>Max</t>
  </si>
  <si>
    <t>10 Vials 10 doses + water for injection diluent</t>
  </si>
  <si>
    <t>IVB/PQ_20_yf</t>
  </si>
  <si>
    <t>50 Vials 5 doses + water for injection diluent</t>
  </si>
  <si>
    <t>10 Vials 10 doses + 10 vials 5 ml (diluent) - 0.9% Sodium Chloride</t>
  </si>
  <si>
    <t>IVB/PQ_113_yf</t>
  </si>
  <si>
    <t>IVB/PQ_176_yf</t>
  </si>
  <si>
    <t>Volume of diluents and safe injection equipment per recipient</t>
  </si>
  <si>
    <t>Volume des diluants et matériel d'injection équipement</t>
  </si>
  <si>
    <t>Cost of vaccines and safe injection equipment per recipient</t>
  </si>
  <si>
    <t>Vaccine net volume for supply period and cold room capacities</t>
  </si>
  <si>
    <t>Select schedule</t>
  </si>
  <si>
    <t>Power of WIFR (kW)</t>
  </si>
  <si>
    <t>Taille chambres froides</t>
  </si>
  <si>
    <t>Volume brute des chambres froides</t>
  </si>
  <si>
    <t>Facteur volume</t>
  </si>
  <si>
    <t>Capacité nette de stockage (litres)</t>
  </si>
  <si>
    <t>Prix chambres froides négatives</t>
  </si>
  <si>
    <t>Prix chambres froides positives</t>
  </si>
  <si>
    <t>TC_Маленькая</t>
  </si>
  <si>
    <t>СБ шприцы 0,05 мл для БЦЖ</t>
  </si>
  <si>
    <t>СБ шприцы 0,1 мл для БЦЖ</t>
  </si>
  <si>
    <t>СБ шприцы 0,5 мл</t>
  </si>
  <si>
    <t>Шприцы 2 мл для разведения БЦЖ/Hib</t>
  </si>
  <si>
    <t>Шприцы 5 мл для разведения К/ЖЛ</t>
  </si>
  <si>
    <t>Шприцы 10 мл для разведения ЖЛ/Менингит</t>
  </si>
  <si>
    <t>КБУ, 5 литров</t>
  </si>
  <si>
    <t>КБУ, 10 литров</t>
  </si>
  <si>
    <t>КБУ, 15 литров</t>
  </si>
  <si>
    <t>КБУ, 2.5 литров</t>
  </si>
  <si>
    <t>Таблица 2: Характеристика других материалов для вмешательств в области выживания детей</t>
  </si>
  <si>
    <t>ДРУГИЕ ВМЕШАТЕЛЬСТВА</t>
  </si>
  <si>
    <t>Упаковка</t>
  </si>
  <si>
    <t>Таблица 3: Характеристика холодильной/морозильной комнаты</t>
  </si>
  <si>
    <t>Размер холодильной комнаты</t>
  </si>
  <si>
    <t>http://www.who.int/immunization_standards/vaccine_quality/PQ_36_hib_novartis_10_dose/en/</t>
  </si>
  <si>
    <t>Quimi-Hib</t>
  </si>
  <si>
    <t>http://www.who.int/immunization_standards/vaccine_quality/pq_130_dtphepb_20dose_sii/en/index.html</t>
  </si>
  <si>
    <t>box of 25 vials of 20 doses</t>
  </si>
  <si>
    <t>box of 50 vials of 10 doses</t>
  </si>
  <si>
    <t>http://www.who.int/immunization_standards/vaccine_quality/pq_129_dtphep_10dose_sii/en/index.html</t>
  </si>
  <si>
    <t>http://www.who.int/immunization_standards/vaccine_quality/pq_128_dtphep_1dose_sii/en/index.html</t>
  </si>
  <si>
    <t>http://www.who.int/immunization_standards/vaccine_quality/12_dtphep/en/index.html</t>
  </si>
  <si>
    <t>http://www.who.int/immunization_standards/vaccine_quality/11_dtphep/en/index.html</t>
  </si>
  <si>
    <t>http://www.who.int/immunization_standards/vaccine_quality/PQ_38_DTPHib_Novartis_10_dose/en/</t>
  </si>
  <si>
    <t>box of 50 vials of 1-dose</t>
  </si>
  <si>
    <t>http://www.who.int/immunization_standards/vaccine_quality/86_dtphib/en/index.html</t>
  </si>
  <si>
    <t>http://www.who.int/immunization_standards/vaccine_quality/PQ_97_dtphib_10_dose_sanofi_pasteur/en/</t>
  </si>
  <si>
    <t>Equipment identification</t>
  </si>
  <si>
    <t>Type of</t>
  </si>
  <si>
    <t>Designation</t>
  </si>
  <si>
    <t>Make</t>
  </si>
  <si>
    <t>EPI-Tenga</t>
  </si>
  <si>
    <t>Fictus</t>
  </si>
  <si>
    <t>Fictif</t>
  </si>
  <si>
    <t>Indicative grossing factor</t>
  </si>
  <si>
    <t>Facteur volume indicatif</t>
  </si>
  <si>
    <t>Abaques pour l'estimation des capacités de stockage froid des points de prestations - @ +5°C
(different calendriers; même Stock Maxi)</t>
  </si>
  <si>
    <t>http://www.who.int/immunization_standards/vaccine_quality/pq_249_dtp_hepb_hib_10dose_biologicale/en/index.html</t>
  </si>
  <si>
    <t>http://www.who.int/immunization_standards/vaccine_quality/pq_248_dtp_hepb_hib_1dose_biologicale/en/index.html</t>
  </si>
  <si>
    <t>http://www.who.int/immunization_standards/vaccine_quality/PQ_56_penta_GSK_1_dose/en/</t>
  </si>
  <si>
    <t>http://www.who.int/immunization_standards/vaccine_quality/PQ_57_Penta_GSK_2_dose/en/</t>
  </si>
  <si>
    <t>carton of 200 vials of Hib + 200 ampoules of DTP-HepB</t>
  </si>
  <si>
    <t>http://www.who.int/immunization_standards/vaccine_quality/pq_195_dtp_hepb_hib_1dose_sii/en/index.html</t>
  </si>
  <si>
    <t>http://www.who.int/immunization_standards/vaccine_quality/pq_205_dtp_hepb_hib_10dose_sii/en/index.html</t>
  </si>
  <si>
    <t>carton of 150 vials of Hib + 150 vials of DTP-HepB</t>
  </si>
  <si>
    <t>http://www.who.int/immunization_standards/vaccine_quality/pq_204_dtp_hepb_hib_2dose_sii/en/index.html</t>
  </si>
  <si>
    <t>Pack of 25 vials of single-dose</t>
  </si>
  <si>
    <t>Capacity to carry</t>
  </si>
  <si>
    <t>people</t>
  </si>
  <si>
    <t>load</t>
  </si>
  <si>
    <t>Analysis of district level storage</t>
  </si>
  <si>
    <t xml:space="preserve">Analyse du stockage niveau district </t>
  </si>
  <si>
    <t>Analyse du stockage niveau prestations de service</t>
  </si>
  <si>
    <t>Analysis of transport and in-country distribution</t>
  </si>
  <si>
    <t>Analyse du transport et distribution</t>
  </si>
  <si>
    <t>Analysis of cold chain cost</t>
  </si>
  <si>
    <t>Equipment utilization factor (%)</t>
  </si>
  <si>
    <t>Analysis of service delivery level storage</t>
  </si>
  <si>
    <t>Cold room cost equation</t>
  </si>
  <si>
    <t>Passive_containers</t>
  </si>
  <si>
    <t xml:space="preserve">No user action required </t>
  </si>
  <si>
    <t>External volume (litres)</t>
  </si>
  <si>
    <t>(Ext vol/ vax capacity)</t>
  </si>
  <si>
    <t>Source: WHO/UNICEF Product Information Sheets, WHO/V&amp;B/00.13</t>
  </si>
  <si>
    <t>Vaccine refrigerator or icepack freezer</t>
  </si>
  <si>
    <t>TCW3000DC</t>
  </si>
  <si>
    <t>E003/008</t>
  </si>
  <si>
    <t>MK304</t>
  </si>
  <si>
    <t>E003/007</t>
  </si>
  <si>
    <t>Haier</t>
  </si>
  <si>
    <t>HBC-200</t>
  </si>
  <si>
    <t>E003/006</t>
  </si>
  <si>
    <t>HBC-70</t>
  </si>
  <si>
    <t>E003/005</t>
  </si>
  <si>
    <t>HBD-286</t>
  </si>
  <si>
    <t>E003/003</t>
  </si>
  <si>
    <t>HBD-116</t>
  </si>
  <si>
    <t>E003/002</t>
  </si>
  <si>
    <t>TCW2000DC</t>
  </si>
  <si>
    <t>E003/001</t>
  </si>
  <si>
    <t>TFW800</t>
  </si>
  <si>
    <t>E003/004</t>
  </si>
  <si>
    <t>Coût investissement</t>
  </si>
  <si>
    <t>refrigeration ($/litre)</t>
  </si>
  <si>
    <t>freezing ($/litre)</t>
  </si>
  <si>
    <t>poids (kg)</t>
  </si>
  <si>
    <t>Indiquer les coûts de l'électricité, du carburant ainsi que du transport.</t>
  </si>
  <si>
    <t>pack of 10 single-dose vials</t>
  </si>
  <si>
    <t>pack of 100 five-dose vials</t>
  </si>
  <si>
    <t>pack of 100 single-dose vials</t>
  </si>
  <si>
    <t>IPV</t>
  </si>
  <si>
    <t>IMOVAX POLIO</t>
  </si>
  <si>
    <t>pack of 50 single-dose prefilled syringes</t>
  </si>
  <si>
    <t>Ukraine (Measurement made on the filed 31/10/08)</t>
  </si>
  <si>
    <t>Amount of waste</t>
  </si>
  <si>
    <t>monnaie initiale</t>
  </si>
  <si>
    <t>accus (kWh/kg)</t>
  </si>
  <si>
    <t xml:space="preserve">Notes pour traducteurs: </t>
  </si>
  <si>
    <t xml:space="preserve">2) Suivre les formats de la langue anglaise. Par exemple 'A S S I S T A N T  G E V' devrait se traduire avec des espaces similaires entre les lettres et les mots.  </t>
  </si>
  <si>
    <t>Coût de l'électricité, $/kWh</t>
  </si>
  <si>
    <t>Coût du gaz, $/kg</t>
  </si>
  <si>
    <t>Coût du kérosène, $/litre</t>
  </si>
  <si>
    <t>Общий полезный объем хранения растворителей на привитого</t>
  </si>
  <si>
    <t>Общий полезный объем хранения шприцев на привитого</t>
  </si>
  <si>
    <t>Общий полезный объем хранения КБУ на привитого</t>
  </si>
  <si>
    <t>Общий полезный объем хранения инъекционных материалов на привитого</t>
  </si>
  <si>
    <t>Кол-во доз вакцины на привитого</t>
  </si>
  <si>
    <t>Общий полезный объем хранения вакцин на привитого</t>
  </si>
  <si>
    <t xml:space="preserve"> долю (%) общего целевого населения</t>
  </si>
  <si>
    <t>Объем oтходов</t>
  </si>
  <si>
    <t>Ожидаемое к-во пустых флаконoв, шт./</t>
  </si>
  <si>
    <t>Ожидаемое к-во использов-х шприцев раствор-й, шт./</t>
  </si>
  <si>
    <t>Ожидаемое к-во пустых флаконoв на привитого</t>
  </si>
  <si>
    <t>years</t>
  </si>
  <si>
    <t>Refrigerator</t>
  </si>
  <si>
    <t>Refrigerators/Freezers</t>
  </si>
  <si>
    <t>Assumptions:</t>
  </si>
  <si>
    <t>Cost of LPG, $/kg</t>
  </si>
  <si>
    <t>Not specified!</t>
  </si>
  <si>
    <t>rDNA</t>
  </si>
  <si>
    <t>http://www.who.int/immunization_standards/vaccine_quality/pq_134_hepb_1doseped_sii/en/index.html</t>
  </si>
  <si>
    <t>boxes of 50 ampoules of single-doses of vaccine</t>
  </si>
  <si>
    <t>(cm³/dose)</t>
  </si>
  <si>
    <t>from data base</t>
  </si>
  <si>
    <t>Puissance chambres froides positives (kW)</t>
  </si>
  <si>
    <t>Calendrier actuel</t>
  </si>
  <si>
    <t>Equation du coût de chambre froide</t>
  </si>
  <si>
    <t>Volume net de matériel d'injection (m³)</t>
  </si>
  <si>
    <t>Choisir le calendrier vaccinal</t>
  </si>
  <si>
    <t>Estimation capacité chaîne du froid en fonction du stock maxi (litres)</t>
  </si>
  <si>
    <t>Estimation capacité stockage ambiant en fonction du stock maxi (m³)</t>
  </si>
  <si>
    <t>Erehwonia</t>
  </si>
  <si>
    <t>Graph for cold storage capacity at national and sub-national stores - @ +5°C: (different schedules with same Maximum Stock)</t>
  </si>
  <si>
    <t>Graph for cold storage capacity at national and sub-national stores - @ +5°C: (same schedule with different Maximum Stocks)</t>
  </si>
  <si>
    <t>Graph for dry storage capacity at national and sub-national stores: (different schedules with same Maximum Stock)</t>
  </si>
  <si>
    <t>Graph for dry storage capacity at national and sub-national stores: (same schedule with different Maximum Stocks)</t>
  </si>
  <si>
    <t>E3/21-M</t>
  </si>
  <si>
    <t>AR</t>
  </si>
  <si>
    <t>NH3</t>
  </si>
  <si>
    <t>TZA</t>
  </si>
  <si>
    <t>++</t>
  </si>
  <si>
    <t>RCW 42 EK/CF</t>
  </si>
  <si>
    <t>E3/22-M</t>
  </si>
  <si>
    <t>icelined refrigerator</t>
  </si>
  <si>
    <t>TCW 1152/CF</t>
  </si>
  <si>
    <t>E3/24-M</t>
  </si>
  <si>
    <t>ILR</t>
  </si>
  <si>
    <t>R134a</t>
  </si>
  <si>
    <t>HZA</t>
  </si>
  <si>
    <t>refrigerator &amp; freezer</t>
  </si>
  <si>
    <t>RCW 42AC/CF</t>
  </si>
  <si>
    <t>E3/30-M</t>
  </si>
  <si>
    <t>RC</t>
  </si>
  <si>
    <t>Model freezers</t>
  </si>
  <si>
    <t>Make freezers</t>
  </si>
  <si>
    <t>v 2012.1 - January 2012</t>
  </si>
  <si>
    <t>v2012.1 - Janvier 2012</t>
  </si>
  <si>
    <t>target group size range:</t>
  </si>
  <si>
    <t>gamme de taille des groupes cibles:</t>
  </si>
  <si>
    <t>Analyse du coût chaîne du froid</t>
  </si>
  <si>
    <t>Materiel d'injection &amp; equipements de chaîne du froid</t>
  </si>
  <si>
    <t>v2012.1</t>
  </si>
  <si>
    <t>Estimation capacité stockage ambiant en fonction du calendrier (m³)</t>
  </si>
  <si>
    <t>Estimation capacité chaîne du froid en fonction du calendrier (litres)</t>
  </si>
  <si>
    <t>Estimation des équipements en fonction du stock max</t>
  </si>
  <si>
    <t>Estimation des équipements en fonction du calendrier</t>
  </si>
  <si>
    <t>Taux d'utilisation de la capacité de stockage (%)</t>
  </si>
  <si>
    <t>Increase of total cost per recipient compared to current schedule</t>
  </si>
  <si>
    <t>Augmentation coût total par cible par rapport Calendrier Actuel</t>
  </si>
  <si>
    <t>Feuilles des résultats: résultats des estimations par cible</t>
  </si>
  <si>
    <t>1) Le Calculateur de Volume des Vaccins est utilisé pour estimer le volume net des vaccins et consommables à chaque niveau de la chaîne d'approvisionnement. Il peut être aussi utilisé pour estimer le type de d'équipement de chaîne du froid requis pour une population cible specifique. Le résultat de l'introduction de nouveaux vaccins peut être évalué en comparant un ou plusieurs de ceux-ci avec le calendrier actuel.</t>
  </si>
  <si>
    <t>2) Comment utiliser l'outil:</t>
  </si>
  <si>
    <t>ETAPE 1: Estimer le volume net de stockage par cible en utilisant la feuille Vaccine_Selection.</t>
  </si>
  <si>
    <t>ETAPE 2: Utiliser la feuille Abacus_Tables pour la saisie des données nécessaires à la génération des abaques couvrant la plage de population couverte par chaque niveau.</t>
  </si>
  <si>
    <t>Domestic</t>
  </si>
  <si>
    <t>MKS044</t>
  </si>
  <si>
    <t>E003/009</t>
  </si>
  <si>
    <t>http://www.who.int/immunization_standards/vaccine_quality/pq_142_mmr_1dose_sii/en/index.html</t>
  </si>
  <si>
    <t>http://www.who.int/immunization_standards/vaccine_quality/166_rabies/en/index.html</t>
  </si>
  <si>
    <t>http://www.who.int/immunization_standards/vaccine_quality/PQ_112_rabies_1_dose_sanofi_pasteur/en/</t>
  </si>
  <si>
    <t>http://www.who.int/immunization_standards/vaccine_quality/28_rabies/en/index.html</t>
  </si>
  <si>
    <t>ETAPE 6: Saisir dans la colonne M le nombre de doses par cible pour chaque vaccin du calendrier actuel. Remplir les colonnes N à Q pour différentes options du calendrier national de vaccination en indiquant le nombre de doses par cible. Indiquer dans les cellules N17 à Q17 le titre de chaque calendrier vaccinale.</t>
  </si>
  <si>
    <t>ETAPE 7: Faire de même pour les camapagnes de vaccination de masse planifiées dans les colonnes S à U.</t>
  </si>
  <si>
    <t>Augmentation volume net stockage par rapport au Calendrier Actuel</t>
  </si>
  <si>
    <t>Augmentation nombre de seringues par rapport Calendrier Actuel</t>
  </si>
  <si>
    <t>Augmentation nombre de flacons par rapport Calendrier Actuel</t>
  </si>
  <si>
    <t>Percent increase of the net vaccine volume compared to current schedule in store for -20°C</t>
  </si>
  <si>
    <t>% increase of the net vaccine volume compared to current schedule in store w/o OPV @+5°C</t>
  </si>
  <si>
    <t>% increase of the net vaccine volume compared to current schedule in store with OPV @+5°C</t>
  </si>
  <si>
    <t>% increase of the net vaccine volume compared to current schedule at service delivery</t>
  </si>
  <si>
    <t>Augmentation volume net stockage des vaccins au niveau prestations de service par rapport au Calendrier Actuel</t>
  </si>
  <si>
    <t>Augmentation volume net stockage des vaccins avec VPO à +5°C au niveau dépôt par rapport au Calendrier Actuel</t>
  </si>
  <si>
    <t>Augmentation volume net stockage des vaccins à -20°C par rapport au Calendrier Actuel</t>
  </si>
  <si>
    <t>Augmentation volume net stockage des vaccins sans VPO à +5°C au niveau dépôt par rapport au Calendrier Actuel</t>
  </si>
  <si>
    <t>Coût (US$/unité)</t>
  </si>
  <si>
    <t>http://www.who.int/immunization_standards/vaccine_quality/29_rabies/en/index.html</t>
  </si>
  <si>
    <t>pack of 1 vial (active) and diluent, incl. Syringe</t>
  </si>
  <si>
    <t>pack of 1 vial (active) and diluent incl. Syringe</t>
  </si>
  <si>
    <t>StockMaxi</t>
  </si>
  <si>
    <t>Volume net vaccin pour période d'approvisionnement &amp; capacités chaîne du froid (litres)</t>
  </si>
  <si>
    <t>‘Box of 10 vials (100 doses). Outer box of 20 boxes (2000 doses) - Dimensions: 220 x 246 x 113 mm. Parcel of 6 outer boxes (12,000 doses) - Dimensions: 700 x 605 x 595 mm. Pallet of 12 parcels (144,000 doses) - Dimensions: 1215(L) x 1200 (W) x 2220 (H) mm.</t>
  </si>
  <si>
    <t>Fluvirin-H1N1</t>
  </si>
  <si>
    <t xml:space="preserve">Box "Antigen" composed of 10 vials of 10 doses of antigen, Box "Adjuvant" composed of 10 vials of 10 doses of adjuvant. One box "Antigen" and one box "Adjuvant" grouped in an outer box composed of a total of 20 vials of antigen and adjuvant (100 doses once reconstituted) - Dimensions: 220 x 246 x 113 mm </t>
  </si>
  <si>
    <t>IVB/PQ_219_h1n1</t>
  </si>
  <si>
    <t>IVB/PQ_214_h1n1</t>
  </si>
  <si>
    <t>Influenza A (H1N1)</t>
  </si>
  <si>
    <t>Carton of 1 vial</t>
  </si>
  <si>
    <t>IVB/PQ_214_h1n1 (for USA)</t>
  </si>
  <si>
    <t>Carton of 10 vials</t>
  </si>
  <si>
    <t>IVB/PQ_215_h1n1 (for USA)</t>
  </si>
  <si>
    <t>IVB/PQ_158_hepb</t>
  </si>
  <si>
    <t>IVB/PQ_156_hepb</t>
  </si>
  <si>
    <t>IVB/PQ_157_hepb</t>
  </si>
  <si>
    <t>IVB/PQ_155_hepb</t>
  </si>
  <si>
    <t>IVB/PQ_154_hepb</t>
  </si>
  <si>
    <t>IVB/PQ_85_hepb</t>
  </si>
  <si>
    <t>IVB/PQ_84_hepb</t>
  </si>
  <si>
    <t>IVB/PQ_83_hepb</t>
  </si>
  <si>
    <t>IVB/PQ_82_hepb</t>
  </si>
  <si>
    <t>IVB/PQ_72_hepB</t>
  </si>
  <si>
    <t>IVB/PQ_71_hepB</t>
  </si>
  <si>
    <t>IVB/PQ_70_hepB</t>
  </si>
  <si>
    <t>IVB/PQ_69_hepB</t>
  </si>
  <si>
    <t>IVB/PQ_41_hepb</t>
  </si>
  <si>
    <t>IVB/PQ_40_hepb</t>
  </si>
  <si>
    <t>IVB/PQ_39_hepb</t>
  </si>
  <si>
    <t>IVB/PQ_06_hepb</t>
  </si>
  <si>
    <t>IVB/PQ_05_hepb</t>
  </si>
  <si>
    <t>IVB/PQ_04_hepb</t>
  </si>
  <si>
    <t>IVB/PQ_24_hepb</t>
  </si>
  <si>
    <t>IVB/PQ_25_hepb</t>
  </si>
  <si>
    <t>boxes of 100 Uniject of single-dose</t>
  </si>
  <si>
    <t>IVB/PQ_10_hepb</t>
  </si>
  <si>
    <t>IVB/PQ_169_hepb</t>
  </si>
  <si>
    <t>IVB/PQ_170_hepb</t>
  </si>
  <si>
    <t>IVB/PQ_171_hepb</t>
  </si>
  <si>
    <t>IVB/PQ_172_hepb</t>
  </si>
  <si>
    <t>IVB/PQ_173_hepb</t>
  </si>
  <si>
    <t>Japan BCG Laboratory</t>
  </si>
  <si>
    <t>pack of 100 Uniject</t>
  </si>
  <si>
    <t>TT vaccine</t>
  </si>
  <si>
    <t>IVB/PQ_17_tet</t>
  </si>
  <si>
    <t>IVB/PQ_15_tet</t>
  </si>
  <si>
    <t>IVB/PQ_16_tet</t>
  </si>
  <si>
    <t>Tetatox TT vaccine</t>
  </si>
  <si>
    <t>IVB/PQ_76_tet</t>
  </si>
  <si>
    <t>IVB/PQ_77_tet</t>
  </si>
  <si>
    <t>Tetanus Toxoid</t>
  </si>
  <si>
    <t>pack of 20 vials</t>
  </si>
  <si>
    <t>Biological E Limited</t>
  </si>
  <si>
    <t>IVB/PQ_191_TT</t>
  </si>
  <si>
    <t>TETAVAX</t>
  </si>
  <si>
    <t>IVB/PQ_105_tet</t>
  </si>
  <si>
    <t>Losani 0,125 l</t>
  </si>
  <si>
    <t>Nylex Packaging</t>
  </si>
  <si>
    <t>CFC free</t>
  </si>
  <si>
    <t>E4/81-M</t>
  </si>
  <si>
    <t>BK-VC 1.6 - CF</t>
  </si>
  <si>
    <t>E4/83-M</t>
  </si>
  <si>
    <t>Vaccine carrier for NID</t>
  </si>
  <si>
    <t>CIP Industries</t>
  </si>
  <si>
    <t>Frigivac for kick Polio</t>
  </si>
  <si>
    <t>E4/84-M</t>
  </si>
  <si>
    <t>E4/86-M</t>
  </si>
  <si>
    <t>ICB-14F</t>
  </si>
  <si>
    <t>0,4 &amp; 0,6</t>
  </si>
  <si>
    <t>LCB-8A</t>
  </si>
  <si>
    <t>CB/10 - CF</t>
  </si>
  <si>
    <t>E4/88-M</t>
  </si>
  <si>
    <t>AOV International</t>
  </si>
  <si>
    <t>AVC-24</t>
  </si>
  <si>
    <t>E4/89-M</t>
  </si>
  <si>
    <t>ADVC-24</t>
  </si>
  <si>
    <t>AVC-44</t>
  </si>
  <si>
    <t>Расчет веса оборудования для безопасных инъекций на привитого</t>
  </si>
  <si>
    <t>Вес СБ шприца, г/шт:</t>
  </si>
  <si>
    <t>Вес шприца для разведения вакцин, г/шт:</t>
  </si>
  <si>
    <t>Вес КБУ, г/шт:</t>
  </si>
  <si>
    <t>для одной инъекции, г</t>
  </si>
  <si>
    <t>Вес оборудования</t>
  </si>
  <si>
    <t>Общий вес шприцев для растворителей на одного</t>
  </si>
  <si>
    <t>Общий вес инъекционных шприцев на одного</t>
  </si>
  <si>
    <t>Общий вес КБУ на одного</t>
  </si>
  <si>
    <t>E3/104-M</t>
  </si>
  <si>
    <t>VaccPack XL 6000</t>
  </si>
  <si>
    <t>E3/105-M</t>
  </si>
  <si>
    <t>Bright Light Solar</t>
  </si>
  <si>
    <t>PS65</t>
  </si>
  <si>
    <t>E3/106-M</t>
  </si>
  <si>
    <t>Dometic</t>
  </si>
  <si>
    <t>TCW 3000</t>
  </si>
  <si>
    <t>E3/107-M</t>
  </si>
  <si>
    <t>PR 265 K/E</t>
  </si>
  <si>
    <t>E3/108-M</t>
  </si>
  <si>
    <t>PS40</t>
  </si>
  <si>
    <t>E3/109-M</t>
  </si>
  <si>
    <t>PT. Dilihan Glory</t>
  </si>
  <si>
    <t>DOVLINE</t>
  </si>
  <si>
    <t>E3/110-M</t>
  </si>
  <si>
    <t>icelined refrigerator &amp; vac/icepack freezer</t>
  </si>
  <si>
    <t>TCW 2000</t>
  </si>
  <si>
    <t>E3/111-M</t>
  </si>
  <si>
    <t>Number of icepacks</t>
  </si>
  <si>
    <t>weight (kg)</t>
  </si>
  <si>
    <t>PFS</t>
  </si>
  <si>
    <t>Hib_liq</t>
  </si>
  <si>
    <t>Hib_lyo</t>
  </si>
  <si>
    <t>Rota_lyo</t>
  </si>
  <si>
    <t>Rota_liq</t>
  </si>
  <si>
    <t>FLUVAL (P)</t>
  </si>
  <si>
    <t>20 vials per box</t>
  </si>
  <si>
    <t>Communication with Team from Hungary during EURO Pandemic workshop (Aug 09)</t>
  </si>
  <si>
    <t>icelined refrigerator - water-pack freezer</t>
  </si>
  <si>
    <t>MKF074</t>
  </si>
  <si>
    <t>E003/010</t>
  </si>
  <si>
    <t>MK204</t>
  </si>
  <si>
    <t>Total net storage volume of safety boxes per target</t>
  </si>
  <si>
    <t>Coût du diesel, $/litre</t>
  </si>
  <si>
    <t>Coût du transport, $/ton.km</t>
  </si>
  <si>
    <t>Zambia</t>
  </si>
  <si>
    <t>Zimbabwe</t>
  </si>
  <si>
    <t xml:space="preserve">Suivre les instructions ci-dessous. </t>
  </si>
  <si>
    <t>TBP VR 50</t>
  </si>
  <si>
    <t>E3/83</t>
  </si>
  <si>
    <t>Sibir</t>
  </si>
  <si>
    <t>V 170 GE</t>
  </si>
  <si>
    <t>E3/84-M</t>
  </si>
  <si>
    <t>V 170 EK</t>
  </si>
  <si>
    <t>E3/85-M</t>
  </si>
  <si>
    <t>V 110 GE</t>
  </si>
  <si>
    <t>E3/86-M</t>
  </si>
  <si>
    <t>V 110 KE</t>
  </si>
  <si>
    <t>E3/87-M</t>
  </si>
  <si>
    <t>RCW 50 EG/CF</t>
  </si>
  <si>
    <t>E3/88-M</t>
  </si>
  <si>
    <t>Zero</t>
  </si>
  <si>
    <t>PR 245 K/E</t>
  </si>
  <si>
    <t>E3/89-M</t>
  </si>
  <si>
    <t>http://www.who.int/immunization_standards/vaccine_quality/pq_133_hepb_10doseped_sii/en/index.html</t>
  </si>
  <si>
    <t>10 vial of 1-dose</t>
  </si>
  <si>
    <t>April, 1998</t>
  </si>
  <si>
    <t>Algérie</t>
  </si>
  <si>
    <t>Bénin</t>
  </si>
  <si>
    <t>Caméroun</t>
  </si>
  <si>
    <t>April ,1998</t>
  </si>
  <si>
    <t>Quattvaxem</t>
  </si>
  <si>
    <t>Easy Four</t>
  </si>
  <si>
    <t>TETRAct-HIB</t>
  </si>
  <si>
    <t>Diphtheria-Tetanus-Pertussis (whole cell)-Haemophilus influenzae type b</t>
  </si>
  <si>
    <t>Liquid + Lyophilized</t>
  </si>
  <si>
    <t>box of 1 vial of 10 dose + 1 ampoule of diluents</t>
  </si>
  <si>
    <t>box of 10 single-dose vials</t>
  </si>
  <si>
    <t>box of 10 vials of 10 doses</t>
  </si>
  <si>
    <t>HPV - Gardasil</t>
  </si>
  <si>
    <t>HPV</t>
  </si>
  <si>
    <t>one pack of 10 single-dose vials</t>
  </si>
  <si>
    <t>Rotarix®</t>
  </si>
  <si>
    <t>Prevnar®</t>
  </si>
  <si>
    <t>Uniject</t>
  </si>
  <si>
    <t>1*</t>
  </si>
  <si>
    <t>Rotarix packaging discussions, 03 Dec.07</t>
  </si>
  <si>
    <t>Merck</t>
  </si>
  <si>
    <t>carton of 144 vials of Hib + 144 vials of DTP-HepB</t>
  </si>
  <si>
    <t>carton of 216 vials of Hib + 216 vials of DTP-HepB</t>
  </si>
  <si>
    <t>1) Les traductions dans d'autres langues que l'anglais ne devraient pas contenir plus de caractères que le texte anglais. Utiliser les abréviations appropriées pour cela.</t>
  </si>
  <si>
    <t xml:space="preserve">2) Follow English language formats.  For example 'E V M   A S S I S T A N T' should be translated with similar spaces between letters and words.  </t>
  </si>
  <si>
    <t>3) Where indentation or hard carriage returns are used, follow the English language format.</t>
  </si>
  <si>
    <t>3) Où des retraits ou retour en ligne sont utilisés, suivre le format anglais.</t>
  </si>
  <si>
    <t>Choisir du menu déroulant</t>
  </si>
  <si>
    <t>Circular ITN (1250x65x250)</t>
  </si>
  <si>
    <t>ITN_Large_circular</t>
  </si>
  <si>
    <t>WHO/MAL, 2006</t>
  </si>
  <si>
    <t>loaded</t>
  </si>
  <si>
    <t>box of one single-dose polyethylene tube</t>
  </si>
  <si>
    <t xml:space="preserve">Pneumococcal Conjugate Vaccine 13-valent </t>
  </si>
  <si>
    <t>PCV-13</t>
  </si>
  <si>
    <t>Primary Pack - 5-vial Carton - Length= 3-9/16" x Width= 1-1/8" x Height=1-3/4"</t>
  </si>
  <si>
    <t>box of 2 blisters with 5 oral applicators</t>
  </si>
  <si>
    <t>Federal State Unitary Enterprise on Manufacture of Bacterial and Viral Preparations, Chumakov Institute of Poliomyelitis and Viral Encephalitidies, Russian Academy of Medical Sciences</t>
  </si>
  <si>
    <t>box of one blister of one oral applicator</t>
  </si>
  <si>
    <t>CB_large</t>
  </si>
  <si>
    <t>CB_small</t>
  </si>
  <si>
    <t>VC_large</t>
  </si>
  <si>
    <t>VC_small</t>
  </si>
  <si>
    <t>IVB/PQ_194_bOPV13</t>
  </si>
  <si>
    <t>H1N1 campaign</t>
  </si>
  <si>
    <t>Table 4: Characteristics of icepack freezers</t>
  </si>
  <si>
    <t>boxes of 20 vials of 10-doses of vaccine + diluents</t>
  </si>
  <si>
    <t>Feuilles avec références:</t>
  </si>
  <si>
    <t xml:space="preserve">Volume total net stockage seringues par </t>
  </si>
  <si>
    <t>Volume total net stockage boîtes sécurité par</t>
  </si>
  <si>
    <t>Volume total net stockage matériel d'injection par</t>
  </si>
  <si>
    <t>Poids consommables</t>
  </si>
  <si>
    <t>par injection (g)</t>
  </si>
  <si>
    <t>per injection (g)</t>
  </si>
  <si>
    <t xml:space="preserve">Total weight of dilution syringes per </t>
  </si>
  <si>
    <t>Total weigth of safety box per</t>
  </si>
  <si>
    <t>Poids total net matériel d'injection, par</t>
  </si>
  <si>
    <t>Poids total net boîtes sécurité, par</t>
  </si>
  <si>
    <t>Poids total net seringues d'injection, par</t>
  </si>
  <si>
    <t>Poids total net seringues dilution, par</t>
  </si>
  <si>
    <t>Выбор вакцин и расчет объема вакцин на одного привитого</t>
  </si>
  <si>
    <t>Polyfoam Packers</t>
  </si>
  <si>
    <t>EPI/PF/1.5</t>
  </si>
  <si>
    <t>E4/19</t>
  </si>
  <si>
    <t>CB/INO/D1/90</t>
  </si>
  <si>
    <t>E4/20</t>
  </si>
  <si>
    <t>Oyster International</t>
  </si>
  <si>
    <t>E4/22</t>
  </si>
  <si>
    <t>Beijing</t>
  </si>
  <si>
    <t>IA</t>
  </si>
  <si>
    <t>E4/34</t>
  </si>
  <si>
    <t>Savopak Oy</t>
  </si>
  <si>
    <t>KR 48</t>
  </si>
  <si>
    <t>E4/37-M</t>
  </si>
  <si>
    <t>Gio Style Spa</t>
  </si>
  <si>
    <t>boxes of 50 vials of single-doses of vaccine</t>
  </si>
  <si>
    <t>Hungary</t>
  </si>
  <si>
    <t>boxes of 50 vials of 2-doses of vaccine</t>
  </si>
  <si>
    <t>Autres interventions</t>
  </si>
  <si>
    <t>Action optionnelle</t>
  </si>
  <si>
    <t>Vaccine initiales</t>
  </si>
  <si>
    <t>Appellation commerciale</t>
  </si>
  <si>
    <t>Intégration avec mat. injection (si applicable)</t>
  </si>
  <si>
    <t>Safe injection équipement</t>
  </si>
  <si>
    <t>Emballage</t>
  </si>
  <si>
    <t>équipement non requis</t>
  </si>
  <si>
    <t>Capacité (litres)</t>
  </si>
  <si>
    <t>boxes of 50 vials of 20-doses of vaccine + diluents</t>
  </si>
  <si>
    <t>BCG vaccine</t>
  </si>
  <si>
    <t>Dried BCG</t>
  </si>
  <si>
    <t>BCG Vacc</t>
  </si>
  <si>
    <t>BCG Vaccine</t>
  </si>
  <si>
    <t>BCG Vaccine SSI</t>
  </si>
  <si>
    <t xml:space="preserve">Hepavax          </t>
  </si>
  <si>
    <t xml:space="preserve">Hepatitis B  Vaccine Recombinant </t>
  </si>
  <si>
    <t>Heberbiovac HB</t>
  </si>
  <si>
    <t>Engerix</t>
  </si>
  <si>
    <t>Euvax B</t>
  </si>
  <si>
    <t>EnivacHB</t>
  </si>
  <si>
    <t>Shanvac-B</t>
  </si>
  <si>
    <t>Revac-B+</t>
  </si>
  <si>
    <t>Center for Genetic Engineering and Biotechnology</t>
  </si>
  <si>
    <t>LG Life Sciences Ltd.</t>
  </si>
  <si>
    <t>Panacea Biotec</t>
  </si>
  <si>
    <t>Shantha Biotechnics  Private Ltd.</t>
  </si>
  <si>
    <t>Bharat Biotech International Ltd.</t>
  </si>
  <si>
    <t>boxes of 50 vials of 10-doses of vaccine</t>
  </si>
  <si>
    <t>boxes of 20 vials of 10-doses of vaccine</t>
  </si>
  <si>
    <t>Container_1</t>
  </si>
  <si>
    <t>Container_2</t>
  </si>
  <si>
    <t>Container_3</t>
  </si>
  <si>
    <t>Other vaccine shipment containers</t>
  </si>
  <si>
    <t>Analysis per</t>
  </si>
  <si>
    <t xml:space="preserve">Y1 = </t>
  </si>
  <si>
    <t xml:space="preserve">Y2 = </t>
  </si>
  <si>
    <t>Vaccine net volume for supply period and cold equipment capacities (litres)</t>
  </si>
  <si>
    <t>per year</t>
  </si>
  <si>
    <t>ice-lined vaccine refrigerator</t>
  </si>
  <si>
    <t>TCW3000AC</t>
  </si>
  <si>
    <t>E003/017</t>
  </si>
  <si>
    <t>Solar direct drive refrigerator</t>
  </si>
  <si>
    <t>HBC-60</t>
  </si>
  <si>
    <t>E003/018</t>
  </si>
  <si>
    <t>Estimated purchase cost of litre net capacity of cold chain ($/litre)</t>
  </si>
  <si>
    <t>Total estimated cold-chain purchase cost, $</t>
  </si>
  <si>
    <t>Volume total net stockage matériel d'injection par cible</t>
  </si>
  <si>
    <t>Poids total net seringues dilution, par cible</t>
  </si>
  <si>
    <t>Poids total net seringues d'injection, par cible</t>
  </si>
  <si>
    <t>Poids total net boîtes sécurité, par cible</t>
  </si>
  <si>
    <t>Poids total net matériel d'injection, par cible</t>
  </si>
  <si>
    <t>Nbre injections par cible</t>
  </si>
  <si>
    <t xml:space="preserve">Pneumococcal Conjugate Vaccine 7-valent </t>
  </si>
  <si>
    <t xml:space="preserve">Meningococcal A/C7W/Y </t>
  </si>
  <si>
    <t>N</t>
  </si>
  <si>
    <t>w/o diluents</t>
  </si>
  <si>
    <t>with diluents</t>
  </si>
  <si>
    <t>with syringe</t>
  </si>
  <si>
    <t>Yellow Fever</t>
  </si>
  <si>
    <t>Measles vaccine</t>
  </si>
  <si>
    <t>Measles-Rubella vaccine</t>
  </si>
  <si>
    <t>Measles-Mumps-Rubella vaccine</t>
  </si>
  <si>
    <t>Japanese Encephalitis</t>
  </si>
  <si>
    <t>Hib freeze dried vaccine</t>
  </si>
  <si>
    <t>PCV-7</t>
  </si>
  <si>
    <t>MV ACWY</t>
  </si>
  <si>
    <t>CELVAPAN</t>
  </si>
  <si>
    <t>Baxter</t>
  </si>
  <si>
    <t>Estimate of the amount of injection waste generated per recipient</t>
  </si>
  <si>
    <t>Total net storage volume of vaccines &amp; diluents per recipient</t>
  </si>
  <si>
    <t>Total net storage volume of vaccines per recipient</t>
  </si>
  <si>
    <t>No. of vaccine doses per recipient</t>
  </si>
  <si>
    <t>STEP 7: Use columns S to U to enter the number of doses per recipient for planned mass vaccination campaigns.  In cells S17 to U17 enter a title for each schedule.</t>
  </si>
  <si>
    <t>STEP 6: In column M, enter the number of doses per recipient for vaccines in the current schedule. Optionally use columns N to Q for alternative schedules.  In cells N17 to Q17 enter a title for each schedule.</t>
  </si>
  <si>
    <t>Increase of net storage volume compared to current schedule</t>
  </si>
  <si>
    <t>Weight of safe injection equipment per recipient</t>
  </si>
  <si>
    <t>Poids du matériel d'injection par cible</t>
  </si>
  <si>
    <t>Increase of total weight compared to current schedule</t>
  </si>
  <si>
    <t>gram</t>
  </si>
  <si>
    <t>OPTION: Poids de seringue AB, g/unité:</t>
  </si>
  <si>
    <t>OPTION: Poids de seringue de reconstitution, g/unité:</t>
  </si>
  <si>
    <t>OPTION: Poids de boîte de sécurité, g/unité:</t>
  </si>
  <si>
    <t>OPTION: Over-ride weight of AD syringe, g/unit:</t>
  </si>
  <si>
    <t>OPTION: Over-ride weight of reconstitution syringe, g/unit:</t>
  </si>
  <si>
    <t>OPTION: Over-ride weight of safety box, g/unit:</t>
  </si>
  <si>
    <t>OPTION: Over-ride default reconstitution syringe packed volume, cm³/unit:</t>
  </si>
  <si>
    <t>OPTION: Over-ride default safety box packed volume, cm³/unit:</t>
  </si>
  <si>
    <t>OPTION: Over-ride default AD syringe packed volume, cm³/unit:</t>
  </si>
  <si>
    <t>cm³</t>
  </si>
  <si>
    <t>Injection syringe</t>
  </si>
  <si>
    <t>Seringue d'injection</t>
  </si>
  <si>
    <t>Seringue dilution</t>
  </si>
  <si>
    <t>Boîtes de sécurité</t>
  </si>
  <si>
    <t>Mixing syringe</t>
  </si>
  <si>
    <t>Safety boxes</t>
  </si>
  <si>
    <t>Coût des vaccins et matériel d'injection par cible</t>
  </si>
  <si>
    <t>OPTION: Over-ride price of AD syringe, $/unit:</t>
  </si>
  <si>
    <t>OPTION: Over-ride price of reconstitution syringe, $/unit:</t>
  </si>
  <si>
    <t>OPTION: Over-ride price of safety box, $/unit:</t>
  </si>
  <si>
    <t>OPTION: Prix de seringue AB, $/unité:</t>
  </si>
  <si>
    <t>OPTION: Prix de seringue de reconstitution, $/unité:</t>
  </si>
  <si>
    <t>OPTION: Prix de boîte de sécurité, $/unité:</t>
  </si>
  <si>
    <t>Cost (US$/unit)</t>
  </si>
  <si>
    <t>Estimate of cold-chain capacity per schedule (litres)</t>
  </si>
  <si>
    <t>Estimate of number of passive containers required</t>
  </si>
  <si>
    <t>routine_Illustration</t>
  </si>
  <si>
    <t>Illustration graphique des résultats de l'analyse des vaccins planifiés pour la routine</t>
  </si>
  <si>
    <t>expected life-span of cold room:</t>
  </si>
  <si>
    <t>Zydus Cadila, India</t>
  </si>
  <si>
    <t>bOPV1+3</t>
  </si>
  <si>
    <t>Bivalent Oral polio type 1&amp;3</t>
  </si>
  <si>
    <t>IVB/PQ_196_bOPV13</t>
  </si>
  <si>
    <t>pack of 100 vials of 20 doses</t>
  </si>
  <si>
    <t>IVB/PQ_184_bOPV13</t>
  </si>
  <si>
    <t>IVB/PQ_185_bOPV13</t>
  </si>
  <si>
    <t>pack of 100 vials of 10 doses</t>
  </si>
  <si>
    <t>Haffkine Bio Pharmaceutical Corporation Ltd, India</t>
  </si>
  <si>
    <t>IVB/PQ_201_bOPV13</t>
  </si>
  <si>
    <t>pack of 25 vials</t>
  </si>
  <si>
    <t>paramètres d'approv. (mois)</t>
  </si>
  <si>
    <t>supply parameters (months)</t>
  </si>
  <si>
    <t>Dépôt principal</t>
  </si>
  <si>
    <t>Primary store</t>
  </si>
  <si>
    <t>par vaccin individuel</t>
  </si>
  <si>
    <t>Total population</t>
  </si>
  <si>
    <t>(maximum)</t>
  </si>
  <si>
    <t>(minimum)</t>
  </si>
  <si>
    <t>Population totale</t>
  </si>
  <si>
    <t>Volume total du matériel d'injection par livraison (m³)</t>
  </si>
  <si>
    <t>volume (m³)</t>
  </si>
  <si>
    <t>WICR-10m3</t>
  </si>
  <si>
    <t>Comments</t>
  </si>
  <si>
    <t>Driver + 2</t>
  </si>
  <si>
    <t>4.5 m3 (stacked</t>
  </si>
  <si>
    <t>to 1 m height)</t>
  </si>
  <si>
    <t>200 km</t>
  </si>
  <si>
    <t>Carrying capacity is adequate</t>
  </si>
  <si>
    <t>1.9 m3 safe-injection</t>
  </si>
  <si>
    <t>1.2 m3 safe-injection</t>
  </si>
  <si>
    <t>2.74 m3 (stacked</t>
  </si>
  <si>
    <t>(double cab)</t>
  </si>
  <si>
    <t>Driver + 4</t>
  </si>
  <si>
    <t>1.8 m3</t>
  </si>
  <si>
    <t>0.6 m3 safe-injection</t>
  </si>
  <si>
    <t>50 km</t>
  </si>
  <si>
    <t>Rider</t>
  </si>
  <si>
    <t>Motorcycle</t>
  </si>
  <si>
    <t>the rear carrier</t>
  </si>
  <si>
    <t>box (0.2 m3) on</t>
  </si>
  <si>
    <t>One 20 litre cold</t>
  </si>
  <si>
    <t>(0.04 m3 in 2</t>
  </si>
  <si>
    <t>carrier bags</t>
  </si>
  <si>
    <t>and 40 litres</t>
  </si>
  <si>
    <t>Bicycle</t>
  </si>
  <si>
    <t>Diphtheria-Tetanus pediatrics</t>
  </si>
  <si>
    <t>2 packs of 100 two-doses each of DTP-HepB liquid &amp; Hib freeze-dried</t>
  </si>
  <si>
    <t>Nbr. of products listed:</t>
  </si>
  <si>
    <t>Nbre de produits listés:</t>
  </si>
  <si>
    <t>Identification équipement</t>
  </si>
  <si>
    <t>Description</t>
  </si>
  <si>
    <t>Marque</t>
  </si>
  <si>
    <t>Modèle</t>
  </si>
  <si>
    <t>PIS/PQS code</t>
  </si>
  <si>
    <t>8 b/carton</t>
  </si>
  <si>
    <t>AD Syringes 0.1ml for BCG</t>
  </si>
  <si>
    <t>shipments per year</t>
  </si>
  <si>
    <t>livraisons par an</t>
  </si>
  <si>
    <t>Increase in nbr.of vials compared to current schedule</t>
  </si>
  <si>
    <t>Increase in nbr. of syringes compared to current schedule</t>
  </si>
  <si>
    <t>Increase in nbr. of injections compared to current schedule</t>
  </si>
  <si>
    <t>Nbr. of empty vials generated per recipient</t>
  </si>
  <si>
    <t>Nbr. of dilution syringes generated per recipient</t>
  </si>
  <si>
    <t>Total nbr. of syringes generated per recipient</t>
  </si>
  <si>
    <t>Nbr. of injections per recipient</t>
  </si>
  <si>
    <t>Nbr. of injections, units/</t>
  </si>
  <si>
    <t>Total nbr. of used syringes generated, units/</t>
  </si>
  <si>
    <t>Nbr. of used dilution syringes generated, units/</t>
  </si>
  <si>
    <t xml:space="preserve">Nbr. of empty vials, units/ </t>
  </si>
  <si>
    <t>Table 2: Characteristics of supplies for other child survival interventions (For information only)</t>
  </si>
  <si>
    <t>Tableau 2: Caractéristiques des consommables d'autres interventions (Seulement pour information)</t>
  </si>
  <si>
    <t>Number of days running of equipment per year:</t>
  </si>
  <si>
    <t>Cost of kerosene, $/litre</t>
  </si>
  <si>
    <t>days</t>
  </si>
  <si>
    <t>Annual cost for solar batteries &amp; regulator:</t>
  </si>
  <si>
    <t>Net volume of all vaccines except OPV stored at +5°C in higher level stores, per</t>
  </si>
  <si>
    <t>Volume net tous les vaccins (sauf VPO) à +5°C en dépôts supérieurs, par</t>
  </si>
  <si>
    <t>Net volume of all vaccines, including OPV, stored at +5°C in lower level stores, per</t>
  </si>
  <si>
    <t>Volume net tous les vaccins (y compris VPO) à +5°C en dépôts inférieurs, par</t>
  </si>
  <si>
    <t>Volume_inject</t>
  </si>
  <si>
    <t>Optional data entry only</t>
  </si>
  <si>
    <t>Entre données optionnelle</t>
  </si>
  <si>
    <t>Vaccine data</t>
  </si>
  <si>
    <t>Données vaccin</t>
  </si>
  <si>
    <t>Vaccine type</t>
  </si>
  <si>
    <t>Type vaccin</t>
  </si>
  <si>
    <t>Formulation</t>
  </si>
  <si>
    <t>Увеличение количества флаконов на одного ребенка от исходного уровня</t>
  </si>
  <si>
    <t>Увеличение количества шприцев от исходного уровня</t>
  </si>
  <si>
    <t>Увеличение числа инъекций от исходного уровня</t>
  </si>
  <si>
    <t>box of 50 single-dose polyethylene tubes with 5 rows of 10 tubes</t>
  </si>
  <si>
    <t>box of 10 single-dose polyethylene tubes with 2 rows of 5 tubes</t>
  </si>
  <si>
    <t>Contenu feuilles</t>
  </si>
  <si>
    <t>Feuilles</t>
  </si>
  <si>
    <t>Ожидаемое к-во использов-х шприцев раствор-й на привитого</t>
  </si>
  <si>
    <t>Общее к-во инъекций на привитого</t>
  </si>
  <si>
    <t>Общее oжидаемое к-во использов-х шприцев, шт./</t>
  </si>
  <si>
    <t>Общее количество инъекций, шт/</t>
  </si>
  <si>
    <t>DTP+HepB + AD syringe (2 separate vials, but packed together)</t>
  </si>
  <si>
    <t>DTP+HepB</t>
  </si>
  <si>
    <t>DTP+HepB (2 separate vials, but packed together)</t>
  </si>
  <si>
    <t>VVM-14</t>
  </si>
  <si>
    <t>GlaxoSmithKline (WHO P/Q file)</t>
  </si>
  <si>
    <t>Nbre flacons vides générés, unités/</t>
  </si>
  <si>
    <t>IVB/PQ_178_yf</t>
  </si>
  <si>
    <t>IVB/PQ_177_yf</t>
  </si>
  <si>
    <t>pack of 10 ampoules active + 10 ampoules (diluent)</t>
  </si>
  <si>
    <t>Prevenar 13</t>
  </si>
  <si>
    <t>IVB/PQ_222_pneumococcal13</t>
  </si>
  <si>
    <t>IVB/PQ_218_pneumococcal7</t>
  </si>
  <si>
    <t>Prevenar</t>
  </si>
  <si>
    <t xml:space="preserve">Pneumococcal Conjugate Vaccine 10-valent </t>
  </si>
  <si>
    <t>PCV-10</t>
  </si>
  <si>
    <t>Synflorix</t>
  </si>
  <si>
    <t>pack of 1 vial</t>
  </si>
  <si>
    <t>IVB/PQ_192_pneumococcal_gsk</t>
  </si>
  <si>
    <t>pack of 10 vials</t>
  </si>
  <si>
    <t>pack of 100 vials</t>
  </si>
  <si>
    <t>IVB/PQ_199_pneumococcal_gsk</t>
  </si>
  <si>
    <t>Polys Men A+C</t>
  </si>
  <si>
    <t>IVB/PQ_23_men</t>
  </si>
  <si>
    <t>IVB/PQ_114_menAC</t>
  </si>
  <si>
    <t>IVB/PQ_99_ipv</t>
  </si>
  <si>
    <t>Poliomeltis vaccine</t>
  </si>
  <si>
    <t>akylux tray of 360 vials</t>
  </si>
  <si>
    <t>Netherlands Vaccine Institute</t>
  </si>
  <si>
    <t>IVB/PQ_231_ipv</t>
  </si>
  <si>
    <t>IPV Vaccine SSI</t>
  </si>
  <si>
    <t>IVB/PQ_232_ipv</t>
  </si>
  <si>
    <t>Pack of 50 vials</t>
  </si>
  <si>
    <t>GPO-MBP (Government Pharmaceutical Organization Merieux Biological Products Company Limited)</t>
  </si>
  <si>
    <t>pack of 50 vials</t>
  </si>
  <si>
    <t>pack of 50 vials + separate pack of 50 ampoules (diluents)</t>
  </si>
  <si>
    <t>MoRu-Viraten</t>
  </si>
  <si>
    <t>Crucell Switzerland AG</t>
  </si>
  <si>
    <t>IVB/PQ_62_measles</t>
  </si>
  <si>
    <t>rHA M-M-R II</t>
  </si>
  <si>
    <t>TRIMOVAX MERIEUX</t>
  </si>
  <si>
    <t>pack of 10 vials + 10 ampoules of 0.5ml (diluent)</t>
  </si>
  <si>
    <t>pack of 10 vials + 10 ampoules of 5ml (diluent)</t>
  </si>
  <si>
    <t>pack of 50 vials (active) + separate 10 ampoules of 5ml (diluent)</t>
  </si>
  <si>
    <t>Rubella vaccine</t>
  </si>
  <si>
    <t>Rubella</t>
  </si>
  <si>
    <t>IVB/PQ_150_rubella</t>
  </si>
  <si>
    <t>IVB/PQ_151_rubella</t>
  </si>
  <si>
    <t>IVB/PQ_152_rubella</t>
  </si>
  <si>
    <t>Size of walk in cold rooms</t>
  </si>
  <si>
    <t>Gross volume of cold rooms</t>
  </si>
  <si>
    <t>Net storage capacity (litres)</t>
  </si>
  <si>
    <t>Cost of WICR</t>
  </si>
  <si>
    <t>Cost of WIFR</t>
  </si>
  <si>
    <t>Power of WICR (kW)</t>
  </si>
  <si>
    <t xml:space="preserve"> months</t>
  </si>
  <si>
    <t xml:space="preserve"> mois</t>
  </si>
  <si>
    <t>Estimate of cold-chain capacity per MaxiStock (litres)</t>
  </si>
  <si>
    <t>Estimate of net dry storage per MaxiStock (m³)</t>
  </si>
  <si>
    <t>Estimate of equipment requirements per schedule</t>
  </si>
  <si>
    <t>Estimate of equipment requirements per MaxiStock</t>
  </si>
  <si>
    <t>Estimate of net dry storage per schedule (m³)</t>
  </si>
  <si>
    <t>DTPa-HepB combined in syringe</t>
  </si>
  <si>
    <t>1 vial + syringe</t>
  </si>
  <si>
    <t>DTPw-HepB combined</t>
  </si>
  <si>
    <t>DTP+Hib combined freeze dried</t>
  </si>
  <si>
    <t>liquid+freeze-dried</t>
  </si>
  <si>
    <t>DTP+Hib</t>
  </si>
  <si>
    <t>Объем комнаты или размер (м3)</t>
  </si>
  <si>
    <t>Фактор накопления</t>
  </si>
  <si>
    <t>Стоимость Минусовая</t>
  </si>
  <si>
    <t>Стоимость Плюсовая</t>
  </si>
  <si>
    <t>Электричество, kW</t>
  </si>
  <si>
    <t>Таблица 5: Характеристика термосумок</t>
  </si>
  <si>
    <t>Термоконтейнеры и термосумки</t>
  </si>
  <si>
    <t>коды</t>
  </si>
  <si>
    <t>Объем (литры)</t>
  </si>
  <si>
    <t>Кол-во хладоэлементов</t>
  </si>
  <si>
    <t>Вес полной сумки, кг</t>
  </si>
  <si>
    <t>Большой термоконтейнер (PQS)</t>
  </si>
  <si>
    <t>Маленький термоконтейнер (PQS)</t>
  </si>
  <si>
    <t>Большая термосумка (PQS)</t>
  </si>
  <si>
    <t>Маленькая термосумка (PQS)</t>
  </si>
  <si>
    <t>ACB-503L</t>
  </si>
  <si>
    <t>Enter as % of total population</t>
  </si>
  <si>
    <t>En % population totale</t>
  </si>
  <si>
    <t>Net volume of OPV at -20°C in higher level stores, per</t>
  </si>
  <si>
    <t>Volume net VPO à -20°C en dépôts supérieurs, par</t>
  </si>
  <si>
    <t>TM52</t>
  </si>
  <si>
    <t>E4/96-M</t>
  </si>
  <si>
    <t>LSR 50</t>
  </si>
  <si>
    <t>E4/97-M</t>
  </si>
  <si>
    <t>SLR 100</t>
  </si>
  <si>
    <t>E4/98-M</t>
  </si>
  <si>
    <t>0.6 &amp; 0.3</t>
  </si>
  <si>
    <t>ACB-246LS</t>
  </si>
  <si>
    <t>ACB-264SL</t>
  </si>
  <si>
    <t>Draft file of unpreserved 2-dose PCV-10 from GSK</t>
  </si>
  <si>
    <t>Code</t>
  </si>
  <si>
    <t>Regions</t>
  </si>
  <si>
    <t>Transport mode</t>
  </si>
  <si>
    <t>Central</t>
  </si>
  <si>
    <t>Truck</t>
  </si>
  <si>
    <t>8.0 m3</t>
  </si>
  <si>
    <t>Western</t>
  </si>
  <si>
    <t>The Govi</t>
  </si>
  <si>
    <t>Boat</t>
  </si>
  <si>
    <t>Northern</t>
  </si>
  <si>
    <t>Bulgan</t>
  </si>
  <si>
    <t>Air</t>
  </si>
  <si>
    <t>Eastern</t>
  </si>
  <si>
    <t>Dornod</t>
  </si>
  <si>
    <t>Zavkhan</t>
  </si>
  <si>
    <t>Orkhon</t>
  </si>
  <si>
    <t>Pays:</t>
  </si>
  <si>
    <t>Country:</t>
  </si>
  <si>
    <t>V A C C I N E   V O L U M E   C A L C U L A T O R</t>
  </si>
  <si>
    <t>C A L C U L A T E U R   D E   V O L U M E   D E S   V A C C I N S</t>
  </si>
  <si>
    <t>Index and instructions</t>
  </si>
  <si>
    <t>Index et instructions</t>
  </si>
  <si>
    <t>Content of the worksheet</t>
  </si>
  <si>
    <t>Investissement chambre froide positive ($/litre)</t>
  </si>
  <si>
    <t>Investissement chambre froide négative ($/litre)</t>
  </si>
  <si>
    <t>Consommation énergie chambre froide positive ($/litre)</t>
  </si>
  <si>
    <t>Consommation énergie chambre froide négative ($/litre)</t>
  </si>
  <si>
    <t>WICR</t>
  </si>
  <si>
    <t>WIFR</t>
  </si>
  <si>
    <t>no equipment required</t>
  </si>
  <si>
    <t>Caisses isothermes</t>
  </si>
  <si>
    <t>Code caisse isothermes</t>
  </si>
  <si>
    <t>Nbre accus</t>
  </si>
  <si>
    <t>Poids chargé (kg)</t>
  </si>
  <si>
    <t>Grande glacière (PQS)</t>
  </si>
  <si>
    <t>Petite glacière (PQS)</t>
  </si>
  <si>
    <t>réfrigération ($/litre)</t>
  </si>
  <si>
    <t>congélation ($/litre)</t>
  </si>
  <si>
    <t>production accus ($/kg)</t>
  </si>
  <si>
    <t>Icepack freezing ($/kg)</t>
  </si>
  <si>
    <t>refrigeration (kWh/litre)</t>
  </si>
  <si>
    <t>Abaques pour l'estimation des capacités de stockage ambiant des dépôts principal et secondaires: (different calendriers; même Stock Maxi)</t>
  </si>
  <si>
    <t>Abaques pour l'estimation des capacités de stockage ambiant des dépôts principal et secondaires: (different Stock Maxi; même Calendrier)</t>
  </si>
  <si>
    <t>Abaques pour l'estimation des capacités de stockage froid des dépôts principal et secondaires - @ +5°C: (different calendriers; même Stock Maxi)</t>
  </si>
  <si>
    <t>Abaques pour l'estimation des capacités de stockage froid des dépôts district - @ +5°C: (different calendriers; même Stock Maxi)</t>
  </si>
  <si>
    <t>Abaques pour l'estimation des capacités de stockage ambiant des dépôts district: (different calendriers; même Stock Maxi)</t>
  </si>
  <si>
    <t>Abaques pour l'estimation des capacités de stockage froid des dépôts district - @ +5°C: (different Stock Maxi; même Calendrier)</t>
  </si>
  <si>
    <t>Abaques pour l'estimation des capacités de stockage ambiant des dépôts district: (different Stock Maxi; même Calendrier)</t>
  </si>
  <si>
    <t>Abaques pour l'estimation des capacités de stockage ambiant des points de prestations: (different calendriers; même Stock Maxi)</t>
  </si>
  <si>
    <t>Abaques pour l'estimation des capacités de stockage ambiant des points de prestations: (different Stock Maxi; même Calendrier)</t>
  </si>
  <si>
    <t>Abaques pour l'estimation des capacités de stockage froid des points de prestations - @ +5°C: (different Stock Maxi; même Calendrier)</t>
  </si>
  <si>
    <t>Abacques</t>
  </si>
  <si>
    <t>Sélection des vaccins &amp; estimation des volumes de stockage des vaccins</t>
  </si>
  <si>
    <t>2) How to use the tool:</t>
  </si>
  <si>
    <t>STEP 1: Estimate net storage volume per recipient using the Vaccine_Selection worksheet.</t>
  </si>
  <si>
    <t>http://www.who.int/immunization_standards/vaccine_quality/18_measles/en/index.html</t>
  </si>
  <si>
    <t>http://www.who.int/immunization_standards/vaccine_quality/PQ_223_measles_10dose_gpombp/en/index.html</t>
  </si>
  <si>
    <t>http://www.who.int/immunization_standards/vaccine_quality/PQ_107_measles_10_dose_sanofi_pasteur/en/index.html</t>
  </si>
  <si>
    <t>http://www.who.int/immunization_standards/vaccine_quality/03_measles/en/index.html</t>
  </si>
  <si>
    <t>http://www.who.int/immunization_standards/vaccine_quality/138_mr.jpg</t>
  </si>
  <si>
    <t>Общий вес инъекционных материалов на одного</t>
  </si>
  <si>
    <t>Увеличение разницы в весе от исходного уровня</t>
  </si>
  <si>
    <t>на привитого, шт.</t>
  </si>
  <si>
    <t>DTP-HepB-Hib</t>
  </si>
  <si>
    <t>Berna Biotech Korea Corp.</t>
  </si>
  <si>
    <t>Discussions with Lansley (SOA), Log Workshop Mombassa, Oct 08</t>
  </si>
  <si>
    <t>Number of HC</t>
  </si>
  <si>
    <t>under on year</t>
  </si>
  <si>
    <t>20.0 m3</t>
  </si>
  <si>
    <t>100 km</t>
  </si>
  <si>
    <t>Vaccine storage</t>
  </si>
  <si>
    <t>Weight (kg)</t>
  </si>
  <si>
    <t>External dimensions (cm)</t>
  </si>
  <si>
    <t>Vaccine storage dimensions</t>
  </si>
  <si>
    <t>Cold life</t>
  </si>
  <si>
    <t>Warm life</t>
  </si>
  <si>
    <t>Price</t>
  </si>
  <si>
    <t>capacity (l)</t>
  </si>
  <si>
    <t>empty</t>
  </si>
  <si>
    <t>W</t>
  </si>
  <si>
    <t>Number</t>
  </si>
  <si>
    <t>@+43°C</t>
  </si>
  <si>
    <t>@-20°C</t>
  </si>
  <si>
    <t>FOB ($)</t>
  </si>
  <si>
    <t>Large vaccine cold box</t>
  </si>
  <si>
    <t>Unité de la Population</t>
  </si>
  <si>
    <t>FIC</t>
  </si>
  <si>
    <t>ECV</t>
  </si>
  <si>
    <t xml:space="preserve">      Choisissez 'ECV' ou choisissez l'option 'Unité de la Population' (UP) pour l'analyse basée sur le pourcentage de la population totale recevant chaque vaccin.</t>
  </si>
  <si>
    <t xml:space="preserve">Unit of Population </t>
  </si>
  <si>
    <t xml:space="preserve">     Choose 'FIC' (Fully Immunized Child) or choose 'Unit of Population' (UP) for an analysis based on percentage of total population receiving each vaccine.</t>
  </si>
  <si>
    <t>UP data</t>
  </si>
  <si>
    <t>UP des données</t>
  </si>
  <si>
    <t>STEP 5: If you chosen 'Unit of Population' in step 5, enter the Unit of Population % for each vaccine in cells L18 to L37. Otherwise go to STEP 6.</t>
  </si>
  <si>
    <r>
      <t xml:space="preserve">ETAPE 5: Si vous choisissez </t>
    </r>
    <r>
      <rPr>
        <sz val="9"/>
        <rFont val="Arial"/>
        <family val="2"/>
      </rPr>
      <t>'Unité de la Population'</t>
    </r>
    <r>
      <rPr>
        <sz val="9"/>
        <rFont val="Arial"/>
        <family val="2"/>
      </rPr>
      <t xml:space="preserve"> en ETAPE 5, entrer le Unité de la Population % pour chaque vaccin dans les cellules L18 à L37. Sinon allez à ETAPE 6.</t>
    </r>
  </si>
  <si>
    <t xml:space="preserve">STEP 4: Choose target group type: </t>
  </si>
  <si>
    <t>ETAPE 4: Choisissez le type de groupe cible:</t>
  </si>
  <si>
    <t>Fully immunized children</t>
  </si>
  <si>
    <t xml:space="preserve">Enfants complètement vacciné </t>
  </si>
  <si>
    <t>BK-VC 2.6-CF</t>
  </si>
  <si>
    <t>PQS E004/021</t>
  </si>
  <si>
    <t>BK-VC 1.7-CF</t>
  </si>
  <si>
    <t>PQS E004/022</t>
  </si>
  <si>
    <t>PQS E004/023</t>
  </si>
  <si>
    <t>PQS E004/024</t>
  </si>
  <si>
    <t>57..7</t>
  </si>
  <si>
    <t>PQS E004/025</t>
  </si>
  <si>
    <t>CB/20-CF</t>
  </si>
  <si>
    <t>PQS E004/026</t>
  </si>
  <si>
    <t>RCB 246 LS</t>
  </si>
  <si>
    <t>PQS E004/027</t>
  </si>
  <si>
    <t>RCB 324 SS</t>
  </si>
  <si>
    <t>PQS E004/028</t>
  </si>
  <si>
    <t>SR 0.9L</t>
  </si>
  <si>
    <t>PQS E004/029</t>
  </si>
  <si>
    <t>LR 1.5L</t>
  </si>
  <si>
    <t>AICB 243S</t>
  </si>
  <si>
    <t>AICB 503S</t>
  </si>
  <si>
    <t>Gio'Style</t>
  </si>
  <si>
    <t>---</t>
  </si>
  <si>
    <t>PIS E4/80-M</t>
  </si>
  <si>
    <t>no data</t>
  </si>
  <si>
    <t>PQS E004/030</t>
  </si>
  <si>
    <t>PQS E004/031</t>
  </si>
  <si>
    <t>PQS E004/032</t>
  </si>
  <si>
    <t>PQS E004/001</t>
  </si>
  <si>
    <t>Coldpack SA</t>
  </si>
  <si>
    <t>7lt D</t>
  </si>
  <si>
    <t>0.6 &amp; 0.4</t>
  </si>
  <si>
    <t>Bulking factor</t>
  </si>
  <si>
    <t>Safe injection supplies and cold chain equipment</t>
  </si>
  <si>
    <t>Table 3: Characteristics of walk in cold/freezer rooms</t>
  </si>
  <si>
    <t>Tableau 3: Caractéristiques des chambres froides/congélation</t>
  </si>
  <si>
    <t>Tableau 1: Caractéristiques du matériel d'injection</t>
  </si>
  <si>
    <t>Таблица 1: Характеристика оборудования для безопасных инъекций</t>
  </si>
  <si>
    <t>Table 5: Characteristics of vaccine shipping containers</t>
  </si>
  <si>
    <t>Tableau 5: Caractéristiques des caisses isothermes</t>
  </si>
  <si>
    <t>Tableau 6: Coût d'achat et de fonctionnement des équipements de la chaîne du froid</t>
  </si>
  <si>
    <t>Table 6: Purchase and running cost of cold chain equipment</t>
  </si>
  <si>
    <t>Supplies</t>
  </si>
  <si>
    <t>Table 1: Characteristics of safe injection equipment</t>
  </si>
  <si>
    <t>Packed volume (cm³/unit)</t>
  </si>
  <si>
    <t>Volume emballé (cm³/unit)</t>
  </si>
  <si>
    <t>Graph for cold storage capacity at district stores - @ +5°C: (different schedules with same Maximum Stock)</t>
  </si>
  <si>
    <t>Graph for cold storage capacity at district stores - @ +5°C: (same schedule with different Maximum Stocks)</t>
  </si>
  <si>
    <t>Graph for dry storage capacity at district stores: (different schedules with same Maximum Stock)</t>
  </si>
  <si>
    <t>Graph for dry storage capacity at district stores: (same schedule with different Maximum Stocks)</t>
  </si>
  <si>
    <t>Graph for cold storage capacity at service points - @ +5°C: (different schedules with same Maximum Stock)</t>
  </si>
  <si>
    <t>Graph for cold storage capacity at service points - @ +5°C: (same schedule with different Maximum Stocks)</t>
  </si>
  <si>
    <t>Graph for dry storage capacity at service points (different schedules with same Maximum Stock)</t>
  </si>
  <si>
    <t>Graph for dry storage capacity at service points: (same schedule with different Maximum Stocks)</t>
  </si>
  <si>
    <t>Graphs</t>
  </si>
  <si>
    <t>STEP 2: Use the Abacus_Tables worksheet to enter the data needed to generate graphs covering the range of target populations at each supply level.</t>
  </si>
  <si>
    <t>STEP 3: Use the graphs to read off the net storage volumes for a specific catchment population.  Then use these data to select appropriate cold chain equipment.</t>
  </si>
  <si>
    <t>Ina ColdMed</t>
  </si>
  <si>
    <t>CB/INO/B3/90</t>
  </si>
  <si>
    <t>E4/09</t>
  </si>
  <si>
    <t>small vaccine cold box</t>
  </si>
  <si>
    <t>CB/INO/C2/90</t>
  </si>
  <si>
    <t>E4/10</t>
  </si>
  <si>
    <t>Общий полезный объем хранения инъекционных материалов на одного</t>
  </si>
  <si>
    <t>Увеличение разницы в общем полезном объеме от исходного уровня</t>
  </si>
  <si>
    <t>Принятые сокращения</t>
  </si>
  <si>
    <t>PQEquipment</t>
  </si>
  <si>
    <t>Guatemala</t>
  </si>
  <si>
    <t>Guyana</t>
  </si>
  <si>
    <t>Haiti</t>
  </si>
  <si>
    <t>Honduras</t>
  </si>
  <si>
    <t>Singapore</t>
  </si>
  <si>
    <t>Samoa</t>
  </si>
  <si>
    <t>San Marino</t>
  </si>
  <si>
    <t>South Africa</t>
  </si>
  <si>
    <t>Solomon Islands</t>
  </si>
  <si>
    <t>Somalia</t>
  </si>
  <si>
    <t>Spain</t>
  </si>
  <si>
    <t>Sri Lanka</t>
  </si>
  <si>
    <t>Sao Tome and Principe</t>
  </si>
  <si>
    <t>Sudan</t>
  </si>
  <si>
    <t>Suriname</t>
  </si>
  <si>
    <t>Slovakia</t>
  </si>
  <si>
    <t>Slovenia</t>
  </si>
  <si>
    <t>Sweden</t>
  </si>
  <si>
    <t>Switzerland</t>
  </si>
  <si>
    <t>Swaziland</t>
  </si>
  <si>
    <t>Syrian Arab Republic</t>
  </si>
  <si>
    <t>Tanzania</t>
  </si>
  <si>
    <t>Thailand</t>
  </si>
  <si>
    <t>Tajikistan</t>
  </si>
  <si>
    <t>Turkmenistan</t>
  </si>
  <si>
    <t>Timor-Leste</t>
  </si>
  <si>
    <t>Togo</t>
  </si>
  <si>
    <t>Tonga</t>
  </si>
  <si>
    <t>Trinidad and Tobago</t>
  </si>
  <si>
    <t>Tunisia</t>
  </si>
  <si>
    <t>Turkey</t>
  </si>
  <si>
    <t>Tuvalu</t>
  </si>
  <si>
    <t>United Arab Emirates</t>
  </si>
  <si>
    <t>Uganda</t>
  </si>
  <si>
    <t>Ukraine</t>
  </si>
  <si>
    <t>United Kingdom</t>
  </si>
  <si>
    <t>Uruguay</t>
  </si>
  <si>
    <t>United States of America</t>
  </si>
  <si>
    <t>Uzbekistan</t>
  </si>
  <si>
    <t>Vanuatu</t>
  </si>
  <si>
    <t>Venezuela</t>
  </si>
  <si>
    <t>Viet Nam</t>
  </si>
  <si>
    <t>Yemen</t>
  </si>
  <si>
    <t>Serbia</t>
  </si>
  <si>
    <t>Ch.Froide(+)</t>
  </si>
  <si>
    <t>Ch.Froide(-)</t>
  </si>
  <si>
    <t>Estimation de la quantité de déchets générés par cible</t>
  </si>
  <si>
    <t>Abacus_NatStore_1</t>
  </si>
  <si>
    <t>Abacus_NatStore_2</t>
  </si>
  <si>
    <t>Abacus_Dist_1</t>
  </si>
  <si>
    <t>Abacus_Dist_2</t>
  </si>
  <si>
    <t>Abacus_SP_1</t>
  </si>
  <si>
    <t>Abacus_SP_2</t>
  </si>
  <si>
    <t>Solar direct drive refrigerator witout battery</t>
  </si>
  <si>
    <t>E003/019</t>
  </si>
  <si>
    <t>BLF100 DC</t>
  </si>
  <si>
    <t>R600a</t>
  </si>
  <si>
    <t>SunDanzer</t>
  </si>
  <si>
    <t>BFRV55</t>
  </si>
  <si>
    <t>E003/020</t>
  </si>
  <si>
    <t>Shanchol</t>
  </si>
  <si>
    <t>carton of 35 single-dose vials</t>
  </si>
  <si>
    <t>http://www.who.int/immunization_standards/vaccine_quality/pq_250_cholera_1dose_shantha/en/index.html</t>
  </si>
  <si>
    <t>OPTION: Volume emballé des seringues AB, cm³/unit:</t>
  </si>
  <si>
    <t>OPTION: Volume emballé des seringues de dilution, cm³/unit:</t>
  </si>
  <si>
    <t>OPTION: Volume emballé des boîtes de securité, cm³/unit:</t>
  </si>
  <si>
    <t>Augmentation poids total par rapport Calendrier Actuel</t>
  </si>
  <si>
    <t>H=Chaude, T=Tempérée M=Moderée</t>
  </si>
  <si>
    <t>Pas de saisie</t>
  </si>
  <si>
    <t>Conservation froid</t>
  </si>
  <si>
    <t>Conservation chaud</t>
  </si>
  <si>
    <t>Conservation frais</t>
  </si>
  <si>
    <t>Stockage vaccin</t>
  </si>
  <si>
    <t>chargé</t>
  </si>
  <si>
    <t>vide</t>
  </si>
  <si>
    <t>Ref. type</t>
  </si>
  <si>
    <t>per injection (cm³)</t>
  </si>
  <si>
    <t>Volume net stockage</t>
  </si>
  <si>
    <t>Total net storage volume of diluents per</t>
  </si>
  <si>
    <t>http://www.who.int/immunization_standards/vaccine_quality/pq_139_mr_2dose_sii/en/index.html</t>
  </si>
  <si>
    <t>http://www.who.int/immunization_standards/vaccine_quality/pq_140_mr_5dose_sii/en/index.html</t>
  </si>
  <si>
    <t>http://www.who.int/immunization_standards/vaccine_quality/pq_141_mr_10dose_sii/en/index.html</t>
  </si>
  <si>
    <t>http://www.who.int/immunization_standards/vaccine_quality/PQ_168_MMR_1_dose_Vial_MSD/en/index.html</t>
  </si>
  <si>
    <t>http://www.who.int/immunization_standards/vaccine_quality/PQ_108_mmr_1_dose_sanofi_pasteur/en/</t>
  </si>
  <si>
    <t>http://www.who.int/immunization_standards/vaccine_quality/PQ_109_mmr_10_dose_sanofi_pasteur/en/</t>
  </si>
  <si>
    <t>http://www.who.int/immunization_standards/vaccine_quality/pq_144_mmr_5dose_sii/en/index.html</t>
  </si>
  <si>
    <t>http://www.who.int/immunization_standards/vaccine_quality/pq_143_mmr_2dose_sii/en/index.html</t>
  </si>
  <si>
    <t>http://www.who.int/immunization_standards/vaccine_quality/pq_145_mmr_10dose_sii/en/index.html</t>
  </si>
  <si>
    <t>Nbre de jours de fonctionnement par an:</t>
  </si>
  <si>
    <t>Coût annuel batteries &amp; régulateurs:</t>
  </si>
  <si>
    <t>jours</t>
  </si>
  <si>
    <t xml:space="preserve">Total net storage volume of syringes per </t>
  </si>
  <si>
    <t>Total net storage volume of safety boxes per</t>
  </si>
  <si>
    <t>Total net storage volume of injection supplies per</t>
  </si>
  <si>
    <t>Volume total net de stockage diluants par</t>
  </si>
  <si>
    <t>Total weight of injection syringes per</t>
  </si>
  <si>
    <t>Total weight of injection supplies per</t>
  </si>
  <si>
    <t>ВАКЦИНЫ И ОБОРУДОВАНИЕ ДЛЯ БЕЗОПАСНЫХ ИНЪЕКЦИЙ И ХОЛОДОВОЙ ЦЕПИ</t>
  </si>
  <si>
    <t>Оборудование для безопасных инъекций</t>
  </si>
  <si>
    <t>Ссылка</t>
  </si>
  <si>
    <t>Коробок в ящике</t>
  </si>
  <si>
    <t>Штук в в коробке</t>
  </si>
  <si>
    <t>Вес (г/шт.)</t>
  </si>
  <si>
    <t>Seringues 10ml pour dilution VAA/VAM</t>
  </si>
  <si>
    <t>Boîtes sécurité, 5litres</t>
  </si>
  <si>
    <t>Boîtes sécurité, 2,5litres</t>
  </si>
  <si>
    <t>Boîtes sécurité, 10litres</t>
  </si>
  <si>
    <t>Boîtes sécurité, 15litres</t>
  </si>
  <si>
    <t>Safety boxes, 15litres</t>
  </si>
  <si>
    <t>Safety boxes, 2.5litres</t>
  </si>
  <si>
    <t>SAB_0.05ml</t>
  </si>
  <si>
    <t>SAB_0.1ml</t>
  </si>
  <si>
    <t>SAB_0.5ml</t>
  </si>
  <si>
    <t>BS_2.5l</t>
  </si>
  <si>
    <t>BS_5l</t>
  </si>
  <si>
    <t>BS_10l</t>
  </si>
  <si>
    <t>BS_15l</t>
  </si>
  <si>
    <t>Supplies for other interventions</t>
  </si>
  <si>
    <t>Qty_Waste</t>
  </si>
  <si>
    <t>par cible, unités</t>
  </si>
  <si>
    <t>Quantité des déchets</t>
  </si>
  <si>
    <t>Nbre injections, unités/</t>
  </si>
  <si>
    <t>Vaccine wastage</t>
  </si>
  <si>
    <t>Pertes de vaccin</t>
  </si>
  <si>
    <t>Data input sheets:</t>
  </si>
  <si>
    <t>Feuilles entrée données:</t>
  </si>
  <si>
    <t>SIAs_Illustration</t>
  </si>
  <si>
    <t>Illustration graphique des résultats de l'analyse des vaccins planifiés pour les campagnes de vaccination</t>
  </si>
  <si>
    <t>Volume total net de stockage des vaccins par cible</t>
  </si>
  <si>
    <t>Volume total net de stockage des vaccins &amp; diluants par cible</t>
  </si>
  <si>
    <t>Nbre de doses de vaccin par cible</t>
  </si>
  <si>
    <t>Volume total net de stockage diluants par cible</t>
  </si>
  <si>
    <t>Volume total net stockage seringues par cible</t>
  </si>
  <si>
    <t>Volume total net stockage boîtes sécurité par cible</t>
  </si>
  <si>
    <t>No. of vaccine doses per</t>
  </si>
  <si>
    <t>Nombre doses par</t>
  </si>
  <si>
    <t>IVB/PQ_116_mopv1</t>
  </si>
  <si>
    <t>boxes of 25 vials of 20 doses</t>
  </si>
  <si>
    <t>IVB/PQ_189_mopv1</t>
  </si>
  <si>
    <t>IVB/PQ_33_opv</t>
  </si>
  <si>
    <t>boxes of 50 vials of 20 doses</t>
  </si>
  <si>
    <t>IVB/PQ_187_mopv1</t>
  </si>
  <si>
    <t>IVB/PQ_183_mopv1</t>
  </si>
  <si>
    <t>IVB/PQ_190_mopv1</t>
  </si>
  <si>
    <t>boxes of 100 vials of 10 doses</t>
  </si>
  <si>
    <t>IVB/PQ_182_mopv1</t>
  </si>
  <si>
    <t>IVB/PQ_227_mopv3</t>
  </si>
  <si>
    <t>IVB/PQ_228_mopv3</t>
  </si>
  <si>
    <t>IVB/PQ_229_mopv3</t>
  </si>
  <si>
    <t>IVB/PQ_230_mopv3</t>
  </si>
  <si>
    <t>IVB/PQ_206_h1n1</t>
  </si>
  <si>
    <t>IVB/PQ_h1n1_gsk_ger</t>
  </si>
  <si>
    <t>IVB/PQ_210_H1N1</t>
  </si>
  <si>
    <t>IVB/PQ_211_h1n1</t>
  </si>
  <si>
    <t>IVB/PQ_212_h1n1</t>
  </si>
  <si>
    <t>IVB/PQ_213_h1n1</t>
  </si>
  <si>
    <t>Selenge</t>
  </si>
  <si>
    <t>Tov</t>
  </si>
  <si>
    <t>Uvs</t>
  </si>
  <si>
    <t>Khovd</t>
  </si>
  <si>
    <t>20 litre col box</t>
  </si>
  <si>
    <t>(0.2 m3) and 1</t>
  </si>
  <si>
    <t>saddle bag (0.02 m3)</t>
  </si>
  <si>
    <t>10 km</t>
  </si>
  <si>
    <t>5 km</t>
  </si>
  <si>
    <t>1 vaccine carrier</t>
  </si>
  <si>
    <t>Vaccinator</t>
  </si>
  <si>
    <t>500 km</t>
  </si>
  <si>
    <t>for 16 cold boxes (20 litres) and</t>
  </si>
  <si>
    <t>for 3 cold boxes (20 litres) and</t>
  </si>
  <si>
    <t>Giza</t>
  </si>
  <si>
    <t>Nyon</t>
  </si>
  <si>
    <t>Po</t>
  </si>
  <si>
    <t>Kano</t>
  </si>
  <si>
    <t>Bankass</t>
  </si>
  <si>
    <t>Mopti</t>
  </si>
  <si>
    <t>for 6 cold boxes (20 litres) and</t>
  </si>
  <si>
    <t>for 8 cold boxes (20 litres) and</t>
  </si>
  <si>
    <t>3.8 m3 safe-injection</t>
  </si>
  <si>
    <t>Assumption (WHO, GAVI)</t>
  </si>
  <si>
    <t>Date:</t>
  </si>
  <si>
    <t>Oборудование не нужнo</t>
  </si>
  <si>
    <t>Холодильник</t>
  </si>
  <si>
    <t>Холод_ком</t>
  </si>
  <si>
    <t>Морозильник</t>
  </si>
  <si>
    <t>Мороз_ком</t>
  </si>
  <si>
    <t>Стоимость электрич-во, $/кВч</t>
  </si>
  <si>
    <t>Стоимость ЖНГ, $/кг</t>
  </si>
  <si>
    <t>Стоимость керосина, $/литр</t>
  </si>
  <si>
    <t>Стоимость горючего, $/литр</t>
  </si>
  <si>
    <t>Стоимость транспорт, $/тонн.км</t>
  </si>
  <si>
    <t>Плановая</t>
  </si>
  <si>
    <t>Analyse par</t>
  </si>
  <si>
    <t>Volume net des vaccins</t>
  </si>
  <si>
    <t>FCW 20 EK/CF</t>
  </si>
  <si>
    <t>E3/73-M</t>
  </si>
  <si>
    <t>MK 074</t>
  </si>
  <si>
    <t>E3/75-M</t>
  </si>
  <si>
    <t>Sun Frost</t>
  </si>
  <si>
    <t>RFVB-134a</t>
  </si>
  <si>
    <t>E3/77-M</t>
  </si>
  <si>
    <t>Dulas</t>
  </si>
  <si>
    <t>VC-150 F</t>
  </si>
  <si>
    <t>E3/79-M</t>
  </si>
  <si>
    <t>TFW 800</t>
  </si>
  <si>
    <t>E3/80-M</t>
  </si>
  <si>
    <t>CF</t>
  </si>
  <si>
    <t>MK 204</t>
  </si>
  <si>
    <t>E3/81-M</t>
  </si>
  <si>
    <t>MK 304</t>
  </si>
  <si>
    <t>E3/82-M</t>
  </si>
  <si>
    <t>TATA BP Solar</t>
  </si>
  <si>
    <t>Mini</t>
  </si>
  <si>
    <t>Maxi</t>
  </si>
  <si>
    <t>Average</t>
  </si>
  <si>
    <t>Moyenne</t>
  </si>
  <si>
    <t>20*</t>
  </si>
  <si>
    <t>% увеличения полезного объема вакцин от исходного уровня на складе с ОПВ @+5°C</t>
  </si>
  <si>
    <t>% увеличения полезного объема вакцин от исходного уровня на складе в медучреждении, проводящем вакцинацию</t>
  </si>
  <si>
    <t>Объем СБ-шприца, см3/шт.:</t>
  </si>
  <si>
    <t>Объем шприца д/разведения вакцин, см3/шт.:</t>
  </si>
  <si>
    <t>Емкость КБУ, см3/шт.:</t>
  </si>
  <si>
    <t>Тип вакцины</t>
  </si>
  <si>
    <t>Способ введения</t>
  </si>
  <si>
    <t>Форма выпуска (доз/флакон)</t>
  </si>
  <si>
    <t>Полезный объем хранения</t>
  </si>
  <si>
    <t>на одну инъекцию (см3)</t>
  </si>
  <si>
    <t>шприцев д/раствор</t>
  </si>
  <si>
    <t>шприцев д/инъекц</t>
  </si>
  <si>
    <t>КБУ</t>
  </si>
  <si>
    <t>Общий полезный объем хранения растворителей на одного</t>
  </si>
  <si>
    <t>Общий полезный объем хранения шприцев на одного</t>
  </si>
  <si>
    <t>Общий полезный объем хранения КБУ на одного</t>
  </si>
  <si>
    <t>Vaccin</t>
  </si>
  <si>
    <t>Conditionnement</t>
  </si>
  <si>
    <t>Wastage factor</t>
  </si>
  <si>
    <t>Facteur pertes</t>
  </si>
  <si>
    <t>Norway</t>
  </si>
  <si>
    <t>Nauru</t>
  </si>
  <si>
    <t>Oman</t>
  </si>
  <si>
    <t>Pakistan</t>
  </si>
  <si>
    <t>Panama</t>
  </si>
  <si>
    <t>Paraguay</t>
  </si>
  <si>
    <t>Peru</t>
  </si>
  <si>
    <t>Philippines</t>
  </si>
  <si>
    <t>Papua New Guinea</t>
  </si>
  <si>
    <t>Poland</t>
  </si>
  <si>
    <t>Portugal</t>
  </si>
  <si>
    <t>Qatar</t>
  </si>
  <si>
    <t>Romania</t>
  </si>
  <si>
    <t>Russian Federation</t>
  </si>
  <si>
    <t>Rwanda</t>
  </si>
  <si>
    <t>Saudi Arabia</t>
  </si>
  <si>
    <t>Saint Lucia</t>
  </si>
  <si>
    <t>Saint Vincent and The Grenadines</t>
  </si>
  <si>
    <t>Saint Kitts and Nevis</t>
  </si>
  <si>
    <t>Seychelles</t>
  </si>
  <si>
    <t>Sierra Leone</t>
  </si>
  <si>
    <t>Spare parts</t>
  </si>
  <si>
    <t>Pièces détachées</t>
  </si>
  <si>
    <t>Capacité stockage (litres)</t>
  </si>
  <si>
    <t>Type réfrigérateur</t>
  </si>
  <si>
    <t>Réfrigérateurs/congélateurs</t>
  </si>
  <si>
    <t>Type refrigerator</t>
  </si>
  <si>
    <t>year</t>
  </si>
  <si>
    <t>année</t>
  </si>
  <si>
    <t>Purchase price</t>
  </si>
  <si>
    <t>Prix d'achat</t>
  </si>
  <si>
    <t>ds_Abacus_NatStore_1</t>
  </si>
  <si>
    <t>ds_Abacus_NatStore_2</t>
  </si>
  <si>
    <t>ds_Abacus_Dist_1</t>
  </si>
  <si>
    <t>ds_Abacus_Dist_2</t>
  </si>
  <si>
    <t>ds_Abacus_SP_1</t>
  </si>
  <si>
    <t>ds_Abacus_SP_2</t>
  </si>
  <si>
    <t>http://www.who.int/immunization_standards/vaccine_quality/pq_148_measles_5dose_sii/en/index.html</t>
  </si>
  <si>
    <t>http://www.who.int/immunization_standards/vaccine_quality/pq_149_measles_10dose_sii/en/index.html</t>
  </si>
  <si>
    <t>http://www.who.int/immunization_standards/vaccine_quality/pq_146_measles_1dose_sii/en/index.html</t>
  </si>
  <si>
    <t>http://www.who.int/immunization_standards/vaccine_quality/pq_147_measles_2dose_sii/en/index.html</t>
  </si>
  <si>
    <t>http://www.who.int/immunization_standards/vaccine_quality/19_measles/en/index.html</t>
  </si>
  <si>
    <t>http://www.who.int/immunization_standards/vaccine_quality/PQ_110_hib_1_dose_sanofi_pasteur/en/index.html</t>
  </si>
  <si>
    <t>VVM30</t>
  </si>
  <si>
    <t>http://www.who.int/immunization_standards/vaccine_quality/pq_44_hib_10dose_gsk/en/index.html</t>
  </si>
  <si>
    <t>http://www.who.int/immunization_standards/vaccine_quality/pq_42_hib_1dose_gsk/en/index.html</t>
  </si>
  <si>
    <t>http://www.who.int/immunization_standards/vaccine_quality/pq_43_hib_2dose_gsk/en/index.html</t>
  </si>
  <si>
    <t>carton of 25 vials</t>
  </si>
  <si>
    <t>http://www.who.int/immunization_standards/vaccine_quality/PQ_198_Hib_1_dose_Vial_CIGB/en/index.html</t>
  </si>
  <si>
    <t>VVM14</t>
  </si>
  <si>
    <t>Vaxem HIB</t>
  </si>
  <si>
    <t>carton of 10 vials</t>
  </si>
  <si>
    <t>Novartis Vaccines and Diangnostics S.r.l</t>
  </si>
  <si>
    <t>http://www.who.int/immunization_standards/vaccine_quality/PQ_35_hib_Novartis_1_dose/en/</t>
  </si>
  <si>
    <t>http://www.who.int/immunization_standards/vaccine_quality/PQ_73_Haemophilus_influenzae_type_b_1_dose_Vial_MSD/en/index.html</t>
  </si>
  <si>
    <t>Pevdax HIB</t>
  </si>
  <si>
    <t>box of 50 single-dose vials</t>
  </si>
  <si>
    <t>DTP - Hep B 5</t>
  </si>
  <si>
    <t>Statens Serum Institut</t>
  </si>
  <si>
    <t>None</t>
  </si>
  <si>
    <t>boxes of 100 vials of 20-doses of vaccine + diluents</t>
  </si>
  <si>
    <t>boxes of 50 vials of 10-doses of vaccine + diluents</t>
  </si>
  <si>
    <t>boxes of 20 vials of 20-doses of vaccine + diluents</t>
  </si>
  <si>
    <t>Model</t>
  </si>
  <si>
    <t>Type</t>
  </si>
  <si>
    <t>refrigerator</t>
  </si>
  <si>
    <t>Electrolux</t>
  </si>
  <si>
    <t>Mode administration</t>
  </si>
  <si>
    <t>Présentation et emballage</t>
  </si>
  <si>
    <t>Emballage diluants/adjuvants</t>
  </si>
  <si>
    <t>Conditionnement (doses/flacon ou pré-rempli)</t>
  </si>
  <si>
    <t>Volume vaccin (cm³/dose)</t>
  </si>
  <si>
    <t>Volume diluants/compte-gouttes (cm³/dose)</t>
  </si>
  <si>
    <t>Type PCV (N si rien)</t>
  </si>
  <si>
    <t>Fabricant ou source données</t>
  </si>
  <si>
    <t>Date Pré-Qualification (OMS, ANR)</t>
  </si>
  <si>
    <t>Base données vaccins</t>
  </si>
  <si>
    <t>Notes et observations</t>
  </si>
  <si>
    <t>Consommation énergie</t>
  </si>
  <si>
    <t>Holdover time (hours)</t>
  </si>
  <si>
    <t>Durée conservation (heures)</t>
  </si>
  <si>
    <t>conservation du froid</t>
  </si>
  <si>
    <t>conservation du chaud</t>
  </si>
  <si>
    <t>Holdover time warm</t>
  </si>
  <si>
    <t>Seringues AB 0.1ml pour BCG</t>
  </si>
  <si>
    <t>Seringues AB 0.5ml</t>
  </si>
  <si>
    <t>Seringues 2ml pour dilution BCG/Hib</t>
  </si>
  <si>
    <t>Seringues 5ml pour dilution VAR/VAA</t>
  </si>
  <si>
    <t>Energy consumption of WICR ($/litre)</t>
  </si>
  <si>
    <t>République CentrAfricaine</t>
  </si>
  <si>
    <t>Tchad</t>
  </si>
  <si>
    <t>République Démocratique du Congo</t>
  </si>
  <si>
    <t>Guinée Bissau</t>
  </si>
  <si>
    <t>Mauritanie</t>
  </si>
  <si>
    <t>Sénégal</t>
  </si>
  <si>
    <t>Cliquer pour indexer page</t>
  </si>
  <si>
    <t>Vaccine_database</t>
  </si>
  <si>
    <t xml:space="preserve">1) This worksheet provides generic data for all vaccines listed in the WHO international shipping guideline. Additional data are also included for WHO pre-qualified vaccines from named manufacturers. </t>
  </si>
  <si>
    <t xml:space="preserve">1) Cette feuille présente les données génériques pour tous les vaccins listés dans le document OMS 'WHO international shipping guideline'. Sont également inclues les données des vaccins pré-qualifiés par l'OMS et leur fabricants. </t>
  </si>
  <si>
    <t xml:space="preserve">3) You can add a vaccine to the database by inserting a new row.  You may want to do this to add information about locally produced and NRA-approved vaccines.  </t>
  </si>
  <si>
    <t xml:space="preserve">3) Vous pouvez ajouter tout nouveau vaccin dans cette base de données par insertion d'une ligne. Vous pourrez être amenés à faire cela pour prendre en compte des vaccins homologués par l'ANR de votre pays.. </t>
  </si>
  <si>
    <t>4) Generic data for vaccines listed in WHO International Shipping Guidelines is highlighted blue grey</t>
  </si>
  <si>
    <t>4) Les données génériques pour les vaccins listés dans le document OMS 'WHO International Shipping Guidelines' sont coloriés en gris.</t>
  </si>
  <si>
    <t>ACB-316L</t>
  </si>
  <si>
    <t>Termo-Kont</t>
  </si>
  <si>
    <t>TM8</t>
  </si>
  <si>
    <t>E4/94-M</t>
  </si>
  <si>
    <t>TM35</t>
  </si>
  <si>
    <t>E4/95-M</t>
  </si>
  <si>
    <t>Egypt</t>
  </si>
  <si>
    <t>Français</t>
  </si>
  <si>
    <t>Worksheet</t>
  </si>
  <si>
    <t>Translation</t>
  </si>
  <si>
    <t>English</t>
  </si>
  <si>
    <t>Spanish</t>
  </si>
  <si>
    <t>Russian</t>
  </si>
  <si>
    <t>Portuguese</t>
  </si>
  <si>
    <t>Index</t>
  </si>
  <si>
    <t>Cover</t>
  </si>
  <si>
    <t>Language:</t>
  </si>
  <si>
    <t>Langue:</t>
  </si>
  <si>
    <t>Click to index page</t>
  </si>
  <si>
    <t>freezing (kWh/litre)</t>
  </si>
  <si>
    <t>refrigeration (litre/litre)</t>
  </si>
  <si>
    <t>réfrigération (litre/litre)</t>
  </si>
  <si>
    <t>réfrigération (kWh/litre)</t>
  </si>
  <si>
    <t>Общий вес инъекционных шприцев на привитого</t>
  </si>
  <si>
    <t>Общий вес КБУ на привитого</t>
  </si>
  <si>
    <t>Общий вес инъекционных материалов на привитого</t>
  </si>
  <si>
    <t>Расчет объема oтходов инъекционных материалов на привитого</t>
  </si>
  <si>
    <t>DTP-HepB+Hib</t>
  </si>
  <si>
    <t>2 vials (Hib tb reconstituted with DTP-HepB)</t>
  </si>
  <si>
    <t>Rotavirus vaccine</t>
  </si>
  <si>
    <t>packs of 10 single doses+ syringe</t>
  </si>
  <si>
    <t>Bio-Manguinhos</t>
  </si>
  <si>
    <t>Stabilized Yellow Fever Vaccine</t>
  </si>
  <si>
    <t>Institut Pasteur Dakar</t>
  </si>
  <si>
    <t>10 Vials 5 doses + 10 vials 5 ml (diluent)</t>
  </si>
  <si>
    <t>Measles Vaccine ,Live,attenuated</t>
  </si>
  <si>
    <t>Serum Institute of India Ltd, India</t>
  </si>
  <si>
    <t>boxes of 50 vials + diluents</t>
  </si>
  <si>
    <t>ROUVAX</t>
  </si>
  <si>
    <t>April,1998</t>
  </si>
  <si>
    <t>Rimevix</t>
  </si>
  <si>
    <t>???</t>
  </si>
  <si>
    <t>??</t>
  </si>
  <si>
    <t>Bio Farma</t>
  </si>
  <si>
    <t>boxes of 10 vials of 10-doses vaccine+10 vials of 5ml diluent.</t>
  </si>
  <si>
    <t>boxes of 10 vials of 20-doses vaccine+10 vials of 5ml diluent.</t>
  </si>
  <si>
    <t>Monovalent Oral polio type 1</t>
  </si>
  <si>
    <t>Monovalent Oral polio type 3</t>
  </si>
  <si>
    <t>mOPV1</t>
  </si>
  <si>
    <t>mOPV3</t>
  </si>
  <si>
    <t>Novartis Vaccines and Diagnostics S.r.l (formerly Chiron Vaccines)</t>
  </si>
  <si>
    <t>Sanofi Pasteur</t>
  </si>
  <si>
    <t>VVM-2</t>
  </si>
  <si>
    <t>boxes of 100 vials of 20 doses</t>
  </si>
  <si>
    <t>boxes of 10 vials of 20 doses</t>
  </si>
  <si>
    <t>Polio Vaccine - Injectable</t>
  </si>
  <si>
    <t>boxes of 10 vials of 10-doses of vaccine</t>
  </si>
  <si>
    <t>Rabipur</t>
  </si>
  <si>
    <t>VERORAB</t>
  </si>
  <si>
    <t>Lyssavac N</t>
  </si>
  <si>
    <t>Novartis Vaccines and Diagnostics GmbH &amp; Co.KG (formerly Chiron Behring)</t>
  </si>
  <si>
    <t>Chiron Behring Vaccines Private Ltd</t>
  </si>
  <si>
    <t>Rabies</t>
  </si>
  <si>
    <t>5 vials 1 dose + 5 ampoules of diluent</t>
  </si>
  <si>
    <t>Rabies vaccine</t>
  </si>
  <si>
    <t>VVM-30</t>
  </si>
  <si>
    <t>BB-NCIPD Ltd.</t>
  </si>
  <si>
    <t>Table Top Exercise</t>
  </si>
  <si>
    <t>Total Population</t>
  </si>
  <si>
    <t>congélation (kWh/litre)</t>
  </si>
  <si>
    <t>freezing (litre/litre)</t>
  </si>
  <si>
    <t>congélation (litre/litre)</t>
  </si>
  <si>
    <t>Icepack freezing (kwh/kg)</t>
  </si>
  <si>
    <t>Icepack freezing (litre/kg)</t>
  </si>
  <si>
    <t>accus (litre/kg)</t>
  </si>
  <si>
    <t>Indicateurs par unité de volume</t>
  </si>
  <si>
    <t>Indicator per unit volume</t>
  </si>
  <si>
    <t>PCV-xxx</t>
  </si>
  <si>
    <t>Priorix®</t>
  </si>
  <si>
    <t>RCW 42 EG/CF</t>
  </si>
  <si>
    <t>Transport estimate per delivery</t>
  </si>
  <si>
    <t>Total volume of safe injection equipment per delivery (m³)</t>
  </si>
  <si>
    <t>Tableau4: Caractéristiques congélateurs d'accus</t>
  </si>
  <si>
    <t>Marque congélateurs</t>
  </si>
  <si>
    <t>Modèle congélateurs</t>
  </si>
  <si>
    <t>Nombre d'accus de froid</t>
  </si>
  <si>
    <t>Capacity (litres)</t>
  </si>
  <si>
    <t>Vaccine containers</t>
  </si>
  <si>
    <t>Code containers</t>
  </si>
  <si>
    <t>No. of icepacks</t>
  </si>
  <si>
    <t>Loaded weight (kg)</t>
  </si>
  <si>
    <t>AD Syringes 0.05ml for BCG</t>
  </si>
  <si>
    <t>ADS_0.05ml</t>
  </si>
  <si>
    <t>Données nationales de taux de pertes</t>
  </si>
  <si>
    <t>(based on individual vaccine shipments)</t>
  </si>
  <si>
    <t>(basé sur livraisons individuelles)</t>
  </si>
  <si>
    <t>WHO/GAVI indicative rates (%)</t>
  </si>
  <si>
    <t>Taux de pertes indicatives OMS/GAVI (%)</t>
  </si>
  <si>
    <t>Puissance chambres froides négatives (kW)</t>
  </si>
  <si>
    <t>Investment of WICR ($/litre)</t>
  </si>
  <si>
    <t>Iceland</t>
  </si>
  <si>
    <t>India</t>
  </si>
  <si>
    <t>Indonesia</t>
  </si>
  <si>
    <t>Iran (Islamic Republic of)</t>
  </si>
  <si>
    <t>Ireland</t>
  </si>
  <si>
    <t>Iraq</t>
  </si>
  <si>
    <t>Israel</t>
  </si>
  <si>
    <t>Italy</t>
  </si>
  <si>
    <t>Côte d'Ivoire</t>
  </si>
  <si>
    <t>Jamaica</t>
  </si>
  <si>
    <t>Jordan</t>
  </si>
  <si>
    <t>Japan</t>
  </si>
  <si>
    <t>Kazakhstan</t>
  </si>
  <si>
    <t>Kenya</t>
  </si>
  <si>
    <t>Kyrgyzstan</t>
  </si>
  <si>
    <t>Kiribati</t>
  </si>
  <si>
    <t>Republic of Korea</t>
  </si>
  <si>
    <t>Democratic People's Republic of Korea</t>
  </si>
  <si>
    <t>Kuwait</t>
  </si>
  <si>
    <t>Lao People's Democratic Republic</t>
  </si>
  <si>
    <t>Lebanon</t>
  </si>
  <si>
    <t>Lesotho</t>
  </si>
  <si>
    <t>Liberia</t>
  </si>
  <si>
    <t>Libyan Arab Jamahiriya</t>
  </si>
  <si>
    <t>Lithuania</t>
  </si>
  <si>
    <t>Luxembourg</t>
  </si>
  <si>
    <t>Latvia</t>
  </si>
  <si>
    <t>Malaysia</t>
  </si>
  <si>
    <t>Madagascar</t>
  </si>
  <si>
    <t>Mali</t>
  </si>
  <si>
    <t>Результаты анализа вакцин для кампании иммунизации</t>
  </si>
  <si>
    <t>Маленький контейнер для поставки вакцин</t>
  </si>
  <si>
    <t>TK_Большой</t>
  </si>
  <si>
    <t>TK_Маленький</t>
  </si>
  <si>
    <t>TC_Большая</t>
  </si>
  <si>
    <t>Khentii</t>
  </si>
  <si>
    <t>transport</t>
  </si>
  <si>
    <t>http://www.who.int/immunization_standards/vaccine_quality/PQ_98_dtphib_1_dose_sanofi_pasteur/en/index.html</t>
  </si>
  <si>
    <t>box of 10 single-dose vials (Hib) + 10 ampoules (DTP)</t>
  </si>
  <si>
    <t>http://www.who.int/immunization_standards/vaccine_quality/pq_217_dtpwhib_1dose_sii/en/index.html</t>
  </si>
  <si>
    <t>box of 1 vial (Hiv) + 1 ampoule (DTP)</t>
  </si>
  <si>
    <t>Abacus_Tables</t>
  </si>
  <si>
    <t>per individual vaccine</t>
  </si>
  <si>
    <t>Estimation capacité chaîne du froid par calendrier (litres)</t>
  </si>
  <si>
    <t>ETAPE 3: Utiliser les abaques pour lire les volumes nets de stockage correspondant à chaque taille de population. Enfin utiliser les données pour sélectionner l'équipement approprié de chaîne du froid.</t>
  </si>
  <si>
    <t>Dimensions externes (cm)</t>
  </si>
  <si>
    <t>l</t>
  </si>
  <si>
    <t>Dimensions de stockage du vaccin</t>
  </si>
  <si>
    <t>Nombre</t>
  </si>
  <si>
    <t>Accumulateurs de froid</t>
  </si>
  <si>
    <t>(Ext vol/ capacité vax)</t>
  </si>
  <si>
    <t>Base données réfrigérateurs et congélateurs</t>
  </si>
  <si>
    <t>Augmentation nombre d'injection par rapport Calendrier Actuel</t>
  </si>
  <si>
    <t>Nbre seringues dilution usagers, unités/</t>
  </si>
  <si>
    <t>Nbre total seringues usagers, unités/</t>
  </si>
  <si>
    <t>HBC-340</t>
  </si>
  <si>
    <t>E003/015</t>
  </si>
  <si>
    <t>Refrigerator-icepack freezer</t>
  </si>
  <si>
    <t>PS65i</t>
  </si>
  <si>
    <t>E003/016</t>
  </si>
  <si>
    <t>Nbre flacons vides générés par cible</t>
  </si>
  <si>
    <t>Nbre seringues dilution générées par cible</t>
  </si>
  <si>
    <t>Nbre total de seringues générées par cible</t>
  </si>
  <si>
    <t>pack of 2 blisters of 5 single-dose vials + diluents</t>
  </si>
  <si>
    <t>HUG (Médecine Tropicale et des Voyages)</t>
  </si>
  <si>
    <t>DT-IPV combined</t>
  </si>
  <si>
    <t>DT-IPV</t>
  </si>
  <si>
    <t>REVAXIS®</t>
  </si>
  <si>
    <t>Sanofi pasteur</t>
  </si>
  <si>
    <t>STAMARIL®</t>
  </si>
  <si>
    <t>SC/IM</t>
  </si>
  <si>
    <t>Typhim</t>
  </si>
  <si>
    <t>TYPHIM VI®</t>
  </si>
  <si>
    <t>Grossing factor</t>
  </si>
  <si>
    <t>Holdover time cold</t>
  </si>
  <si>
    <t>Capacité nette stockage (litres)</t>
  </si>
  <si>
    <t>Capacité réfrigération</t>
  </si>
  <si>
    <t>Capacité congélation</t>
  </si>
  <si>
    <t>Congélation accus</t>
  </si>
  <si>
    <t>kg/24 hrs at 32°C with vaccines</t>
  </si>
  <si>
    <t>kg/24 hrs à 32°C avec vaccins</t>
  </si>
  <si>
    <t>initial curreny</t>
  </si>
  <si>
    <t>$USD</t>
  </si>
  <si>
    <t>year of data</t>
  </si>
  <si>
    <t>année de référence</t>
  </si>
  <si>
    <t>Supplementary</t>
  </si>
  <si>
    <t>réfrigérateur</t>
  </si>
  <si>
    <t>congélateur</t>
  </si>
  <si>
    <t>L</t>
  </si>
  <si>
    <t>P</t>
  </si>
  <si>
    <t>Dimensions externes</t>
  </si>
  <si>
    <t>Emballages d'expédition</t>
  </si>
  <si>
    <t>Refrigerant</t>
  </si>
  <si>
    <t>Réfrigérant</t>
  </si>
  <si>
    <t>Temp zone</t>
  </si>
  <si>
    <t>Zone température</t>
  </si>
  <si>
    <t>H=Hot, T=Temperate M=Moderate</t>
  </si>
  <si>
    <t>Réfrigérateur</t>
  </si>
  <si>
    <t>Freezer</t>
  </si>
  <si>
    <t>Congélateur</t>
  </si>
  <si>
    <t>Icepack freezing</t>
  </si>
  <si>
    <t>Traduction</t>
  </si>
  <si>
    <t>Current language:</t>
  </si>
  <si>
    <t xml:space="preserve">Notes for translators: </t>
  </si>
  <si>
    <t>Другие контейнеры для поставки вакцин</t>
  </si>
  <si>
    <t>Большой контейнер для поставки вакцин</t>
  </si>
  <si>
    <t>Средний контейнер для поставки вакцин</t>
  </si>
  <si>
    <t>Assumptions based on penta liquid single-dose vial</t>
  </si>
  <si>
    <t>to be defined</t>
  </si>
  <si>
    <t>WHO/V&amp;B/02.34, Personal communications 2009 (AFRO, EMRO, …)</t>
  </si>
  <si>
    <t>Presentation</t>
  </si>
  <si>
    <t>Vaccines</t>
  </si>
  <si>
    <t>Vaccins</t>
  </si>
  <si>
    <t>Matériel d'injection</t>
  </si>
  <si>
    <t>MaxiStock</t>
  </si>
  <si>
    <t>Niveaux de stock maximum (mois)</t>
  </si>
  <si>
    <t>Maximum stock levels (months)</t>
  </si>
  <si>
    <t>Net volume of vaccines and diluents, stored at +5°C at service points, per</t>
  </si>
  <si>
    <t>Volume net tous les vaccins avec leur diluants à +5°C au niveau service, par</t>
  </si>
  <si>
    <t xml:space="preserve">Diphtheria-Tetanus-Pertussis (whole cell)-Hepatitis B
(5ug)
</t>
  </si>
  <si>
    <t>box of 10 vials of 5-dose</t>
  </si>
  <si>
    <t>DTP - Hep B 10</t>
  </si>
  <si>
    <t>box of 10 vials of 10-dose</t>
  </si>
  <si>
    <t>Diphtheria-Tetanus-Pertussis (whole cell)-Hepatitis B</t>
  </si>
  <si>
    <t>Tritanrix Hb</t>
  </si>
  <si>
    <t>Расчет стоимости вакцин и оборудования для безопасных инъекций на одного привитого</t>
  </si>
  <si>
    <t>Цена СБ шприца, $/шт:</t>
  </si>
  <si>
    <t>Цена шприца для разведения вакцин, $/шт:</t>
  </si>
  <si>
    <t>Цена КБУ, $/шт:</t>
  </si>
  <si>
    <t>Price of safe</t>
  </si>
  <si>
    <t>Prix consommables</t>
  </si>
  <si>
    <t>Стом-ть оборудования</t>
  </si>
  <si>
    <t>injection equipment</t>
  </si>
  <si>
    <t>par injection ($)</t>
  </si>
  <si>
    <t>на привитого, $</t>
  </si>
  <si>
    <t>Total cost of vaccines per</t>
  </si>
  <si>
    <t>Coût total des vaccins, par</t>
  </si>
  <si>
    <t>Общая стоимость вакцин на одного</t>
  </si>
  <si>
    <t>Total cost of safe injection equipment per</t>
  </si>
  <si>
    <t>Coût total matériel d'injection, par</t>
  </si>
  <si>
    <t>Общая стоимость оборудования для безопасных инъекций на одного</t>
  </si>
  <si>
    <t>Total cost of vaccines &amp; safe injection equipment per</t>
  </si>
  <si>
    <t>Coût total vaccins et matériel d'injection, par</t>
  </si>
  <si>
    <t>Общая стоимость вакцин и оборудования для безопасных инъекций на одного</t>
  </si>
  <si>
    <t>Увеличение общих затрат на ребенка от исходного уровня</t>
  </si>
  <si>
    <t>Coût total des vaccins par cible</t>
  </si>
  <si>
    <t>Общая стоимость вакцин на привитого</t>
  </si>
  <si>
    <t>Coût total matériel d'injection par cible</t>
  </si>
  <si>
    <t>Общая стоимость оборудования для безопасных инъекций на привитого</t>
  </si>
  <si>
    <t>Coût total vaccins et matériel d'injection par cible</t>
  </si>
  <si>
    <t>Общая стоимость вакцин и оборудования для безопасных инъекций на привитого</t>
  </si>
  <si>
    <t>Расчет объема растворителей/оборудования для безопасных инъекций на привитого</t>
  </si>
  <si>
    <t>Общий вес шприцев для растворителей на одного привитого</t>
  </si>
  <si>
    <t>Результаты анализа вакцин, используемых во время плановой иммунизации</t>
  </si>
  <si>
    <t>2) Si un conditionnement de cette base de données devra être exclu de l'analyse pour une raison quelconque, insérer un Astérix après le nombre de dose par flacon dans la colonne I afin qu'il ne puisse pas être mis de côté.</t>
  </si>
  <si>
    <t>10*</t>
  </si>
  <si>
    <t>VVM-7</t>
  </si>
  <si>
    <t>Human Papiloma Virus vaccine</t>
  </si>
  <si>
    <t>CD.JEVAX (SA14-14-2-Live)</t>
  </si>
  <si>
    <t>pack of 10 five-dose vials</t>
  </si>
  <si>
    <t>Yes</t>
  </si>
  <si>
    <t>ChengduVaccine (China)</t>
  </si>
  <si>
    <t>Illustration of results from analysis of vaccines used in routine vaccination</t>
  </si>
  <si>
    <t>with adjuvant</t>
  </si>
  <si>
    <t>Illustration of results from analysis of vaccines planned for vaccination campaign</t>
  </si>
  <si>
    <t>Focetria</t>
  </si>
  <si>
    <t>Carton contains 1 box of 10 vials of 10 doses (107 mm length X 47 mm wide X 49 mm width). Total weight is about 190 gram</t>
  </si>
  <si>
    <t>Panenza</t>
  </si>
  <si>
    <t>Districts</t>
  </si>
  <si>
    <t>per recipient, units</t>
  </si>
  <si>
    <t>Safe injection equipment</t>
  </si>
  <si>
    <t>2 vials (Hib tb reconstituted with DTP)</t>
  </si>
  <si>
    <t>DTPw+Hib combined freeze dried + AD syringe</t>
  </si>
  <si>
    <t>2 vials (Hib tb reconstituted with DTP) + syringe</t>
  </si>
  <si>
    <t>DTPw+Hib combined freeze dried</t>
  </si>
  <si>
    <t>DTPw-Hib combined liquid</t>
  </si>
  <si>
    <t>DTP-Hib</t>
  </si>
  <si>
    <t>DTP-Hib combined liquid</t>
  </si>
  <si>
    <t>КРАТКОЕ СОДЕРЖАНИЕ</t>
  </si>
  <si>
    <t>Электронные таблицы</t>
  </si>
  <si>
    <t>Содержание электронных таблиц</t>
  </si>
  <si>
    <t>JE_liq</t>
  </si>
  <si>
    <t>Data output sheets: graphical illustration of results</t>
  </si>
  <si>
    <t>Abaques pour l'estimation des capacités de stockage froid des dépôts principal et secondaires - @ +5°C: (different Stock Maxi; même Calendrier)</t>
  </si>
  <si>
    <t>VaccineSelect</t>
  </si>
  <si>
    <t>Ожидаемое к-во использов-х шприцев на привитого</t>
  </si>
  <si>
    <t>Administration</t>
  </si>
  <si>
    <t>Diluents</t>
  </si>
  <si>
    <t>User action optional</t>
  </si>
  <si>
    <t>E3/65-M</t>
  </si>
  <si>
    <t>Fortum AES</t>
  </si>
  <si>
    <t>CFS49 ISI</t>
  </si>
  <si>
    <t>E3/70-M</t>
  </si>
  <si>
    <t>Icepack freezer</t>
  </si>
  <si>
    <t>FCW 20 EG/CF</t>
  </si>
  <si>
    <t>E3/72-M</t>
  </si>
  <si>
    <t>AF</t>
  </si>
  <si>
    <t>J. Cheyne (Sep 08)</t>
  </si>
  <si>
    <t>1) Non-English translations should not contain more characters than the English language text. Use appropriate abbreviations to achieve this.</t>
  </si>
  <si>
    <t>5) DO NOT mix languages in the table.  If you need a non-English version you must translate the table cell-by-cell.</t>
  </si>
  <si>
    <t>5) NE PAS mélanger langues dans le tableau. Si vous avez besoins d'une version dans une langue autre que l'anglais, vous devez traduire le tableau cellule par cellule.</t>
  </si>
  <si>
    <t>Vaccine product</t>
  </si>
  <si>
    <t>Vaccine initials</t>
  </si>
  <si>
    <t>Vaccine formulation</t>
  </si>
  <si>
    <t>Admin route</t>
  </si>
  <si>
    <t>Manufacturer's ID or trade name</t>
  </si>
  <si>
    <t>Vaccine presentation and packaging description</t>
  </si>
  <si>
    <t>Integrated delivery device 
(if applicable)</t>
  </si>
  <si>
    <t>Doses/vial or device</t>
  </si>
  <si>
    <t>Vaccine cm³/dose</t>
  </si>
  <si>
    <t>Diluents/ dropper cm³/dose</t>
  </si>
  <si>
    <t>VVM type (N if none)</t>
  </si>
  <si>
    <t>Manufacturer or source of data</t>
  </si>
  <si>
    <t>Qualification date (WHO, NRA)</t>
  </si>
  <si>
    <t>Data source notes</t>
  </si>
  <si>
    <t>DO NOT DELETE</t>
  </si>
  <si>
    <t>NE PAS EFFACER</t>
  </si>
  <si>
    <t>Weight_inject</t>
  </si>
  <si>
    <t>box with 2 blisters of 5 syringes of diluents, 1 plastic bag with ten transfer adapter + 1 box with ten vials of vaccine</t>
  </si>
  <si>
    <t>RotaTeq®</t>
  </si>
  <si>
    <t>AD syringe</t>
  </si>
  <si>
    <t>Prefilled syringe</t>
  </si>
  <si>
    <t>From Wyeth proposal, June 2006</t>
  </si>
  <si>
    <t>IVB/PQ_153_rubella</t>
  </si>
  <si>
    <t>pack of 10 vials and diluent</t>
  </si>
  <si>
    <t>ITN_X-Large_rectangular</t>
  </si>
  <si>
    <t>Circular ITN (850x56x220)</t>
  </si>
  <si>
    <t>ITN_Small_circular</t>
  </si>
  <si>
    <t>Circular ITN (1050x56x220)</t>
  </si>
  <si>
    <t>ITN_Medium_circular</t>
  </si>
  <si>
    <t>JE_lyo</t>
  </si>
  <si>
    <t>Vaccines1 lookup table</t>
  </si>
  <si>
    <t>Current schedule</t>
  </si>
  <si>
    <t>Refrigerator and freezer database</t>
  </si>
  <si>
    <t>Power consumption/24 hrs</t>
  </si>
  <si>
    <t>Consommation énergie/24 hrs</t>
  </si>
  <si>
    <t>kWh</t>
  </si>
  <si>
    <t>LPG (kg)</t>
  </si>
  <si>
    <t>Gaz (kg)</t>
  </si>
  <si>
    <t>Kerosene (litres)</t>
  </si>
  <si>
    <t>Kérosène (litres)</t>
  </si>
  <si>
    <t>Prix</t>
  </si>
  <si>
    <t>Shipping data</t>
  </si>
  <si>
    <t xml:space="preserve">Gross volumes (lt) </t>
  </si>
  <si>
    <t>Volume bute (lt)</t>
  </si>
  <si>
    <t>Ext dims (cm)</t>
  </si>
  <si>
    <t>Passive container database</t>
  </si>
  <si>
    <t>Sources: WHO/UNICEF Product Information Sheets, WHO/V&amp;B/00.12 and PQS catalogue dated August 2011</t>
  </si>
  <si>
    <t>Nbr of products listed:</t>
  </si>
  <si>
    <t>Revision history</t>
  </si>
  <si>
    <t xml:space="preserve">Version </t>
  </si>
  <si>
    <t>Date</t>
  </si>
  <si>
    <t xml:space="preserve">Change description </t>
  </si>
  <si>
    <t>Reason for change</t>
  </si>
  <si>
    <t>Initials</t>
  </si>
  <si>
    <t>Souleymane Kone &amp; Andrew Garnett</t>
  </si>
  <si>
    <t>Routine updates plus look and feel alignment with EVM Assistant and Vaccine Store Sizing Tool</t>
  </si>
  <si>
    <t>Type ref</t>
  </si>
  <si>
    <t xml:space="preserve">PIS/PQS </t>
  </si>
  <si>
    <t>Water-packs required</t>
  </si>
  <si>
    <t>Cool life</t>
  </si>
  <si>
    <t>PQS E004/002</t>
  </si>
  <si>
    <t>RCW 4</t>
  </si>
  <si>
    <t>PQS E004/003</t>
  </si>
  <si>
    <t>Small vaccine cold box</t>
  </si>
  <si>
    <t>RCW 8</t>
  </si>
  <si>
    <t>PQS E004/004</t>
  </si>
  <si>
    <t>RCW 12</t>
  </si>
  <si>
    <t>PQS E004/005</t>
  </si>
  <si>
    <t>RCW 25</t>
  </si>
  <si>
    <t>PQS E004/006</t>
  </si>
  <si>
    <t>PQS E004/007</t>
  </si>
  <si>
    <t>PQS E004/008</t>
  </si>
  <si>
    <t>PQS E004/009</t>
  </si>
  <si>
    <t>AVC-46</t>
  </si>
  <si>
    <t>PQS E004/010</t>
  </si>
  <si>
    <t>Apex International</t>
  </si>
  <si>
    <t>AICB-444L</t>
  </si>
  <si>
    <t>PQS E004/011</t>
  </si>
  <si>
    <t>AIDVC-24</t>
  </si>
  <si>
    <t>PQS E004/012</t>
  </si>
  <si>
    <t>AIVC-44</t>
  </si>
  <si>
    <t>PQS E004/013</t>
  </si>
  <si>
    <t>Nilkamal</t>
  </si>
  <si>
    <t>RCB 444L</t>
  </si>
  <si>
    <t>PQS E004/014</t>
  </si>
  <si>
    <t>ACB-444L</t>
  </si>
  <si>
    <t>PQS E004/015</t>
  </si>
  <si>
    <t>PQS E004/016</t>
  </si>
  <si>
    <t>ACB-324SS</t>
  </si>
  <si>
    <t>PQS E004/017</t>
  </si>
  <si>
    <t>PQS E004/018</t>
  </si>
  <si>
    <t>CB/12-CF</t>
  </si>
  <si>
    <t>PQS E004/019</t>
  </si>
  <si>
    <t>CB/55-CF</t>
  </si>
  <si>
    <t>PQS E004/020</t>
  </si>
  <si>
    <t>1 vial/ampoule + diluents</t>
  </si>
  <si>
    <t>WHO Intern. Shipping guidelines</t>
  </si>
  <si>
    <t>Diphtheria-Tetanus-Pertussis</t>
  </si>
  <si>
    <t>liquid</t>
  </si>
  <si>
    <t>IM</t>
  </si>
  <si>
    <t>DTP</t>
  </si>
  <si>
    <t>1 vial</t>
  </si>
  <si>
    <t>DT</t>
  </si>
  <si>
    <t>Tetanus-diphtheria for adults</t>
  </si>
  <si>
    <t>Td</t>
  </si>
  <si>
    <t>Tetanus toxoid</t>
  </si>
  <si>
    <t>TT</t>
  </si>
  <si>
    <t>Oral polio</t>
  </si>
  <si>
    <t>Oral</t>
  </si>
  <si>
    <t>OPV</t>
  </si>
  <si>
    <t>Y</t>
  </si>
  <si>
    <t>SC</t>
  </si>
  <si>
    <t>Measles</t>
  </si>
  <si>
    <t>1 vial + diluents</t>
  </si>
  <si>
    <t>Aventis Pasteur</t>
  </si>
  <si>
    <t>MR</t>
  </si>
  <si>
    <t>Pandemrix</t>
  </si>
  <si>
    <t>MMR</t>
  </si>
  <si>
    <t>YF</t>
  </si>
  <si>
    <t xml:space="preserve">Meningococcal A/C </t>
  </si>
  <si>
    <t>MV A&amp;C</t>
  </si>
  <si>
    <t>Meningococcal A conjugate</t>
  </si>
  <si>
    <t>Men A</t>
  </si>
  <si>
    <t>Biken</t>
  </si>
  <si>
    <t xml:space="preserve">Hepatitis B </t>
  </si>
  <si>
    <t>HepB</t>
  </si>
  <si>
    <t>GlaxoSmithKline</t>
  </si>
  <si>
    <t xml:space="preserve">Green Cross Vaccines Cooperation </t>
  </si>
  <si>
    <t>Hib liquid</t>
  </si>
  <si>
    <t xml:space="preserve">Hib liquid </t>
  </si>
  <si>
    <t>Chiron</t>
  </si>
  <si>
    <t>Wyeth</t>
  </si>
  <si>
    <t xml:space="preserve">GlaxoSmithKline </t>
  </si>
  <si>
    <t>DTP-HepB</t>
  </si>
  <si>
    <t>2 vials</t>
  </si>
  <si>
    <t>2 vials + syringe</t>
  </si>
  <si>
    <t>Total net storage volume of diluents per recipient</t>
  </si>
  <si>
    <t>Total net storage volume of syringes per recipient</t>
  </si>
  <si>
    <t>Total net storage volume of injection supplies per recipient</t>
  </si>
  <si>
    <t>Total weight of dilution syringes per recipient</t>
  </si>
  <si>
    <t>Total weight injection syringes per recipient</t>
  </si>
  <si>
    <t>Total weight of safety boxes per recipient</t>
  </si>
  <si>
    <t>Total weight of injection supplies per recipient</t>
  </si>
  <si>
    <t>Total cost of vaccines per recipient</t>
  </si>
  <si>
    <t>Total cost of safe injection equipment per recipient</t>
  </si>
  <si>
    <t>Total cost of vaccines &amp; safe injection equipment per recipient</t>
  </si>
  <si>
    <t>Vaccine volume (cm³/dose)</t>
  </si>
  <si>
    <t>Volume vaccins (cm³/dose)</t>
  </si>
  <si>
    <t>Diluent volume (cm³/dose)</t>
  </si>
  <si>
    <t>Volume diluants (cm³/dose)</t>
  </si>
  <si>
    <t>National figures</t>
  </si>
  <si>
    <t>Données nationales</t>
  </si>
  <si>
    <t>De la base de données</t>
  </si>
  <si>
    <t>(доза)</t>
  </si>
  <si>
    <t>(US$/ dose)</t>
  </si>
  <si>
    <t>STEP 1: Choose vaccine filter:</t>
  </si>
  <si>
    <t>STEP 2: Choose applicable vaccine types and presentations from the vaccine database.  Optionally, enter volume/dose data for vaccine types that are not in the database.</t>
  </si>
  <si>
    <t>ETAPE 2: Choisir vaccin - types et Conditionnements. Optionnellement, entrer données volume/dose pour types de vaccin qui ne sont pas encore inclus dans la base de données</t>
  </si>
  <si>
    <t>STEP 3: Indicate country-specific wastage rates for each vaccine. If there no national data, WHO/GAVI indicative rates will apply.</t>
  </si>
  <si>
    <t>ETAPE 3: Indiquer les taux de pertes du pays pour chaque vaccin. Sinon les taux de pertes indicatives OMS/GAVI s'appliquent par défaut.</t>
  </si>
  <si>
    <t>STEP 8: For each vaccine, enter the maximum supply interval and the safety stock level at the primary store.</t>
  </si>
  <si>
    <t xml:space="preserve">ETAPE 8: pour chaque vaccin, entrer l'intervalle d'approvisionnement maximum et le stock de réserve au niveau du dépôt principal. </t>
  </si>
  <si>
    <t>National  wastage rates (%)</t>
  </si>
  <si>
    <t>activities (SIAs)</t>
  </si>
  <si>
    <t>supplémentaires (AVS)</t>
  </si>
  <si>
    <t>по иммунизации (ДМИ)</t>
  </si>
  <si>
    <t>National immunization schedule</t>
  </si>
  <si>
    <t>Calendrier national vaccination</t>
  </si>
  <si>
    <t>Vaccinations</t>
  </si>
  <si>
    <t>Maxi supply interval</t>
  </si>
  <si>
    <t>Intervalle d'approv. Maxi</t>
  </si>
  <si>
    <t>Safety stock</t>
  </si>
  <si>
    <t>Stock de réserve</t>
  </si>
  <si>
    <t>No. of empty vials</t>
  </si>
  <si>
    <t>RCW 42DC/CF</t>
  </si>
  <si>
    <t>E3/31-M</t>
  </si>
  <si>
    <t>SE</t>
  </si>
  <si>
    <t>BP Solar</t>
  </si>
  <si>
    <t>VR50F</t>
  </si>
  <si>
    <t>E3/37-M</t>
  </si>
  <si>
    <t>Vestfrost</t>
  </si>
  <si>
    <t>MK 144</t>
  </si>
  <si>
    <t>E3/57-M</t>
  </si>
  <si>
    <t>TCW 1990</t>
  </si>
  <si>
    <t>E3/62-M</t>
  </si>
  <si>
    <t>LEC RefrigerationPLC</t>
  </si>
  <si>
    <t>VC 139 F</t>
  </si>
  <si>
    <t>E3/64-M</t>
  </si>
  <si>
    <t>Norcoast</t>
  </si>
  <si>
    <t>NRC 30-10</t>
  </si>
  <si>
    <t>4-wheel drive</t>
  </si>
  <si>
    <t>truck</t>
  </si>
  <si>
    <t>Small sized</t>
  </si>
  <si>
    <t>(0.02 m3)</t>
  </si>
  <si>
    <t>and 1 backpack</t>
  </si>
  <si>
    <t>Transport vehicle capacity to carry vaccines and safe-injection equipment</t>
  </si>
  <si>
    <t>Biceland demographic data</t>
  </si>
  <si>
    <t>Bilateral meeting, July 2007</t>
  </si>
  <si>
    <t>Transport cost, $/ton.km</t>
  </si>
  <si>
    <t>Hepatitis A</t>
  </si>
  <si>
    <t>HepA</t>
  </si>
  <si>
    <t>Epaxal®</t>
  </si>
  <si>
    <t>pack of 1 prefilled syringe</t>
  </si>
  <si>
    <t>Vaccine-GCC®</t>
  </si>
  <si>
    <t>pack of one 5-dose vial</t>
  </si>
  <si>
    <t>pack of one 10-dose vial</t>
  </si>
  <si>
    <t>Small vaccine carrier (PQS)</t>
  </si>
  <si>
    <t>Weight of supplies</t>
  </si>
  <si>
    <t>Influenza A vaccine</t>
  </si>
  <si>
    <t>Investment cost</t>
  </si>
  <si>
    <t>Energy consumption</t>
  </si>
  <si>
    <t>par an</t>
  </si>
  <si>
    <t>Estimation du transport par livraison</t>
  </si>
  <si>
    <t>Estimation du nombre de caisses isothermes</t>
  </si>
  <si>
    <t>Volume total des vaccins par livraison (litres)</t>
  </si>
  <si>
    <t>Total volume of vaccines per delivery (litres)</t>
  </si>
  <si>
    <t>Estimation coût total d'acquisition de chaîne du froid, $</t>
  </si>
  <si>
    <t>Estimation coût total d'acquisition d'un litre de capacité net de chaîne du froid, $/litre</t>
  </si>
  <si>
    <t>Contact: kones@who.int</t>
  </si>
  <si>
    <t>Vaccine database</t>
  </si>
  <si>
    <t>Vaccine</t>
  </si>
  <si>
    <t>freeze-dried</t>
  </si>
  <si>
    <t>ID</t>
  </si>
  <si>
    <t>BCG</t>
  </si>
  <si>
    <t>Box per carton</t>
  </si>
  <si>
    <t>Units per box</t>
  </si>
  <si>
    <t>Presentation (doses/vial)</t>
  </si>
  <si>
    <t>Conditionnement (doses/flacon)</t>
  </si>
  <si>
    <t>Volume data used</t>
  </si>
  <si>
    <t>Valeurs volume utilisées</t>
  </si>
  <si>
    <t>Secondary box of 10 vials of 10 doses, dimensions are: 111mm width x 54mm length x 56mm height. Total weight incl of label insert and leaflets = 190g average</t>
  </si>
  <si>
    <t>Antigua and Barbuda</t>
  </si>
  <si>
    <t>AMRO</t>
  </si>
  <si>
    <t>Argentina</t>
  </si>
  <si>
    <t>Armenia</t>
  </si>
  <si>
    <t>Australia</t>
  </si>
  <si>
    <t>WPRO</t>
  </si>
  <si>
    <t>Austria</t>
  </si>
  <si>
    <t>2) If any vaccine presentation in this database is not to be considered in analysis, insert an asterix after the 'doses per vial' figure in Column I.</t>
  </si>
  <si>
    <t>Communication with Team from Austria during EURO Pandemic workshop, Aug 09 (Dr Heimo Wallenko)</t>
  </si>
  <si>
    <t>box of 20 vials of 10 doses, Shipping carton of 20 boxes</t>
  </si>
  <si>
    <t>IVB/PQ_137_tet</t>
  </si>
  <si>
    <t>IVB/PQ_136_tet</t>
  </si>
  <si>
    <t>ShanTT</t>
  </si>
  <si>
    <t>pack of 30 vials</t>
  </si>
  <si>
    <t>IVB/PQ_159_tet</t>
  </si>
  <si>
    <t>IVB/PQ_160_tet</t>
  </si>
  <si>
    <t>box of 1 vial of vaccine + diluents + transfer adapter</t>
  </si>
  <si>
    <t xml:space="preserve">one pack of 25 single-dose vaccine + diluents in cold chain </t>
  </si>
  <si>
    <t>one pack of 25 single-dose vaccine w/o diluents</t>
  </si>
  <si>
    <t>one pack of 1 single-dose vials</t>
  </si>
  <si>
    <t>one pack of 25 single-dose vials</t>
  </si>
  <si>
    <t>pack of 1 single-dose vial</t>
  </si>
  <si>
    <t xml:space="preserve">Follow the instructions below. </t>
  </si>
  <si>
    <t>carton containing 1 box of 50 vials of 10 doses plus 2 boxes of 25 vials of adjuvant each</t>
  </si>
  <si>
    <t>E4/52-M</t>
  </si>
  <si>
    <t>ADS_0.1ml</t>
  </si>
  <si>
    <t>16 bx/carton</t>
  </si>
  <si>
    <t>AD Syringes 0.5ml</t>
  </si>
  <si>
    <t>ADS_0.5ml</t>
  </si>
  <si>
    <t>18 bx/carton</t>
  </si>
  <si>
    <t>Syringes 2ml for dilution BCG/Hib</t>
  </si>
  <si>
    <t>Sdilution_2ml</t>
  </si>
  <si>
    <t>Syringes 5ml for dilution Msls/YF</t>
  </si>
  <si>
    <t>Sdilution_5ml</t>
  </si>
  <si>
    <t>Syringes 10ml for dilution YF/Meningitis</t>
  </si>
  <si>
    <t>Sdilution_10ml</t>
  </si>
  <si>
    <t>Safety boxes, 5litres</t>
  </si>
  <si>
    <t>SB_2.5l</t>
  </si>
  <si>
    <t>60 syr.</t>
  </si>
  <si>
    <t>SB_5l</t>
  </si>
  <si>
    <t>130 syr.</t>
  </si>
  <si>
    <t>DaTP-IPV+Hib</t>
  </si>
  <si>
    <t>PENTAXAM</t>
  </si>
  <si>
    <t>DTP-IPV+Hib</t>
  </si>
  <si>
    <t>Safety boxes, 10litres</t>
  </si>
  <si>
    <t>SB_10l</t>
  </si>
  <si>
    <t>300 syr.</t>
  </si>
  <si>
    <t>SB_15l</t>
  </si>
  <si>
    <t>400 syr.</t>
  </si>
  <si>
    <t>Source:</t>
  </si>
  <si>
    <t>PIS/PQS, 2007</t>
  </si>
  <si>
    <t>Packaging</t>
  </si>
  <si>
    <t>Vitamin A, capsule 100,000UI</t>
  </si>
  <si>
    <t>Vit_A_100</t>
  </si>
  <si>
    <t>Vitamin A, capsule 200,000UI</t>
  </si>
  <si>
    <t>Vit_A_200</t>
  </si>
  <si>
    <t>Albendazole (400-mg tablets)</t>
  </si>
  <si>
    <t>Albendazole</t>
  </si>
  <si>
    <t>Mebendazole (500-mg tablets)</t>
  </si>
  <si>
    <t>Mebendazole</t>
  </si>
  <si>
    <t>Rectangular ITN (70x180x150)</t>
  </si>
  <si>
    <t>ITN_X-Small_rectangular</t>
  </si>
  <si>
    <t>Rectangular ITN (100x180x150)</t>
  </si>
  <si>
    <t>ITN_Small_rectangular</t>
  </si>
  <si>
    <t>Rectangular ITN (130x180x150)</t>
  </si>
  <si>
    <t>ITN_Medium_rectangular</t>
  </si>
  <si>
    <t>Rectangular ITN (160x180x150)</t>
  </si>
  <si>
    <t>ITN_Large_rectangular</t>
  </si>
  <si>
    <t>Rectangular ITN (190x180x150)</t>
  </si>
  <si>
    <t>Guinée</t>
  </si>
  <si>
    <t>Large cold box (PQS)</t>
  </si>
  <si>
    <t>Small cold box (PQS)</t>
  </si>
  <si>
    <t>Large vaccine carrier (PQS)</t>
  </si>
  <si>
    <t>Compact AD-PFD</t>
  </si>
  <si>
    <t>Assumption (WHO TPP)</t>
  </si>
  <si>
    <t>Compact AD prefilled device</t>
  </si>
  <si>
    <t>Cost_Supplies</t>
  </si>
  <si>
    <t>Pack of 50 vials of single-dose Length= 17.3cm, Width= 8.7cm, Height= 3.97cm</t>
  </si>
  <si>
    <t>boxes of 10 vials of single-doses of vaccine</t>
  </si>
  <si>
    <t>boxes of 50 vials of single-dose of vaccine</t>
  </si>
  <si>
    <t>boxes of 25 vials of 10-doses of vaccine</t>
  </si>
  <si>
    <t>IVB/PQ_74_BCG_10_dose</t>
  </si>
  <si>
    <t>IVB/PQ_75_BCG_20_dose</t>
  </si>
  <si>
    <t>IVB/PQ_118_bcg</t>
  </si>
  <si>
    <t>IVB/PQ_165_bcg</t>
  </si>
  <si>
    <t>IVB/PQ_88_dtphephib</t>
  </si>
  <si>
    <t>IVB/PQ_224_dtphephib</t>
  </si>
  <si>
    <t>IVB/PQ_226_dtphephib</t>
  </si>
  <si>
    <t>IVB/PQ_225_dtphephib</t>
  </si>
  <si>
    <t>IVB/PQ_07_dtphephib</t>
  </si>
  <si>
    <t>Crucell Korea</t>
  </si>
  <si>
    <t>Tritanrix HB+Hib</t>
  </si>
  <si>
    <t>pack of 50 vials of tetra + 50 vials of Hib clipped together)</t>
  </si>
  <si>
    <t>IVB/PQ_53_dtphteta</t>
  </si>
  <si>
    <t>IVB/PQ_54_dtphteta</t>
  </si>
  <si>
    <t>IVB/PQ_55_dtphteta</t>
  </si>
  <si>
    <t>H1N1</t>
  </si>
  <si>
    <t>liquid+liquid</t>
  </si>
  <si>
    <t>boxes of 35 vials of single-dose of vaccine</t>
  </si>
  <si>
    <t>boxes of 35 vials of 2-dose of vaccine</t>
  </si>
  <si>
    <t>boxes of 35 vials of 6-dose of vaccine</t>
  </si>
  <si>
    <t>boxes of 30 vials of 10-doses of vaccine</t>
  </si>
  <si>
    <t>boxes of 30 vials of 20-doses of vaccine</t>
  </si>
  <si>
    <t>boxes of 36 vials of single-dose of vaccine</t>
  </si>
  <si>
    <t>boxes of 36 vials of 2-dose of vaccine</t>
  </si>
  <si>
    <t>boxes of 30 vials of 6-dose of vaccine</t>
  </si>
  <si>
    <t>boxes of 30 vials of 10-dose of vaccine</t>
  </si>
  <si>
    <t>boxes of 30 vials of 20-dose of vaccine</t>
  </si>
  <si>
    <t xml:space="preserve">Pneumococcal Conjugate Vaccine xxx-valent </t>
  </si>
  <si>
    <t>Quinvaxem</t>
  </si>
  <si>
    <t>Tritanrix-Hib</t>
  </si>
  <si>
    <t>Zilbrix-Hib</t>
  </si>
  <si>
    <t>Easy Five</t>
  </si>
  <si>
    <t>Liquid</t>
  </si>
  <si>
    <t xml:space="preserve">Diphtheria-Tetanus-Pertussis (whole cell)-Hepatitis B-Haemophilus influenzae type b </t>
  </si>
  <si>
    <t>Diphtheria-Tetanus-Pertussis (whole cell)-Hepatitis B-Haemophilus influenzae type b</t>
  </si>
  <si>
    <t>Формы, содержащие справочные данные:</t>
  </si>
  <si>
    <t>База данных по вакцинам</t>
  </si>
  <si>
    <t>Packed weight (g/unit)</t>
  </si>
  <si>
    <t>Désignation</t>
  </si>
  <si>
    <t>Boîtes par carton</t>
  </si>
  <si>
    <t>Unités par boîte</t>
  </si>
  <si>
    <t>Poids emballé (g/unit)</t>
  </si>
  <si>
    <t>Seringues AB 0.05ml pour BCG</t>
  </si>
  <si>
    <t>IVB/PQ_179_HPV_Merck</t>
  </si>
  <si>
    <t>Merck Sharp &amp; Dohme Corp</t>
  </si>
  <si>
    <t>HPV - Cervarix</t>
  </si>
  <si>
    <t>IVB/PQ_181_HPV_GSK</t>
  </si>
  <si>
    <t>one pack of 10 two-dose vials</t>
  </si>
  <si>
    <t>one pack of 100 two-dose vials</t>
  </si>
  <si>
    <t>one pack of 1 two-dose vial</t>
  </si>
  <si>
    <t>2*</t>
  </si>
  <si>
    <t>one pack of 1 single-dose vial</t>
  </si>
  <si>
    <t>one pack of 100 single-dose vials</t>
  </si>
  <si>
    <t>IVB/PQ_180_HPV_GSK</t>
  </si>
  <si>
    <t>Cholera vaccine</t>
  </si>
  <si>
    <t>Dukoral</t>
  </si>
  <si>
    <t>OCV</t>
  </si>
  <si>
    <t>pack of 2 dose of vaccine + buffer</t>
  </si>
  <si>
    <t>with buffer</t>
  </si>
  <si>
    <t>Crucell SBL Vaccin AB</t>
  </si>
  <si>
    <t>IVB/PQ_117_cholera</t>
  </si>
  <si>
    <t>IVB/PQ_197_MenAconjugate_10dose_SII</t>
  </si>
  <si>
    <t>MenAfricVac</t>
  </si>
  <si>
    <t>pack of 50 vial (active) + pack of 50 ampoules (diluents)</t>
  </si>
  <si>
    <t>IVB/PQ_167_rotavirus</t>
  </si>
  <si>
    <t>IVB/PQ_175_rotavirus</t>
  </si>
  <si>
    <t>IVB/PQ_174_rotavirus</t>
  </si>
  <si>
    <t>IVB/PQ_63_rotavirus</t>
  </si>
  <si>
    <t>IVB/PQ_66_yf</t>
  </si>
  <si>
    <t>IVB/PQ_67_yf</t>
  </si>
  <si>
    <t>pack of 10 ampoules + 10 vials 5 ml (diluent) separate</t>
  </si>
  <si>
    <t>pack of 10 ampoules + 10 vials 10 ml (diluent) separate</t>
  </si>
  <si>
    <t>IVB/PQ_65_yf</t>
  </si>
  <si>
    <t>IVB/PQ_22_yf</t>
  </si>
  <si>
    <t>50 Vials of 50 doses</t>
  </si>
  <si>
    <t>IVB/PQ_21_yf</t>
  </si>
  <si>
    <t xml:space="preserve">   ATTENTION:  Les emballages des vaccines peuvent être différent selon le fabricant. Sélectionner 'Mini/Maxi/Moyen' si vous voulez utiliser les valeurs minimum, maximum ou
   moyennes du volume emballé par type de conditionnement de vaccin à partir de la base de données.</t>
  </si>
  <si>
    <t>ETAPE 1: Choisir un filtre de vaccin:</t>
  </si>
  <si>
    <t>Current schedule with penta 1d</t>
  </si>
  <si>
    <t>Current schedule with penta CAD</t>
  </si>
  <si>
    <t>pack of 24 vials</t>
  </si>
  <si>
    <t>http://www.who.int/immunization_standards/vaccine_quality/pq_254_dtp_hepb_hib_10dose_biologicale/en/index.html</t>
  </si>
  <si>
    <t>http://www.who.int/immunization_standards/vaccine_quality/pq_253_dtp_hepb_hib_1dose_biologicale/en/index.html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</si>
</sst>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0_-;\-* #,##0_-;_-* &quot;-&quot;_-;_-@_-"/>
    <numFmt numFmtId="43" formatCode="_-* #,##0.00_-;\-* #,##0.00_-;_-* &quot;-&quot;??_-;_-@_-"/>
    <numFmt numFmtId="164" formatCode="_-&quot;£&quot;* #,##0.00_-;\-&quot;£&quot;* #,##0.00_-;_-&quot;£&quot;* &quot;-&quot;??_-;_-@_-"/>
    <numFmt numFmtId="165" formatCode="&quot;$&quot;#,##0.00_);\(&quot;$&quot;#,##0.00\)"/>
    <numFmt numFmtId="166" formatCode="_(&quot;$&quot;* #,##0.00_);_(&quot;$&quot;* \(#,##0.00\);_(&quot;$&quot;* &quot;-&quot;??_);_(@_)"/>
    <numFmt numFmtId="167" formatCode="_-* #,##0.00\ _F_-;\-* #,##0.00\ _F_-;_-* &quot;-&quot;??\ _F_-;_-@_-"/>
    <numFmt numFmtId="168" formatCode="0.0_)"/>
    <numFmt numFmtId="169" formatCode="0.0"/>
    <numFmt numFmtId="170" formatCode="0.0%"/>
    <numFmt numFmtId="171" formatCode="_-* #,##0.0_-;\-* #,##0.0_-;_-* &quot;-&quot;_-;_-@_-"/>
    <numFmt numFmtId="172" formatCode="0.000"/>
    <numFmt numFmtId="173" formatCode="_-* #,##0_-\l\i\t\r"/>
    <numFmt numFmtId="174" formatCode="_-* #,##0.00_-;\-* #,##0.00_-;_-* &quot;-&quot;_-;_-@_-"/>
    <numFmt numFmtId="175" formatCode="#,##0;[Red]#,##0"/>
    <numFmt numFmtId="176" formatCode="&quot;$&quot;#,##0.00"/>
    <numFmt numFmtId="177" formatCode="&quot;$&quot;#,##0.0"/>
    <numFmt numFmtId="178" formatCode="#,##0.0_ ;\-#,##0.0\ "/>
    <numFmt numFmtId="179" formatCode="#,##0.0;[Red]#,##0.0"/>
    <numFmt numFmtId="180" formatCode="#,##0.00;[Red]#,##0.00"/>
    <numFmt numFmtId="181" formatCode="General_)"/>
    <numFmt numFmtId="182" formatCode="#,##0_ ;\-#,##0\ "/>
    <numFmt numFmtId="183" formatCode="[$-F800]dddd\,\ mmmm\ dd\,\ yyyy"/>
    <numFmt numFmtId="184" formatCode="[$$-409]#,##0.00"/>
  </numFmts>
  <fonts count="114">
    <font>
      <sz val="10"/>
      <name val="Arial"/>
    </font>
    <font>
      <sz val="10"/>
      <name val="Arial"/>
      <family val="2"/>
    </font>
    <font>
      <u/>
      <sz val="10"/>
      <color indexed="12"/>
      <name val="Arial"/>
      <family val="2"/>
    </font>
    <font>
      <b/>
      <sz val="10"/>
      <name val="Arial"/>
      <family val="2"/>
    </font>
    <font>
      <sz val="8"/>
      <name val="Arial"/>
      <family val="2"/>
    </font>
    <font>
      <sz val="9"/>
      <name val="Arial"/>
      <family val="2"/>
    </font>
    <font>
      <sz val="9"/>
      <name val="Arial"/>
      <family val="2"/>
    </font>
    <font>
      <b/>
      <sz val="9"/>
      <name val="Arial"/>
      <family val="2"/>
    </font>
    <font>
      <sz val="14"/>
      <name val="Arial"/>
      <family val="2"/>
    </font>
    <font>
      <sz val="9"/>
      <name val="Times New Roman"/>
      <family val="1"/>
    </font>
    <font>
      <sz val="8.5"/>
      <name val="Arial"/>
      <family val="2"/>
    </font>
    <font>
      <sz val="9"/>
      <name val="Arial Narrow"/>
      <family val="2"/>
    </font>
    <font>
      <b/>
      <sz val="14"/>
      <name val="Arial"/>
      <family val="2"/>
    </font>
    <font>
      <sz val="8"/>
      <name val="Arial Narrow"/>
      <family val="2"/>
    </font>
    <font>
      <sz val="11"/>
      <name val="Arial Narrow"/>
      <family val="2"/>
    </font>
    <font>
      <sz val="10"/>
      <name val="Arial Narrow"/>
      <family val="2"/>
    </font>
    <font>
      <b/>
      <sz val="12"/>
      <name val="Arial"/>
      <family val="2"/>
    </font>
    <font>
      <b/>
      <sz val="11"/>
      <name val="Arial"/>
      <family val="2"/>
    </font>
    <font>
      <sz val="10"/>
      <name val="Arial"/>
      <family val="2"/>
    </font>
    <font>
      <sz val="11"/>
      <name val="Arial"/>
      <family val="2"/>
    </font>
    <font>
      <sz val="8"/>
      <name val="Arial"/>
      <family val="2"/>
    </font>
    <font>
      <b/>
      <sz val="8"/>
      <name val="Arial"/>
      <family val="2"/>
    </font>
    <font>
      <b/>
      <sz val="9"/>
      <name val="Arial Narrow"/>
      <family val="2"/>
    </font>
    <font>
      <sz val="9"/>
      <color indexed="9"/>
      <name val="Arial"/>
      <family val="2"/>
    </font>
    <font>
      <u/>
      <sz val="8"/>
      <name val="Arial Narrow"/>
      <family val="2"/>
    </font>
    <font>
      <i/>
      <sz val="8"/>
      <name val="Arial Narrow"/>
      <family val="2"/>
    </font>
    <font>
      <b/>
      <u/>
      <sz val="9"/>
      <name val="Arial"/>
      <family val="2"/>
    </font>
    <font>
      <sz val="10"/>
      <color indexed="9"/>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Arial Mon"/>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Calibri"/>
      <family val="2"/>
    </font>
    <font>
      <sz val="10"/>
      <name val="Calibri"/>
      <family val="2"/>
    </font>
    <font>
      <i/>
      <sz val="10"/>
      <color indexed="8"/>
      <name val="Calibri"/>
      <family val="2"/>
    </font>
    <font>
      <i/>
      <sz val="10"/>
      <name val="Calibri"/>
      <family val="2"/>
    </font>
    <font>
      <b/>
      <sz val="16"/>
      <color indexed="9"/>
      <name val="Arial"/>
      <family val="2"/>
    </font>
    <font>
      <b/>
      <sz val="10"/>
      <color indexed="9"/>
      <name val="Arial"/>
      <family val="2"/>
    </font>
    <font>
      <b/>
      <sz val="10"/>
      <name val="Arial"/>
      <family val="2"/>
    </font>
    <font>
      <b/>
      <sz val="16"/>
      <color indexed="9"/>
      <name val="Arial"/>
      <family val="2"/>
    </font>
    <font>
      <b/>
      <sz val="10"/>
      <color indexed="9"/>
      <name val="Arial"/>
      <family val="2"/>
    </font>
    <font>
      <b/>
      <sz val="5"/>
      <color indexed="9"/>
      <name val="Arial"/>
      <family val="2"/>
    </font>
    <font>
      <sz val="5"/>
      <name val="Arial"/>
      <family val="2"/>
    </font>
    <font>
      <u/>
      <sz val="5"/>
      <color indexed="9"/>
      <name val="Arial"/>
      <family val="2"/>
    </font>
    <font>
      <u/>
      <sz val="10"/>
      <color indexed="9"/>
      <name val="Arial"/>
      <family val="2"/>
    </font>
    <font>
      <b/>
      <sz val="10"/>
      <color indexed="10"/>
      <name val="Arial"/>
      <family val="2"/>
    </font>
    <font>
      <sz val="12"/>
      <name val="Times New Roman"/>
      <family val="1"/>
    </font>
    <font>
      <sz val="12"/>
      <name val="Arial"/>
      <family val="2"/>
    </font>
    <font>
      <sz val="12"/>
      <name val="Arial"/>
      <family val="2"/>
    </font>
    <font>
      <b/>
      <sz val="11"/>
      <color indexed="9"/>
      <name val="Arial"/>
      <family val="2"/>
    </font>
    <font>
      <sz val="9"/>
      <color indexed="10"/>
      <name val="Arial"/>
      <family val="2"/>
    </font>
    <font>
      <b/>
      <sz val="9"/>
      <color indexed="9"/>
      <name val="Arial"/>
      <family val="2"/>
    </font>
    <font>
      <sz val="10"/>
      <color indexed="9"/>
      <name val="Arial Narrow"/>
      <family val="2"/>
    </font>
    <font>
      <sz val="11"/>
      <color indexed="9"/>
      <name val="Arial"/>
      <family val="2"/>
    </font>
    <font>
      <sz val="9"/>
      <color indexed="9"/>
      <name val="Arial Narrow"/>
      <family val="2"/>
    </font>
    <font>
      <u/>
      <sz val="10"/>
      <color indexed="9"/>
      <name val="Arial"/>
      <family val="2"/>
    </font>
    <font>
      <sz val="10"/>
      <name val="Times New Roman"/>
      <family val="1"/>
    </font>
    <font>
      <sz val="10"/>
      <name val="Arial"/>
      <family val="2"/>
    </font>
    <font>
      <b/>
      <sz val="14"/>
      <color indexed="9"/>
      <name val="Arial"/>
      <family val="2"/>
    </font>
    <font>
      <sz val="11"/>
      <color indexed="9"/>
      <name val="Arial Narrow"/>
      <family val="2"/>
    </font>
    <font>
      <u/>
      <sz val="9"/>
      <name val="Arial"/>
      <family val="2"/>
    </font>
    <font>
      <i/>
      <sz val="10"/>
      <color indexed="12"/>
      <name val="Arial"/>
      <family val="2"/>
    </font>
    <font>
      <sz val="9"/>
      <color indexed="10"/>
      <name val="Arial"/>
      <family val="2"/>
    </font>
    <font>
      <sz val="16"/>
      <name val="Arial"/>
      <family val="2"/>
    </font>
    <font>
      <sz val="16"/>
      <color indexed="9"/>
      <name val="Arial"/>
      <family val="2"/>
    </font>
    <font>
      <u/>
      <sz val="9"/>
      <color indexed="9"/>
      <name val="Arial"/>
      <family val="2"/>
    </font>
    <font>
      <u/>
      <sz val="9"/>
      <color indexed="9"/>
      <name val="Arial"/>
      <family val="2"/>
    </font>
    <font>
      <b/>
      <sz val="9"/>
      <color indexed="9"/>
      <name val="Arial Narrow"/>
      <family val="2"/>
    </font>
    <font>
      <sz val="3"/>
      <name val="Arial"/>
      <family val="2"/>
    </font>
    <font>
      <b/>
      <sz val="3"/>
      <name val="Arial"/>
      <family val="2"/>
    </font>
    <font>
      <sz val="3"/>
      <name val="Arial"/>
      <family val="2"/>
    </font>
    <font>
      <sz val="8"/>
      <color indexed="9"/>
      <name val="Arial"/>
      <family val="2"/>
    </font>
    <font>
      <b/>
      <sz val="8"/>
      <color indexed="9"/>
      <name val="Arial"/>
      <family val="2"/>
    </font>
    <font>
      <b/>
      <sz val="9"/>
      <name val="Arial"/>
      <family val="2"/>
    </font>
    <font>
      <b/>
      <u/>
      <sz val="9"/>
      <name val="Arial"/>
      <family val="2"/>
    </font>
    <font>
      <b/>
      <i/>
      <sz val="9"/>
      <name val="Arial"/>
      <family val="2"/>
    </font>
    <font>
      <b/>
      <sz val="9"/>
      <color indexed="9"/>
      <name val="Arial"/>
      <family val="2"/>
    </font>
    <font>
      <sz val="9"/>
      <name val="Calibri"/>
      <family val="2"/>
    </font>
    <font>
      <b/>
      <sz val="16"/>
      <color indexed="9"/>
      <name val="Calibri"/>
      <family val="2"/>
    </font>
    <font>
      <u/>
      <sz val="10"/>
      <color indexed="9"/>
      <name val="Calibri"/>
      <family val="2"/>
    </font>
    <font>
      <sz val="10"/>
      <color indexed="9"/>
      <name val="Calibri"/>
      <family val="2"/>
    </font>
    <font>
      <b/>
      <sz val="10"/>
      <color indexed="9"/>
      <name val="Calibri"/>
      <family val="2"/>
    </font>
    <font>
      <b/>
      <sz val="14"/>
      <color indexed="9"/>
      <name val="Calibri"/>
      <family val="2"/>
    </font>
    <font>
      <sz val="11"/>
      <name val="Calibri"/>
      <family val="2"/>
    </font>
    <font>
      <sz val="9"/>
      <color indexed="9"/>
      <name val="Calibri"/>
      <family val="2"/>
    </font>
    <font>
      <sz val="16"/>
      <color indexed="9"/>
      <name val="Calibri"/>
      <family val="2"/>
    </font>
    <font>
      <b/>
      <sz val="14"/>
      <name val="Calibri"/>
      <family val="2"/>
    </font>
    <font>
      <sz val="14"/>
      <name val="Calibri"/>
      <family val="2"/>
    </font>
    <font>
      <sz val="16"/>
      <name val="Calibri"/>
      <family val="2"/>
    </font>
    <font>
      <sz val="8"/>
      <name val="Calibri"/>
      <family val="2"/>
    </font>
    <font>
      <b/>
      <i/>
      <u/>
      <sz val="11"/>
      <color indexed="12"/>
      <name val="Calibri"/>
      <family val="2"/>
    </font>
    <font>
      <u/>
      <sz val="10"/>
      <color indexed="12"/>
      <name val="Calibri"/>
      <family val="2"/>
    </font>
    <font>
      <b/>
      <i/>
      <sz val="10"/>
      <color indexed="9"/>
      <name val="Calibri"/>
      <family val="2"/>
    </font>
    <font>
      <b/>
      <sz val="22"/>
      <color indexed="9"/>
      <name val="Calibri"/>
      <family val="2"/>
    </font>
    <font>
      <sz val="12"/>
      <name val="Calibri"/>
      <family val="2"/>
    </font>
    <font>
      <b/>
      <sz val="12"/>
      <name val="Calibri"/>
      <family val="2"/>
    </font>
    <font>
      <sz val="14"/>
      <color indexed="9"/>
      <name val="Calibri"/>
      <family val="2"/>
    </font>
    <font>
      <sz val="10"/>
      <color indexed="47"/>
      <name val="Arial"/>
      <family val="2"/>
    </font>
    <font>
      <sz val="9"/>
      <color indexed="47"/>
      <name val="Arial"/>
      <family val="2"/>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22"/>
        <bgColor indexed="64"/>
      </patternFill>
    </fill>
    <fill>
      <patternFill patternType="solid">
        <fgColor indexed="43"/>
        <bgColor indexed="64"/>
      </patternFill>
    </fill>
    <fill>
      <patternFill patternType="solid">
        <fgColor indexed="9"/>
        <bgColor indexed="64"/>
      </patternFill>
    </fill>
    <fill>
      <patternFill patternType="solid">
        <fgColor indexed="47"/>
        <bgColor indexed="64"/>
      </patternFill>
    </fill>
    <fill>
      <patternFill patternType="solid">
        <fgColor indexed="21"/>
        <bgColor indexed="64"/>
      </patternFill>
    </fill>
    <fill>
      <patternFill patternType="solid">
        <fgColor indexed="41"/>
        <bgColor indexed="64"/>
      </patternFill>
    </fill>
    <fill>
      <patternFill patternType="solid">
        <fgColor indexed="45"/>
        <bgColor indexed="64"/>
      </patternFill>
    </fill>
    <fill>
      <patternFill patternType="solid">
        <fgColor indexed="31"/>
        <bgColor indexed="64"/>
      </patternFill>
    </fill>
    <fill>
      <patternFill patternType="solid">
        <fgColor indexed="44"/>
        <bgColor indexed="64"/>
      </patternFill>
    </fill>
  </fills>
  <borders count="4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medium">
        <color indexed="64"/>
      </top>
      <bottom/>
      <diagonal/>
    </border>
  </borders>
  <cellStyleXfs count="50">
    <xf numFmtId="0" fontId="0" fillId="0" borderId="0"/>
    <xf numFmtId="0" fontId="29" fillId="2" borderId="0" applyNumberFormat="0" applyBorder="0" applyAlignment="0" applyProtection="0"/>
    <xf numFmtId="0" fontId="29" fillId="3" borderId="0" applyNumberFormat="0" applyBorder="0" applyAlignment="0" applyProtection="0"/>
    <xf numFmtId="0" fontId="29" fillId="4" borderId="0" applyNumberFormat="0" applyBorder="0" applyAlignment="0" applyProtection="0"/>
    <xf numFmtId="0" fontId="29" fillId="5"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5" borderId="0" applyNumberFormat="0" applyBorder="0" applyAlignment="0" applyProtection="0"/>
    <xf numFmtId="0" fontId="29" fillId="8" borderId="0" applyNumberFormat="0" applyBorder="0" applyAlignment="0" applyProtection="0"/>
    <xf numFmtId="0" fontId="29" fillId="11" borderId="0" applyNumberFormat="0" applyBorder="0" applyAlignment="0" applyProtection="0"/>
    <xf numFmtId="0" fontId="30" fillId="12"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9" borderId="0" applyNumberFormat="0" applyBorder="0" applyAlignment="0" applyProtection="0"/>
    <xf numFmtId="0" fontId="31" fillId="3" borderId="0" applyNumberFormat="0" applyBorder="0" applyAlignment="0" applyProtection="0"/>
    <xf numFmtId="0" fontId="32" fillId="20" borderId="1" applyNumberFormat="0" applyAlignment="0" applyProtection="0"/>
    <xf numFmtId="0" fontId="33" fillId="21" borderId="2" applyNumberFormat="0" applyAlignment="0" applyProtection="0"/>
    <xf numFmtId="164" fontId="1" fillId="0" borderId="0" applyFont="0" applyFill="0" applyBorder="0" applyAlignment="0" applyProtection="0"/>
    <xf numFmtId="0" fontId="34" fillId="0" borderId="0" applyNumberFormat="0" applyFill="0" applyBorder="0" applyAlignment="0" applyProtection="0"/>
    <xf numFmtId="0" fontId="35" fillId="4" borderId="0" applyNumberFormat="0" applyBorder="0" applyAlignment="0" applyProtection="0"/>
    <xf numFmtId="0" fontId="36" fillId="0" borderId="3" applyNumberFormat="0" applyFill="0" applyAlignment="0" applyProtection="0"/>
    <xf numFmtId="0" fontId="37" fillId="0" borderId="4" applyNumberFormat="0" applyFill="0" applyAlignment="0" applyProtection="0"/>
    <xf numFmtId="0" fontId="38" fillId="0" borderId="5" applyNumberFormat="0" applyFill="0" applyAlignment="0" applyProtection="0"/>
    <xf numFmtId="0" fontId="38" fillId="0" borderId="0" applyNumberFormat="0" applyFill="0" applyBorder="0" applyAlignment="0" applyProtection="0"/>
    <xf numFmtId="0" fontId="2" fillId="0" borderId="0" applyNumberFormat="0" applyFill="0" applyBorder="0" applyAlignment="0" applyProtection="0">
      <alignment vertical="top"/>
      <protection locked="0"/>
    </xf>
    <xf numFmtId="0" fontId="39" fillId="7" borderId="1" applyNumberFormat="0" applyAlignment="0" applyProtection="0"/>
    <xf numFmtId="0" fontId="40" fillId="0" borderId="6" applyNumberFormat="0" applyFill="0" applyAlignment="0" applyProtection="0"/>
    <xf numFmtId="167" fontId="1" fillId="0" borderId="0" applyFont="0" applyFill="0" applyBorder="0" applyAlignment="0" applyProtection="0"/>
    <xf numFmtId="0" fontId="41" fillId="22" borderId="0" applyNumberFormat="0" applyBorder="0" applyAlignment="0" applyProtection="0"/>
    <xf numFmtId="0" fontId="18" fillId="0" borderId="0"/>
    <xf numFmtId="0" fontId="42" fillId="0" borderId="0"/>
    <xf numFmtId="0" fontId="18" fillId="0" borderId="0"/>
    <xf numFmtId="0" fontId="18" fillId="0" borderId="0"/>
    <xf numFmtId="0" fontId="29" fillId="23" borderId="7" applyNumberFormat="0" applyFont="0" applyAlignment="0" applyProtection="0"/>
    <xf numFmtId="0" fontId="43" fillId="20" borderId="8" applyNumberFormat="0" applyAlignment="0" applyProtection="0"/>
    <xf numFmtId="9" fontId="1" fillId="0" borderId="0" applyFont="0" applyFill="0" applyBorder="0" applyAlignment="0" applyProtection="0"/>
    <xf numFmtId="0" fontId="44" fillId="0" borderId="0" applyNumberFormat="0" applyFill="0" applyBorder="0" applyAlignment="0" applyProtection="0"/>
    <xf numFmtId="0" fontId="45" fillId="0" borderId="9" applyNumberFormat="0" applyFill="0" applyAlignment="0" applyProtection="0"/>
    <xf numFmtId="0" fontId="46" fillId="0" borderId="0" applyNumberFormat="0" applyFill="0" applyBorder="0" applyAlignment="0" applyProtection="0"/>
  </cellStyleXfs>
  <cellXfs count="836">
    <xf numFmtId="0" fontId="0" fillId="0" borderId="0" xfId="0"/>
    <xf numFmtId="0" fontId="0" fillId="0" borderId="10" xfId="0" applyBorder="1"/>
    <xf numFmtId="0" fontId="0" fillId="0" borderId="11" xfId="0" applyBorder="1"/>
    <xf numFmtId="0" fontId="0" fillId="0" borderId="12" xfId="0" applyBorder="1"/>
    <xf numFmtId="0" fontId="4" fillId="0" borderId="0" xfId="0" applyFont="1"/>
    <xf numFmtId="0" fontId="5" fillId="0" borderId="0" xfId="0" applyFont="1"/>
    <xf numFmtId="0" fontId="9" fillId="0" borderId="0" xfId="0" applyFont="1" applyBorder="1" applyProtection="1">
      <protection locked="0"/>
    </xf>
    <xf numFmtId="0" fontId="9" fillId="0" borderId="0" xfId="0" applyFont="1" applyProtection="1">
      <protection locked="0"/>
    </xf>
    <xf numFmtId="0" fontId="6" fillId="0" borderId="0" xfId="0" applyFont="1" applyBorder="1" applyProtection="1">
      <protection locked="0"/>
    </xf>
    <xf numFmtId="0" fontId="6" fillId="0" borderId="0" xfId="0" applyFont="1" applyProtection="1">
      <protection locked="0"/>
    </xf>
    <xf numFmtId="0" fontId="10" fillId="0" borderId="13" xfId="0" applyFont="1" applyBorder="1" applyAlignment="1" applyProtection="1">
      <protection locked="0"/>
    </xf>
    <xf numFmtId="0" fontId="9" fillId="0" borderId="0" xfId="0" applyFont="1" applyAlignment="1" applyProtection="1">
      <alignment wrapText="1"/>
      <protection locked="0"/>
    </xf>
    <xf numFmtId="0" fontId="13" fillId="0" borderId="0" xfId="0" applyFont="1"/>
    <xf numFmtId="0" fontId="14" fillId="0" borderId="0" xfId="0" applyFont="1"/>
    <xf numFmtId="0" fontId="15" fillId="0" borderId="0" xfId="0" applyFont="1"/>
    <xf numFmtId="0" fontId="15" fillId="0" borderId="0" xfId="0" applyFont="1" applyBorder="1"/>
    <xf numFmtId="0" fontId="12" fillId="0" borderId="0" xfId="0" applyFont="1"/>
    <xf numFmtId="0" fontId="18" fillId="0" borderId="0" xfId="0" applyFont="1"/>
    <xf numFmtId="0" fontId="6" fillId="0" borderId="0" xfId="0" applyFont="1"/>
    <xf numFmtId="0" fontId="6" fillId="24" borderId="14" xfId="0" applyFont="1" applyFill="1" applyBorder="1" applyAlignment="1" applyProtection="1">
      <alignment horizontal="left" vertical="center"/>
    </xf>
    <xf numFmtId="0" fontId="6" fillId="24" borderId="14" xfId="0" applyFont="1" applyFill="1" applyBorder="1" applyAlignment="1">
      <alignment horizontal="center" vertical="center"/>
    </xf>
    <xf numFmtId="168" fontId="6" fillId="24" borderId="14" xfId="0" applyNumberFormat="1" applyFont="1" applyFill="1" applyBorder="1" applyProtection="1"/>
    <xf numFmtId="0" fontId="6" fillId="24" borderId="13" xfId="0" applyFont="1" applyFill="1" applyBorder="1" applyAlignment="1" applyProtection="1">
      <alignment horizontal="left"/>
    </xf>
    <xf numFmtId="0" fontId="6" fillId="24" borderId="13" xfId="0" applyFont="1" applyFill="1" applyBorder="1"/>
    <xf numFmtId="169" fontId="20" fillId="0" borderId="0" xfId="0" applyNumberFormat="1" applyFont="1" applyBorder="1"/>
    <xf numFmtId="0" fontId="20" fillId="0" borderId="0" xfId="0" applyFont="1"/>
    <xf numFmtId="0" fontId="18" fillId="0" borderId="0" xfId="0" applyFont="1" applyBorder="1"/>
    <xf numFmtId="169" fontId="6" fillId="24" borderId="15" xfId="0" applyNumberFormat="1" applyFont="1" applyFill="1" applyBorder="1"/>
    <xf numFmtId="0" fontId="0" fillId="0" borderId="0" xfId="0" applyBorder="1" applyAlignment="1"/>
    <xf numFmtId="169" fontId="6" fillId="24" borderId="13" xfId="0" applyNumberFormat="1" applyFont="1" applyFill="1" applyBorder="1"/>
    <xf numFmtId="169" fontId="6" fillId="24" borderId="16" xfId="0" applyNumberFormat="1" applyFont="1" applyFill="1" applyBorder="1"/>
    <xf numFmtId="0" fontId="19" fillId="0" borderId="0" xfId="0" applyFont="1" applyBorder="1" applyAlignment="1"/>
    <xf numFmtId="0" fontId="19" fillId="0" borderId="0" xfId="0" applyFont="1" applyBorder="1"/>
    <xf numFmtId="170" fontId="19" fillId="0" borderId="0" xfId="0" applyNumberFormat="1" applyFont="1" applyBorder="1"/>
    <xf numFmtId="2" fontId="19" fillId="0" borderId="0" xfId="0" applyNumberFormat="1" applyFont="1" applyBorder="1"/>
    <xf numFmtId="2" fontId="19" fillId="0" borderId="0" xfId="0" applyNumberFormat="1" applyFont="1" applyBorder="1" applyAlignment="1"/>
    <xf numFmtId="0" fontId="19" fillId="0" borderId="0" xfId="0" applyFont="1"/>
    <xf numFmtId="0" fontId="0" fillId="0" borderId="0" xfId="0" applyBorder="1"/>
    <xf numFmtId="9" fontId="7" fillId="25" borderId="16" xfId="46" applyFont="1" applyFill="1" applyBorder="1"/>
    <xf numFmtId="0" fontId="17" fillId="0" borderId="0" xfId="0" applyFont="1"/>
    <xf numFmtId="0" fontId="19" fillId="0" borderId="0" xfId="0" applyFont="1" applyFill="1" applyBorder="1" applyAlignment="1">
      <alignment horizontal="right"/>
    </xf>
    <xf numFmtId="0" fontId="21" fillId="0" borderId="0" xfId="0" applyFont="1"/>
    <xf numFmtId="169" fontId="19" fillId="0" borderId="0" xfId="0" applyNumberFormat="1" applyFont="1" applyBorder="1"/>
    <xf numFmtId="0" fontId="19" fillId="0" borderId="0" xfId="0" applyFont="1" applyAlignment="1"/>
    <xf numFmtId="0" fontId="11" fillId="0" borderId="0" xfId="0" applyFont="1"/>
    <xf numFmtId="0" fontId="13" fillId="0" borderId="17" xfId="0" applyFont="1" applyBorder="1"/>
    <xf numFmtId="0" fontId="13" fillId="0" borderId="18" xfId="0" applyFont="1" applyBorder="1"/>
    <xf numFmtId="0" fontId="13" fillId="0" borderId="0" xfId="0" applyFont="1" applyBorder="1"/>
    <xf numFmtId="9" fontId="7" fillId="25" borderId="15" xfId="46" applyFont="1" applyFill="1" applyBorder="1"/>
    <xf numFmtId="9" fontId="3" fillId="25" borderId="13" xfId="46" applyFont="1" applyFill="1" applyBorder="1"/>
    <xf numFmtId="0" fontId="10" fillId="0" borderId="13" xfId="0" applyFont="1" applyBorder="1" applyAlignment="1" applyProtection="1">
      <alignment horizontal="left"/>
      <protection locked="0"/>
    </xf>
    <xf numFmtId="0" fontId="10" fillId="0" borderId="13" xfId="0" applyFont="1" applyBorder="1" applyAlignment="1" applyProtection="1">
      <alignment horizontal="left" vertical="center"/>
      <protection locked="0"/>
    </xf>
    <xf numFmtId="169" fontId="6" fillId="25" borderId="15" xfId="0" applyNumberFormat="1" applyFont="1" applyFill="1" applyBorder="1"/>
    <xf numFmtId="0" fontId="20" fillId="0" borderId="0" xfId="0" applyFont="1" applyProtection="1">
      <protection locked="0"/>
    </xf>
    <xf numFmtId="0" fontId="24" fillId="0" borderId="0" xfId="0" applyFont="1" applyAlignment="1">
      <alignment horizontal="right"/>
    </xf>
    <xf numFmtId="0" fontId="22" fillId="0" borderId="0" xfId="0" applyFont="1" applyBorder="1"/>
    <xf numFmtId="0" fontId="18" fillId="0" borderId="0" xfId="0" applyFont="1" applyFill="1" applyBorder="1"/>
    <xf numFmtId="0" fontId="13" fillId="0" borderId="0" xfId="0" applyFont="1" applyBorder="1" applyAlignment="1">
      <alignment horizontal="right"/>
    </xf>
    <xf numFmtId="9" fontId="13" fillId="0" borderId="0" xfId="0" applyNumberFormat="1" applyFont="1" applyBorder="1"/>
    <xf numFmtId="0" fontId="13" fillId="0" borderId="0" xfId="0" applyFont="1" applyProtection="1">
      <protection locked="0"/>
    </xf>
    <xf numFmtId="0" fontId="6" fillId="0" borderId="19" xfId="0" applyFont="1" applyBorder="1"/>
    <xf numFmtId="0" fontId="15" fillId="0" borderId="0" xfId="0" applyFont="1" applyAlignment="1">
      <alignment vertical="center"/>
    </xf>
    <xf numFmtId="0" fontId="15" fillId="0" borderId="0" xfId="0" applyFont="1" applyAlignment="1">
      <alignment horizontal="left"/>
    </xf>
    <xf numFmtId="175" fontId="15" fillId="0" borderId="0" xfId="0" applyNumberFormat="1" applyFont="1"/>
    <xf numFmtId="0" fontId="14" fillId="0" borderId="0" xfId="0" applyFont="1" applyAlignment="1">
      <alignment horizontal="left"/>
    </xf>
    <xf numFmtId="175" fontId="14" fillId="0" borderId="0" xfId="0" applyNumberFormat="1" applyFont="1"/>
    <xf numFmtId="0" fontId="6" fillId="0" borderId="0" xfId="0" applyFont="1" applyBorder="1"/>
    <xf numFmtId="0" fontId="26" fillId="0" borderId="0" xfId="0" applyFont="1"/>
    <xf numFmtId="0" fontId="6" fillId="0" borderId="0" xfId="0" applyFont="1" applyAlignment="1">
      <alignment horizontal="right"/>
    </xf>
    <xf numFmtId="0" fontId="7" fillId="26" borderId="0" xfId="0" applyFont="1" applyFill="1" applyProtection="1">
      <protection locked="0"/>
    </xf>
    <xf numFmtId="169" fontId="20" fillId="0" borderId="0" xfId="0" applyNumberFormat="1" applyFont="1" applyBorder="1" applyProtection="1"/>
    <xf numFmtId="169" fontId="6" fillId="24" borderId="15" xfId="0" applyNumberFormat="1" applyFont="1" applyFill="1" applyBorder="1" applyProtection="1"/>
    <xf numFmtId="169" fontId="6" fillId="24" borderId="13" xfId="0" applyNumberFormat="1" applyFont="1" applyFill="1" applyBorder="1" applyProtection="1"/>
    <xf numFmtId="169" fontId="6" fillId="25" borderId="16" xfId="0" applyNumberFormat="1" applyFont="1" applyFill="1" applyBorder="1" applyProtection="1"/>
    <xf numFmtId="0" fontId="0" fillId="0" borderId="0" xfId="0" applyProtection="1"/>
    <xf numFmtId="9" fontId="20" fillId="25" borderId="15" xfId="46" applyFont="1" applyFill="1" applyBorder="1" applyProtection="1"/>
    <xf numFmtId="9" fontId="20" fillId="25" borderId="13" xfId="46" applyFont="1" applyFill="1" applyBorder="1" applyProtection="1"/>
    <xf numFmtId="9" fontId="20" fillId="25" borderId="16" xfId="46" applyFont="1" applyFill="1" applyBorder="1" applyProtection="1"/>
    <xf numFmtId="9" fontId="7" fillId="25" borderId="13" xfId="46" applyFont="1" applyFill="1" applyBorder="1"/>
    <xf numFmtId="180" fontId="15" fillId="0" borderId="0" xfId="0" applyNumberFormat="1" applyFont="1"/>
    <xf numFmtId="0" fontId="15" fillId="0" borderId="0" xfId="0" applyFont="1" applyBorder="1" applyAlignment="1">
      <alignment vertical="center"/>
    </xf>
    <xf numFmtId="0" fontId="6" fillId="0" borderId="0" xfId="0" applyFont="1" applyAlignment="1" applyProtection="1">
      <alignment wrapText="1"/>
      <protection locked="0"/>
    </xf>
    <xf numFmtId="0" fontId="27" fillId="0" borderId="12" xfId="0" applyFont="1" applyBorder="1" applyAlignment="1">
      <alignment horizontal="right"/>
    </xf>
    <xf numFmtId="169" fontId="6" fillId="25" borderId="13" xfId="0" applyNumberFormat="1" applyFont="1" applyFill="1" applyBorder="1"/>
    <xf numFmtId="9" fontId="20" fillId="25" borderId="15" xfId="46" applyFont="1" applyFill="1" applyBorder="1"/>
    <xf numFmtId="9" fontId="20" fillId="25" borderId="13" xfId="46" applyFont="1" applyFill="1" applyBorder="1"/>
    <xf numFmtId="9" fontId="22" fillId="25" borderId="16" xfId="46" applyFont="1" applyFill="1" applyBorder="1"/>
    <xf numFmtId="166" fontId="6" fillId="0" borderId="0" xfId="0" applyNumberFormat="1" applyFont="1"/>
    <xf numFmtId="0" fontId="16" fillId="0" borderId="0" xfId="0" applyFont="1"/>
    <xf numFmtId="15" fontId="6" fillId="0" borderId="13" xfId="0" applyNumberFormat="1" applyFont="1" applyBorder="1" applyProtection="1">
      <protection locked="0"/>
    </xf>
    <xf numFmtId="0" fontId="6" fillId="0" borderId="0" xfId="0" applyFont="1" applyAlignment="1" applyProtection="1">
      <alignment horizontal="center"/>
      <protection locked="0"/>
    </xf>
    <xf numFmtId="2" fontId="6" fillId="24" borderId="15" xfId="0" applyNumberFormat="1" applyFont="1" applyFill="1" applyBorder="1"/>
    <xf numFmtId="2" fontId="6" fillId="24" borderId="13" xfId="0" applyNumberFormat="1" applyFont="1" applyFill="1" applyBorder="1"/>
    <xf numFmtId="2" fontId="6" fillId="24" borderId="16" xfId="0" applyNumberFormat="1" applyFont="1" applyFill="1" applyBorder="1"/>
    <xf numFmtId="0" fontId="48" fillId="0" borderId="20" xfId="0" applyFont="1" applyBorder="1"/>
    <xf numFmtId="181" fontId="49" fillId="0" borderId="20" xfId="0" applyNumberFormat="1" applyFont="1" applyFill="1" applyBorder="1" applyAlignment="1" applyProtection="1">
      <alignment vertical="center"/>
    </xf>
    <xf numFmtId="3" fontId="49" fillId="0" borderId="20" xfId="0" applyNumberFormat="1" applyFont="1" applyFill="1" applyBorder="1" applyAlignment="1" applyProtection="1">
      <alignment vertical="center"/>
    </xf>
    <xf numFmtId="0" fontId="48" fillId="0" borderId="21" xfId="0" applyFont="1" applyBorder="1"/>
    <xf numFmtId="181" fontId="49" fillId="0" borderId="21" xfId="0" applyNumberFormat="1" applyFont="1" applyFill="1" applyBorder="1" applyAlignment="1" applyProtection="1">
      <alignment vertical="center"/>
    </xf>
    <xf numFmtId="3" fontId="48" fillId="0" borderId="21" xfId="0" applyNumberFormat="1" applyFont="1" applyBorder="1"/>
    <xf numFmtId="3" fontId="48" fillId="0" borderId="21" xfId="0" applyNumberFormat="1" applyFont="1" applyBorder="1" applyAlignment="1">
      <alignment vertical="center"/>
    </xf>
    <xf numFmtId="3" fontId="50" fillId="0" borderId="21" xfId="41" applyNumberFormat="1" applyFont="1" applyFill="1" applyBorder="1" applyAlignment="1">
      <alignment vertical="center"/>
    </xf>
    <xf numFmtId="3" fontId="49" fillId="0" borderId="21" xfId="0" applyNumberFormat="1" applyFont="1" applyFill="1" applyBorder="1" applyAlignment="1" applyProtection="1">
      <alignment vertical="center"/>
    </xf>
    <xf numFmtId="0" fontId="0" fillId="0" borderId="22" xfId="0" applyBorder="1"/>
    <xf numFmtId="0" fontId="8" fillId="0" borderId="0" xfId="0" applyFont="1"/>
    <xf numFmtId="3" fontId="48" fillId="0" borderId="22" xfId="0" applyNumberFormat="1" applyFont="1" applyBorder="1"/>
    <xf numFmtId="0" fontId="48" fillId="0" borderId="22" xfId="0" applyFont="1" applyBorder="1"/>
    <xf numFmtId="0" fontId="48" fillId="0" borderId="23" xfId="0" applyFont="1" applyBorder="1"/>
    <xf numFmtId="0" fontId="48" fillId="0" borderId="0" xfId="0" applyFont="1"/>
    <xf numFmtId="0" fontId="47" fillId="24" borderId="21" xfId="0" applyFont="1" applyFill="1" applyBorder="1" applyAlignment="1">
      <alignment horizontal="center" vertical="top" wrapText="1"/>
    </xf>
    <xf numFmtId="0" fontId="47" fillId="24" borderId="22" xfId="0" applyFont="1" applyFill="1" applyBorder="1" applyAlignment="1">
      <alignment horizontal="center"/>
    </xf>
    <xf numFmtId="0" fontId="47" fillId="24" borderId="22" xfId="0" applyFont="1" applyFill="1" applyBorder="1" applyAlignment="1">
      <alignment horizontal="centerContinuous"/>
    </xf>
    <xf numFmtId="0" fontId="47" fillId="24" borderId="23" xfId="0" applyFont="1" applyFill="1" applyBorder="1" applyAlignment="1">
      <alignment horizontal="center"/>
    </xf>
    <xf numFmtId="0" fontId="47" fillId="24" borderId="22" xfId="0" applyFont="1" applyFill="1" applyBorder="1" applyAlignment="1">
      <alignment horizontal="center" wrapText="1"/>
    </xf>
    <xf numFmtId="0" fontId="13" fillId="0" borderId="18" xfId="0" quotePrefix="1" applyFont="1" applyBorder="1" applyAlignment="1">
      <alignment horizontal="right"/>
    </xf>
    <xf numFmtId="165" fontId="6" fillId="24" borderId="14" xfId="0" applyNumberFormat="1" applyFont="1" applyFill="1" applyBorder="1" applyAlignment="1" applyProtection="1">
      <alignment vertical="center"/>
    </xf>
    <xf numFmtId="165" fontId="6" fillId="24" borderId="13" xfId="0" applyNumberFormat="1" applyFont="1" applyFill="1" applyBorder="1" applyAlignment="1" applyProtection="1">
      <alignment vertical="center"/>
    </xf>
    <xf numFmtId="174" fontId="6" fillId="24" borderId="14" xfId="0" applyNumberFormat="1" applyFont="1" applyFill="1" applyBorder="1" applyAlignment="1" applyProtection="1">
      <alignment vertical="center"/>
    </xf>
    <xf numFmtId="171" fontId="6" fillId="24" borderId="14" xfId="0" applyNumberFormat="1" applyFont="1" applyFill="1" applyBorder="1" applyAlignment="1" applyProtection="1">
      <alignment vertical="center"/>
    </xf>
    <xf numFmtId="174" fontId="6" fillId="24" borderId="13" xfId="0" applyNumberFormat="1" applyFont="1" applyFill="1" applyBorder="1" applyAlignment="1" applyProtection="1">
      <alignment vertical="center"/>
    </xf>
    <xf numFmtId="171" fontId="6" fillId="24" borderId="13" xfId="0" applyNumberFormat="1" applyFont="1" applyFill="1" applyBorder="1" applyAlignment="1" applyProtection="1">
      <alignment vertical="center"/>
    </xf>
    <xf numFmtId="9" fontId="20" fillId="24" borderId="15" xfId="46" applyFont="1" applyFill="1" applyBorder="1"/>
    <xf numFmtId="9" fontId="20" fillId="24" borderId="13" xfId="46" applyFont="1" applyFill="1" applyBorder="1"/>
    <xf numFmtId="9" fontId="20" fillId="24" borderId="16" xfId="46" applyFont="1" applyFill="1" applyBorder="1"/>
    <xf numFmtId="9" fontId="7" fillId="24" borderId="16" xfId="46" applyFont="1" applyFill="1" applyBorder="1"/>
    <xf numFmtId="9" fontId="21" fillId="24" borderId="16" xfId="46" applyFont="1" applyFill="1" applyBorder="1"/>
    <xf numFmtId="0" fontId="6" fillId="24" borderId="14" xfId="0" applyFont="1" applyFill="1" applyBorder="1" applyAlignment="1" applyProtection="1">
      <alignment horizontal="left" vertical="center"/>
      <protection locked="0"/>
    </xf>
    <xf numFmtId="0" fontId="6" fillId="26" borderId="13" xfId="0" applyFont="1" applyFill="1" applyBorder="1" applyProtection="1">
      <protection locked="0"/>
    </xf>
    <xf numFmtId="0" fontId="6" fillId="26" borderId="13" xfId="0" applyFont="1" applyFill="1" applyBorder="1" applyAlignment="1" applyProtection="1">
      <alignment horizontal="left"/>
      <protection locked="0"/>
    </xf>
    <xf numFmtId="0" fontId="0" fillId="27" borderId="0" xfId="0" applyFill="1"/>
    <xf numFmtId="0" fontId="0" fillId="25" borderId="0" xfId="0" applyFill="1"/>
    <xf numFmtId="0" fontId="0" fillId="25" borderId="0" xfId="0" applyFill="1" applyBorder="1"/>
    <xf numFmtId="0" fontId="5" fillId="27" borderId="0" xfId="0" applyFont="1" applyFill="1" applyAlignment="1">
      <alignment vertical="center"/>
    </xf>
    <xf numFmtId="0" fontId="0" fillId="0" borderId="0" xfId="0" applyAlignment="1">
      <alignment vertical="center"/>
    </xf>
    <xf numFmtId="0" fontId="1" fillId="27" borderId="0" xfId="0" applyFont="1" applyFill="1" applyAlignment="1">
      <alignment vertical="center"/>
    </xf>
    <xf numFmtId="0" fontId="53" fillId="28" borderId="0" xfId="0" applyFont="1" applyFill="1" applyAlignment="1">
      <alignment vertical="center"/>
    </xf>
    <xf numFmtId="0" fontId="1" fillId="28" borderId="0" xfId="0" applyFont="1" applyFill="1" applyAlignment="1">
      <alignment vertical="center"/>
    </xf>
    <xf numFmtId="0" fontId="1" fillId="0" borderId="0" xfId="0" applyFont="1" applyAlignment="1">
      <alignment vertical="center"/>
    </xf>
    <xf numFmtId="0" fontId="6" fillId="27" borderId="0" xfId="0" applyFont="1" applyFill="1" applyAlignment="1">
      <alignment vertical="center"/>
    </xf>
    <xf numFmtId="0" fontId="18" fillId="0" borderId="0" xfId="0" applyFont="1" applyAlignment="1">
      <alignment vertical="center"/>
    </xf>
    <xf numFmtId="0" fontId="21" fillId="27" borderId="0" xfId="0" applyFont="1" applyFill="1"/>
    <xf numFmtId="0" fontId="52" fillId="29" borderId="21" xfId="0" applyFont="1" applyFill="1" applyBorder="1" applyAlignment="1">
      <alignment wrapText="1"/>
    </xf>
    <xf numFmtId="0" fontId="20" fillId="27" borderId="0" xfId="0" applyFont="1" applyFill="1"/>
    <xf numFmtId="0" fontId="5" fillId="30" borderId="21" xfId="0" applyFont="1" applyFill="1" applyBorder="1" applyAlignment="1">
      <alignment wrapText="1"/>
    </xf>
    <xf numFmtId="0" fontId="5" fillId="25" borderId="21" xfId="0" applyFont="1" applyFill="1" applyBorder="1" applyAlignment="1">
      <alignment wrapText="1"/>
    </xf>
    <xf numFmtId="0" fontId="5" fillId="0" borderId="21" xfId="0" applyFont="1" applyBorder="1" applyAlignment="1" applyProtection="1">
      <alignment wrapText="1"/>
      <protection locked="0"/>
    </xf>
    <xf numFmtId="0" fontId="5" fillId="0" borderId="21" xfId="0" applyFont="1" applyFill="1" applyBorder="1" applyAlignment="1" applyProtection="1">
      <alignment wrapText="1"/>
      <protection locked="0"/>
    </xf>
    <xf numFmtId="0" fontId="5" fillId="27" borderId="0" xfId="0" applyFont="1" applyFill="1"/>
    <xf numFmtId="0" fontId="5" fillId="27" borderId="0" xfId="0" applyFont="1" applyFill="1" applyAlignment="1">
      <alignment wrapText="1"/>
    </xf>
    <xf numFmtId="0" fontId="5" fillId="0" borderId="0" xfId="0" applyFont="1" applyAlignment="1">
      <alignment wrapText="1"/>
    </xf>
    <xf numFmtId="0" fontId="18" fillId="0" borderId="21" xfId="43" applyBorder="1"/>
    <xf numFmtId="0" fontId="18" fillId="0" borderId="21" xfId="43" applyBorder="1" applyAlignment="1">
      <alignment horizontal="center"/>
    </xf>
    <xf numFmtId="9" fontId="18" fillId="0" borderId="21" xfId="46" applyFont="1" applyBorder="1" applyAlignment="1">
      <alignment horizontal="left"/>
    </xf>
    <xf numFmtId="0" fontId="18" fillId="0" borderId="21" xfId="0" applyFont="1" applyBorder="1" applyAlignment="1">
      <alignment horizontal="center"/>
    </xf>
    <xf numFmtId="0" fontId="56" fillId="27" borderId="0" xfId="0" applyFont="1" applyFill="1" applyAlignment="1">
      <alignment horizontal="left" vertical="center"/>
    </xf>
    <xf numFmtId="0" fontId="57" fillId="27" borderId="0" xfId="0" applyFont="1" applyFill="1" applyAlignment="1">
      <alignment vertical="center"/>
    </xf>
    <xf numFmtId="0" fontId="58" fillId="27" borderId="0" xfId="35" applyFont="1" applyFill="1" applyAlignment="1" applyProtection="1">
      <alignment horizontal="center" vertical="center"/>
    </xf>
    <xf numFmtId="0" fontId="55" fillId="27" borderId="0" xfId="0" applyFont="1" applyFill="1" applyAlignment="1">
      <alignment horizontal="left" vertical="center"/>
    </xf>
    <xf numFmtId="0" fontId="18" fillId="28" borderId="0" xfId="0" applyFont="1" applyFill="1" applyAlignment="1">
      <alignment vertical="center"/>
    </xf>
    <xf numFmtId="0" fontId="55" fillId="28" borderId="0" xfId="0" applyFont="1" applyFill="1" applyAlignment="1">
      <alignment horizontal="left" vertical="center"/>
    </xf>
    <xf numFmtId="0" fontId="59" fillId="28" borderId="0" xfId="35" applyFont="1" applyFill="1" applyAlignment="1" applyProtection="1">
      <alignment horizontal="center" vertical="center"/>
    </xf>
    <xf numFmtId="0" fontId="18" fillId="27" borderId="0" xfId="0" applyFont="1" applyFill="1" applyAlignment="1">
      <alignment vertical="center"/>
    </xf>
    <xf numFmtId="0" fontId="18" fillId="28" borderId="0" xfId="0" applyFont="1" applyFill="1"/>
    <xf numFmtId="0" fontId="3" fillId="28" borderId="0" xfId="0" applyFont="1" applyFill="1"/>
    <xf numFmtId="0" fontId="60" fillId="28" borderId="0" xfId="0" applyFont="1" applyFill="1"/>
    <xf numFmtId="0" fontId="3" fillId="28" borderId="0" xfId="0" applyFont="1" applyFill="1" applyAlignment="1">
      <alignment horizontal="right"/>
    </xf>
    <xf numFmtId="0" fontId="7" fillId="28" borderId="0" xfId="0" applyFont="1" applyFill="1" applyAlignment="1">
      <alignment horizontal="right"/>
    </xf>
    <xf numFmtId="0" fontId="18" fillId="28" borderId="0" xfId="0" applyFont="1" applyFill="1" applyAlignment="1">
      <alignment horizontal="right"/>
    </xf>
    <xf numFmtId="0" fontId="18" fillId="28" borderId="0" xfId="0" applyFont="1" applyFill="1" applyBorder="1"/>
    <xf numFmtId="0" fontId="57" fillId="0" borderId="0" xfId="0" applyFont="1"/>
    <xf numFmtId="0" fontId="6" fillId="28" borderId="0" xfId="0" quotePrefix="1" applyFont="1" applyFill="1" applyAlignment="1">
      <alignment horizontal="left" vertical="center"/>
    </xf>
    <xf numFmtId="0" fontId="5" fillId="0" borderId="21" xfId="0" quotePrefix="1" applyFont="1" applyFill="1" applyBorder="1" applyAlignment="1" applyProtection="1">
      <alignment wrapText="1"/>
      <protection locked="0"/>
    </xf>
    <xf numFmtId="0" fontId="61" fillId="0" borderId="0" xfId="0" applyFont="1" applyFill="1" applyBorder="1" applyAlignment="1" applyProtection="1">
      <alignment horizontal="centerContinuous" vertical="center"/>
      <protection locked="0"/>
    </xf>
    <xf numFmtId="0" fontId="62" fillId="0" borderId="0" xfId="0" applyFont="1" applyFill="1" applyBorder="1" applyAlignment="1" applyProtection="1">
      <alignment horizontal="centerContinuous"/>
      <protection locked="0"/>
    </xf>
    <xf numFmtId="0" fontId="63" fillId="0" borderId="0" xfId="0" applyFont="1" applyBorder="1" applyProtection="1">
      <protection locked="0"/>
    </xf>
    <xf numFmtId="0" fontId="61" fillId="0" borderId="0" xfId="0" applyFont="1" applyBorder="1" applyProtection="1">
      <protection locked="0"/>
    </xf>
    <xf numFmtId="0" fontId="61" fillId="0" borderId="0" xfId="0" applyFont="1" applyProtection="1">
      <protection locked="0"/>
    </xf>
    <xf numFmtId="0" fontId="10" fillId="0" borderId="14" xfId="0" applyFont="1" applyBorder="1" applyAlignment="1" applyProtection="1">
      <protection locked="0"/>
    </xf>
    <xf numFmtId="0" fontId="10" fillId="0" borderId="14" xfId="0" applyFont="1" applyBorder="1" applyAlignment="1" applyProtection="1">
      <alignment horizontal="left"/>
      <protection locked="0"/>
    </xf>
    <xf numFmtId="0" fontId="10" fillId="0" borderId="14" xfId="0" applyFont="1" applyBorder="1" applyAlignment="1" applyProtection="1">
      <alignment horizontal="center" vertical="center"/>
      <protection locked="0"/>
    </xf>
    <xf numFmtId="168" fontId="10" fillId="0" borderId="14" xfId="0" applyNumberFormat="1" applyFont="1" applyBorder="1" applyAlignment="1" applyProtection="1">
      <alignment horizontal="center" vertical="center"/>
      <protection locked="0"/>
    </xf>
    <xf numFmtId="168" fontId="10" fillId="0" borderId="14" xfId="0" applyNumberFormat="1" applyFont="1" applyFill="1" applyBorder="1" applyAlignment="1" applyProtection="1">
      <alignment horizontal="center" vertical="center"/>
      <protection locked="0"/>
    </xf>
    <xf numFmtId="0" fontId="10" fillId="0" borderId="14" xfId="0" applyFont="1" applyBorder="1" applyAlignment="1" applyProtection="1">
      <alignment horizontal="left" vertical="center"/>
      <protection locked="0"/>
    </xf>
    <xf numFmtId="15" fontId="10" fillId="0" borderId="14" xfId="0" applyNumberFormat="1" applyFont="1" applyBorder="1" applyAlignment="1" applyProtection="1">
      <alignment vertical="center"/>
      <protection locked="0"/>
    </xf>
    <xf numFmtId="0" fontId="18" fillId="0" borderId="21" xfId="43" applyFont="1" applyBorder="1"/>
    <xf numFmtId="2" fontId="5" fillId="31" borderId="0" xfId="0" applyNumberFormat="1" applyFont="1" applyFill="1"/>
    <xf numFmtId="41" fontId="5" fillId="25" borderId="14" xfId="0" applyNumberFormat="1" applyFont="1" applyFill="1" applyBorder="1"/>
    <xf numFmtId="0" fontId="5" fillId="0" borderId="0" xfId="0" applyFont="1" applyBorder="1"/>
    <xf numFmtId="41" fontId="5" fillId="0" borderId="0" xfId="0" applyNumberFormat="1" applyFont="1" applyBorder="1"/>
    <xf numFmtId="0" fontId="7" fillId="0" borderId="0" xfId="0" applyFont="1" applyFill="1" applyBorder="1" applyAlignment="1" applyProtection="1">
      <alignment horizontal="centerContinuous" vertical="center"/>
      <protection locked="0"/>
    </xf>
    <xf numFmtId="0" fontId="6" fillId="0" borderId="0" xfId="0" applyFont="1" applyFill="1" applyBorder="1" applyAlignment="1" applyProtection="1">
      <alignment horizontal="centerContinuous"/>
      <protection locked="0"/>
    </xf>
    <xf numFmtId="0" fontId="5" fillId="0" borderId="0" xfId="0" applyFont="1" applyFill="1" applyAlignment="1" applyProtection="1">
      <alignment wrapText="1"/>
      <protection locked="0"/>
    </xf>
    <xf numFmtId="0" fontId="55" fillId="29" borderId="0" xfId="0" applyFont="1" applyFill="1" applyBorder="1" applyAlignment="1">
      <alignment horizontal="centerContinuous"/>
    </xf>
    <xf numFmtId="0" fontId="28" fillId="25" borderId="0" xfId="35" applyFont="1" applyFill="1" applyBorder="1" applyAlignment="1" applyProtection="1">
      <alignment horizontal="right"/>
    </xf>
    <xf numFmtId="0" fontId="2" fillId="25" borderId="0" xfId="35" applyFill="1" applyBorder="1" applyAlignment="1" applyProtection="1">
      <alignment horizontal="right"/>
    </xf>
    <xf numFmtId="0" fontId="5" fillId="30" borderId="21" xfId="0" applyFont="1" applyFill="1" applyBorder="1" applyAlignment="1" applyProtection="1">
      <alignment wrapText="1"/>
      <protection locked="0"/>
    </xf>
    <xf numFmtId="0" fontId="65" fillId="30" borderId="21" xfId="0" applyFont="1" applyFill="1" applyBorder="1" applyAlignment="1" applyProtection="1">
      <alignment wrapText="1"/>
      <protection locked="0"/>
    </xf>
    <xf numFmtId="0" fontId="65" fillId="0" borderId="21" xfId="0" applyFont="1" applyFill="1" applyBorder="1" applyAlignment="1" applyProtection="1">
      <alignment wrapText="1"/>
      <protection locked="0"/>
    </xf>
    <xf numFmtId="0" fontId="2" fillId="25" borderId="0" xfId="35" applyFill="1" applyAlignment="1" applyProtection="1">
      <alignment horizontal="right"/>
    </xf>
    <xf numFmtId="0" fontId="18" fillId="0" borderId="21" xfId="43" applyFont="1" applyBorder="1" applyAlignment="1">
      <alignment horizontal="center"/>
    </xf>
    <xf numFmtId="0" fontId="7" fillId="29" borderId="12" xfId="0" applyFont="1" applyFill="1" applyBorder="1" applyAlignment="1" applyProtection="1">
      <alignment horizontal="centerContinuous"/>
    </xf>
    <xf numFmtId="0" fontId="66" fillId="29" borderId="24" xfId="0" applyFont="1" applyFill="1" applyBorder="1" applyAlignment="1">
      <alignment horizontal="centerContinuous" wrapText="1"/>
    </xf>
    <xf numFmtId="0" fontId="64" fillId="29" borderId="25" xfId="0" applyFont="1" applyFill="1" applyBorder="1" applyAlignment="1" applyProtection="1">
      <alignment horizontal="centerContinuous"/>
    </xf>
    <xf numFmtId="0" fontId="64" fillId="29" borderId="26" xfId="0" applyFont="1" applyFill="1" applyBorder="1" applyAlignment="1" applyProtection="1">
      <alignment horizontal="centerContinuous"/>
    </xf>
    <xf numFmtId="0" fontId="64" fillId="29" borderId="27" xfId="0" applyFont="1" applyFill="1" applyBorder="1" applyAlignment="1" applyProtection="1">
      <alignment horizontal="centerContinuous"/>
    </xf>
    <xf numFmtId="0" fontId="66" fillId="29" borderId="23" xfId="0" applyFont="1" applyFill="1" applyBorder="1" applyAlignment="1" applyProtection="1">
      <alignment horizontal="centerContinuous"/>
    </xf>
    <xf numFmtId="0" fontId="66" fillId="29" borderId="18" xfId="0" applyFont="1" applyFill="1" applyBorder="1" applyAlignment="1" applyProtection="1">
      <alignment horizontal="centerContinuous"/>
    </xf>
    <xf numFmtId="0" fontId="66" fillId="29" borderId="12" xfId="0" applyFont="1" applyFill="1" applyBorder="1" applyAlignment="1" applyProtection="1">
      <alignment horizontal="centerContinuous"/>
    </xf>
    <xf numFmtId="0" fontId="66" fillId="29" borderId="28" xfId="0" applyFont="1" applyFill="1" applyBorder="1" applyAlignment="1" applyProtection="1">
      <alignment horizontal="centerContinuous"/>
    </xf>
    <xf numFmtId="0" fontId="55" fillId="29" borderId="26" xfId="0" applyFont="1" applyFill="1" applyBorder="1" applyAlignment="1" applyProtection="1">
      <alignment horizontal="centerContinuous"/>
    </xf>
    <xf numFmtId="0" fontId="55" fillId="29" borderId="29" xfId="0" applyFont="1" applyFill="1" applyBorder="1" applyAlignment="1" applyProtection="1">
      <alignment horizontal="centerContinuous"/>
    </xf>
    <xf numFmtId="0" fontId="55" fillId="29" borderId="30" xfId="0" applyFont="1" applyFill="1" applyBorder="1" applyAlignment="1" applyProtection="1">
      <alignment horizontal="centerContinuous"/>
    </xf>
    <xf numFmtId="0" fontId="55" fillId="29" borderId="19" xfId="0" applyFont="1" applyFill="1" applyBorder="1" applyAlignment="1" applyProtection="1">
      <alignment horizontal="centerContinuous"/>
    </xf>
    <xf numFmtId="0" fontId="55" fillId="29" borderId="31" xfId="0" applyFont="1" applyFill="1" applyBorder="1" applyAlignment="1" applyProtection="1">
      <alignment horizontal="centerContinuous"/>
    </xf>
    <xf numFmtId="0" fontId="68" fillId="29" borderId="26" xfId="0" applyFont="1" applyFill="1" applyBorder="1" applyAlignment="1">
      <alignment horizontal="centerContinuous"/>
    </xf>
    <xf numFmtId="0" fontId="68" fillId="29" borderId="29" xfId="0" applyFont="1" applyFill="1" applyBorder="1" applyAlignment="1">
      <alignment horizontal="centerContinuous"/>
    </xf>
    <xf numFmtId="0" fontId="66" fillId="29" borderId="18" xfId="0" applyFont="1" applyFill="1" applyBorder="1" applyAlignment="1">
      <alignment horizontal="centerContinuous"/>
    </xf>
    <xf numFmtId="0" fontId="66" fillId="29" borderId="0" xfId="0" applyFont="1" applyFill="1" applyBorder="1" applyAlignment="1">
      <alignment horizontal="centerContinuous"/>
    </xf>
    <xf numFmtId="0" fontId="55" fillId="29" borderId="12" xfId="0" applyFont="1" applyFill="1" applyBorder="1" applyAlignment="1">
      <alignment horizontal="centerContinuous"/>
    </xf>
    <xf numFmtId="0" fontId="66" fillId="29" borderId="28" xfId="0" applyFont="1" applyFill="1" applyBorder="1" applyAlignment="1">
      <alignment horizontal="centerContinuous"/>
    </xf>
    <xf numFmtId="0" fontId="66" fillId="29" borderId="26" xfId="0" applyFont="1" applyFill="1" applyBorder="1" applyAlignment="1">
      <alignment horizontal="centerContinuous"/>
    </xf>
    <xf numFmtId="0" fontId="66" fillId="29" borderId="12" xfId="0" applyFont="1" applyFill="1" applyBorder="1" applyAlignment="1">
      <alignment horizontal="centerContinuous"/>
    </xf>
    <xf numFmtId="0" fontId="66" fillId="29" borderId="29" xfId="0" applyFont="1" applyFill="1" applyBorder="1" applyAlignment="1">
      <alignment horizontal="centerContinuous"/>
    </xf>
    <xf numFmtId="0" fontId="68" fillId="29" borderId="26" xfId="0" applyFont="1" applyFill="1" applyBorder="1" applyAlignment="1" applyProtection="1">
      <alignment horizontal="centerContinuous"/>
    </xf>
    <xf numFmtId="0" fontId="66" fillId="29" borderId="0" xfId="0" applyFont="1" applyFill="1" applyBorder="1" applyAlignment="1" applyProtection="1">
      <alignment horizontal="centerContinuous"/>
    </xf>
    <xf numFmtId="0" fontId="19" fillId="29" borderId="29" xfId="0" applyFont="1" applyFill="1" applyBorder="1" applyAlignment="1" applyProtection="1">
      <alignment horizontal="centerContinuous"/>
    </xf>
    <xf numFmtId="0" fontId="57" fillId="28" borderId="0" xfId="0" applyFont="1" applyFill="1" applyAlignment="1">
      <alignment vertical="center"/>
    </xf>
    <xf numFmtId="0" fontId="23" fillId="29" borderId="18" xfId="0" applyFont="1" applyFill="1" applyBorder="1" applyAlignment="1">
      <alignment horizontal="centerContinuous"/>
    </xf>
    <xf numFmtId="0" fontId="18" fillId="28" borderId="0" xfId="0" applyFont="1" applyFill="1" applyProtection="1">
      <protection locked="0"/>
    </xf>
    <xf numFmtId="0" fontId="23" fillId="29" borderId="21" xfId="0" applyFont="1" applyFill="1" applyBorder="1" applyAlignment="1">
      <alignment horizontal="center" wrapText="1"/>
    </xf>
    <xf numFmtId="0" fontId="23" fillId="29" borderId="21" xfId="0" applyFont="1" applyFill="1" applyBorder="1" applyAlignment="1">
      <alignment horizontal="center" textRotation="90" wrapText="1"/>
    </xf>
    <xf numFmtId="0" fontId="71" fillId="28" borderId="0" xfId="0" applyFont="1" applyFill="1" applyBorder="1" applyAlignment="1" applyProtection="1">
      <alignment horizontal="centerContinuous" vertical="center"/>
      <protection locked="0"/>
    </xf>
    <xf numFmtId="0" fontId="72" fillId="28" borderId="0" xfId="0" applyFont="1" applyFill="1" applyBorder="1" applyAlignment="1" applyProtection="1">
      <alignment horizontal="centerContinuous"/>
      <protection locked="0"/>
    </xf>
    <xf numFmtId="0" fontId="71" fillId="0" borderId="0" xfId="0" applyFont="1" applyBorder="1" applyProtection="1">
      <protection locked="0"/>
    </xf>
    <xf numFmtId="0" fontId="71" fillId="0" borderId="0" xfId="0" applyFont="1" applyProtection="1">
      <protection locked="0"/>
    </xf>
    <xf numFmtId="0" fontId="71" fillId="32" borderId="0" xfId="0" applyFont="1" applyFill="1" applyBorder="1" applyAlignment="1" applyProtection="1">
      <alignment horizontal="centerContinuous" vertical="center"/>
      <protection locked="0"/>
    </xf>
    <xf numFmtId="0" fontId="23" fillId="29" borderId="21" xfId="0" applyFont="1" applyFill="1" applyBorder="1" applyAlignment="1">
      <alignment horizontal="left" wrapText="1"/>
    </xf>
    <xf numFmtId="0" fontId="72" fillId="27" borderId="0" xfId="0" applyFont="1" applyFill="1" applyBorder="1" applyAlignment="1" applyProtection="1">
      <alignment horizontal="centerContinuous"/>
      <protection locked="0"/>
    </xf>
    <xf numFmtId="0" fontId="18" fillId="27" borderId="0" xfId="0" applyFont="1" applyFill="1" applyBorder="1" applyProtection="1">
      <protection locked="0"/>
    </xf>
    <xf numFmtId="15" fontId="10" fillId="0" borderId="15" xfId="0" applyNumberFormat="1" applyFont="1" applyBorder="1" applyAlignment="1" applyProtection="1">
      <alignment vertical="center"/>
      <protection locked="0"/>
    </xf>
    <xf numFmtId="0" fontId="6" fillId="0" borderId="15" xfId="0" applyFont="1" applyBorder="1" applyProtection="1">
      <protection locked="0"/>
    </xf>
    <xf numFmtId="0" fontId="6" fillId="0" borderId="13" xfId="0" applyFont="1" applyBorder="1" applyProtection="1">
      <protection locked="0"/>
    </xf>
    <xf numFmtId="0" fontId="55" fillId="29" borderId="22" xfId="0" applyFont="1" applyFill="1" applyBorder="1" applyAlignment="1">
      <alignment horizontal="center" wrapText="1"/>
    </xf>
    <xf numFmtId="0" fontId="60" fillId="29" borderId="20" xfId="0" applyFont="1" applyFill="1" applyBorder="1" applyAlignment="1">
      <alignment horizontal="center" wrapText="1"/>
    </xf>
    <xf numFmtId="0" fontId="14" fillId="27" borderId="0" xfId="0" applyFont="1" applyFill="1"/>
    <xf numFmtId="0" fontId="23" fillId="29" borderId="32" xfId="0" applyFont="1" applyFill="1" applyBorder="1" applyAlignment="1">
      <alignment horizontal="centerContinuous" vertical="center"/>
    </xf>
    <xf numFmtId="0" fontId="23" fillId="29" borderId="33" xfId="0" applyFont="1" applyFill="1" applyBorder="1" applyAlignment="1">
      <alignment horizontal="centerContinuous" vertical="center"/>
    </xf>
    <xf numFmtId="0" fontId="23" fillId="29" borderId="22" xfId="0" applyFont="1" applyFill="1" applyBorder="1" applyAlignment="1">
      <alignment horizontal="center" vertical="center"/>
    </xf>
    <xf numFmtId="0" fontId="23" fillId="29" borderId="10" xfId="0" applyFont="1" applyFill="1" applyBorder="1" applyAlignment="1">
      <alignment horizontal="centerContinuous" vertical="center"/>
    </xf>
    <xf numFmtId="0" fontId="23" fillId="29" borderId="17" xfId="0" applyFont="1" applyFill="1" applyBorder="1" applyAlignment="1">
      <alignment horizontal="centerContinuous" vertical="center"/>
    </xf>
    <xf numFmtId="0" fontId="23" fillId="29" borderId="11" xfId="0" applyFont="1" applyFill="1" applyBorder="1" applyAlignment="1">
      <alignment horizontal="centerContinuous" vertical="center"/>
    </xf>
    <xf numFmtId="0" fontId="23" fillId="29" borderId="32" xfId="0" applyFont="1" applyFill="1" applyBorder="1" applyAlignment="1">
      <alignment horizontal="center" vertical="center"/>
    </xf>
    <xf numFmtId="0" fontId="23" fillId="29" borderId="21" xfId="0" applyFont="1" applyFill="1" applyBorder="1" applyAlignment="1">
      <alignment horizontal="center" vertical="center"/>
    </xf>
    <xf numFmtId="0" fontId="23" fillId="29" borderId="20" xfId="0" applyFont="1" applyFill="1" applyBorder="1" applyAlignment="1">
      <alignment horizontal="center" textRotation="90" wrapText="1"/>
    </xf>
    <xf numFmtId="0" fontId="23" fillId="29" borderId="31" xfId="0" applyFont="1" applyFill="1" applyBorder="1" applyAlignment="1">
      <alignment horizontal="center" textRotation="90" wrapText="1"/>
    </xf>
    <xf numFmtId="0" fontId="23" fillId="29" borderId="12" xfId="0" applyFont="1" applyFill="1" applyBorder="1" applyAlignment="1">
      <alignment horizontal="center" textRotation="90" wrapText="1"/>
    </xf>
    <xf numFmtId="0" fontId="23" fillId="29" borderId="20" xfId="0" applyFont="1" applyFill="1" applyBorder="1" applyAlignment="1">
      <alignment horizontal="center"/>
    </xf>
    <xf numFmtId="0" fontId="23" fillId="29" borderId="20" xfId="0" applyFont="1" applyFill="1" applyBorder="1" applyAlignment="1">
      <alignment horizontal="center" wrapText="1"/>
    </xf>
    <xf numFmtId="0" fontId="23" fillId="29" borderId="32" xfId="0" applyFont="1" applyFill="1" applyBorder="1" applyAlignment="1">
      <alignment horizontal="centerContinuous"/>
    </xf>
    <xf numFmtId="0" fontId="23" fillId="29" borderId="34" xfId="0" applyFont="1" applyFill="1" applyBorder="1" applyAlignment="1">
      <alignment horizontal="centerContinuous"/>
    </xf>
    <xf numFmtId="0" fontId="23" fillId="29" borderId="17" xfId="0" applyFont="1" applyFill="1" applyBorder="1" applyAlignment="1">
      <alignment horizontal="centerContinuous"/>
    </xf>
    <xf numFmtId="0" fontId="23" fillId="29" borderId="11" xfId="0" applyFont="1" applyFill="1" applyBorder="1" applyAlignment="1">
      <alignment horizontal="centerContinuous"/>
    </xf>
    <xf numFmtId="0" fontId="23" fillId="29" borderId="17" xfId="0" applyFont="1" applyFill="1" applyBorder="1" applyAlignment="1">
      <alignment horizontal="center" vertical="center"/>
    </xf>
    <xf numFmtId="0" fontId="23" fillId="29" borderId="34" xfId="0" applyFont="1" applyFill="1" applyBorder="1" applyAlignment="1">
      <alignment horizontal="centerContinuous" vertical="center"/>
    </xf>
    <xf numFmtId="0" fontId="69" fillId="29" borderId="34" xfId="0" applyFont="1" applyFill="1" applyBorder="1" applyAlignment="1">
      <alignment horizontal="centerContinuous" vertical="center"/>
    </xf>
    <xf numFmtId="0" fontId="23" fillId="29" borderId="23" xfId="0" applyFont="1" applyFill="1" applyBorder="1" applyAlignment="1">
      <alignment horizontal="center" textRotation="90" wrapText="1"/>
    </xf>
    <xf numFmtId="0" fontId="23" fillId="29" borderId="23" xfId="0" applyFont="1" applyFill="1" applyBorder="1" applyAlignment="1">
      <alignment horizontal="center" wrapText="1"/>
    </xf>
    <xf numFmtId="0" fontId="23" fillId="29" borderId="23" xfId="0" applyFont="1" applyFill="1" applyBorder="1" applyAlignment="1">
      <alignment horizontal="center"/>
    </xf>
    <xf numFmtId="0" fontId="23" fillId="29" borderId="22" xfId="0" applyFont="1" applyFill="1" applyBorder="1" applyAlignment="1">
      <alignment horizontal="center" textRotation="90" wrapText="1"/>
    </xf>
    <xf numFmtId="180" fontId="23" fillId="29" borderId="22" xfId="0" applyNumberFormat="1" applyFont="1" applyFill="1" applyBorder="1" applyAlignment="1">
      <alignment horizontal="centerContinuous" vertical="center"/>
    </xf>
    <xf numFmtId="180" fontId="23" fillId="29" borderId="22" xfId="0" applyNumberFormat="1" applyFont="1" applyFill="1" applyBorder="1" applyAlignment="1">
      <alignment horizontal="center" vertical="center"/>
    </xf>
    <xf numFmtId="0" fontId="23" fillId="29" borderId="20" xfId="0" applyFont="1" applyFill="1" applyBorder="1" applyAlignment="1">
      <alignment horizontal="center" vertical="center"/>
    </xf>
    <xf numFmtId="180" fontId="23" fillId="29" borderId="20" xfId="0" applyNumberFormat="1" applyFont="1" applyFill="1" applyBorder="1" applyAlignment="1">
      <alignment horizontal="center" vertical="center"/>
    </xf>
    <xf numFmtId="0" fontId="23" fillId="29" borderId="30" xfId="0" applyFont="1" applyFill="1" applyBorder="1" applyAlignment="1">
      <alignment horizontal="center" vertical="center"/>
    </xf>
    <xf numFmtId="0" fontId="23" fillId="29" borderId="20" xfId="0" quotePrefix="1" applyFont="1" applyFill="1" applyBorder="1" applyAlignment="1">
      <alignment horizontal="center" vertical="center"/>
    </xf>
    <xf numFmtId="0" fontId="7" fillId="28" borderId="0" xfId="0" applyFont="1" applyFill="1"/>
    <xf numFmtId="0" fontId="11" fillId="0" borderId="0" xfId="0" applyFont="1" applyBorder="1"/>
    <xf numFmtId="0" fontId="75" fillId="28" borderId="0" xfId="0" applyFont="1" applyFill="1"/>
    <xf numFmtId="0" fontId="6" fillId="28" borderId="0" xfId="0" applyFont="1" applyFill="1" applyAlignment="1">
      <alignment horizontal="left"/>
    </xf>
    <xf numFmtId="180" fontId="6" fillId="28" borderId="0" xfId="0" applyNumberFormat="1" applyFont="1" applyFill="1"/>
    <xf numFmtId="0" fontId="6" fillId="28" borderId="0" xfId="0" applyFont="1" applyFill="1" applyBorder="1"/>
    <xf numFmtId="0" fontId="6" fillId="25" borderId="21" xfId="0" applyFont="1" applyFill="1" applyBorder="1"/>
    <xf numFmtId="175" fontId="6" fillId="28" borderId="0" xfId="0" applyNumberFormat="1" applyFont="1" applyFill="1"/>
    <xf numFmtId="0" fontId="0" fillId="27" borderId="0" xfId="0" applyFill="1" applyProtection="1"/>
    <xf numFmtId="0" fontId="54" fillId="29" borderId="32" xfId="0" applyFont="1" applyFill="1" applyBorder="1" applyProtection="1"/>
    <xf numFmtId="15" fontId="0" fillId="29" borderId="33" xfId="0" applyNumberFormat="1" applyFill="1" applyBorder="1" applyAlignment="1" applyProtection="1">
      <alignment horizontal="center"/>
    </xf>
    <xf numFmtId="0" fontId="0" fillId="29" borderId="33" xfId="0" applyFill="1" applyBorder="1" applyAlignment="1" applyProtection="1">
      <alignment wrapText="1"/>
    </xf>
    <xf numFmtId="0" fontId="70" fillId="29" borderId="34" xfId="35" applyFont="1" applyFill="1" applyBorder="1" applyAlignment="1" applyProtection="1">
      <alignment wrapText="1"/>
    </xf>
    <xf numFmtId="15" fontId="0" fillId="27" borderId="0" xfId="0" applyNumberFormat="1" applyFill="1" applyAlignment="1" applyProtection="1">
      <alignment horizontal="center"/>
    </xf>
    <xf numFmtId="0" fontId="0" fillId="27" borderId="0" xfId="0" applyFill="1" applyAlignment="1" applyProtection="1">
      <alignment wrapText="1"/>
    </xf>
    <xf numFmtId="0" fontId="27" fillId="29" borderId="21" xfId="0" applyFont="1" applyFill="1" applyBorder="1" applyProtection="1"/>
    <xf numFmtId="15" fontId="27" fillId="29" borderId="21" xfId="0" applyNumberFormat="1" applyFont="1" applyFill="1" applyBorder="1" applyAlignment="1" applyProtection="1">
      <alignment horizontal="center"/>
    </xf>
    <xf numFmtId="0" fontId="27" fillId="29" borderId="21" xfId="0" applyFont="1" applyFill="1" applyBorder="1" applyAlignment="1" applyProtection="1">
      <alignment wrapText="1"/>
    </xf>
    <xf numFmtId="0" fontId="0" fillId="27" borderId="21" xfId="0" applyFill="1" applyBorder="1" applyAlignment="1" applyProtection="1">
      <alignment vertical="top"/>
    </xf>
    <xf numFmtId="15" fontId="0" fillId="27" borderId="21" xfId="0" applyNumberFormat="1" applyFill="1" applyBorder="1" applyAlignment="1" applyProtection="1">
      <alignment horizontal="center" vertical="top"/>
    </xf>
    <xf numFmtId="0" fontId="0" fillId="27" borderId="21" xfId="0" applyFill="1" applyBorder="1" applyAlignment="1" applyProtection="1">
      <alignment vertical="top" wrapText="1"/>
    </xf>
    <xf numFmtId="0" fontId="18" fillId="27" borderId="21" xfId="40" applyFont="1" applyFill="1" applyBorder="1" applyAlignment="1" applyProtection="1">
      <alignment vertical="top" wrapText="1"/>
    </xf>
    <xf numFmtId="0" fontId="18" fillId="27" borderId="21" xfId="40" applyFont="1" applyFill="1" applyBorder="1" applyAlignment="1" applyProtection="1">
      <alignment vertical="top"/>
    </xf>
    <xf numFmtId="0" fontId="18" fillId="27" borderId="21" xfId="0" applyFont="1" applyFill="1" applyBorder="1" applyAlignment="1" applyProtection="1">
      <alignment vertical="top" wrapText="1"/>
    </xf>
    <xf numFmtId="0" fontId="76" fillId="25" borderId="0" xfId="0" applyFont="1" applyFill="1" applyAlignment="1">
      <alignment horizontal="right"/>
    </xf>
    <xf numFmtId="0" fontId="23" fillId="29" borderId="23" xfId="0" quotePrefix="1" applyFont="1" applyFill="1" applyBorder="1" applyAlignment="1">
      <alignment horizontal="center" vertical="center"/>
    </xf>
    <xf numFmtId="180" fontId="23" fillId="29" borderId="31" xfId="0" applyNumberFormat="1" applyFont="1" applyFill="1" applyBorder="1" applyAlignment="1">
      <alignment horizontal="center" vertical="center"/>
    </xf>
    <xf numFmtId="0" fontId="23" fillId="29" borderId="22" xfId="0" applyFont="1" applyFill="1" applyBorder="1" applyAlignment="1">
      <alignment horizontal="left" vertical="center"/>
    </xf>
    <xf numFmtId="0" fontId="23" fillId="29" borderId="20" xfId="0" applyFont="1" applyFill="1" applyBorder="1" applyAlignment="1">
      <alignment horizontal="left" vertical="center"/>
    </xf>
    <xf numFmtId="0" fontId="23" fillId="29" borderId="11" xfId="0" applyFont="1" applyFill="1" applyBorder="1" applyAlignment="1">
      <alignment horizontal="left" vertical="center"/>
    </xf>
    <xf numFmtId="0" fontId="23" fillId="29" borderId="31" xfId="0" applyFont="1" applyFill="1" applyBorder="1" applyAlignment="1">
      <alignment horizontal="center" vertical="center"/>
    </xf>
    <xf numFmtId="180" fontId="23" fillId="29" borderId="11" xfId="0" applyNumberFormat="1" applyFont="1" applyFill="1" applyBorder="1" applyAlignment="1">
      <alignment horizontal="center" vertical="center"/>
    </xf>
    <xf numFmtId="169" fontId="23" fillId="29" borderId="23" xfId="0" quotePrefix="1" applyNumberFormat="1" applyFont="1" applyFill="1" applyBorder="1" applyAlignment="1">
      <alignment horizontal="center" vertical="center"/>
    </xf>
    <xf numFmtId="0" fontId="6" fillId="0" borderId="14" xfId="0" applyFont="1" applyBorder="1" applyAlignment="1" applyProtection="1">
      <alignment horizontal="left"/>
      <protection locked="0"/>
    </xf>
    <xf numFmtId="0" fontId="6" fillId="0" borderId="13" xfId="0" applyFont="1" applyBorder="1" applyAlignment="1" applyProtection="1">
      <alignment horizontal="left"/>
      <protection locked="0"/>
    </xf>
    <xf numFmtId="0" fontId="6" fillId="0" borderId="13" xfId="0" applyFont="1" applyBorder="1" applyAlignment="1" applyProtection="1">
      <protection locked="0"/>
    </xf>
    <xf numFmtId="180" fontId="6" fillId="0" borderId="13" xfId="0" applyNumberFormat="1" applyFont="1" applyBorder="1" applyAlignment="1" applyProtection="1">
      <alignment horizontal="center"/>
      <protection locked="0"/>
    </xf>
    <xf numFmtId="179" fontId="6" fillId="0" borderId="13" xfId="0" applyNumberFormat="1" applyFont="1" applyBorder="1" applyAlignment="1" applyProtection="1">
      <alignment horizontal="center"/>
      <protection locked="0"/>
    </xf>
    <xf numFmtId="175" fontId="6" fillId="0" borderId="13" xfId="0" applyNumberFormat="1" applyFont="1" applyBorder="1" applyAlignment="1" applyProtection="1">
      <alignment horizontal="center"/>
      <protection locked="0"/>
    </xf>
    <xf numFmtId="0" fontId="6" fillId="0" borderId="13" xfId="0" applyFont="1" applyFill="1" applyBorder="1" applyAlignment="1" applyProtection="1">
      <protection locked="0"/>
    </xf>
    <xf numFmtId="0" fontId="77" fillId="0" borderId="14" xfId="0" applyFont="1" applyBorder="1" applyAlignment="1" applyProtection="1">
      <alignment horizontal="left"/>
      <protection locked="0"/>
    </xf>
    <xf numFmtId="0" fontId="77" fillId="0" borderId="14" xfId="0" applyFont="1" applyBorder="1" applyAlignment="1" applyProtection="1">
      <protection locked="0"/>
    </xf>
    <xf numFmtId="169" fontId="77" fillId="0" borderId="14" xfId="0" applyNumberFormat="1" applyFont="1" applyBorder="1" applyAlignment="1" applyProtection="1">
      <alignment horizontal="center"/>
      <protection locked="0"/>
    </xf>
    <xf numFmtId="180" fontId="77" fillId="0" borderId="14" xfId="0" applyNumberFormat="1" applyFont="1" applyBorder="1" applyAlignment="1" applyProtection="1">
      <alignment horizontal="center"/>
      <protection locked="0"/>
    </xf>
    <xf numFmtId="169" fontId="77" fillId="0" borderId="14" xfId="0" applyNumberFormat="1" applyFont="1" applyBorder="1" applyProtection="1">
      <protection locked="0"/>
    </xf>
    <xf numFmtId="179" fontId="77" fillId="0" borderId="14" xfId="0" applyNumberFormat="1" applyFont="1" applyBorder="1" applyAlignment="1" applyProtection="1">
      <alignment horizontal="center"/>
      <protection locked="0"/>
    </xf>
    <xf numFmtId="175" fontId="77" fillId="0" borderId="14" xfId="0" applyNumberFormat="1" applyFont="1" applyBorder="1" applyAlignment="1" applyProtection="1">
      <alignment horizontal="center"/>
      <protection locked="0"/>
    </xf>
    <xf numFmtId="0" fontId="77" fillId="0" borderId="13" xfId="0" applyFont="1" applyBorder="1" applyAlignment="1" applyProtection="1">
      <alignment horizontal="left"/>
      <protection locked="0"/>
    </xf>
    <xf numFmtId="0" fontId="77" fillId="0" borderId="13" xfId="0" applyFont="1" applyBorder="1" applyAlignment="1" applyProtection="1">
      <protection locked="0"/>
    </xf>
    <xf numFmtId="169" fontId="77" fillId="0" borderId="13" xfId="0" applyNumberFormat="1" applyFont="1" applyBorder="1" applyAlignment="1" applyProtection="1">
      <alignment horizontal="center"/>
      <protection locked="0"/>
    </xf>
    <xf numFmtId="180" fontId="77" fillId="0" borderId="13" xfId="0" applyNumberFormat="1" applyFont="1" applyBorder="1" applyAlignment="1" applyProtection="1">
      <alignment horizontal="center"/>
      <protection locked="0"/>
    </xf>
    <xf numFmtId="169" fontId="77" fillId="0" borderId="13" xfId="0" applyNumberFormat="1" applyFont="1" applyBorder="1" applyProtection="1">
      <protection locked="0"/>
    </xf>
    <xf numFmtId="179" fontId="77" fillId="0" borderId="13" xfId="0" applyNumberFormat="1" applyFont="1" applyBorder="1" applyAlignment="1" applyProtection="1">
      <alignment horizontal="center"/>
      <protection locked="0"/>
    </xf>
    <xf numFmtId="175" fontId="77" fillId="0" borderId="13" xfId="0" applyNumberFormat="1" applyFont="1" applyBorder="1" applyAlignment="1" applyProtection="1">
      <alignment horizontal="center"/>
      <protection locked="0"/>
    </xf>
    <xf numFmtId="0" fontId="77" fillId="0" borderId="13" xfId="0" quotePrefix="1" applyFont="1" applyBorder="1" applyAlignment="1" applyProtection="1">
      <alignment horizontal="left"/>
      <protection locked="0"/>
    </xf>
    <xf numFmtId="169" fontId="77" fillId="0" borderId="14" xfId="0" applyNumberFormat="1" applyFont="1" applyBorder="1" applyAlignment="1" applyProtection="1">
      <alignment horizontal="right"/>
      <protection locked="0"/>
    </xf>
    <xf numFmtId="169" fontId="77" fillId="0" borderId="13" xfId="0" applyNumberFormat="1" applyFont="1" applyBorder="1" applyAlignment="1" applyProtection="1">
      <alignment horizontal="right"/>
      <protection locked="0"/>
    </xf>
    <xf numFmtId="169" fontId="6" fillId="0" borderId="13" xfId="0" applyNumberFormat="1" applyFont="1" applyBorder="1" applyProtection="1">
      <protection locked="0"/>
    </xf>
    <xf numFmtId="0" fontId="6" fillId="0" borderId="13" xfId="0" quotePrefix="1" applyFont="1" applyBorder="1" applyAlignment="1" applyProtection="1">
      <alignment horizontal="left"/>
      <protection locked="0"/>
    </xf>
    <xf numFmtId="2" fontId="6" fillId="28" borderId="0" xfId="0" applyNumberFormat="1" applyFont="1" applyFill="1" applyAlignment="1">
      <alignment horizontal="right"/>
    </xf>
    <xf numFmtId="2" fontId="23" fillId="29" borderId="11" xfId="0" applyNumberFormat="1" applyFont="1" applyFill="1" applyBorder="1" applyAlignment="1">
      <alignment horizontal="right" vertical="center"/>
    </xf>
    <xf numFmtId="2" fontId="23" fillId="29" borderId="31" xfId="0" applyNumberFormat="1" applyFont="1" applyFill="1" applyBorder="1" applyAlignment="1">
      <alignment horizontal="right" vertical="center"/>
    </xf>
    <xf numFmtId="2" fontId="6" fillId="0" borderId="13" xfId="0" applyNumberFormat="1" applyFont="1" applyBorder="1" applyAlignment="1" applyProtection="1">
      <alignment horizontal="right"/>
      <protection locked="0"/>
    </xf>
    <xf numFmtId="2" fontId="11" fillId="0" borderId="0" xfId="0" applyNumberFormat="1" applyFont="1" applyBorder="1" applyAlignment="1">
      <alignment horizontal="right"/>
    </xf>
    <xf numFmtId="2" fontId="77" fillId="0" borderId="14" xfId="0" applyNumberFormat="1" applyFont="1" applyBorder="1" applyAlignment="1" applyProtection="1">
      <alignment horizontal="right"/>
      <protection locked="0"/>
    </xf>
    <xf numFmtId="2" fontId="15" fillId="0" borderId="0" xfId="0" applyNumberFormat="1" applyFont="1" applyAlignment="1">
      <alignment horizontal="right"/>
    </xf>
    <xf numFmtId="2" fontId="77" fillId="0" borderId="13" xfId="0" applyNumberFormat="1" applyFont="1" applyBorder="1" applyAlignment="1" applyProtection="1">
      <alignment horizontal="right"/>
      <protection locked="0"/>
    </xf>
    <xf numFmtId="169" fontId="6" fillId="28" borderId="0" xfId="0" applyNumberFormat="1" applyFont="1" applyFill="1"/>
    <xf numFmtId="169" fontId="23" fillId="29" borderId="22" xfId="0" applyNumberFormat="1" applyFont="1" applyFill="1" applyBorder="1" applyAlignment="1">
      <alignment horizontal="center" vertical="center"/>
    </xf>
    <xf numFmtId="169" fontId="23" fillId="29" borderId="17" xfId="0" applyNumberFormat="1" applyFont="1" applyFill="1" applyBorder="1" applyAlignment="1">
      <alignment horizontal="center" vertical="center"/>
    </xf>
    <xf numFmtId="169" fontId="23" fillId="29" borderId="30" xfId="0" applyNumberFormat="1" applyFont="1" applyFill="1" applyBorder="1" applyAlignment="1">
      <alignment horizontal="center" vertical="center"/>
    </xf>
    <xf numFmtId="169" fontId="6" fillId="0" borderId="13" xfId="0" applyNumberFormat="1" applyFont="1" applyBorder="1" applyAlignment="1" applyProtection="1">
      <alignment horizontal="center"/>
      <protection locked="0"/>
    </xf>
    <xf numFmtId="169" fontId="6" fillId="0" borderId="13" xfId="0" applyNumberFormat="1" applyFont="1" applyFill="1" applyBorder="1" applyAlignment="1" applyProtection="1">
      <alignment horizontal="center"/>
      <protection locked="0"/>
    </xf>
    <xf numFmtId="169" fontId="15" fillId="0" borderId="0" xfId="0" applyNumberFormat="1" applyFont="1"/>
    <xf numFmtId="169" fontId="6" fillId="28" borderId="0" xfId="0" applyNumberFormat="1" applyFont="1" applyFill="1" applyBorder="1"/>
    <xf numFmtId="169" fontId="23" fillId="29" borderId="17" xfId="0" applyNumberFormat="1" applyFont="1" applyFill="1" applyBorder="1" applyAlignment="1">
      <alignment horizontal="centerContinuous" vertical="center"/>
    </xf>
    <xf numFmtId="169" fontId="23" fillId="29" borderId="10" xfId="0" applyNumberFormat="1" applyFont="1" applyFill="1" applyBorder="1" applyAlignment="1">
      <alignment horizontal="centerContinuous" vertical="center"/>
    </xf>
    <xf numFmtId="169" fontId="23" fillId="29" borderId="11" xfId="0" applyNumberFormat="1" applyFont="1" applyFill="1" applyBorder="1" applyAlignment="1">
      <alignment horizontal="centerContinuous" vertical="center"/>
    </xf>
    <xf numFmtId="169" fontId="23" fillId="29" borderId="20" xfId="0" applyNumberFormat="1" applyFont="1" applyFill="1" applyBorder="1" applyAlignment="1">
      <alignment horizontal="center" vertical="center"/>
    </xf>
    <xf numFmtId="169" fontId="0" fillId="0" borderId="0" xfId="0" applyNumberFormat="1"/>
    <xf numFmtId="2" fontId="6" fillId="25" borderId="13" xfId="0" applyNumberFormat="1" applyFont="1" applyFill="1" applyBorder="1" applyAlignment="1" applyProtection="1">
      <alignment horizontal="right"/>
      <protection locked="0"/>
    </xf>
    <xf numFmtId="179" fontId="6" fillId="25" borderId="14" xfId="0" applyNumberFormat="1" applyFont="1" applyFill="1" applyBorder="1" applyAlignment="1" applyProtection="1">
      <alignment horizontal="center"/>
    </xf>
    <xf numFmtId="179" fontId="77" fillId="25" borderId="14" xfId="0" applyNumberFormat="1" applyFont="1" applyFill="1" applyBorder="1" applyAlignment="1" applyProtection="1">
      <alignment horizontal="center"/>
    </xf>
    <xf numFmtId="179" fontId="6" fillId="25" borderId="16" xfId="0" applyNumberFormat="1" applyFont="1" applyFill="1" applyBorder="1" applyAlignment="1" applyProtection="1">
      <alignment horizontal="center"/>
    </xf>
    <xf numFmtId="0" fontId="6" fillId="0" borderId="16" xfId="0" applyFont="1" applyBorder="1" applyAlignment="1" applyProtection="1">
      <protection locked="0"/>
    </xf>
    <xf numFmtId="0" fontId="6" fillId="0" borderId="16" xfId="0" applyFont="1" applyBorder="1" applyAlignment="1" applyProtection="1">
      <alignment horizontal="left"/>
      <protection locked="0"/>
    </xf>
    <xf numFmtId="169" fontId="6" fillId="0" borderId="16" xfId="0" applyNumberFormat="1" applyFont="1" applyBorder="1" applyAlignment="1" applyProtection="1">
      <alignment horizontal="center"/>
      <protection locked="0"/>
    </xf>
    <xf numFmtId="180" fontId="6" fillId="0" borderId="16" xfId="0" applyNumberFormat="1" applyFont="1" applyBorder="1" applyAlignment="1" applyProtection="1">
      <alignment horizontal="center"/>
      <protection locked="0"/>
    </xf>
    <xf numFmtId="169" fontId="6" fillId="0" borderId="16" xfId="0" applyNumberFormat="1" applyFont="1" applyBorder="1" applyProtection="1">
      <protection locked="0"/>
    </xf>
    <xf numFmtId="179" fontId="6" fillId="0" borderId="16" xfId="0" applyNumberFormat="1" applyFont="1" applyBorder="1" applyAlignment="1" applyProtection="1">
      <alignment horizontal="center"/>
      <protection locked="0"/>
    </xf>
    <xf numFmtId="175" fontId="6" fillId="0" borderId="16" xfId="0" applyNumberFormat="1" applyFont="1" applyBorder="1" applyAlignment="1" applyProtection="1">
      <alignment horizontal="center"/>
      <protection locked="0"/>
    </xf>
    <xf numFmtId="2" fontId="6" fillId="0" borderId="16" xfId="0" applyNumberFormat="1" applyFont="1" applyBorder="1" applyAlignment="1" applyProtection="1">
      <alignment horizontal="right"/>
      <protection locked="0"/>
    </xf>
    <xf numFmtId="0" fontId="66" fillId="29" borderId="22" xfId="0" applyFont="1" applyFill="1" applyBorder="1" applyAlignment="1">
      <alignment horizontal="center"/>
    </xf>
    <xf numFmtId="0" fontId="66" fillId="29" borderId="21" xfId="0" applyFont="1" applyFill="1" applyBorder="1" applyAlignment="1">
      <alignment horizontal="center"/>
    </xf>
    <xf numFmtId="0" fontId="23" fillId="29" borderId="21" xfId="0" applyFont="1" applyFill="1" applyBorder="1" applyAlignment="1" applyProtection="1">
      <alignment horizontal="center" wrapText="1"/>
    </xf>
    <xf numFmtId="0" fontId="23" fillId="29" borderId="32" xfId="0" applyFont="1" applyFill="1" applyBorder="1" applyAlignment="1">
      <alignment horizontal="center" wrapText="1"/>
    </xf>
    <xf numFmtId="0" fontId="23" fillId="29" borderId="34" xfId="0" applyFont="1" applyFill="1" applyBorder="1" applyAlignment="1">
      <alignment horizontal="center" wrapText="1"/>
    </xf>
    <xf numFmtId="0" fontId="6" fillId="0" borderId="15" xfId="0" applyNumberFormat="1" applyFont="1" applyFill="1" applyBorder="1" applyAlignment="1"/>
    <xf numFmtId="0" fontId="6" fillId="0" borderId="35" xfId="0" applyNumberFormat="1" applyFont="1" applyFill="1" applyBorder="1" applyAlignment="1"/>
    <xf numFmtId="0" fontId="6" fillId="0" borderId="36" xfId="0" applyNumberFormat="1" applyFont="1" applyFill="1" applyBorder="1" applyAlignment="1"/>
    <xf numFmtId="0" fontId="6" fillId="0" borderId="15" xfId="0" applyNumberFormat="1" applyFont="1" applyBorder="1" applyAlignment="1">
      <alignment horizontal="center"/>
    </xf>
    <xf numFmtId="169" fontId="6" fillId="0" borderId="15" xfId="0" applyNumberFormat="1" applyFont="1" applyBorder="1" applyAlignment="1"/>
    <xf numFmtId="2" fontId="6" fillId="0" borderId="15" xfId="0" applyNumberFormat="1" applyFont="1" applyBorder="1" applyAlignment="1"/>
    <xf numFmtId="0" fontId="6" fillId="0" borderId="13" xfId="0" applyNumberFormat="1" applyFont="1" applyFill="1" applyBorder="1" applyAlignment="1"/>
    <xf numFmtId="0" fontId="6" fillId="0" borderId="37" xfId="0" applyNumberFormat="1" applyFont="1" applyFill="1" applyBorder="1" applyAlignment="1"/>
    <xf numFmtId="0" fontId="6" fillId="0" borderId="38" xfId="0" applyNumberFormat="1" applyFont="1" applyFill="1" applyBorder="1" applyAlignment="1"/>
    <xf numFmtId="0" fontId="6" fillId="0" borderId="13" xfId="0" applyNumberFormat="1" applyFont="1" applyBorder="1" applyAlignment="1">
      <alignment horizontal="center"/>
    </xf>
    <xf numFmtId="169" fontId="6" fillId="0" borderId="13" xfId="0" applyNumberFormat="1" applyFont="1" applyBorder="1" applyAlignment="1"/>
    <xf numFmtId="2" fontId="6" fillId="0" borderId="13" xfId="0" applyNumberFormat="1" applyFont="1" applyBorder="1" applyAlignment="1"/>
    <xf numFmtId="0" fontId="6" fillId="0" borderId="38" xfId="0" applyNumberFormat="1" applyFont="1" applyFill="1" applyBorder="1" applyAlignment="1">
      <alignment horizontal="right"/>
    </xf>
    <xf numFmtId="0" fontId="6" fillId="0" borderId="16" xfId="0" applyNumberFormat="1" applyFont="1" applyFill="1" applyBorder="1" applyAlignment="1"/>
    <xf numFmtId="0" fontId="6" fillId="0" borderId="39" xfId="0" applyNumberFormat="1" applyFont="1" applyFill="1" applyBorder="1" applyAlignment="1"/>
    <xf numFmtId="0" fontId="6" fillId="0" borderId="40" xfId="0" applyNumberFormat="1" applyFont="1" applyFill="1" applyBorder="1" applyAlignment="1"/>
    <xf numFmtId="0" fontId="6" fillId="0" borderId="16" xfId="0" applyNumberFormat="1" applyFont="1" applyBorder="1" applyAlignment="1">
      <alignment horizontal="center"/>
    </xf>
    <xf numFmtId="0" fontId="6" fillId="0" borderId="16" xfId="0" applyFont="1" applyBorder="1" applyAlignment="1"/>
    <xf numFmtId="2" fontId="6" fillId="0" borderId="16" xfId="0" applyNumberFormat="1" applyFont="1" applyBorder="1" applyAlignment="1"/>
    <xf numFmtId="0" fontId="66" fillId="29" borderId="34" xfId="0" applyFont="1" applyFill="1" applyBorder="1" applyAlignment="1">
      <alignment horizontal="center"/>
    </xf>
    <xf numFmtId="0" fontId="6" fillId="0" borderId="35" xfId="0" applyNumberFormat="1" applyFont="1" applyBorder="1" applyAlignment="1"/>
    <xf numFmtId="0" fontId="6" fillId="0" borderId="36" xfId="0" applyNumberFormat="1" applyFont="1" applyBorder="1" applyAlignment="1"/>
    <xf numFmtId="0" fontId="6" fillId="0" borderId="37" xfId="0" applyNumberFormat="1" applyFont="1" applyBorder="1" applyAlignment="1"/>
    <xf numFmtId="0" fontId="6" fillId="0" borderId="38" xfId="0" applyNumberFormat="1" applyFont="1" applyBorder="1" applyAlignment="1"/>
    <xf numFmtId="0" fontId="6" fillId="0" borderId="39" xfId="0" applyNumberFormat="1" applyFont="1" applyBorder="1" applyAlignment="1"/>
    <xf numFmtId="0" fontId="6" fillId="0" borderId="40" xfId="0" applyNumberFormat="1" applyFont="1" applyBorder="1" applyAlignment="1"/>
    <xf numFmtId="2" fontId="7" fillId="0" borderId="16" xfId="0" applyNumberFormat="1" applyFont="1" applyBorder="1" applyAlignment="1"/>
    <xf numFmtId="0" fontId="6" fillId="0" borderId="14" xfId="0" applyFont="1" applyBorder="1" applyAlignment="1">
      <alignment vertical="top" wrapText="1"/>
    </xf>
    <xf numFmtId="0" fontId="6" fillId="26" borderId="14" xfId="0" applyFont="1" applyFill="1" applyBorder="1" applyAlignment="1" applyProtection="1">
      <alignment horizontal="center" vertical="top" wrapText="1"/>
      <protection locked="0"/>
    </xf>
    <xf numFmtId="0" fontId="6" fillId="26" borderId="14" xfId="0" applyFont="1" applyFill="1" applyBorder="1" applyAlignment="1" applyProtection="1">
      <alignment vertical="top" wrapText="1"/>
      <protection locked="0"/>
    </xf>
    <xf numFmtId="173" fontId="6" fillId="0" borderId="14" xfId="0" applyNumberFormat="1" applyFont="1" applyBorder="1"/>
    <xf numFmtId="0" fontId="6" fillId="26" borderId="14" xfId="0" applyFont="1" applyFill="1" applyBorder="1" applyProtection="1">
      <protection locked="0"/>
    </xf>
    <xf numFmtId="0" fontId="6" fillId="0" borderId="14" xfId="0" applyFont="1" applyBorder="1" applyAlignment="1">
      <alignment vertical="top"/>
    </xf>
    <xf numFmtId="0" fontId="6" fillId="0" borderId="13" xfId="0" applyFont="1" applyBorder="1" applyAlignment="1">
      <alignment vertical="top" wrapText="1"/>
    </xf>
    <xf numFmtId="0" fontId="6" fillId="26" borderId="13" xfId="0" applyFont="1" applyFill="1" applyBorder="1" applyAlignment="1" applyProtection="1">
      <alignment horizontal="center" vertical="top" wrapText="1"/>
      <protection locked="0"/>
    </xf>
    <xf numFmtId="0" fontId="6" fillId="26" borderId="13" xfId="0" applyFont="1" applyFill="1" applyBorder="1" applyAlignment="1" applyProtection="1">
      <alignment vertical="top" wrapText="1"/>
      <protection locked="0"/>
    </xf>
    <xf numFmtId="173" fontId="6" fillId="0" borderId="13" xfId="0" applyNumberFormat="1" applyFont="1" applyBorder="1"/>
    <xf numFmtId="0" fontId="6" fillId="0" borderId="13" xfId="0" applyFont="1" applyBorder="1" applyAlignment="1">
      <alignment vertical="top"/>
    </xf>
    <xf numFmtId="0" fontId="6" fillId="0" borderId="16" xfId="0" applyFont="1" applyBorder="1" applyAlignment="1">
      <alignment vertical="top" wrapText="1"/>
    </xf>
    <xf numFmtId="0" fontId="6" fillId="26" borderId="16" xfId="0" applyFont="1" applyFill="1" applyBorder="1" applyAlignment="1" applyProtection="1">
      <alignment horizontal="center" vertical="top" wrapText="1"/>
      <protection locked="0"/>
    </xf>
    <xf numFmtId="0" fontId="6" fillId="26" borderId="16" xfId="0" applyFont="1" applyFill="1" applyBorder="1" applyAlignment="1" applyProtection="1">
      <alignment vertical="top" wrapText="1"/>
      <protection locked="0"/>
    </xf>
    <xf numFmtId="173" fontId="6" fillId="0" borderId="16" xfId="0" applyNumberFormat="1" applyFont="1" applyBorder="1"/>
    <xf numFmtId="0" fontId="6" fillId="26" borderId="16" xfId="0" applyFont="1" applyFill="1" applyBorder="1" applyProtection="1">
      <protection locked="0"/>
    </xf>
    <xf numFmtId="0" fontId="6" fillId="0" borderId="16" xfId="0" applyFont="1" applyBorder="1" applyAlignment="1">
      <alignment vertical="top"/>
    </xf>
    <xf numFmtId="0" fontId="23" fillId="29" borderId="15" xfId="0" applyFont="1" applyFill="1" applyBorder="1" applyAlignment="1" applyProtection="1">
      <alignment horizontal="left"/>
      <protection locked="0"/>
    </xf>
    <xf numFmtId="0" fontId="23" fillId="29" borderId="22" xfId="0" applyFont="1" applyFill="1" applyBorder="1" applyAlignment="1">
      <alignment horizontal="center"/>
    </xf>
    <xf numFmtId="0" fontId="23" fillId="29" borderId="10" xfId="0" applyFont="1" applyFill="1" applyBorder="1" applyAlignment="1">
      <alignment horizontal="centerContinuous"/>
    </xf>
    <xf numFmtId="0" fontId="23" fillId="29" borderId="16" xfId="0" applyFont="1" applyFill="1" applyBorder="1" applyAlignment="1" applyProtection="1">
      <alignment horizontal="left"/>
      <protection locked="0"/>
    </xf>
    <xf numFmtId="173" fontId="6" fillId="0" borderId="15" xfId="0" applyNumberFormat="1" applyFont="1" applyBorder="1"/>
    <xf numFmtId="1" fontId="6" fillId="0" borderId="22" xfId="0" applyNumberFormat="1" applyFont="1" applyBorder="1" applyAlignment="1">
      <alignment vertical="top" wrapText="1"/>
    </xf>
    <xf numFmtId="1" fontId="6" fillId="0" borderId="13" xfId="0" applyNumberFormat="1" applyFont="1" applyBorder="1" applyAlignment="1">
      <alignment vertical="top" wrapText="1"/>
    </xf>
    <xf numFmtId="0" fontId="23" fillId="29" borderId="21" xfId="0" applyFont="1" applyFill="1" applyBorder="1" applyAlignment="1" applyProtection="1">
      <alignment horizontal="center" wrapText="1"/>
      <protection locked="0"/>
    </xf>
    <xf numFmtId="173" fontId="6" fillId="0" borderId="22" xfId="0" applyNumberFormat="1" applyFont="1" applyBorder="1"/>
    <xf numFmtId="173" fontId="7" fillId="25" borderId="13" xfId="0" applyNumberFormat="1" applyFont="1" applyFill="1" applyBorder="1"/>
    <xf numFmtId="173" fontId="6" fillId="26" borderId="13" xfId="0" applyNumberFormat="1" applyFont="1" applyFill="1" applyBorder="1" applyProtection="1">
      <protection locked="0"/>
    </xf>
    <xf numFmtId="173" fontId="6" fillId="26" borderId="16" xfId="0" applyNumberFormat="1" applyFont="1" applyFill="1" applyBorder="1" applyProtection="1">
      <protection locked="0"/>
    </xf>
    <xf numFmtId="169" fontId="6" fillId="0" borderId="22" xfId="0" applyNumberFormat="1" applyFont="1" applyBorder="1" applyAlignment="1">
      <alignment vertical="top" wrapText="1"/>
    </xf>
    <xf numFmtId="172" fontId="6" fillId="0" borderId="22" xfId="0" applyNumberFormat="1" applyFont="1" applyBorder="1" applyAlignment="1">
      <alignment vertical="top" wrapText="1"/>
    </xf>
    <xf numFmtId="169" fontId="6" fillId="0" borderId="13" xfId="0" applyNumberFormat="1" applyFont="1" applyBorder="1" applyAlignment="1">
      <alignment vertical="top" wrapText="1"/>
    </xf>
    <xf numFmtId="172" fontId="6" fillId="0" borderId="13" xfId="0" applyNumberFormat="1" applyFont="1" applyBorder="1" applyAlignment="1">
      <alignment vertical="top" wrapText="1"/>
    </xf>
    <xf numFmtId="0" fontId="7" fillId="0" borderId="13" xfId="0" applyFont="1" applyBorder="1" applyAlignment="1" applyProtection="1">
      <alignment horizontal="left"/>
      <protection locked="0"/>
    </xf>
    <xf numFmtId="169" fontId="7" fillId="25" borderId="13" xfId="0" applyNumberFormat="1" applyFont="1" applyFill="1" applyBorder="1" applyAlignment="1">
      <alignment vertical="top" wrapText="1"/>
    </xf>
    <xf numFmtId="172" fontId="7" fillId="25" borderId="13" xfId="0" applyNumberFormat="1" applyFont="1" applyFill="1" applyBorder="1" applyAlignment="1">
      <alignment vertical="top" wrapText="1"/>
    </xf>
    <xf numFmtId="1" fontId="6" fillId="26" borderId="13" xfId="0" applyNumberFormat="1" applyFont="1" applyFill="1" applyBorder="1" applyAlignment="1" applyProtection="1">
      <alignment vertical="top" wrapText="1"/>
      <protection locked="0"/>
    </xf>
    <xf numFmtId="169" fontId="6" fillId="26" borderId="13" xfId="0" applyNumberFormat="1" applyFont="1" applyFill="1" applyBorder="1" applyAlignment="1" applyProtection="1">
      <alignment vertical="top" wrapText="1"/>
      <protection locked="0"/>
    </xf>
    <xf numFmtId="172" fontId="6" fillId="26" borderId="13" xfId="0" applyNumberFormat="1" applyFont="1" applyFill="1" applyBorder="1" applyAlignment="1" applyProtection="1">
      <alignment vertical="top" wrapText="1"/>
      <protection locked="0"/>
    </xf>
    <xf numFmtId="0" fontId="6" fillId="26" borderId="16" xfId="0" applyFont="1" applyFill="1" applyBorder="1" applyAlignment="1" applyProtection="1">
      <alignment horizontal="left"/>
      <protection locked="0"/>
    </xf>
    <xf numFmtId="1" fontId="6" fillId="26" borderId="16" xfId="0" applyNumberFormat="1" applyFont="1" applyFill="1" applyBorder="1" applyAlignment="1" applyProtection="1">
      <alignment vertical="top" wrapText="1"/>
      <protection locked="0"/>
    </xf>
    <xf numFmtId="169" fontId="6" fillId="26" borderId="16" xfId="0" applyNumberFormat="1" applyFont="1" applyFill="1" applyBorder="1" applyAlignment="1" applyProtection="1">
      <alignment vertical="top" wrapText="1"/>
      <protection locked="0"/>
    </xf>
    <xf numFmtId="172" fontId="6" fillId="26" borderId="16" xfId="0" applyNumberFormat="1" applyFont="1" applyFill="1" applyBorder="1" applyAlignment="1" applyProtection="1">
      <alignment vertical="top" wrapText="1"/>
      <protection locked="0"/>
    </xf>
    <xf numFmtId="0" fontId="23" fillId="29" borderId="21" xfId="0" applyFont="1" applyFill="1" applyBorder="1" applyAlignment="1" applyProtection="1">
      <alignment horizontal="left" wrapText="1"/>
      <protection locked="0"/>
    </xf>
    <xf numFmtId="0" fontId="23" fillId="29" borderId="20" xfId="0" applyFont="1" applyFill="1" applyBorder="1" applyAlignment="1" applyProtection="1">
      <alignment horizontal="center" wrapText="1"/>
      <protection locked="0"/>
    </xf>
    <xf numFmtId="0" fontId="6" fillId="26" borderId="15" xfId="0" applyFont="1" applyFill="1" applyBorder="1" applyProtection="1">
      <protection locked="0"/>
    </xf>
    <xf numFmtId="0" fontId="6" fillId="0" borderId="15" xfId="0" applyFont="1" applyBorder="1"/>
    <xf numFmtId="176" fontId="6" fillId="26" borderId="15" xfId="0" applyNumberFormat="1" applyFont="1" applyFill="1" applyBorder="1" applyProtection="1">
      <protection locked="0"/>
    </xf>
    <xf numFmtId="0" fontId="6" fillId="0" borderId="13" xfId="0" applyFont="1" applyBorder="1"/>
    <xf numFmtId="176" fontId="6" fillId="0" borderId="13" xfId="0" applyNumberFormat="1" applyFont="1" applyBorder="1"/>
    <xf numFmtId="176" fontId="6" fillId="26" borderId="13" xfId="0" applyNumberFormat="1" applyFont="1" applyFill="1" applyBorder="1" applyProtection="1">
      <protection locked="0"/>
    </xf>
    <xf numFmtId="177" fontId="6" fillId="0" borderId="13" xfId="0" applyNumberFormat="1" applyFont="1" applyBorder="1"/>
    <xf numFmtId="184" fontId="6" fillId="26" borderId="14" xfId="0" applyNumberFormat="1" applyFont="1" applyFill="1" applyBorder="1" applyAlignment="1" applyProtection="1">
      <alignment vertical="top" wrapText="1"/>
      <protection locked="0"/>
    </xf>
    <xf numFmtId="184" fontId="6" fillId="26" borderId="13" xfId="0" applyNumberFormat="1" applyFont="1" applyFill="1" applyBorder="1" applyAlignment="1" applyProtection="1">
      <alignment vertical="top" wrapText="1"/>
      <protection locked="0"/>
    </xf>
    <xf numFmtId="184" fontId="6" fillId="26" borderId="16" xfId="0" applyNumberFormat="1" applyFont="1" applyFill="1" applyBorder="1" applyAlignment="1" applyProtection="1">
      <alignment vertical="top" wrapText="1"/>
      <protection locked="0"/>
    </xf>
    <xf numFmtId="184" fontId="6" fillId="0" borderId="14" xfId="0" applyNumberFormat="1" applyFont="1" applyBorder="1"/>
    <xf numFmtId="184" fontId="6" fillId="0" borderId="13" xfId="0" applyNumberFormat="1" applyFont="1" applyBorder="1"/>
    <xf numFmtId="184" fontId="6" fillId="0" borderId="16" xfId="0" applyNumberFormat="1" applyFont="1" applyBorder="1"/>
    <xf numFmtId="0" fontId="3" fillId="0" borderId="0" xfId="0" applyFont="1" applyFill="1" applyBorder="1" applyAlignment="1" applyProtection="1">
      <alignment horizontal="left" vertical="center"/>
    </xf>
    <xf numFmtId="184" fontId="7" fillId="26" borderId="0" xfId="28" applyNumberFormat="1" applyFont="1" applyFill="1" applyProtection="1">
      <protection locked="0"/>
    </xf>
    <xf numFmtId="0" fontId="23" fillId="29" borderId="21" xfId="0" applyFont="1" applyFill="1" applyBorder="1" applyAlignment="1">
      <alignment horizontal="center"/>
    </xf>
    <xf numFmtId="0" fontId="23" fillId="29" borderId="20" xfId="0" applyFont="1" applyFill="1" applyBorder="1" applyAlignment="1" applyProtection="1">
      <alignment horizontal="left" wrapText="1"/>
      <protection locked="0"/>
    </xf>
    <xf numFmtId="184" fontId="6" fillId="0" borderId="15" xfId="0" applyNumberFormat="1" applyFont="1" applyBorder="1"/>
    <xf numFmtId="0" fontId="67" fillId="0" borderId="0" xfId="0" applyFont="1"/>
    <xf numFmtId="0" fontId="78" fillId="0" borderId="0" xfId="0" applyFont="1"/>
    <xf numFmtId="0" fontId="51" fillId="29" borderId="0" xfId="0" applyFont="1" applyFill="1"/>
    <xf numFmtId="0" fontId="79" fillId="29" borderId="0" xfId="0" applyFont="1" applyFill="1"/>
    <xf numFmtId="0" fontId="59" fillId="27" borderId="0" xfId="35" applyFont="1" applyFill="1" applyAlignment="1" applyProtection="1">
      <alignment horizontal="center" vertical="center"/>
    </xf>
    <xf numFmtId="0" fontId="66" fillId="29" borderId="23" xfId="0" applyFont="1" applyFill="1" applyBorder="1" applyAlignment="1">
      <alignment horizontal="left"/>
    </xf>
    <xf numFmtId="0" fontId="66" fillId="29" borderId="18" xfId="0" applyFont="1" applyFill="1" applyBorder="1" applyAlignment="1">
      <alignment horizontal="center" wrapText="1"/>
    </xf>
    <xf numFmtId="0" fontId="5" fillId="27" borderId="13" xfId="0" applyFont="1" applyFill="1" applyBorder="1" applyProtection="1">
      <protection locked="0"/>
    </xf>
    <xf numFmtId="0" fontId="5" fillId="27" borderId="13" xfId="0" applyFont="1" applyFill="1" applyBorder="1" applyAlignment="1" applyProtection="1">
      <alignment horizontal="center"/>
      <protection locked="0"/>
    </xf>
    <xf numFmtId="169" fontId="5" fillId="26" borderId="14" xfId="0" applyNumberFormat="1" applyFont="1" applyFill="1" applyBorder="1" applyAlignment="1" applyProtection="1">
      <alignment horizontal="center"/>
      <protection locked="0"/>
    </xf>
    <xf numFmtId="169" fontId="5" fillId="26" borderId="14" xfId="0" applyNumberFormat="1" applyFont="1" applyFill="1" applyBorder="1" applyAlignment="1" applyProtection="1">
      <alignment horizontal="center" vertical="center"/>
      <protection locked="0"/>
    </xf>
    <xf numFmtId="168" fontId="5" fillId="24" borderId="14" xfId="0" applyNumberFormat="1" applyFont="1" applyFill="1" applyBorder="1" applyProtection="1"/>
    <xf numFmtId="165" fontId="5" fillId="26" borderId="14" xfId="0" applyNumberFormat="1" applyFont="1" applyFill="1" applyBorder="1" applyProtection="1">
      <protection locked="0"/>
    </xf>
    <xf numFmtId="1" fontId="5" fillId="26" borderId="14" xfId="0" applyNumberFormat="1" applyFont="1" applyFill="1" applyBorder="1" applyAlignment="1" applyProtection="1">
      <alignment horizontal="center" vertical="center"/>
      <protection locked="0"/>
    </xf>
    <xf numFmtId="1" fontId="5" fillId="24" borderId="14" xfId="0" applyNumberFormat="1" applyFont="1" applyFill="1" applyBorder="1" applyAlignment="1" applyProtection="1">
      <alignment horizontal="center" vertical="center"/>
    </xf>
    <xf numFmtId="174" fontId="5" fillId="24" borderId="14" xfId="0" applyNumberFormat="1" applyFont="1" applyFill="1" applyBorder="1" applyProtection="1"/>
    <xf numFmtId="170" fontId="5" fillId="27" borderId="14" xfId="46" applyNumberFormat="1" applyFont="1" applyFill="1" applyBorder="1" applyAlignment="1" applyProtection="1">
      <alignment horizontal="center" vertical="center"/>
      <protection locked="0"/>
    </xf>
    <xf numFmtId="182" fontId="5" fillId="27" borderId="13" xfId="0" applyNumberFormat="1" applyFont="1" applyFill="1" applyBorder="1" applyProtection="1">
      <protection locked="0"/>
    </xf>
    <xf numFmtId="182" fontId="5" fillId="26" borderId="13" xfId="0" applyNumberFormat="1" applyFont="1" applyFill="1" applyBorder="1" applyProtection="1">
      <protection locked="0"/>
    </xf>
    <xf numFmtId="0" fontId="80" fillId="27" borderId="0" xfId="35" applyFont="1" applyFill="1" applyAlignment="1" applyProtection="1">
      <alignment horizontal="center" vertical="center"/>
    </xf>
    <xf numFmtId="182" fontId="5" fillId="27" borderId="15" xfId="0" applyNumberFormat="1" applyFont="1" applyFill="1" applyBorder="1" applyAlignment="1" applyProtection="1">
      <alignment horizontal="center"/>
      <protection locked="0"/>
    </xf>
    <xf numFmtId="41" fontId="5" fillId="0" borderId="0" xfId="0" applyNumberFormat="1" applyFont="1"/>
    <xf numFmtId="171" fontId="5" fillId="33" borderId="14" xfId="0" applyNumberFormat="1" applyFont="1" applyFill="1" applyBorder="1" applyProtection="1"/>
    <xf numFmtId="165" fontId="5" fillId="26" borderId="13" xfId="0" applyNumberFormat="1" applyFont="1" applyFill="1" applyBorder="1" applyProtection="1">
      <protection locked="0"/>
    </xf>
    <xf numFmtId="1" fontId="5" fillId="26" borderId="13" xfId="0" applyNumberFormat="1" applyFont="1" applyFill="1" applyBorder="1" applyAlignment="1" applyProtection="1">
      <alignment horizontal="center" vertical="center"/>
      <protection locked="0"/>
    </xf>
    <xf numFmtId="182" fontId="5" fillId="27" borderId="13" xfId="0" applyNumberFormat="1" applyFont="1" applyFill="1" applyBorder="1" applyAlignment="1" applyProtection="1">
      <alignment horizontal="center"/>
      <protection locked="0"/>
    </xf>
    <xf numFmtId="0" fontId="5" fillId="27" borderId="13" xfId="0" applyFont="1" applyFill="1" applyBorder="1" applyAlignment="1" applyProtection="1">
      <alignment horizontal="left"/>
      <protection locked="0"/>
    </xf>
    <xf numFmtId="0" fontId="81" fillId="27" borderId="0" xfId="35" applyFont="1" applyFill="1" applyAlignment="1" applyProtection="1">
      <alignment horizontal="center" vertical="center"/>
    </xf>
    <xf numFmtId="0" fontId="23" fillId="29" borderId="41" xfId="0" applyFont="1" applyFill="1" applyBorder="1" applyAlignment="1" applyProtection="1">
      <alignment horizontal="center" wrapText="1"/>
    </xf>
    <xf numFmtId="0" fontId="23" fillId="29" borderId="41" xfId="0" applyFont="1" applyFill="1" applyBorder="1" applyAlignment="1" applyProtection="1">
      <alignment horizontal="center" textRotation="90" wrapText="1"/>
    </xf>
    <xf numFmtId="0" fontId="23" fillId="29" borderId="22" xfId="0" applyFont="1" applyFill="1" applyBorder="1" applyAlignment="1" applyProtection="1">
      <alignment horizontal="center" textRotation="90" wrapText="1"/>
    </xf>
    <xf numFmtId="0" fontId="6" fillId="26" borderId="22" xfId="0" applyFont="1" applyFill="1" applyBorder="1" applyAlignment="1" applyProtection="1">
      <alignment horizontal="center" textRotation="90" wrapText="1"/>
      <protection locked="0"/>
    </xf>
    <xf numFmtId="0" fontId="27" fillId="29" borderId="0" xfId="0" applyFont="1" applyFill="1" applyBorder="1" applyAlignment="1">
      <alignment horizontal="centerContinuous"/>
    </xf>
    <xf numFmtId="182" fontId="5" fillId="26" borderId="14" xfId="0" applyNumberFormat="1" applyFont="1" applyFill="1" applyBorder="1" applyProtection="1">
      <protection locked="0"/>
    </xf>
    <xf numFmtId="0" fontId="6" fillId="26" borderId="21" xfId="0" applyFont="1" applyFill="1" applyBorder="1" applyAlignment="1" applyProtection="1">
      <alignment horizontal="center" textRotation="90" wrapText="1"/>
      <protection locked="0"/>
    </xf>
    <xf numFmtId="182" fontId="5" fillId="27" borderId="14" xfId="0" applyNumberFormat="1" applyFont="1" applyFill="1" applyBorder="1" applyAlignment="1" applyProtection="1">
      <alignment horizontal="center"/>
      <protection locked="0"/>
    </xf>
    <xf numFmtId="0" fontId="0" fillId="0" borderId="0" xfId="0" applyFill="1" applyBorder="1" applyAlignment="1"/>
    <xf numFmtId="0" fontId="0" fillId="0" borderId="0" xfId="0" applyFill="1" applyBorder="1" applyAlignment="1">
      <alignment horizontal="right"/>
    </xf>
    <xf numFmtId="0" fontId="15" fillId="0" borderId="0" xfId="0" applyFont="1" applyFill="1" applyBorder="1" applyAlignment="1">
      <alignment horizontal="right"/>
    </xf>
    <xf numFmtId="0" fontId="15" fillId="0" borderId="12" xfId="0" applyFont="1" applyFill="1" applyBorder="1" applyAlignment="1">
      <alignment horizontal="right"/>
    </xf>
    <xf numFmtId="0" fontId="18" fillId="0" borderId="0" xfId="0" applyFont="1" applyFill="1" applyBorder="1" applyAlignment="1">
      <alignment horizontal="right"/>
    </xf>
    <xf numFmtId="0" fontId="0" fillId="25" borderId="0" xfId="0" applyFill="1" applyBorder="1" applyAlignment="1">
      <alignment horizontal="right"/>
    </xf>
    <xf numFmtId="171" fontId="11" fillId="25" borderId="12" xfId="0" applyNumberFormat="1" applyFont="1" applyFill="1" applyBorder="1" applyAlignment="1">
      <alignment horizontal="right"/>
    </xf>
    <xf numFmtId="0" fontId="23" fillId="29" borderId="18" xfId="0" applyFont="1" applyFill="1" applyBorder="1" applyAlignment="1" applyProtection="1">
      <alignment horizontal="centerContinuous"/>
    </xf>
    <xf numFmtId="0" fontId="23" fillId="29" borderId="23" xfId="0" applyFont="1" applyFill="1" applyBorder="1" applyAlignment="1">
      <alignment horizontal="left" wrapText="1"/>
    </xf>
    <xf numFmtId="0" fontId="23" fillId="29" borderId="17" xfId="0" applyFont="1" applyFill="1" applyBorder="1" applyAlignment="1" applyProtection="1">
      <alignment horizontal="centerContinuous"/>
    </xf>
    <xf numFmtId="0" fontId="23" fillId="29" borderId="11" xfId="0" applyFont="1" applyFill="1" applyBorder="1" applyAlignment="1" applyProtection="1">
      <alignment horizontal="centerContinuous"/>
    </xf>
    <xf numFmtId="0" fontId="23" fillId="29" borderId="12" xfId="0" applyFont="1" applyFill="1" applyBorder="1" applyAlignment="1" applyProtection="1">
      <alignment horizontal="centerContinuous"/>
    </xf>
    <xf numFmtId="178" fontId="7" fillId="24" borderId="15" xfId="0" applyNumberFormat="1" applyFont="1" applyFill="1" applyBorder="1" applyProtection="1"/>
    <xf numFmtId="0" fontId="7" fillId="0" borderId="0" xfId="0" applyFont="1"/>
    <xf numFmtId="178" fontId="7" fillId="24" borderId="13" xfId="0" applyNumberFormat="1" applyFont="1" applyFill="1" applyBorder="1" applyProtection="1"/>
    <xf numFmtId="0" fontId="19" fillId="28" borderId="0" xfId="0" applyFont="1" applyFill="1"/>
    <xf numFmtId="0" fontId="18" fillId="28" borderId="0" xfId="0" applyFont="1" applyFill="1" applyBorder="1" applyAlignment="1">
      <alignment horizontal="right"/>
    </xf>
    <xf numFmtId="0" fontId="19" fillId="0" borderId="0" xfId="0" applyFont="1" applyBorder="1" applyAlignment="1">
      <alignment horizontal="right"/>
    </xf>
    <xf numFmtId="0" fontId="15" fillId="0" borderId="0" xfId="0" applyFont="1" applyBorder="1" applyAlignment="1">
      <alignment horizontal="right"/>
    </xf>
    <xf numFmtId="0" fontId="69" fillId="29" borderId="22" xfId="0" applyFont="1" applyFill="1" applyBorder="1" applyAlignment="1">
      <alignment horizontal="center" textRotation="90" wrapText="1"/>
    </xf>
    <xf numFmtId="0" fontId="66" fillId="29" borderId="32" xfId="0" applyFont="1" applyFill="1" applyBorder="1" applyAlignment="1" applyProtection="1">
      <alignment horizontal="centerContinuous"/>
    </xf>
    <xf numFmtId="0" fontId="66" fillId="29" borderId="34" xfId="0" applyFont="1" applyFill="1" applyBorder="1" applyAlignment="1" applyProtection="1">
      <alignment horizontal="centerContinuous"/>
    </xf>
    <xf numFmtId="0" fontId="66" fillId="29" borderId="30" xfId="0" applyFont="1" applyFill="1" applyBorder="1" applyAlignment="1" applyProtection="1">
      <alignment horizontal="centerContinuous"/>
    </xf>
    <xf numFmtId="0" fontId="69" fillId="29" borderId="41" xfId="0" applyFont="1" applyFill="1" applyBorder="1" applyAlignment="1" applyProtection="1">
      <alignment horizontal="center" textRotation="90" wrapText="1"/>
    </xf>
    <xf numFmtId="0" fontId="83" fillId="28" borderId="0" xfId="0" applyFont="1" applyFill="1" applyBorder="1" applyAlignment="1">
      <alignment horizontal="right"/>
    </xf>
    <xf numFmtId="0" fontId="84" fillId="28" borderId="0" xfId="0" applyFont="1" applyFill="1"/>
    <xf numFmtId="0" fontId="83" fillId="28" borderId="0" xfId="0" applyFont="1" applyFill="1"/>
    <xf numFmtId="0" fontId="83" fillId="0" borderId="0" xfId="0" applyFont="1"/>
    <xf numFmtId="0" fontId="84" fillId="28" borderId="0" xfId="0" applyFont="1" applyFill="1" applyBorder="1" applyProtection="1"/>
    <xf numFmtId="0" fontId="84" fillId="28" borderId="0" xfId="0" applyFont="1" applyFill="1" applyProtection="1"/>
    <xf numFmtId="0" fontId="66" fillId="29" borderId="22" xfId="0" applyFont="1" applyFill="1" applyBorder="1" applyAlignment="1">
      <alignment horizontal="left"/>
    </xf>
    <xf numFmtId="0" fontId="23" fillId="29" borderId="20" xfId="0" applyFont="1" applyFill="1" applyBorder="1" applyAlignment="1" applyProtection="1">
      <alignment horizontal="center" textRotation="90" wrapText="1"/>
    </xf>
    <xf numFmtId="0" fontId="66" fillId="29" borderId="22" xfId="0" applyFont="1" applyFill="1" applyBorder="1" applyAlignment="1">
      <alignment horizontal="center" wrapText="1"/>
    </xf>
    <xf numFmtId="0" fontId="66" fillId="29" borderId="22" xfId="0" applyFont="1" applyFill="1" applyBorder="1" applyAlignment="1" applyProtection="1">
      <alignment horizontal="centerContinuous"/>
    </xf>
    <xf numFmtId="0" fontId="23" fillId="29" borderId="21" xfId="0" applyFont="1" applyFill="1" applyBorder="1" applyAlignment="1" applyProtection="1">
      <alignment horizontal="center" textRotation="90" wrapText="1"/>
    </xf>
    <xf numFmtId="0" fontId="66" fillId="29" borderId="25" xfId="0" applyFont="1" applyFill="1" applyBorder="1" applyAlignment="1">
      <alignment horizontal="centerContinuous" wrapText="1"/>
    </xf>
    <xf numFmtId="0" fontId="66" fillId="29" borderId="25" xfId="0" applyFont="1" applyFill="1" applyBorder="1" applyAlignment="1" applyProtection="1">
      <alignment horizontal="centerContinuous"/>
    </xf>
    <xf numFmtId="0" fontId="66" fillId="29" borderId="27" xfId="0" applyFont="1" applyFill="1" applyBorder="1" applyAlignment="1" applyProtection="1">
      <alignment horizontal="centerContinuous"/>
    </xf>
    <xf numFmtId="0" fontId="66" fillId="29" borderId="26" xfId="0" applyFont="1" applyFill="1" applyBorder="1" applyAlignment="1" applyProtection="1">
      <alignment horizontal="centerContinuous"/>
    </xf>
    <xf numFmtId="0" fontId="66" fillId="29" borderId="29" xfId="0" applyFont="1" applyFill="1" applyBorder="1" applyAlignment="1" applyProtection="1">
      <alignment horizontal="centerContinuous"/>
    </xf>
    <xf numFmtId="0" fontId="23" fillId="29" borderId="26" xfId="0" applyFont="1" applyFill="1" applyBorder="1" applyAlignment="1">
      <alignment horizontal="centerContinuous"/>
    </xf>
    <xf numFmtId="0" fontId="23" fillId="29" borderId="29" xfId="0" applyFont="1" applyFill="1" applyBorder="1" applyAlignment="1">
      <alignment horizontal="centerContinuous"/>
    </xf>
    <xf numFmtId="0" fontId="82" fillId="29" borderId="26" xfId="0" applyFont="1" applyFill="1" applyBorder="1" applyAlignment="1">
      <alignment horizontal="centerContinuous"/>
    </xf>
    <xf numFmtId="0" fontId="23" fillId="29" borderId="22" xfId="0" applyFont="1" applyFill="1" applyBorder="1" applyAlignment="1">
      <alignment horizontal="center" textRotation="90"/>
    </xf>
    <xf numFmtId="169" fontId="3" fillId="26" borderId="21" xfId="0" applyNumberFormat="1" applyFont="1" applyFill="1" applyBorder="1" applyProtection="1">
      <protection locked="0"/>
    </xf>
    <xf numFmtId="169" fontId="3" fillId="24" borderId="21" xfId="0" applyNumberFormat="1" applyFont="1" applyFill="1" applyBorder="1" applyProtection="1">
      <protection locked="0"/>
    </xf>
    <xf numFmtId="0" fontId="18" fillId="28" borderId="0" xfId="0" applyFont="1" applyFill="1" applyBorder="1" applyAlignment="1">
      <alignment horizontal="left"/>
    </xf>
    <xf numFmtId="0" fontId="3" fillId="0" borderId="0" xfId="0" applyFont="1"/>
    <xf numFmtId="169" fontId="18" fillId="26" borderId="21" xfId="0" applyNumberFormat="1" applyFont="1" applyFill="1" applyBorder="1" applyProtection="1">
      <protection locked="0"/>
    </xf>
    <xf numFmtId="169" fontId="3" fillId="24" borderId="21" xfId="0" applyNumberFormat="1" applyFont="1" applyFill="1" applyBorder="1" applyProtection="1"/>
    <xf numFmtId="0" fontId="85" fillId="0" borderId="0" xfId="0" applyFont="1"/>
    <xf numFmtId="0" fontId="7" fillId="0" borderId="23" xfId="0" applyFont="1" applyBorder="1"/>
    <xf numFmtId="0" fontId="7" fillId="0" borderId="12" xfId="0" applyFont="1" applyFill="1" applyBorder="1"/>
    <xf numFmtId="0" fontId="7" fillId="0" borderId="23" xfId="0" applyFont="1" applyFill="1" applyBorder="1"/>
    <xf numFmtId="0" fontId="66" fillId="29" borderId="21" xfId="0" applyFont="1" applyFill="1" applyBorder="1" applyAlignment="1" applyProtection="1">
      <alignment horizontal="centerContinuous"/>
    </xf>
    <xf numFmtId="0" fontId="23" fillId="0" borderId="0" xfId="0" applyFont="1"/>
    <xf numFmtId="178" fontId="7" fillId="24" borderId="35" xfId="0" applyNumberFormat="1" applyFont="1" applyFill="1" applyBorder="1" applyProtection="1"/>
    <xf numFmtId="178" fontId="7" fillId="24" borderId="36" xfId="0" applyNumberFormat="1" applyFont="1" applyFill="1" applyBorder="1" applyProtection="1"/>
    <xf numFmtId="0" fontId="86" fillId="0" borderId="0" xfId="0" applyFont="1" applyAlignment="1">
      <alignment horizontal="right"/>
    </xf>
    <xf numFmtId="0" fontId="87" fillId="0" borderId="0" xfId="0" applyFont="1"/>
    <xf numFmtId="0" fontId="66" fillId="29" borderId="19" xfId="0" applyFont="1" applyFill="1" applyBorder="1" applyAlignment="1" applyProtection="1">
      <alignment horizontal="centerContinuous"/>
    </xf>
    <xf numFmtId="0" fontId="66" fillId="29" borderId="31" xfId="0" applyFont="1" applyFill="1" applyBorder="1" applyAlignment="1" applyProtection="1">
      <alignment horizontal="centerContinuous"/>
    </xf>
    <xf numFmtId="169" fontId="7" fillId="24" borderId="15" xfId="0" applyNumberFormat="1" applyFont="1" applyFill="1" applyBorder="1"/>
    <xf numFmtId="169" fontId="7" fillId="24" borderId="13" xfId="0" applyNumberFormat="1" applyFont="1" applyFill="1" applyBorder="1"/>
    <xf numFmtId="169" fontId="7" fillId="24" borderId="16" xfId="0" applyNumberFormat="1" applyFont="1" applyFill="1" applyBorder="1"/>
    <xf numFmtId="9" fontId="21" fillId="24" borderId="15" xfId="46" applyFont="1" applyFill="1" applyBorder="1"/>
    <xf numFmtId="9" fontId="21" fillId="24" borderId="13" xfId="46" applyFont="1" applyFill="1" applyBorder="1"/>
    <xf numFmtId="0" fontId="7" fillId="0" borderId="0" xfId="0" applyFont="1" applyFill="1"/>
    <xf numFmtId="178" fontId="7" fillId="24" borderId="14" xfId="0" applyNumberFormat="1" applyFont="1" applyFill="1" applyBorder="1" applyProtection="1"/>
    <xf numFmtId="169" fontId="6" fillId="0" borderId="0" xfId="0" applyNumberFormat="1" applyFont="1" applyBorder="1"/>
    <xf numFmtId="165" fontId="6" fillId="24" borderId="15" xfId="0" applyNumberFormat="1" applyFont="1" applyFill="1" applyBorder="1"/>
    <xf numFmtId="0" fontId="6" fillId="0" borderId="0" xfId="0" applyFont="1" applyBorder="1" applyAlignment="1"/>
    <xf numFmtId="0" fontId="6" fillId="0" borderId="0" xfId="0" applyFont="1" applyAlignment="1"/>
    <xf numFmtId="165" fontId="6" fillId="24" borderId="16" xfId="0" applyNumberFormat="1" applyFont="1" applyFill="1" applyBorder="1"/>
    <xf numFmtId="2" fontId="6" fillId="0" borderId="0" xfId="0" applyNumberFormat="1" applyFont="1" applyBorder="1"/>
    <xf numFmtId="2" fontId="6" fillId="0" borderId="0" xfId="0" applyNumberFormat="1" applyFont="1" applyBorder="1" applyAlignment="1"/>
    <xf numFmtId="9" fontId="11" fillId="24" borderId="16" xfId="46" applyFont="1" applyFill="1" applyBorder="1"/>
    <xf numFmtId="0" fontId="6" fillId="0" borderId="0" xfId="0" applyFont="1" applyBorder="1" applyAlignment="1">
      <alignment horizontal="right"/>
    </xf>
    <xf numFmtId="0" fontId="6" fillId="0" borderId="0" xfId="0" applyFont="1" applyFill="1" applyBorder="1" applyAlignment="1">
      <alignment horizontal="right"/>
    </xf>
    <xf numFmtId="0" fontId="66" fillId="0" borderId="0" xfId="0" applyFont="1"/>
    <xf numFmtId="0" fontId="23" fillId="0" borderId="0" xfId="0" applyFont="1" applyAlignment="1">
      <alignment horizontal="right"/>
    </xf>
    <xf numFmtId="0" fontId="65" fillId="0" borderId="21" xfId="0" applyFont="1" applyBorder="1" applyAlignment="1" applyProtection="1">
      <alignment wrapText="1"/>
      <protection locked="0"/>
    </xf>
    <xf numFmtId="9" fontId="6" fillId="24" borderId="16" xfId="46" applyFont="1" applyFill="1" applyBorder="1"/>
    <xf numFmtId="9" fontId="6" fillId="25" borderId="16" xfId="46" applyFont="1" applyFill="1" applyBorder="1"/>
    <xf numFmtId="9" fontId="6" fillId="25" borderId="13" xfId="46" applyFont="1" applyFill="1" applyBorder="1"/>
    <xf numFmtId="0" fontId="23" fillId="29" borderId="34" xfId="0" applyFont="1" applyFill="1" applyBorder="1" applyAlignment="1" applyProtection="1">
      <alignment horizontal="center" textRotation="90" wrapText="1"/>
    </xf>
    <xf numFmtId="0" fontId="66" fillId="29" borderId="28" xfId="0" applyFont="1" applyFill="1" applyBorder="1" applyAlignment="1">
      <alignment horizontal="centerContinuous" wrapText="1"/>
    </xf>
    <xf numFmtId="0" fontId="66" fillId="29" borderId="26" xfId="0" applyFont="1" applyFill="1" applyBorder="1" applyAlignment="1">
      <alignment horizontal="centerContinuous" wrapText="1"/>
    </xf>
    <xf numFmtId="0" fontId="83" fillId="28" borderId="0" xfId="0" applyFont="1" applyFill="1" applyBorder="1" applyAlignment="1">
      <alignment horizontal="left"/>
    </xf>
    <xf numFmtId="184" fontId="3" fillId="24" borderId="21" xfId="0" applyNumberFormat="1" applyFont="1" applyFill="1" applyBorder="1" applyProtection="1"/>
    <xf numFmtId="184" fontId="19" fillId="26" borderId="21" xfId="0" applyNumberFormat="1" applyFont="1" applyFill="1" applyBorder="1"/>
    <xf numFmtId="184" fontId="18" fillId="26" borderId="21" xfId="0" applyNumberFormat="1" applyFont="1" applyFill="1" applyBorder="1" applyAlignment="1">
      <alignment horizontal="right"/>
    </xf>
    <xf numFmtId="2" fontId="89" fillId="31" borderId="0" xfId="0" applyNumberFormat="1" applyFont="1" applyFill="1"/>
    <xf numFmtId="0" fontId="90" fillId="31" borderId="0" xfId="0" applyFont="1" applyFill="1" applyAlignment="1">
      <alignment horizontal="right"/>
    </xf>
    <xf numFmtId="0" fontId="90" fillId="31" borderId="0" xfId="0" applyFont="1" applyFill="1"/>
    <xf numFmtId="0" fontId="91" fillId="29" borderId="10" xfId="0" applyFont="1" applyFill="1" applyBorder="1" applyAlignment="1">
      <alignment horizontal="right"/>
    </xf>
    <xf numFmtId="41" fontId="91" fillId="29" borderId="21" xfId="0" applyNumberFormat="1" applyFont="1" applyFill="1" applyBorder="1"/>
    <xf numFmtId="0" fontId="5" fillId="0" borderId="21" xfId="0" applyFont="1" applyBorder="1" applyAlignment="1">
      <alignment wrapText="1"/>
    </xf>
    <xf numFmtId="0" fontId="5" fillId="0" borderId="0" xfId="0" applyFont="1" applyFill="1" applyBorder="1" applyAlignment="1" applyProtection="1">
      <alignment wrapText="1"/>
      <protection locked="0"/>
    </xf>
    <xf numFmtId="2" fontId="23" fillId="29" borderId="11" xfId="0" applyNumberFormat="1" applyFont="1" applyFill="1" applyBorder="1" applyAlignment="1">
      <alignment horizontal="center" vertical="center"/>
    </xf>
    <xf numFmtId="1" fontId="6" fillId="24" borderId="21" xfId="0" applyNumberFormat="1" applyFont="1" applyFill="1" applyBorder="1"/>
    <xf numFmtId="0" fontId="25" fillId="24" borderId="0" xfId="0" applyFont="1" applyFill="1"/>
    <xf numFmtId="0" fontId="73" fillId="28" borderId="0" xfId="0" applyFont="1" applyFill="1"/>
    <xf numFmtId="0" fontId="14" fillId="28" borderId="0" xfId="0" applyFont="1" applyFill="1" applyAlignment="1">
      <alignment horizontal="left"/>
    </xf>
    <xf numFmtId="0" fontId="14" fillId="28" borderId="0" xfId="0" applyFont="1" applyFill="1"/>
    <xf numFmtId="175" fontId="14" fillId="28" borderId="0" xfId="0" applyNumberFormat="1" applyFont="1" applyFill="1"/>
    <xf numFmtId="175" fontId="74" fillId="28" borderId="0" xfId="0" applyNumberFormat="1" applyFont="1" applyFill="1"/>
    <xf numFmtId="0" fontId="23" fillId="28" borderId="32" xfId="0" applyFont="1" applyFill="1" applyBorder="1" applyAlignment="1">
      <alignment horizontal="centerContinuous"/>
    </xf>
    <xf numFmtId="0" fontId="23" fillId="28" borderId="33" xfId="0" applyFont="1" applyFill="1" applyBorder="1" applyAlignment="1">
      <alignment horizontal="centerContinuous"/>
    </xf>
    <xf numFmtId="0" fontId="23" fillId="28" borderId="10" xfId="0" applyFont="1" applyFill="1" applyBorder="1" applyAlignment="1">
      <alignment horizontal="centerContinuous"/>
    </xf>
    <xf numFmtId="0" fontId="23" fillId="28" borderId="11" xfId="0" applyFont="1" applyFill="1" applyBorder="1" applyAlignment="1">
      <alignment horizontal="centerContinuous"/>
    </xf>
    <xf numFmtId="0" fontId="11" fillId="28" borderId="0" xfId="0" applyFont="1" applyFill="1" applyAlignment="1">
      <alignment horizontal="left"/>
    </xf>
    <xf numFmtId="0" fontId="6" fillId="28" borderId="0" xfId="0" applyFont="1" applyFill="1" applyAlignment="1">
      <alignment horizontal="right"/>
    </xf>
    <xf numFmtId="0" fontId="2" fillId="25" borderId="0" xfId="35" applyFont="1" applyFill="1" applyAlignment="1" applyProtection="1">
      <alignment horizontal="right"/>
    </xf>
    <xf numFmtId="0" fontId="6" fillId="0" borderId="15" xfId="0" applyFont="1" applyBorder="1" applyAlignment="1" applyProtection="1">
      <alignment horizontal="left"/>
      <protection locked="0"/>
    </xf>
    <xf numFmtId="0" fontId="6" fillId="0" borderId="15" xfId="0" applyFont="1" applyBorder="1" applyAlignment="1" applyProtection="1">
      <protection locked="0"/>
    </xf>
    <xf numFmtId="0" fontId="6" fillId="0" borderId="15" xfId="0" applyFont="1" applyBorder="1" applyAlignment="1" applyProtection="1">
      <alignment horizontal="center"/>
      <protection locked="0"/>
    </xf>
    <xf numFmtId="169" fontId="6" fillId="0" borderId="15" xfId="0" applyNumberFormat="1" applyFont="1" applyBorder="1" applyAlignment="1" applyProtection="1">
      <alignment horizontal="center"/>
      <protection locked="0"/>
    </xf>
    <xf numFmtId="2" fontId="6" fillId="0" borderId="15" xfId="0" applyNumberFormat="1" applyFont="1" applyBorder="1" applyAlignment="1" applyProtection="1">
      <alignment horizontal="center"/>
      <protection locked="0"/>
    </xf>
    <xf numFmtId="1" fontId="6" fillId="0" borderId="15" xfId="0" applyNumberFormat="1" applyFont="1" applyBorder="1" applyAlignment="1" applyProtection="1">
      <protection locked="0"/>
    </xf>
    <xf numFmtId="0" fontId="6" fillId="0" borderId="13" xfId="0" applyFont="1" applyBorder="1" applyAlignment="1" applyProtection="1">
      <alignment horizontal="center"/>
      <protection locked="0"/>
    </xf>
    <xf numFmtId="2" fontId="6" fillId="0" borderId="13" xfId="0" applyNumberFormat="1" applyFont="1" applyBorder="1" applyAlignment="1" applyProtection="1">
      <alignment horizontal="center"/>
      <protection locked="0"/>
    </xf>
    <xf numFmtId="1" fontId="6" fillId="0" borderId="13" xfId="0" applyNumberFormat="1" applyFont="1" applyBorder="1" applyAlignment="1" applyProtection="1">
      <protection locked="0"/>
    </xf>
    <xf numFmtId="0" fontId="6" fillId="0" borderId="13" xfId="0" applyFont="1" applyFill="1" applyBorder="1" applyAlignment="1" applyProtection="1">
      <alignment horizontal="center"/>
      <protection locked="0"/>
    </xf>
    <xf numFmtId="0" fontId="6" fillId="0" borderId="16" xfId="0" applyFont="1" applyBorder="1" applyAlignment="1" applyProtection="1">
      <alignment horizontal="center"/>
      <protection locked="0"/>
    </xf>
    <xf numFmtId="2" fontId="6" fillId="0" borderId="16" xfId="0" applyNumberFormat="1" applyFont="1" applyBorder="1" applyAlignment="1" applyProtection="1">
      <alignment horizontal="center"/>
      <protection locked="0"/>
    </xf>
    <xf numFmtId="1" fontId="6" fillId="0" borderId="16" xfId="0" applyNumberFormat="1" applyFont="1" applyBorder="1" applyAlignment="1" applyProtection="1">
      <protection locked="0"/>
    </xf>
    <xf numFmtId="0" fontId="7" fillId="26" borderId="21" xfId="0" applyFont="1" applyFill="1" applyBorder="1" applyAlignment="1" applyProtection="1">
      <alignment horizontal="center"/>
      <protection locked="0"/>
    </xf>
    <xf numFmtId="0" fontId="7" fillId="27" borderId="21" xfId="0" applyFont="1" applyFill="1" applyBorder="1" applyAlignment="1" applyProtection="1">
      <alignment horizontal="center"/>
      <protection locked="0"/>
    </xf>
    <xf numFmtId="0" fontId="5" fillId="28" borderId="0" xfId="0" applyFont="1" applyFill="1"/>
    <xf numFmtId="0" fontId="5" fillId="28" borderId="0" xfId="0" applyFont="1" applyFill="1" applyAlignment="1">
      <alignment horizontal="right"/>
    </xf>
    <xf numFmtId="0" fontId="88" fillId="28" borderId="0" xfId="0" applyFont="1" applyFill="1"/>
    <xf numFmtId="0" fontId="5" fillId="28" borderId="19" xfId="0" applyFont="1" applyFill="1" applyBorder="1" applyAlignment="1">
      <alignment horizontal="centerContinuous"/>
    </xf>
    <xf numFmtId="41" fontId="5" fillId="28" borderId="0" xfId="0" applyNumberFormat="1" applyFont="1" applyFill="1" applyBorder="1"/>
    <xf numFmtId="0" fontId="5" fillId="28" borderId="0" xfId="0" applyFont="1" applyFill="1" applyBorder="1"/>
    <xf numFmtId="0" fontId="5" fillId="24" borderId="14" xfId="0" applyFont="1" applyFill="1" applyBorder="1"/>
    <xf numFmtId="41" fontId="5" fillId="24" borderId="14" xfId="0" applyNumberFormat="1" applyFont="1" applyFill="1" applyBorder="1"/>
    <xf numFmtId="0" fontId="5" fillId="24" borderId="13" xfId="0" applyFont="1" applyFill="1" applyBorder="1"/>
    <xf numFmtId="0" fontId="5" fillId="24" borderId="13" xfId="0" applyFont="1" applyFill="1" applyBorder="1" applyAlignment="1" applyProtection="1">
      <alignment horizontal="left"/>
    </xf>
    <xf numFmtId="41" fontId="5" fillId="24" borderId="13" xfId="0" applyNumberFormat="1" applyFont="1" applyFill="1" applyBorder="1"/>
    <xf numFmtId="0" fontId="5" fillId="24" borderId="16" xfId="0" applyFont="1" applyFill="1" applyBorder="1" applyAlignment="1" applyProtection="1">
      <alignment horizontal="left"/>
    </xf>
    <xf numFmtId="41" fontId="5" fillId="24" borderId="16" xfId="0" applyNumberFormat="1" applyFont="1" applyFill="1" applyBorder="1"/>
    <xf numFmtId="41" fontId="5" fillId="33" borderId="14" xfId="0" applyNumberFormat="1" applyFont="1" applyFill="1" applyBorder="1"/>
    <xf numFmtId="0" fontId="88" fillId="25" borderId="14" xfId="0" applyFont="1" applyFill="1" applyBorder="1" applyAlignment="1" applyProtection="1">
      <alignment horizontal="left"/>
    </xf>
    <xf numFmtId="41" fontId="5" fillId="24" borderId="23" xfId="0" applyNumberFormat="1" applyFont="1" applyFill="1" applyBorder="1"/>
    <xf numFmtId="41" fontId="5" fillId="24" borderId="42" xfId="0" applyNumberFormat="1" applyFont="1" applyFill="1" applyBorder="1"/>
    <xf numFmtId="0" fontId="88" fillId="27" borderId="13" xfId="0" applyFont="1" applyFill="1" applyBorder="1" applyAlignment="1" applyProtection="1">
      <alignment horizontal="left"/>
      <protection locked="0"/>
    </xf>
    <xf numFmtId="0" fontId="5" fillId="24" borderId="14" xfId="0" applyFont="1" applyFill="1" applyBorder="1" applyAlignment="1" applyProtection="1">
      <alignment horizontal="left"/>
    </xf>
    <xf numFmtId="0" fontId="88" fillId="27" borderId="21" xfId="0" applyFont="1" applyFill="1" applyBorder="1" applyAlignment="1" applyProtection="1">
      <alignment horizontal="left"/>
      <protection locked="0"/>
    </xf>
    <xf numFmtId="9" fontId="7" fillId="27" borderId="21" xfId="46" applyFont="1" applyFill="1" applyBorder="1" applyProtection="1">
      <protection locked="0"/>
    </xf>
    <xf numFmtId="0" fontId="5" fillId="24" borderId="42" xfId="0" applyFont="1" applyFill="1" applyBorder="1"/>
    <xf numFmtId="0" fontId="88" fillId="27" borderId="20" xfId="0" applyFont="1" applyFill="1" applyBorder="1" applyAlignment="1" applyProtection="1">
      <alignment horizontal="left"/>
      <protection locked="0"/>
    </xf>
    <xf numFmtId="0" fontId="88" fillId="25" borderId="21" xfId="0" applyFont="1" applyFill="1" applyBorder="1" applyAlignment="1" applyProtection="1">
      <alignment horizontal="left"/>
    </xf>
    <xf numFmtId="0" fontId="5" fillId="25" borderId="33" xfId="0" applyFont="1" applyFill="1" applyBorder="1"/>
    <xf numFmtId="41" fontId="5" fillId="25" borderId="21" xfId="0" applyNumberFormat="1" applyFont="1" applyFill="1" applyBorder="1"/>
    <xf numFmtId="41" fontId="7" fillId="25" borderId="21" xfId="0" applyNumberFormat="1" applyFont="1" applyFill="1" applyBorder="1" applyAlignment="1">
      <alignment horizontal="right"/>
    </xf>
    <xf numFmtId="41" fontId="5" fillId="25" borderId="34" xfId="0" applyNumberFormat="1" applyFont="1" applyFill="1" applyBorder="1"/>
    <xf numFmtId="9" fontId="7" fillId="27" borderId="21" xfId="46" applyFont="1" applyFill="1" applyBorder="1" applyAlignment="1" applyProtection="1">
      <alignment horizontal="center"/>
      <protection locked="0"/>
    </xf>
    <xf numFmtId="41" fontId="7" fillId="25" borderId="32" xfId="0" applyNumberFormat="1" applyFont="1" applyFill="1" applyBorder="1" applyAlignment="1">
      <alignment horizontal="right"/>
    </xf>
    <xf numFmtId="0" fontId="5" fillId="24" borderId="23" xfId="0" applyFont="1" applyFill="1" applyBorder="1"/>
    <xf numFmtId="0" fontId="7" fillId="25" borderId="21" xfId="0" applyFont="1" applyFill="1" applyBorder="1" applyAlignment="1" applyProtection="1">
      <alignment horizontal="left"/>
    </xf>
    <xf numFmtId="0" fontId="7" fillId="25" borderId="21" xfId="0" applyFont="1" applyFill="1" applyBorder="1" applyAlignment="1" applyProtection="1">
      <alignment horizontal="right"/>
    </xf>
    <xf numFmtId="0" fontId="6" fillId="24" borderId="14" xfId="0" applyFont="1" applyFill="1" applyBorder="1" applyAlignment="1" applyProtection="1">
      <alignment horizontal="left"/>
    </xf>
    <xf numFmtId="0" fontId="6" fillId="24" borderId="16" xfId="0" applyFont="1" applyFill="1" applyBorder="1" applyAlignment="1" applyProtection="1">
      <alignment horizontal="left"/>
    </xf>
    <xf numFmtId="0" fontId="7" fillId="27" borderId="21" xfId="0" applyFont="1" applyFill="1" applyBorder="1" applyAlignment="1" applyProtection="1">
      <alignment horizontal="left"/>
      <protection locked="0"/>
    </xf>
    <xf numFmtId="174" fontId="5" fillId="24" borderId="14" xfId="0" applyNumberFormat="1" applyFont="1" applyFill="1" applyBorder="1"/>
    <xf numFmtId="174" fontId="5" fillId="24" borderId="13" xfId="0" applyNumberFormat="1" applyFont="1" applyFill="1" applyBorder="1"/>
    <xf numFmtId="174" fontId="5" fillId="24" borderId="16" xfId="0" applyNumberFormat="1" applyFont="1" applyFill="1" applyBorder="1"/>
    <xf numFmtId="0" fontId="85" fillId="28" borderId="0" xfId="0" applyFont="1" applyFill="1"/>
    <xf numFmtId="41" fontId="5" fillId="33" borderId="13" xfId="0" applyNumberFormat="1" applyFont="1" applyFill="1" applyBorder="1"/>
    <xf numFmtId="41" fontId="5" fillId="33" borderId="16" xfId="0" applyNumberFormat="1" applyFont="1" applyFill="1" applyBorder="1"/>
    <xf numFmtId="41" fontId="5" fillId="33" borderId="42" xfId="0" applyNumberFormat="1" applyFont="1" applyFill="1" applyBorder="1"/>
    <xf numFmtId="41" fontId="5" fillId="33" borderId="20" xfId="0" applyNumberFormat="1" applyFont="1" applyFill="1" applyBorder="1"/>
    <xf numFmtId="0" fontId="5" fillId="24" borderId="16" xfId="0" applyFont="1" applyFill="1" applyBorder="1"/>
    <xf numFmtId="184" fontId="5" fillId="24" borderId="13" xfId="0" applyNumberFormat="1" applyFont="1" applyFill="1" applyBorder="1"/>
    <xf numFmtId="184" fontId="5" fillId="25" borderId="21" xfId="0" applyNumberFormat="1" applyFont="1" applyFill="1" applyBorder="1"/>
    <xf numFmtId="0" fontId="5" fillId="28" borderId="0" xfId="0" applyFont="1" applyFill="1" applyAlignment="1">
      <alignment horizontal="centerContinuous"/>
    </xf>
    <xf numFmtId="43" fontId="5" fillId="24" borderId="14" xfId="0" applyNumberFormat="1" applyFont="1" applyFill="1" applyBorder="1"/>
    <xf numFmtId="43" fontId="5" fillId="24" borderId="15" xfId="0" applyNumberFormat="1" applyFont="1" applyFill="1" applyBorder="1"/>
    <xf numFmtId="43" fontId="5" fillId="24" borderId="20" xfId="0" applyNumberFormat="1" applyFont="1" applyFill="1" applyBorder="1"/>
    <xf numFmtId="0" fontId="26" fillId="28" borderId="0" xfId="0" applyFont="1" applyFill="1" applyBorder="1" applyAlignment="1">
      <alignment horizontal="centerContinuous"/>
    </xf>
    <xf numFmtId="0" fontId="26" fillId="28" borderId="0" xfId="0" applyFont="1" applyFill="1" applyAlignment="1">
      <alignment horizontal="centerContinuous"/>
    </xf>
    <xf numFmtId="2" fontId="92" fillId="0" borderId="15" xfId="0" applyNumberFormat="1" applyFont="1" applyBorder="1"/>
    <xf numFmtId="172" fontId="92" fillId="0" borderId="15" xfId="0" applyNumberFormat="1" applyFont="1" applyBorder="1"/>
    <xf numFmtId="2" fontId="92" fillId="0" borderId="13" xfId="0" applyNumberFormat="1" applyFont="1" applyBorder="1"/>
    <xf numFmtId="172" fontId="92" fillId="0" borderId="13" xfId="0" applyNumberFormat="1" applyFont="1" applyBorder="1"/>
    <xf numFmtId="2" fontId="92" fillId="0" borderId="16" xfId="0" applyNumberFormat="1" applyFont="1" applyBorder="1"/>
    <xf numFmtId="172" fontId="92" fillId="0" borderId="16" xfId="0" applyNumberFormat="1" applyFont="1" applyBorder="1"/>
    <xf numFmtId="41" fontId="5" fillId="28" borderId="0" xfId="0" applyNumberFormat="1" applyFont="1" applyFill="1" applyBorder="1" applyAlignment="1">
      <alignment horizontal="centerContinuous"/>
    </xf>
    <xf numFmtId="3" fontId="5" fillId="28" borderId="0" xfId="0" applyNumberFormat="1" applyFont="1" applyFill="1" applyAlignment="1">
      <alignment horizontal="right"/>
    </xf>
    <xf numFmtId="0" fontId="93" fillId="29" borderId="0" xfId="0" applyFont="1" applyFill="1"/>
    <xf numFmtId="0" fontId="48" fillId="29" borderId="0" xfId="0" applyFont="1" applyFill="1" applyAlignment="1">
      <alignment horizontal="left"/>
    </xf>
    <xf numFmtId="0" fontId="94" fillId="29" borderId="0" xfId="0" applyFont="1" applyFill="1"/>
    <xf numFmtId="0" fontId="95" fillId="29" borderId="0" xfId="0" applyFont="1" applyFill="1" applyAlignment="1">
      <alignment horizontal="left"/>
    </xf>
    <xf numFmtId="0" fontId="95" fillId="29" borderId="0" xfId="0" applyFont="1" applyFill="1" applyBorder="1" applyAlignment="1">
      <alignment horizontal="left" vertical="center"/>
    </xf>
    <xf numFmtId="169" fontId="95" fillId="29" borderId="0" xfId="0" applyNumberFormat="1" applyFont="1" applyFill="1"/>
    <xf numFmtId="180" fontId="95" fillId="29" borderId="0" xfId="0" applyNumberFormat="1" applyFont="1" applyFill="1"/>
    <xf numFmtId="175" fontId="95" fillId="29" borderId="0" xfId="0" applyNumberFormat="1" applyFont="1" applyFill="1"/>
    <xf numFmtId="175" fontId="94" fillId="29" borderId="0" xfId="35" applyNumberFormat="1" applyFont="1" applyFill="1" applyAlignment="1" applyProtection="1">
      <alignment vertical="center"/>
    </xf>
    <xf numFmtId="2" fontId="96" fillId="29" borderId="0" xfId="0" applyNumberFormat="1" applyFont="1" applyFill="1" applyBorder="1" applyAlignment="1">
      <alignment horizontal="right" vertical="center"/>
    </xf>
    <xf numFmtId="2" fontId="94" fillId="29" borderId="0" xfId="35" applyNumberFormat="1" applyFont="1" applyFill="1" applyBorder="1" applyAlignment="1" applyProtection="1">
      <alignment horizontal="right" vertical="center"/>
    </xf>
    <xf numFmtId="0" fontId="48" fillId="0" borderId="0" xfId="0" applyFont="1" applyBorder="1"/>
    <xf numFmtId="0" fontId="97" fillId="29" borderId="0" xfId="0" applyFont="1" applyFill="1"/>
    <xf numFmtId="0" fontId="98" fillId="29" borderId="0" xfId="0" applyFont="1" applyFill="1" applyAlignment="1">
      <alignment horizontal="left"/>
    </xf>
    <xf numFmtId="0" fontId="98" fillId="29" borderId="0" xfId="0" applyFont="1" applyFill="1"/>
    <xf numFmtId="0" fontId="95" fillId="29" borderId="0" xfId="0" applyFont="1" applyFill="1" applyAlignment="1">
      <alignment vertical="center"/>
    </xf>
    <xf numFmtId="175" fontId="98" fillId="29" borderId="0" xfId="0" applyNumberFormat="1" applyFont="1" applyFill="1"/>
    <xf numFmtId="175" fontId="30" fillId="29" borderId="0" xfId="0" applyNumberFormat="1" applyFont="1" applyFill="1"/>
    <xf numFmtId="0" fontId="98" fillId="0" borderId="0" xfId="0" applyFont="1"/>
    <xf numFmtId="0" fontId="99" fillId="29" borderId="32" xfId="0" applyFont="1" applyFill="1" applyBorder="1" applyAlignment="1">
      <alignment horizontal="centerContinuous"/>
    </xf>
    <xf numFmtId="0" fontId="99" fillId="29" borderId="33" xfId="0" applyFont="1" applyFill="1" applyBorder="1" applyAlignment="1">
      <alignment horizontal="centerContinuous"/>
    </xf>
    <xf numFmtId="0" fontId="99" fillId="29" borderId="34" xfId="0" applyFont="1" applyFill="1" applyBorder="1" applyAlignment="1">
      <alignment horizontal="centerContinuous"/>
    </xf>
    <xf numFmtId="0" fontId="93" fillId="29" borderId="0" xfId="0" applyFont="1" applyFill="1" applyAlignment="1">
      <alignment horizontal="left" vertical="center"/>
    </xf>
    <xf numFmtId="0" fontId="93" fillId="29" borderId="0" xfId="0" applyFont="1" applyFill="1" applyAlignment="1">
      <alignment horizontal="left"/>
    </xf>
    <xf numFmtId="0" fontId="100" fillId="29" borderId="0" xfId="0" applyFont="1" applyFill="1" applyAlignment="1">
      <alignment horizontal="left"/>
    </xf>
    <xf numFmtId="0" fontId="92" fillId="29" borderId="0" xfId="0" applyFont="1" applyFill="1"/>
    <xf numFmtId="0" fontId="94" fillId="29" borderId="0" xfId="35" applyFont="1" applyFill="1" applyAlignment="1" applyProtection="1">
      <alignment vertical="center"/>
    </xf>
    <xf numFmtId="0" fontId="92" fillId="0" borderId="0" xfId="0" applyFont="1"/>
    <xf numFmtId="0" fontId="93" fillId="29" borderId="17" xfId="0" applyFont="1" applyFill="1" applyBorder="1" applyAlignment="1" applyProtection="1">
      <alignment horizontal="left" vertical="center"/>
      <protection locked="0"/>
    </xf>
    <xf numFmtId="0" fontId="101" fillId="29" borderId="10" xfId="0" applyFont="1" applyFill="1" applyBorder="1" applyAlignment="1" applyProtection="1">
      <alignment horizontal="centerContinuous" vertical="center"/>
      <protection locked="0"/>
    </xf>
    <xf numFmtId="0" fontId="94" fillId="29" borderId="10" xfId="35" applyFont="1" applyFill="1" applyBorder="1" applyAlignment="1" applyProtection="1">
      <alignment horizontal="left" vertical="center"/>
      <protection locked="0"/>
    </xf>
    <xf numFmtId="0" fontId="102" fillId="29" borderId="10" xfId="0" applyFont="1" applyFill="1" applyBorder="1" applyAlignment="1" applyProtection="1">
      <alignment horizontal="centerContinuous"/>
      <protection locked="0"/>
    </xf>
    <xf numFmtId="0" fontId="102" fillId="29" borderId="0" xfId="0" applyFont="1" applyFill="1" applyBorder="1" applyAlignment="1" applyProtection="1">
      <alignment horizontal="centerContinuous"/>
      <protection locked="0"/>
    </xf>
    <xf numFmtId="0" fontId="92" fillId="29" borderId="0" xfId="0" applyFont="1" applyFill="1" applyBorder="1" applyProtection="1">
      <protection locked="0"/>
    </xf>
    <xf numFmtId="0" fontId="92" fillId="0" borderId="0" xfId="0" applyFont="1" applyBorder="1" applyProtection="1">
      <protection locked="0"/>
    </xf>
    <xf numFmtId="0" fontId="92" fillId="0" borderId="0" xfId="0" applyFont="1" applyProtection="1">
      <protection locked="0"/>
    </xf>
    <xf numFmtId="0" fontId="96" fillId="29" borderId="0" xfId="42" applyFont="1" applyFill="1" applyAlignment="1">
      <alignment horizontal="center"/>
    </xf>
    <xf numFmtId="0" fontId="97" fillId="29" borderId="0" xfId="42" applyFont="1" applyFill="1"/>
    <xf numFmtId="0" fontId="97" fillId="29" borderId="0" xfId="42" applyFont="1" applyFill="1" applyAlignment="1">
      <alignment horizontal="center"/>
    </xf>
    <xf numFmtId="0" fontId="103" fillId="29" borderId="0" xfId="0" applyFont="1" applyFill="1" applyAlignment="1">
      <alignment horizontal="left"/>
    </xf>
    <xf numFmtId="0" fontId="103" fillId="0" borderId="0" xfId="0" applyFont="1" applyAlignment="1">
      <alignment horizontal="left"/>
    </xf>
    <xf numFmtId="0" fontId="103" fillId="0" borderId="0" xfId="0" applyFont="1"/>
    <xf numFmtId="0" fontId="95" fillId="29" borderId="0" xfId="0" applyFont="1" applyFill="1" applyAlignment="1">
      <alignment horizontal="left" vertical="center"/>
    </xf>
    <xf numFmtId="0" fontId="94" fillId="29" borderId="0" xfId="35" applyFont="1" applyFill="1" applyAlignment="1" applyProtection="1">
      <alignment horizontal="left" vertical="center"/>
    </xf>
    <xf numFmtId="0" fontId="103" fillId="29" borderId="0" xfId="0" applyFont="1" applyFill="1"/>
    <xf numFmtId="0" fontId="96" fillId="29" borderId="0" xfId="0" applyFont="1" applyFill="1" applyAlignment="1">
      <alignment horizontal="left" vertical="center"/>
    </xf>
    <xf numFmtId="0" fontId="100" fillId="29" borderId="0" xfId="0" applyFont="1" applyFill="1"/>
    <xf numFmtId="0" fontId="104" fillId="0" borderId="18" xfId="0" applyFont="1" applyBorder="1"/>
    <xf numFmtId="0" fontId="93" fillId="29" borderId="0" xfId="0" applyFont="1" applyFill="1" applyBorder="1" applyAlignment="1">
      <alignment horizontal="left" vertical="center"/>
    </xf>
    <xf numFmtId="0" fontId="95" fillId="29" borderId="0" xfId="0" applyFont="1" applyFill="1" applyBorder="1" applyAlignment="1">
      <alignment horizontal="left"/>
    </xf>
    <xf numFmtId="0" fontId="48" fillId="29" borderId="12" xfId="0" applyFont="1" applyFill="1" applyBorder="1"/>
    <xf numFmtId="0" fontId="48" fillId="29" borderId="0" xfId="0" applyFont="1" applyFill="1"/>
    <xf numFmtId="0" fontId="48" fillId="27" borderId="0" xfId="0" applyFont="1" applyFill="1" applyAlignment="1">
      <alignment vertical="center"/>
    </xf>
    <xf numFmtId="0" fontId="95" fillId="29" borderId="0" xfId="0" applyFont="1" applyFill="1" applyAlignment="1">
      <alignment horizontal="right" vertical="center"/>
    </xf>
    <xf numFmtId="0" fontId="96" fillId="29" borderId="0" xfId="0" applyFont="1" applyFill="1" applyAlignment="1">
      <alignment horizontal="left" vertical="center" wrapText="1"/>
    </xf>
    <xf numFmtId="0" fontId="99" fillId="29" borderId="0" xfId="0" applyFont="1" applyFill="1" applyBorder="1" applyAlignment="1">
      <alignment vertical="center" wrapText="1"/>
    </xf>
    <xf numFmtId="0" fontId="94" fillId="29" borderId="0" xfId="35" applyFont="1" applyFill="1" applyAlignment="1" applyProtection="1">
      <alignment vertical="center" wrapText="1"/>
    </xf>
    <xf numFmtId="0" fontId="99" fillId="29" borderId="0" xfId="0" applyFont="1" applyFill="1" applyAlignment="1">
      <alignment vertical="center" wrapText="1"/>
    </xf>
    <xf numFmtId="0" fontId="48" fillId="29" borderId="0" xfId="0" applyFont="1" applyFill="1" applyAlignment="1">
      <alignment vertical="center"/>
    </xf>
    <xf numFmtId="0" fontId="93" fillId="29" borderId="0" xfId="0" applyFont="1" applyFill="1" applyBorder="1" applyAlignment="1">
      <alignment horizontal="left"/>
    </xf>
    <xf numFmtId="0" fontId="48" fillId="0" borderId="12" xfId="0" applyFont="1" applyBorder="1"/>
    <xf numFmtId="0" fontId="48" fillId="27" borderId="0" xfId="0" applyFont="1" applyFill="1"/>
    <xf numFmtId="0" fontId="48" fillId="25" borderId="0" xfId="0" applyFont="1" applyFill="1"/>
    <xf numFmtId="0" fontId="93" fillId="29" borderId="0" xfId="0" applyFont="1" applyFill="1" applyBorder="1" applyAlignment="1">
      <alignment horizontal="centerContinuous"/>
    </xf>
    <xf numFmtId="0" fontId="98" fillId="25" borderId="0" xfId="0" applyFont="1" applyFill="1"/>
    <xf numFmtId="0" fontId="98" fillId="27" borderId="0" xfId="0" applyFont="1" applyFill="1"/>
    <xf numFmtId="0" fontId="105" fillId="25" borderId="0" xfId="35" applyFont="1" applyFill="1" applyAlignment="1" applyProtection="1">
      <alignment horizontal="center"/>
    </xf>
    <xf numFmtId="0" fontId="98" fillId="25" borderId="0" xfId="0" applyFont="1" applyFill="1" applyAlignment="1">
      <alignment horizontal="center"/>
    </xf>
    <xf numFmtId="0" fontId="106" fillId="25" borderId="0" xfId="35" applyFont="1" applyFill="1" applyAlignment="1" applyProtection="1">
      <alignment horizontal="center"/>
    </xf>
    <xf numFmtId="0" fontId="48" fillId="25" borderId="0" xfId="0" applyFont="1" applyFill="1" applyAlignment="1">
      <alignment horizontal="center"/>
    </xf>
    <xf numFmtId="17" fontId="48" fillId="25" borderId="0" xfId="0" applyNumberFormat="1" applyFont="1" applyFill="1" applyAlignment="1">
      <alignment horizontal="center"/>
    </xf>
    <xf numFmtId="0" fontId="48" fillId="25" borderId="0" xfId="0" applyFont="1" applyFill="1" applyBorder="1"/>
    <xf numFmtId="0" fontId="48" fillId="29" borderId="0" xfId="0" applyFont="1" applyFill="1" applyBorder="1"/>
    <xf numFmtId="0" fontId="107" fillId="29" borderId="0" xfId="0" applyFont="1" applyFill="1" applyAlignment="1">
      <alignment horizontal="right"/>
    </xf>
    <xf numFmtId="0" fontId="48" fillId="27" borderId="0" xfId="0" applyFont="1" applyFill="1" applyBorder="1"/>
    <xf numFmtId="0" fontId="108" fillId="29" borderId="0" xfId="0" applyFont="1" applyFill="1" applyBorder="1" applyAlignment="1">
      <alignment horizontal="centerContinuous" vertical="center"/>
    </xf>
    <xf numFmtId="0" fontId="109" fillId="27" borderId="0" xfId="0" applyFont="1" applyFill="1"/>
    <xf numFmtId="0" fontId="109" fillId="25" borderId="0" xfId="0" applyFont="1" applyFill="1"/>
    <xf numFmtId="0" fontId="110" fillId="25" borderId="0" xfId="0" applyFont="1" applyFill="1" applyAlignment="1">
      <alignment horizontal="right" vertical="center"/>
    </xf>
    <xf numFmtId="0" fontId="109" fillId="0" borderId="0" xfId="0" applyFont="1"/>
    <xf numFmtId="0" fontId="110" fillId="25" borderId="0" xfId="0" applyFont="1" applyFill="1" applyAlignment="1">
      <alignment horizontal="right"/>
    </xf>
    <xf numFmtId="0" fontId="101" fillId="0" borderId="18" xfId="0" applyFont="1" applyBorder="1" applyAlignment="1">
      <alignment horizontal="right"/>
    </xf>
    <xf numFmtId="0" fontId="97" fillId="29" borderId="0" xfId="0" applyFont="1" applyFill="1" applyBorder="1" applyAlignment="1"/>
    <xf numFmtId="0" fontId="97" fillId="29" borderId="0" xfId="0" applyFont="1" applyFill="1" applyBorder="1"/>
    <xf numFmtId="0" fontId="102" fillId="0" borderId="12" xfId="0" applyFont="1" applyBorder="1"/>
    <xf numFmtId="0" fontId="102" fillId="0" borderId="0" xfId="0" applyFont="1"/>
    <xf numFmtId="0" fontId="111" fillId="0" borderId="12" xfId="0" applyFont="1" applyBorder="1" applyAlignment="1">
      <alignment horizontal="right"/>
    </xf>
    <xf numFmtId="0" fontId="69" fillId="29" borderId="20" xfId="0" applyFont="1" applyFill="1" applyBorder="1" applyAlignment="1">
      <alignment horizontal="centerContinuous"/>
    </xf>
    <xf numFmtId="0" fontId="82" fillId="29" borderId="12" xfId="0" applyFont="1" applyFill="1" applyBorder="1" applyAlignment="1">
      <alignment horizontal="centerContinuous"/>
    </xf>
    <xf numFmtId="0" fontId="86" fillId="29" borderId="23" xfId="0" applyFont="1" applyFill="1" applyBorder="1" applyAlignment="1" applyProtection="1">
      <alignment horizontal="centerContinuous"/>
    </xf>
    <xf numFmtId="0" fontId="16" fillId="26" borderId="21" xfId="0" applyFont="1" applyFill="1" applyBorder="1" applyAlignment="1" applyProtection="1">
      <alignment horizontal="center" vertical="center"/>
      <protection locked="0"/>
    </xf>
    <xf numFmtId="0" fontId="112" fillId="28" borderId="0" xfId="0" applyFont="1" applyFill="1" applyAlignment="1">
      <alignment horizontal="right" vertical="center"/>
    </xf>
    <xf numFmtId="183" fontId="3" fillId="27" borderId="21" xfId="0" applyNumberFormat="1" applyFont="1" applyFill="1" applyBorder="1" applyAlignment="1" applyProtection="1">
      <alignment horizontal="center"/>
      <protection locked="0"/>
    </xf>
    <xf numFmtId="0" fontId="3" fillId="0" borderId="21" xfId="0" applyFont="1" applyFill="1" applyBorder="1" applyAlignment="1" applyProtection="1">
      <alignment horizontal="center"/>
      <protection locked="0"/>
    </xf>
    <xf numFmtId="0" fontId="72" fillId="0" borderId="0" xfId="0" applyFont="1"/>
    <xf numFmtId="0" fontId="113" fillId="28" borderId="0" xfId="0" applyFont="1" applyFill="1" applyAlignment="1">
      <alignment horizontal="right"/>
    </xf>
    <xf numFmtId="0" fontId="7" fillId="28" borderId="19" xfId="0" applyFont="1" applyFill="1" applyBorder="1" applyAlignment="1">
      <alignment horizontal="centerContinuous"/>
    </xf>
    <xf numFmtId="0" fontId="26" fillId="28" borderId="19" xfId="0" applyFont="1" applyFill="1" applyBorder="1" applyAlignment="1">
      <alignment horizontal="centerContinuous"/>
    </xf>
    <xf numFmtId="9" fontId="6" fillId="0" borderId="15" xfId="46" applyFont="1" applyBorder="1"/>
    <xf numFmtId="9" fontId="6" fillId="0" borderId="13" xfId="46" applyFont="1" applyBorder="1"/>
    <xf numFmtId="9" fontId="6" fillId="0" borderId="16" xfId="46" applyFont="1" applyBorder="1"/>
    <xf numFmtId="0" fontId="3" fillId="0" borderId="21" xfId="43" applyFont="1" applyBorder="1"/>
    <xf numFmtId="0" fontId="3" fillId="0" borderId="21" xfId="43" applyFont="1" applyBorder="1" applyAlignment="1">
      <alignment horizontal="center"/>
    </xf>
    <xf numFmtId="0" fontId="77" fillId="0" borderId="13" xfId="0" applyFont="1" applyBorder="1" applyProtection="1">
      <protection locked="0"/>
    </xf>
    <xf numFmtId="0" fontId="7" fillId="27" borderId="21" xfId="0" applyFont="1" applyFill="1" applyBorder="1" applyAlignment="1" applyProtection="1">
      <alignment vertical="center"/>
      <protection locked="0"/>
    </xf>
    <xf numFmtId="0" fontId="5" fillId="0" borderId="21" xfId="0" applyFont="1" applyFill="1" applyBorder="1" applyAlignment="1" applyProtection="1">
      <alignment horizontal="left" wrapText="1"/>
      <protection locked="0"/>
    </xf>
    <xf numFmtId="0" fontId="5" fillId="25" borderId="21" xfId="0" applyFont="1" applyFill="1" applyBorder="1" applyAlignment="1">
      <alignment horizontal="left" wrapText="1"/>
    </xf>
    <xf numFmtId="0" fontId="6" fillId="0" borderId="21" xfId="0" applyFont="1" applyFill="1" applyBorder="1" applyAlignment="1" applyProtection="1">
      <alignment wrapText="1"/>
      <protection locked="0"/>
    </xf>
    <xf numFmtId="2" fontId="88" fillId="26" borderId="0" xfId="0" applyNumberFormat="1" applyFont="1" applyFill="1" applyProtection="1">
      <protection locked="0"/>
    </xf>
    <xf numFmtId="0" fontId="2" fillId="0" borderId="13" xfId="35" applyBorder="1" applyAlignment="1" applyProtection="1">
      <protection locked="0"/>
    </xf>
    <xf numFmtId="0" fontId="0" fillId="28" borderId="0" xfId="0" applyFill="1" applyAlignment="1">
      <alignment wrapText="1"/>
    </xf>
    <xf numFmtId="0" fontId="7" fillId="27" borderId="32" xfId="0" applyFont="1" applyFill="1" applyBorder="1" applyAlignment="1" applyProtection="1">
      <alignment horizontal="left"/>
      <protection locked="0"/>
    </xf>
    <xf numFmtId="0" fontId="0" fillId="27" borderId="34" xfId="0" applyFill="1" applyBorder="1" applyAlignment="1">
      <alignment horizontal="left"/>
    </xf>
    <xf numFmtId="0" fontId="87" fillId="29" borderId="43" xfId="0" applyFont="1" applyFill="1" applyBorder="1" applyAlignment="1">
      <alignment horizontal="center" wrapText="1"/>
    </xf>
    <xf numFmtId="0" fontId="87" fillId="29" borderId="20" xfId="0" applyFont="1" applyFill="1" applyBorder="1" applyAlignment="1">
      <alignment horizontal="center" wrapText="1"/>
    </xf>
    <xf numFmtId="0" fontId="6" fillId="28" borderId="18" xfId="0" applyFont="1" applyFill="1" applyBorder="1" applyAlignment="1">
      <alignment horizontal="left" vertical="center" wrapText="1"/>
    </xf>
    <xf numFmtId="0" fontId="6" fillId="0" borderId="0" xfId="0" applyFont="1" applyAlignment="1">
      <alignment vertical="center" wrapText="1"/>
    </xf>
    <xf numFmtId="0" fontId="6" fillId="0" borderId="0" xfId="0" applyFont="1" applyBorder="1" applyAlignment="1">
      <alignment vertical="center" wrapText="1"/>
    </xf>
    <xf numFmtId="0" fontId="0" fillId="0" borderId="0" xfId="0" applyAlignment="1">
      <alignment vertical="center" wrapText="1"/>
    </xf>
    <xf numFmtId="0" fontId="88" fillId="27" borderId="32" xfId="0" applyFont="1" applyFill="1" applyBorder="1" applyAlignment="1" applyProtection="1">
      <alignment horizontal="center"/>
      <protection locked="0"/>
    </xf>
    <xf numFmtId="0" fontId="0" fillId="0" borderId="34" xfId="0" applyBorder="1"/>
    <xf numFmtId="0" fontId="88" fillId="26" borderId="32" xfId="0" applyFont="1" applyFill="1" applyBorder="1" applyAlignment="1" applyProtection="1">
      <alignment horizontal="center"/>
      <protection locked="0"/>
    </xf>
    <xf numFmtId="0" fontId="0" fillId="0" borderId="34" xfId="0" applyBorder="1" applyAlignment="1" applyProtection="1">
      <protection locked="0"/>
    </xf>
    <xf numFmtId="0" fontId="7" fillId="27" borderId="32" xfId="0" applyFont="1" applyFill="1" applyBorder="1" applyAlignment="1" applyProtection="1">
      <alignment horizontal="center"/>
      <protection locked="0"/>
    </xf>
    <xf numFmtId="0" fontId="7" fillId="26" borderId="32" xfId="0" applyFont="1" applyFill="1" applyBorder="1" applyAlignment="1" applyProtection="1">
      <alignment horizontal="center"/>
      <protection locked="0"/>
    </xf>
    <xf numFmtId="0" fontId="88" fillId="24" borderId="32" xfId="0" applyFont="1" applyFill="1" applyBorder="1" applyAlignment="1">
      <alignment horizontal="center"/>
    </xf>
    <xf numFmtId="0" fontId="0" fillId="0" borderId="34" xfId="0" applyBorder="1" applyAlignment="1"/>
    <xf numFmtId="3" fontId="88" fillId="27" borderId="21" xfId="0" applyNumberFormat="1" applyFont="1" applyFill="1" applyBorder="1" applyAlignment="1" applyProtection="1">
      <alignment horizontal="center"/>
      <protection locked="0"/>
    </xf>
    <xf numFmtId="3" fontId="0" fillId="27" borderId="21" xfId="0" applyNumberFormat="1" applyFill="1" applyBorder="1" applyAlignment="1" applyProtection="1">
      <alignment horizontal="center"/>
      <protection locked="0"/>
    </xf>
    <xf numFmtId="0" fontId="0" fillId="27" borderId="34" xfId="0" applyFill="1" applyBorder="1" applyAlignment="1" applyProtection="1">
      <alignment horizontal="center"/>
      <protection locked="0"/>
    </xf>
    <xf numFmtId="0" fontId="6" fillId="27" borderId="34" xfId="0" applyFont="1" applyFill="1" applyBorder="1" applyAlignment="1">
      <alignment horizontal="center"/>
    </xf>
    <xf numFmtId="0" fontId="0" fillId="0" borderId="34" xfId="0" applyBorder="1" applyAlignment="1" applyProtection="1">
      <alignment horizontal="center"/>
      <protection locked="0"/>
    </xf>
    <xf numFmtId="3" fontId="7" fillId="24" borderId="32" xfId="0" applyNumberFormat="1" applyFont="1" applyFill="1" applyBorder="1" applyAlignment="1" applyProtection="1">
      <alignment horizontal="center"/>
    </xf>
    <xf numFmtId="3" fontId="7" fillId="24" borderId="34" xfId="0" applyNumberFormat="1" applyFont="1" applyFill="1" applyBorder="1" applyAlignment="1" applyProtection="1">
      <alignment horizontal="center"/>
    </xf>
    <xf numFmtId="0" fontId="7" fillId="24" borderId="21" xfId="0" applyFont="1" applyFill="1" applyBorder="1" applyAlignment="1" applyProtection="1">
      <alignment horizontal="center"/>
    </xf>
    <xf numFmtId="0" fontId="0" fillId="0" borderId="21" xfId="0" applyBorder="1" applyAlignment="1" applyProtection="1">
      <alignment horizontal="center"/>
    </xf>
    <xf numFmtId="41" fontId="7" fillId="24" borderId="21" xfId="0" applyNumberFormat="1" applyFont="1" applyFill="1" applyBorder="1" applyAlignment="1">
      <alignment horizontal="center"/>
    </xf>
    <xf numFmtId="0" fontId="0" fillId="24" borderId="21" xfId="0" applyFill="1" applyBorder="1" applyAlignment="1">
      <alignment horizontal="center"/>
    </xf>
    <xf numFmtId="0" fontId="7" fillId="27" borderId="21" xfId="0" applyFont="1" applyFill="1" applyBorder="1" applyAlignment="1" applyProtection="1">
      <alignment horizontal="center"/>
      <protection locked="0"/>
    </xf>
    <xf numFmtId="0" fontId="0" fillId="27" borderId="21" xfId="0" applyFill="1" applyBorder="1" applyAlignment="1" applyProtection="1">
      <alignment horizontal="center"/>
      <protection locked="0"/>
    </xf>
    <xf numFmtId="41" fontId="7" fillId="24" borderId="21" xfId="0" applyNumberFormat="1" applyFont="1" applyFill="1" applyBorder="1" applyAlignment="1" applyProtection="1">
      <alignment horizontal="center"/>
    </xf>
    <xf numFmtId="0" fontId="7" fillId="24" borderId="21" xfId="0" applyFont="1" applyFill="1" applyBorder="1" applyAlignment="1">
      <alignment horizontal="center"/>
    </xf>
    <xf numFmtId="0" fontId="0" fillId="0" borderId="21" xfId="0" applyBorder="1" applyAlignment="1"/>
    <xf numFmtId="0" fontId="3" fillId="0" borderId="21" xfId="0" applyFont="1" applyBorder="1" applyAlignment="1"/>
    <xf numFmtId="0" fontId="23" fillId="29" borderId="17" xfId="0" applyFont="1" applyFill="1" applyBorder="1" applyAlignment="1">
      <alignment horizontal="center" vertical="center" wrapText="1"/>
    </xf>
    <xf numFmtId="0" fontId="0" fillId="0" borderId="18" xfId="0" applyBorder="1" applyAlignment="1">
      <alignment vertical="center"/>
    </xf>
    <xf numFmtId="0" fontId="23" fillId="29" borderId="23" xfId="0" applyFont="1" applyFill="1" applyBorder="1" applyAlignment="1">
      <alignment horizontal="center" vertical="center" wrapText="1"/>
    </xf>
    <xf numFmtId="0" fontId="23" fillId="29" borderId="20" xfId="0" applyFont="1" applyFill="1" applyBorder="1" applyAlignment="1">
      <alignment horizontal="center" vertical="center"/>
    </xf>
  </cellXfs>
  <cellStyles count="5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Milliers_Routine Vaccinations GHA_2004" xfId="38" xr:uid="{00000000-0005-0000-0000-000025000000}"/>
    <cellStyle name="Neutral" xfId="39" builtinId="28" customBuiltin="1"/>
    <cellStyle name="Normal" xfId="0" builtinId="0"/>
    <cellStyle name="Normal 2" xfId="40" xr:uid="{00000000-0005-0000-0000-000028000000}"/>
    <cellStyle name="Normal_152" xfId="41" xr:uid="{00000000-0005-0000-0000-000029000000}"/>
    <cellStyle name="Normal_GAVIGroup" xfId="42" xr:uid="{00000000-0005-0000-0000-00002A000000}"/>
    <cellStyle name="Normal_VaccinGovFin_1998-2006" xfId="43" xr:uid="{00000000-0005-0000-0000-00002B000000}"/>
    <cellStyle name="Note" xfId="44" builtinId="10" customBuiltin="1"/>
    <cellStyle name="Output" xfId="45" builtinId="21" customBuiltin="1"/>
    <cellStyle name="Percent" xfId="46" builtinId="5"/>
    <cellStyle name="Title" xfId="47" builtinId="15" customBuiltin="1"/>
    <cellStyle name="Total" xfId="48" builtinId="25" customBuiltin="1"/>
    <cellStyle name="Warning Text" xfId="49" builtinId="11" customBuiltin="1"/>
  </cellStyles>
  <dxfs count="89">
    <dxf>
      <fill>
        <patternFill>
          <bgColor indexed="31"/>
        </patternFill>
      </fill>
    </dxf>
    <dxf>
      <fill>
        <patternFill>
          <bgColor indexed="22"/>
        </patternFill>
      </fill>
    </dxf>
    <dxf>
      <fill>
        <patternFill>
          <bgColor indexed="31"/>
        </patternFill>
      </fill>
    </dxf>
    <dxf>
      <fill>
        <patternFill>
          <bgColor indexed="22"/>
        </patternFill>
      </fill>
    </dxf>
    <dxf>
      <fill>
        <patternFill>
          <bgColor indexed="31"/>
        </patternFill>
      </fill>
    </dxf>
    <dxf>
      <fill>
        <patternFill>
          <bgColor indexed="31"/>
        </patternFill>
      </fill>
    </dxf>
    <dxf>
      <fill>
        <patternFill>
          <bgColor indexed="22"/>
        </patternFill>
      </fill>
    </dxf>
    <dxf>
      <fill>
        <patternFill>
          <bgColor indexed="31"/>
        </patternFill>
      </fill>
    </dxf>
    <dxf>
      <fill>
        <patternFill>
          <bgColor indexed="22"/>
        </patternFill>
      </fill>
    </dxf>
    <dxf>
      <fill>
        <patternFill>
          <bgColor indexed="31"/>
        </patternFill>
      </fill>
    </dxf>
    <dxf>
      <fill>
        <patternFill>
          <bgColor indexed="31"/>
        </patternFill>
      </fill>
    </dxf>
    <dxf>
      <fill>
        <patternFill>
          <bgColor indexed="22"/>
        </patternFill>
      </fill>
    </dxf>
    <dxf>
      <fill>
        <patternFill>
          <bgColor indexed="31"/>
        </patternFill>
      </fill>
    </dxf>
    <dxf>
      <fill>
        <patternFill>
          <bgColor indexed="22"/>
        </patternFill>
      </fill>
    </dxf>
    <dxf>
      <fill>
        <patternFill>
          <bgColor indexed="31"/>
        </patternFill>
      </fill>
    </dxf>
    <dxf>
      <font>
        <b/>
        <i val="0"/>
        <condense val="0"/>
        <extend val="0"/>
        <color indexed="17"/>
      </font>
    </dxf>
    <dxf>
      <font>
        <b/>
        <i val="0"/>
        <condense val="0"/>
        <extend val="0"/>
        <color indexed="10"/>
      </font>
    </dxf>
    <dxf>
      <fill>
        <patternFill>
          <bgColor indexed="22"/>
        </patternFill>
      </fill>
    </dxf>
    <dxf>
      <fill>
        <patternFill>
          <bgColor indexed="22"/>
        </patternFill>
      </fill>
    </dxf>
    <dxf>
      <font>
        <condense val="0"/>
        <extend val="0"/>
        <color indexed="22"/>
      </font>
      <fill>
        <patternFill>
          <bgColor indexed="22"/>
        </patternFill>
      </fill>
    </dxf>
    <dxf>
      <fill>
        <patternFill>
          <bgColor indexed="22"/>
        </patternFill>
      </fill>
    </dxf>
    <dxf>
      <font>
        <b val="0"/>
        <i val="0"/>
        <condense val="0"/>
        <extend val="0"/>
        <color indexed="10"/>
      </font>
    </dxf>
    <dxf>
      <font>
        <b/>
        <i val="0"/>
        <condense val="0"/>
        <extend val="0"/>
        <color indexed="39"/>
      </font>
    </dxf>
    <dxf>
      <font>
        <b/>
        <i val="0"/>
        <condense val="0"/>
        <extend val="0"/>
        <color indexed="10"/>
      </font>
    </dxf>
    <dxf>
      <fill>
        <patternFill>
          <bgColor indexed="22"/>
        </patternFill>
      </fill>
    </dxf>
    <dxf>
      <font>
        <condense val="0"/>
        <extend val="0"/>
        <color indexed="22"/>
      </font>
      <fill>
        <patternFill>
          <bgColor indexed="22"/>
        </patternFill>
      </fill>
    </dxf>
    <dxf>
      <fill>
        <patternFill>
          <bgColor indexed="22"/>
        </patternFill>
      </fill>
    </dxf>
    <dxf>
      <font>
        <condense val="0"/>
        <extend val="0"/>
        <color indexed="12"/>
      </font>
    </dxf>
    <dxf>
      <font>
        <b/>
        <i val="0"/>
        <condense val="0"/>
        <extend val="0"/>
        <color indexed="39"/>
      </font>
    </dxf>
    <dxf>
      <font>
        <b/>
        <i val="0"/>
        <condense val="0"/>
        <extend val="0"/>
        <color indexed="10"/>
      </font>
    </dxf>
    <dxf>
      <font>
        <b val="0"/>
        <i val="0"/>
        <condense val="0"/>
        <extend val="0"/>
        <color indexed="10"/>
      </font>
    </dxf>
    <dxf>
      <font>
        <b/>
        <i val="0"/>
        <condense val="0"/>
        <extend val="0"/>
        <color indexed="39"/>
      </font>
    </dxf>
    <dxf>
      <font>
        <b/>
        <i val="0"/>
        <condense val="0"/>
        <extend val="0"/>
        <color indexed="10"/>
      </font>
    </dxf>
    <dxf>
      <fill>
        <patternFill>
          <bgColor indexed="22"/>
        </patternFill>
      </fill>
    </dxf>
    <dxf>
      <font>
        <condense val="0"/>
        <extend val="0"/>
        <color indexed="22"/>
      </font>
      <fill>
        <patternFill>
          <bgColor indexed="22"/>
        </patternFill>
      </fill>
    </dxf>
    <dxf>
      <fill>
        <patternFill>
          <bgColor indexed="22"/>
        </patternFill>
      </fill>
    </dxf>
    <dxf>
      <fill>
        <patternFill>
          <bgColor indexed="22"/>
        </patternFill>
      </fill>
    </dxf>
    <dxf>
      <font>
        <b val="0"/>
        <i val="0"/>
        <condense val="0"/>
        <extend val="0"/>
        <color indexed="10"/>
      </font>
    </dxf>
    <dxf>
      <font>
        <b val="0"/>
        <i val="0"/>
        <condense val="0"/>
        <extend val="0"/>
        <color indexed="10"/>
      </font>
    </dxf>
    <dxf>
      <font>
        <b/>
        <i val="0"/>
        <condense val="0"/>
        <extend val="0"/>
        <color indexed="39"/>
      </font>
    </dxf>
    <dxf>
      <font>
        <b/>
        <i val="0"/>
        <condense val="0"/>
        <extend val="0"/>
        <color indexed="10"/>
      </font>
    </dxf>
    <dxf>
      <fill>
        <patternFill>
          <bgColor indexed="22"/>
        </patternFill>
      </fill>
    </dxf>
    <dxf>
      <font>
        <condense val="0"/>
        <extend val="0"/>
        <color indexed="22"/>
      </font>
      <fill>
        <patternFill>
          <bgColor indexed="22"/>
        </patternFill>
      </fill>
    </dxf>
    <dxf>
      <fill>
        <patternFill>
          <bgColor indexed="22"/>
        </patternFill>
      </fill>
    </dxf>
    <dxf>
      <fill>
        <patternFill>
          <bgColor indexed="22"/>
        </patternFill>
      </fill>
    </dxf>
    <dxf>
      <font>
        <b val="0"/>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ill>
        <patternFill>
          <bgColor indexed="10"/>
        </patternFill>
      </fill>
    </dxf>
    <dxf>
      <fill>
        <patternFill>
          <bgColor indexed="47"/>
        </patternFill>
      </fill>
    </dxf>
    <dxf>
      <font>
        <condense val="0"/>
        <extend val="0"/>
        <color auto="1"/>
      </font>
      <fill>
        <patternFill>
          <bgColor indexed="42"/>
        </patternFill>
      </fill>
    </dxf>
    <dxf>
      <font>
        <condense val="0"/>
        <extend val="0"/>
        <color indexed="47"/>
      </font>
    </dxf>
    <dxf>
      <font>
        <b/>
        <i val="0"/>
        <condense val="0"/>
        <extend val="0"/>
      </font>
      <fill>
        <patternFill>
          <bgColor indexed="53"/>
        </patternFill>
      </fill>
    </dxf>
    <dxf>
      <fill>
        <patternFill>
          <bgColor indexed="47"/>
        </patternFill>
      </fill>
    </dxf>
    <dxf>
      <font>
        <condense val="0"/>
        <extend val="0"/>
        <color auto="1"/>
      </font>
      <fill>
        <patternFill>
          <bgColor indexed="42"/>
        </patternFill>
      </fill>
    </dxf>
    <dxf>
      <font>
        <b/>
        <i val="0"/>
        <condense val="0"/>
        <extend val="0"/>
        <color indexed="9"/>
      </font>
      <fill>
        <patternFill>
          <bgColor indexed="10"/>
        </patternFill>
      </fill>
    </dxf>
    <dxf>
      <fill>
        <patternFill>
          <bgColor indexed="52"/>
        </patternFill>
      </fill>
    </dxf>
    <dxf>
      <font>
        <condense val="0"/>
        <extend val="0"/>
        <color auto="1"/>
      </font>
      <fill>
        <patternFill>
          <bgColor indexed="42"/>
        </patternFill>
      </fill>
    </dxf>
    <dxf>
      <font>
        <b val="0"/>
        <i val="0"/>
        <condense val="0"/>
        <extend val="0"/>
        <color indexed="10"/>
      </font>
    </dxf>
    <dxf>
      <font>
        <b/>
        <i val="0"/>
        <condense val="0"/>
        <extend val="0"/>
        <color indexed="10"/>
      </font>
    </dxf>
    <dxf>
      <font>
        <condense val="0"/>
        <extend val="0"/>
        <color indexed="21"/>
      </font>
    </dxf>
    <dxf>
      <font>
        <condense val="0"/>
        <extend val="0"/>
        <color indexed="22"/>
      </font>
      <fill>
        <patternFill>
          <bgColor indexed="22"/>
        </patternFill>
      </fill>
    </dxf>
    <dxf>
      <font>
        <condense val="0"/>
        <extend val="0"/>
        <color indexed="22"/>
      </font>
      <fill>
        <patternFill>
          <bgColor indexed="22"/>
        </patternFill>
      </fill>
    </dxf>
    <dxf>
      <fill>
        <patternFill>
          <bgColor indexed="22"/>
        </patternFill>
      </fill>
    </dxf>
    <dxf>
      <font>
        <b/>
        <i val="0"/>
        <condense val="0"/>
        <extend val="0"/>
        <color indexed="39"/>
      </font>
    </dxf>
    <dxf>
      <font>
        <b/>
        <i val="0"/>
        <condense val="0"/>
        <extend val="0"/>
        <color indexed="10"/>
      </font>
    </dxf>
    <dxf>
      <font>
        <b val="0"/>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condense val="0"/>
        <extend val="0"/>
        <color indexed="12"/>
      </font>
    </dxf>
    <dxf>
      <font>
        <condense val="0"/>
        <extend val="0"/>
        <color indexed="22"/>
      </font>
      <fill>
        <patternFill>
          <bgColor indexed="22"/>
        </patternFill>
      </fill>
    </dxf>
    <dxf>
      <font>
        <condense val="0"/>
        <extend val="0"/>
        <color indexed="22"/>
      </font>
      <fill>
        <patternFill>
          <bgColor indexed="22"/>
        </patternFill>
      </fill>
    </dxf>
    <dxf>
      <font>
        <condense val="0"/>
        <extend val="0"/>
        <color indexed="22"/>
      </font>
      <fill>
        <patternFill>
          <bgColor indexed="22"/>
        </patternFill>
      </fill>
    </dxf>
    <dxf>
      <fill>
        <patternFill>
          <bgColor indexed="22"/>
        </patternFill>
      </fill>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ont>
        <b/>
        <i val="0"/>
        <condense val="0"/>
        <extend val="0"/>
        <color indexed="39"/>
      </font>
    </dxf>
    <dxf>
      <font>
        <b/>
        <i val="0"/>
        <condense val="0"/>
        <extend val="0"/>
        <color indexed="10"/>
      </font>
    </dxf>
    <dxf>
      <fill>
        <patternFill>
          <bgColor indexe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hartsheet" Target="chartsheets/sheet3.xml"/><Relationship Id="rId18" Type="http://schemas.openxmlformats.org/officeDocument/2006/relationships/chartsheet" Target="chartsheets/sheet8.xml"/><Relationship Id="rId26" Type="http://schemas.openxmlformats.org/officeDocument/2006/relationships/chartsheet" Target="chartsheets/sheet13.xml"/><Relationship Id="rId21" Type="http://schemas.openxmlformats.org/officeDocument/2006/relationships/chartsheet" Target="chartsheets/sheet1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chartsheet" Target="chartsheets/sheet2.xml"/><Relationship Id="rId17" Type="http://schemas.openxmlformats.org/officeDocument/2006/relationships/chartsheet" Target="chartsheets/sheet7.xml"/><Relationship Id="rId25" Type="http://schemas.openxmlformats.org/officeDocument/2006/relationships/worksheet" Target="worksheets/sheet13.xml"/><Relationship Id="rId33"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hartsheet" Target="chartsheets/sheet6.xml"/><Relationship Id="rId20" Type="http://schemas.openxmlformats.org/officeDocument/2006/relationships/chartsheet" Target="chartsheets/sheet10.xml"/><Relationship Id="rId29"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1.xml"/><Relationship Id="rId24" Type="http://schemas.openxmlformats.org/officeDocument/2006/relationships/worksheet" Target="worksheets/sheet12.xml"/><Relationship Id="rId32" Type="http://schemas.openxmlformats.org/officeDocument/2006/relationships/externalLink" Target="externalLinks/externalLink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hartsheet" Target="chartsheets/sheet5.xml"/><Relationship Id="rId23" Type="http://schemas.openxmlformats.org/officeDocument/2006/relationships/worksheet" Target="worksheets/sheet11.xml"/><Relationship Id="rId28" Type="http://schemas.openxmlformats.org/officeDocument/2006/relationships/worksheet" Target="worksheets/sheet1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hartsheet" Target="chartsheets/sheet9.xml"/><Relationship Id="rId31"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hartsheet" Target="chartsheets/sheet4.xml"/><Relationship Id="rId22" Type="http://schemas.openxmlformats.org/officeDocument/2006/relationships/chartsheet" Target="chartsheets/sheet12.xml"/><Relationship Id="rId27" Type="http://schemas.openxmlformats.org/officeDocument/2006/relationships/worksheet" Target="worksheets/sheet14.xml"/><Relationship Id="rId30" Type="http://schemas.openxmlformats.org/officeDocument/2006/relationships/worksheet" Target="worksheets/sheet17.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Vaccine_Selection!$B$2</c:f>
          <c:strCache>
            <c:ptCount val="1"/>
            <c:pt idx="0">
              <c:v>Vaccine storage volumes</c:v>
            </c:pt>
          </c:strCache>
        </c:strRef>
      </c:tx>
      <c:layout>
        <c:manualLayout>
          <c:xMode val="edge"/>
          <c:yMode val="edge"/>
          <c:x val="0.20591999999999999"/>
          <c:y val="1.358695652173913E-2"/>
        </c:manualLayout>
      </c:layout>
      <c:overlay val="0"/>
      <c:spPr>
        <a:noFill/>
        <a:ln w="25400">
          <a:noFill/>
        </a:ln>
      </c:spPr>
      <c:txPr>
        <a:bodyPr/>
        <a:lstStyle/>
        <a:p>
          <a:pPr>
            <a:defRPr sz="11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9400000000000001"/>
          <c:y val="6.7934782608695649E-2"/>
          <c:w val="0.76600000000000001"/>
          <c:h val="0.64673913043478259"/>
        </c:manualLayout>
      </c:layout>
      <c:barChart>
        <c:barDir val="bar"/>
        <c:grouping val="clustered"/>
        <c:varyColors val="0"/>
        <c:ser>
          <c:idx val="1"/>
          <c:order val="0"/>
          <c:tx>
            <c:strRef>
              <c:f>Vaccine_Selection!$L$39</c:f>
              <c:strCache>
                <c:ptCount val="1"/>
                <c:pt idx="0">
                  <c:v>Net volume of all vaccines except OPV stored at +5°C in higher level stores, per Unit of Population </c:v>
                </c:pt>
              </c:strCache>
            </c:strRef>
          </c:tx>
          <c:spPr>
            <a:gradFill rotWithShape="0">
              <a:gsLst>
                <a:gs pos="0">
                  <a:srgbClr val="FFCC99"/>
                </a:gs>
                <a:gs pos="100000">
                  <a:srgbClr val="765E47">
                    <a:gamma/>
                    <a:shade val="46275"/>
                    <a:invGamma/>
                  </a:srgbClr>
                </a:gs>
              </a:gsLst>
              <a:lin ang="5400000" scaled="1"/>
            </a:gradFill>
            <a:ln w="12700">
              <a:solidFill>
                <a:srgbClr val="000000"/>
              </a:solidFill>
              <a:prstDash val="solid"/>
            </a:ln>
          </c:spPr>
          <c:invertIfNegative val="0"/>
          <c:cat>
            <c:strRef>
              <c:f>Vaccine_Selection!$M$16:$Q$16</c:f>
              <c:strCache>
                <c:ptCount val="3"/>
                <c:pt idx="0">
                  <c:v>Current schedule</c:v>
                </c:pt>
                <c:pt idx="1">
                  <c:v>Current schedule with penta 1d</c:v>
                </c:pt>
                <c:pt idx="2">
                  <c:v>Current schedule with penta CAD</c:v>
                </c:pt>
              </c:strCache>
            </c:strRef>
          </c:cat>
          <c:val>
            <c:numRef>
              <c:f>Vaccine_Selection!$M$39:$Q$39</c:f>
              <c:numCache>
                <c:formatCode>0.0</c:formatCode>
                <c:ptCount val="5"/>
                <c:pt idx="0">
                  <c:v>0.60087471111111113</c:v>
                </c:pt>
                <c:pt idx="1">
                  <c:v>1.3917051111111109</c:v>
                </c:pt>
                <c:pt idx="2">
                  <c:v>1.1118747111111111</c:v>
                </c:pt>
                <c:pt idx="3">
                  <c:v>0</c:v>
                </c:pt>
                <c:pt idx="4">
                  <c:v>0</c:v>
                </c:pt>
              </c:numCache>
            </c:numRef>
          </c:val>
          <c:extLst>
            <c:ext xmlns:c16="http://schemas.microsoft.com/office/drawing/2014/chart" uri="{C3380CC4-5D6E-409C-BE32-E72D297353CC}">
              <c16:uniqueId val="{00000000-5BCF-A44E-97BE-9B4F3AEF92D3}"/>
            </c:ext>
          </c:extLst>
        </c:ser>
        <c:ser>
          <c:idx val="2"/>
          <c:order val="1"/>
          <c:tx>
            <c:strRef>
              <c:f>Vaccine_Selection!$L$40</c:f>
              <c:strCache>
                <c:ptCount val="1"/>
                <c:pt idx="0">
                  <c:v>Net volume of all vaccines, including OPV, stored at +5°C in lower level stores, per Unit of Population </c:v>
                </c:pt>
              </c:strCache>
            </c:strRef>
          </c:tx>
          <c:spPr>
            <a:gradFill rotWithShape="0">
              <a:gsLst>
                <a:gs pos="0">
                  <a:srgbClr val="FF99CC"/>
                </a:gs>
                <a:gs pos="100000">
                  <a:srgbClr val="76475E">
                    <a:gamma/>
                    <a:shade val="46275"/>
                    <a:invGamma/>
                  </a:srgbClr>
                </a:gs>
              </a:gsLst>
              <a:lin ang="5400000" scaled="1"/>
            </a:gradFill>
            <a:ln w="12700">
              <a:solidFill>
                <a:srgbClr val="000000"/>
              </a:solidFill>
              <a:prstDash val="solid"/>
            </a:ln>
          </c:spPr>
          <c:invertIfNegative val="0"/>
          <c:cat>
            <c:strRef>
              <c:f>Vaccine_Selection!$M$16:$Q$16</c:f>
              <c:strCache>
                <c:ptCount val="3"/>
                <c:pt idx="0">
                  <c:v>Current schedule</c:v>
                </c:pt>
                <c:pt idx="1">
                  <c:v>Current schedule with penta 1d</c:v>
                </c:pt>
                <c:pt idx="2">
                  <c:v>Current schedule with penta CAD</c:v>
                </c:pt>
              </c:strCache>
            </c:strRef>
          </c:cat>
          <c:val>
            <c:numRef>
              <c:f>Vaccine_Selection!$M$40:$Q$40</c:f>
              <c:numCache>
                <c:formatCode>0.0</c:formatCode>
                <c:ptCount val="5"/>
                <c:pt idx="0">
                  <c:v>0.80354137777777779</c:v>
                </c:pt>
                <c:pt idx="1">
                  <c:v>1.5943717777777777</c:v>
                </c:pt>
                <c:pt idx="2">
                  <c:v>1.3145413777777777</c:v>
                </c:pt>
                <c:pt idx="3">
                  <c:v>0</c:v>
                </c:pt>
                <c:pt idx="4">
                  <c:v>0</c:v>
                </c:pt>
              </c:numCache>
            </c:numRef>
          </c:val>
          <c:extLst>
            <c:ext xmlns:c16="http://schemas.microsoft.com/office/drawing/2014/chart" uri="{C3380CC4-5D6E-409C-BE32-E72D297353CC}">
              <c16:uniqueId val="{00000001-5BCF-A44E-97BE-9B4F3AEF92D3}"/>
            </c:ext>
          </c:extLst>
        </c:ser>
        <c:ser>
          <c:idx val="3"/>
          <c:order val="2"/>
          <c:tx>
            <c:strRef>
              <c:f>Vaccine_Selection!$L$41</c:f>
              <c:strCache>
                <c:ptCount val="1"/>
                <c:pt idx="0">
                  <c:v>Net volume of vaccines and diluents, stored at +5°C at service points, per Unit of Population </c:v>
                </c:pt>
              </c:strCache>
            </c:strRef>
          </c:tx>
          <c:spPr>
            <a:gradFill rotWithShape="0">
              <a:gsLst>
                <a:gs pos="0">
                  <a:srgbClr val="CCFFFF"/>
                </a:gs>
                <a:gs pos="100000">
                  <a:srgbClr val="5E7676">
                    <a:gamma/>
                    <a:shade val="46275"/>
                    <a:invGamma/>
                  </a:srgbClr>
                </a:gs>
              </a:gsLst>
              <a:lin ang="5400000" scaled="1"/>
            </a:gradFill>
            <a:ln w="12700">
              <a:solidFill>
                <a:srgbClr val="000000"/>
              </a:solidFill>
              <a:prstDash val="solid"/>
            </a:ln>
          </c:spPr>
          <c:invertIfNegative val="0"/>
          <c:cat>
            <c:strRef>
              <c:f>Vaccine_Selection!$M$16:$Q$16</c:f>
              <c:strCache>
                <c:ptCount val="3"/>
                <c:pt idx="0">
                  <c:v>Current schedule</c:v>
                </c:pt>
                <c:pt idx="1">
                  <c:v>Current schedule with penta 1d</c:v>
                </c:pt>
                <c:pt idx="2">
                  <c:v>Current schedule with penta CAD</c:v>
                </c:pt>
              </c:strCache>
            </c:strRef>
          </c:cat>
          <c:val>
            <c:numRef>
              <c:f>Vaccine_Selection!$M$41:$Q$41</c:f>
              <c:numCache>
                <c:formatCode>0.0</c:formatCode>
                <c:ptCount val="5"/>
                <c:pt idx="0">
                  <c:v>1.077316711111111</c:v>
                </c:pt>
                <c:pt idx="1">
                  <c:v>1.868147111111111</c:v>
                </c:pt>
                <c:pt idx="2">
                  <c:v>1.5883167111111109</c:v>
                </c:pt>
                <c:pt idx="3">
                  <c:v>0</c:v>
                </c:pt>
                <c:pt idx="4">
                  <c:v>0</c:v>
                </c:pt>
              </c:numCache>
            </c:numRef>
          </c:val>
          <c:extLst>
            <c:ext xmlns:c16="http://schemas.microsoft.com/office/drawing/2014/chart" uri="{C3380CC4-5D6E-409C-BE32-E72D297353CC}">
              <c16:uniqueId val="{00000002-5BCF-A44E-97BE-9B4F3AEF92D3}"/>
            </c:ext>
          </c:extLst>
        </c:ser>
        <c:dLbls>
          <c:showLegendKey val="0"/>
          <c:showVal val="0"/>
          <c:showCatName val="0"/>
          <c:showSerName val="0"/>
          <c:showPercent val="0"/>
          <c:showBubbleSize val="0"/>
        </c:dLbls>
        <c:gapWidth val="150"/>
        <c:axId val="109355008"/>
        <c:axId val="109356544"/>
      </c:barChart>
      <c:catAx>
        <c:axId val="10935500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Narrow"/>
                <a:ea typeface="Arial Narrow"/>
                <a:cs typeface="Arial Narrow"/>
              </a:defRPr>
            </a:pPr>
            <a:endParaRPr lang="fr-FR"/>
          </a:p>
        </c:txPr>
        <c:crossAx val="109356544"/>
        <c:crosses val="autoZero"/>
        <c:auto val="1"/>
        <c:lblAlgn val="ctr"/>
        <c:lblOffset val="100"/>
        <c:tickLblSkip val="1"/>
        <c:tickMarkSkip val="1"/>
        <c:noMultiLvlLbl val="0"/>
      </c:catAx>
      <c:valAx>
        <c:axId val="109356544"/>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fr-CH"/>
                  <a:t>Volume, cm3</a:t>
                </a:r>
              </a:p>
            </c:rich>
          </c:tx>
          <c:layout>
            <c:manualLayout>
              <c:xMode val="edge"/>
              <c:yMode val="edge"/>
              <c:x val="0.82"/>
              <c:y val="0.79347826086956519"/>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Calibri"/>
                <a:ea typeface="Calibri"/>
                <a:cs typeface="Calibri"/>
              </a:defRPr>
            </a:pPr>
            <a:endParaRPr lang="fr-FR"/>
          </a:p>
        </c:txPr>
        <c:crossAx val="109355008"/>
        <c:crosses val="autoZero"/>
        <c:crossBetween val="between"/>
      </c:valAx>
      <c:spPr>
        <a:solidFill>
          <a:srgbClr val="FFFFFF"/>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845" b="0" i="0" u="none" strike="noStrike" baseline="0">
              <a:solidFill>
                <a:srgbClr val="000000"/>
              </a:solidFill>
              <a:latin typeface="Arial Narrow"/>
              <a:ea typeface="Arial Narrow"/>
              <a:cs typeface="Arial Narrow"/>
            </a:defRPr>
          </a:pPr>
          <a:endParaRPr lang="fr-FR"/>
        </a:p>
      </c:txPr>
    </c:legend>
    <c:plotVisOnly val="1"/>
    <c:dispBlanksAs val="gap"/>
    <c:showDLblsOverMax val="0"/>
  </c:chart>
  <c:spPr>
    <a:solidFill>
      <a:srgbClr val="CCCCFF"/>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fr-FR"/>
    </a:p>
  </c:txPr>
  <c:printSettings>
    <c:headerFooter alignWithMargins="0"/>
    <c:pageMargins b="1" l="0.75000000000000011" r="0.75000000000000011"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Volume_Inject!$B$2</c:f>
          <c:strCache>
            <c:ptCount val="1"/>
            <c:pt idx="0">
              <c:v>Volume of diluents and safe injection equipment per recipient</c:v>
            </c:pt>
          </c:strCache>
        </c:strRef>
      </c:tx>
      <c:layout>
        <c:manualLayout>
          <c:xMode val="edge"/>
          <c:yMode val="edge"/>
          <c:x val="0.14224141337171564"/>
          <c:y val="1.3550420018635882E-2"/>
        </c:manualLayout>
      </c:layout>
      <c:overlay val="0"/>
      <c:spPr>
        <a:noFill/>
        <a:ln w="25400">
          <a:noFill/>
        </a:ln>
      </c:spPr>
      <c:txPr>
        <a:bodyPr/>
        <a:lstStyle/>
        <a:p>
          <a:pPr>
            <a:defRPr sz="11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8279608282107448"/>
          <c:y val="0.17344219343398923"/>
          <c:w val="0.76344246354684042"/>
          <c:h val="0.65582829392227182"/>
        </c:manualLayout>
      </c:layout>
      <c:barChart>
        <c:barDir val="bar"/>
        <c:grouping val="clustered"/>
        <c:varyColors val="0"/>
        <c:ser>
          <c:idx val="0"/>
          <c:order val="0"/>
          <c:tx>
            <c:strRef>
              <c:f>Volume_Inject!$K$38</c:f>
              <c:strCache>
                <c:ptCount val="1"/>
                <c:pt idx="0">
                  <c:v>Total net storage volume of injection supplies per Unit of Population , cm3</c:v>
                </c:pt>
              </c:strCache>
            </c:strRef>
          </c:tx>
          <c:spPr>
            <a:gradFill rotWithShape="0">
              <a:gsLst>
                <a:gs pos="0">
                  <a:srgbClr val="9999FF"/>
                </a:gs>
                <a:gs pos="100000">
                  <a:srgbClr val="474776">
                    <a:gamma/>
                    <a:shade val="46275"/>
                    <a:invGamma/>
                  </a:srgbClr>
                </a:gs>
              </a:gsLst>
              <a:lin ang="5400000" scaled="1"/>
            </a:gradFill>
            <a:ln w="12700">
              <a:solidFill>
                <a:srgbClr val="000000"/>
              </a:solidFill>
              <a:prstDash val="solid"/>
            </a:ln>
          </c:spPr>
          <c:invertIfNegative val="0"/>
          <c:cat>
            <c:strRef>
              <c:f>Volume_Inject!$M$12:$Q$12</c:f>
              <c:strCache>
                <c:ptCount val="3"/>
                <c:pt idx="0">
                  <c:v>Current schedule</c:v>
                </c:pt>
                <c:pt idx="1">
                  <c:v>Current schedule with penta 1d</c:v>
                </c:pt>
                <c:pt idx="2">
                  <c:v>Current schedule with penta CAD</c:v>
                </c:pt>
              </c:strCache>
            </c:strRef>
          </c:cat>
          <c:val>
            <c:numRef>
              <c:f>Volume_Inject!$M$38:$Q$38</c:f>
              <c:numCache>
                <c:formatCode>0.0</c:formatCode>
                <c:ptCount val="5"/>
                <c:pt idx="0">
                  <c:v>11.436857649999999</c:v>
                </c:pt>
                <c:pt idx="1">
                  <c:v>11.436857649999999</c:v>
                </c:pt>
                <c:pt idx="2">
                  <c:v>7.8838576499999995</c:v>
                </c:pt>
                <c:pt idx="3">
                  <c:v>0</c:v>
                </c:pt>
                <c:pt idx="4">
                  <c:v>0</c:v>
                </c:pt>
              </c:numCache>
            </c:numRef>
          </c:val>
          <c:extLst>
            <c:ext xmlns:c16="http://schemas.microsoft.com/office/drawing/2014/chart" uri="{C3380CC4-5D6E-409C-BE32-E72D297353CC}">
              <c16:uniqueId val="{00000000-122B-8242-9EC4-E032152A7647}"/>
            </c:ext>
          </c:extLst>
        </c:ser>
        <c:dLbls>
          <c:showLegendKey val="0"/>
          <c:showVal val="0"/>
          <c:showCatName val="0"/>
          <c:showSerName val="0"/>
          <c:showPercent val="0"/>
          <c:showBubbleSize val="0"/>
        </c:dLbls>
        <c:gapWidth val="150"/>
        <c:axId val="118835072"/>
        <c:axId val="118836608"/>
      </c:barChart>
      <c:catAx>
        <c:axId val="11883507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Narrow"/>
                <a:ea typeface="Arial Narrow"/>
                <a:cs typeface="Arial Narrow"/>
              </a:defRPr>
            </a:pPr>
            <a:endParaRPr lang="fr-FR"/>
          </a:p>
        </c:txPr>
        <c:crossAx val="118836608"/>
        <c:crosses val="autoZero"/>
        <c:auto val="1"/>
        <c:lblAlgn val="ctr"/>
        <c:lblOffset val="100"/>
        <c:tickLblSkip val="1"/>
        <c:tickMarkSkip val="1"/>
        <c:noMultiLvlLbl val="0"/>
      </c:catAx>
      <c:valAx>
        <c:axId val="118836608"/>
        <c:scaling>
          <c:orientation val="minMax"/>
        </c:scaling>
        <c:delete val="0"/>
        <c:axPos val="b"/>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fr-CH"/>
                  <a:t>Volume, cm3</a:t>
                </a:r>
              </a:p>
            </c:rich>
          </c:tx>
          <c:layout>
            <c:manualLayout>
              <c:xMode val="edge"/>
              <c:yMode val="edge"/>
              <c:x val="0.8103449326898654"/>
              <c:y val="0.90244158504577165"/>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Calibri"/>
                <a:ea typeface="Calibri"/>
                <a:cs typeface="Calibri"/>
              </a:defRPr>
            </a:pPr>
            <a:endParaRPr lang="fr-FR"/>
          </a:p>
        </c:txPr>
        <c:crossAx val="118835072"/>
        <c:crosses val="autoZero"/>
        <c:crossBetween val="between"/>
      </c:valAx>
      <c:spPr>
        <a:solidFill>
          <a:srgbClr val="FFFFFF"/>
        </a:solidFill>
        <a:ln w="12700">
          <a:solidFill>
            <a:srgbClr val="808080"/>
          </a:solidFill>
          <a:prstDash val="solid"/>
        </a:ln>
      </c:spPr>
    </c:plotArea>
    <c:legend>
      <c:legendPos val="r"/>
      <c:layout>
        <c:manualLayout>
          <c:xMode val="edge"/>
          <c:yMode val="edge"/>
          <c:x val="1.0752688172043012E-2"/>
          <c:y val="0.92412180184793968"/>
          <c:w val="0.78064674173792792"/>
          <c:h val="6.775096202405595E-2"/>
        </c:manualLayout>
      </c:layout>
      <c:overlay val="0"/>
      <c:spPr>
        <a:solidFill>
          <a:srgbClr val="FFFFFF"/>
        </a:solidFill>
        <a:ln w="3175">
          <a:solidFill>
            <a:srgbClr val="000000"/>
          </a:solidFill>
          <a:prstDash val="solid"/>
        </a:ln>
      </c:spPr>
      <c:txPr>
        <a:bodyPr/>
        <a:lstStyle/>
        <a:p>
          <a:pPr>
            <a:defRPr sz="845" b="0" i="0" u="none" strike="noStrike" baseline="0">
              <a:solidFill>
                <a:srgbClr val="000000"/>
              </a:solidFill>
              <a:latin typeface="Arial Narrow"/>
              <a:ea typeface="Arial Narrow"/>
              <a:cs typeface="Arial Narrow"/>
            </a:defRPr>
          </a:pPr>
          <a:endParaRPr lang="fr-FR"/>
        </a:p>
      </c:txPr>
    </c:legend>
    <c:plotVisOnly val="1"/>
    <c:dispBlanksAs val="gap"/>
    <c:showDLblsOverMax val="0"/>
  </c:chart>
  <c:spPr>
    <a:solidFill>
      <a:srgbClr val="FFFFCC"/>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fr-FR"/>
    </a:p>
  </c:txPr>
  <c:printSettings>
    <c:headerFooter alignWithMargins="0"/>
    <c:pageMargins b="1" l="0.75000000000000011" r="0.75000000000000011"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Qty_Waste!$B$2</c:f>
          <c:strCache>
            <c:ptCount val="1"/>
            <c:pt idx="0">
              <c:v>Estimate of the amount of injection waste generated per recipient</c:v>
            </c:pt>
          </c:strCache>
        </c:strRef>
      </c:tx>
      <c:layout>
        <c:manualLayout>
          <c:xMode val="edge"/>
          <c:yMode val="edge"/>
          <c:x val="0.11688357137176035"/>
          <c:y val="1.3404825737265416E-2"/>
        </c:manualLayout>
      </c:layout>
      <c:overlay val="0"/>
      <c:spPr>
        <a:noFill/>
        <a:ln w="25400">
          <a:noFill/>
        </a:ln>
      </c:spPr>
      <c:txPr>
        <a:bodyPr/>
        <a:lstStyle/>
        <a:p>
          <a:pPr>
            <a:defRPr sz="11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8614757962066175"/>
          <c:y val="0.21715846121824367"/>
          <c:w val="0.77922242631904914"/>
          <c:h val="0.59785601051442394"/>
        </c:manualLayout>
      </c:layout>
      <c:barChart>
        <c:barDir val="bar"/>
        <c:grouping val="clustered"/>
        <c:varyColors val="0"/>
        <c:ser>
          <c:idx val="0"/>
          <c:order val="0"/>
          <c:tx>
            <c:strRef>
              <c:f>Qty_Waste!$K$31</c:f>
              <c:strCache>
                <c:ptCount val="1"/>
                <c:pt idx="0">
                  <c:v>Nbr. of empty vials, units/  Unit of Population </c:v>
                </c:pt>
              </c:strCache>
            </c:strRef>
          </c:tx>
          <c:spPr>
            <a:gradFill rotWithShape="0">
              <a:gsLst>
                <a:gs pos="0">
                  <a:srgbClr val="9999FF"/>
                </a:gs>
                <a:gs pos="100000">
                  <a:srgbClr val="474776">
                    <a:gamma/>
                    <a:shade val="46275"/>
                    <a:invGamma/>
                  </a:srgbClr>
                </a:gs>
              </a:gsLst>
              <a:lin ang="5400000" scaled="1"/>
            </a:gradFill>
            <a:ln w="12700">
              <a:solidFill>
                <a:srgbClr val="000000"/>
              </a:solidFill>
              <a:prstDash val="solid"/>
            </a:ln>
          </c:spPr>
          <c:invertIfNegative val="0"/>
          <c:cat>
            <c:strRef>
              <c:f>Qty_Waste!$M$9:$Q$9</c:f>
              <c:strCache>
                <c:ptCount val="3"/>
                <c:pt idx="0">
                  <c:v>Current schedule</c:v>
                </c:pt>
                <c:pt idx="1">
                  <c:v>Current schedule with penta 1d</c:v>
                </c:pt>
                <c:pt idx="2">
                  <c:v>Current schedule with penta CAD</c:v>
                </c:pt>
              </c:strCache>
            </c:strRef>
          </c:cat>
          <c:val>
            <c:numRef>
              <c:f>Qty_Waste!$M$31:$Q$31</c:f>
              <c:numCache>
                <c:formatCode>0.0</c:formatCode>
                <c:ptCount val="5"/>
                <c:pt idx="0">
                  <c:v>4.0866666666666669E-2</c:v>
                </c:pt>
                <c:pt idx="1">
                  <c:v>9.3266666666666664E-2</c:v>
                </c:pt>
                <c:pt idx="2">
                  <c:v>3.3266666666666667E-2</c:v>
                </c:pt>
                <c:pt idx="3">
                  <c:v>0</c:v>
                </c:pt>
                <c:pt idx="4">
                  <c:v>0</c:v>
                </c:pt>
              </c:numCache>
            </c:numRef>
          </c:val>
          <c:extLst>
            <c:ext xmlns:c16="http://schemas.microsoft.com/office/drawing/2014/chart" uri="{C3380CC4-5D6E-409C-BE32-E72D297353CC}">
              <c16:uniqueId val="{00000000-C90C-C844-9E36-35CEF6C1B4A4}"/>
            </c:ext>
          </c:extLst>
        </c:ser>
        <c:ser>
          <c:idx val="1"/>
          <c:order val="1"/>
          <c:tx>
            <c:strRef>
              <c:f>Qty_Waste!$K$33</c:f>
              <c:strCache>
                <c:ptCount val="1"/>
                <c:pt idx="0">
                  <c:v>Total nbr. of used syringes generated, units/ Unit of Population </c:v>
                </c:pt>
              </c:strCache>
            </c:strRef>
          </c:tx>
          <c:spPr>
            <a:gradFill rotWithShape="0">
              <a:gsLst>
                <a:gs pos="0">
                  <a:srgbClr val="993366"/>
                </a:gs>
                <a:gs pos="100000">
                  <a:srgbClr val="47182F">
                    <a:gamma/>
                    <a:shade val="46275"/>
                    <a:invGamma/>
                  </a:srgbClr>
                </a:gs>
              </a:gsLst>
              <a:lin ang="5400000" scaled="1"/>
            </a:gradFill>
            <a:ln w="12700">
              <a:solidFill>
                <a:srgbClr val="000000"/>
              </a:solidFill>
              <a:prstDash val="solid"/>
            </a:ln>
          </c:spPr>
          <c:invertIfNegative val="0"/>
          <c:cat>
            <c:strRef>
              <c:f>Qty_Waste!$M$9:$Q$9</c:f>
              <c:strCache>
                <c:ptCount val="3"/>
                <c:pt idx="0">
                  <c:v>Current schedule</c:v>
                </c:pt>
                <c:pt idx="1">
                  <c:v>Current schedule with penta 1d</c:v>
                </c:pt>
                <c:pt idx="2">
                  <c:v>Current schedule with penta CAD</c:v>
                </c:pt>
              </c:strCache>
            </c:strRef>
          </c:cat>
          <c:val>
            <c:numRef>
              <c:f>Qty_Waste!$M$33:$Q$33</c:f>
              <c:numCache>
                <c:formatCode>0.0</c:formatCode>
                <c:ptCount val="5"/>
                <c:pt idx="0">
                  <c:v>0.18446000000000001</c:v>
                </c:pt>
                <c:pt idx="1">
                  <c:v>0.18446000000000001</c:v>
                </c:pt>
                <c:pt idx="2">
                  <c:v>0.18446000000000001</c:v>
                </c:pt>
                <c:pt idx="3">
                  <c:v>0</c:v>
                </c:pt>
                <c:pt idx="4">
                  <c:v>0</c:v>
                </c:pt>
              </c:numCache>
            </c:numRef>
          </c:val>
          <c:extLst>
            <c:ext xmlns:c16="http://schemas.microsoft.com/office/drawing/2014/chart" uri="{C3380CC4-5D6E-409C-BE32-E72D297353CC}">
              <c16:uniqueId val="{00000001-C90C-C844-9E36-35CEF6C1B4A4}"/>
            </c:ext>
          </c:extLst>
        </c:ser>
        <c:dLbls>
          <c:showLegendKey val="0"/>
          <c:showVal val="0"/>
          <c:showCatName val="0"/>
          <c:showSerName val="0"/>
          <c:showPercent val="0"/>
          <c:showBubbleSize val="0"/>
        </c:dLbls>
        <c:gapWidth val="150"/>
        <c:axId val="119874304"/>
        <c:axId val="119875840"/>
      </c:barChart>
      <c:catAx>
        <c:axId val="11987430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Narrow"/>
                <a:ea typeface="Arial Narrow"/>
                <a:cs typeface="Arial Narrow"/>
              </a:defRPr>
            </a:pPr>
            <a:endParaRPr lang="fr-FR"/>
          </a:p>
        </c:txPr>
        <c:crossAx val="119875840"/>
        <c:crosses val="autoZero"/>
        <c:auto val="1"/>
        <c:lblAlgn val="ctr"/>
        <c:lblOffset val="100"/>
        <c:tickLblSkip val="1"/>
        <c:tickMarkSkip val="1"/>
        <c:noMultiLvlLbl val="0"/>
      </c:catAx>
      <c:valAx>
        <c:axId val="119875840"/>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Calibri"/>
                <a:ea typeface="Calibri"/>
                <a:cs typeface="Calibri"/>
              </a:defRPr>
            </a:pPr>
            <a:endParaRPr lang="fr-FR"/>
          </a:p>
        </c:txPr>
        <c:crossAx val="119874304"/>
        <c:crosses val="autoZero"/>
        <c:crossBetween val="between"/>
      </c:valAx>
      <c:spPr>
        <a:solidFill>
          <a:srgbClr val="FFFFFF"/>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Arial Narrow"/>
              <a:ea typeface="Arial Narrow"/>
              <a:cs typeface="Arial Narrow"/>
            </a:defRPr>
          </a:pPr>
          <a:endParaRPr lang="fr-FR"/>
        </a:p>
      </c:txPr>
    </c:legend>
    <c:plotVisOnly val="1"/>
    <c:dispBlanksAs val="gap"/>
    <c:showDLblsOverMax val="0"/>
  </c:chart>
  <c:spPr>
    <a:solidFill>
      <a:srgbClr val="FFCC99"/>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fr-FR"/>
    </a:p>
  </c:txPr>
  <c:printSettings>
    <c:headerFooter alignWithMargins="0"/>
    <c:pageMargins b="1" l="0.75000000000000011" r="0.75000000000000011" t="1" header="0.5" footer="0.5"/>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Cost_Supplies!$B$2</c:f>
          <c:strCache>
            <c:ptCount val="1"/>
            <c:pt idx="0">
              <c:v>Cost of vaccines and safe injection equipment per recipient</c:v>
            </c:pt>
          </c:strCache>
        </c:strRef>
      </c:tx>
      <c:layout>
        <c:manualLayout>
          <c:xMode val="edge"/>
          <c:yMode val="edge"/>
          <c:x val="0.13"/>
          <c:y val="1.3298057742782152E-2"/>
        </c:manualLayout>
      </c:layout>
      <c:overlay val="0"/>
      <c:spPr>
        <a:noFill/>
        <a:ln w="25400">
          <a:noFill/>
        </a:ln>
      </c:spPr>
      <c:txPr>
        <a:bodyPr/>
        <a:lstStyle/>
        <a:p>
          <a:pPr>
            <a:defRPr sz="11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6600000000000001"/>
          <c:y val="0.10400027083403864"/>
          <c:w val="0.78600000000000003"/>
          <c:h val="0.72266854861601204"/>
        </c:manualLayout>
      </c:layout>
      <c:barChart>
        <c:barDir val="bar"/>
        <c:grouping val="clustered"/>
        <c:varyColors val="0"/>
        <c:ser>
          <c:idx val="0"/>
          <c:order val="0"/>
          <c:tx>
            <c:strRef>
              <c:f>Cost_Supplies!$K$34</c:f>
              <c:strCache>
                <c:ptCount val="1"/>
                <c:pt idx="0">
                  <c:v>Total cost of vaccines per Unit of Population </c:v>
                </c:pt>
              </c:strCache>
            </c:strRef>
          </c:tx>
          <c:spPr>
            <a:gradFill rotWithShape="0">
              <a:gsLst>
                <a:gs pos="0">
                  <a:srgbClr val="9999FF"/>
                </a:gs>
                <a:gs pos="100000">
                  <a:srgbClr val="474776">
                    <a:gamma/>
                    <a:shade val="46275"/>
                    <a:invGamma/>
                  </a:srgbClr>
                </a:gs>
              </a:gsLst>
              <a:lin ang="5400000" scaled="1"/>
            </a:gradFill>
            <a:ln w="12700">
              <a:solidFill>
                <a:srgbClr val="000000"/>
              </a:solidFill>
              <a:prstDash val="solid"/>
            </a:ln>
          </c:spPr>
          <c:invertIfNegative val="0"/>
          <c:cat>
            <c:strRef>
              <c:f>Cost_Supplies!$M$12:$Q$12</c:f>
              <c:strCache>
                <c:ptCount val="3"/>
                <c:pt idx="0">
                  <c:v>Current schedule</c:v>
                </c:pt>
                <c:pt idx="1">
                  <c:v>Current schedule with penta 1d</c:v>
                </c:pt>
                <c:pt idx="2">
                  <c:v>Current schedule with penta CAD</c:v>
                </c:pt>
              </c:strCache>
            </c:strRef>
          </c:cat>
          <c:val>
            <c:numRef>
              <c:f>Cost_Supplies!$M$34:$Q$34</c:f>
              <c:numCache>
                <c:formatCode>"$"#\ ##0.00_);\("$"#\ ##0.00\)</c:formatCode>
                <c:ptCount val="5"/>
                <c:pt idx="0">
                  <c:v>0</c:v>
                </c:pt>
                <c:pt idx="1">
                  <c:v>0</c:v>
                </c:pt>
                <c:pt idx="2">
                  <c:v>0</c:v>
                </c:pt>
                <c:pt idx="3">
                  <c:v>0</c:v>
                </c:pt>
                <c:pt idx="4">
                  <c:v>0</c:v>
                </c:pt>
              </c:numCache>
            </c:numRef>
          </c:val>
          <c:extLst>
            <c:ext xmlns:c16="http://schemas.microsoft.com/office/drawing/2014/chart" uri="{C3380CC4-5D6E-409C-BE32-E72D297353CC}">
              <c16:uniqueId val="{00000000-1125-5D4D-AE85-2FC90A6F360A}"/>
            </c:ext>
          </c:extLst>
        </c:ser>
        <c:ser>
          <c:idx val="1"/>
          <c:order val="1"/>
          <c:tx>
            <c:strRef>
              <c:f>Cost_Supplies!$K$35</c:f>
              <c:strCache>
                <c:ptCount val="1"/>
                <c:pt idx="0">
                  <c:v>Total cost of safe injection equipment per Unit of Population </c:v>
                </c:pt>
              </c:strCache>
            </c:strRef>
          </c:tx>
          <c:spPr>
            <a:gradFill rotWithShape="0">
              <a:gsLst>
                <a:gs pos="0">
                  <a:srgbClr val="993366"/>
                </a:gs>
                <a:gs pos="100000">
                  <a:srgbClr val="47182F">
                    <a:gamma/>
                    <a:shade val="46275"/>
                    <a:invGamma/>
                  </a:srgbClr>
                </a:gs>
              </a:gsLst>
              <a:lin ang="5400000" scaled="1"/>
            </a:gradFill>
            <a:ln w="12700">
              <a:solidFill>
                <a:srgbClr val="000000"/>
              </a:solidFill>
              <a:prstDash val="solid"/>
            </a:ln>
          </c:spPr>
          <c:invertIfNegative val="0"/>
          <c:cat>
            <c:strRef>
              <c:f>Cost_Supplies!$M$12:$Q$12</c:f>
              <c:strCache>
                <c:ptCount val="3"/>
                <c:pt idx="0">
                  <c:v>Current schedule</c:v>
                </c:pt>
                <c:pt idx="1">
                  <c:v>Current schedule with penta 1d</c:v>
                </c:pt>
                <c:pt idx="2">
                  <c:v>Current schedule with penta CAD</c:v>
                </c:pt>
              </c:strCache>
            </c:strRef>
          </c:cat>
          <c:val>
            <c:numRef>
              <c:f>Cost_Supplies!$M$35:$Q$35</c:f>
              <c:numCache>
                <c:formatCode>"$"#\ ##0.00_);\("$"#\ ##0.00\)</c:formatCode>
                <c:ptCount val="5"/>
                <c:pt idx="0">
                  <c:v>1.4081639000000002E-2</c:v>
                </c:pt>
                <c:pt idx="1">
                  <c:v>1.4081639000000002E-2</c:v>
                </c:pt>
                <c:pt idx="2">
                  <c:v>9.5985890000000011E-3</c:v>
                </c:pt>
                <c:pt idx="3">
                  <c:v>0</c:v>
                </c:pt>
                <c:pt idx="4">
                  <c:v>0</c:v>
                </c:pt>
              </c:numCache>
            </c:numRef>
          </c:val>
          <c:extLst>
            <c:ext xmlns:c16="http://schemas.microsoft.com/office/drawing/2014/chart" uri="{C3380CC4-5D6E-409C-BE32-E72D297353CC}">
              <c16:uniqueId val="{00000001-1125-5D4D-AE85-2FC90A6F360A}"/>
            </c:ext>
          </c:extLst>
        </c:ser>
        <c:dLbls>
          <c:showLegendKey val="0"/>
          <c:showVal val="0"/>
          <c:showCatName val="0"/>
          <c:showSerName val="0"/>
          <c:showPercent val="0"/>
          <c:showBubbleSize val="0"/>
        </c:dLbls>
        <c:gapWidth val="150"/>
        <c:axId val="119902976"/>
        <c:axId val="119904512"/>
      </c:barChart>
      <c:catAx>
        <c:axId val="11990297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Narrow"/>
                <a:ea typeface="Arial Narrow"/>
                <a:cs typeface="Arial Narrow"/>
              </a:defRPr>
            </a:pPr>
            <a:endParaRPr lang="fr-FR"/>
          </a:p>
        </c:txPr>
        <c:crossAx val="119904512"/>
        <c:crosses val="autoZero"/>
        <c:auto val="1"/>
        <c:lblAlgn val="ctr"/>
        <c:lblOffset val="100"/>
        <c:tickLblSkip val="1"/>
        <c:tickMarkSkip val="1"/>
        <c:noMultiLvlLbl val="0"/>
      </c:catAx>
      <c:valAx>
        <c:axId val="119904512"/>
        <c:scaling>
          <c:orientation val="minMax"/>
        </c:scaling>
        <c:delete val="0"/>
        <c:axPos val="b"/>
        <c:majorGridlines>
          <c:spPr>
            <a:ln w="3175">
              <a:solidFill>
                <a:srgbClr val="000000"/>
              </a:solidFill>
              <a:prstDash val="solid"/>
            </a:ln>
          </c:spPr>
        </c:majorGridlines>
        <c:numFmt formatCode="&quot;$&quot;#\ ##0.00_);\(&quot;$&quot;#\ ##0.00\)"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Calibri"/>
                <a:ea typeface="Calibri"/>
                <a:cs typeface="Calibri"/>
              </a:defRPr>
            </a:pPr>
            <a:endParaRPr lang="fr-FR"/>
          </a:p>
        </c:txPr>
        <c:crossAx val="119902976"/>
        <c:crosses val="autoZero"/>
        <c:crossBetween val="between"/>
      </c:valAx>
      <c:spPr>
        <a:solidFill>
          <a:srgbClr val="FFFFFF"/>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845" b="0" i="0" u="none" strike="noStrike" baseline="0">
              <a:solidFill>
                <a:srgbClr val="000000"/>
              </a:solidFill>
              <a:latin typeface="Arial Narrow"/>
              <a:ea typeface="Arial Narrow"/>
              <a:cs typeface="Arial Narrow"/>
            </a:defRPr>
          </a:pPr>
          <a:endParaRPr lang="fr-FR"/>
        </a:p>
      </c:txPr>
    </c:legend>
    <c:plotVisOnly val="1"/>
    <c:dispBlanksAs val="gap"/>
    <c:showDLblsOverMax val="0"/>
  </c:chart>
  <c:spPr>
    <a:solidFill>
      <a:srgbClr val="CCFFCC"/>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fr-FR"/>
    </a:p>
  </c:txPr>
  <c:printSettings>
    <c:headerFooter alignWithMargins="0"/>
    <c:pageMargins b="1" l="0.75000000000000011" r="0.75000000000000011" t="1" header="0.5" footer="0.5"/>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Vaccine_Selection!$B$2</c:f>
          <c:strCache>
            <c:ptCount val="1"/>
            <c:pt idx="0">
              <c:v>Vaccine storage volumes</c:v>
            </c:pt>
          </c:strCache>
        </c:strRef>
      </c:tx>
      <c:layout>
        <c:manualLayout>
          <c:xMode val="edge"/>
          <c:yMode val="edge"/>
          <c:x val="0.20919391076115487"/>
          <c:y val="1.4792899408284023E-2"/>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86"/>
          <c:y val="7.1005917159763315E-2"/>
          <c:w val="0.78"/>
          <c:h val="0.73964497041420119"/>
        </c:manualLayout>
      </c:layout>
      <c:barChart>
        <c:barDir val="bar"/>
        <c:grouping val="clustered"/>
        <c:varyColors val="0"/>
        <c:ser>
          <c:idx val="3"/>
          <c:order val="0"/>
          <c:tx>
            <c:strRef>
              <c:f>Vaccine_Selection!$R$41</c:f>
              <c:strCache>
                <c:ptCount val="1"/>
                <c:pt idx="0">
                  <c:v>Total net storage volume of vaccines &amp; diluents per recipient</c:v>
                </c:pt>
              </c:strCache>
            </c:strRef>
          </c:tx>
          <c:spPr>
            <a:gradFill rotWithShape="0">
              <a:gsLst>
                <a:gs pos="0">
                  <a:srgbClr val="0066CC"/>
                </a:gs>
                <a:gs pos="100000">
                  <a:srgbClr val="002F5E">
                    <a:gamma/>
                    <a:shade val="46275"/>
                    <a:invGamma/>
                  </a:srgbClr>
                </a:gs>
              </a:gsLst>
              <a:lin ang="5400000" scaled="1"/>
            </a:gradFill>
            <a:ln w="12700">
              <a:solidFill>
                <a:srgbClr val="000000"/>
              </a:solidFill>
              <a:prstDash val="solid"/>
            </a:ln>
          </c:spPr>
          <c:invertIfNegative val="0"/>
          <c:cat>
            <c:strRef>
              <c:f>Vaccine_Selection!$S$16:$U$16</c:f>
              <c:strCache>
                <c:ptCount val="1"/>
                <c:pt idx="0">
                  <c:v>H1N1 campaign</c:v>
                </c:pt>
              </c:strCache>
            </c:strRef>
          </c:cat>
          <c:val>
            <c:numRef>
              <c:f>Vaccine_Selection!$S$41:$U$41</c:f>
              <c:numCache>
                <c:formatCode>0.0</c:formatCode>
                <c:ptCount val="3"/>
                <c:pt idx="0">
                  <c:v>18</c:v>
                </c:pt>
                <c:pt idx="1">
                  <c:v>0</c:v>
                </c:pt>
                <c:pt idx="2">
                  <c:v>0</c:v>
                </c:pt>
              </c:numCache>
            </c:numRef>
          </c:val>
          <c:extLst>
            <c:ext xmlns:c16="http://schemas.microsoft.com/office/drawing/2014/chart" uri="{C3380CC4-5D6E-409C-BE32-E72D297353CC}">
              <c16:uniqueId val="{00000000-C40C-544D-B532-666CAE9ADB0B}"/>
            </c:ext>
          </c:extLst>
        </c:ser>
        <c:dLbls>
          <c:showLegendKey val="0"/>
          <c:showVal val="0"/>
          <c:showCatName val="0"/>
          <c:showSerName val="0"/>
          <c:showPercent val="0"/>
          <c:showBubbleSize val="0"/>
        </c:dLbls>
        <c:gapWidth val="150"/>
        <c:axId val="119933952"/>
        <c:axId val="119935744"/>
      </c:barChart>
      <c:catAx>
        <c:axId val="11993395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119935744"/>
        <c:crosses val="autoZero"/>
        <c:auto val="1"/>
        <c:lblAlgn val="ctr"/>
        <c:lblOffset val="100"/>
        <c:tickLblSkip val="1"/>
        <c:tickMarkSkip val="1"/>
        <c:noMultiLvlLbl val="0"/>
      </c:catAx>
      <c:valAx>
        <c:axId val="119935744"/>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Calibri"/>
                <a:ea typeface="Calibri"/>
                <a:cs typeface="Calibri"/>
              </a:defRPr>
            </a:pPr>
            <a:endParaRPr lang="fr-FR"/>
          </a:p>
        </c:txPr>
        <c:crossAx val="119933952"/>
        <c:crosses val="autoZero"/>
        <c:crossBetween val="between"/>
      </c:valAx>
      <c:spPr>
        <a:solidFill>
          <a:srgbClr val="FFFFFF"/>
        </a:solidFill>
        <a:ln w="12700">
          <a:solidFill>
            <a:srgbClr val="808080"/>
          </a:solidFill>
          <a:prstDash val="solid"/>
        </a:ln>
      </c:spPr>
    </c:plotArea>
    <c:legend>
      <c:legendPos val="r"/>
      <c:layout>
        <c:manualLayout>
          <c:xMode val="edge"/>
          <c:yMode val="edge"/>
          <c:x val="5.3999999999999999E-2"/>
          <c:y val="0.90532544378698221"/>
          <c:w val="0.93799999999999994"/>
          <c:h val="8.5798816568047331E-2"/>
        </c:manualLayout>
      </c:layout>
      <c:overlay val="0"/>
      <c:spPr>
        <a:solidFill>
          <a:srgbClr val="FFFFFF"/>
        </a:solidFill>
        <a:ln w="3175">
          <a:solidFill>
            <a:srgbClr val="000000"/>
          </a:solidFill>
          <a:prstDash val="solid"/>
        </a:ln>
      </c:spPr>
      <c:txPr>
        <a:bodyPr/>
        <a:lstStyle/>
        <a:p>
          <a:pPr>
            <a:defRPr sz="925" b="0" i="0" u="none" strike="noStrike" baseline="0">
              <a:solidFill>
                <a:srgbClr val="000000"/>
              </a:solidFill>
              <a:latin typeface="Arial Narrow"/>
              <a:ea typeface="Arial Narrow"/>
              <a:cs typeface="Arial Narrow"/>
            </a:defRPr>
          </a:pPr>
          <a:endParaRPr lang="fr-FR"/>
        </a:p>
      </c:txPr>
    </c:legend>
    <c:plotVisOnly val="1"/>
    <c:dispBlanksAs val="gap"/>
    <c:showDLblsOverMax val="0"/>
  </c:chart>
  <c:spPr>
    <a:solidFill>
      <a:srgbClr val="CCCCFF"/>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fr-FR"/>
    </a:p>
  </c:txPr>
  <c:printSettings>
    <c:headerFooter alignWithMargins="0"/>
    <c:pageMargins b="1" l="0.75000000000000011" r="0.75000000000000011" t="1" header="0.5" footer="0.5"/>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Volume_Inject!$B$2</c:f>
          <c:strCache>
            <c:ptCount val="1"/>
            <c:pt idx="0">
              <c:v>Volume of diluents and safe injection equipment per recipient</c:v>
            </c:pt>
          </c:strCache>
        </c:strRef>
      </c:tx>
      <c:layout>
        <c:manualLayout>
          <c:xMode val="edge"/>
          <c:yMode val="edge"/>
          <c:x val="0.10775875596195637"/>
          <c:y val="1.4749262536873156E-2"/>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9569933572609149"/>
          <c:y val="0.14749305025422385"/>
          <c:w val="0.76344246354684042"/>
          <c:h val="0.68436775317959875"/>
        </c:manualLayout>
      </c:layout>
      <c:barChart>
        <c:barDir val="bar"/>
        <c:grouping val="clustered"/>
        <c:varyColors val="0"/>
        <c:ser>
          <c:idx val="0"/>
          <c:order val="0"/>
          <c:tx>
            <c:strRef>
              <c:f>Volume_Inject!$R$38</c:f>
              <c:strCache>
                <c:ptCount val="1"/>
                <c:pt idx="0">
                  <c:v>Total net storage volume of injection supplies per recipient</c:v>
                </c:pt>
              </c:strCache>
            </c:strRef>
          </c:tx>
          <c:spPr>
            <a:gradFill rotWithShape="0">
              <a:gsLst>
                <a:gs pos="0">
                  <a:srgbClr val="FFCC99"/>
                </a:gs>
                <a:gs pos="100000">
                  <a:srgbClr val="765E47">
                    <a:gamma/>
                    <a:shade val="46275"/>
                    <a:invGamma/>
                  </a:srgbClr>
                </a:gs>
              </a:gsLst>
              <a:lin ang="5400000" scaled="1"/>
            </a:gradFill>
            <a:ln w="12700">
              <a:solidFill>
                <a:srgbClr val="000000"/>
              </a:solidFill>
              <a:prstDash val="solid"/>
            </a:ln>
          </c:spPr>
          <c:invertIfNegative val="0"/>
          <c:cat>
            <c:strRef>
              <c:f>Volume_Inject!$S$12:$U$12</c:f>
              <c:strCache>
                <c:ptCount val="1"/>
                <c:pt idx="0">
                  <c:v>H1N1 campaign</c:v>
                </c:pt>
              </c:strCache>
            </c:strRef>
          </c:cat>
          <c:val>
            <c:numRef>
              <c:f>Volume_Inject!$S$38:$U$38</c:f>
              <c:numCache>
                <c:formatCode>0.0</c:formatCode>
                <c:ptCount val="3"/>
                <c:pt idx="0">
                  <c:v>0</c:v>
                </c:pt>
                <c:pt idx="1">
                  <c:v>0</c:v>
                </c:pt>
                <c:pt idx="2">
                  <c:v>0</c:v>
                </c:pt>
              </c:numCache>
            </c:numRef>
          </c:val>
          <c:extLst>
            <c:ext xmlns:c16="http://schemas.microsoft.com/office/drawing/2014/chart" uri="{C3380CC4-5D6E-409C-BE32-E72D297353CC}">
              <c16:uniqueId val="{00000000-D8D4-9848-A5F1-8C9516C07BA3}"/>
            </c:ext>
          </c:extLst>
        </c:ser>
        <c:dLbls>
          <c:showLegendKey val="0"/>
          <c:showVal val="0"/>
          <c:showCatName val="0"/>
          <c:showSerName val="0"/>
          <c:showPercent val="0"/>
          <c:showBubbleSize val="0"/>
        </c:dLbls>
        <c:gapWidth val="150"/>
        <c:axId val="119952128"/>
        <c:axId val="119953664"/>
      </c:barChart>
      <c:catAx>
        <c:axId val="11995212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119953664"/>
        <c:crosses val="autoZero"/>
        <c:auto val="1"/>
        <c:lblAlgn val="ctr"/>
        <c:lblOffset val="100"/>
        <c:tickLblSkip val="1"/>
        <c:tickMarkSkip val="1"/>
        <c:noMultiLvlLbl val="0"/>
      </c:catAx>
      <c:valAx>
        <c:axId val="119953664"/>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Calibri"/>
                <a:ea typeface="Calibri"/>
                <a:cs typeface="Calibri"/>
              </a:defRPr>
            </a:pPr>
            <a:endParaRPr lang="fr-FR"/>
          </a:p>
        </c:txPr>
        <c:crossAx val="119952128"/>
        <c:crosses val="autoZero"/>
        <c:crossBetween val="between"/>
      </c:valAx>
      <c:spPr>
        <a:solidFill>
          <a:srgbClr val="FFFFFF"/>
        </a:solidFill>
        <a:ln w="12700">
          <a:solidFill>
            <a:srgbClr val="808080"/>
          </a:solidFill>
          <a:prstDash val="solid"/>
        </a:ln>
      </c:spPr>
    </c:plotArea>
    <c:legend>
      <c:legendPos val="r"/>
      <c:layout>
        <c:manualLayout>
          <c:xMode val="edge"/>
          <c:yMode val="edge"/>
          <c:x val="9.8924956961025018E-2"/>
          <c:y val="0.91445706454834741"/>
          <c:w val="0.89247492450540455"/>
          <c:h val="7.6696474887541721E-2"/>
        </c:manualLayout>
      </c:layout>
      <c:overlay val="0"/>
      <c:spPr>
        <a:solidFill>
          <a:srgbClr val="FFFFFF"/>
        </a:solidFill>
        <a:ln w="3175">
          <a:solidFill>
            <a:srgbClr val="000000"/>
          </a:solidFill>
          <a:prstDash val="solid"/>
        </a:ln>
      </c:spPr>
      <c:txPr>
        <a:bodyPr/>
        <a:lstStyle/>
        <a:p>
          <a:pPr>
            <a:defRPr sz="925" b="0" i="0" u="none" strike="noStrike" baseline="0">
              <a:solidFill>
                <a:srgbClr val="000000"/>
              </a:solidFill>
              <a:latin typeface="Arial Narrow"/>
              <a:ea typeface="Arial Narrow"/>
              <a:cs typeface="Arial Narrow"/>
            </a:defRPr>
          </a:pPr>
          <a:endParaRPr lang="fr-FR"/>
        </a:p>
      </c:txPr>
    </c:legend>
    <c:plotVisOnly val="1"/>
    <c:dispBlanksAs val="gap"/>
    <c:showDLblsOverMax val="0"/>
  </c:chart>
  <c:spPr>
    <a:solidFill>
      <a:srgbClr val="FFFFCC"/>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fr-FR"/>
    </a:p>
  </c:txPr>
  <c:printSettings>
    <c:headerFooter alignWithMargins="0"/>
    <c:pageMargins b="1" l="0.75000000000000011" r="0.75000000000000011" t="1" header="0.5" footer="0.5"/>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Qty_Waste!$B$2</c:f>
          <c:strCache>
            <c:ptCount val="1"/>
            <c:pt idx="0">
              <c:v>Estimate of the amount of injection waste generated per recipient</c:v>
            </c:pt>
          </c:strCache>
        </c:strRef>
      </c:tx>
      <c:layout>
        <c:manualLayout>
          <c:xMode val="edge"/>
          <c:yMode val="edge"/>
          <c:x val="0.18574536714228215"/>
          <c:y val="1.4326647564469915E-2"/>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20302397220906895"/>
          <c:y val="0.13753600904370894"/>
          <c:w val="0.76241981052980157"/>
          <c:h val="0.67621871113156895"/>
        </c:manualLayout>
      </c:layout>
      <c:barChart>
        <c:barDir val="bar"/>
        <c:grouping val="clustered"/>
        <c:varyColors val="0"/>
        <c:ser>
          <c:idx val="0"/>
          <c:order val="0"/>
          <c:tx>
            <c:strRef>
              <c:f>Qty_Waste!$R$31</c:f>
              <c:strCache>
                <c:ptCount val="1"/>
                <c:pt idx="0">
                  <c:v>Nbr. of empty vials generated per recipient</c:v>
                </c:pt>
              </c:strCache>
            </c:strRef>
          </c:tx>
          <c:spPr>
            <a:gradFill rotWithShape="0">
              <a:gsLst>
                <a:gs pos="0">
                  <a:srgbClr val="9999FF"/>
                </a:gs>
                <a:gs pos="100000">
                  <a:srgbClr val="474776">
                    <a:gamma/>
                    <a:shade val="46275"/>
                    <a:invGamma/>
                  </a:srgbClr>
                </a:gs>
              </a:gsLst>
              <a:lin ang="5400000" scaled="1"/>
            </a:gradFill>
            <a:ln w="12700">
              <a:solidFill>
                <a:srgbClr val="000000"/>
              </a:solidFill>
              <a:prstDash val="solid"/>
            </a:ln>
          </c:spPr>
          <c:invertIfNegative val="0"/>
          <c:cat>
            <c:strRef>
              <c:f>Qty_Waste!$S$9:$U$9</c:f>
              <c:strCache>
                <c:ptCount val="1"/>
                <c:pt idx="0">
                  <c:v>H1N1 campaign</c:v>
                </c:pt>
              </c:strCache>
            </c:strRef>
          </c:cat>
          <c:val>
            <c:numRef>
              <c:f>Qty_Waste!$S$31:$U$31</c:f>
              <c:numCache>
                <c:formatCode>0.0</c:formatCode>
                <c:ptCount val="3"/>
                <c:pt idx="0">
                  <c:v>1.0526315789473684</c:v>
                </c:pt>
                <c:pt idx="1">
                  <c:v>0</c:v>
                </c:pt>
                <c:pt idx="2" formatCode="0.00">
                  <c:v>0</c:v>
                </c:pt>
              </c:numCache>
            </c:numRef>
          </c:val>
          <c:extLst>
            <c:ext xmlns:c16="http://schemas.microsoft.com/office/drawing/2014/chart" uri="{C3380CC4-5D6E-409C-BE32-E72D297353CC}">
              <c16:uniqueId val="{00000000-C4DB-6A44-BE6D-307FE5643045}"/>
            </c:ext>
          </c:extLst>
        </c:ser>
        <c:ser>
          <c:idx val="1"/>
          <c:order val="1"/>
          <c:tx>
            <c:strRef>
              <c:f>Qty_Waste!$R$33</c:f>
              <c:strCache>
                <c:ptCount val="1"/>
                <c:pt idx="0">
                  <c:v>Total nbr. of syringes generated per recipient</c:v>
                </c:pt>
              </c:strCache>
            </c:strRef>
          </c:tx>
          <c:spPr>
            <a:gradFill rotWithShape="0">
              <a:gsLst>
                <a:gs pos="0">
                  <a:srgbClr val="993366"/>
                </a:gs>
                <a:gs pos="100000">
                  <a:srgbClr val="47182F">
                    <a:gamma/>
                    <a:shade val="46275"/>
                    <a:invGamma/>
                  </a:srgbClr>
                </a:gs>
              </a:gsLst>
              <a:lin ang="5400000" scaled="1"/>
            </a:gradFill>
            <a:ln w="12700">
              <a:solidFill>
                <a:srgbClr val="000000"/>
              </a:solidFill>
              <a:prstDash val="solid"/>
            </a:ln>
          </c:spPr>
          <c:invertIfNegative val="0"/>
          <c:cat>
            <c:strRef>
              <c:f>Qty_Waste!$S$9:$U$9</c:f>
              <c:strCache>
                <c:ptCount val="1"/>
                <c:pt idx="0">
                  <c:v>H1N1 campaign</c:v>
                </c:pt>
              </c:strCache>
            </c:strRef>
          </c:cat>
          <c:val>
            <c:numRef>
              <c:f>Qty_Waste!$S$33:$U$33</c:f>
              <c:numCache>
                <c:formatCode>0.0</c:formatCode>
                <c:ptCount val="3"/>
                <c:pt idx="0">
                  <c:v>0</c:v>
                </c:pt>
                <c:pt idx="1">
                  <c:v>0</c:v>
                </c:pt>
                <c:pt idx="2" formatCode="0.00">
                  <c:v>0</c:v>
                </c:pt>
              </c:numCache>
            </c:numRef>
          </c:val>
          <c:extLst>
            <c:ext xmlns:c16="http://schemas.microsoft.com/office/drawing/2014/chart" uri="{C3380CC4-5D6E-409C-BE32-E72D297353CC}">
              <c16:uniqueId val="{00000001-C4DB-6A44-BE6D-307FE5643045}"/>
            </c:ext>
          </c:extLst>
        </c:ser>
        <c:dLbls>
          <c:showLegendKey val="0"/>
          <c:showVal val="0"/>
          <c:showCatName val="0"/>
          <c:showSerName val="0"/>
          <c:showPercent val="0"/>
          <c:showBubbleSize val="0"/>
        </c:dLbls>
        <c:gapWidth val="150"/>
        <c:axId val="118633600"/>
        <c:axId val="118635136"/>
      </c:barChart>
      <c:catAx>
        <c:axId val="11863360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118635136"/>
        <c:crosses val="autoZero"/>
        <c:auto val="1"/>
        <c:lblAlgn val="ctr"/>
        <c:lblOffset val="100"/>
        <c:tickLblSkip val="1"/>
        <c:tickMarkSkip val="1"/>
        <c:noMultiLvlLbl val="0"/>
      </c:catAx>
      <c:valAx>
        <c:axId val="118635136"/>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Calibri"/>
                <a:ea typeface="Calibri"/>
                <a:cs typeface="Calibri"/>
              </a:defRPr>
            </a:pPr>
            <a:endParaRPr lang="fr-FR"/>
          </a:p>
        </c:txPr>
        <c:crossAx val="118633600"/>
        <c:crosses val="autoZero"/>
        <c:crossBetween val="between"/>
      </c:valAx>
      <c:spPr>
        <a:solidFill>
          <a:srgbClr val="FFFFFF"/>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845" b="0" i="0" u="none" strike="noStrike" baseline="0">
              <a:solidFill>
                <a:srgbClr val="000000"/>
              </a:solidFill>
              <a:latin typeface="Arial Narrow"/>
              <a:ea typeface="Arial Narrow"/>
              <a:cs typeface="Arial Narrow"/>
            </a:defRPr>
          </a:pPr>
          <a:endParaRPr lang="fr-FR"/>
        </a:p>
      </c:txPr>
    </c:legend>
    <c:plotVisOnly val="1"/>
    <c:dispBlanksAs val="gap"/>
    <c:showDLblsOverMax val="0"/>
  </c:chart>
  <c:spPr>
    <a:solidFill>
      <a:srgbClr val="FFCC99"/>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fr-FR"/>
    </a:p>
  </c:txPr>
  <c:printSettings>
    <c:headerFooter alignWithMargins="0"/>
    <c:pageMargins b="1" l="0.75000000000000011" r="0.75000000000000011" t="1" header="0.5" footer="0.5"/>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Cost_Supplies!$B$2</c:f>
          <c:strCache>
            <c:ptCount val="1"/>
            <c:pt idx="0">
              <c:v>Cost of vaccines and safe injection equipment per recipient</c:v>
            </c:pt>
          </c:strCache>
        </c:strRef>
      </c:tx>
      <c:layout>
        <c:manualLayout>
          <c:xMode val="edge"/>
          <c:yMode val="edge"/>
          <c:x val="0.158"/>
          <c:y val="1.4285714285714285E-2"/>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84"/>
          <c:y val="0.16857142857142857"/>
          <c:w val="0.76800000000000002"/>
          <c:h val="0.64571428571428569"/>
        </c:manualLayout>
      </c:layout>
      <c:barChart>
        <c:barDir val="bar"/>
        <c:grouping val="clustered"/>
        <c:varyColors val="0"/>
        <c:ser>
          <c:idx val="0"/>
          <c:order val="0"/>
          <c:tx>
            <c:strRef>
              <c:f>Cost_Supplies!$R$34</c:f>
              <c:strCache>
                <c:ptCount val="1"/>
                <c:pt idx="0">
                  <c:v>Total cost of vaccines per recipient</c:v>
                </c:pt>
              </c:strCache>
            </c:strRef>
          </c:tx>
          <c:spPr>
            <a:gradFill rotWithShape="0">
              <a:gsLst>
                <a:gs pos="0">
                  <a:srgbClr val="9999FF"/>
                </a:gs>
                <a:gs pos="100000">
                  <a:srgbClr val="474776">
                    <a:gamma/>
                    <a:shade val="46275"/>
                    <a:invGamma/>
                  </a:srgbClr>
                </a:gs>
              </a:gsLst>
              <a:lin ang="5400000" scaled="1"/>
            </a:gradFill>
            <a:ln w="12700">
              <a:solidFill>
                <a:srgbClr val="000000"/>
              </a:solidFill>
              <a:prstDash val="solid"/>
            </a:ln>
          </c:spPr>
          <c:invertIfNegative val="0"/>
          <c:cat>
            <c:strRef>
              <c:f>Cost_Supplies!$S$12:$U$12</c:f>
              <c:strCache>
                <c:ptCount val="1"/>
                <c:pt idx="0">
                  <c:v>H1N1 campaign</c:v>
                </c:pt>
              </c:strCache>
            </c:strRef>
          </c:cat>
          <c:val>
            <c:numRef>
              <c:f>Cost_Supplies!$S$34:$U$34</c:f>
              <c:numCache>
                <c:formatCode>"$"#\ ##0.00_);\("$"#\ ##0.00\)</c:formatCode>
                <c:ptCount val="3"/>
                <c:pt idx="0">
                  <c:v>0</c:v>
                </c:pt>
                <c:pt idx="1">
                  <c:v>0</c:v>
                </c:pt>
                <c:pt idx="2">
                  <c:v>0</c:v>
                </c:pt>
              </c:numCache>
            </c:numRef>
          </c:val>
          <c:extLst>
            <c:ext xmlns:c16="http://schemas.microsoft.com/office/drawing/2014/chart" uri="{C3380CC4-5D6E-409C-BE32-E72D297353CC}">
              <c16:uniqueId val="{00000000-54A1-6F4D-81A2-9EB8CAD084AD}"/>
            </c:ext>
          </c:extLst>
        </c:ser>
        <c:ser>
          <c:idx val="1"/>
          <c:order val="1"/>
          <c:tx>
            <c:strRef>
              <c:f>Cost_Supplies!$R$35</c:f>
              <c:strCache>
                <c:ptCount val="1"/>
                <c:pt idx="0">
                  <c:v>Total cost of safe injection equipment per recipient</c:v>
                </c:pt>
              </c:strCache>
            </c:strRef>
          </c:tx>
          <c:spPr>
            <a:gradFill rotWithShape="0">
              <a:gsLst>
                <a:gs pos="0">
                  <a:srgbClr val="99CC00"/>
                </a:gs>
                <a:gs pos="100000">
                  <a:srgbClr val="475E00">
                    <a:gamma/>
                    <a:shade val="46275"/>
                    <a:invGamma/>
                  </a:srgbClr>
                </a:gs>
              </a:gsLst>
              <a:lin ang="5400000" scaled="1"/>
            </a:gradFill>
            <a:ln w="12700">
              <a:solidFill>
                <a:srgbClr val="000000"/>
              </a:solidFill>
              <a:prstDash val="solid"/>
            </a:ln>
          </c:spPr>
          <c:invertIfNegative val="0"/>
          <c:cat>
            <c:strRef>
              <c:f>Cost_Supplies!$S$12:$U$12</c:f>
              <c:strCache>
                <c:ptCount val="1"/>
                <c:pt idx="0">
                  <c:v>H1N1 campaign</c:v>
                </c:pt>
              </c:strCache>
            </c:strRef>
          </c:cat>
          <c:val>
            <c:numRef>
              <c:f>Cost_Supplies!$S$35:$U$35</c:f>
              <c:numCache>
                <c:formatCode>"$"#\ ##0.00_);\("$"#\ ##0.00\)</c:formatCode>
                <c:ptCount val="3"/>
                <c:pt idx="0">
                  <c:v>0</c:v>
                </c:pt>
                <c:pt idx="1">
                  <c:v>0</c:v>
                </c:pt>
                <c:pt idx="2">
                  <c:v>0</c:v>
                </c:pt>
              </c:numCache>
            </c:numRef>
          </c:val>
          <c:extLst>
            <c:ext xmlns:c16="http://schemas.microsoft.com/office/drawing/2014/chart" uri="{C3380CC4-5D6E-409C-BE32-E72D297353CC}">
              <c16:uniqueId val="{00000001-54A1-6F4D-81A2-9EB8CAD084AD}"/>
            </c:ext>
          </c:extLst>
        </c:ser>
        <c:dLbls>
          <c:showLegendKey val="0"/>
          <c:showVal val="0"/>
          <c:showCatName val="0"/>
          <c:showSerName val="0"/>
          <c:showPercent val="0"/>
          <c:showBubbleSize val="0"/>
        </c:dLbls>
        <c:gapWidth val="150"/>
        <c:axId val="118647808"/>
        <c:axId val="118752000"/>
      </c:barChart>
      <c:catAx>
        <c:axId val="11864780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118752000"/>
        <c:crosses val="autoZero"/>
        <c:auto val="1"/>
        <c:lblAlgn val="ctr"/>
        <c:lblOffset val="100"/>
        <c:tickLblSkip val="1"/>
        <c:tickMarkSkip val="1"/>
        <c:noMultiLvlLbl val="0"/>
      </c:catAx>
      <c:valAx>
        <c:axId val="118752000"/>
        <c:scaling>
          <c:orientation val="minMax"/>
        </c:scaling>
        <c:delete val="0"/>
        <c:axPos val="b"/>
        <c:majorGridlines>
          <c:spPr>
            <a:ln w="3175">
              <a:solidFill>
                <a:srgbClr val="000000"/>
              </a:solidFill>
              <a:prstDash val="solid"/>
            </a:ln>
          </c:spPr>
        </c:majorGridlines>
        <c:numFmt formatCode="&quot;$&quot;#\ ##0.00_);\(&quot;$&quot;#\ ##0.00\)"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Calibri"/>
                <a:ea typeface="Calibri"/>
                <a:cs typeface="Calibri"/>
              </a:defRPr>
            </a:pPr>
            <a:endParaRPr lang="fr-FR"/>
          </a:p>
        </c:txPr>
        <c:crossAx val="118647808"/>
        <c:crosses val="autoZero"/>
        <c:crossBetween val="between"/>
      </c:valAx>
      <c:spPr>
        <a:solidFill>
          <a:srgbClr val="FFFFFF"/>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845" b="0" i="0" u="none" strike="noStrike" baseline="0">
              <a:solidFill>
                <a:srgbClr val="000000"/>
              </a:solidFill>
              <a:latin typeface="Arial Narrow"/>
              <a:ea typeface="Arial Narrow"/>
              <a:cs typeface="Arial Narrow"/>
            </a:defRPr>
          </a:pPr>
          <a:endParaRPr lang="fr-FR"/>
        </a:p>
      </c:txPr>
    </c:legend>
    <c:plotVisOnly val="1"/>
    <c:dispBlanksAs val="gap"/>
    <c:showDLblsOverMax val="0"/>
  </c:chart>
  <c:spPr>
    <a:solidFill>
      <a:srgbClr val="CCFFCC"/>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fr-FR"/>
    </a:p>
  </c:txPr>
  <c:printSettings>
    <c:headerFooter alignWithMargins="0"/>
    <c:pageMargins b="1" l="0.75000000000000011" r="0.75000000000000011" t="1" header="0.5" footer="0.5"/>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Translation!$C$30</c:f>
          <c:strCache>
            <c:ptCount val="1"/>
            <c:pt idx="0">
              <c:v>Graph for cold storage capacity at national and sub-national stores - @ +5°C: (different schedules with same Maximum Stock)</c:v>
            </c:pt>
          </c:strCache>
        </c:strRef>
      </c:tx>
      <c:layout>
        <c:manualLayout>
          <c:xMode val="edge"/>
          <c:yMode val="edge"/>
          <c:x val="0.11720226843100189"/>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8.1285444234404536E-2"/>
          <c:y val="8.5925925925925919E-2"/>
          <c:w val="0.90831758034026466"/>
          <c:h val="0.69925925925925925"/>
        </c:manualLayout>
      </c:layout>
      <c:lineChart>
        <c:grouping val="standard"/>
        <c:varyColors val="0"/>
        <c:ser>
          <c:idx val="0"/>
          <c:order val="0"/>
          <c:tx>
            <c:strRef>
              <c:f>Abacus_Tables!$B$13</c:f>
              <c:strCache>
                <c:ptCount val="1"/>
                <c:pt idx="0">
                  <c:v>Current schedule @ per individual vaccine months-MaxiStock</c:v>
                </c:pt>
              </c:strCache>
            </c:strRef>
          </c:tx>
          <c:spPr>
            <a:ln w="25400">
              <a:solidFill>
                <a:srgbClr val="FF0000"/>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Abacus_Tables!$C$13:$AB$13</c:f>
              <c:numCache>
                <c:formatCode>_(* #,##0_);_(* \(#,##0\);_(* "-"_);_(@_)</c:formatCode>
                <c:ptCount val="26"/>
                <c:pt idx="0">
                  <c:v>118.27260185185185</c:v>
                </c:pt>
                <c:pt idx="1">
                  <c:v>212.89068333333333</c:v>
                </c:pt>
                <c:pt idx="2">
                  <c:v>307.50876481481481</c:v>
                </c:pt>
                <c:pt idx="3">
                  <c:v>402.12684629629626</c:v>
                </c:pt>
                <c:pt idx="4">
                  <c:v>496.74492777777772</c:v>
                </c:pt>
                <c:pt idx="5">
                  <c:v>591.36300925925923</c:v>
                </c:pt>
                <c:pt idx="6">
                  <c:v>685.98109074074068</c:v>
                </c:pt>
                <c:pt idx="7">
                  <c:v>780.59917222222225</c:v>
                </c:pt>
                <c:pt idx="8">
                  <c:v>875.21725370370359</c:v>
                </c:pt>
                <c:pt idx="9">
                  <c:v>969.83533518518504</c:v>
                </c:pt>
                <c:pt idx="10">
                  <c:v>1064.4534166666665</c:v>
                </c:pt>
                <c:pt idx="11">
                  <c:v>1159.0714981481483</c:v>
                </c:pt>
                <c:pt idx="12">
                  <c:v>1253.6895796296296</c:v>
                </c:pt>
                <c:pt idx="13">
                  <c:v>1348.307661111111</c:v>
                </c:pt>
                <c:pt idx="14">
                  <c:v>1442.9257425925925</c:v>
                </c:pt>
                <c:pt idx="15">
                  <c:v>1537.5438240740739</c:v>
                </c:pt>
                <c:pt idx="16">
                  <c:v>1632.1619055555554</c:v>
                </c:pt>
                <c:pt idx="17">
                  <c:v>1726.779987037037</c:v>
                </c:pt>
                <c:pt idx="18">
                  <c:v>1821.3980685185184</c:v>
                </c:pt>
                <c:pt idx="19">
                  <c:v>1916.0161499999999</c:v>
                </c:pt>
                <c:pt idx="20">
                  <c:v>2010.6342314814813</c:v>
                </c:pt>
                <c:pt idx="21">
                  <c:v>2105.2523129629626</c:v>
                </c:pt>
                <c:pt idx="22">
                  <c:v>2199.8703944444442</c:v>
                </c:pt>
                <c:pt idx="23">
                  <c:v>2294.4884759259257</c:v>
                </c:pt>
                <c:pt idx="24">
                  <c:v>2389.1065574074073</c:v>
                </c:pt>
                <c:pt idx="25">
                  <c:v>2483.7246388888884</c:v>
                </c:pt>
              </c:numCache>
            </c:numRef>
          </c:val>
          <c:smooth val="0"/>
          <c:extLst>
            <c:ext xmlns:c16="http://schemas.microsoft.com/office/drawing/2014/chart" uri="{C3380CC4-5D6E-409C-BE32-E72D297353CC}">
              <c16:uniqueId val="{00000000-B20D-5F46-B863-A17F5312C9BB}"/>
            </c:ext>
          </c:extLst>
        </c:ser>
        <c:ser>
          <c:idx val="1"/>
          <c:order val="1"/>
          <c:tx>
            <c:strRef>
              <c:f>Abacus_Tables!$B$14</c:f>
              <c:strCache>
                <c:ptCount val="1"/>
                <c:pt idx="0">
                  <c:v>Current schedule with penta 1d @ per individual vaccine months-MaxiStock</c:v>
                </c:pt>
              </c:strCache>
            </c:strRef>
          </c:tx>
          <c:spPr>
            <a:ln w="25400">
              <a:solidFill>
                <a:srgbClr val="FF00FF"/>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Abacus_Tables!$C$14:$AB$14</c:f>
              <c:numCache>
                <c:formatCode>_(* #,##0_);_(* \(#,##0\);_(* "-"_);_(@_)</c:formatCode>
                <c:ptCount val="26"/>
                <c:pt idx="0">
                  <c:v>241.36933518518515</c:v>
                </c:pt>
                <c:pt idx="1">
                  <c:v>434.46480333333329</c:v>
                </c:pt>
                <c:pt idx="2">
                  <c:v>627.56027148148144</c:v>
                </c:pt>
                <c:pt idx="3">
                  <c:v>820.65573962962958</c:v>
                </c:pt>
                <c:pt idx="4">
                  <c:v>1013.7512077777777</c:v>
                </c:pt>
                <c:pt idx="5">
                  <c:v>1206.8466759259259</c:v>
                </c:pt>
                <c:pt idx="6">
                  <c:v>1399.9421440740739</c:v>
                </c:pt>
                <c:pt idx="7">
                  <c:v>1593.0376122222222</c:v>
                </c:pt>
                <c:pt idx="8">
                  <c:v>1786.1330803703704</c:v>
                </c:pt>
                <c:pt idx="9">
                  <c:v>1979.2285485185184</c:v>
                </c:pt>
                <c:pt idx="10">
                  <c:v>2172.3240166666665</c:v>
                </c:pt>
                <c:pt idx="11">
                  <c:v>2365.419484814815</c:v>
                </c:pt>
                <c:pt idx="12">
                  <c:v>2558.514952962963</c:v>
                </c:pt>
                <c:pt idx="13">
                  <c:v>2751.610421111111</c:v>
                </c:pt>
                <c:pt idx="14">
                  <c:v>2944.705889259259</c:v>
                </c:pt>
                <c:pt idx="15">
                  <c:v>3137.8013574074071</c:v>
                </c:pt>
                <c:pt idx="16">
                  <c:v>3330.8968255555551</c:v>
                </c:pt>
                <c:pt idx="17">
                  <c:v>3523.9922937037031</c:v>
                </c:pt>
                <c:pt idx="18">
                  <c:v>3717.0877618518512</c:v>
                </c:pt>
                <c:pt idx="19">
                  <c:v>3910.1832299999996</c:v>
                </c:pt>
                <c:pt idx="20">
                  <c:v>4103.2786981481477</c:v>
                </c:pt>
                <c:pt idx="21">
                  <c:v>4296.3741662962957</c:v>
                </c:pt>
                <c:pt idx="22">
                  <c:v>4489.4696344444446</c:v>
                </c:pt>
                <c:pt idx="23">
                  <c:v>4682.5651025925918</c:v>
                </c:pt>
                <c:pt idx="24">
                  <c:v>4875.6605707407407</c:v>
                </c:pt>
                <c:pt idx="25">
                  <c:v>5068.7560388888887</c:v>
                </c:pt>
              </c:numCache>
            </c:numRef>
          </c:val>
          <c:smooth val="0"/>
          <c:extLst>
            <c:ext xmlns:c16="http://schemas.microsoft.com/office/drawing/2014/chart" uri="{C3380CC4-5D6E-409C-BE32-E72D297353CC}">
              <c16:uniqueId val="{00000001-B20D-5F46-B863-A17F5312C9BB}"/>
            </c:ext>
          </c:extLst>
        </c:ser>
        <c:ser>
          <c:idx val="2"/>
          <c:order val="2"/>
          <c:tx>
            <c:strRef>
              <c:f>Abacus_Tables!$B$15</c:f>
              <c:strCache>
                <c:ptCount val="1"/>
                <c:pt idx="0">
                  <c:v>Current schedule with penta CAD @ per individual vaccine months-MaxiStock</c:v>
                </c:pt>
              </c:strCache>
            </c:strRef>
          </c:tx>
          <c:spPr>
            <a:ln w="25400">
              <a:solidFill>
                <a:srgbClr val="0000FF"/>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Abacus_Tables!$C$15:$AB$15</c:f>
              <c:numCache>
                <c:formatCode>_(* #,##0_);_(* \(#,##0\);_(* "-"_);_(@_)</c:formatCode>
                <c:ptCount val="26"/>
                <c:pt idx="0">
                  <c:v>224.73093518518516</c:v>
                </c:pt>
                <c:pt idx="1">
                  <c:v>404.5156833333333</c:v>
                </c:pt>
                <c:pt idx="2">
                  <c:v>584.30043148148138</c:v>
                </c:pt>
                <c:pt idx="3">
                  <c:v>764.08517962962958</c:v>
                </c:pt>
                <c:pt idx="4">
                  <c:v>943.86992777777766</c:v>
                </c:pt>
                <c:pt idx="5">
                  <c:v>1123.6546759259259</c:v>
                </c:pt>
                <c:pt idx="6">
                  <c:v>1303.4394240740739</c:v>
                </c:pt>
                <c:pt idx="7">
                  <c:v>1483.2241722222223</c:v>
                </c:pt>
                <c:pt idx="8">
                  <c:v>1663.0089203703701</c:v>
                </c:pt>
                <c:pt idx="9">
                  <c:v>1842.7936685185184</c:v>
                </c:pt>
                <c:pt idx="10">
                  <c:v>2022.5784166666665</c:v>
                </c:pt>
                <c:pt idx="11">
                  <c:v>2202.3631648148144</c:v>
                </c:pt>
                <c:pt idx="12">
                  <c:v>2382.1479129629629</c:v>
                </c:pt>
                <c:pt idx="13">
                  <c:v>2561.932661111111</c:v>
                </c:pt>
                <c:pt idx="14">
                  <c:v>2741.7174092592591</c:v>
                </c:pt>
                <c:pt idx="15">
                  <c:v>2921.5021574074071</c:v>
                </c:pt>
                <c:pt idx="16">
                  <c:v>3101.2869055555552</c:v>
                </c:pt>
                <c:pt idx="17">
                  <c:v>3281.0716537037038</c:v>
                </c:pt>
                <c:pt idx="18">
                  <c:v>3460.8564018518514</c:v>
                </c:pt>
                <c:pt idx="19">
                  <c:v>3640.6411499999999</c:v>
                </c:pt>
                <c:pt idx="20">
                  <c:v>3820.425898148148</c:v>
                </c:pt>
                <c:pt idx="21">
                  <c:v>4000.2106462962956</c:v>
                </c:pt>
                <c:pt idx="22">
                  <c:v>4179.9953944444442</c:v>
                </c:pt>
                <c:pt idx="23">
                  <c:v>4359.7801425925918</c:v>
                </c:pt>
                <c:pt idx="24">
                  <c:v>4539.5648907407403</c:v>
                </c:pt>
                <c:pt idx="25">
                  <c:v>4719.349638888888</c:v>
                </c:pt>
              </c:numCache>
            </c:numRef>
          </c:val>
          <c:smooth val="0"/>
          <c:extLst>
            <c:ext xmlns:c16="http://schemas.microsoft.com/office/drawing/2014/chart" uri="{C3380CC4-5D6E-409C-BE32-E72D297353CC}">
              <c16:uniqueId val="{00000002-B20D-5F46-B863-A17F5312C9BB}"/>
            </c:ext>
          </c:extLst>
        </c:ser>
        <c:ser>
          <c:idx val="3"/>
          <c:order val="3"/>
          <c:tx>
            <c:strRef>
              <c:f>Abacus_Tables!$B$16</c:f>
              <c:strCache>
                <c:ptCount val="1"/>
              </c:strCache>
            </c:strRef>
          </c:tx>
          <c:spPr>
            <a:ln w="25400">
              <a:solidFill>
                <a:srgbClr val="003300"/>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Abacus_Tables!$C$16:$AB$16</c:f>
              <c:numCache>
                <c:formatCode>_(* #,##0_);_(* \(#,##0\);_(*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B20D-5F46-B863-A17F5312C9BB}"/>
            </c:ext>
          </c:extLst>
        </c:ser>
        <c:ser>
          <c:idx val="4"/>
          <c:order val="4"/>
          <c:tx>
            <c:strRef>
              <c:f>Abacus_Tables!$B$17</c:f>
              <c:strCache>
                <c:ptCount val="1"/>
              </c:strCache>
            </c:strRef>
          </c:tx>
          <c:spPr>
            <a:ln w="25400">
              <a:solidFill>
                <a:srgbClr val="000000"/>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Abacus_Tables!$C$17:$AB$17</c:f>
              <c:numCache>
                <c:formatCode>_(* #,##0_);_(* \(#,##0\);_(*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4-B20D-5F46-B863-A17F5312C9BB}"/>
            </c:ext>
          </c:extLst>
        </c:ser>
        <c:dLbls>
          <c:showLegendKey val="0"/>
          <c:showVal val="0"/>
          <c:showCatName val="0"/>
          <c:showSerName val="0"/>
          <c:showPercent val="0"/>
          <c:showBubbleSize val="0"/>
        </c:dLbls>
        <c:smooth val="0"/>
        <c:axId val="120000896"/>
        <c:axId val="120002432"/>
      </c:lineChart>
      <c:catAx>
        <c:axId val="12000089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1000" b="1" i="0" u="none" strike="noStrike" baseline="0">
                <a:solidFill>
                  <a:srgbClr val="000000"/>
                </a:solidFill>
                <a:latin typeface="Calibri"/>
                <a:ea typeface="Calibri"/>
                <a:cs typeface="Calibri"/>
              </a:defRPr>
            </a:pPr>
            <a:endParaRPr lang="fr-FR"/>
          </a:p>
        </c:txPr>
        <c:crossAx val="120002432"/>
        <c:crosses val="autoZero"/>
        <c:auto val="1"/>
        <c:lblAlgn val="ctr"/>
        <c:lblOffset val="100"/>
        <c:tickLblSkip val="1"/>
        <c:tickMarkSkip val="1"/>
        <c:noMultiLvlLbl val="0"/>
      </c:catAx>
      <c:valAx>
        <c:axId val="120002432"/>
        <c:scaling>
          <c:orientation val="minMax"/>
        </c:scaling>
        <c:delete val="0"/>
        <c:axPos val="l"/>
        <c:majorGridlines>
          <c:spPr>
            <a:ln w="3175">
              <a:solidFill>
                <a:srgbClr val="000000"/>
              </a:solidFill>
              <a:prstDash val="sysDash"/>
            </a:ln>
          </c:spPr>
        </c:majorGridlines>
        <c:title>
          <c:tx>
            <c:strRef>
              <c:f>Translation!$C$31</c:f>
              <c:strCache>
                <c:ptCount val="1"/>
                <c:pt idx="0">
                  <c:v>Net volume of vaccines, litres</c:v>
                </c:pt>
              </c:strCache>
            </c:strRef>
          </c:tx>
          <c:layout>
            <c:manualLayout>
              <c:xMode val="edge"/>
              <c:yMode val="edge"/>
              <c:x val="0"/>
              <c:y val="0.25185185185185183"/>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numFmt formatCode="_(* #,##0_);_(* \(#,##0\);_(* &quot;-&quot;_);_(@_)" sourceLinked="1"/>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Calibri"/>
                <a:ea typeface="Calibri"/>
                <a:cs typeface="Calibri"/>
              </a:defRPr>
            </a:pPr>
            <a:endParaRPr lang="fr-FR"/>
          </a:p>
        </c:txPr>
        <c:crossAx val="120000896"/>
        <c:crosses val="autoZero"/>
        <c:crossBetween val="between"/>
      </c:valAx>
      <c:spPr>
        <a:solidFill>
          <a:srgbClr val="FFFFFF"/>
        </a:solidFill>
        <a:ln w="12700">
          <a:solidFill>
            <a:srgbClr val="808080"/>
          </a:solidFill>
          <a:prstDash val="solid"/>
        </a:ln>
      </c:spPr>
    </c:plotArea>
    <c:legend>
      <c:legendPos val="r"/>
      <c:layout>
        <c:manualLayout>
          <c:xMode val="edge"/>
          <c:yMode val="edge"/>
          <c:x val="9.4517958412098299E-3"/>
          <c:y val="0.93629629629629629"/>
          <c:w val="0.98771266540642721"/>
          <c:h val="6.2222222222222179E-2"/>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Translation!$C$32</c:f>
          <c:strCache>
            <c:ptCount val="1"/>
            <c:pt idx="0">
              <c:v>Graph for cold storage capacity at national and sub-national stores - @ +5°C: (same schedule with different Maximum Stocks)</c:v>
            </c:pt>
          </c:strCache>
        </c:strRef>
      </c:tx>
      <c:layout>
        <c:manualLayout>
          <c:xMode val="edge"/>
          <c:yMode val="edge"/>
          <c:x val="0.13516068052930058"/>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1247637051039698"/>
          <c:y val="0.08"/>
          <c:w val="0.87807183364839314"/>
          <c:h val="0.70074074074074078"/>
        </c:manualLayout>
      </c:layout>
      <c:lineChart>
        <c:grouping val="standard"/>
        <c:varyColors val="0"/>
        <c:ser>
          <c:idx val="0"/>
          <c:order val="0"/>
          <c:tx>
            <c:strRef>
              <c:f>Abacus_Tables!$B$26</c:f>
              <c:strCache>
                <c:ptCount val="1"/>
                <c:pt idx="0">
                  <c:v>Current schedule @ 4 months MaxiStock</c:v>
                </c:pt>
              </c:strCache>
            </c:strRef>
          </c:tx>
          <c:spPr>
            <a:ln w="25400">
              <a:solidFill>
                <a:srgbClr val="FF0000"/>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Abacus_Tables!$C$26:$AB$26</c:f>
              <c:numCache>
                <c:formatCode>_(* #,##0_);_(* \(#,##0\);_(* "-"_);_(@_)</c:formatCode>
                <c:ptCount val="26"/>
                <c:pt idx="0">
                  <c:v>100.14578518518519</c:v>
                </c:pt>
                <c:pt idx="1">
                  <c:v>180.26241333333334</c:v>
                </c:pt>
                <c:pt idx="2">
                  <c:v>260.37904148148147</c:v>
                </c:pt>
                <c:pt idx="3">
                  <c:v>340.49566962962962</c:v>
                </c:pt>
                <c:pt idx="4">
                  <c:v>420.61229777777777</c:v>
                </c:pt>
                <c:pt idx="5">
                  <c:v>500.72892592592598</c:v>
                </c:pt>
                <c:pt idx="6">
                  <c:v>580.84555407407413</c:v>
                </c:pt>
                <c:pt idx="7">
                  <c:v>660.96218222222217</c:v>
                </c:pt>
                <c:pt idx="8">
                  <c:v>741.07881037037043</c:v>
                </c:pt>
                <c:pt idx="9">
                  <c:v>821.19543851851859</c:v>
                </c:pt>
                <c:pt idx="10">
                  <c:v>901.31206666666662</c:v>
                </c:pt>
                <c:pt idx="11">
                  <c:v>981.42869481481489</c:v>
                </c:pt>
                <c:pt idx="12">
                  <c:v>1061.5453229629629</c:v>
                </c:pt>
                <c:pt idx="13">
                  <c:v>1141.6619511111112</c:v>
                </c:pt>
                <c:pt idx="14">
                  <c:v>1221.7785792592595</c:v>
                </c:pt>
                <c:pt idx="15">
                  <c:v>1301.8952074074075</c:v>
                </c:pt>
                <c:pt idx="16">
                  <c:v>1382.0118355555555</c:v>
                </c:pt>
                <c:pt idx="17">
                  <c:v>1462.1284637037038</c:v>
                </c:pt>
                <c:pt idx="18">
                  <c:v>1542.2450918518518</c:v>
                </c:pt>
                <c:pt idx="19">
                  <c:v>1622.3617199999999</c:v>
                </c:pt>
                <c:pt idx="20">
                  <c:v>1702.4783481481484</c:v>
                </c:pt>
                <c:pt idx="21">
                  <c:v>1782.5949762962964</c:v>
                </c:pt>
                <c:pt idx="22">
                  <c:v>1862.7116044444444</c:v>
                </c:pt>
                <c:pt idx="23">
                  <c:v>1942.8282325925927</c:v>
                </c:pt>
                <c:pt idx="24">
                  <c:v>2022.9448607407408</c:v>
                </c:pt>
                <c:pt idx="25">
                  <c:v>2103.061488888889</c:v>
                </c:pt>
              </c:numCache>
            </c:numRef>
          </c:val>
          <c:smooth val="0"/>
          <c:extLst>
            <c:ext xmlns:c16="http://schemas.microsoft.com/office/drawing/2014/chart" uri="{C3380CC4-5D6E-409C-BE32-E72D297353CC}">
              <c16:uniqueId val="{00000000-0828-8E47-A190-AD66D77E08F2}"/>
            </c:ext>
          </c:extLst>
        </c:ser>
        <c:ser>
          <c:idx val="1"/>
          <c:order val="1"/>
          <c:tx>
            <c:strRef>
              <c:f>Abacus_Tables!$B$27</c:f>
              <c:strCache>
                <c:ptCount val="1"/>
                <c:pt idx="0">
                  <c:v>Current schedule @ 6 months MaxiStock</c:v>
                </c:pt>
              </c:strCache>
            </c:strRef>
          </c:tx>
          <c:spPr>
            <a:ln w="25400">
              <a:solidFill>
                <a:srgbClr val="FF00FF"/>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Abacus_Tables!$C$27:$AB$27</c:f>
              <c:numCache>
                <c:formatCode>_(* #,##0_);_(* \(#,##0\);_(* "-"_);_(@_)</c:formatCode>
                <c:ptCount val="26"/>
                <c:pt idx="0">
                  <c:v>150.21867777777777</c:v>
                </c:pt>
                <c:pt idx="1">
                  <c:v>270.39362</c:v>
                </c:pt>
                <c:pt idx="2">
                  <c:v>390.56856222222223</c:v>
                </c:pt>
                <c:pt idx="3">
                  <c:v>510.74350444444445</c:v>
                </c:pt>
                <c:pt idx="4">
                  <c:v>630.91844666666668</c:v>
                </c:pt>
                <c:pt idx="5">
                  <c:v>751.09338888888885</c:v>
                </c:pt>
                <c:pt idx="6">
                  <c:v>871.26833111111114</c:v>
                </c:pt>
                <c:pt idx="7">
                  <c:v>991.44327333333331</c:v>
                </c:pt>
                <c:pt idx="8">
                  <c:v>1111.6182155555557</c:v>
                </c:pt>
                <c:pt idx="9">
                  <c:v>1231.7931577777779</c:v>
                </c:pt>
                <c:pt idx="10">
                  <c:v>1351.9681</c:v>
                </c:pt>
                <c:pt idx="11">
                  <c:v>1472.1430422222222</c:v>
                </c:pt>
                <c:pt idx="12">
                  <c:v>1592.3179844444446</c:v>
                </c:pt>
                <c:pt idx="13">
                  <c:v>1712.4929266666668</c:v>
                </c:pt>
                <c:pt idx="14">
                  <c:v>1832.667868888889</c:v>
                </c:pt>
                <c:pt idx="15">
                  <c:v>1952.8428111111111</c:v>
                </c:pt>
                <c:pt idx="16">
                  <c:v>2073.0177533333335</c:v>
                </c:pt>
                <c:pt idx="17">
                  <c:v>2193.1926955555555</c:v>
                </c:pt>
                <c:pt idx="18">
                  <c:v>2313.3676377777779</c:v>
                </c:pt>
                <c:pt idx="19">
                  <c:v>2433.5425800000003</c:v>
                </c:pt>
                <c:pt idx="20">
                  <c:v>2553.7175222222222</c:v>
                </c:pt>
                <c:pt idx="21">
                  <c:v>2673.8924644444446</c:v>
                </c:pt>
                <c:pt idx="22">
                  <c:v>2794.0674066666666</c:v>
                </c:pt>
                <c:pt idx="23">
                  <c:v>2914.242348888889</c:v>
                </c:pt>
                <c:pt idx="24">
                  <c:v>3034.4172911111114</c:v>
                </c:pt>
                <c:pt idx="25">
                  <c:v>3154.5922333333333</c:v>
                </c:pt>
              </c:numCache>
            </c:numRef>
          </c:val>
          <c:smooth val="0"/>
          <c:extLst>
            <c:ext xmlns:c16="http://schemas.microsoft.com/office/drawing/2014/chart" uri="{C3380CC4-5D6E-409C-BE32-E72D297353CC}">
              <c16:uniqueId val="{00000001-0828-8E47-A190-AD66D77E08F2}"/>
            </c:ext>
          </c:extLst>
        </c:ser>
        <c:ser>
          <c:idx val="2"/>
          <c:order val="2"/>
          <c:tx>
            <c:strRef>
              <c:f>Abacus_Tables!$B$28</c:f>
              <c:strCache>
                <c:ptCount val="1"/>
                <c:pt idx="0">
                  <c:v>Current schedule @ 9 months MaxiStock</c:v>
                </c:pt>
              </c:strCache>
            </c:strRef>
          </c:tx>
          <c:spPr>
            <a:ln w="25400">
              <a:solidFill>
                <a:srgbClr val="0000FF"/>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Abacus_Tables!$C$28:$AB$28</c:f>
              <c:numCache>
                <c:formatCode>_(* #,##0_);_(* \(#,##0\);_(* "-"_);_(@_)</c:formatCode>
                <c:ptCount val="26"/>
                <c:pt idx="0">
                  <c:v>225.32801666666668</c:v>
                </c:pt>
                <c:pt idx="1">
                  <c:v>405.59043000000003</c:v>
                </c:pt>
                <c:pt idx="2">
                  <c:v>585.85284333333334</c:v>
                </c:pt>
                <c:pt idx="3">
                  <c:v>766.11525666666671</c:v>
                </c:pt>
                <c:pt idx="4">
                  <c:v>946.37767000000008</c:v>
                </c:pt>
                <c:pt idx="5">
                  <c:v>1126.6400833333335</c:v>
                </c:pt>
                <c:pt idx="6">
                  <c:v>1306.9024966666668</c:v>
                </c:pt>
                <c:pt idx="7">
                  <c:v>1487.1649100000002</c:v>
                </c:pt>
                <c:pt idx="8">
                  <c:v>1667.4273233333336</c:v>
                </c:pt>
                <c:pt idx="9">
                  <c:v>1847.6897366666667</c:v>
                </c:pt>
                <c:pt idx="10">
                  <c:v>2027.9521500000001</c:v>
                </c:pt>
                <c:pt idx="11">
                  <c:v>2208.2145633333334</c:v>
                </c:pt>
                <c:pt idx="12">
                  <c:v>2388.4769766666668</c:v>
                </c:pt>
                <c:pt idx="13">
                  <c:v>2568.7393900000002</c:v>
                </c:pt>
                <c:pt idx="14">
                  <c:v>2749.0018033333336</c:v>
                </c:pt>
                <c:pt idx="15">
                  <c:v>2929.2642166666669</c:v>
                </c:pt>
                <c:pt idx="16">
                  <c:v>3109.5266300000003</c:v>
                </c:pt>
                <c:pt idx="17">
                  <c:v>3289.7890433333337</c:v>
                </c:pt>
                <c:pt idx="18">
                  <c:v>3470.051456666667</c:v>
                </c:pt>
                <c:pt idx="19">
                  <c:v>3650.31387</c:v>
                </c:pt>
                <c:pt idx="20">
                  <c:v>3830.5762833333338</c:v>
                </c:pt>
                <c:pt idx="21">
                  <c:v>4010.8386966666671</c:v>
                </c:pt>
                <c:pt idx="22">
                  <c:v>4191.1011100000005</c:v>
                </c:pt>
                <c:pt idx="23">
                  <c:v>4371.3635233333334</c:v>
                </c:pt>
                <c:pt idx="24">
                  <c:v>4551.6259366666673</c:v>
                </c:pt>
                <c:pt idx="25">
                  <c:v>4731.8883500000002</c:v>
                </c:pt>
              </c:numCache>
            </c:numRef>
          </c:val>
          <c:smooth val="0"/>
          <c:extLst>
            <c:ext xmlns:c16="http://schemas.microsoft.com/office/drawing/2014/chart" uri="{C3380CC4-5D6E-409C-BE32-E72D297353CC}">
              <c16:uniqueId val="{00000002-0828-8E47-A190-AD66D77E08F2}"/>
            </c:ext>
          </c:extLst>
        </c:ser>
        <c:ser>
          <c:idx val="3"/>
          <c:order val="3"/>
          <c:tx>
            <c:strRef>
              <c:f>Abacus_Tables!$B$29</c:f>
              <c:strCache>
                <c:ptCount val="1"/>
                <c:pt idx="0">
                  <c:v>Current schedule @ par vaccin individuel MaxiStock</c:v>
                </c:pt>
              </c:strCache>
            </c:strRef>
          </c:tx>
          <c:spPr>
            <a:ln w="25400">
              <a:solidFill>
                <a:srgbClr val="003300"/>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Abacus_Tables!$C$29:$AB$29</c:f>
              <c:numCache>
                <c:formatCode>_(* #,##0_);_(* \(#,##0\);_(* "-"_);_(@_)</c:formatCode>
                <c:ptCount val="26"/>
                <c:pt idx="0">
                  <c:v>118.27260185185185</c:v>
                </c:pt>
                <c:pt idx="1">
                  <c:v>212.89068333333333</c:v>
                </c:pt>
                <c:pt idx="2">
                  <c:v>307.50876481481481</c:v>
                </c:pt>
                <c:pt idx="3">
                  <c:v>402.12684629629626</c:v>
                </c:pt>
                <c:pt idx="4">
                  <c:v>496.74492777777772</c:v>
                </c:pt>
                <c:pt idx="5">
                  <c:v>591.36300925925923</c:v>
                </c:pt>
                <c:pt idx="6">
                  <c:v>685.98109074074068</c:v>
                </c:pt>
                <c:pt idx="7">
                  <c:v>780.59917222222225</c:v>
                </c:pt>
                <c:pt idx="8">
                  <c:v>875.21725370370359</c:v>
                </c:pt>
                <c:pt idx="9">
                  <c:v>969.83533518518504</c:v>
                </c:pt>
                <c:pt idx="10">
                  <c:v>1064.4534166666665</c:v>
                </c:pt>
                <c:pt idx="11">
                  <c:v>1159.0714981481483</c:v>
                </c:pt>
                <c:pt idx="12">
                  <c:v>1253.6895796296296</c:v>
                </c:pt>
                <c:pt idx="13">
                  <c:v>1348.307661111111</c:v>
                </c:pt>
                <c:pt idx="14">
                  <c:v>1442.9257425925925</c:v>
                </c:pt>
                <c:pt idx="15">
                  <c:v>1537.5438240740739</c:v>
                </c:pt>
                <c:pt idx="16">
                  <c:v>1632.1619055555554</c:v>
                </c:pt>
                <c:pt idx="17">
                  <c:v>1726.779987037037</c:v>
                </c:pt>
                <c:pt idx="18">
                  <c:v>1821.3980685185184</c:v>
                </c:pt>
                <c:pt idx="19">
                  <c:v>1916.0161499999999</c:v>
                </c:pt>
                <c:pt idx="20">
                  <c:v>2010.6342314814813</c:v>
                </c:pt>
                <c:pt idx="21">
                  <c:v>2105.2523129629626</c:v>
                </c:pt>
                <c:pt idx="22">
                  <c:v>2199.8703944444442</c:v>
                </c:pt>
                <c:pt idx="23">
                  <c:v>2294.4884759259257</c:v>
                </c:pt>
                <c:pt idx="24">
                  <c:v>2389.1065574074073</c:v>
                </c:pt>
                <c:pt idx="25">
                  <c:v>2483.7246388888884</c:v>
                </c:pt>
              </c:numCache>
            </c:numRef>
          </c:val>
          <c:smooth val="0"/>
          <c:extLst>
            <c:ext xmlns:c16="http://schemas.microsoft.com/office/drawing/2014/chart" uri="{C3380CC4-5D6E-409C-BE32-E72D297353CC}">
              <c16:uniqueId val="{00000003-0828-8E47-A190-AD66D77E08F2}"/>
            </c:ext>
          </c:extLst>
        </c:ser>
        <c:dLbls>
          <c:showLegendKey val="0"/>
          <c:showVal val="0"/>
          <c:showCatName val="0"/>
          <c:showSerName val="0"/>
          <c:showPercent val="0"/>
          <c:showBubbleSize val="0"/>
        </c:dLbls>
        <c:smooth val="0"/>
        <c:axId val="114443392"/>
        <c:axId val="114444928"/>
      </c:lineChart>
      <c:catAx>
        <c:axId val="114443392"/>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925" b="1" i="0" u="none" strike="noStrike" baseline="0">
                <a:solidFill>
                  <a:srgbClr val="000000"/>
                </a:solidFill>
                <a:latin typeface="Calibri"/>
                <a:ea typeface="Calibri"/>
                <a:cs typeface="Calibri"/>
              </a:defRPr>
            </a:pPr>
            <a:endParaRPr lang="fr-FR"/>
          </a:p>
        </c:txPr>
        <c:crossAx val="114444928"/>
        <c:crosses val="autoZero"/>
        <c:auto val="1"/>
        <c:lblAlgn val="ctr"/>
        <c:lblOffset val="100"/>
        <c:tickLblSkip val="1"/>
        <c:tickMarkSkip val="1"/>
        <c:noMultiLvlLbl val="0"/>
      </c:catAx>
      <c:valAx>
        <c:axId val="114444928"/>
        <c:scaling>
          <c:orientation val="minMax"/>
        </c:scaling>
        <c:delete val="0"/>
        <c:axPos val="l"/>
        <c:majorGridlines>
          <c:spPr>
            <a:ln w="3175">
              <a:solidFill>
                <a:srgbClr val="000000"/>
              </a:solidFill>
              <a:prstDash val="sysDash"/>
            </a:ln>
          </c:spPr>
        </c:majorGridlines>
        <c:title>
          <c:tx>
            <c:strRef>
              <c:f>Translation!$C$33</c:f>
              <c:strCache>
                <c:ptCount val="1"/>
                <c:pt idx="0">
                  <c:v>Net volume of vaccines, litres</c:v>
                </c:pt>
              </c:strCache>
            </c:strRef>
          </c:tx>
          <c:layout>
            <c:manualLayout>
              <c:xMode val="edge"/>
              <c:yMode val="edge"/>
              <c:x val="0"/>
              <c:y val="0.26814814814814814"/>
            </c:manualLayout>
          </c:layout>
          <c:overlay val="0"/>
          <c:spPr>
            <a:noFill/>
            <a:ln w="25400">
              <a:noFill/>
            </a:ln>
          </c:spPr>
          <c:txPr>
            <a:bodyPr/>
            <a:lstStyle/>
            <a:p>
              <a:pPr>
                <a:defRPr sz="1100" b="1" i="0" u="none" strike="noStrike" baseline="0">
                  <a:solidFill>
                    <a:srgbClr val="000000"/>
                  </a:solidFill>
                  <a:latin typeface="Calibri"/>
                  <a:ea typeface="Calibri"/>
                  <a:cs typeface="Calibri"/>
                </a:defRPr>
              </a:pPr>
              <a:endParaRPr lang="fr-FR"/>
            </a:p>
          </c:txPr>
        </c:title>
        <c:numFmt formatCode="_(* #,##0_);_(* \(#,##0\);_(* &quot;-&quot;_);_(@_)" sourceLinked="1"/>
        <c:majorTickMark val="out"/>
        <c:minorTickMark val="none"/>
        <c:tickLblPos val="nextTo"/>
        <c:spPr>
          <a:ln w="3175">
            <a:solidFill>
              <a:srgbClr val="000000"/>
            </a:solidFill>
            <a:prstDash val="solid"/>
          </a:ln>
        </c:spPr>
        <c:txPr>
          <a:bodyPr rot="0" vert="horz"/>
          <a:lstStyle/>
          <a:p>
            <a:pPr>
              <a:defRPr sz="1025" b="1" i="0" u="none" strike="noStrike" baseline="0">
                <a:solidFill>
                  <a:srgbClr val="000000"/>
                </a:solidFill>
                <a:latin typeface="Calibri"/>
                <a:ea typeface="Calibri"/>
                <a:cs typeface="Calibri"/>
              </a:defRPr>
            </a:pPr>
            <a:endParaRPr lang="fr-FR"/>
          </a:p>
        </c:txPr>
        <c:crossAx val="114443392"/>
        <c:crosses val="autoZero"/>
        <c:crossBetween val="between"/>
      </c:valAx>
      <c:spPr>
        <a:solidFill>
          <a:srgbClr val="FFFFFF"/>
        </a:solidFill>
        <a:ln w="12700">
          <a:solidFill>
            <a:srgbClr val="808080"/>
          </a:solidFill>
          <a:prstDash val="solid"/>
        </a:ln>
      </c:spPr>
    </c:plotArea>
    <c:legend>
      <c:legendPos val="r"/>
      <c:layout>
        <c:manualLayout>
          <c:xMode val="edge"/>
          <c:yMode val="edge"/>
          <c:x val="6.6162570888468808E-3"/>
          <c:y val="0.95703703703703702"/>
          <c:w val="0.99338374291115317"/>
          <c:h val="4.2962962962962981E-2"/>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Translation!$C$48</c:f>
          <c:strCache>
            <c:ptCount val="1"/>
            <c:pt idx="0">
              <c:v>Graph for cold storage capacity at district stores - @ +5°C: (different schedules with same Maximum Stock)</c:v>
            </c:pt>
          </c:strCache>
        </c:strRef>
      </c:tx>
      <c:layout>
        <c:manualLayout>
          <c:xMode val="edge"/>
          <c:yMode val="edge"/>
          <c:x val="0.12381852551984877"/>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9.5463137996219277E-2"/>
          <c:y val="8.7407407407407406E-2"/>
          <c:w val="0.89413988657844989"/>
          <c:h val="0.73777777777777775"/>
        </c:manualLayout>
      </c:layout>
      <c:lineChart>
        <c:grouping val="standard"/>
        <c:varyColors val="0"/>
        <c:ser>
          <c:idx val="0"/>
          <c:order val="0"/>
          <c:tx>
            <c:strRef>
              <c:f>Abacus_Tables!$B$60</c:f>
              <c:strCache>
                <c:ptCount val="1"/>
                <c:pt idx="0">
                  <c:v>Current schedule @ 3 months MaxiStock</c:v>
                </c:pt>
              </c:strCache>
            </c:strRef>
          </c:tx>
          <c:spPr>
            <a:ln w="25400">
              <a:solidFill>
                <a:srgbClr val="FF0000"/>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Abacus_Tables!$C$60:$AB$60</c:f>
              <c:numCache>
                <c:formatCode>_(* #,##0_);_(* \(#,##0\);_(* "-"_);_(@_)</c:formatCode>
                <c:ptCount val="26"/>
                <c:pt idx="0">
                  <c:v>20.088534444444441</c:v>
                </c:pt>
                <c:pt idx="1">
                  <c:v>21.695617199999997</c:v>
                </c:pt>
                <c:pt idx="2">
                  <c:v>23.302699955555553</c:v>
                </c:pt>
                <c:pt idx="3">
                  <c:v>24.909782711111109</c:v>
                </c:pt>
                <c:pt idx="4">
                  <c:v>26.516865466666665</c:v>
                </c:pt>
                <c:pt idx="5">
                  <c:v>28.123948222222218</c:v>
                </c:pt>
                <c:pt idx="6">
                  <c:v>29.731030977777777</c:v>
                </c:pt>
                <c:pt idx="7">
                  <c:v>31.338113733333333</c:v>
                </c:pt>
                <c:pt idx="8">
                  <c:v>32.945196488888882</c:v>
                </c:pt>
                <c:pt idx="9">
                  <c:v>34.552279244444442</c:v>
                </c:pt>
                <c:pt idx="10">
                  <c:v>36.159362000000002</c:v>
                </c:pt>
                <c:pt idx="11">
                  <c:v>37.766444755555554</c:v>
                </c:pt>
                <c:pt idx="12">
                  <c:v>39.373527511111106</c:v>
                </c:pt>
                <c:pt idx="13">
                  <c:v>40.980610266666666</c:v>
                </c:pt>
                <c:pt idx="14">
                  <c:v>42.587693022222219</c:v>
                </c:pt>
                <c:pt idx="15">
                  <c:v>44.194775777777771</c:v>
                </c:pt>
                <c:pt idx="16">
                  <c:v>45.801858533333331</c:v>
                </c:pt>
                <c:pt idx="17">
                  <c:v>47.408941288888883</c:v>
                </c:pt>
                <c:pt idx="18">
                  <c:v>49.016024044444443</c:v>
                </c:pt>
                <c:pt idx="19">
                  <c:v>50.623106800000002</c:v>
                </c:pt>
                <c:pt idx="20">
                  <c:v>52.230189555555555</c:v>
                </c:pt>
                <c:pt idx="21">
                  <c:v>53.837272311111107</c:v>
                </c:pt>
                <c:pt idx="22">
                  <c:v>55.44435506666666</c:v>
                </c:pt>
                <c:pt idx="23">
                  <c:v>57.051437822222212</c:v>
                </c:pt>
                <c:pt idx="24">
                  <c:v>58.658520577777772</c:v>
                </c:pt>
                <c:pt idx="25">
                  <c:v>60.265603333333331</c:v>
                </c:pt>
              </c:numCache>
            </c:numRef>
          </c:val>
          <c:smooth val="0"/>
          <c:extLst>
            <c:ext xmlns:c16="http://schemas.microsoft.com/office/drawing/2014/chart" uri="{C3380CC4-5D6E-409C-BE32-E72D297353CC}">
              <c16:uniqueId val="{00000000-7008-A54A-B48E-9E4976472651}"/>
            </c:ext>
          </c:extLst>
        </c:ser>
        <c:ser>
          <c:idx val="1"/>
          <c:order val="1"/>
          <c:tx>
            <c:strRef>
              <c:f>Abacus_Tables!$B$61</c:f>
              <c:strCache>
                <c:ptCount val="1"/>
                <c:pt idx="0">
                  <c:v>Current schedule with penta 1d @ 3 months MaxiStock</c:v>
                </c:pt>
              </c:strCache>
            </c:strRef>
          </c:tx>
          <c:spPr>
            <a:ln w="25400">
              <a:solidFill>
                <a:srgbClr val="FF00FF"/>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Abacus_Tables!$C$61:$AB$61</c:f>
              <c:numCache>
                <c:formatCode>_(* #,##0_);_(* \(#,##0\);_(* "-"_);_(@_)</c:formatCode>
                <c:ptCount val="26"/>
                <c:pt idx="0">
                  <c:v>39.859294444444437</c:v>
                </c:pt>
                <c:pt idx="1">
                  <c:v>43.048037999999998</c:v>
                </c:pt>
                <c:pt idx="2">
                  <c:v>46.236781555555545</c:v>
                </c:pt>
                <c:pt idx="3">
                  <c:v>49.425525111111106</c:v>
                </c:pt>
                <c:pt idx="4">
                  <c:v>52.614268666666661</c:v>
                </c:pt>
                <c:pt idx="5">
                  <c:v>55.803012222222215</c:v>
                </c:pt>
                <c:pt idx="6">
                  <c:v>58.991755777777776</c:v>
                </c:pt>
                <c:pt idx="7">
                  <c:v>62.18049933333333</c:v>
                </c:pt>
                <c:pt idx="8">
                  <c:v>65.369242888888891</c:v>
                </c:pt>
                <c:pt idx="9">
                  <c:v>68.557986444444438</c:v>
                </c:pt>
                <c:pt idx="10">
                  <c:v>71.746729999999985</c:v>
                </c:pt>
                <c:pt idx="11">
                  <c:v>74.935473555555546</c:v>
                </c:pt>
                <c:pt idx="12">
                  <c:v>78.124217111111108</c:v>
                </c:pt>
                <c:pt idx="13">
                  <c:v>81.312960666666655</c:v>
                </c:pt>
                <c:pt idx="14">
                  <c:v>84.501704222222216</c:v>
                </c:pt>
                <c:pt idx="15">
                  <c:v>87.690447777777777</c:v>
                </c:pt>
                <c:pt idx="16">
                  <c:v>90.879191333333324</c:v>
                </c:pt>
                <c:pt idx="17">
                  <c:v>94.067934888888885</c:v>
                </c:pt>
                <c:pt idx="18">
                  <c:v>97.256678444444432</c:v>
                </c:pt>
                <c:pt idx="19">
                  <c:v>100.44542200000001</c:v>
                </c:pt>
                <c:pt idx="20">
                  <c:v>103.63416555555555</c:v>
                </c:pt>
                <c:pt idx="21">
                  <c:v>106.8229091111111</c:v>
                </c:pt>
                <c:pt idx="22">
                  <c:v>110.01165266666666</c:v>
                </c:pt>
                <c:pt idx="23">
                  <c:v>113.20039622222221</c:v>
                </c:pt>
                <c:pt idx="24">
                  <c:v>116.38913977777777</c:v>
                </c:pt>
                <c:pt idx="25">
                  <c:v>119.57788333333332</c:v>
                </c:pt>
              </c:numCache>
            </c:numRef>
          </c:val>
          <c:smooth val="0"/>
          <c:extLst>
            <c:ext xmlns:c16="http://schemas.microsoft.com/office/drawing/2014/chart" uri="{C3380CC4-5D6E-409C-BE32-E72D297353CC}">
              <c16:uniqueId val="{00000001-7008-A54A-B48E-9E4976472651}"/>
            </c:ext>
          </c:extLst>
        </c:ser>
        <c:ser>
          <c:idx val="2"/>
          <c:order val="2"/>
          <c:tx>
            <c:strRef>
              <c:f>Abacus_Tables!$B$62</c:f>
              <c:strCache>
                <c:ptCount val="1"/>
                <c:pt idx="0">
                  <c:v>Current schedule with penta CAD @ 3 months MaxiStock</c:v>
                </c:pt>
              </c:strCache>
            </c:strRef>
          </c:tx>
          <c:spPr>
            <a:ln w="25400">
              <a:solidFill>
                <a:srgbClr val="0000FF"/>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Abacus_Tables!$C$62:$AB$62</c:f>
              <c:numCache>
                <c:formatCode>_(* #,##0_);_(* \(#,##0\);_(* "-"_);_(@_)</c:formatCode>
                <c:ptCount val="26"/>
                <c:pt idx="0">
                  <c:v>32.863534444444447</c:v>
                </c:pt>
                <c:pt idx="1">
                  <c:v>35.492617199999998</c:v>
                </c:pt>
                <c:pt idx="2">
                  <c:v>38.121699955555549</c:v>
                </c:pt>
                <c:pt idx="3">
                  <c:v>40.750782711111107</c:v>
                </c:pt>
                <c:pt idx="4">
                  <c:v>43.379865466666665</c:v>
                </c:pt>
                <c:pt idx="5">
                  <c:v>46.008948222222223</c:v>
                </c:pt>
                <c:pt idx="6">
                  <c:v>48.638030977777781</c:v>
                </c:pt>
                <c:pt idx="7">
                  <c:v>51.267113733333332</c:v>
                </c:pt>
                <c:pt idx="8">
                  <c:v>53.896196488888883</c:v>
                </c:pt>
                <c:pt idx="9">
                  <c:v>56.525279244444441</c:v>
                </c:pt>
                <c:pt idx="10">
                  <c:v>59.154361999999992</c:v>
                </c:pt>
                <c:pt idx="11">
                  <c:v>61.78344475555555</c:v>
                </c:pt>
                <c:pt idx="12">
                  <c:v>64.412527511111108</c:v>
                </c:pt>
                <c:pt idx="13">
                  <c:v>67.041610266666666</c:v>
                </c:pt>
                <c:pt idx="14">
                  <c:v>69.670693022222224</c:v>
                </c:pt>
                <c:pt idx="15">
                  <c:v>72.299775777777768</c:v>
                </c:pt>
                <c:pt idx="16">
                  <c:v>74.928858533333326</c:v>
                </c:pt>
                <c:pt idx="17">
                  <c:v>77.557941288888884</c:v>
                </c:pt>
                <c:pt idx="18">
                  <c:v>80.187024044444442</c:v>
                </c:pt>
                <c:pt idx="19">
                  <c:v>82.8161068</c:v>
                </c:pt>
                <c:pt idx="20">
                  <c:v>85.445189555555558</c:v>
                </c:pt>
                <c:pt idx="21">
                  <c:v>88.074272311111102</c:v>
                </c:pt>
                <c:pt idx="22">
                  <c:v>90.703355066666646</c:v>
                </c:pt>
                <c:pt idx="23">
                  <c:v>93.332437822222218</c:v>
                </c:pt>
                <c:pt idx="24">
                  <c:v>95.961520577777776</c:v>
                </c:pt>
                <c:pt idx="25">
                  <c:v>98.590603333333334</c:v>
                </c:pt>
              </c:numCache>
            </c:numRef>
          </c:val>
          <c:smooth val="0"/>
          <c:extLst>
            <c:ext xmlns:c16="http://schemas.microsoft.com/office/drawing/2014/chart" uri="{C3380CC4-5D6E-409C-BE32-E72D297353CC}">
              <c16:uniqueId val="{00000002-7008-A54A-B48E-9E4976472651}"/>
            </c:ext>
          </c:extLst>
        </c:ser>
        <c:ser>
          <c:idx val="3"/>
          <c:order val="3"/>
          <c:tx>
            <c:strRef>
              <c:f>Abacus_Tables!$B$63</c:f>
              <c:strCache>
                <c:ptCount val="1"/>
              </c:strCache>
            </c:strRef>
          </c:tx>
          <c:spPr>
            <a:ln w="25400">
              <a:solidFill>
                <a:srgbClr val="003300"/>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Abacus_Tables!$C$63:$AB$63</c:f>
              <c:numCache>
                <c:formatCode>_(* #,##0_);_(* \(#,##0\);_(*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7008-A54A-B48E-9E4976472651}"/>
            </c:ext>
          </c:extLst>
        </c:ser>
        <c:ser>
          <c:idx val="4"/>
          <c:order val="4"/>
          <c:tx>
            <c:strRef>
              <c:f>Abacus_Tables!$B$64</c:f>
              <c:strCache>
                <c:ptCount val="1"/>
              </c:strCache>
            </c:strRef>
          </c:tx>
          <c:spPr>
            <a:ln w="25400">
              <a:solidFill>
                <a:srgbClr val="000000"/>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Abacus_Tables!$C$64:$AB$64</c:f>
              <c:numCache>
                <c:formatCode>_(* #,##0_);_(* \(#,##0\);_(*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4-7008-A54A-B48E-9E4976472651}"/>
            </c:ext>
          </c:extLst>
        </c:ser>
        <c:dLbls>
          <c:showLegendKey val="0"/>
          <c:showVal val="0"/>
          <c:showCatName val="0"/>
          <c:showSerName val="0"/>
          <c:showPercent val="0"/>
          <c:showBubbleSize val="0"/>
        </c:dLbls>
        <c:smooth val="0"/>
        <c:axId val="120081024"/>
        <c:axId val="120099200"/>
      </c:lineChart>
      <c:catAx>
        <c:axId val="12008102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1000" b="1" i="0" u="none" strike="noStrike" baseline="0">
                <a:solidFill>
                  <a:srgbClr val="000000"/>
                </a:solidFill>
                <a:latin typeface="Calibri"/>
                <a:ea typeface="Calibri"/>
                <a:cs typeface="Calibri"/>
              </a:defRPr>
            </a:pPr>
            <a:endParaRPr lang="fr-FR"/>
          </a:p>
        </c:txPr>
        <c:crossAx val="120099200"/>
        <c:crosses val="autoZero"/>
        <c:auto val="1"/>
        <c:lblAlgn val="ctr"/>
        <c:lblOffset val="100"/>
        <c:tickLblSkip val="1"/>
        <c:tickMarkSkip val="1"/>
        <c:noMultiLvlLbl val="0"/>
      </c:catAx>
      <c:valAx>
        <c:axId val="120099200"/>
        <c:scaling>
          <c:orientation val="minMax"/>
        </c:scaling>
        <c:delete val="0"/>
        <c:axPos val="l"/>
        <c:majorGridlines>
          <c:spPr>
            <a:ln w="3175">
              <a:solidFill>
                <a:srgbClr val="000000"/>
              </a:solidFill>
              <a:prstDash val="sysDash"/>
            </a:ln>
          </c:spPr>
        </c:majorGridlines>
        <c:title>
          <c:tx>
            <c:strRef>
              <c:f>Translation!$C$49</c:f>
              <c:strCache>
                <c:ptCount val="1"/>
                <c:pt idx="0">
                  <c:v>Net volume of vaccines, litres</c:v>
                </c:pt>
              </c:strCache>
            </c:strRef>
          </c:tx>
          <c:layout>
            <c:manualLayout>
              <c:xMode val="edge"/>
              <c:yMode val="edge"/>
              <c:x val="0"/>
              <c:y val="0.27111111111111114"/>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numFmt formatCode="_(* #,##0_);_(* \(#,##0\);_(* &quot;-&quot;_);_(@_)" sourceLinked="1"/>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Calibri"/>
                <a:ea typeface="Calibri"/>
                <a:cs typeface="Calibri"/>
              </a:defRPr>
            </a:pPr>
            <a:endParaRPr lang="fr-FR"/>
          </a:p>
        </c:txPr>
        <c:crossAx val="120081024"/>
        <c:crosses val="autoZero"/>
        <c:crossBetween val="between"/>
      </c:valAx>
      <c:spPr>
        <a:solidFill>
          <a:srgbClr val="FFFFFF"/>
        </a:solidFill>
        <a:ln w="12700">
          <a:solidFill>
            <a:srgbClr val="808080"/>
          </a:solidFill>
          <a:prstDash val="solid"/>
        </a:ln>
      </c:spPr>
    </c:plotArea>
    <c:legend>
      <c:legendPos val="r"/>
      <c:layout>
        <c:manualLayout>
          <c:xMode val="edge"/>
          <c:yMode val="edge"/>
          <c:x val="1.6068052930056712E-2"/>
          <c:y val="0.9496296296296296"/>
          <c:w val="0.94234404536862004"/>
          <c:h val="4.7407407407407454E-2"/>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Translation!$C$50</c:f>
          <c:strCache>
            <c:ptCount val="1"/>
            <c:pt idx="0">
              <c:v>Graph for cold storage capacity at district stores - @ +5°C: (same schedule with different Maximum Stocks)</c:v>
            </c:pt>
          </c:strCache>
        </c:strRef>
      </c:tx>
      <c:layout>
        <c:manualLayout>
          <c:xMode val="edge"/>
          <c:yMode val="edge"/>
          <c:x val="0.1275992438563327"/>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0869565217391304"/>
          <c:y val="8.5925925925925919E-2"/>
          <c:w val="0.88090737240075612"/>
          <c:h val="0.73777777777777775"/>
        </c:manualLayout>
      </c:layout>
      <c:lineChart>
        <c:grouping val="standard"/>
        <c:varyColors val="0"/>
        <c:ser>
          <c:idx val="0"/>
          <c:order val="0"/>
          <c:tx>
            <c:strRef>
              <c:f>Abacus_Tables!$B$73</c:f>
              <c:strCache>
                <c:ptCount val="1"/>
                <c:pt idx="0">
                  <c:v>Current schedule @ 1.5 months MaxiStock</c:v>
                </c:pt>
              </c:strCache>
            </c:strRef>
          </c:tx>
          <c:spPr>
            <a:ln w="25400">
              <a:solidFill>
                <a:srgbClr val="FF0000"/>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Abacus_Tables!$C$73:$AB$73</c:f>
              <c:numCache>
                <c:formatCode>_(* #,##0_);_(* \(#,##0\);_(* "-"_);_(@_)</c:formatCode>
                <c:ptCount val="26"/>
                <c:pt idx="0">
                  <c:v>10.044267222222221</c:v>
                </c:pt>
                <c:pt idx="1">
                  <c:v>10.847808599999999</c:v>
                </c:pt>
                <c:pt idx="2">
                  <c:v>11.651349977777777</c:v>
                </c:pt>
                <c:pt idx="3">
                  <c:v>12.454891355555555</c:v>
                </c:pt>
                <c:pt idx="4">
                  <c:v>13.258432733333333</c:v>
                </c:pt>
                <c:pt idx="5">
                  <c:v>14.061974111111109</c:v>
                </c:pt>
                <c:pt idx="6">
                  <c:v>14.865515488888889</c:v>
                </c:pt>
                <c:pt idx="7">
                  <c:v>15.669056866666667</c:v>
                </c:pt>
                <c:pt idx="8">
                  <c:v>16.472598244444441</c:v>
                </c:pt>
                <c:pt idx="9">
                  <c:v>17.276139622222221</c:v>
                </c:pt>
                <c:pt idx="10">
                  <c:v>18.079681000000001</c:v>
                </c:pt>
                <c:pt idx="11">
                  <c:v>18.883222377777777</c:v>
                </c:pt>
                <c:pt idx="12">
                  <c:v>19.686763755555553</c:v>
                </c:pt>
                <c:pt idx="13">
                  <c:v>20.490305133333333</c:v>
                </c:pt>
                <c:pt idx="14">
                  <c:v>21.293846511111109</c:v>
                </c:pt>
                <c:pt idx="15">
                  <c:v>22.097387888888885</c:v>
                </c:pt>
                <c:pt idx="16">
                  <c:v>22.900929266666665</c:v>
                </c:pt>
                <c:pt idx="17">
                  <c:v>23.704470644444442</c:v>
                </c:pt>
                <c:pt idx="18">
                  <c:v>24.508012022222221</c:v>
                </c:pt>
                <c:pt idx="19">
                  <c:v>25.311553400000001</c:v>
                </c:pt>
                <c:pt idx="20">
                  <c:v>26.115094777777777</c:v>
                </c:pt>
                <c:pt idx="21">
                  <c:v>26.918636155555554</c:v>
                </c:pt>
                <c:pt idx="22">
                  <c:v>27.72217753333333</c:v>
                </c:pt>
                <c:pt idx="23">
                  <c:v>28.525718911111106</c:v>
                </c:pt>
                <c:pt idx="24">
                  <c:v>29.329260288888886</c:v>
                </c:pt>
                <c:pt idx="25">
                  <c:v>30.132801666666666</c:v>
                </c:pt>
              </c:numCache>
            </c:numRef>
          </c:val>
          <c:smooth val="0"/>
          <c:extLst>
            <c:ext xmlns:c16="http://schemas.microsoft.com/office/drawing/2014/chart" uri="{C3380CC4-5D6E-409C-BE32-E72D297353CC}">
              <c16:uniqueId val="{00000000-CC2F-3747-8616-9D0E56BDD667}"/>
            </c:ext>
          </c:extLst>
        </c:ser>
        <c:ser>
          <c:idx val="1"/>
          <c:order val="1"/>
          <c:tx>
            <c:strRef>
              <c:f>Abacus_Tables!$B$74</c:f>
              <c:strCache>
                <c:ptCount val="1"/>
                <c:pt idx="0">
                  <c:v>Current schedule @ 2 months MaxiStock</c:v>
                </c:pt>
              </c:strCache>
            </c:strRef>
          </c:tx>
          <c:spPr>
            <a:ln w="25400">
              <a:solidFill>
                <a:srgbClr val="FF00FF"/>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Abacus_Tables!$C$74:$AB$74</c:f>
              <c:numCache>
                <c:formatCode>_(* #,##0_);_(* \(#,##0\);_(* "-"_);_(@_)</c:formatCode>
                <c:ptCount val="26"/>
                <c:pt idx="0">
                  <c:v>13.392356296296297</c:v>
                </c:pt>
                <c:pt idx="1">
                  <c:v>14.463744800000001</c:v>
                </c:pt>
                <c:pt idx="2">
                  <c:v>15.535133303703704</c:v>
                </c:pt>
                <c:pt idx="3">
                  <c:v>16.606521807407407</c:v>
                </c:pt>
                <c:pt idx="4">
                  <c:v>17.677910311111109</c:v>
                </c:pt>
                <c:pt idx="5">
                  <c:v>18.749298814814814</c:v>
                </c:pt>
                <c:pt idx="6">
                  <c:v>19.820687318518516</c:v>
                </c:pt>
                <c:pt idx="7">
                  <c:v>20.892075822222225</c:v>
                </c:pt>
                <c:pt idx="8">
                  <c:v>21.963464325925926</c:v>
                </c:pt>
                <c:pt idx="9">
                  <c:v>23.034852829629628</c:v>
                </c:pt>
                <c:pt idx="10">
                  <c:v>24.106241333333333</c:v>
                </c:pt>
                <c:pt idx="11">
                  <c:v>25.177629837037035</c:v>
                </c:pt>
                <c:pt idx="12">
                  <c:v>26.24901834074074</c:v>
                </c:pt>
                <c:pt idx="13">
                  <c:v>27.320406844444445</c:v>
                </c:pt>
                <c:pt idx="14">
                  <c:v>28.391795348148147</c:v>
                </c:pt>
                <c:pt idx="15">
                  <c:v>29.463183851851852</c:v>
                </c:pt>
                <c:pt idx="16">
                  <c:v>30.534572355555554</c:v>
                </c:pt>
                <c:pt idx="17">
                  <c:v>31.605960859259259</c:v>
                </c:pt>
                <c:pt idx="18">
                  <c:v>32.677349362962964</c:v>
                </c:pt>
                <c:pt idx="19">
                  <c:v>33.748737866666666</c:v>
                </c:pt>
                <c:pt idx="20">
                  <c:v>34.820126370370367</c:v>
                </c:pt>
                <c:pt idx="21">
                  <c:v>35.891514874074076</c:v>
                </c:pt>
                <c:pt idx="22">
                  <c:v>36.962903377777778</c:v>
                </c:pt>
                <c:pt idx="23">
                  <c:v>38.034291881481479</c:v>
                </c:pt>
                <c:pt idx="24">
                  <c:v>39.105680385185188</c:v>
                </c:pt>
                <c:pt idx="25">
                  <c:v>40.17706888888889</c:v>
                </c:pt>
              </c:numCache>
            </c:numRef>
          </c:val>
          <c:smooth val="0"/>
          <c:extLst>
            <c:ext xmlns:c16="http://schemas.microsoft.com/office/drawing/2014/chart" uri="{C3380CC4-5D6E-409C-BE32-E72D297353CC}">
              <c16:uniqueId val="{00000001-CC2F-3747-8616-9D0E56BDD667}"/>
            </c:ext>
          </c:extLst>
        </c:ser>
        <c:ser>
          <c:idx val="2"/>
          <c:order val="2"/>
          <c:tx>
            <c:strRef>
              <c:f>Abacus_Tables!$B$75</c:f>
              <c:strCache>
                <c:ptCount val="1"/>
                <c:pt idx="0">
                  <c:v>Current schedule @ 3 months MaxiStock</c:v>
                </c:pt>
              </c:strCache>
            </c:strRef>
          </c:tx>
          <c:spPr>
            <a:ln w="25400">
              <a:solidFill>
                <a:srgbClr val="0000FF"/>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Abacus_Tables!$C$75:$AB$75</c:f>
              <c:numCache>
                <c:formatCode>_(* #,##0_);_(* \(#,##0\);_(* "-"_);_(@_)</c:formatCode>
                <c:ptCount val="26"/>
                <c:pt idx="0">
                  <c:v>20.088534444444441</c:v>
                </c:pt>
                <c:pt idx="1">
                  <c:v>21.695617199999997</c:v>
                </c:pt>
                <c:pt idx="2">
                  <c:v>23.302699955555553</c:v>
                </c:pt>
                <c:pt idx="3">
                  <c:v>24.909782711111109</c:v>
                </c:pt>
                <c:pt idx="4">
                  <c:v>26.516865466666665</c:v>
                </c:pt>
                <c:pt idx="5">
                  <c:v>28.123948222222218</c:v>
                </c:pt>
                <c:pt idx="6">
                  <c:v>29.731030977777777</c:v>
                </c:pt>
                <c:pt idx="7">
                  <c:v>31.338113733333333</c:v>
                </c:pt>
                <c:pt idx="8">
                  <c:v>32.945196488888882</c:v>
                </c:pt>
                <c:pt idx="9">
                  <c:v>34.552279244444442</c:v>
                </c:pt>
                <c:pt idx="10">
                  <c:v>36.159362000000002</c:v>
                </c:pt>
                <c:pt idx="11">
                  <c:v>37.766444755555554</c:v>
                </c:pt>
                <c:pt idx="12">
                  <c:v>39.373527511111106</c:v>
                </c:pt>
                <c:pt idx="13">
                  <c:v>40.980610266666666</c:v>
                </c:pt>
                <c:pt idx="14">
                  <c:v>42.587693022222219</c:v>
                </c:pt>
                <c:pt idx="15">
                  <c:v>44.194775777777771</c:v>
                </c:pt>
                <c:pt idx="16">
                  <c:v>45.801858533333331</c:v>
                </c:pt>
                <c:pt idx="17">
                  <c:v>47.408941288888883</c:v>
                </c:pt>
                <c:pt idx="18">
                  <c:v>49.016024044444443</c:v>
                </c:pt>
                <c:pt idx="19">
                  <c:v>50.623106800000002</c:v>
                </c:pt>
                <c:pt idx="20">
                  <c:v>52.230189555555555</c:v>
                </c:pt>
                <c:pt idx="21">
                  <c:v>53.837272311111107</c:v>
                </c:pt>
                <c:pt idx="22">
                  <c:v>55.44435506666666</c:v>
                </c:pt>
                <c:pt idx="23">
                  <c:v>57.051437822222212</c:v>
                </c:pt>
                <c:pt idx="24">
                  <c:v>58.658520577777772</c:v>
                </c:pt>
                <c:pt idx="25">
                  <c:v>60.265603333333331</c:v>
                </c:pt>
              </c:numCache>
            </c:numRef>
          </c:val>
          <c:smooth val="0"/>
          <c:extLst>
            <c:ext xmlns:c16="http://schemas.microsoft.com/office/drawing/2014/chart" uri="{C3380CC4-5D6E-409C-BE32-E72D297353CC}">
              <c16:uniqueId val="{00000002-CC2F-3747-8616-9D0E56BDD667}"/>
            </c:ext>
          </c:extLst>
        </c:ser>
        <c:ser>
          <c:idx val="3"/>
          <c:order val="3"/>
          <c:tx>
            <c:strRef>
              <c:f>Abacus_Tables!$B$76</c:f>
              <c:strCache>
                <c:ptCount val="1"/>
              </c:strCache>
            </c:strRef>
          </c:tx>
          <c:spPr>
            <a:ln w="25400">
              <a:solidFill>
                <a:srgbClr val="003300"/>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Abacus_Tables!$C$76:$AB$76</c:f>
              <c:numCache>
                <c:formatCode>_(* #,##0_);_(* \(#,##0\);_(*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CC2F-3747-8616-9D0E56BDD667}"/>
            </c:ext>
          </c:extLst>
        </c:ser>
        <c:dLbls>
          <c:showLegendKey val="0"/>
          <c:showVal val="0"/>
          <c:showCatName val="0"/>
          <c:showSerName val="0"/>
          <c:showPercent val="0"/>
          <c:showBubbleSize val="0"/>
        </c:dLbls>
        <c:smooth val="0"/>
        <c:axId val="120581504"/>
        <c:axId val="121123968"/>
      </c:lineChart>
      <c:catAx>
        <c:axId val="12058150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825" b="1" i="0" u="none" strike="noStrike" baseline="0">
                <a:solidFill>
                  <a:srgbClr val="000000"/>
                </a:solidFill>
                <a:latin typeface="Calibri"/>
                <a:ea typeface="Calibri"/>
                <a:cs typeface="Calibri"/>
              </a:defRPr>
            </a:pPr>
            <a:endParaRPr lang="fr-FR"/>
          </a:p>
        </c:txPr>
        <c:crossAx val="121123968"/>
        <c:crosses val="autoZero"/>
        <c:auto val="1"/>
        <c:lblAlgn val="ctr"/>
        <c:lblOffset val="100"/>
        <c:tickLblSkip val="1"/>
        <c:tickMarkSkip val="1"/>
        <c:noMultiLvlLbl val="0"/>
      </c:catAx>
      <c:valAx>
        <c:axId val="121123968"/>
        <c:scaling>
          <c:orientation val="minMax"/>
        </c:scaling>
        <c:delete val="0"/>
        <c:axPos val="l"/>
        <c:majorGridlines>
          <c:spPr>
            <a:ln w="3175">
              <a:solidFill>
                <a:srgbClr val="000000"/>
              </a:solidFill>
              <a:prstDash val="sysDash"/>
            </a:ln>
          </c:spPr>
        </c:majorGridlines>
        <c:title>
          <c:tx>
            <c:strRef>
              <c:f>Translation!$C$51</c:f>
              <c:strCache>
                <c:ptCount val="1"/>
                <c:pt idx="0">
                  <c:v>Net volume of vaccines, litres</c:v>
                </c:pt>
              </c:strCache>
            </c:strRef>
          </c:tx>
          <c:layout>
            <c:manualLayout>
              <c:xMode val="edge"/>
              <c:yMode val="edge"/>
              <c:x val="0"/>
              <c:y val="0.27555555555555555"/>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numFmt formatCode="_(* #,##0_);_(* \(#,##0\);_(* &quot;-&quot;_);_(@_)" sourceLinked="1"/>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Calibri"/>
                <a:ea typeface="Calibri"/>
                <a:cs typeface="Calibri"/>
              </a:defRPr>
            </a:pPr>
            <a:endParaRPr lang="fr-FR"/>
          </a:p>
        </c:txPr>
        <c:crossAx val="120581504"/>
        <c:crosses val="autoZero"/>
        <c:crossBetween val="between"/>
      </c:valAx>
      <c:spPr>
        <a:solidFill>
          <a:srgbClr val="FFFFFF"/>
        </a:solidFill>
        <a:ln w="12700">
          <a:solidFill>
            <a:srgbClr val="808080"/>
          </a:solidFill>
          <a:prstDash val="solid"/>
        </a:ln>
      </c:spPr>
    </c:plotArea>
    <c:legend>
      <c:legendPos val="r"/>
      <c:layout>
        <c:manualLayout>
          <c:xMode val="edge"/>
          <c:yMode val="edge"/>
          <c:x val="6.6162570888468808E-3"/>
          <c:y val="0.93333333333333335"/>
          <c:w val="0.99338374291115317"/>
          <c:h val="5.6296296296296289E-2"/>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Translation!$C$58</c:f>
          <c:strCache>
            <c:ptCount val="1"/>
            <c:pt idx="0">
              <c:v>Graph for cold storage capacity at service points - @ +5°C: (different schedules with same Maximum Stock)</c:v>
            </c:pt>
          </c:strCache>
        </c:strRef>
      </c:tx>
      <c:layout>
        <c:manualLayout>
          <c:xMode val="edge"/>
          <c:yMode val="edge"/>
          <c:x val="0.12381852551984877"/>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8.9792060491493381E-2"/>
          <c:y val="9.0370370370370365E-2"/>
          <c:w val="0.89981096408317585"/>
          <c:h val="0.74518518518518517"/>
        </c:manualLayout>
      </c:layout>
      <c:lineChart>
        <c:grouping val="standard"/>
        <c:varyColors val="0"/>
        <c:ser>
          <c:idx val="0"/>
          <c:order val="0"/>
          <c:tx>
            <c:strRef>
              <c:f>Abacus_Tables!$B$107</c:f>
              <c:strCache>
                <c:ptCount val="1"/>
                <c:pt idx="0">
                  <c:v>Current schedule @ 2 months MaxiStock</c:v>
                </c:pt>
              </c:strCache>
            </c:strRef>
          </c:tx>
          <c:spPr>
            <a:ln w="25400">
              <a:solidFill>
                <a:srgbClr val="FF0000"/>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Abacus_Tables!$C$107:$AB$107</c:f>
              <c:numCache>
                <c:formatCode>_(* #,##0_);_(* \(#,##0\);_(* "-"_);_(@_)</c:formatCode>
                <c:ptCount val="26"/>
                <c:pt idx="0">
                  <c:v>0.17955278518518519</c:v>
                </c:pt>
                <c:pt idx="1">
                  <c:v>0.53865835555555552</c:v>
                </c:pt>
                <c:pt idx="2">
                  <c:v>0.8977639259259258</c:v>
                </c:pt>
                <c:pt idx="3">
                  <c:v>1.2568694962962963</c:v>
                </c:pt>
                <c:pt idx="4">
                  <c:v>1.6159750666666666</c:v>
                </c:pt>
                <c:pt idx="5">
                  <c:v>1.9750806370370368</c:v>
                </c:pt>
                <c:pt idx="6">
                  <c:v>2.3341862074074071</c:v>
                </c:pt>
                <c:pt idx="7">
                  <c:v>2.6932917777777776</c:v>
                </c:pt>
                <c:pt idx="8">
                  <c:v>3.0523973481481481</c:v>
                </c:pt>
                <c:pt idx="9">
                  <c:v>3.4115029185185182</c:v>
                </c:pt>
                <c:pt idx="10">
                  <c:v>3.7706084888888882</c:v>
                </c:pt>
                <c:pt idx="11">
                  <c:v>4.1297140592592596</c:v>
                </c:pt>
                <c:pt idx="12">
                  <c:v>4.4888196296296297</c:v>
                </c:pt>
                <c:pt idx="13">
                  <c:v>4.8479251999999997</c:v>
                </c:pt>
                <c:pt idx="14">
                  <c:v>5.2070307703703698</c:v>
                </c:pt>
                <c:pt idx="15">
                  <c:v>5.5661363407407407</c:v>
                </c:pt>
                <c:pt idx="16">
                  <c:v>5.9252419111111108</c:v>
                </c:pt>
                <c:pt idx="17">
                  <c:v>6.2843474814814808</c:v>
                </c:pt>
                <c:pt idx="18">
                  <c:v>6.6434530518518518</c:v>
                </c:pt>
                <c:pt idx="19">
                  <c:v>7.0025586222222218</c:v>
                </c:pt>
                <c:pt idx="20">
                  <c:v>7.3616641925925919</c:v>
                </c:pt>
                <c:pt idx="21">
                  <c:v>7.7207697629629619</c:v>
                </c:pt>
                <c:pt idx="22">
                  <c:v>8.0798753333333337</c:v>
                </c:pt>
                <c:pt idx="23">
                  <c:v>8.4389809037037029</c:v>
                </c:pt>
                <c:pt idx="24">
                  <c:v>8.7980864740740738</c:v>
                </c:pt>
                <c:pt idx="25">
                  <c:v>9.1571920444444448</c:v>
                </c:pt>
              </c:numCache>
            </c:numRef>
          </c:val>
          <c:smooth val="0"/>
          <c:extLst>
            <c:ext xmlns:c16="http://schemas.microsoft.com/office/drawing/2014/chart" uri="{C3380CC4-5D6E-409C-BE32-E72D297353CC}">
              <c16:uniqueId val="{00000000-2A96-8D44-8CA8-A40618A97BDC}"/>
            </c:ext>
          </c:extLst>
        </c:ser>
        <c:ser>
          <c:idx val="1"/>
          <c:order val="1"/>
          <c:tx>
            <c:strRef>
              <c:f>Abacus_Tables!$B$108</c:f>
              <c:strCache>
                <c:ptCount val="1"/>
                <c:pt idx="0">
                  <c:v>Current schedule with penta 1d @ 2 months MaxiStock</c:v>
                </c:pt>
              </c:strCache>
            </c:strRef>
          </c:tx>
          <c:spPr>
            <a:ln w="25400">
              <a:solidFill>
                <a:srgbClr val="FF00FF"/>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Abacus_Tables!$C$108:$AB$108</c:f>
              <c:numCache>
                <c:formatCode>_(* #,##0_);_(* \(#,##0\);_(* "-"_);_(@_)</c:formatCode>
                <c:ptCount val="26"/>
                <c:pt idx="0">
                  <c:v>0.31135785185185183</c:v>
                </c:pt>
                <c:pt idx="1">
                  <c:v>0.93407355555555549</c:v>
                </c:pt>
                <c:pt idx="2">
                  <c:v>1.5567892592592592</c:v>
                </c:pt>
                <c:pt idx="3">
                  <c:v>2.1795049629629628</c:v>
                </c:pt>
                <c:pt idx="4">
                  <c:v>2.8022206666666669</c:v>
                </c:pt>
                <c:pt idx="5">
                  <c:v>3.4249363703703701</c:v>
                </c:pt>
                <c:pt idx="6">
                  <c:v>4.0476520740740733</c:v>
                </c:pt>
                <c:pt idx="7">
                  <c:v>4.6703677777777779</c:v>
                </c:pt>
                <c:pt idx="8">
                  <c:v>5.2930834814814816</c:v>
                </c:pt>
                <c:pt idx="9">
                  <c:v>5.9157991851851852</c:v>
                </c:pt>
                <c:pt idx="10">
                  <c:v>6.538514888888888</c:v>
                </c:pt>
                <c:pt idx="11">
                  <c:v>7.1612305925925925</c:v>
                </c:pt>
                <c:pt idx="12">
                  <c:v>7.7839462962962962</c:v>
                </c:pt>
                <c:pt idx="13">
                  <c:v>8.406661999999999</c:v>
                </c:pt>
                <c:pt idx="14">
                  <c:v>9.0293777037037035</c:v>
                </c:pt>
                <c:pt idx="15">
                  <c:v>9.6520934074074063</c:v>
                </c:pt>
                <c:pt idx="16">
                  <c:v>10.274809111111109</c:v>
                </c:pt>
                <c:pt idx="17">
                  <c:v>10.897524814814814</c:v>
                </c:pt>
                <c:pt idx="18">
                  <c:v>11.520240518518518</c:v>
                </c:pt>
                <c:pt idx="19">
                  <c:v>12.142956222222221</c:v>
                </c:pt>
                <c:pt idx="20">
                  <c:v>12.765671925925925</c:v>
                </c:pt>
                <c:pt idx="21">
                  <c:v>13.38838762962963</c:v>
                </c:pt>
                <c:pt idx="22">
                  <c:v>14.011103333333333</c:v>
                </c:pt>
                <c:pt idx="23">
                  <c:v>14.633819037037036</c:v>
                </c:pt>
                <c:pt idx="24">
                  <c:v>15.256534740740738</c:v>
                </c:pt>
                <c:pt idx="25">
                  <c:v>15.879250444444445</c:v>
                </c:pt>
              </c:numCache>
            </c:numRef>
          </c:val>
          <c:smooth val="0"/>
          <c:extLst>
            <c:ext xmlns:c16="http://schemas.microsoft.com/office/drawing/2014/chart" uri="{C3380CC4-5D6E-409C-BE32-E72D297353CC}">
              <c16:uniqueId val="{00000001-2A96-8D44-8CA8-A40618A97BDC}"/>
            </c:ext>
          </c:extLst>
        </c:ser>
        <c:ser>
          <c:idx val="2"/>
          <c:order val="2"/>
          <c:tx>
            <c:strRef>
              <c:f>Abacus_Tables!$B$109</c:f>
              <c:strCache>
                <c:ptCount val="1"/>
                <c:pt idx="0">
                  <c:v>Current schedule with penta CAD @ 2 months MaxiStock</c:v>
                </c:pt>
              </c:strCache>
            </c:strRef>
          </c:tx>
          <c:spPr>
            <a:ln w="25400">
              <a:solidFill>
                <a:srgbClr val="0000FF"/>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Abacus_Tables!$C$109:$AB$109</c:f>
              <c:numCache>
                <c:formatCode>_(* #,##0_);_(* \(#,##0\);_(* "-"_);_(@_)</c:formatCode>
                <c:ptCount val="26"/>
                <c:pt idx="0">
                  <c:v>0.26471945185185181</c:v>
                </c:pt>
                <c:pt idx="1">
                  <c:v>0.79415835555555547</c:v>
                </c:pt>
                <c:pt idx="2">
                  <c:v>1.3235972592592591</c:v>
                </c:pt>
                <c:pt idx="3">
                  <c:v>1.8530361629629628</c:v>
                </c:pt>
                <c:pt idx="4">
                  <c:v>2.3824750666666668</c:v>
                </c:pt>
                <c:pt idx="5">
                  <c:v>2.91191397037037</c:v>
                </c:pt>
                <c:pt idx="6">
                  <c:v>3.4413528740740738</c:v>
                </c:pt>
                <c:pt idx="7">
                  <c:v>3.970791777777777</c:v>
                </c:pt>
                <c:pt idx="8">
                  <c:v>4.5002306814814803</c:v>
                </c:pt>
                <c:pt idx="9">
                  <c:v>5.0296695851851849</c:v>
                </c:pt>
                <c:pt idx="10">
                  <c:v>5.5591084888888886</c:v>
                </c:pt>
                <c:pt idx="11">
                  <c:v>6.0885473925925924</c:v>
                </c:pt>
                <c:pt idx="12">
                  <c:v>6.6179862962962952</c:v>
                </c:pt>
                <c:pt idx="13">
                  <c:v>7.1474251999999989</c:v>
                </c:pt>
                <c:pt idx="14">
                  <c:v>7.6768641037037026</c:v>
                </c:pt>
                <c:pt idx="15">
                  <c:v>8.2063030074074064</c:v>
                </c:pt>
                <c:pt idx="16">
                  <c:v>8.7357419111111092</c:v>
                </c:pt>
                <c:pt idx="17">
                  <c:v>9.2651808148148138</c:v>
                </c:pt>
                <c:pt idx="18">
                  <c:v>9.7946197185185184</c:v>
                </c:pt>
                <c:pt idx="19">
                  <c:v>10.324058622222221</c:v>
                </c:pt>
                <c:pt idx="20">
                  <c:v>10.853497525925926</c:v>
                </c:pt>
                <c:pt idx="21">
                  <c:v>11.382936429629629</c:v>
                </c:pt>
                <c:pt idx="22">
                  <c:v>11.912375333333332</c:v>
                </c:pt>
                <c:pt idx="23">
                  <c:v>12.441814237037036</c:v>
                </c:pt>
                <c:pt idx="24">
                  <c:v>12.971253140740739</c:v>
                </c:pt>
                <c:pt idx="25">
                  <c:v>13.500692044444444</c:v>
                </c:pt>
              </c:numCache>
            </c:numRef>
          </c:val>
          <c:smooth val="0"/>
          <c:extLst>
            <c:ext xmlns:c16="http://schemas.microsoft.com/office/drawing/2014/chart" uri="{C3380CC4-5D6E-409C-BE32-E72D297353CC}">
              <c16:uniqueId val="{00000002-2A96-8D44-8CA8-A40618A97BDC}"/>
            </c:ext>
          </c:extLst>
        </c:ser>
        <c:ser>
          <c:idx val="3"/>
          <c:order val="3"/>
          <c:tx>
            <c:strRef>
              <c:f>Abacus_Tables!$B$110</c:f>
              <c:strCache>
                <c:ptCount val="1"/>
              </c:strCache>
            </c:strRef>
          </c:tx>
          <c:spPr>
            <a:ln w="25400">
              <a:solidFill>
                <a:srgbClr val="003300"/>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Abacus_Tables!$C$110:$AB$110</c:f>
              <c:numCache>
                <c:formatCode>_(* #,##0_);_(* \(#,##0\);_(*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2A96-8D44-8CA8-A40618A97BDC}"/>
            </c:ext>
          </c:extLst>
        </c:ser>
        <c:ser>
          <c:idx val="4"/>
          <c:order val="4"/>
          <c:tx>
            <c:strRef>
              <c:f>Abacus_Tables!$B$111</c:f>
              <c:strCache>
                <c:ptCount val="1"/>
              </c:strCache>
            </c:strRef>
          </c:tx>
          <c:spPr>
            <a:ln w="25400">
              <a:solidFill>
                <a:srgbClr val="000000"/>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Abacus_Tables!$C$111:$AB$111</c:f>
              <c:numCache>
                <c:formatCode>_(* #,##0_);_(* \(#,##0\);_(*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4-2A96-8D44-8CA8-A40618A97BDC}"/>
            </c:ext>
          </c:extLst>
        </c:ser>
        <c:dLbls>
          <c:showLegendKey val="0"/>
          <c:showVal val="0"/>
          <c:showCatName val="0"/>
          <c:showSerName val="0"/>
          <c:showPercent val="0"/>
          <c:showBubbleSize val="0"/>
        </c:dLbls>
        <c:smooth val="0"/>
        <c:axId val="120865920"/>
        <c:axId val="120867456"/>
      </c:lineChart>
      <c:catAx>
        <c:axId val="120865920"/>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1000" b="1" i="0" u="none" strike="noStrike" baseline="0">
                <a:solidFill>
                  <a:srgbClr val="000000"/>
                </a:solidFill>
                <a:latin typeface="Calibri"/>
                <a:ea typeface="Calibri"/>
                <a:cs typeface="Calibri"/>
              </a:defRPr>
            </a:pPr>
            <a:endParaRPr lang="fr-FR"/>
          </a:p>
        </c:txPr>
        <c:crossAx val="120867456"/>
        <c:crosses val="autoZero"/>
        <c:auto val="1"/>
        <c:lblAlgn val="ctr"/>
        <c:lblOffset val="100"/>
        <c:tickLblSkip val="1"/>
        <c:tickMarkSkip val="1"/>
        <c:noMultiLvlLbl val="0"/>
      </c:catAx>
      <c:valAx>
        <c:axId val="120867456"/>
        <c:scaling>
          <c:orientation val="minMax"/>
        </c:scaling>
        <c:delete val="0"/>
        <c:axPos val="l"/>
        <c:majorGridlines>
          <c:spPr>
            <a:ln w="3175">
              <a:solidFill>
                <a:srgbClr val="000000"/>
              </a:solidFill>
              <a:prstDash val="sysDash"/>
            </a:ln>
          </c:spPr>
        </c:majorGridlines>
        <c:title>
          <c:tx>
            <c:strRef>
              <c:f>Translation!$C$59</c:f>
              <c:strCache>
                <c:ptCount val="1"/>
                <c:pt idx="0">
                  <c:v>Net volume of vaccines, litres</c:v>
                </c:pt>
              </c:strCache>
            </c:strRef>
          </c:tx>
          <c:layout>
            <c:manualLayout>
              <c:xMode val="edge"/>
              <c:yMode val="edge"/>
              <c:x val="0"/>
              <c:y val="0.2785185185185185"/>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numFmt formatCode="_(* #,##0_);_(* \(#,##0\);_(* &quot;-&quot;_);_(@_)" sourceLinked="1"/>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Calibri"/>
                <a:ea typeface="Calibri"/>
                <a:cs typeface="Calibri"/>
              </a:defRPr>
            </a:pPr>
            <a:endParaRPr lang="fr-FR"/>
          </a:p>
        </c:txPr>
        <c:crossAx val="120865920"/>
        <c:crosses val="autoZero"/>
        <c:crossBetween val="between"/>
      </c:valAx>
      <c:spPr>
        <a:solidFill>
          <a:srgbClr val="FFFFFF"/>
        </a:solidFill>
        <a:ln w="12700">
          <a:solidFill>
            <a:srgbClr val="808080"/>
          </a:solidFill>
          <a:prstDash val="solid"/>
        </a:ln>
      </c:spPr>
    </c:plotArea>
    <c:legend>
      <c:legendPos val="r"/>
      <c:layout>
        <c:manualLayout>
          <c:xMode val="edge"/>
          <c:yMode val="edge"/>
          <c:x val="2.2684310018903593E-2"/>
          <c:y val="0.95407407407407407"/>
          <c:w val="0.97069943289224958"/>
          <c:h val="4.1481481481481453E-2"/>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Translation!$C$60</c:f>
          <c:strCache>
            <c:ptCount val="1"/>
            <c:pt idx="0">
              <c:v>Graph for cold storage capacity at service points - @ +5°C: (same schedule with different Maximum Stocks)</c:v>
            </c:pt>
          </c:strCache>
        </c:strRef>
      </c:tx>
      <c:layout>
        <c:manualLayout>
          <c:xMode val="edge"/>
          <c:yMode val="edge"/>
          <c:x val="0.1275992438563327"/>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9.5463137996219277E-2"/>
          <c:y val="8.5925925925925919E-2"/>
          <c:w val="0.89413988657844989"/>
          <c:h val="0.74814814814814812"/>
        </c:manualLayout>
      </c:layout>
      <c:lineChart>
        <c:grouping val="standard"/>
        <c:varyColors val="0"/>
        <c:ser>
          <c:idx val="0"/>
          <c:order val="0"/>
          <c:tx>
            <c:strRef>
              <c:f>Abacus_Tables!$B$120</c:f>
              <c:strCache>
                <c:ptCount val="1"/>
                <c:pt idx="0">
                  <c:v>Current schedule @ 1 months MaxiStock</c:v>
                </c:pt>
              </c:strCache>
            </c:strRef>
          </c:tx>
          <c:spPr>
            <a:ln w="25400">
              <a:solidFill>
                <a:srgbClr val="FF0000"/>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Abacus_Tables!$C$120:$AB$120</c:f>
              <c:numCache>
                <c:formatCode>_(* #,##0_);_(* \(#,##0\);_(* "-"_);_(@_)</c:formatCode>
                <c:ptCount val="26"/>
                <c:pt idx="0">
                  <c:v>8.9776392592592597E-2</c:v>
                </c:pt>
                <c:pt idx="1">
                  <c:v>0.26932917777777776</c:v>
                </c:pt>
                <c:pt idx="2">
                  <c:v>0.4488819629629629</c:v>
                </c:pt>
                <c:pt idx="3">
                  <c:v>0.62843474814814815</c:v>
                </c:pt>
                <c:pt idx="4">
                  <c:v>0.80798753333333329</c:v>
                </c:pt>
                <c:pt idx="5">
                  <c:v>0.98754031851851842</c:v>
                </c:pt>
                <c:pt idx="6">
                  <c:v>1.1670931037037036</c:v>
                </c:pt>
                <c:pt idx="7">
                  <c:v>1.3466458888888888</c:v>
                </c:pt>
                <c:pt idx="8">
                  <c:v>1.5261986740740741</c:v>
                </c:pt>
                <c:pt idx="9">
                  <c:v>1.7057514592592591</c:v>
                </c:pt>
                <c:pt idx="10">
                  <c:v>1.8853042444444441</c:v>
                </c:pt>
                <c:pt idx="11">
                  <c:v>2.0648570296296298</c:v>
                </c:pt>
                <c:pt idx="12">
                  <c:v>2.2444098148148148</c:v>
                </c:pt>
                <c:pt idx="13">
                  <c:v>2.4239625999999999</c:v>
                </c:pt>
                <c:pt idx="14">
                  <c:v>2.6035153851851849</c:v>
                </c:pt>
                <c:pt idx="15">
                  <c:v>2.7830681703703704</c:v>
                </c:pt>
                <c:pt idx="16">
                  <c:v>2.9626209555555554</c:v>
                </c:pt>
                <c:pt idx="17">
                  <c:v>3.1421737407407404</c:v>
                </c:pt>
                <c:pt idx="18">
                  <c:v>3.3217265259259259</c:v>
                </c:pt>
                <c:pt idx="19">
                  <c:v>3.5012793111111109</c:v>
                </c:pt>
                <c:pt idx="20">
                  <c:v>3.6808320962962959</c:v>
                </c:pt>
                <c:pt idx="21">
                  <c:v>3.860384881481481</c:v>
                </c:pt>
                <c:pt idx="22">
                  <c:v>4.0399376666666669</c:v>
                </c:pt>
                <c:pt idx="23">
                  <c:v>4.2194904518518515</c:v>
                </c:pt>
                <c:pt idx="24">
                  <c:v>4.3990432370370369</c:v>
                </c:pt>
                <c:pt idx="25">
                  <c:v>4.5785960222222224</c:v>
                </c:pt>
              </c:numCache>
            </c:numRef>
          </c:val>
          <c:smooth val="0"/>
          <c:extLst>
            <c:ext xmlns:c16="http://schemas.microsoft.com/office/drawing/2014/chart" uri="{C3380CC4-5D6E-409C-BE32-E72D297353CC}">
              <c16:uniqueId val="{00000000-70DC-B74D-848D-FE8C62C8BF9F}"/>
            </c:ext>
          </c:extLst>
        </c:ser>
        <c:ser>
          <c:idx val="1"/>
          <c:order val="1"/>
          <c:tx>
            <c:strRef>
              <c:f>Abacus_Tables!$B$121</c:f>
              <c:strCache>
                <c:ptCount val="1"/>
                <c:pt idx="0">
                  <c:v>Current schedule @ 1.5 months MaxiStock</c:v>
                </c:pt>
              </c:strCache>
            </c:strRef>
          </c:tx>
          <c:spPr>
            <a:ln w="25400">
              <a:solidFill>
                <a:srgbClr val="FF00FF"/>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Abacus_Tables!$C$121:$AB$121</c:f>
              <c:numCache>
                <c:formatCode>_(* #,##0_);_(* \(#,##0\);_(* "-"_);_(@_)</c:formatCode>
                <c:ptCount val="26"/>
                <c:pt idx="0">
                  <c:v>0.13466458888888888</c:v>
                </c:pt>
                <c:pt idx="1">
                  <c:v>0.40399376666666664</c:v>
                </c:pt>
                <c:pt idx="2">
                  <c:v>0.6733229444444444</c:v>
                </c:pt>
                <c:pt idx="3">
                  <c:v>0.94265212222222206</c:v>
                </c:pt>
                <c:pt idx="4">
                  <c:v>1.2119812999999999</c:v>
                </c:pt>
                <c:pt idx="5">
                  <c:v>1.4813104777777777</c:v>
                </c:pt>
                <c:pt idx="6">
                  <c:v>1.7506396555555555</c:v>
                </c:pt>
                <c:pt idx="7">
                  <c:v>2.0199688333333334</c:v>
                </c:pt>
                <c:pt idx="8">
                  <c:v>2.2892980111111112</c:v>
                </c:pt>
                <c:pt idx="9">
                  <c:v>2.5586271888888885</c:v>
                </c:pt>
                <c:pt idx="10">
                  <c:v>2.8279563666666667</c:v>
                </c:pt>
                <c:pt idx="11">
                  <c:v>3.0972855444444445</c:v>
                </c:pt>
                <c:pt idx="12">
                  <c:v>3.3666147222222218</c:v>
                </c:pt>
                <c:pt idx="13">
                  <c:v>3.6359438999999996</c:v>
                </c:pt>
                <c:pt idx="14">
                  <c:v>3.9052730777777773</c:v>
                </c:pt>
                <c:pt idx="15">
                  <c:v>4.1746022555555555</c:v>
                </c:pt>
                <c:pt idx="16">
                  <c:v>4.4439314333333328</c:v>
                </c:pt>
                <c:pt idx="17">
                  <c:v>4.7132606111111111</c:v>
                </c:pt>
                <c:pt idx="18">
                  <c:v>4.9825897888888884</c:v>
                </c:pt>
                <c:pt idx="19">
                  <c:v>5.2519189666666666</c:v>
                </c:pt>
                <c:pt idx="20">
                  <c:v>5.5212481444444448</c:v>
                </c:pt>
                <c:pt idx="21">
                  <c:v>5.7905773222222221</c:v>
                </c:pt>
                <c:pt idx="22">
                  <c:v>6.0599064999999994</c:v>
                </c:pt>
                <c:pt idx="23">
                  <c:v>6.3292356777777776</c:v>
                </c:pt>
                <c:pt idx="24">
                  <c:v>6.5985648555555549</c:v>
                </c:pt>
                <c:pt idx="25">
                  <c:v>6.8678940333333331</c:v>
                </c:pt>
              </c:numCache>
            </c:numRef>
          </c:val>
          <c:smooth val="0"/>
          <c:extLst>
            <c:ext xmlns:c16="http://schemas.microsoft.com/office/drawing/2014/chart" uri="{C3380CC4-5D6E-409C-BE32-E72D297353CC}">
              <c16:uniqueId val="{00000001-70DC-B74D-848D-FE8C62C8BF9F}"/>
            </c:ext>
          </c:extLst>
        </c:ser>
        <c:ser>
          <c:idx val="2"/>
          <c:order val="2"/>
          <c:tx>
            <c:strRef>
              <c:f>Abacus_Tables!$B$122</c:f>
              <c:strCache>
                <c:ptCount val="1"/>
                <c:pt idx="0">
                  <c:v>Current schedule @ 2 months MaxiStock</c:v>
                </c:pt>
              </c:strCache>
            </c:strRef>
          </c:tx>
          <c:spPr>
            <a:ln w="25400">
              <a:solidFill>
                <a:srgbClr val="0000FF"/>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Abacus_Tables!$C$122:$AB$122</c:f>
              <c:numCache>
                <c:formatCode>_(* #,##0_);_(* \(#,##0\);_(* "-"_);_(@_)</c:formatCode>
                <c:ptCount val="26"/>
                <c:pt idx="0">
                  <c:v>0.17955278518518519</c:v>
                </c:pt>
                <c:pt idx="1">
                  <c:v>0.53865835555555552</c:v>
                </c:pt>
                <c:pt idx="2">
                  <c:v>0.8977639259259258</c:v>
                </c:pt>
                <c:pt idx="3">
                  <c:v>1.2568694962962963</c:v>
                </c:pt>
                <c:pt idx="4">
                  <c:v>1.6159750666666666</c:v>
                </c:pt>
                <c:pt idx="5">
                  <c:v>1.9750806370370368</c:v>
                </c:pt>
                <c:pt idx="6">
                  <c:v>2.3341862074074071</c:v>
                </c:pt>
                <c:pt idx="7">
                  <c:v>2.6932917777777776</c:v>
                </c:pt>
                <c:pt idx="8">
                  <c:v>3.0523973481481481</c:v>
                </c:pt>
                <c:pt idx="9">
                  <c:v>3.4115029185185182</c:v>
                </c:pt>
                <c:pt idx="10">
                  <c:v>3.7706084888888882</c:v>
                </c:pt>
                <c:pt idx="11">
                  <c:v>4.1297140592592596</c:v>
                </c:pt>
                <c:pt idx="12">
                  <c:v>4.4888196296296297</c:v>
                </c:pt>
                <c:pt idx="13">
                  <c:v>4.8479251999999997</c:v>
                </c:pt>
                <c:pt idx="14">
                  <c:v>5.2070307703703698</c:v>
                </c:pt>
                <c:pt idx="15">
                  <c:v>5.5661363407407407</c:v>
                </c:pt>
                <c:pt idx="16">
                  <c:v>5.9252419111111108</c:v>
                </c:pt>
                <c:pt idx="17">
                  <c:v>6.2843474814814808</c:v>
                </c:pt>
                <c:pt idx="18">
                  <c:v>6.6434530518518518</c:v>
                </c:pt>
                <c:pt idx="19">
                  <c:v>7.0025586222222218</c:v>
                </c:pt>
                <c:pt idx="20">
                  <c:v>7.3616641925925919</c:v>
                </c:pt>
                <c:pt idx="21">
                  <c:v>7.7207697629629619</c:v>
                </c:pt>
                <c:pt idx="22">
                  <c:v>8.0798753333333337</c:v>
                </c:pt>
                <c:pt idx="23">
                  <c:v>8.4389809037037029</c:v>
                </c:pt>
                <c:pt idx="24">
                  <c:v>8.7980864740740738</c:v>
                </c:pt>
                <c:pt idx="25">
                  <c:v>9.1571920444444448</c:v>
                </c:pt>
              </c:numCache>
            </c:numRef>
          </c:val>
          <c:smooth val="0"/>
          <c:extLst>
            <c:ext xmlns:c16="http://schemas.microsoft.com/office/drawing/2014/chart" uri="{C3380CC4-5D6E-409C-BE32-E72D297353CC}">
              <c16:uniqueId val="{00000002-70DC-B74D-848D-FE8C62C8BF9F}"/>
            </c:ext>
          </c:extLst>
        </c:ser>
        <c:ser>
          <c:idx val="3"/>
          <c:order val="3"/>
          <c:tx>
            <c:strRef>
              <c:f>Abacus_Tables!$B$123</c:f>
              <c:strCache>
                <c:ptCount val="1"/>
              </c:strCache>
            </c:strRef>
          </c:tx>
          <c:spPr>
            <a:ln w="25400">
              <a:solidFill>
                <a:srgbClr val="003300"/>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Abacus_Tables!$C$123:$AB$123</c:f>
              <c:numCache>
                <c:formatCode>_(* #,##0_);_(* \(#,##0\);_(*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70DC-B74D-848D-FE8C62C8BF9F}"/>
            </c:ext>
          </c:extLst>
        </c:ser>
        <c:dLbls>
          <c:showLegendKey val="0"/>
          <c:showVal val="0"/>
          <c:showCatName val="0"/>
          <c:showSerName val="0"/>
          <c:showPercent val="0"/>
          <c:showBubbleSize val="0"/>
        </c:dLbls>
        <c:smooth val="0"/>
        <c:axId val="121018240"/>
        <c:axId val="121019776"/>
      </c:lineChart>
      <c:catAx>
        <c:axId val="121018240"/>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1000" b="1" i="0" u="none" strike="noStrike" baseline="0">
                <a:solidFill>
                  <a:srgbClr val="000000"/>
                </a:solidFill>
                <a:latin typeface="Calibri"/>
                <a:ea typeface="Calibri"/>
                <a:cs typeface="Calibri"/>
              </a:defRPr>
            </a:pPr>
            <a:endParaRPr lang="fr-FR"/>
          </a:p>
        </c:txPr>
        <c:crossAx val="121019776"/>
        <c:crosses val="autoZero"/>
        <c:auto val="1"/>
        <c:lblAlgn val="ctr"/>
        <c:lblOffset val="100"/>
        <c:tickLblSkip val="1"/>
        <c:tickMarkSkip val="1"/>
        <c:noMultiLvlLbl val="0"/>
      </c:catAx>
      <c:valAx>
        <c:axId val="121019776"/>
        <c:scaling>
          <c:orientation val="minMax"/>
        </c:scaling>
        <c:delete val="0"/>
        <c:axPos val="l"/>
        <c:majorGridlines>
          <c:spPr>
            <a:ln w="3175">
              <a:solidFill>
                <a:srgbClr val="000000"/>
              </a:solidFill>
              <a:prstDash val="sysDash"/>
            </a:ln>
          </c:spPr>
        </c:majorGridlines>
        <c:title>
          <c:tx>
            <c:strRef>
              <c:f>Translation!$C$61</c:f>
              <c:strCache>
                <c:ptCount val="1"/>
                <c:pt idx="0">
                  <c:v>Net volume of vaccines, litres</c:v>
                </c:pt>
              </c:strCache>
            </c:strRef>
          </c:tx>
          <c:layout>
            <c:manualLayout>
              <c:xMode val="edge"/>
              <c:yMode val="edge"/>
              <c:x val="0"/>
              <c:y val="0.27555555555555555"/>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numFmt formatCode="_(* #,##0_);_(* \(#,##0\);_(* &quot;-&quot;_);_(@_)" sourceLinked="1"/>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Calibri"/>
                <a:ea typeface="Calibri"/>
                <a:cs typeface="Calibri"/>
              </a:defRPr>
            </a:pPr>
            <a:endParaRPr lang="fr-FR"/>
          </a:p>
        </c:txPr>
        <c:crossAx val="121018240"/>
        <c:crosses val="autoZero"/>
        <c:crossBetween val="between"/>
      </c:valAx>
      <c:spPr>
        <a:solidFill>
          <a:srgbClr val="FFFFFF"/>
        </a:solidFill>
        <a:ln w="12700">
          <a:solidFill>
            <a:srgbClr val="808080"/>
          </a:solidFill>
          <a:prstDash val="solid"/>
        </a:ln>
      </c:spPr>
    </c:plotArea>
    <c:legend>
      <c:legendPos val="r"/>
      <c:layout>
        <c:manualLayout>
          <c:xMode val="edge"/>
          <c:yMode val="edge"/>
          <c:x val="6.6162570888468808E-3"/>
          <c:y val="0.95407407407407407"/>
          <c:w val="0.99338374291115317"/>
          <c:h val="4.2962962962962981E-2"/>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Translation!$C$34</c:f>
          <c:strCache>
            <c:ptCount val="1"/>
            <c:pt idx="0">
              <c:v>Graph for dry storage capacity at national and sub-national stores: (different schedules with same Maximum Stock)</c:v>
            </c:pt>
          </c:strCache>
        </c:strRef>
      </c:tx>
      <c:layout>
        <c:manualLayout>
          <c:xMode val="edge"/>
          <c:yMode val="edge"/>
          <c:x val="0.1323251417769376"/>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8.8846880907372403E-2"/>
          <c:y val="8.5925925925925919E-2"/>
          <c:w val="0.90075614366729684"/>
          <c:h val="0.70814814814814819"/>
        </c:manualLayout>
      </c:layout>
      <c:lineChart>
        <c:grouping val="standard"/>
        <c:varyColors val="0"/>
        <c:ser>
          <c:idx val="0"/>
          <c:order val="0"/>
          <c:tx>
            <c:strRef>
              <c:f>Abacus_Tables!$B$37</c:f>
              <c:strCache>
                <c:ptCount val="1"/>
                <c:pt idx="0">
                  <c:v>Current schedule @ per individual vaccine months-MaxiStock</c:v>
                </c:pt>
              </c:strCache>
            </c:strRef>
          </c:tx>
          <c:spPr>
            <a:ln w="25400">
              <a:solidFill>
                <a:srgbClr val="FF0000"/>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Abacus_Tables!$C$37:$AB$37</c:f>
              <c:numCache>
                <c:formatCode>_(* #,##0_);_(* \(#,##0\);_(* "-"_);_(@_)</c:formatCode>
                <c:ptCount val="26"/>
                <c:pt idx="0" formatCode="_(* #,##0.00_);_(* \(#,##0.00\);_(* &quot;-&quot;??_);_(@_)">
                  <c:v>6.1949645604166665</c:v>
                </c:pt>
                <c:pt idx="1">
                  <c:v>11.150936208749998</c:v>
                </c:pt>
                <c:pt idx="2">
                  <c:v>16.106907857083332</c:v>
                </c:pt>
                <c:pt idx="3">
                  <c:v>21.062879505416664</c:v>
                </c:pt>
                <c:pt idx="4">
                  <c:v>26.018851153749999</c:v>
                </c:pt>
                <c:pt idx="5">
                  <c:v>30.974822802083327</c:v>
                </c:pt>
                <c:pt idx="6">
                  <c:v>35.930794450416663</c:v>
                </c:pt>
                <c:pt idx="7">
                  <c:v>40.886766098749995</c:v>
                </c:pt>
                <c:pt idx="8">
                  <c:v>45.842737747083326</c:v>
                </c:pt>
                <c:pt idx="9">
                  <c:v>50.798709395416658</c:v>
                </c:pt>
                <c:pt idx="10">
                  <c:v>55.75468104374999</c:v>
                </c:pt>
                <c:pt idx="11">
                  <c:v>60.710652692083329</c:v>
                </c:pt>
                <c:pt idx="12">
                  <c:v>65.666624340416661</c:v>
                </c:pt>
                <c:pt idx="13">
                  <c:v>70.622595988749993</c:v>
                </c:pt>
                <c:pt idx="14">
                  <c:v>75.578567637083324</c:v>
                </c:pt>
                <c:pt idx="15">
                  <c:v>80.534539285416656</c:v>
                </c:pt>
                <c:pt idx="16">
                  <c:v>85.490510933749988</c:v>
                </c:pt>
                <c:pt idx="17">
                  <c:v>90.44648258208332</c:v>
                </c:pt>
                <c:pt idx="18">
                  <c:v>95.402454230416652</c:v>
                </c:pt>
                <c:pt idx="19">
                  <c:v>100.35842587874998</c:v>
                </c:pt>
                <c:pt idx="20">
                  <c:v>105.31439752708332</c:v>
                </c:pt>
                <c:pt idx="21">
                  <c:v>110.27036917541665</c:v>
                </c:pt>
                <c:pt idx="22">
                  <c:v>115.22634082374998</c:v>
                </c:pt>
                <c:pt idx="23">
                  <c:v>120.18231247208331</c:v>
                </c:pt>
                <c:pt idx="24">
                  <c:v>125.13828412041664</c:v>
                </c:pt>
                <c:pt idx="25">
                  <c:v>130.09425576875</c:v>
                </c:pt>
              </c:numCache>
            </c:numRef>
          </c:val>
          <c:smooth val="0"/>
          <c:extLst>
            <c:ext xmlns:c16="http://schemas.microsoft.com/office/drawing/2014/chart" uri="{C3380CC4-5D6E-409C-BE32-E72D297353CC}">
              <c16:uniqueId val="{00000000-F48F-1140-AFDA-9ABE880C30FB}"/>
            </c:ext>
          </c:extLst>
        </c:ser>
        <c:ser>
          <c:idx val="1"/>
          <c:order val="1"/>
          <c:tx>
            <c:strRef>
              <c:f>Abacus_Tables!$B$38</c:f>
              <c:strCache>
                <c:ptCount val="1"/>
                <c:pt idx="0">
                  <c:v>Current schedule with penta 1d @ per individual vaccine months-MaxiStock</c:v>
                </c:pt>
              </c:strCache>
            </c:strRef>
          </c:tx>
          <c:spPr>
            <a:ln w="25400">
              <a:solidFill>
                <a:srgbClr val="FF00FF"/>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Abacus_Tables!$C$38:$AB$38</c:f>
              <c:numCache>
                <c:formatCode>_(* #,##0_);_(* \(#,##0\);_(* "-"_);_(@_)</c:formatCode>
                <c:ptCount val="26"/>
                <c:pt idx="0" formatCode="_(* #,##0.00_);_(* \(#,##0.00\);_(* &quot;-&quot;??_);_(@_)">
                  <c:v>6.1949645604166665</c:v>
                </c:pt>
                <c:pt idx="1">
                  <c:v>11.150936208749998</c:v>
                </c:pt>
                <c:pt idx="2">
                  <c:v>16.106907857083332</c:v>
                </c:pt>
                <c:pt idx="3">
                  <c:v>21.062879505416664</c:v>
                </c:pt>
                <c:pt idx="4">
                  <c:v>26.018851153749999</c:v>
                </c:pt>
                <c:pt idx="5">
                  <c:v>30.974822802083327</c:v>
                </c:pt>
                <c:pt idx="6">
                  <c:v>35.930794450416663</c:v>
                </c:pt>
                <c:pt idx="7">
                  <c:v>40.886766098749995</c:v>
                </c:pt>
                <c:pt idx="8">
                  <c:v>45.842737747083326</c:v>
                </c:pt>
                <c:pt idx="9">
                  <c:v>50.798709395416658</c:v>
                </c:pt>
                <c:pt idx="10">
                  <c:v>55.75468104374999</c:v>
                </c:pt>
                <c:pt idx="11">
                  <c:v>60.710652692083329</c:v>
                </c:pt>
                <c:pt idx="12">
                  <c:v>65.666624340416661</c:v>
                </c:pt>
                <c:pt idx="13">
                  <c:v>70.622595988749993</c:v>
                </c:pt>
                <c:pt idx="14">
                  <c:v>75.578567637083324</c:v>
                </c:pt>
                <c:pt idx="15">
                  <c:v>80.534539285416656</c:v>
                </c:pt>
                <c:pt idx="16">
                  <c:v>85.490510933749988</c:v>
                </c:pt>
                <c:pt idx="17">
                  <c:v>90.44648258208332</c:v>
                </c:pt>
                <c:pt idx="18">
                  <c:v>95.402454230416652</c:v>
                </c:pt>
                <c:pt idx="19">
                  <c:v>100.35842587874998</c:v>
                </c:pt>
                <c:pt idx="20">
                  <c:v>105.31439752708332</c:v>
                </c:pt>
                <c:pt idx="21">
                  <c:v>110.27036917541665</c:v>
                </c:pt>
                <c:pt idx="22">
                  <c:v>115.22634082374998</c:v>
                </c:pt>
                <c:pt idx="23">
                  <c:v>120.18231247208331</c:v>
                </c:pt>
                <c:pt idx="24">
                  <c:v>125.13828412041664</c:v>
                </c:pt>
                <c:pt idx="25">
                  <c:v>130.09425576875</c:v>
                </c:pt>
              </c:numCache>
            </c:numRef>
          </c:val>
          <c:smooth val="0"/>
          <c:extLst>
            <c:ext xmlns:c16="http://schemas.microsoft.com/office/drawing/2014/chart" uri="{C3380CC4-5D6E-409C-BE32-E72D297353CC}">
              <c16:uniqueId val="{00000001-F48F-1140-AFDA-9ABE880C30FB}"/>
            </c:ext>
          </c:extLst>
        </c:ser>
        <c:ser>
          <c:idx val="2"/>
          <c:order val="2"/>
          <c:tx>
            <c:strRef>
              <c:f>Abacus_Tables!$B$39</c:f>
              <c:strCache>
                <c:ptCount val="1"/>
                <c:pt idx="0">
                  <c:v>Current schedule with penta CAD @ per individual vaccine months-MaxiStock</c:v>
                </c:pt>
              </c:strCache>
            </c:strRef>
          </c:tx>
          <c:spPr>
            <a:ln w="25400">
              <a:solidFill>
                <a:srgbClr val="0000FF"/>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Abacus_Tables!$C$39:$AB$39</c:f>
              <c:numCache>
                <c:formatCode>_(* #,##0_);_(* \(#,##0\);_(* "-"_);_(@_)</c:formatCode>
                <c:ptCount val="26"/>
                <c:pt idx="0" formatCode="_(* #,##0.00_);_(* \(#,##0.00\);_(* &quot;-&quot;??_);_(@_)">
                  <c:v>4.2704228937499993</c:v>
                </c:pt>
                <c:pt idx="1">
                  <c:v>7.6867612087499992</c:v>
                </c:pt>
                <c:pt idx="2">
                  <c:v>11.10309952375</c:v>
                </c:pt>
                <c:pt idx="3">
                  <c:v>14.519437838749999</c:v>
                </c:pt>
                <c:pt idx="4">
                  <c:v>17.935776153749998</c:v>
                </c:pt>
                <c:pt idx="5">
                  <c:v>21.352114468749999</c:v>
                </c:pt>
                <c:pt idx="6">
                  <c:v>24.768452783749996</c:v>
                </c:pt>
                <c:pt idx="7">
                  <c:v>28.184791098750001</c:v>
                </c:pt>
                <c:pt idx="8">
                  <c:v>31.601129413749998</c:v>
                </c:pt>
                <c:pt idx="9">
                  <c:v>35.017467728749999</c:v>
                </c:pt>
                <c:pt idx="10">
                  <c:v>38.433806043749996</c:v>
                </c:pt>
                <c:pt idx="11">
                  <c:v>41.850144358749994</c:v>
                </c:pt>
                <c:pt idx="12">
                  <c:v>45.266482673749991</c:v>
                </c:pt>
                <c:pt idx="13">
                  <c:v>48.682820988750002</c:v>
                </c:pt>
                <c:pt idx="14">
                  <c:v>52.09915930375</c:v>
                </c:pt>
                <c:pt idx="15">
                  <c:v>55.515497618749997</c:v>
                </c:pt>
                <c:pt idx="16">
                  <c:v>58.931835933749994</c:v>
                </c:pt>
                <c:pt idx="17">
                  <c:v>62.348174248749991</c:v>
                </c:pt>
                <c:pt idx="18">
                  <c:v>65.764512563750003</c:v>
                </c:pt>
                <c:pt idx="19">
                  <c:v>69.180850878749993</c:v>
                </c:pt>
                <c:pt idx="20">
                  <c:v>72.597189193749998</c:v>
                </c:pt>
                <c:pt idx="21">
                  <c:v>76.013527508749988</c:v>
                </c:pt>
                <c:pt idx="22">
                  <c:v>79.429865823749992</c:v>
                </c:pt>
                <c:pt idx="23">
                  <c:v>82.846204138749997</c:v>
                </c:pt>
                <c:pt idx="24">
                  <c:v>86.262542453750001</c:v>
                </c:pt>
                <c:pt idx="25">
                  <c:v>89.678880768749991</c:v>
                </c:pt>
              </c:numCache>
            </c:numRef>
          </c:val>
          <c:smooth val="0"/>
          <c:extLst>
            <c:ext xmlns:c16="http://schemas.microsoft.com/office/drawing/2014/chart" uri="{C3380CC4-5D6E-409C-BE32-E72D297353CC}">
              <c16:uniqueId val="{00000002-F48F-1140-AFDA-9ABE880C30FB}"/>
            </c:ext>
          </c:extLst>
        </c:ser>
        <c:ser>
          <c:idx val="3"/>
          <c:order val="3"/>
          <c:tx>
            <c:strRef>
              <c:f>Abacus_Tables!$B$40</c:f>
              <c:strCache>
                <c:ptCount val="1"/>
              </c:strCache>
            </c:strRef>
          </c:tx>
          <c:spPr>
            <a:ln w="25400">
              <a:solidFill>
                <a:srgbClr val="003300"/>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Abacus_Tables!$C$40:$AB$40</c:f>
              <c:numCache>
                <c:formatCode>_(* #,##0_);_(* \(#,##0\);_(* "-"_);_(@_)</c:formatCode>
                <c:ptCount val="26"/>
                <c:pt idx="0" formatCode="_(* #,##0.00_);_(* \(#,##0.00\);_(* &quot;-&quot;??_);_(@_)">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F48F-1140-AFDA-9ABE880C30FB}"/>
            </c:ext>
          </c:extLst>
        </c:ser>
        <c:ser>
          <c:idx val="4"/>
          <c:order val="4"/>
          <c:tx>
            <c:strRef>
              <c:f>Abacus_Tables!$B$41</c:f>
              <c:strCache>
                <c:ptCount val="1"/>
              </c:strCache>
            </c:strRef>
          </c:tx>
          <c:spPr>
            <a:ln w="25400">
              <a:solidFill>
                <a:srgbClr val="000000"/>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Abacus_Tables!$C$41:$AB$41</c:f>
              <c:numCache>
                <c:formatCode>_(* #,##0_);_(* \(#,##0\);_(* "-"_);_(@_)</c:formatCode>
                <c:ptCount val="26"/>
                <c:pt idx="0" formatCode="_(* #,##0.00_);_(* \(#,##0.00\);_(* &quot;-&quot;??_);_(@_)">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4-F48F-1140-AFDA-9ABE880C30FB}"/>
            </c:ext>
          </c:extLst>
        </c:ser>
        <c:dLbls>
          <c:showLegendKey val="0"/>
          <c:showVal val="0"/>
          <c:showCatName val="0"/>
          <c:showSerName val="0"/>
          <c:showPercent val="0"/>
          <c:showBubbleSize val="0"/>
        </c:dLbls>
        <c:smooth val="0"/>
        <c:axId val="121093504"/>
        <c:axId val="121103488"/>
      </c:lineChart>
      <c:catAx>
        <c:axId val="12109350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1000" b="1" i="0" u="none" strike="noStrike" baseline="0">
                <a:solidFill>
                  <a:srgbClr val="000000"/>
                </a:solidFill>
                <a:latin typeface="Calibri"/>
                <a:ea typeface="Calibri"/>
                <a:cs typeface="Calibri"/>
              </a:defRPr>
            </a:pPr>
            <a:endParaRPr lang="fr-FR"/>
          </a:p>
        </c:txPr>
        <c:crossAx val="121103488"/>
        <c:crosses val="autoZero"/>
        <c:auto val="1"/>
        <c:lblAlgn val="ctr"/>
        <c:lblOffset val="100"/>
        <c:tickLblSkip val="1"/>
        <c:tickMarkSkip val="1"/>
        <c:noMultiLvlLbl val="0"/>
      </c:catAx>
      <c:valAx>
        <c:axId val="121103488"/>
        <c:scaling>
          <c:orientation val="minMax"/>
        </c:scaling>
        <c:delete val="0"/>
        <c:axPos val="l"/>
        <c:majorGridlines>
          <c:spPr>
            <a:ln w="3175">
              <a:solidFill>
                <a:srgbClr val="000000"/>
              </a:solidFill>
              <a:prstDash val="sysDash"/>
            </a:ln>
          </c:spPr>
        </c:majorGridlines>
        <c:title>
          <c:tx>
            <c:strRef>
              <c:f>Translation!$C$35</c:f>
              <c:strCache>
                <c:ptCount val="1"/>
                <c:pt idx="0">
                  <c:v>Net volume of safe injection supplies (m³)</c:v>
                </c:pt>
              </c:strCache>
            </c:strRef>
          </c:tx>
          <c:layout>
            <c:manualLayout>
              <c:xMode val="edge"/>
              <c:yMode val="edge"/>
              <c:x val="0"/>
              <c:y val="0.19407407407407407"/>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numFmt formatCode="_(* #,##0_);_(* \(#,##0\);_(* &quot;-&quot;_);_(@_)" sourceLinked="0"/>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Calibri"/>
                <a:ea typeface="Calibri"/>
                <a:cs typeface="Calibri"/>
              </a:defRPr>
            </a:pPr>
            <a:endParaRPr lang="fr-FR"/>
          </a:p>
        </c:txPr>
        <c:crossAx val="121093504"/>
        <c:crosses val="autoZero"/>
        <c:crossBetween val="between"/>
        <c:majorUnit val="100"/>
      </c:valAx>
      <c:spPr>
        <a:solidFill>
          <a:srgbClr val="FFFFFF"/>
        </a:solidFill>
        <a:ln w="12700">
          <a:solidFill>
            <a:srgbClr val="808080"/>
          </a:solidFill>
          <a:prstDash val="solid"/>
        </a:ln>
      </c:spPr>
    </c:plotArea>
    <c:legend>
      <c:legendPos val="r"/>
      <c:legendEntry>
        <c:idx val="1"/>
        <c:txPr>
          <a:bodyPr/>
          <a:lstStyle/>
          <a:p>
            <a:pPr>
              <a:defRPr sz="690" b="0" i="0" u="none" strike="noStrike" baseline="0">
                <a:solidFill>
                  <a:srgbClr val="000000"/>
                </a:solidFill>
                <a:latin typeface="Arial"/>
                <a:ea typeface="Arial"/>
                <a:cs typeface="Arial"/>
              </a:defRPr>
            </a:pPr>
            <a:endParaRPr lang="fr-FR"/>
          </a:p>
        </c:txPr>
      </c:legendEntry>
      <c:layout>
        <c:manualLayout>
          <c:xMode val="edge"/>
          <c:yMode val="edge"/>
          <c:x val="0"/>
          <c:y val="0.94370370370370371"/>
          <c:w val="0.99716446124763702"/>
          <c:h val="4.8888888888888871E-2"/>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Translation!$C$36</c:f>
          <c:strCache>
            <c:ptCount val="1"/>
            <c:pt idx="0">
              <c:v>Graph for dry storage capacity at national and sub-national stores: (same schedule with different Maximum Stocks)</c:v>
            </c:pt>
          </c:strCache>
        </c:strRef>
      </c:tx>
      <c:layout>
        <c:manualLayout>
          <c:xMode val="edge"/>
          <c:yMode val="edge"/>
          <c:x val="0.13610586011342155"/>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7.2778827977315691E-2"/>
          <c:y val="8.1481481481481488E-2"/>
          <c:w val="0.91682419659735348"/>
          <c:h val="0.71851851851851856"/>
        </c:manualLayout>
      </c:layout>
      <c:lineChart>
        <c:grouping val="standard"/>
        <c:varyColors val="0"/>
        <c:ser>
          <c:idx val="0"/>
          <c:order val="0"/>
          <c:tx>
            <c:strRef>
              <c:f>Abacus_Tables!$B$43</c:f>
              <c:strCache>
                <c:ptCount val="1"/>
                <c:pt idx="0">
                  <c:v>Current schedule @ 6 months MaxiStock</c:v>
                </c:pt>
              </c:strCache>
            </c:strRef>
          </c:tx>
          <c:spPr>
            <a:ln w="25400">
              <a:solidFill>
                <a:srgbClr val="FF0000"/>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Abacus_Tables!$C$43:$AB$43</c:f>
              <c:numCache>
                <c:formatCode>_(* #,##0_);_(* \(#,##0\);_(* "-"_);_(@_)</c:formatCode>
                <c:ptCount val="26"/>
                <c:pt idx="0">
                  <c:v>2.8592144124999996</c:v>
                </c:pt>
                <c:pt idx="1">
                  <c:v>5.1465859424999989</c:v>
                </c:pt>
                <c:pt idx="2">
                  <c:v>7.4339574724999986</c:v>
                </c:pt>
                <c:pt idx="3">
                  <c:v>9.721329002500001</c:v>
                </c:pt>
                <c:pt idx="4">
                  <c:v>12.008700532499999</c:v>
                </c:pt>
                <c:pt idx="5">
                  <c:v>14.296072062499997</c:v>
                </c:pt>
                <c:pt idx="6">
                  <c:v>16.583443592499997</c:v>
                </c:pt>
                <c:pt idx="7">
                  <c:v>18.870815122499998</c:v>
                </c:pt>
                <c:pt idx="8">
                  <c:v>21.158186652499996</c:v>
                </c:pt>
                <c:pt idx="9">
                  <c:v>23.445558182499994</c:v>
                </c:pt>
                <c:pt idx="10">
                  <c:v>25.732929712499995</c:v>
                </c:pt>
                <c:pt idx="11">
                  <c:v>28.020301242499997</c:v>
                </c:pt>
                <c:pt idx="12">
                  <c:v>30.307672772499998</c:v>
                </c:pt>
                <c:pt idx="13">
                  <c:v>32.595044302499993</c:v>
                </c:pt>
                <c:pt idx="14">
                  <c:v>34.882415832499994</c:v>
                </c:pt>
                <c:pt idx="15">
                  <c:v>37.169787362499996</c:v>
                </c:pt>
                <c:pt idx="16">
                  <c:v>39.457158892499997</c:v>
                </c:pt>
                <c:pt idx="17">
                  <c:v>41.744530422499992</c:v>
                </c:pt>
                <c:pt idx="18">
                  <c:v>44.031901952499993</c:v>
                </c:pt>
                <c:pt idx="19">
                  <c:v>46.319273482499995</c:v>
                </c:pt>
                <c:pt idx="20">
                  <c:v>48.606645012499996</c:v>
                </c:pt>
                <c:pt idx="21">
                  <c:v>50.894016542499998</c:v>
                </c:pt>
                <c:pt idx="22">
                  <c:v>53.181388072499992</c:v>
                </c:pt>
                <c:pt idx="23">
                  <c:v>55.468759602499993</c:v>
                </c:pt>
                <c:pt idx="24">
                  <c:v>57.756131132499995</c:v>
                </c:pt>
                <c:pt idx="25">
                  <c:v>60.043502662499996</c:v>
                </c:pt>
              </c:numCache>
            </c:numRef>
          </c:val>
          <c:smooth val="0"/>
          <c:extLst>
            <c:ext xmlns:c16="http://schemas.microsoft.com/office/drawing/2014/chart" uri="{C3380CC4-5D6E-409C-BE32-E72D297353CC}">
              <c16:uniqueId val="{00000000-9DE6-3148-8805-FDBB54BF6221}"/>
            </c:ext>
          </c:extLst>
        </c:ser>
        <c:ser>
          <c:idx val="1"/>
          <c:order val="1"/>
          <c:tx>
            <c:strRef>
              <c:f>Abacus_Tables!$B$44</c:f>
              <c:strCache>
                <c:ptCount val="1"/>
                <c:pt idx="0">
                  <c:v>Current schedule @ 9 months MaxiStock</c:v>
                </c:pt>
              </c:strCache>
            </c:strRef>
          </c:tx>
          <c:spPr>
            <a:ln w="25400">
              <a:solidFill>
                <a:srgbClr val="FF00FF"/>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Abacus_Tables!$C$44:$AB$44</c:f>
              <c:numCache>
                <c:formatCode>_(* #,##0_);_(* \(#,##0\);_(* "-"_);_(@_)</c:formatCode>
                <c:ptCount val="26"/>
                <c:pt idx="0">
                  <c:v>4.2888216187500001</c:v>
                </c:pt>
                <c:pt idx="1">
                  <c:v>7.7198789137499979</c:v>
                </c:pt>
                <c:pt idx="2">
                  <c:v>11.150936208749998</c:v>
                </c:pt>
                <c:pt idx="3">
                  <c:v>14.581993503749999</c:v>
                </c:pt>
                <c:pt idx="4">
                  <c:v>18.013050798749997</c:v>
                </c:pt>
                <c:pt idx="5">
                  <c:v>21.444108093749996</c:v>
                </c:pt>
                <c:pt idx="6">
                  <c:v>24.875165388749998</c:v>
                </c:pt>
                <c:pt idx="7">
                  <c:v>28.306222683749997</c:v>
                </c:pt>
                <c:pt idx="8">
                  <c:v>31.737279978749996</c:v>
                </c:pt>
                <c:pt idx="9">
                  <c:v>35.168337273749998</c:v>
                </c:pt>
                <c:pt idx="10">
                  <c:v>38.59939456875</c:v>
                </c:pt>
                <c:pt idx="11">
                  <c:v>42.030451863749995</c:v>
                </c:pt>
                <c:pt idx="12">
                  <c:v>45.461509158749998</c:v>
                </c:pt>
                <c:pt idx="13">
                  <c:v>48.892566453749993</c:v>
                </c:pt>
                <c:pt idx="14">
                  <c:v>52.323623748749988</c:v>
                </c:pt>
                <c:pt idx="15">
                  <c:v>55.754681043749997</c:v>
                </c:pt>
                <c:pt idx="16">
                  <c:v>59.185738338749992</c:v>
                </c:pt>
                <c:pt idx="17">
                  <c:v>62.616795633749994</c:v>
                </c:pt>
                <c:pt idx="18">
                  <c:v>66.04785292874999</c:v>
                </c:pt>
                <c:pt idx="19">
                  <c:v>69.478910223749992</c:v>
                </c:pt>
                <c:pt idx="20">
                  <c:v>72.909967518749994</c:v>
                </c:pt>
                <c:pt idx="21">
                  <c:v>76.341024813749996</c:v>
                </c:pt>
                <c:pt idx="22">
                  <c:v>79.772082108749984</c:v>
                </c:pt>
                <c:pt idx="23">
                  <c:v>83.203139403749987</c:v>
                </c:pt>
                <c:pt idx="24">
                  <c:v>86.634196698749989</c:v>
                </c:pt>
                <c:pt idx="25">
                  <c:v>90.065253993749991</c:v>
                </c:pt>
              </c:numCache>
            </c:numRef>
          </c:val>
          <c:smooth val="0"/>
          <c:extLst>
            <c:ext xmlns:c16="http://schemas.microsoft.com/office/drawing/2014/chart" uri="{C3380CC4-5D6E-409C-BE32-E72D297353CC}">
              <c16:uniqueId val="{00000001-9DE6-3148-8805-FDBB54BF6221}"/>
            </c:ext>
          </c:extLst>
        </c:ser>
        <c:ser>
          <c:idx val="2"/>
          <c:order val="2"/>
          <c:tx>
            <c:strRef>
              <c:f>Abacus_Tables!$B$45</c:f>
              <c:strCache>
                <c:ptCount val="1"/>
                <c:pt idx="0">
                  <c:v>Current schedule @ 12 months MaxiStock</c:v>
                </c:pt>
              </c:strCache>
            </c:strRef>
          </c:tx>
          <c:spPr>
            <a:ln w="25400">
              <a:solidFill>
                <a:srgbClr val="0000FF"/>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Abacus_Tables!$C$45:$AB$45</c:f>
              <c:numCache>
                <c:formatCode>_(* #,##0_);_(* \(#,##0\);_(* "-"_);_(@_)</c:formatCode>
                <c:ptCount val="26"/>
                <c:pt idx="0">
                  <c:v>5.7184288249999993</c:v>
                </c:pt>
                <c:pt idx="1">
                  <c:v>10.293171884999998</c:v>
                </c:pt>
                <c:pt idx="2">
                  <c:v>14.867914944999997</c:v>
                </c:pt>
                <c:pt idx="3">
                  <c:v>19.442658005000002</c:v>
                </c:pt>
                <c:pt idx="4">
                  <c:v>24.017401064999998</c:v>
                </c:pt>
                <c:pt idx="5">
                  <c:v>28.592144124999994</c:v>
                </c:pt>
                <c:pt idx="6">
                  <c:v>33.166887184999993</c:v>
                </c:pt>
                <c:pt idx="7">
                  <c:v>37.741630244999996</c:v>
                </c:pt>
                <c:pt idx="8">
                  <c:v>42.316373304999992</c:v>
                </c:pt>
                <c:pt idx="9">
                  <c:v>46.891116364999988</c:v>
                </c:pt>
                <c:pt idx="10">
                  <c:v>51.465859424999991</c:v>
                </c:pt>
                <c:pt idx="11">
                  <c:v>56.040602484999994</c:v>
                </c:pt>
                <c:pt idx="12">
                  <c:v>60.615345544999997</c:v>
                </c:pt>
                <c:pt idx="13">
                  <c:v>65.190088604999985</c:v>
                </c:pt>
                <c:pt idx="14">
                  <c:v>69.764831664999988</c:v>
                </c:pt>
                <c:pt idx="15">
                  <c:v>74.339574724999991</c:v>
                </c:pt>
                <c:pt idx="16">
                  <c:v>78.914317784999994</c:v>
                </c:pt>
                <c:pt idx="17">
                  <c:v>83.489060844999983</c:v>
                </c:pt>
                <c:pt idx="18">
                  <c:v>88.063803904999986</c:v>
                </c:pt>
                <c:pt idx="19">
                  <c:v>92.638546964999989</c:v>
                </c:pt>
                <c:pt idx="20">
                  <c:v>97.213290024999992</c:v>
                </c:pt>
                <c:pt idx="21">
                  <c:v>101.788033085</c:v>
                </c:pt>
                <c:pt idx="22">
                  <c:v>106.36277614499998</c:v>
                </c:pt>
                <c:pt idx="23">
                  <c:v>110.93751920499999</c:v>
                </c:pt>
                <c:pt idx="24">
                  <c:v>115.51226226499999</c:v>
                </c:pt>
                <c:pt idx="25">
                  <c:v>120.08700532499999</c:v>
                </c:pt>
              </c:numCache>
            </c:numRef>
          </c:val>
          <c:smooth val="0"/>
          <c:extLst>
            <c:ext xmlns:c16="http://schemas.microsoft.com/office/drawing/2014/chart" uri="{C3380CC4-5D6E-409C-BE32-E72D297353CC}">
              <c16:uniqueId val="{00000002-9DE6-3148-8805-FDBB54BF6221}"/>
            </c:ext>
          </c:extLst>
        </c:ser>
        <c:ser>
          <c:idx val="3"/>
          <c:order val="3"/>
          <c:tx>
            <c:strRef>
              <c:f>Abacus_Tables!$B$46</c:f>
              <c:strCache>
                <c:ptCount val="1"/>
                <c:pt idx="0">
                  <c:v>Current schedule @  months MaxiStock</c:v>
                </c:pt>
              </c:strCache>
            </c:strRef>
          </c:tx>
          <c:spPr>
            <a:ln w="25400">
              <a:solidFill>
                <a:srgbClr val="003300"/>
              </a:solidFill>
              <a:prstDash val="solid"/>
            </a:ln>
          </c:spPr>
          <c:marker>
            <c:symbol val="none"/>
          </c:marker>
          <c:cat>
            <c:multiLvlStrRef>
              <c:f>Abacus_Tables!$C$10:$AB$11</c:f>
              <c:multiLvlStrCache>
                <c:ptCount val="26"/>
                <c:lvl>
                  <c:pt idx="0">
                    <c:v> 500 000 </c:v>
                  </c:pt>
                  <c:pt idx="1">
                    <c:v> 900 000 </c:v>
                  </c:pt>
                  <c:pt idx="2">
                    <c:v> 1 300 000 </c:v>
                  </c:pt>
                  <c:pt idx="3">
                    <c:v> 1 700 000 </c:v>
                  </c:pt>
                  <c:pt idx="4">
                    <c:v> 2 100 000 </c:v>
                  </c:pt>
                  <c:pt idx="5">
                    <c:v> 2 500 000 </c:v>
                  </c:pt>
                  <c:pt idx="6">
                    <c:v> 2 900 000 </c:v>
                  </c:pt>
                  <c:pt idx="7">
                    <c:v> 3 300 000 </c:v>
                  </c:pt>
                  <c:pt idx="8">
                    <c:v> 3 700 000 </c:v>
                  </c:pt>
                  <c:pt idx="9">
                    <c:v> 4 100 000 </c:v>
                  </c:pt>
                  <c:pt idx="10">
                    <c:v> 4 500 000 </c:v>
                  </c:pt>
                  <c:pt idx="11">
                    <c:v> 4 900 000 </c:v>
                  </c:pt>
                  <c:pt idx="12">
                    <c:v> 5 300 000 </c:v>
                  </c:pt>
                  <c:pt idx="13">
                    <c:v> 5 700 000 </c:v>
                  </c:pt>
                  <c:pt idx="14">
                    <c:v> 6 100 000 </c:v>
                  </c:pt>
                  <c:pt idx="15">
                    <c:v> 6 500 000 </c:v>
                  </c:pt>
                  <c:pt idx="16">
                    <c:v> 6 900 000 </c:v>
                  </c:pt>
                  <c:pt idx="17">
                    <c:v> 7 300 000 </c:v>
                  </c:pt>
                  <c:pt idx="18">
                    <c:v> 7 700 000 </c:v>
                  </c:pt>
                  <c:pt idx="19">
                    <c:v> 8 100 000 </c:v>
                  </c:pt>
                  <c:pt idx="20">
                    <c:v> 8 500 000 </c:v>
                  </c:pt>
                  <c:pt idx="21">
                    <c:v> 8 900 000 </c:v>
                  </c:pt>
                  <c:pt idx="22">
                    <c:v> 9 300 000 </c:v>
                  </c:pt>
                  <c:pt idx="23">
                    <c:v> 9 700 000 </c:v>
                  </c:pt>
                  <c:pt idx="24">
                    <c:v> 10 100 000 </c:v>
                  </c:pt>
                  <c:pt idx="25">
                    <c:v> 10 500 000 </c:v>
                  </c:pt>
                </c:lvl>
                <c:lvl>
                  <c:pt idx="3">
                    <c:v>Total population</c:v>
                  </c:pt>
                </c:lvl>
              </c:multiLvlStrCache>
            </c:multiLvlStrRef>
          </c:cat>
          <c:val>
            <c:numRef>
              <c:f>Abacus_Tables!$C$46:$AB$46</c:f>
              <c:numCache>
                <c:formatCode>_(* #,##0_);_(* \(#,##0\);_(*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9DE6-3148-8805-FDBB54BF6221}"/>
            </c:ext>
          </c:extLst>
        </c:ser>
        <c:dLbls>
          <c:showLegendKey val="0"/>
          <c:showVal val="0"/>
          <c:showCatName val="0"/>
          <c:showSerName val="0"/>
          <c:showPercent val="0"/>
          <c:showBubbleSize val="0"/>
        </c:dLbls>
        <c:smooth val="0"/>
        <c:axId val="121390208"/>
        <c:axId val="121391744"/>
      </c:lineChart>
      <c:catAx>
        <c:axId val="121390208"/>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1000" b="1" i="0" u="none" strike="noStrike" baseline="0">
                <a:solidFill>
                  <a:srgbClr val="000000"/>
                </a:solidFill>
                <a:latin typeface="Calibri"/>
                <a:ea typeface="Calibri"/>
                <a:cs typeface="Calibri"/>
              </a:defRPr>
            </a:pPr>
            <a:endParaRPr lang="fr-FR"/>
          </a:p>
        </c:txPr>
        <c:crossAx val="121391744"/>
        <c:crosses val="autoZero"/>
        <c:auto val="1"/>
        <c:lblAlgn val="ctr"/>
        <c:lblOffset val="100"/>
        <c:tickLblSkip val="1"/>
        <c:tickMarkSkip val="1"/>
        <c:noMultiLvlLbl val="0"/>
      </c:catAx>
      <c:valAx>
        <c:axId val="121391744"/>
        <c:scaling>
          <c:orientation val="minMax"/>
        </c:scaling>
        <c:delete val="0"/>
        <c:axPos val="l"/>
        <c:majorGridlines>
          <c:spPr>
            <a:ln w="3175">
              <a:solidFill>
                <a:srgbClr val="000000"/>
              </a:solidFill>
              <a:prstDash val="sysDash"/>
            </a:ln>
          </c:spPr>
        </c:majorGridlines>
        <c:title>
          <c:tx>
            <c:strRef>
              <c:f>Translation!$C$37</c:f>
              <c:strCache>
                <c:ptCount val="1"/>
                <c:pt idx="0">
                  <c:v>Net volume of safe injection supplies (m³)</c:v>
                </c:pt>
              </c:strCache>
            </c:strRef>
          </c:tx>
          <c:layout>
            <c:manualLayout>
              <c:xMode val="edge"/>
              <c:yMode val="edge"/>
              <c:x val="0"/>
              <c:y val="0.25037037037037035"/>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numFmt formatCode="_(* #,##0_);_(* \(#,##0\);_(* &quot;-&quot;_);_(@_)" sourceLinked="1"/>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Calibri"/>
                <a:ea typeface="Calibri"/>
                <a:cs typeface="Calibri"/>
              </a:defRPr>
            </a:pPr>
            <a:endParaRPr lang="fr-FR"/>
          </a:p>
        </c:txPr>
        <c:crossAx val="121390208"/>
        <c:crosses val="autoZero"/>
        <c:crossBetween val="between"/>
        <c:majorUnit val="200"/>
      </c:valAx>
      <c:spPr>
        <a:solidFill>
          <a:srgbClr val="FFFFFF"/>
        </a:solidFill>
        <a:ln w="12700">
          <a:solidFill>
            <a:srgbClr val="808080"/>
          </a:solidFill>
          <a:prstDash val="solid"/>
        </a:ln>
      </c:spPr>
    </c:plotArea>
    <c:legend>
      <c:legendPos val="r"/>
      <c:layout>
        <c:manualLayout>
          <c:xMode val="edge"/>
          <c:yMode val="edge"/>
          <c:x val="1.3232514177693762E-2"/>
          <c:y val="0.9496296296296296"/>
          <c:w val="0.97637051039697542"/>
          <c:h val="4.2962962962962981E-2"/>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Translation!$C$52</c:f>
          <c:strCache>
            <c:ptCount val="1"/>
            <c:pt idx="0">
              <c:v>Graph for dry storage capacity at district stores: (different schedules with same Maximum Stock)</c:v>
            </c:pt>
          </c:strCache>
        </c:strRef>
      </c:tx>
      <c:layout>
        <c:manualLayout>
          <c:xMode val="edge"/>
          <c:yMode val="edge"/>
          <c:x val="0.13610586011342155"/>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7.3724007561436669E-2"/>
          <c:y val="5.7777777777777775E-2"/>
          <c:w val="0.91587901701323249"/>
          <c:h val="0.76740740740740743"/>
        </c:manualLayout>
      </c:layout>
      <c:lineChart>
        <c:grouping val="standard"/>
        <c:varyColors val="0"/>
        <c:ser>
          <c:idx val="0"/>
          <c:order val="0"/>
          <c:tx>
            <c:strRef>
              <c:f>Abacus_Tables!$B$84</c:f>
              <c:strCache>
                <c:ptCount val="1"/>
                <c:pt idx="0">
                  <c:v>Current schedule @ 3 months MaxiStock</c:v>
                </c:pt>
              </c:strCache>
            </c:strRef>
          </c:tx>
          <c:spPr>
            <a:ln w="25400">
              <a:solidFill>
                <a:srgbClr val="FF0000"/>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Abacus_Tables!$C$84:$AB$84</c:f>
              <c:numCache>
                <c:formatCode>_-* #\ ##0.00_-;\-* #\ ##0.00_-;_-* "-"_-;_-@_-</c:formatCode>
                <c:ptCount val="26"/>
                <c:pt idx="0">
                  <c:v>0.28592144125000002</c:v>
                </c:pt>
                <c:pt idx="1">
                  <c:v>0.30879515654999995</c:v>
                </c:pt>
                <c:pt idx="2">
                  <c:v>0.33166887184999994</c:v>
                </c:pt>
                <c:pt idx="3">
                  <c:v>0.35454258714999998</c:v>
                </c:pt>
                <c:pt idx="4">
                  <c:v>0.37741630245000002</c:v>
                </c:pt>
                <c:pt idx="5">
                  <c:v>0.40029001774999995</c:v>
                </c:pt>
                <c:pt idx="6">
                  <c:v>0.42316373304999993</c:v>
                </c:pt>
                <c:pt idx="7">
                  <c:v>0.44603744834999998</c:v>
                </c:pt>
                <c:pt idx="8">
                  <c:v>0.46891116364999991</c:v>
                </c:pt>
                <c:pt idx="9">
                  <c:v>0.49178487894999995</c:v>
                </c:pt>
                <c:pt idx="10">
                  <c:v>0.51465859424999993</c:v>
                </c:pt>
                <c:pt idx="11">
                  <c:v>0.53753230954999986</c:v>
                </c:pt>
                <c:pt idx="12">
                  <c:v>0.56040602484999991</c:v>
                </c:pt>
                <c:pt idx="13">
                  <c:v>0.58327974014999995</c:v>
                </c:pt>
                <c:pt idx="14">
                  <c:v>0.60615345544999988</c:v>
                </c:pt>
                <c:pt idx="15">
                  <c:v>0.62902717074999992</c:v>
                </c:pt>
                <c:pt idx="16">
                  <c:v>0.65190088604999996</c:v>
                </c:pt>
                <c:pt idx="17">
                  <c:v>0.67477460134999989</c:v>
                </c:pt>
                <c:pt idx="18">
                  <c:v>0.69764831664999993</c:v>
                </c:pt>
                <c:pt idx="19">
                  <c:v>0.72052203194999986</c:v>
                </c:pt>
                <c:pt idx="20">
                  <c:v>0.74339574724999991</c:v>
                </c:pt>
                <c:pt idx="21">
                  <c:v>0.76626946254999995</c:v>
                </c:pt>
                <c:pt idx="22">
                  <c:v>0.78914317784999999</c:v>
                </c:pt>
                <c:pt idx="23">
                  <c:v>0.81201689314999992</c:v>
                </c:pt>
                <c:pt idx="24">
                  <c:v>0.83489060844999985</c:v>
                </c:pt>
                <c:pt idx="25">
                  <c:v>0.85776432374999978</c:v>
                </c:pt>
              </c:numCache>
            </c:numRef>
          </c:val>
          <c:smooth val="0"/>
          <c:extLst>
            <c:ext xmlns:c16="http://schemas.microsoft.com/office/drawing/2014/chart" uri="{C3380CC4-5D6E-409C-BE32-E72D297353CC}">
              <c16:uniqueId val="{00000000-C589-A84C-88FE-F12FFF650124}"/>
            </c:ext>
          </c:extLst>
        </c:ser>
        <c:ser>
          <c:idx val="1"/>
          <c:order val="1"/>
          <c:tx>
            <c:strRef>
              <c:f>Abacus_Tables!$B$85</c:f>
              <c:strCache>
                <c:ptCount val="1"/>
                <c:pt idx="0">
                  <c:v>Current schedule with penta 1d @ 3 months MaxiStock</c:v>
                </c:pt>
              </c:strCache>
            </c:strRef>
          </c:tx>
          <c:spPr>
            <a:ln w="25400">
              <a:solidFill>
                <a:srgbClr val="FF00FF"/>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Abacus_Tables!$C$85:$AB$85</c:f>
              <c:numCache>
                <c:formatCode>_-* #\ ##0.00_-;\-* #\ ##0.00_-;_-* "-"_-;_-@_-</c:formatCode>
                <c:ptCount val="26"/>
                <c:pt idx="0">
                  <c:v>0.28592144125000002</c:v>
                </c:pt>
                <c:pt idx="1">
                  <c:v>0.30879515654999995</c:v>
                </c:pt>
                <c:pt idx="2">
                  <c:v>0.33166887184999994</c:v>
                </c:pt>
                <c:pt idx="3">
                  <c:v>0.35454258714999998</c:v>
                </c:pt>
                <c:pt idx="4">
                  <c:v>0.37741630245000002</c:v>
                </c:pt>
                <c:pt idx="5">
                  <c:v>0.40029001774999995</c:v>
                </c:pt>
                <c:pt idx="6">
                  <c:v>0.42316373304999993</c:v>
                </c:pt>
                <c:pt idx="7">
                  <c:v>0.44603744834999998</c:v>
                </c:pt>
                <c:pt idx="8">
                  <c:v>0.46891116364999991</c:v>
                </c:pt>
                <c:pt idx="9">
                  <c:v>0.49178487894999995</c:v>
                </c:pt>
                <c:pt idx="10">
                  <c:v>0.51465859424999993</c:v>
                </c:pt>
                <c:pt idx="11">
                  <c:v>0.53753230954999986</c:v>
                </c:pt>
                <c:pt idx="12">
                  <c:v>0.56040602484999991</c:v>
                </c:pt>
                <c:pt idx="13">
                  <c:v>0.58327974014999995</c:v>
                </c:pt>
                <c:pt idx="14">
                  <c:v>0.60615345544999988</c:v>
                </c:pt>
                <c:pt idx="15">
                  <c:v>0.62902717074999992</c:v>
                </c:pt>
                <c:pt idx="16">
                  <c:v>0.65190088604999996</c:v>
                </c:pt>
                <c:pt idx="17">
                  <c:v>0.67477460134999989</c:v>
                </c:pt>
                <c:pt idx="18">
                  <c:v>0.69764831664999993</c:v>
                </c:pt>
                <c:pt idx="19">
                  <c:v>0.72052203194999986</c:v>
                </c:pt>
                <c:pt idx="20">
                  <c:v>0.74339574724999991</c:v>
                </c:pt>
                <c:pt idx="21">
                  <c:v>0.76626946254999995</c:v>
                </c:pt>
                <c:pt idx="22">
                  <c:v>0.78914317784999999</c:v>
                </c:pt>
                <c:pt idx="23">
                  <c:v>0.81201689314999992</c:v>
                </c:pt>
                <c:pt idx="24">
                  <c:v>0.83489060844999985</c:v>
                </c:pt>
                <c:pt idx="25">
                  <c:v>0.85776432374999978</c:v>
                </c:pt>
              </c:numCache>
            </c:numRef>
          </c:val>
          <c:smooth val="0"/>
          <c:extLst>
            <c:ext xmlns:c16="http://schemas.microsoft.com/office/drawing/2014/chart" uri="{C3380CC4-5D6E-409C-BE32-E72D297353CC}">
              <c16:uniqueId val="{00000001-C589-A84C-88FE-F12FFF650124}"/>
            </c:ext>
          </c:extLst>
        </c:ser>
        <c:ser>
          <c:idx val="2"/>
          <c:order val="2"/>
          <c:tx>
            <c:strRef>
              <c:f>Abacus_Tables!$B$86</c:f>
              <c:strCache>
                <c:ptCount val="1"/>
                <c:pt idx="0">
                  <c:v>Current schedule with penta CAD @ 3 months MaxiStock</c:v>
                </c:pt>
              </c:strCache>
            </c:strRef>
          </c:tx>
          <c:spPr>
            <a:ln w="25400">
              <a:solidFill>
                <a:srgbClr val="0000FF"/>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Abacus_Tables!$C$86:$AB$86</c:f>
              <c:numCache>
                <c:formatCode>_-* #\ ##0.00_-;\-* #\ ##0.00_-;_-* "-"_-;_-@_-</c:formatCode>
                <c:ptCount val="26"/>
                <c:pt idx="0">
                  <c:v>0.19709644125</c:v>
                </c:pt>
                <c:pt idx="1">
                  <c:v>0.21286415654999999</c:v>
                </c:pt>
                <c:pt idx="2">
                  <c:v>0.22863187185</c:v>
                </c:pt>
                <c:pt idx="3">
                  <c:v>0.24439958714999996</c:v>
                </c:pt>
                <c:pt idx="4">
                  <c:v>0.26016730244999997</c:v>
                </c:pt>
                <c:pt idx="5">
                  <c:v>0.27593501775000001</c:v>
                </c:pt>
                <c:pt idx="6">
                  <c:v>0.29170273305</c:v>
                </c:pt>
                <c:pt idx="7">
                  <c:v>0.30747044834999998</c:v>
                </c:pt>
                <c:pt idx="8">
                  <c:v>0.32323816365000002</c:v>
                </c:pt>
                <c:pt idx="9">
                  <c:v>0.33900587894999995</c:v>
                </c:pt>
                <c:pt idx="10">
                  <c:v>0.35477359424999994</c:v>
                </c:pt>
                <c:pt idx="11">
                  <c:v>0.37054130954999998</c:v>
                </c:pt>
                <c:pt idx="12">
                  <c:v>0.38630902485000002</c:v>
                </c:pt>
                <c:pt idx="13">
                  <c:v>0.40207674014999994</c:v>
                </c:pt>
                <c:pt idx="14">
                  <c:v>0.41784445544999993</c:v>
                </c:pt>
                <c:pt idx="15">
                  <c:v>0.43361217074999997</c:v>
                </c:pt>
                <c:pt idx="16">
                  <c:v>0.44937988605000001</c:v>
                </c:pt>
                <c:pt idx="17">
                  <c:v>0.46514760135</c:v>
                </c:pt>
                <c:pt idx="18">
                  <c:v>0.48091531665000004</c:v>
                </c:pt>
                <c:pt idx="19">
                  <c:v>0.49668303194999996</c:v>
                </c:pt>
                <c:pt idx="20">
                  <c:v>0.51245074724999995</c:v>
                </c:pt>
                <c:pt idx="21">
                  <c:v>0.52821846254999993</c:v>
                </c:pt>
                <c:pt idx="22">
                  <c:v>0.54398617784999992</c:v>
                </c:pt>
                <c:pt idx="23">
                  <c:v>0.55975389315000001</c:v>
                </c:pt>
                <c:pt idx="24">
                  <c:v>0.57552160844999989</c:v>
                </c:pt>
                <c:pt idx="25">
                  <c:v>0.59128932374999998</c:v>
                </c:pt>
              </c:numCache>
            </c:numRef>
          </c:val>
          <c:smooth val="0"/>
          <c:extLst>
            <c:ext xmlns:c16="http://schemas.microsoft.com/office/drawing/2014/chart" uri="{C3380CC4-5D6E-409C-BE32-E72D297353CC}">
              <c16:uniqueId val="{00000002-C589-A84C-88FE-F12FFF650124}"/>
            </c:ext>
          </c:extLst>
        </c:ser>
        <c:ser>
          <c:idx val="3"/>
          <c:order val="3"/>
          <c:tx>
            <c:strRef>
              <c:f>Abacus_Tables!$B$87</c:f>
              <c:strCache>
                <c:ptCount val="1"/>
              </c:strCache>
            </c:strRef>
          </c:tx>
          <c:spPr>
            <a:ln w="25400">
              <a:solidFill>
                <a:srgbClr val="003300"/>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Abacus_Tables!$C$87:$AB$87</c:f>
              <c:numCache>
                <c:formatCode>_-* #\ ##0.00_-;\-* #\ ##0.00_-;_-*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C589-A84C-88FE-F12FFF650124}"/>
            </c:ext>
          </c:extLst>
        </c:ser>
        <c:ser>
          <c:idx val="4"/>
          <c:order val="4"/>
          <c:tx>
            <c:strRef>
              <c:f>Abacus_Tables!$B$88</c:f>
              <c:strCache>
                <c:ptCount val="1"/>
              </c:strCache>
            </c:strRef>
          </c:tx>
          <c:spPr>
            <a:ln w="25400">
              <a:solidFill>
                <a:srgbClr val="000000"/>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Abacus_Tables!$C$88:$AB$88</c:f>
              <c:numCache>
                <c:formatCode>_-* #\ ##0.00_-;\-* #\ ##0.00_-;_-*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4-C589-A84C-88FE-F12FFF650124}"/>
            </c:ext>
          </c:extLst>
        </c:ser>
        <c:dLbls>
          <c:showLegendKey val="0"/>
          <c:showVal val="0"/>
          <c:showCatName val="0"/>
          <c:showSerName val="0"/>
          <c:showPercent val="0"/>
          <c:showBubbleSize val="0"/>
        </c:dLbls>
        <c:smooth val="0"/>
        <c:axId val="121457664"/>
        <c:axId val="121467648"/>
      </c:lineChart>
      <c:catAx>
        <c:axId val="12145766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1000" b="1" i="0" u="none" strike="noStrike" baseline="0">
                <a:solidFill>
                  <a:srgbClr val="000000"/>
                </a:solidFill>
                <a:latin typeface="Calibri"/>
                <a:ea typeface="Calibri"/>
                <a:cs typeface="Calibri"/>
              </a:defRPr>
            </a:pPr>
            <a:endParaRPr lang="fr-FR"/>
          </a:p>
        </c:txPr>
        <c:crossAx val="121467648"/>
        <c:crosses val="autoZero"/>
        <c:auto val="1"/>
        <c:lblAlgn val="ctr"/>
        <c:lblOffset val="100"/>
        <c:tickLblSkip val="1"/>
        <c:tickMarkSkip val="1"/>
        <c:noMultiLvlLbl val="0"/>
      </c:catAx>
      <c:valAx>
        <c:axId val="121467648"/>
        <c:scaling>
          <c:orientation val="minMax"/>
        </c:scaling>
        <c:delete val="0"/>
        <c:axPos val="l"/>
        <c:majorGridlines>
          <c:spPr>
            <a:ln w="3175">
              <a:solidFill>
                <a:srgbClr val="000000"/>
              </a:solidFill>
              <a:prstDash val="sysDash"/>
            </a:ln>
          </c:spPr>
        </c:majorGridlines>
        <c:title>
          <c:tx>
            <c:strRef>
              <c:f>Translation!$C$53</c:f>
              <c:strCache>
                <c:ptCount val="1"/>
                <c:pt idx="0">
                  <c:v>Net volume of safe injection supplies (m³)</c:v>
                </c:pt>
              </c:strCache>
            </c:strRef>
          </c:tx>
          <c:layout>
            <c:manualLayout>
              <c:xMode val="edge"/>
              <c:yMode val="edge"/>
              <c:x val="1.0396975425330813E-2"/>
              <c:y val="0.19851851851851851"/>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Calibri"/>
                <a:ea typeface="Calibri"/>
                <a:cs typeface="Calibri"/>
              </a:defRPr>
            </a:pPr>
            <a:endParaRPr lang="fr-FR"/>
          </a:p>
        </c:txPr>
        <c:crossAx val="121457664"/>
        <c:crosses val="autoZero"/>
        <c:crossBetween val="between"/>
      </c:valAx>
      <c:spPr>
        <a:solidFill>
          <a:srgbClr val="FFFFFF"/>
        </a:solidFill>
        <a:ln w="12700">
          <a:solidFill>
            <a:srgbClr val="808080"/>
          </a:solidFill>
          <a:prstDash val="solid"/>
        </a:ln>
      </c:spPr>
    </c:plotArea>
    <c:legend>
      <c:legendPos val="r"/>
      <c:layout>
        <c:manualLayout>
          <c:xMode val="edge"/>
          <c:yMode val="edge"/>
          <c:x val="4.725897920604915E-2"/>
          <c:y val="0.9496296296296296"/>
          <c:w val="0.95179584120982985"/>
          <c:h val="4.4444444444444398E-2"/>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Translation!$C$54</c:f>
          <c:strCache>
            <c:ptCount val="1"/>
            <c:pt idx="0">
              <c:v>Graph for dry storage capacity at district stores: (same schedule with different Maximum Stocks)</c:v>
            </c:pt>
          </c:strCache>
        </c:strRef>
      </c:tx>
      <c:layout>
        <c:manualLayout>
          <c:xMode val="edge"/>
          <c:yMode val="edge"/>
          <c:x val="0.13610586011342155"/>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7.3724007561436669E-2"/>
          <c:y val="5.7777777777777775E-2"/>
          <c:w val="0.91587901701323249"/>
          <c:h val="0.7718518518518519"/>
        </c:manualLayout>
      </c:layout>
      <c:lineChart>
        <c:grouping val="standard"/>
        <c:varyColors val="0"/>
        <c:ser>
          <c:idx val="0"/>
          <c:order val="0"/>
          <c:tx>
            <c:strRef>
              <c:f>Abacus_Tables!$B$90</c:f>
              <c:strCache>
                <c:ptCount val="1"/>
                <c:pt idx="0">
                  <c:v>Current schedule @ 2 months_MaxiStock</c:v>
                </c:pt>
              </c:strCache>
            </c:strRef>
          </c:tx>
          <c:spPr>
            <a:ln w="25400">
              <a:solidFill>
                <a:srgbClr val="FF0000"/>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Abacus_Tables!$C$90:$AB$90</c:f>
              <c:numCache>
                <c:formatCode>_-* #\ ##0.00_-;\-* #\ ##0.00_-;_-* "-"_-;_-@_-</c:formatCode>
                <c:ptCount val="26"/>
                <c:pt idx="0">
                  <c:v>0.19061429416666664</c:v>
                </c:pt>
                <c:pt idx="1">
                  <c:v>0.20586343769999996</c:v>
                </c:pt>
                <c:pt idx="2">
                  <c:v>0.2211125812333333</c:v>
                </c:pt>
                <c:pt idx="3">
                  <c:v>0.23636172476666664</c:v>
                </c:pt>
                <c:pt idx="4">
                  <c:v>0.25161086829999996</c:v>
                </c:pt>
                <c:pt idx="5">
                  <c:v>0.2668600118333333</c:v>
                </c:pt>
                <c:pt idx="6">
                  <c:v>0.28210915536666664</c:v>
                </c:pt>
                <c:pt idx="7">
                  <c:v>0.29735829889999998</c:v>
                </c:pt>
                <c:pt idx="8">
                  <c:v>0.31260744243333327</c:v>
                </c:pt>
                <c:pt idx="9">
                  <c:v>0.32785658596666661</c:v>
                </c:pt>
                <c:pt idx="10">
                  <c:v>0.34310572949999996</c:v>
                </c:pt>
                <c:pt idx="11">
                  <c:v>0.35835487303333324</c:v>
                </c:pt>
                <c:pt idx="12">
                  <c:v>0.37360401656666664</c:v>
                </c:pt>
                <c:pt idx="13">
                  <c:v>0.38885316009999998</c:v>
                </c:pt>
                <c:pt idx="14">
                  <c:v>0.40410230363333327</c:v>
                </c:pt>
                <c:pt idx="15">
                  <c:v>0.41935144716666661</c:v>
                </c:pt>
                <c:pt idx="16">
                  <c:v>0.43460059069999996</c:v>
                </c:pt>
                <c:pt idx="17">
                  <c:v>0.44984973423333324</c:v>
                </c:pt>
                <c:pt idx="18">
                  <c:v>0.46509887776666664</c:v>
                </c:pt>
                <c:pt idx="19">
                  <c:v>0.48034802129999993</c:v>
                </c:pt>
                <c:pt idx="20">
                  <c:v>0.49559716483333327</c:v>
                </c:pt>
                <c:pt idx="21">
                  <c:v>0.51084630836666667</c:v>
                </c:pt>
                <c:pt idx="22">
                  <c:v>0.52609545189999996</c:v>
                </c:pt>
                <c:pt idx="23">
                  <c:v>0.54134459543333324</c:v>
                </c:pt>
                <c:pt idx="24">
                  <c:v>0.55659373896666664</c:v>
                </c:pt>
                <c:pt idx="25">
                  <c:v>0.57184288249999993</c:v>
                </c:pt>
              </c:numCache>
            </c:numRef>
          </c:val>
          <c:smooth val="0"/>
          <c:extLst>
            <c:ext xmlns:c16="http://schemas.microsoft.com/office/drawing/2014/chart" uri="{C3380CC4-5D6E-409C-BE32-E72D297353CC}">
              <c16:uniqueId val="{00000000-09FB-784B-A14F-302DCD632CE1}"/>
            </c:ext>
          </c:extLst>
        </c:ser>
        <c:ser>
          <c:idx val="1"/>
          <c:order val="1"/>
          <c:tx>
            <c:strRef>
              <c:f>Abacus_Tables!$B$91</c:f>
              <c:strCache>
                <c:ptCount val="1"/>
                <c:pt idx="0">
                  <c:v>Current schedule @ 3 months_MaxiStock</c:v>
                </c:pt>
              </c:strCache>
            </c:strRef>
          </c:tx>
          <c:spPr>
            <a:ln w="25400">
              <a:solidFill>
                <a:srgbClr val="FF00FF"/>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Abacus_Tables!$C$91:$AB$91</c:f>
              <c:numCache>
                <c:formatCode>_-* #\ ##0.00_-;\-* #\ ##0.00_-;_-* "-"_-;_-@_-</c:formatCode>
                <c:ptCount val="26"/>
                <c:pt idx="0">
                  <c:v>0.28592144125000002</c:v>
                </c:pt>
                <c:pt idx="1">
                  <c:v>0.30879515654999995</c:v>
                </c:pt>
                <c:pt idx="2">
                  <c:v>0.33166887184999994</c:v>
                </c:pt>
                <c:pt idx="3">
                  <c:v>0.35454258714999998</c:v>
                </c:pt>
                <c:pt idx="4">
                  <c:v>0.37741630245000002</c:v>
                </c:pt>
                <c:pt idx="5">
                  <c:v>0.40029001774999995</c:v>
                </c:pt>
                <c:pt idx="6">
                  <c:v>0.42316373304999993</c:v>
                </c:pt>
                <c:pt idx="7">
                  <c:v>0.44603744834999998</c:v>
                </c:pt>
                <c:pt idx="8">
                  <c:v>0.46891116364999991</c:v>
                </c:pt>
                <c:pt idx="9">
                  <c:v>0.49178487894999995</c:v>
                </c:pt>
                <c:pt idx="10">
                  <c:v>0.51465859424999993</c:v>
                </c:pt>
                <c:pt idx="11">
                  <c:v>0.53753230954999986</c:v>
                </c:pt>
                <c:pt idx="12">
                  <c:v>0.56040602484999991</c:v>
                </c:pt>
                <c:pt idx="13">
                  <c:v>0.58327974014999995</c:v>
                </c:pt>
                <c:pt idx="14">
                  <c:v>0.60615345544999988</c:v>
                </c:pt>
                <c:pt idx="15">
                  <c:v>0.62902717074999992</c:v>
                </c:pt>
                <c:pt idx="16">
                  <c:v>0.65190088604999996</c:v>
                </c:pt>
                <c:pt idx="17">
                  <c:v>0.67477460134999989</c:v>
                </c:pt>
                <c:pt idx="18">
                  <c:v>0.69764831664999993</c:v>
                </c:pt>
                <c:pt idx="19">
                  <c:v>0.72052203194999986</c:v>
                </c:pt>
                <c:pt idx="20">
                  <c:v>0.74339574724999991</c:v>
                </c:pt>
                <c:pt idx="21">
                  <c:v>0.76626946254999995</c:v>
                </c:pt>
                <c:pt idx="22">
                  <c:v>0.78914317784999999</c:v>
                </c:pt>
                <c:pt idx="23">
                  <c:v>0.81201689314999992</c:v>
                </c:pt>
                <c:pt idx="24">
                  <c:v>0.83489060844999985</c:v>
                </c:pt>
                <c:pt idx="25">
                  <c:v>0.85776432374999978</c:v>
                </c:pt>
              </c:numCache>
            </c:numRef>
          </c:val>
          <c:smooth val="0"/>
          <c:extLst>
            <c:ext xmlns:c16="http://schemas.microsoft.com/office/drawing/2014/chart" uri="{C3380CC4-5D6E-409C-BE32-E72D297353CC}">
              <c16:uniqueId val="{00000001-09FB-784B-A14F-302DCD632CE1}"/>
            </c:ext>
          </c:extLst>
        </c:ser>
        <c:ser>
          <c:idx val="2"/>
          <c:order val="2"/>
          <c:tx>
            <c:strRef>
              <c:f>Abacus_Tables!$B$92</c:f>
              <c:strCache>
                <c:ptCount val="1"/>
                <c:pt idx="0">
                  <c:v>Current schedule @ 4 months_MaxiStock</c:v>
                </c:pt>
              </c:strCache>
            </c:strRef>
          </c:tx>
          <c:spPr>
            <a:ln w="25400">
              <a:solidFill>
                <a:srgbClr val="0000FF"/>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Abacus_Tables!$C$92:$AB$92</c:f>
              <c:numCache>
                <c:formatCode>_-* #\ ##0.00_-;\-* #\ ##0.00_-;_-* "-"_-;_-@_-</c:formatCode>
                <c:ptCount val="26"/>
                <c:pt idx="0">
                  <c:v>0.38122858833333328</c:v>
                </c:pt>
                <c:pt idx="1">
                  <c:v>0.41172687539999991</c:v>
                </c:pt>
                <c:pt idx="2">
                  <c:v>0.4422251624666666</c:v>
                </c:pt>
                <c:pt idx="3">
                  <c:v>0.47272344953333328</c:v>
                </c:pt>
                <c:pt idx="4">
                  <c:v>0.50322173659999991</c:v>
                </c:pt>
                <c:pt idx="5">
                  <c:v>0.5337200236666666</c:v>
                </c:pt>
                <c:pt idx="6">
                  <c:v>0.56421831073333328</c:v>
                </c:pt>
                <c:pt idx="7">
                  <c:v>0.59471659779999997</c:v>
                </c:pt>
                <c:pt idx="8">
                  <c:v>0.62521488486666654</c:v>
                </c:pt>
                <c:pt idx="9">
                  <c:v>0.65571317193333323</c:v>
                </c:pt>
                <c:pt idx="10">
                  <c:v>0.68621145899999991</c:v>
                </c:pt>
                <c:pt idx="11">
                  <c:v>0.71670974606666649</c:v>
                </c:pt>
                <c:pt idx="12">
                  <c:v>0.74720803313333328</c:v>
                </c:pt>
                <c:pt idx="13">
                  <c:v>0.77770632019999997</c:v>
                </c:pt>
                <c:pt idx="14">
                  <c:v>0.80820460726666654</c:v>
                </c:pt>
                <c:pt idx="15">
                  <c:v>0.83870289433333323</c:v>
                </c:pt>
                <c:pt idx="16">
                  <c:v>0.86920118139999991</c:v>
                </c:pt>
                <c:pt idx="17">
                  <c:v>0.89969946846666649</c:v>
                </c:pt>
                <c:pt idx="18">
                  <c:v>0.93019775553333328</c:v>
                </c:pt>
                <c:pt idx="19">
                  <c:v>0.96069604259999986</c:v>
                </c:pt>
                <c:pt idx="20">
                  <c:v>0.99119432966666654</c:v>
                </c:pt>
                <c:pt idx="21">
                  <c:v>1.0216926167333333</c:v>
                </c:pt>
                <c:pt idx="22">
                  <c:v>1.0521909037999999</c:v>
                </c:pt>
                <c:pt idx="23">
                  <c:v>1.0826891908666665</c:v>
                </c:pt>
                <c:pt idx="24">
                  <c:v>1.1131874779333333</c:v>
                </c:pt>
                <c:pt idx="25">
                  <c:v>1.1436857649999999</c:v>
                </c:pt>
              </c:numCache>
            </c:numRef>
          </c:val>
          <c:smooth val="0"/>
          <c:extLst>
            <c:ext xmlns:c16="http://schemas.microsoft.com/office/drawing/2014/chart" uri="{C3380CC4-5D6E-409C-BE32-E72D297353CC}">
              <c16:uniqueId val="{00000002-09FB-784B-A14F-302DCD632CE1}"/>
            </c:ext>
          </c:extLst>
        </c:ser>
        <c:ser>
          <c:idx val="3"/>
          <c:order val="3"/>
          <c:tx>
            <c:strRef>
              <c:f>Abacus_Tables!$B$93</c:f>
              <c:strCache>
                <c:ptCount val="1"/>
              </c:strCache>
            </c:strRef>
          </c:tx>
          <c:spPr>
            <a:ln w="25400">
              <a:solidFill>
                <a:srgbClr val="003300"/>
              </a:solidFill>
              <a:prstDash val="solid"/>
            </a:ln>
          </c:spPr>
          <c:marker>
            <c:symbol val="none"/>
          </c:marker>
          <c:cat>
            <c:multiLvlStrRef>
              <c:f>Abacus_Tables!$C$57:$AB$58</c:f>
              <c:multiLvlStrCache>
                <c:ptCount val="26"/>
                <c:lvl>
                  <c:pt idx="0">
                    <c:v> 100 000 </c:v>
                  </c:pt>
                  <c:pt idx="1">
                    <c:v> 108 000 </c:v>
                  </c:pt>
                  <c:pt idx="2">
                    <c:v> 116 000 </c:v>
                  </c:pt>
                  <c:pt idx="3">
                    <c:v> 124 000 </c:v>
                  </c:pt>
                  <c:pt idx="4">
                    <c:v> 132 000 </c:v>
                  </c:pt>
                  <c:pt idx="5">
                    <c:v> 140 000 </c:v>
                  </c:pt>
                  <c:pt idx="6">
                    <c:v> 148 000 </c:v>
                  </c:pt>
                  <c:pt idx="7">
                    <c:v> 156 000 </c:v>
                  </c:pt>
                  <c:pt idx="8">
                    <c:v> 164 000 </c:v>
                  </c:pt>
                  <c:pt idx="9">
                    <c:v> 172 000 </c:v>
                  </c:pt>
                  <c:pt idx="10">
                    <c:v> 180 000 </c:v>
                  </c:pt>
                  <c:pt idx="11">
                    <c:v> 188 000 </c:v>
                  </c:pt>
                  <c:pt idx="12">
                    <c:v> 196 000 </c:v>
                  </c:pt>
                  <c:pt idx="13">
                    <c:v> 204 000 </c:v>
                  </c:pt>
                  <c:pt idx="14">
                    <c:v> 212 000 </c:v>
                  </c:pt>
                  <c:pt idx="15">
                    <c:v> 220 000 </c:v>
                  </c:pt>
                  <c:pt idx="16">
                    <c:v> 228 000 </c:v>
                  </c:pt>
                  <c:pt idx="17">
                    <c:v> 236 000 </c:v>
                  </c:pt>
                  <c:pt idx="18">
                    <c:v> 244 000 </c:v>
                  </c:pt>
                  <c:pt idx="19">
                    <c:v> 252 000 </c:v>
                  </c:pt>
                  <c:pt idx="20">
                    <c:v> 260 000 </c:v>
                  </c:pt>
                  <c:pt idx="21">
                    <c:v> 268 000 </c:v>
                  </c:pt>
                  <c:pt idx="22">
                    <c:v> 276 000 </c:v>
                  </c:pt>
                  <c:pt idx="23">
                    <c:v> 284 000 </c:v>
                  </c:pt>
                  <c:pt idx="24">
                    <c:v> 292 000 </c:v>
                  </c:pt>
                  <c:pt idx="25">
                    <c:v> 300 000 </c:v>
                  </c:pt>
                </c:lvl>
                <c:lvl>
                  <c:pt idx="3">
                    <c:v>Total population</c:v>
                  </c:pt>
                </c:lvl>
              </c:multiLvlStrCache>
            </c:multiLvlStrRef>
          </c:cat>
          <c:val>
            <c:numRef>
              <c:f>Abacus_Tables!$C$93:$AB$93</c:f>
              <c:numCache>
                <c:formatCode>_-* #\ ##0.00_-;\-* #\ ##0.00_-;_-*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09FB-784B-A14F-302DCD632CE1}"/>
            </c:ext>
          </c:extLst>
        </c:ser>
        <c:dLbls>
          <c:showLegendKey val="0"/>
          <c:showVal val="0"/>
          <c:showCatName val="0"/>
          <c:showSerName val="0"/>
          <c:showPercent val="0"/>
          <c:showBubbleSize val="0"/>
        </c:dLbls>
        <c:smooth val="0"/>
        <c:axId val="127189376"/>
        <c:axId val="127190912"/>
      </c:lineChart>
      <c:catAx>
        <c:axId val="12718937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1000" b="1" i="0" u="none" strike="noStrike" baseline="0">
                <a:solidFill>
                  <a:srgbClr val="000000"/>
                </a:solidFill>
                <a:latin typeface="Calibri"/>
                <a:ea typeface="Calibri"/>
                <a:cs typeface="Calibri"/>
              </a:defRPr>
            </a:pPr>
            <a:endParaRPr lang="fr-FR"/>
          </a:p>
        </c:txPr>
        <c:crossAx val="127190912"/>
        <c:crosses val="autoZero"/>
        <c:auto val="1"/>
        <c:lblAlgn val="ctr"/>
        <c:lblOffset val="100"/>
        <c:tickLblSkip val="1"/>
        <c:tickMarkSkip val="1"/>
        <c:noMultiLvlLbl val="0"/>
      </c:catAx>
      <c:valAx>
        <c:axId val="127190912"/>
        <c:scaling>
          <c:orientation val="minMax"/>
        </c:scaling>
        <c:delete val="0"/>
        <c:axPos val="l"/>
        <c:majorGridlines>
          <c:spPr>
            <a:ln w="3175">
              <a:solidFill>
                <a:srgbClr val="000000"/>
              </a:solidFill>
              <a:prstDash val="sysDash"/>
            </a:ln>
          </c:spPr>
        </c:majorGridlines>
        <c:title>
          <c:tx>
            <c:strRef>
              <c:f>Translation!$C$55</c:f>
              <c:strCache>
                <c:ptCount val="1"/>
                <c:pt idx="0">
                  <c:v>Net volume of safe injection supplies (m³)</c:v>
                </c:pt>
              </c:strCache>
            </c:strRef>
          </c:tx>
          <c:layout>
            <c:manualLayout>
              <c:xMode val="edge"/>
              <c:yMode val="edge"/>
              <c:x val="1.0396975425330813E-2"/>
              <c:y val="0.2"/>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Calibri"/>
                <a:ea typeface="Calibri"/>
                <a:cs typeface="Calibri"/>
              </a:defRPr>
            </a:pPr>
            <a:endParaRPr lang="fr-FR"/>
          </a:p>
        </c:txPr>
        <c:crossAx val="127189376"/>
        <c:crosses val="autoZero"/>
        <c:crossBetween val="between"/>
      </c:valAx>
      <c:spPr>
        <a:solidFill>
          <a:srgbClr val="FFFFFF"/>
        </a:solidFill>
        <a:ln w="12700">
          <a:solidFill>
            <a:srgbClr val="808080"/>
          </a:solidFill>
          <a:prstDash val="solid"/>
        </a:ln>
      </c:spPr>
    </c:plotArea>
    <c:legend>
      <c:legendPos val="r"/>
      <c:layout>
        <c:manualLayout>
          <c:xMode val="edge"/>
          <c:yMode val="edge"/>
          <c:x val="9.9243856332703217E-2"/>
          <c:y val="0.95407407407407407"/>
          <c:w val="0.89603024574669177"/>
          <c:h val="4.2962962962962981E-2"/>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Translation!$C$62</c:f>
          <c:strCache>
            <c:ptCount val="1"/>
            <c:pt idx="0">
              <c:v>Graph for dry storage capacity at service points (different schedules with same Maximum Stock)</c:v>
            </c:pt>
          </c:strCache>
        </c:strRef>
      </c:tx>
      <c:layout>
        <c:manualLayout>
          <c:xMode val="edge"/>
          <c:yMode val="edge"/>
          <c:x val="0.13799621928166353"/>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8.5066162570888462E-2"/>
          <c:y val="5.0370370370370371E-2"/>
          <c:w val="0.9045368620037807"/>
          <c:h val="0.78518518518518521"/>
        </c:manualLayout>
      </c:layout>
      <c:lineChart>
        <c:grouping val="standard"/>
        <c:varyColors val="0"/>
        <c:ser>
          <c:idx val="0"/>
          <c:order val="0"/>
          <c:tx>
            <c:strRef>
              <c:f>Abacus_Tables!$B$131</c:f>
              <c:strCache>
                <c:ptCount val="1"/>
                <c:pt idx="0">
                  <c:v>Current schedule @ 2 months MaxiStock</c:v>
                </c:pt>
              </c:strCache>
            </c:strRef>
          </c:tx>
          <c:spPr>
            <a:ln w="25400">
              <a:solidFill>
                <a:srgbClr val="FF0000"/>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Abacus_Tables!$C$131:$AB$131</c:f>
              <c:numCache>
                <c:formatCode>_-* #\ ##0.00_-;\-* #\ ##0.00_-;_-* "-"_-;_-@_-</c:formatCode>
                <c:ptCount val="26"/>
                <c:pt idx="0">
                  <c:v>1.9061429416666663E-3</c:v>
                </c:pt>
                <c:pt idx="1">
                  <c:v>5.7184288249999991E-3</c:v>
                </c:pt>
                <c:pt idx="2">
                  <c:v>9.5307147083333321E-3</c:v>
                </c:pt>
                <c:pt idx="3">
                  <c:v>1.3343000591666666E-2</c:v>
                </c:pt>
                <c:pt idx="4">
                  <c:v>1.7155286475E-2</c:v>
                </c:pt>
                <c:pt idx="5">
                  <c:v>2.0967572358333332E-2</c:v>
                </c:pt>
                <c:pt idx="6">
                  <c:v>2.4779858241666661E-2</c:v>
                </c:pt>
                <c:pt idx="7">
                  <c:v>2.8592144124999996E-2</c:v>
                </c:pt>
                <c:pt idx="8">
                  <c:v>3.2404430008333332E-2</c:v>
                </c:pt>
                <c:pt idx="9">
                  <c:v>3.6216715891666661E-2</c:v>
                </c:pt>
                <c:pt idx="10">
                  <c:v>4.0029001774999996E-2</c:v>
                </c:pt>
                <c:pt idx="11">
                  <c:v>4.3841287658333332E-2</c:v>
                </c:pt>
                <c:pt idx="12">
                  <c:v>4.7653573541666661E-2</c:v>
                </c:pt>
                <c:pt idx="13">
                  <c:v>5.1465859424999989E-2</c:v>
                </c:pt>
                <c:pt idx="14">
                  <c:v>5.5278145308333325E-2</c:v>
                </c:pt>
                <c:pt idx="15">
                  <c:v>5.9090431191666661E-2</c:v>
                </c:pt>
                <c:pt idx="16">
                  <c:v>6.2902717074999989E-2</c:v>
                </c:pt>
                <c:pt idx="17">
                  <c:v>6.6715002958333325E-2</c:v>
                </c:pt>
                <c:pt idx="18">
                  <c:v>7.052728884166666E-2</c:v>
                </c:pt>
                <c:pt idx="19">
                  <c:v>7.4339574724999996E-2</c:v>
                </c:pt>
                <c:pt idx="20">
                  <c:v>7.8151860608333318E-2</c:v>
                </c:pt>
                <c:pt idx="21">
                  <c:v>8.1964146491666653E-2</c:v>
                </c:pt>
                <c:pt idx="22">
                  <c:v>8.5776432374999989E-2</c:v>
                </c:pt>
                <c:pt idx="23">
                  <c:v>8.9588718258333311E-2</c:v>
                </c:pt>
                <c:pt idx="24">
                  <c:v>9.340100414166666E-2</c:v>
                </c:pt>
                <c:pt idx="25">
                  <c:v>9.7213290024999996E-2</c:v>
                </c:pt>
              </c:numCache>
            </c:numRef>
          </c:val>
          <c:smooth val="0"/>
          <c:extLst>
            <c:ext xmlns:c16="http://schemas.microsoft.com/office/drawing/2014/chart" uri="{C3380CC4-5D6E-409C-BE32-E72D297353CC}">
              <c16:uniqueId val="{00000000-30DD-9B44-BBB6-C76AAC3844A1}"/>
            </c:ext>
          </c:extLst>
        </c:ser>
        <c:ser>
          <c:idx val="1"/>
          <c:order val="1"/>
          <c:tx>
            <c:strRef>
              <c:f>Abacus_Tables!$B$132</c:f>
              <c:strCache>
                <c:ptCount val="1"/>
                <c:pt idx="0">
                  <c:v>Current schedule with penta 1d @ 2 months MaxiStock</c:v>
                </c:pt>
              </c:strCache>
            </c:strRef>
          </c:tx>
          <c:spPr>
            <a:ln w="25400">
              <a:solidFill>
                <a:srgbClr val="FF00FF"/>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Abacus_Tables!$C$132:$AB$132</c:f>
              <c:numCache>
                <c:formatCode>_-* #\ ##0.00_-;\-* #\ ##0.00_-;_-* "-"_-;_-@_-</c:formatCode>
                <c:ptCount val="26"/>
                <c:pt idx="0">
                  <c:v>1.9061429416666663E-3</c:v>
                </c:pt>
                <c:pt idx="1">
                  <c:v>5.7184288249999991E-3</c:v>
                </c:pt>
                <c:pt idx="2">
                  <c:v>9.5307147083333321E-3</c:v>
                </c:pt>
                <c:pt idx="3">
                  <c:v>1.3343000591666666E-2</c:v>
                </c:pt>
                <c:pt idx="4">
                  <c:v>1.7155286475E-2</c:v>
                </c:pt>
                <c:pt idx="5">
                  <c:v>2.0967572358333332E-2</c:v>
                </c:pt>
                <c:pt idx="6">
                  <c:v>2.4779858241666661E-2</c:v>
                </c:pt>
                <c:pt idx="7">
                  <c:v>2.8592144124999996E-2</c:v>
                </c:pt>
                <c:pt idx="8">
                  <c:v>3.2404430008333332E-2</c:v>
                </c:pt>
                <c:pt idx="9">
                  <c:v>3.6216715891666661E-2</c:v>
                </c:pt>
                <c:pt idx="10">
                  <c:v>4.0029001774999996E-2</c:v>
                </c:pt>
                <c:pt idx="11">
                  <c:v>4.3841287658333332E-2</c:v>
                </c:pt>
                <c:pt idx="12">
                  <c:v>4.7653573541666661E-2</c:v>
                </c:pt>
                <c:pt idx="13">
                  <c:v>5.1465859424999989E-2</c:v>
                </c:pt>
                <c:pt idx="14">
                  <c:v>5.5278145308333325E-2</c:v>
                </c:pt>
                <c:pt idx="15">
                  <c:v>5.9090431191666661E-2</c:v>
                </c:pt>
                <c:pt idx="16">
                  <c:v>6.2902717074999989E-2</c:v>
                </c:pt>
                <c:pt idx="17">
                  <c:v>6.6715002958333325E-2</c:v>
                </c:pt>
                <c:pt idx="18">
                  <c:v>7.052728884166666E-2</c:v>
                </c:pt>
                <c:pt idx="19">
                  <c:v>7.4339574724999996E-2</c:v>
                </c:pt>
                <c:pt idx="20">
                  <c:v>7.8151860608333318E-2</c:v>
                </c:pt>
                <c:pt idx="21">
                  <c:v>8.1964146491666653E-2</c:v>
                </c:pt>
                <c:pt idx="22">
                  <c:v>8.5776432374999989E-2</c:v>
                </c:pt>
                <c:pt idx="23">
                  <c:v>8.9588718258333311E-2</c:v>
                </c:pt>
                <c:pt idx="24">
                  <c:v>9.340100414166666E-2</c:v>
                </c:pt>
                <c:pt idx="25">
                  <c:v>9.7213290024999996E-2</c:v>
                </c:pt>
              </c:numCache>
            </c:numRef>
          </c:val>
          <c:smooth val="0"/>
          <c:extLst>
            <c:ext xmlns:c16="http://schemas.microsoft.com/office/drawing/2014/chart" uri="{C3380CC4-5D6E-409C-BE32-E72D297353CC}">
              <c16:uniqueId val="{00000001-30DD-9B44-BBB6-C76AAC3844A1}"/>
            </c:ext>
          </c:extLst>
        </c:ser>
        <c:ser>
          <c:idx val="2"/>
          <c:order val="2"/>
          <c:tx>
            <c:strRef>
              <c:f>Abacus_Tables!$B$133</c:f>
              <c:strCache>
                <c:ptCount val="1"/>
                <c:pt idx="0">
                  <c:v>Current schedule with penta CAD @ 2 months MaxiStock</c:v>
                </c:pt>
              </c:strCache>
            </c:strRef>
          </c:tx>
          <c:spPr>
            <a:ln w="25400">
              <a:solidFill>
                <a:srgbClr val="0000FF"/>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Abacus_Tables!$C$133:$AB$133</c:f>
              <c:numCache>
                <c:formatCode>_-* #\ ##0.00_-;\-* #\ ##0.00_-;_-* "-"_-;_-@_-</c:formatCode>
                <c:ptCount val="26"/>
                <c:pt idx="0">
                  <c:v>1.3139762749999999E-3</c:v>
                </c:pt>
                <c:pt idx="1">
                  <c:v>3.9419288249999997E-3</c:v>
                </c:pt>
                <c:pt idx="2">
                  <c:v>6.5698813749999994E-3</c:v>
                </c:pt>
                <c:pt idx="3">
                  <c:v>9.1978339249999992E-3</c:v>
                </c:pt>
                <c:pt idx="4">
                  <c:v>1.1825786474999999E-2</c:v>
                </c:pt>
                <c:pt idx="5">
                  <c:v>1.4453739025000001E-2</c:v>
                </c:pt>
                <c:pt idx="6">
                  <c:v>1.7081691574999999E-2</c:v>
                </c:pt>
                <c:pt idx="7">
                  <c:v>1.9709644124999998E-2</c:v>
                </c:pt>
                <c:pt idx="8">
                  <c:v>2.2337596674999998E-2</c:v>
                </c:pt>
                <c:pt idx="9">
                  <c:v>2.4965549225000001E-2</c:v>
                </c:pt>
                <c:pt idx="10">
                  <c:v>2.7593501774999998E-2</c:v>
                </c:pt>
                <c:pt idx="11">
                  <c:v>3.0221454324999997E-2</c:v>
                </c:pt>
                <c:pt idx="12">
                  <c:v>3.2849406874999994E-2</c:v>
                </c:pt>
                <c:pt idx="13">
                  <c:v>3.5477359425E-2</c:v>
                </c:pt>
                <c:pt idx="14">
                  <c:v>3.8105311975E-2</c:v>
                </c:pt>
                <c:pt idx="15">
                  <c:v>4.0733264524999993E-2</c:v>
                </c:pt>
                <c:pt idx="16">
                  <c:v>4.3361217075E-2</c:v>
                </c:pt>
                <c:pt idx="17">
                  <c:v>4.5989169625E-2</c:v>
                </c:pt>
                <c:pt idx="18">
                  <c:v>4.8617122174999999E-2</c:v>
                </c:pt>
                <c:pt idx="19">
                  <c:v>5.1245074724999992E-2</c:v>
                </c:pt>
                <c:pt idx="20">
                  <c:v>5.3873027274999999E-2</c:v>
                </c:pt>
                <c:pt idx="21">
                  <c:v>5.6500979824999999E-2</c:v>
                </c:pt>
                <c:pt idx="22">
                  <c:v>5.9128932374999991E-2</c:v>
                </c:pt>
                <c:pt idx="23">
                  <c:v>6.1756884924999991E-2</c:v>
                </c:pt>
                <c:pt idx="24">
                  <c:v>6.4384837474999998E-2</c:v>
                </c:pt>
                <c:pt idx="25">
                  <c:v>6.7012790024999991E-2</c:v>
                </c:pt>
              </c:numCache>
            </c:numRef>
          </c:val>
          <c:smooth val="0"/>
          <c:extLst>
            <c:ext xmlns:c16="http://schemas.microsoft.com/office/drawing/2014/chart" uri="{C3380CC4-5D6E-409C-BE32-E72D297353CC}">
              <c16:uniqueId val="{00000002-30DD-9B44-BBB6-C76AAC3844A1}"/>
            </c:ext>
          </c:extLst>
        </c:ser>
        <c:ser>
          <c:idx val="3"/>
          <c:order val="3"/>
          <c:tx>
            <c:strRef>
              <c:f>Abacus_Tables!$B$110</c:f>
              <c:strCache>
                <c:ptCount val="1"/>
              </c:strCache>
            </c:strRef>
          </c:tx>
          <c:spPr>
            <a:ln w="25400">
              <a:solidFill>
                <a:srgbClr val="003300"/>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Abacus_Tables!$C$134:$AB$134</c:f>
              <c:numCache>
                <c:formatCode>_-* #\ ##0.00_-;\-* #\ ##0.00_-;_-*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30DD-9B44-BBB6-C76AAC3844A1}"/>
            </c:ext>
          </c:extLst>
        </c:ser>
        <c:ser>
          <c:idx val="4"/>
          <c:order val="4"/>
          <c:tx>
            <c:strRef>
              <c:f>Abacus_Tables!$B$135</c:f>
              <c:strCache>
                <c:ptCount val="1"/>
              </c:strCache>
            </c:strRef>
          </c:tx>
          <c:spPr>
            <a:ln w="25400">
              <a:solidFill>
                <a:srgbClr val="000000"/>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Abacus_Tables!$C$135:$AB$135</c:f>
              <c:numCache>
                <c:formatCode>_-* #\ ##0.00_-;\-* #\ ##0.00_-;_-*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4-30DD-9B44-BBB6-C76AAC3844A1}"/>
            </c:ext>
          </c:extLst>
        </c:ser>
        <c:dLbls>
          <c:showLegendKey val="0"/>
          <c:showVal val="0"/>
          <c:showCatName val="0"/>
          <c:showSerName val="0"/>
          <c:showPercent val="0"/>
          <c:showBubbleSize val="0"/>
        </c:dLbls>
        <c:smooth val="0"/>
        <c:axId val="121628544"/>
        <c:axId val="121630080"/>
      </c:lineChart>
      <c:catAx>
        <c:axId val="121628544"/>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1000" b="1" i="0" u="none" strike="noStrike" baseline="0">
                <a:solidFill>
                  <a:srgbClr val="000000"/>
                </a:solidFill>
                <a:latin typeface="Calibri"/>
                <a:ea typeface="Calibri"/>
                <a:cs typeface="Calibri"/>
              </a:defRPr>
            </a:pPr>
            <a:endParaRPr lang="fr-FR"/>
          </a:p>
        </c:txPr>
        <c:crossAx val="121630080"/>
        <c:crosses val="autoZero"/>
        <c:auto val="1"/>
        <c:lblAlgn val="ctr"/>
        <c:lblOffset val="100"/>
        <c:tickLblSkip val="1"/>
        <c:tickMarkSkip val="1"/>
        <c:noMultiLvlLbl val="0"/>
      </c:catAx>
      <c:valAx>
        <c:axId val="121630080"/>
        <c:scaling>
          <c:orientation val="minMax"/>
        </c:scaling>
        <c:delete val="0"/>
        <c:axPos val="l"/>
        <c:majorGridlines>
          <c:spPr>
            <a:ln w="3175">
              <a:solidFill>
                <a:srgbClr val="000000"/>
              </a:solidFill>
              <a:prstDash val="sysDash"/>
            </a:ln>
          </c:spPr>
        </c:majorGridlines>
        <c:title>
          <c:tx>
            <c:strRef>
              <c:f>Translation!$C$63</c:f>
              <c:strCache>
                <c:ptCount val="1"/>
                <c:pt idx="0">
                  <c:v>Net volume of safe injection supplies (m³)</c:v>
                </c:pt>
              </c:strCache>
            </c:strRef>
          </c:tx>
          <c:layout>
            <c:manualLayout>
              <c:xMode val="edge"/>
              <c:yMode val="edge"/>
              <c:x val="3.780718336483932E-3"/>
              <c:y val="0.2"/>
            </c:manualLayout>
          </c:layout>
          <c:overlay val="0"/>
          <c:spPr>
            <a:noFill/>
            <a:ln w="25400">
              <a:noFill/>
            </a:ln>
          </c:spPr>
          <c:txPr>
            <a:bodyPr/>
            <a:lstStyle/>
            <a:p>
              <a:pPr>
                <a:defRPr sz="1200" b="1" i="0" u="none" strike="noStrike" baseline="0">
                  <a:solidFill>
                    <a:srgbClr val="000000"/>
                  </a:solidFill>
                  <a:latin typeface="Calibri"/>
                  <a:ea typeface="Calibri"/>
                  <a:cs typeface="Calibri"/>
                </a:defRPr>
              </a:pPr>
              <a:endParaRPr lang="fr-FR"/>
            </a:p>
          </c:txPr>
        </c:title>
        <c:numFmt formatCode="_-* #\ ##0.00_-;\-* #\ ##0.00_-;_-* &quot;-&quot;_-;_-@_-" sourceLinked="1"/>
        <c:majorTickMark val="out"/>
        <c:minorTickMark val="none"/>
        <c:tickLblPos val="nextTo"/>
        <c:spPr>
          <a:ln w="3175">
            <a:solidFill>
              <a:srgbClr val="000000"/>
            </a:solidFill>
            <a:prstDash val="solid"/>
          </a:ln>
        </c:spPr>
        <c:txPr>
          <a:bodyPr rot="0" vert="horz"/>
          <a:lstStyle/>
          <a:p>
            <a:pPr>
              <a:defRPr sz="975" b="1" i="0" u="none" strike="noStrike" baseline="0">
                <a:solidFill>
                  <a:srgbClr val="000000"/>
                </a:solidFill>
                <a:latin typeface="Calibri"/>
                <a:ea typeface="Calibri"/>
                <a:cs typeface="Calibri"/>
              </a:defRPr>
            </a:pPr>
            <a:endParaRPr lang="fr-FR"/>
          </a:p>
        </c:txPr>
        <c:crossAx val="121628544"/>
        <c:crosses val="autoZero"/>
        <c:crossBetween val="between"/>
      </c:valAx>
      <c:spPr>
        <a:solidFill>
          <a:srgbClr val="FFFFFF"/>
        </a:solidFill>
        <a:ln w="12700">
          <a:solidFill>
            <a:srgbClr val="808080"/>
          </a:solidFill>
          <a:prstDash val="solid"/>
        </a:ln>
      </c:spPr>
    </c:plotArea>
    <c:legend>
      <c:legendPos val="r"/>
      <c:layout>
        <c:manualLayout>
          <c:xMode val="edge"/>
          <c:yMode val="edge"/>
          <c:x val="2.8355387523629491E-3"/>
          <c:y val="0.95259259259259255"/>
          <c:w val="0.99716446124763702"/>
          <c:h val="4.2962962962962981E-2"/>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strRef>
          <c:f>Translation!$C$64</c:f>
          <c:strCache>
            <c:ptCount val="1"/>
            <c:pt idx="0">
              <c:v>Graph for dry storage capacity at service points: (same schedule with different Maximum Stocks)</c:v>
            </c:pt>
          </c:strCache>
        </c:strRef>
      </c:tx>
      <c:layout>
        <c:manualLayout>
          <c:xMode val="edge"/>
          <c:yMode val="edge"/>
          <c:x val="0.13610586011342155"/>
          <c:y val="0"/>
        </c:manualLayout>
      </c:layout>
      <c:overlay val="0"/>
      <c:spPr>
        <a:noFill/>
        <a:ln w="25400">
          <a:noFill/>
        </a:ln>
      </c:spPr>
      <c:txPr>
        <a:bodyPr/>
        <a:lstStyle/>
        <a:p>
          <a:pPr>
            <a:defRPr sz="14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7.9395085066162566E-2"/>
          <c:y val="5.4814814814814816E-2"/>
          <c:w val="0.91020793950850665"/>
          <c:h val="0.7718518518518519"/>
        </c:manualLayout>
      </c:layout>
      <c:lineChart>
        <c:grouping val="standard"/>
        <c:varyColors val="0"/>
        <c:ser>
          <c:idx val="0"/>
          <c:order val="0"/>
          <c:tx>
            <c:strRef>
              <c:f>Abacus_Tables!$B$137</c:f>
              <c:strCache>
                <c:ptCount val="1"/>
                <c:pt idx="0">
                  <c:v>Current schedule @ 2 months MaxiStock</c:v>
                </c:pt>
              </c:strCache>
            </c:strRef>
          </c:tx>
          <c:spPr>
            <a:ln w="25400">
              <a:solidFill>
                <a:srgbClr val="FF0000"/>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Abacus_Tables!$C$137:$AB$137</c:f>
              <c:numCache>
                <c:formatCode>_-* #\ ##0.00_-;\-* #\ ##0.00_-;_-* "-"_-;_-@_-</c:formatCode>
                <c:ptCount val="26"/>
                <c:pt idx="0">
                  <c:v>1.9061429416666663E-3</c:v>
                </c:pt>
                <c:pt idx="1">
                  <c:v>5.7184288249999991E-3</c:v>
                </c:pt>
                <c:pt idx="2">
                  <c:v>9.5307147083333321E-3</c:v>
                </c:pt>
                <c:pt idx="3">
                  <c:v>1.3343000591666666E-2</c:v>
                </c:pt>
                <c:pt idx="4">
                  <c:v>1.7155286475E-2</c:v>
                </c:pt>
                <c:pt idx="5">
                  <c:v>2.0967572358333332E-2</c:v>
                </c:pt>
                <c:pt idx="6">
                  <c:v>2.4779858241666661E-2</c:v>
                </c:pt>
                <c:pt idx="7">
                  <c:v>2.8592144124999996E-2</c:v>
                </c:pt>
                <c:pt idx="8">
                  <c:v>3.2404430008333332E-2</c:v>
                </c:pt>
                <c:pt idx="9">
                  <c:v>3.6216715891666661E-2</c:v>
                </c:pt>
                <c:pt idx="10">
                  <c:v>4.0029001774999996E-2</c:v>
                </c:pt>
                <c:pt idx="11">
                  <c:v>4.3841287658333332E-2</c:v>
                </c:pt>
                <c:pt idx="12">
                  <c:v>4.7653573541666661E-2</c:v>
                </c:pt>
                <c:pt idx="13">
                  <c:v>5.1465859424999989E-2</c:v>
                </c:pt>
                <c:pt idx="14">
                  <c:v>5.5278145308333325E-2</c:v>
                </c:pt>
                <c:pt idx="15">
                  <c:v>5.9090431191666661E-2</c:v>
                </c:pt>
                <c:pt idx="16">
                  <c:v>6.2902717074999989E-2</c:v>
                </c:pt>
                <c:pt idx="17">
                  <c:v>6.6715002958333325E-2</c:v>
                </c:pt>
                <c:pt idx="18">
                  <c:v>7.052728884166666E-2</c:v>
                </c:pt>
                <c:pt idx="19">
                  <c:v>7.4339574724999996E-2</c:v>
                </c:pt>
                <c:pt idx="20">
                  <c:v>7.8151860608333318E-2</c:v>
                </c:pt>
                <c:pt idx="21">
                  <c:v>8.1964146491666653E-2</c:v>
                </c:pt>
                <c:pt idx="22">
                  <c:v>8.5776432374999989E-2</c:v>
                </c:pt>
                <c:pt idx="23">
                  <c:v>8.9588718258333311E-2</c:v>
                </c:pt>
                <c:pt idx="24">
                  <c:v>9.340100414166666E-2</c:v>
                </c:pt>
                <c:pt idx="25">
                  <c:v>9.7213290024999996E-2</c:v>
                </c:pt>
              </c:numCache>
            </c:numRef>
          </c:val>
          <c:smooth val="0"/>
          <c:extLst>
            <c:ext xmlns:c16="http://schemas.microsoft.com/office/drawing/2014/chart" uri="{C3380CC4-5D6E-409C-BE32-E72D297353CC}">
              <c16:uniqueId val="{00000000-E73F-7743-A308-2DFF48032D15}"/>
            </c:ext>
          </c:extLst>
        </c:ser>
        <c:ser>
          <c:idx val="1"/>
          <c:order val="1"/>
          <c:tx>
            <c:strRef>
              <c:f>Abacus_Tables!$B$138</c:f>
              <c:strCache>
                <c:ptCount val="1"/>
                <c:pt idx="0">
                  <c:v>Current schedule @ 3 months MaxiStock</c:v>
                </c:pt>
              </c:strCache>
            </c:strRef>
          </c:tx>
          <c:spPr>
            <a:ln w="25400">
              <a:solidFill>
                <a:srgbClr val="FF00FF"/>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Abacus_Tables!$C$138:$AB$138</c:f>
              <c:numCache>
                <c:formatCode>_-* #\ ##0.00_-;\-* #\ ##0.00_-;_-* "-"_-;_-@_-</c:formatCode>
                <c:ptCount val="26"/>
                <c:pt idx="0">
                  <c:v>2.8592144124999995E-3</c:v>
                </c:pt>
                <c:pt idx="1">
                  <c:v>8.5776432374999982E-3</c:v>
                </c:pt>
                <c:pt idx="2">
                  <c:v>1.4296072062499998E-2</c:v>
                </c:pt>
                <c:pt idx="3">
                  <c:v>2.0014500887499998E-2</c:v>
                </c:pt>
                <c:pt idx="4">
                  <c:v>2.5732929712499995E-2</c:v>
                </c:pt>
                <c:pt idx="5">
                  <c:v>3.1451358537499995E-2</c:v>
                </c:pt>
                <c:pt idx="6">
                  <c:v>3.7169787362499991E-2</c:v>
                </c:pt>
                <c:pt idx="7">
                  <c:v>4.2888216187499995E-2</c:v>
                </c:pt>
                <c:pt idx="8">
                  <c:v>4.8606645012499998E-2</c:v>
                </c:pt>
                <c:pt idx="9">
                  <c:v>5.4325073837499988E-2</c:v>
                </c:pt>
                <c:pt idx="10">
                  <c:v>6.0043502662499998E-2</c:v>
                </c:pt>
                <c:pt idx="11">
                  <c:v>6.5761931487499994E-2</c:v>
                </c:pt>
                <c:pt idx="12">
                  <c:v>7.1480360312500005E-2</c:v>
                </c:pt>
                <c:pt idx="13">
                  <c:v>7.7198789137499987E-2</c:v>
                </c:pt>
                <c:pt idx="14">
                  <c:v>8.2917217962499984E-2</c:v>
                </c:pt>
                <c:pt idx="15">
                  <c:v>8.8635646787499994E-2</c:v>
                </c:pt>
                <c:pt idx="16">
                  <c:v>9.4354075612500005E-2</c:v>
                </c:pt>
                <c:pt idx="17">
                  <c:v>0.10007250443749999</c:v>
                </c:pt>
                <c:pt idx="18">
                  <c:v>0.10579093326249998</c:v>
                </c:pt>
                <c:pt idx="19">
                  <c:v>0.11150936208749999</c:v>
                </c:pt>
                <c:pt idx="20">
                  <c:v>0.11722779091249998</c:v>
                </c:pt>
                <c:pt idx="21">
                  <c:v>0.12294621973749999</c:v>
                </c:pt>
                <c:pt idx="22">
                  <c:v>0.12866464856249998</c:v>
                </c:pt>
                <c:pt idx="23">
                  <c:v>0.13438307738749997</c:v>
                </c:pt>
                <c:pt idx="24">
                  <c:v>0.14010150621249998</c:v>
                </c:pt>
                <c:pt idx="25">
                  <c:v>0.14581993503749999</c:v>
                </c:pt>
              </c:numCache>
            </c:numRef>
          </c:val>
          <c:smooth val="0"/>
          <c:extLst>
            <c:ext xmlns:c16="http://schemas.microsoft.com/office/drawing/2014/chart" uri="{C3380CC4-5D6E-409C-BE32-E72D297353CC}">
              <c16:uniqueId val="{00000001-E73F-7743-A308-2DFF48032D15}"/>
            </c:ext>
          </c:extLst>
        </c:ser>
        <c:ser>
          <c:idx val="2"/>
          <c:order val="2"/>
          <c:tx>
            <c:strRef>
              <c:f>Abacus_Tables!$B$139</c:f>
              <c:strCache>
                <c:ptCount val="1"/>
                <c:pt idx="0">
                  <c:v>Current schedule @ 4 months MaxiStock</c:v>
                </c:pt>
              </c:strCache>
            </c:strRef>
          </c:tx>
          <c:spPr>
            <a:ln w="25400">
              <a:solidFill>
                <a:srgbClr val="0000FF"/>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Abacus_Tables!$C$139:$AB$139</c:f>
              <c:numCache>
                <c:formatCode>_-* #\ ##0.00_-;\-* #\ ##0.00_-;_-* "-"_-;_-@_-</c:formatCode>
                <c:ptCount val="26"/>
                <c:pt idx="0">
                  <c:v>3.8122858833333326E-3</c:v>
                </c:pt>
                <c:pt idx="1">
                  <c:v>1.1436857649999998E-2</c:v>
                </c:pt>
                <c:pt idx="2">
                  <c:v>1.9061429416666664E-2</c:v>
                </c:pt>
                <c:pt idx="3">
                  <c:v>2.6686001183333332E-2</c:v>
                </c:pt>
                <c:pt idx="4">
                  <c:v>3.431057295E-2</c:v>
                </c:pt>
                <c:pt idx="5">
                  <c:v>4.1935144716666664E-2</c:v>
                </c:pt>
                <c:pt idx="6">
                  <c:v>4.9559716483333321E-2</c:v>
                </c:pt>
                <c:pt idx="7">
                  <c:v>5.7184288249999993E-2</c:v>
                </c:pt>
                <c:pt idx="8">
                  <c:v>6.4808860016666664E-2</c:v>
                </c:pt>
                <c:pt idx="9">
                  <c:v>7.2433431783333321E-2</c:v>
                </c:pt>
                <c:pt idx="10">
                  <c:v>8.0058003549999993E-2</c:v>
                </c:pt>
                <c:pt idx="11">
                  <c:v>8.7682575316666664E-2</c:v>
                </c:pt>
                <c:pt idx="12">
                  <c:v>9.5307147083333321E-2</c:v>
                </c:pt>
                <c:pt idx="13">
                  <c:v>0.10293171884999998</c:v>
                </c:pt>
                <c:pt idx="14">
                  <c:v>0.11055629061666665</c:v>
                </c:pt>
                <c:pt idx="15">
                  <c:v>0.11818086238333332</c:v>
                </c:pt>
                <c:pt idx="16">
                  <c:v>0.12580543414999998</c:v>
                </c:pt>
                <c:pt idx="17">
                  <c:v>0.13343000591666665</c:v>
                </c:pt>
                <c:pt idx="18">
                  <c:v>0.14105457768333332</c:v>
                </c:pt>
                <c:pt idx="19">
                  <c:v>0.14867914944999999</c:v>
                </c:pt>
                <c:pt idx="20">
                  <c:v>0.15630372121666664</c:v>
                </c:pt>
                <c:pt idx="21">
                  <c:v>0.16392829298333331</c:v>
                </c:pt>
                <c:pt idx="22">
                  <c:v>0.17155286474999998</c:v>
                </c:pt>
                <c:pt idx="23">
                  <c:v>0.17917743651666662</c:v>
                </c:pt>
                <c:pt idx="24">
                  <c:v>0.18680200828333332</c:v>
                </c:pt>
                <c:pt idx="25">
                  <c:v>0.19442658004999999</c:v>
                </c:pt>
              </c:numCache>
            </c:numRef>
          </c:val>
          <c:smooth val="0"/>
          <c:extLst>
            <c:ext xmlns:c16="http://schemas.microsoft.com/office/drawing/2014/chart" uri="{C3380CC4-5D6E-409C-BE32-E72D297353CC}">
              <c16:uniqueId val="{00000002-E73F-7743-A308-2DFF48032D15}"/>
            </c:ext>
          </c:extLst>
        </c:ser>
        <c:ser>
          <c:idx val="3"/>
          <c:order val="3"/>
          <c:tx>
            <c:strRef>
              <c:f>Abacus_Tables!$B$140</c:f>
              <c:strCache>
                <c:ptCount val="1"/>
              </c:strCache>
            </c:strRef>
          </c:tx>
          <c:spPr>
            <a:ln w="25400">
              <a:solidFill>
                <a:srgbClr val="003300"/>
              </a:solidFill>
              <a:prstDash val="solid"/>
            </a:ln>
          </c:spPr>
          <c:marker>
            <c:symbol val="none"/>
          </c:marker>
          <c:cat>
            <c:multiLvlStrRef>
              <c:f>Abacus_Tables!$C$104:$AB$105</c:f>
              <c:multiLvlStrCache>
                <c:ptCount val="26"/>
                <c:lvl>
                  <c:pt idx="0">
                    <c:v> 1 000 </c:v>
                  </c:pt>
                  <c:pt idx="1">
                    <c:v> 3 000 </c:v>
                  </c:pt>
                  <c:pt idx="2">
                    <c:v> 5 000 </c:v>
                  </c:pt>
                  <c:pt idx="3">
                    <c:v> 7 000 </c:v>
                  </c:pt>
                  <c:pt idx="4">
                    <c:v> 9 000 </c:v>
                  </c:pt>
                  <c:pt idx="5">
                    <c:v> 11 000 </c:v>
                  </c:pt>
                  <c:pt idx="6">
                    <c:v> 13 000 </c:v>
                  </c:pt>
                  <c:pt idx="7">
                    <c:v> 15 000 </c:v>
                  </c:pt>
                  <c:pt idx="8">
                    <c:v> 17 000 </c:v>
                  </c:pt>
                  <c:pt idx="9">
                    <c:v> 19 000 </c:v>
                  </c:pt>
                  <c:pt idx="10">
                    <c:v> 21 000 </c:v>
                  </c:pt>
                  <c:pt idx="11">
                    <c:v> 23 000 </c:v>
                  </c:pt>
                  <c:pt idx="12">
                    <c:v> 25 000 </c:v>
                  </c:pt>
                  <c:pt idx="13">
                    <c:v> 27 000 </c:v>
                  </c:pt>
                  <c:pt idx="14">
                    <c:v> 29 000 </c:v>
                  </c:pt>
                  <c:pt idx="15">
                    <c:v> 31 000 </c:v>
                  </c:pt>
                  <c:pt idx="16">
                    <c:v> 33 000 </c:v>
                  </c:pt>
                  <c:pt idx="17">
                    <c:v> 35 000 </c:v>
                  </c:pt>
                  <c:pt idx="18">
                    <c:v> 37 000 </c:v>
                  </c:pt>
                  <c:pt idx="19">
                    <c:v> 39 000 </c:v>
                  </c:pt>
                  <c:pt idx="20">
                    <c:v> 41 000 </c:v>
                  </c:pt>
                  <c:pt idx="21">
                    <c:v> 43 000 </c:v>
                  </c:pt>
                  <c:pt idx="22">
                    <c:v> 45 000 </c:v>
                  </c:pt>
                  <c:pt idx="23">
                    <c:v> 47 000 </c:v>
                  </c:pt>
                  <c:pt idx="24">
                    <c:v> 49 000 </c:v>
                  </c:pt>
                  <c:pt idx="25">
                    <c:v> 51 000 </c:v>
                  </c:pt>
                </c:lvl>
                <c:lvl>
                  <c:pt idx="3">
                    <c:v>Total population</c:v>
                  </c:pt>
                </c:lvl>
              </c:multiLvlStrCache>
            </c:multiLvlStrRef>
          </c:cat>
          <c:val>
            <c:numRef>
              <c:f>Abacus_Tables!$C$140:$AB$140</c:f>
              <c:numCache>
                <c:formatCode>_-* #\ ##0.00_-;\-* #\ ##0.00_-;_-*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E73F-7743-A308-2DFF48032D15}"/>
            </c:ext>
          </c:extLst>
        </c:ser>
        <c:dLbls>
          <c:showLegendKey val="0"/>
          <c:showVal val="0"/>
          <c:showCatName val="0"/>
          <c:showSerName val="0"/>
          <c:showPercent val="0"/>
          <c:showBubbleSize val="0"/>
        </c:dLbls>
        <c:smooth val="0"/>
        <c:axId val="127264256"/>
        <c:axId val="127265792"/>
      </c:lineChart>
      <c:catAx>
        <c:axId val="127264256"/>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5400000" vert="horz"/>
          <a:lstStyle/>
          <a:p>
            <a:pPr>
              <a:defRPr sz="925" b="1" i="0" u="none" strike="noStrike" baseline="0">
                <a:solidFill>
                  <a:srgbClr val="000000"/>
                </a:solidFill>
                <a:latin typeface="Calibri"/>
                <a:ea typeface="Calibri"/>
                <a:cs typeface="Calibri"/>
              </a:defRPr>
            </a:pPr>
            <a:endParaRPr lang="fr-FR"/>
          </a:p>
        </c:txPr>
        <c:crossAx val="127265792"/>
        <c:crosses val="autoZero"/>
        <c:auto val="1"/>
        <c:lblAlgn val="ctr"/>
        <c:lblOffset val="100"/>
        <c:tickLblSkip val="1"/>
        <c:tickMarkSkip val="1"/>
        <c:noMultiLvlLbl val="0"/>
      </c:catAx>
      <c:valAx>
        <c:axId val="127265792"/>
        <c:scaling>
          <c:orientation val="minMax"/>
        </c:scaling>
        <c:delete val="0"/>
        <c:axPos val="l"/>
        <c:majorGridlines>
          <c:spPr>
            <a:ln w="3175">
              <a:solidFill>
                <a:srgbClr val="000000"/>
              </a:solidFill>
              <a:prstDash val="sysDash"/>
            </a:ln>
          </c:spPr>
        </c:majorGridlines>
        <c:title>
          <c:tx>
            <c:strRef>
              <c:f>Translation!$C$65</c:f>
              <c:strCache>
                <c:ptCount val="1"/>
                <c:pt idx="0">
                  <c:v>Net volume of safe injection supplies (m³)</c:v>
                </c:pt>
              </c:strCache>
            </c:strRef>
          </c:tx>
          <c:layout>
            <c:manualLayout>
              <c:xMode val="edge"/>
              <c:yMode val="edge"/>
              <c:x val="0"/>
              <c:y val="0.22518518518518518"/>
            </c:manualLayout>
          </c:layout>
          <c:overlay val="0"/>
          <c:spPr>
            <a:noFill/>
            <a:ln w="25400">
              <a:noFill/>
            </a:ln>
          </c:spPr>
          <c:txPr>
            <a:bodyPr/>
            <a:lstStyle/>
            <a:p>
              <a:pPr>
                <a:defRPr sz="1125" b="1" i="0" u="none" strike="noStrike" baseline="0">
                  <a:solidFill>
                    <a:srgbClr val="000000"/>
                  </a:solidFill>
                  <a:latin typeface="Calibri"/>
                  <a:ea typeface="Calibri"/>
                  <a:cs typeface="Calibri"/>
                </a:defRPr>
              </a:pPr>
              <a:endParaRPr lang="fr-FR"/>
            </a:p>
          </c:txPr>
        </c:title>
        <c:numFmt formatCode="_-* #\ ##0.00_-;\-* #\ ##0.00_-;_-* &quot;-&quot;_-;_-@_-" sourceLinked="1"/>
        <c:majorTickMark val="out"/>
        <c:minorTickMark val="none"/>
        <c:tickLblPos val="nextTo"/>
        <c:spPr>
          <a:ln w="3175">
            <a:solidFill>
              <a:srgbClr val="000000"/>
            </a:solidFill>
            <a:prstDash val="solid"/>
          </a:ln>
        </c:spPr>
        <c:txPr>
          <a:bodyPr rot="0" vert="horz"/>
          <a:lstStyle/>
          <a:p>
            <a:pPr>
              <a:defRPr sz="1025" b="1" i="0" u="none" strike="noStrike" baseline="0">
                <a:solidFill>
                  <a:srgbClr val="000000"/>
                </a:solidFill>
                <a:latin typeface="Calibri"/>
                <a:ea typeface="Calibri"/>
                <a:cs typeface="Calibri"/>
              </a:defRPr>
            </a:pPr>
            <a:endParaRPr lang="fr-FR"/>
          </a:p>
        </c:txPr>
        <c:crossAx val="127264256"/>
        <c:crosses val="autoZero"/>
        <c:crossBetween val="between"/>
      </c:valAx>
      <c:spPr>
        <a:solidFill>
          <a:srgbClr val="FFFFFF"/>
        </a:solidFill>
        <a:ln w="12700">
          <a:solidFill>
            <a:srgbClr val="808080"/>
          </a:solidFill>
          <a:prstDash val="solid"/>
        </a:ln>
      </c:spPr>
    </c:plotArea>
    <c:legend>
      <c:legendPos val="r"/>
      <c:layout>
        <c:manualLayout>
          <c:xMode val="edge"/>
          <c:yMode val="edge"/>
          <c:x val="9.3572778827977321E-2"/>
          <c:y val="0.9496296296296296"/>
          <c:w val="0.9045368620037807"/>
          <c:h val="4.2962962962962981E-2"/>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CCFFFF"/>
    </a:solidFill>
    <a:ln w="9525">
      <a:noFill/>
    </a:ln>
  </c:spPr>
  <c:txPr>
    <a:bodyPr/>
    <a:lstStyle/>
    <a:p>
      <a:pPr>
        <a:defRPr sz="1100" b="0" i="0" u="none" strike="noStrike" baseline="0">
          <a:solidFill>
            <a:srgbClr val="000000"/>
          </a:solidFill>
          <a:latin typeface="Arial"/>
          <a:ea typeface="Arial"/>
          <a:cs typeface="Arial"/>
        </a:defRPr>
      </a:pPr>
      <a:endParaRPr lang="fr-FR"/>
    </a:p>
  </c:txPr>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Calibri"/>
                <a:ea typeface="Calibri"/>
                <a:cs typeface="Calibri"/>
              </a:defRPr>
            </a:pPr>
            <a:r>
              <a:rPr lang="en-US"/>
              <a:t>Cost of WICR and WIFR</a:t>
            </a:r>
          </a:p>
        </c:rich>
      </c:tx>
      <c:layout>
        <c:manualLayout>
          <c:xMode val="edge"/>
          <c:yMode val="edge"/>
          <c:x val="0.40330920372285417"/>
          <c:y val="6.7796610169491523E-3"/>
        </c:manualLayout>
      </c:layout>
      <c:overlay val="0"/>
      <c:spPr>
        <a:noFill/>
        <a:ln w="25400">
          <a:noFill/>
        </a:ln>
      </c:spPr>
    </c:title>
    <c:autoTitleDeleted val="0"/>
    <c:plotArea>
      <c:layout>
        <c:manualLayout>
          <c:layoutTarget val="inner"/>
          <c:xMode val="edge"/>
          <c:yMode val="edge"/>
          <c:x val="8.9968976215098237E-2"/>
          <c:y val="7.6271186440677971E-2"/>
          <c:w val="0.88934850051706305"/>
          <c:h val="0.78813559322033899"/>
        </c:manualLayout>
      </c:layout>
      <c:scatterChart>
        <c:scatterStyle val="lineMarker"/>
        <c:varyColors val="0"/>
        <c:ser>
          <c:idx val="0"/>
          <c:order val="0"/>
          <c:tx>
            <c:strRef>
              <c:f>Supplies!$F$35</c:f>
              <c:strCache>
                <c:ptCount val="1"/>
                <c:pt idx="0">
                  <c:v>Cost of WICR</c:v>
                </c:pt>
              </c:strCache>
            </c:strRef>
          </c:tx>
          <c:spPr>
            <a:ln w="28575">
              <a:noFill/>
            </a:ln>
          </c:spPr>
          <c:marker>
            <c:symbol val="diamond"/>
            <c:size val="5"/>
            <c:spPr>
              <a:solidFill>
                <a:srgbClr val="000080"/>
              </a:solidFill>
              <a:ln>
                <a:solidFill>
                  <a:srgbClr val="000080"/>
                </a:solidFill>
                <a:prstDash val="solid"/>
              </a:ln>
            </c:spPr>
          </c:marker>
          <c:trendline>
            <c:spPr>
              <a:ln w="25400">
                <a:solidFill>
                  <a:srgbClr val="0000FF"/>
                </a:solidFill>
                <a:prstDash val="solid"/>
              </a:ln>
            </c:spPr>
            <c:trendlineType val="movingAvg"/>
            <c:period val="2"/>
            <c:dispRSqr val="0"/>
            <c:dispEq val="0"/>
          </c:trendline>
          <c:xVal>
            <c:numRef>
              <c:f>Supplies!$C$36:$C$46</c:f>
              <c:numCache>
                <c:formatCode>General</c:formatCode>
                <c:ptCount val="11"/>
                <c:pt idx="0">
                  <c:v>5</c:v>
                </c:pt>
                <c:pt idx="1">
                  <c:v>10</c:v>
                </c:pt>
                <c:pt idx="2">
                  <c:v>15</c:v>
                </c:pt>
                <c:pt idx="3">
                  <c:v>20</c:v>
                </c:pt>
                <c:pt idx="4">
                  <c:v>30</c:v>
                </c:pt>
                <c:pt idx="5">
                  <c:v>40</c:v>
                </c:pt>
                <c:pt idx="6">
                  <c:v>60</c:v>
                </c:pt>
                <c:pt idx="7">
                  <c:v>80</c:v>
                </c:pt>
                <c:pt idx="8">
                  <c:v>90</c:v>
                </c:pt>
                <c:pt idx="9">
                  <c:v>120</c:v>
                </c:pt>
                <c:pt idx="10">
                  <c:v>160</c:v>
                </c:pt>
              </c:numCache>
            </c:numRef>
          </c:xVal>
          <c:yVal>
            <c:numRef>
              <c:f>Supplies!$F$36:$F$46</c:f>
              <c:numCache>
                <c:formatCode>[$$-409]#\ ##0.00</c:formatCode>
                <c:ptCount val="11"/>
                <c:pt idx="0">
                  <c:v>29251.991999999995</c:v>
                </c:pt>
                <c:pt idx="1">
                  <c:v>39583.991999999998</c:v>
                </c:pt>
                <c:pt idx="2">
                  <c:v>43027.991999999998</c:v>
                </c:pt>
                <c:pt idx="3">
                  <c:v>46389.335999999996</c:v>
                </c:pt>
                <c:pt idx="4">
                  <c:v>54286.428</c:v>
                </c:pt>
                <c:pt idx="5">
                  <c:v>61735.799999999996</c:v>
                </c:pt>
                <c:pt idx="6">
                  <c:v>108125.136</c:v>
                </c:pt>
                <c:pt idx="7">
                  <c:v>123471.59999999999</c:v>
                </c:pt>
                <c:pt idx="8">
                  <c:v>162411.56400000001</c:v>
                </c:pt>
                <c:pt idx="9">
                  <c:v>185207.4</c:v>
                </c:pt>
                <c:pt idx="10">
                  <c:v>246943.19999999998</c:v>
                </c:pt>
              </c:numCache>
            </c:numRef>
          </c:yVal>
          <c:smooth val="0"/>
          <c:extLst>
            <c:ext xmlns:c16="http://schemas.microsoft.com/office/drawing/2014/chart" uri="{C3380CC4-5D6E-409C-BE32-E72D297353CC}">
              <c16:uniqueId val="{00000001-B626-BF41-B1C1-7A12E0810B35}"/>
            </c:ext>
          </c:extLst>
        </c:ser>
        <c:ser>
          <c:idx val="1"/>
          <c:order val="1"/>
          <c:tx>
            <c:strRef>
              <c:f>Supplies!$G$35</c:f>
              <c:strCache>
                <c:ptCount val="1"/>
                <c:pt idx="0">
                  <c:v>Cost of WIFR</c:v>
                </c:pt>
              </c:strCache>
            </c:strRef>
          </c:tx>
          <c:spPr>
            <a:ln w="28575">
              <a:noFill/>
            </a:ln>
          </c:spPr>
          <c:marker>
            <c:symbol val="square"/>
            <c:size val="5"/>
            <c:spPr>
              <a:solidFill>
                <a:srgbClr val="FF00FF"/>
              </a:solidFill>
              <a:ln>
                <a:solidFill>
                  <a:srgbClr val="FF00FF"/>
                </a:solidFill>
                <a:prstDash val="solid"/>
              </a:ln>
            </c:spPr>
          </c:marker>
          <c:trendline>
            <c:spPr>
              <a:ln w="25400">
                <a:solidFill>
                  <a:srgbClr val="FF00FF"/>
                </a:solidFill>
                <a:prstDash val="solid"/>
              </a:ln>
            </c:spPr>
            <c:trendlineType val="movingAvg"/>
            <c:period val="2"/>
            <c:dispRSqr val="0"/>
            <c:dispEq val="0"/>
          </c:trendline>
          <c:xVal>
            <c:numRef>
              <c:f>Supplies!$C$36:$C$46</c:f>
              <c:numCache>
                <c:formatCode>General</c:formatCode>
                <c:ptCount val="11"/>
                <c:pt idx="0">
                  <c:v>5</c:v>
                </c:pt>
                <c:pt idx="1">
                  <c:v>10</c:v>
                </c:pt>
                <c:pt idx="2">
                  <c:v>15</c:v>
                </c:pt>
                <c:pt idx="3">
                  <c:v>20</c:v>
                </c:pt>
                <c:pt idx="4">
                  <c:v>30</c:v>
                </c:pt>
                <c:pt idx="5">
                  <c:v>40</c:v>
                </c:pt>
                <c:pt idx="6">
                  <c:v>60</c:v>
                </c:pt>
                <c:pt idx="7">
                  <c:v>80</c:v>
                </c:pt>
                <c:pt idx="8">
                  <c:v>90</c:v>
                </c:pt>
                <c:pt idx="9">
                  <c:v>120</c:v>
                </c:pt>
                <c:pt idx="10">
                  <c:v>160</c:v>
                </c:pt>
              </c:numCache>
            </c:numRef>
          </c:xVal>
          <c:yVal>
            <c:numRef>
              <c:f>Supplies!$G$36:$G$46</c:f>
              <c:numCache>
                <c:formatCode>[$$-409]#\ ##0.00</c:formatCode>
                <c:ptCount val="11"/>
                <c:pt idx="0">
                  <c:v>36689.822400000005</c:v>
                </c:pt>
                <c:pt idx="1">
                  <c:v>49970.222399999999</c:v>
                </c:pt>
                <c:pt idx="2">
                  <c:v>54397.022400000002</c:v>
                </c:pt>
                <c:pt idx="3">
                  <c:v>58717.579199999993</c:v>
                </c:pt>
                <c:pt idx="4">
                  <c:v>68868.231599999985</c:v>
                </c:pt>
                <c:pt idx="5">
                  <c:v>78443.399999999994</c:v>
                </c:pt>
                <c:pt idx="6">
                  <c:v>137160.9792</c:v>
                </c:pt>
                <c:pt idx="7">
                  <c:v>156886.79999999999</c:v>
                </c:pt>
                <c:pt idx="8">
                  <c:v>206029.21079999994</c:v>
                </c:pt>
                <c:pt idx="9">
                  <c:v>235330.19999999998</c:v>
                </c:pt>
                <c:pt idx="10">
                  <c:v>313773.59999999998</c:v>
                </c:pt>
              </c:numCache>
            </c:numRef>
          </c:yVal>
          <c:smooth val="0"/>
          <c:extLst>
            <c:ext xmlns:c16="http://schemas.microsoft.com/office/drawing/2014/chart" uri="{C3380CC4-5D6E-409C-BE32-E72D297353CC}">
              <c16:uniqueId val="{00000003-B626-BF41-B1C1-7A12E0810B35}"/>
            </c:ext>
          </c:extLst>
        </c:ser>
        <c:dLbls>
          <c:showLegendKey val="0"/>
          <c:showVal val="0"/>
          <c:showCatName val="0"/>
          <c:showSerName val="0"/>
          <c:showPercent val="0"/>
          <c:showBubbleSize val="0"/>
        </c:dLbls>
        <c:axId val="74842496"/>
        <c:axId val="74844416"/>
      </c:scatterChart>
      <c:valAx>
        <c:axId val="74842496"/>
        <c:scaling>
          <c:orientation val="minMax"/>
        </c:scaling>
        <c:delete val="0"/>
        <c:axPos val="b"/>
        <c:title>
          <c:tx>
            <c:rich>
              <a:bodyPr/>
              <a:lstStyle/>
              <a:p>
                <a:pPr>
                  <a:defRPr sz="1200" b="1" i="0" u="none" strike="noStrike" baseline="0">
                    <a:solidFill>
                      <a:srgbClr val="000000"/>
                    </a:solidFill>
                    <a:latin typeface="Calibri"/>
                    <a:ea typeface="Calibri"/>
                    <a:cs typeface="Calibri"/>
                  </a:defRPr>
                </a:pPr>
                <a:r>
                  <a:rPr lang="en-US"/>
                  <a:t>Capacity, m3</a:t>
                </a:r>
              </a:p>
            </c:rich>
          </c:tx>
          <c:layout>
            <c:manualLayout>
              <c:xMode val="edge"/>
              <c:yMode val="edge"/>
              <c:x val="0.89141675284384692"/>
              <c:y val="0.9305084745762711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Calibri"/>
                <a:ea typeface="Calibri"/>
                <a:cs typeface="Calibri"/>
              </a:defRPr>
            </a:pPr>
            <a:endParaRPr lang="fr-FR"/>
          </a:p>
        </c:txPr>
        <c:crossAx val="74844416"/>
        <c:crosses val="autoZero"/>
        <c:crossBetween val="midCat"/>
      </c:valAx>
      <c:valAx>
        <c:axId val="74844416"/>
        <c:scaling>
          <c:orientation val="minMax"/>
        </c:scaling>
        <c:delete val="0"/>
        <c:axPos val="l"/>
        <c:majorGridlines>
          <c:spPr>
            <a:ln w="3175">
              <a:solidFill>
                <a:srgbClr val="000000"/>
              </a:solidFill>
              <a:prstDash val="solid"/>
            </a:ln>
          </c:spPr>
        </c:majorGridlines>
        <c:numFmt formatCode="[$$-409]#\ ##0.00" sourceLinked="1"/>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Calibri"/>
                <a:ea typeface="Calibri"/>
                <a:cs typeface="Calibri"/>
              </a:defRPr>
            </a:pPr>
            <a:endParaRPr lang="fr-FR"/>
          </a:p>
        </c:txPr>
        <c:crossAx val="74842496"/>
        <c:crosses val="autoZero"/>
        <c:crossBetween val="midCat"/>
      </c:valAx>
      <c:spPr>
        <a:solidFill>
          <a:srgbClr val="FFFFFF"/>
        </a:solidFill>
        <a:ln w="12700">
          <a:solidFill>
            <a:srgbClr val="808080"/>
          </a:solidFill>
          <a:prstDash val="solid"/>
        </a:ln>
      </c:spPr>
    </c:plotArea>
    <c:legend>
      <c:legendPos val="r"/>
      <c:layout>
        <c:manualLayout>
          <c:xMode val="edge"/>
          <c:yMode val="edge"/>
          <c:x val="9.2037228541882107E-2"/>
          <c:y val="0.94745762711864412"/>
          <c:w val="0.76938986556359878"/>
          <c:h val="4.9152542372881358E-2"/>
        </c:manualLayout>
      </c:layout>
      <c:overlay val="0"/>
      <c:spPr>
        <a:solidFill>
          <a:srgbClr val="FFFFFF"/>
        </a:solidFill>
        <a:ln w="3175">
          <a:solidFill>
            <a:srgbClr val="000000"/>
          </a:solidFill>
          <a:prstDash val="solid"/>
        </a:ln>
      </c:spPr>
      <c:txPr>
        <a:bodyPr/>
        <a:lstStyle/>
        <a:p>
          <a:pPr>
            <a:defRPr sz="925" b="1" i="0" u="none" strike="noStrike" baseline="0">
              <a:solidFill>
                <a:srgbClr val="000000"/>
              </a:solidFill>
              <a:latin typeface="Calibri"/>
              <a:ea typeface="Calibri"/>
              <a:cs typeface="Calibri"/>
            </a:defRPr>
          </a:pPr>
          <a:endParaRPr lang="fr-FR"/>
        </a:p>
      </c:txPr>
    </c:legend>
    <c:plotVisOnly val="1"/>
    <c:dispBlanksAs val="gap"/>
    <c:showDLblsOverMax val="0"/>
  </c:chart>
  <c:spPr>
    <a:solidFill>
      <a:srgbClr val="CCFFCC"/>
    </a:solidFill>
    <a:ln w="9525">
      <a:noFill/>
    </a:ln>
  </c:spPr>
  <c:txPr>
    <a:bodyPr/>
    <a:lstStyle/>
    <a:p>
      <a:pPr>
        <a:defRPr sz="1000" b="0" i="0" u="none" strike="noStrike" baseline="0">
          <a:solidFill>
            <a:srgbClr val="000000"/>
          </a:solidFill>
          <a:latin typeface="Arial"/>
          <a:ea typeface="Arial"/>
          <a:cs typeface="Arial"/>
        </a:defRPr>
      </a:pPr>
      <a:endParaRPr lang="fr-FR"/>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0.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2.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D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E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F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0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1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2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4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500-000000000000}">
  <sheetPr>
    <tabColor indexed="21"/>
  </sheetPr>
  <sheetViews>
    <sheetView zoomScale="98" workbookViewId="0"/>
  </sheetViews>
  <sheetProtection content="1" objects="1"/>
  <pageMargins left="0.31" right="0.24" top="0.68" bottom="0.44" header="0.24" footer="0.16"/>
  <pageSetup paperSize="9" orientation="landscape" r:id="rId1"/>
  <headerFooter alignWithMargins="0"/>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900-000000000000}">
  <sheetPr>
    <tabColor indexed="12"/>
  </sheetPr>
  <sheetViews>
    <sheetView zoomScale="98" workbookViewId="0"/>
  </sheetViews>
  <pageMargins left="0.75" right="0.75" top="1" bottom="1" header="0.5" footer="0.5"/>
  <pageSetup paperSize="9" orientation="landscape" r:id="rId1"/>
  <headerFooter alignWithMargins="0"/>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3</xdr:col>
      <xdr:colOff>714375</xdr:colOff>
      <xdr:row>23</xdr:row>
      <xdr:rowOff>66675</xdr:rowOff>
    </xdr:from>
    <xdr:to>
      <xdr:col>3</xdr:col>
      <xdr:colOff>2228850</xdr:colOff>
      <xdr:row>26</xdr:row>
      <xdr:rowOff>95250</xdr:rowOff>
    </xdr:to>
    <xdr:pic>
      <xdr:nvPicPr>
        <xdr:cNvPr id="23570" name="Picture 1" descr="WHO_logotype_white">
          <a:extLst>
            <a:ext uri="{FF2B5EF4-FFF2-40B4-BE49-F238E27FC236}">
              <a16:creationId xmlns:a16="http://schemas.microsoft.com/office/drawing/2014/main" id="{00000000-0008-0000-0000-0000125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71950" y="4124325"/>
          <a:ext cx="15144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2</xdr:row>
      <xdr:rowOff>95250</xdr:rowOff>
    </xdr:from>
    <xdr:to>
      <xdr:col>9</xdr:col>
      <xdr:colOff>133350</xdr:colOff>
      <xdr:row>24</xdr:row>
      <xdr:rowOff>38100</xdr:rowOff>
    </xdr:to>
    <xdr:graphicFrame macro="">
      <xdr:nvGraphicFramePr>
        <xdr:cNvPr id="24641" name="Chart 1">
          <a:extLst>
            <a:ext uri="{FF2B5EF4-FFF2-40B4-BE49-F238E27FC236}">
              <a16:creationId xmlns:a16="http://schemas.microsoft.com/office/drawing/2014/main" id="{00000000-0008-0000-0800-0000416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2</xdr:row>
      <xdr:rowOff>95250</xdr:rowOff>
    </xdr:from>
    <xdr:to>
      <xdr:col>17</xdr:col>
      <xdr:colOff>9525</xdr:colOff>
      <xdr:row>24</xdr:row>
      <xdr:rowOff>47625</xdr:rowOff>
    </xdr:to>
    <xdr:graphicFrame macro="">
      <xdr:nvGraphicFramePr>
        <xdr:cNvPr id="24642" name="Chart 2">
          <a:extLst>
            <a:ext uri="{FF2B5EF4-FFF2-40B4-BE49-F238E27FC236}">
              <a16:creationId xmlns:a16="http://schemas.microsoft.com/office/drawing/2014/main" id="{00000000-0008-0000-0800-0000426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219075</xdr:colOff>
      <xdr:row>24</xdr:row>
      <xdr:rowOff>114300</xdr:rowOff>
    </xdr:from>
    <xdr:to>
      <xdr:col>17</xdr:col>
      <xdr:colOff>28575</xdr:colOff>
      <xdr:row>46</xdr:row>
      <xdr:rowOff>104775</xdr:rowOff>
    </xdr:to>
    <xdr:graphicFrame macro="">
      <xdr:nvGraphicFramePr>
        <xdr:cNvPr id="24643" name="Chart 3">
          <a:extLst>
            <a:ext uri="{FF2B5EF4-FFF2-40B4-BE49-F238E27FC236}">
              <a16:creationId xmlns:a16="http://schemas.microsoft.com/office/drawing/2014/main" id="{00000000-0008-0000-0800-0000436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24</xdr:row>
      <xdr:rowOff>104775</xdr:rowOff>
    </xdr:from>
    <xdr:to>
      <xdr:col>9</xdr:col>
      <xdr:colOff>114300</xdr:colOff>
      <xdr:row>46</xdr:row>
      <xdr:rowOff>114300</xdr:rowOff>
    </xdr:to>
    <xdr:graphicFrame macro="">
      <xdr:nvGraphicFramePr>
        <xdr:cNvPr id="24644" name="Chart 5">
          <a:extLst>
            <a:ext uri="{FF2B5EF4-FFF2-40B4-BE49-F238E27FC236}">
              <a16:creationId xmlns:a16="http://schemas.microsoft.com/office/drawing/2014/main" id="{00000000-0008-0000-0800-0000446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2</xdr:row>
      <xdr:rowOff>95250</xdr:rowOff>
    </xdr:from>
    <xdr:to>
      <xdr:col>9</xdr:col>
      <xdr:colOff>133350</xdr:colOff>
      <xdr:row>22</xdr:row>
      <xdr:rowOff>76200</xdr:rowOff>
    </xdr:to>
    <xdr:graphicFrame macro="">
      <xdr:nvGraphicFramePr>
        <xdr:cNvPr id="29761" name="Chart 1">
          <a:extLst>
            <a:ext uri="{FF2B5EF4-FFF2-40B4-BE49-F238E27FC236}">
              <a16:creationId xmlns:a16="http://schemas.microsoft.com/office/drawing/2014/main" id="{00000000-0008-0000-0900-0000417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2</xdr:row>
      <xdr:rowOff>95250</xdr:rowOff>
    </xdr:from>
    <xdr:to>
      <xdr:col>17</xdr:col>
      <xdr:colOff>9525</xdr:colOff>
      <xdr:row>22</xdr:row>
      <xdr:rowOff>85725</xdr:rowOff>
    </xdr:to>
    <xdr:graphicFrame macro="">
      <xdr:nvGraphicFramePr>
        <xdr:cNvPr id="29762" name="Chart 2">
          <a:extLst>
            <a:ext uri="{FF2B5EF4-FFF2-40B4-BE49-F238E27FC236}">
              <a16:creationId xmlns:a16="http://schemas.microsoft.com/office/drawing/2014/main" id="{00000000-0008-0000-0900-0000427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219075</xdr:colOff>
      <xdr:row>23</xdr:row>
      <xdr:rowOff>19050</xdr:rowOff>
    </xdr:from>
    <xdr:to>
      <xdr:col>16</xdr:col>
      <xdr:colOff>561975</xdr:colOff>
      <xdr:row>43</xdr:row>
      <xdr:rowOff>104775</xdr:rowOff>
    </xdr:to>
    <xdr:graphicFrame macro="">
      <xdr:nvGraphicFramePr>
        <xdr:cNvPr id="29763" name="Chart 3">
          <a:extLst>
            <a:ext uri="{FF2B5EF4-FFF2-40B4-BE49-F238E27FC236}">
              <a16:creationId xmlns:a16="http://schemas.microsoft.com/office/drawing/2014/main" id="{00000000-0008-0000-0900-0000437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23</xdr:row>
      <xdr:rowOff>9525</xdr:rowOff>
    </xdr:from>
    <xdr:to>
      <xdr:col>9</xdr:col>
      <xdr:colOff>114300</xdr:colOff>
      <xdr:row>43</xdr:row>
      <xdr:rowOff>104775</xdr:rowOff>
    </xdr:to>
    <xdr:graphicFrame macro="">
      <xdr:nvGraphicFramePr>
        <xdr:cNvPr id="29764" name="Chart 5">
          <a:extLst>
            <a:ext uri="{FF2B5EF4-FFF2-40B4-BE49-F238E27FC236}">
              <a16:creationId xmlns:a16="http://schemas.microsoft.com/office/drawing/2014/main" id="{00000000-0008-0000-0900-0000447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xdr:wsDr xmlns:xdr="http://schemas.openxmlformats.org/drawingml/2006/spreadsheetDrawing" xmlns:a="http://schemas.openxmlformats.org/drawingml/2006/main">
  <xdr:absoluteAnchor>
    <xdr:pos x="0" y="0"/>
    <xdr:ext cx="10079005" cy="6434235"/>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xdr:wsDr xmlns:xdr="http://schemas.openxmlformats.org/drawingml/2006/spreadsheetDrawing" xmlns:a="http://schemas.openxmlformats.org/drawingml/2006/main">
  <xdr:twoCellAnchor>
    <xdr:from>
      <xdr:col>4</xdr:col>
      <xdr:colOff>0</xdr:colOff>
      <xdr:row>0</xdr:row>
      <xdr:rowOff>0</xdr:rowOff>
    </xdr:from>
    <xdr:to>
      <xdr:col>7</xdr:col>
      <xdr:colOff>0</xdr:colOff>
      <xdr:row>0</xdr:row>
      <xdr:rowOff>0</xdr:rowOff>
    </xdr:to>
    <xdr:sp macro="" textlink="">
      <xdr:nvSpPr>
        <xdr:cNvPr id="20554" name="Rectangle 1">
          <a:extLst>
            <a:ext uri="{FF2B5EF4-FFF2-40B4-BE49-F238E27FC236}">
              <a16:creationId xmlns:a16="http://schemas.microsoft.com/office/drawing/2014/main" id="{00000000-0008-0000-1600-00004A500000}"/>
            </a:ext>
          </a:extLst>
        </xdr:cNvPr>
        <xdr:cNvSpPr>
          <a:spLocks noChangeArrowheads="1"/>
        </xdr:cNvSpPr>
      </xdr:nvSpPr>
      <xdr:spPr bwMode="auto">
        <a:xfrm>
          <a:off x="3200400" y="0"/>
          <a:ext cx="2600325" cy="0"/>
        </a:xfrm>
        <a:prstGeom prst="rect">
          <a:avLst/>
        </a:prstGeom>
        <a:noFill/>
        <a:ln w="9525">
          <a:solidFill>
            <a:srgbClr val="000000"/>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val="FFFFFF"/>
              </a:solidFill>
            </a14:hiddenFill>
          </a:ext>
        </a:extLst>
      </xdr:spPr>
    </xdr:sp>
    <xdr:clientData/>
  </xdr:twoCellAnchor>
</xdr:wsDr>
</file>

<file path=xl/drawings/drawing17.xml><?xml version="1.0" encoding="utf-8"?>
<xdr:wsDr xmlns:xdr="http://schemas.openxmlformats.org/drawingml/2006/spreadsheetDrawing" xmlns:a="http://schemas.openxmlformats.org/drawingml/2006/main">
  <xdr:absoluteAnchor>
    <xdr:pos x="0" y="0"/>
    <xdr:ext cx="9213980" cy="5617806"/>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healthorg-my.sharepoint.com/The%20present/working%20on%20it%20now/EVM/EVM%20sidebar%20tool/Feedback%20March%2027-2010/EVM_sidebar_Tool_D3_0404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rldhealthorg-my.sharepoint.com/Documents%20and%20Settings/Andrew%20Garnett/My%20Documents/WHO%20documents/Tools/EVM_Assistant_Too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mary"/>
      <sheetName val="Vaccine_selection"/>
      <sheetName val="Analysis"/>
      <sheetName val="Volume_Inject"/>
      <sheetName val="Weight_Inject"/>
      <sheetName val="Grf_illustration"/>
      <sheetName val="Abacus_Positive_CCcap_PR_SN"/>
      <sheetName val="Abacus_Negative_CCcap_PR_SN"/>
      <sheetName val="Abacus_CCcapacity_LD_SP"/>
      <sheetName val="Abacus_DrySt"/>
      <sheetName val="Abacus_Transport_Volume"/>
      <sheetName val="Abacus_PassiveContainers"/>
      <sheetName val="Abacus_Icepack_Capacity"/>
      <sheetName val="Vaccine_database"/>
      <sheetName val="PQEquipment"/>
      <sheetName val="ColdBox_VaccineCarrier"/>
      <sheetName val="Transport"/>
      <sheetName val="Worksheet_A"/>
      <sheetName val="Worksheet_B"/>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ow r="9">
          <cell r="B9" t="str">
            <v>Vaccine</v>
          </cell>
        </row>
        <row r="10">
          <cell r="B10" t="str">
            <v>initials</v>
          </cell>
        </row>
        <row r="11">
          <cell r="B11" t="str">
            <v>BCG</v>
          </cell>
        </row>
        <row r="12">
          <cell r="B12" t="str">
            <v>BCG</v>
          </cell>
        </row>
        <row r="13">
          <cell r="B13" t="str">
            <v>BCG</v>
          </cell>
        </row>
        <row r="14">
          <cell r="B14" t="str">
            <v>BCG</v>
          </cell>
        </row>
        <row r="15">
          <cell r="B15" t="str">
            <v>BCG</v>
          </cell>
        </row>
        <row r="16">
          <cell r="B16" t="str">
            <v>BCG</v>
          </cell>
        </row>
        <row r="17">
          <cell r="B17" t="str">
            <v>BCG</v>
          </cell>
        </row>
        <row r="18">
          <cell r="B18" t="str">
            <v>DT</v>
          </cell>
        </row>
        <row r="19">
          <cell r="B19" t="str">
            <v>DT</v>
          </cell>
        </row>
        <row r="20">
          <cell r="B20" t="str">
            <v>DT-IPV</v>
          </cell>
        </row>
        <row r="21">
          <cell r="B21" t="str">
            <v>DTP</v>
          </cell>
        </row>
        <row r="22">
          <cell r="B22" t="str">
            <v>DTP</v>
          </cell>
        </row>
        <row r="23">
          <cell r="B23" t="str">
            <v>DTP+HepB</v>
          </cell>
        </row>
        <row r="24">
          <cell r="B24" t="str">
            <v>DTP+HepB</v>
          </cell>
        </row>
        <row r="25">
          <cell r="B25" t="str">
            <v>DTP+Hib</v>
          </cell>
        </row>
        <row r="26">
          <cell r="B26" t="str">
            <v>DTP+Hib</v>
          </cell>
        </row>
        <row r="27">
          <cell r="B27" t="str">
            <v>DTP+Hib</v>
          </cell>
        </row>
        <row r="28">
          <cell r="B28" t="str">
            <v>DTP+Hib</v>
          </cell>
        </row>
        <row r="29">
          <cell r="B29" t="str">
            <v>DTP+Hib</v>
          </cell>
        </row>
        <row r="30">
          <cell r="B30" t="str">
            <v>DTP+Hib</v>
          </cell>
        </row>
        <row r="31">
          <cell r="B31" t="str">
            <v>DTP-HepB</v>
          </cell>
        </row>
        <row r="32">
          <cell r="B32" t="str">
            <v>DTP-HepB</v>
          </cell>
        </row>
        <row r="33">
          <cell r="B33" t="str">
            <v>DTP-HepB</v>
          </cell>
        </row>
        <row r="34">
          <cell r="B34" t="str">
            <v>DTP-HepB</v>
          </cell>
        </row>
        <row r="35">
          <cell r="B35" t="str">
            <v>DTP-HepB</v>
          </cell>
        </row>
        <row r="36">
          <cell r="B36" t="str">
            <v>DTP-HepB</v>
          </cell>
        </row>
        <row r="37">
          <cell r="B37" t="str">
            <v>DTP-HepB</v>
          </cell>
        </row>
        <row r="38">
          <cell r="B38" t="str">
            <v>DTP-HepB</v>
          </cell>
        </row>
        <row r="39">
          <cell r="B39" t="str">
            <v>DTP-HepB</v>
          </cell>
        </row>
        <row r="40">
          <cell r="B40" t="str">
            <v>DTP-HepB</v>
          </cell>
        </row>
        <row r="41">
          <cell r="B41" t="str">
            <v>DTP-HepB</v>
          </cell>
        </row>
        <row r="42">
          <cell r="B42" t="str">
            <v>DTP-HepB</v>
          </cell>
        </row>
        <row r="43">
          <cell r="B43" t="str">
            <v>DTP-HepB</v>
          </cell>
        </row>
        <row r="44">
          <cell r="B44" t="str">
            <v>DTP-HepB</v>
          </cell>
        </row>
        <row r="45">
          <cell r="B45" t="str">
            <v>DTP-HepB+Hib</v>
          </cell>
        </row>
        <row r="46">
          <cell r="B46" t="str">
            <v>DTP-HepB+Hib</v>
          </cell>
        </row>
        <row r="47">
          <cell r="B47" t="str">
            <v>DTP-HepB+Hib</v>
          </cell>
        </row>
        <row r="48">
          <cell r="B48" t="str">
            <v>DTP-HepB+Hib</v>
          </cell>
        </row>
        <row r="49">
          <cell r="B49" t="str">
            <v>DTP-HepB+Hib</v>
          </cell>
        </row>
        <row r="50">
          <cell r="B50" t="str">
            <v>DTP-HepB+Hib</v>
          </cell>
        </row>
        <row r="51">
          <cell r="B51" t="str">
            <v>DTP-HepB-Hib</v>
          </cell>
        </row>
        <row r="52">
          <cell r="B52" t="str">
            <v>DTP-HepB-Hib</v>
          </cell>
        </row>
        <row r="53">
          <cell r="B53" t="str">
            <v>DTP-HepB-Hib</v>
          </cell>
        </row>
        <row r="54">
          <cell r="B54" t="str">
            <v>DTP-HepB-Hib</v>
          </cell>
        </row>
        <row r="55">
          <cell r="B55" t="str">
            <v>DTP-HepB-Hib</v>
          </cell>
        </row>
        <row r="56">
          <cell r="B56" t="str">
            <v>DTP-HepB-Hib</v>
          </cell>
        </row>
        <row r="57">
          <cell r="B57" t="str">
            <v>DTP-HepB-Hib</v>
          </cell>
        </row>
        <row r="58">
          <cell r="B58" t="str">
            <v>DTP-Hib</v>
          </cell>
        </row>
        <row r="59">
          <cell r="B59" t="str">
            <v>DTP-Hib</v>
          </cell>
        </row>
        <row r="60">
          <cell r="B60" t="str">
            <v>DTP-Hib</v>
          </cell>
        </row>
        <row r="61">
          <cell r="B61" t="str">
            <v>DTP-Hib</v>
          </cell>
        </row>
        <row r="62">
          <cell r="B62" t="str">
            <v>DTP-Hib</v>
          </cell>
        </row>
        <row r="63">
          <cell r="B63" t="str">
            <v>DTP-Hib</v>
          </cell>
        </row>
        <row r="64">
          <cell r="B64" t="str">
            <v>DTP-IPV+Hib</v>
          </cell>
        </row>
        <row r="65">
          <cell r="B65" t="str">
            <v>Influenza_A</v>
          </cell>
        </row>
        <row r="66">
          <cell r="B66" t="str">
            <v>Influenza_A</v>
          </cell>
        </row>
        <row r="67">
          <cell r="B67" t="str">
            <v>Influenza_A</v>
          </cell>
        </row>
        <row r="68">
          <cell r="B68" t="str">
            <v>Influenza_A</v>
          </cell>
        </row>
        <row r="69">
          <cell r="B69" t="str">
            <v>Influenza_A</v>
          </cell>
        </row>
        <row r="70">
          <cell r="B70" t="str">
            <v>Influenza_A</v>
          </cell>
        </row>
        <row r="71">
          <cell r="B71" t="str">
            <v>Influenza_A</v>
          </cell>
        </row>
        <row r="72">
          <cell r="B72" t="str">
            <v>HepA</v>
          </cell>
        </row>
        <row r="73">
          <cell r="B73" t="str">
            <v>HepB</v>
          </cell>
        </row>
        <row r="74">
          <cell r="B74" t="str">
            <v>HepB</v>
          </cell>
        </row>
        <row r="75">
          <cell r="B75" t="str">
            <v>HepB</v>
          </cell>
        </row>
        <row r="76">
          <cell r="B76" t="str">
            <v>HepB</v>
          </cell>
        </row>
        <row r="77">
          <cell r="B77" t="str">
            <v>HepB</v>
          </cell>
        </row>
        <row r="78">
          <cell r="B78" t="str">
            <v>HepB</v>
          </cell>
        </row>
        <row r="79">
          <cell r="B79" t="str">
            <v>HepB</v>
          </cell>
        </row>
        <row r="80">
          <cell r="B80" t="str">
            <v>HepB</v>
          </cell>
        </row>
        <row r="81">
          <cell r="B81" t="str">
            <v>HepB</v>
          </cell>
        </row>
        <row r="82">
          <cell r="B82" t="str">
            <v>HepB</v>
          </cell>
        </row>
        <row r="83">
          <cell r="B83" t="str">
            <v>HepB</v>
          </cell>
        </row>
        <row r="84">
          <cell r="B84" t="str">
            <v>HepB</v>
          </cell>
        </row>
        <row r="85">
          <cell r="B85" t="str">
            <v>HepB</v>
          </cell>
        </row>
        <row r="86">
          <cell r="B86" t="str">
            <v>HepB</v>
          </cell>
        </row>
        <row r="87">
          <cell r="B87" t="str">
            <v>HepB</v>
          </cell>
        </row>
        <row r="88">
          <cell r="B88" t="str">
            <v>HepB</v>
          </cell>
        </row>
        <row r="89">
          <cell r="B89" t="str">
            <v>HepB</v>
          </cell>
        </row>
        <row r="90">
          <cell r="B90" t="str">
            <v>HepB</v>
          </cell>
        </row>
        <row r="91">
          <cell r="B91" t="str">
            <v>HepB</v>
          </cell>
        </row>
        <row r="92">
          <cell r="B92" t="str">
            <v>HepB</v>
          </cell>
        </row>
        <row r="93">
          <cell r="B93" t="str">
            <v>HepB</v>
          </cell>
        </row>
        <row r="94">
          <cell r="B94" t="str">
            <v>HepB</v>
          </cell>
        </row>
        <row r="95">
          <cell r="B95" t="str">
            <v>HepB</v>
          </cell>
        </row>
        <row r="96">
          <cell r="B96" t="str">
            <v>HepB</v>
          </cell>
        </row>
        <row r="97">
          <cell r="B97" t="str">
            <v>HepB</v>
          </cell>
        </row>
        <row r="98">
          <cell r="B98" t="str">
            <v>HepB</v>
          </cell>
        </row>
        <row r="99">
          <cell r="B99" t="str">
            <v>HepB</v>
          </cell>
        </row>
        <row r="100">
          <cell r="B100" t="str">
            <v>HepB</v>
          </cell>
        </row>
        <row r="101">
          <cell r="B101" t="str">
            <v>HepB</v>
          </cell>
        </row>
        <row r="102">
          <cell r="B102" t="str">
            <v>HepB</v>
          </cell>
        </row>
        <row r="103">
          <cell r="B103" t="str">
            <v>HepB</v>
          </cell>
        </row>
        <row r="104">
          <cell r="B104" t="str">
            <v>HepB</v>
          </cell>
        </row>
        <row r="105">
          <cell r="B105" t="str">
            <v>HepB</v>
          </cell>
        </row>
        <row r="106">
          <cell r="B106" t="str">
            <v>HepB</v>
          </cell>
        </row>
        <row r="107">
          <cell r="B107" t="str">
            <v>HepB</v>
          </cell>
        </row>
        <row r="108">
          <cell r="B108" t="str">
            <v>HepB</v>
          </cell>
        </row>
        <row r="109">
          <cell r="B109" t="str">
            <v>HepB</v>
          </cell>
        </row>
        <row r="110">
          <cell r="B110" t="str">
            <v>HepB</v>
          </cell>
        </row>
        <row r="111">
          <cell r="B111" t="str">
            <v>HepB</v>
          </cell>
        </row>
        <row r="112">
          <cell r="B112" t="str">
            <v>HepB</v>
          </cell>
        </row>
        <row r="113">
          <cell r="B113" t="str">
            <v>HepB</v>
          </cell>
        </row>
        <row r="114">
          <cell r="B114" t="str">
            <v>HepB</v>
          </cell>
        </row>
        <row r="115">
          <cell r="B115" t="str">
            <v>HepB</v>
          </cell>
        </row>
        <row r="116">
          <cell r="B116" t="str">
            <v>Hib_liq</v>
          </cell>
        </row>
        <row r="117">
          <cell r="B117" t="str">
            <v>Hib_liq</v>
          </cell>
        </row>
        <row r="118">
          <cell r="B118" t="str">
            <v>Hib_liq</v>
          </cell>
        </row>
        <row r="119">
          <cell r="B119" t="str">
            <v>Hib_liq</v>
          </cell>
        </row>
        <row r="120">
          <cell r="B120" t="str">
            <v>Hib_liq</v>
          </cell>
        </row>
        <row r="121">
          <cell r="B121" t="str">
            <v>Hib_lyo</v>
          </cell>
        </row>
        <row r="122">
          <cell r="B122" t="str">
            <v>Hib_lyo</v>
          </cell>
        </row>
        <row r="123">
          <cell r="B123" t="str">
            <v>Hib_lyo</v>
          </cell>
        </row>
        <row r="124">
          <cell r="B124" t="str">
            <v>Hib_lyo</v>
          </cell>
        </row>
        <row r="125">
          <cell r="B125" t="str">
            <v>Hib_lyo</v>
          </cell>
        </row>
        <row r="126">
          <cell r="B126" t="str">
            <v>HPV</v>
          </cell>
        </row>
        <row r="127">
          <cell r="B127" t="str">
            <v>HPV</v>
          </cell>
        </row>
        <row r="128">
          <cell r="B128" t="str">
            <v>IPV</v>
          </cell>
        </row>
        <row r="129">
          <cell r="B129" t="str">
            <v>IPV</v>
          </cell>
        </row>
        <row r="130">
          <cell r="B130" t="str">
            <v>JE</v>
          </cell>
        </row>
        <row r="131">
          <cell r="B131" t="str">
            <v>JE</v>
          </cell>
        </row>
        <row r="132">
          <cell r="B132" t="str">
            <v>JE</v>
          </cell>
        </row>
        <row r="133">
          <cell r="B133" t="str">
            <v>JE</v>
          </cell>
        </row>
        <row r="134">
          <cell r="B134" t="str">
            <v>JE</v>
          </cell>
        </row>
        <row r="135">
          <cell r="B135" t="str">
            <v>JE</v>
          </cell>
        </row>
        <row r="136">
          <cell r="B136" t="str">
            <v>JE</v>
          </cell>
        </row>
        <row r="137">
          <cell r="B137" t="str">
            <v>JE</v>
          </cell>
        </row>
        <row r="138">
          <cell r="B138" t="str">
            <v>JE</v>
          </cell>
        </row>
        <row r="139">
          <cell r="B139" t="str">
            <v>Measles</v>
          </cell>
        </row>
        <row r="140">
          <cell r="B140" t="str">
            <v>Measles</v>
          </cell>
        </row>
        <row r="141">
          <cell r="B141" t="str">
            <v>Measles</v>
          </cell>
        </row>
        <row r="142">
          <cell r="B142" t="str">
            <v>Measles</v>
          </cell>
        </row>
        <row r="143">
          <cell r="B143" t="str">
            <v>Measles</v>
          </cell>
        </row>
        <row r="144">
          <cell r="B144" t="str">
            <v>Measles</v>
          </cell>
        </row>
        <row r="145">
          <cell r="B145" t="str">
            <v>Measles</v>
          </cell>
        </row>
        <row r="146">
          <cell r="B146" t="str">
            <v>Measles</v>
          </cell>
        </row>
        <row r="147">
          <cell r="B147" t="str">
            <v>Measles</v>
          </cell>
        </row>
        <row r="148">
          <cell r="B148" t="str">
            <v>Measles</v>
          </cell>
        </row>
        <row r="149">
          <cell r="B149" t="str">
            <v>Measles</v>
          </cell>
        </row>
        <row r="150">
          <cell r="B150" t="str">
            <v>Men A</v>
          </cell>
        </row>
        <row r="151">
          <cell r="B151" t="str">
            <v>MMR</v>
          </cell>
        </row>
        <row r="152">
          <cell r="B152" t="str">
            <v>MMR</v>
          </cell>
        </row>
        <row r="153">
          <cell r="B153" t="str">
            <v>MMR</v>
          </cell>
        </row>
        <row r="154">
          <cell r="B154" t="str">
            <v>mOPV1</v>
          </cell>
        </row>
        <row r="155">
          <cell r="B155" t="str">
            <v>mOPV1</v>
          </cell>
        </row>
        <row r="156">
          <cell r="B156" t="str">
            <v>mOPV3</v>
          </cell>
        </row>
        <row r="157">
          <cell r="B157" t="str">
            <v>MR</v>
          </cell>
        </row>
        <row r="158">
          <cell r="B158" t="str">
            <v>MV A&amp;C</v>
          </cell>
        </row>
        <row r="159">
          <cell r="B159" t="str">
            <v>MV A&amp;C</v>
          </cell>
        </row>
        <row r="160">
          <cell r="B160" t="str">
            <v>MV ACWY</v>
          </cell>
        </row>
        <row r="161">
          <cell r="B161" t="str">
            <v>OPV</v>
          </cell>
        </row>
        <row r="162">
          <cell r="B162" t="str">
            <v>OPV</v>
          </cell>
        </row>
        <row r="163">
          <cell r="B163" t="str">
            <v>PCV-7</v>
          </cell>
        </row>
        <row r="164">
          <cell r="B164" t="str">
            <v>PCV-13</v>
          </cell>
        </row>
        <row r="165">
          <cell r="B165" t="str">
            <v>PCV-xxx</v>
          </cell>
        </row>
        <row r="166">
          <cell r="B166" t="str">
            <v>PCV-xxx</v>
          </cell>
        </row>
        <row r="167">
          <cell r="B167" t="str">
            <v>PCV-xxx</v>
          </cell>
        </row>
        <row r="168">
          <cell r="B168" t="str">
            <v>Rabies</v>
          </cell>
        </row>
        <row r="169">
          <cell r="B169" t="str">
            <v>Rabies</v>
          </cell>
        </row>
        <row r="170">
          <cell r="B170" t="str">
            <v>Rabies</v>
          </cell>
        </row>
        <row r="171">
          <cell r="B171" t="str">
            <v>Rabies</v>
          </cell>
        </row>
        <row r="172">
          <cell r="B172" t="str">
            <v>Rota_liq</v>
          </cell>
        </row>
        <row r="173">
          <cell r="B173" t="str">
            <v>Rota_liq</v>
          </cell>
        </row>
        <row r="174">
          <cell r="B174" t="str">
            <v>Rota_liq</v>
          </cell>
        </row>
        <row r="175">
          <cell r="B175" t="str">
            <v>Rota_liq</v>
          </cell>
        </row>
        <row r="176">
          <cell r="B176" t="str">
            <v>Rota_liq</v>
          </cell>
        </row>
        <row r="177">
          <cell r="B177" t="str">
            <v>Rota_liq</v>
          </cell>
        </row>
        <row r="178">
          <cell r="B178" t="str">
            <v>Rota_liq</v>
          </cell>
        </row>
        <row r="179">
          <cell r="B179" t="str">
            <v>Rota_liq</v>
          </cell>
        </row>
        <row r="180">
          <cell r="B180" t="str">
            <v>Rota_lyo</v>
          </cell>
        </row>
        <row r="181">
          <cell r="B181" t="str">
            <v>Rota_lyo</v>
          </cell>
        </row>
        <row r="182">
          <cell r="B182" t="str">
            <v>Rota_lyo</v>
          </cell>
        </row>
        <row r="183">
          <cell r="B183" t="str">
            <v>Rota_lyo</v>
          </cell>
        </row>
        <row r="184">
          <cell r="B184" t="str">
            <v>Td</v>
          </cell>
        </row>
        <row r="185">
          <cell r="B185" t="str">
            <v>Td</v>
          </cell>
        </row>
        <row r="186">
          <cell r="B186" t="str">
            <v>TT</v>
          </cell>
        </row>
        <row r="187">
          <cell r="B187" t="str">
            <v>TT</v>
          </cell>
        </row>
        <row r="188">
          <cell r="B188" t="str">
            <v>TT</v>
          </cell>
        </row>
        <row r="189">
          <cell r="B189" t="str">
            <v>Typhim</v>
          </cell>
        </row>
        <row r="190">
          <cell r="B190" t="str">
            <v>YF</v>
          </cell>
        </row>
        <row r="191">
          <cell r="B191" t="str">
            <v>YF</v>
          </cell>
        </row>
        <row r="192">
          <cell r="B192" t="str">
            <v>YF</v>
          </cell>
        </row>
        <row r="193">
          <cell r="B193" t="str">
            <v>YF</v>
          </cell>
        </row>
        <row r="194">
          <cell r="B194" t="str">
            <v>YF</v>
          </cell>
        </row>
        <row r="195">
          <cell r="B195" t="str">
            <v>YF</v>
          </cell>
        </row>
        <row r="196">
          <cell r="B196" t="str">
            <v>YF</v>
          </cell>
        </row>
        <row r="197">
          <cell r="B197" t="str">
            <v>YF</v>
          </cell>
        </row>
        <row r="198">
          <cell r="B198" t="str">
            <v>YF</v>
          </cell>
        </row>
        <row r="199">
          <cell r="B199" t="str">
            <v>YF</v>
          </cell>
        </row>
        <row r="200">
          <cell r="B200" t="str">
            <v>YF</v>
          </cell>
        </row>
      </sheetData>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dex"/>
      <sheetName val="Translation"/>
      <sheetName val="Vaccine_select"/>
      <sheetName val="Facility_table"/>
      <sheetName val="Nomo_data"/>
      <sheetName val="Worksheet_A"/>
      <sheetName val="Worksheet_B"/>
      <sheetName val="Weight_inject"/>
      <sheetName val="Volume_inject"/>
      <sheetName val="Charts"/>
      <sheetName val="Nomogram_Positive_no_Polio"/>
      <sheetName val="Nomogram_Negative_Polio"/>
      <sheetName val="Nomogram_Positive_LD_SD"/>
      <sheetName val="Nomogram_DrySt"/>
      <sheetName val="Nomogram_Transport"/>
      <sheetName val="Nomogram_Passive"/>
      <sheetName val="Nomogram_Waterpacks"/>
      <sheetName val="Vaccine_database"/>
      <sheetName val="PQEquipment"/>
      <sheetName val="Passive_Containers"/>
      <sheetName val="Waterpacks"/>
      <sheetName val="Revision_history"/>
      <sheetName val="Country_dat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ow r="221">
          <cell r="B221" t="str">
            <v>BCG</v>
          </cell>
        </row>
      </sheetData>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who.int/immunization_standards/vaccine_quality/pq_253_dtp_hepb_hib_1dose_biologicale/en/index.html" TargetMode="External"/><Relationship Id="rId2" Type="http://schemas.openxmlformats.org/officeDocument/2006/relationships/hyperlink" Target="http://www.who.int/immunization_standards/vaccine_quality/pq_254_dtp_hepb_hib_10dose_biologicale/en/index.html" TargetMode="External"/><Relationship Id="rId1" Type="http://schemas.openxmlformats.org/officeDocument/2006/relationships/hyperlink" Target="http://www.who.int/immunization_standards/vaccine_quality/pq_250_cholera_1dose_shantha/en/index.html" TargetMode="External"/><Relationship Id="rId4"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43"/>
    <pageSetUpPr fitToPage="1"/>
  </sheetPr>
  <dimension ref="A1:Z48"/>
  <sheetViews>
    <sheetView showGridLines="0" tabSelected="1" workbookViewId="0">
      <selection activeCell="D18" sqref="D18"/>
    </sheetView>
  </sheetViews>
  <sheetFormatPr defaultColWidth="9.109375" defaultRowHeight="13.8"/>
  <cols>
    <col min="1" max="1" width="1.44140625" style="749" customWidth="1"/>
    <col min="2" max="2" width="5.6640625" style="108" customWidth="1"/>
    <col min="3" max="4" width="44.6640625" style="108" customWidth="1"/>
    <col min="5" max="5" width="44.6640625" style="749" customWidth="1"/>
    <col min="6" max="6" width="5.6640625" style="749" customWidth="1"/>
    <col min="7" max="7" width="2.109375" style="749" customWidth="1"/>
    <col min="8" max="25" width="9.109375" style="749"/>
    <col min="26" max="16384" width="9.109375" style="108"/>
  </cols>
  <sheetData>
    <row r="1" spans="1:25">
      <c r="B1" s="749"/>
      <c r="C1" s="749"/>
      <c r="D1" s="749"/>
    </row>
    <row r="2" spans="1:25">
      <c r="B2" s="750"/>
      <c r="C2" s="750"/>
      <c r="D2" s="750"/>
      <c r="E2" s="750"/>
      <c r="F2" s="750"/>
    </row>
    <row r="3" spans="1:25" ht="30" customHeight="1">
      <c r="B3" s="750"/>
      <c r="C3" s="763" t="str">
        <f>Translation!C90</f>
        <v>V A C C I N E   V O L U M E   C A L C U L A T O R</v>
      </c>
      <c r="D3" s="751"/>
      <c r="E3" s="751"/>
      <c r="F3" s="750"/>
    </row>
    <row r="4" spans="1:25" ht="13.2" customHeight="1">
      <c r="B4" s="750"/>
      <c r="C4" s="750"/>
      <c r="D4" s="750"/>
      <c r="E4" s="750"/>
      <c r="F4" s="750"/>
    </row>
    <row r="5" spans="1:25" ht="13.2" customHeight="1">
      <c r="B5" s="750"/>
      <c r="C5" s="750"/>
      <c r="D5" s="750"/>
      <c r="E5" s="750"/>
      <c r="F5" s="750"/>
    </row>
    <row r="6" spans="1:25" ht="13.2" customHeight="1">
      <c r="B6" s="750"/>
      <c r="C6" s="750"/>
      <c r="D6" s="750"/>
      <c r="E6" s="750"/>
      <c r="F6" s="750"/>
    </row>
    <row r="7" spans="1:25" ht="13.2" customHeight="1">
      <c r="B7" s="750"/>
      <c r="C7" s="750"/>
      <c r="D7" s="750"/>
      <c r="E7" s="750"/>
      <c r="F7" s="750"/>
    </row>
    <row r="8" spans="1:25" ht="13.2" customHeight="1">
      <c r="B8" s="750"/>
      <c r="C8" s="750"/>
      <c r="D8" s="750"/>
      <c r="E8" s="750"/>
      <c r="F8" s="750"/>
    </row>
    <row r="9" spans="1:25" ht="13.2" customHeight="1">
      <c r="B9" s="750"/>
      <c r="C9" s="750"/>
      <c r="D9" s="750"/>
      <c r="E9" s="750"/>
      <c r="F9" s="750"/>
    </row>
    <row r="10" spans="1:25" s="767" customFormat="1" ht="15.6">
      <c r="A10" s="764"/>
      <c r="B10" s="765"/>
      <c r="C10" s="766" t="str">
        <f>Translation!C91</f>
        <v>Country:</v>
      </c>
      <c r="D10" s="778" t="s">
        <v>425</v>
      </c>
      <c r="E10" s="765"/>
      <c r="F10" s="765"/>
      <c r="G10" s="764"/>
      <c r="H10" s="764"/>
      <c r="I10" s="764"/>
      <c r="J10" s="764"/>
      <c r="K10" s="764"/>
      <c r="L10" s="764"/>
      <c r="M10" s="764"/>
      <c r="N10" s="764"/>
      <c r="O10" s="764"/>
      <c r="P10" s="764"/>
      <c r="Q10" s="764"/>
      <c r="R10" s="764"/>
      <c r="S10" s="764"/>
      <c r="T10" s="764"/>
      <c r="U10" s="764"/>
      <c r="V10" s="764"/>
      <c r="W10" s="764"/>
      <c r="X10" s="764"/>
      <c r="Y10" s="764"/>
    </row>
    <row r="11" spans="1:25" s="706" customFormat="1" ht="13.2" customHeight="1">
      <c r="A11" s="753"/>
      <c r="B11" s="752"/>
      <c r="C11" s="752"/>
      <c r="D11" s="752"/>
      <c r="E11" s="752"/>
      <c r="F11" s="752"/>
      <c r="G11" s="753"/>
      <c r="H11" s="753"/>
      <c r="I11" s="753"/>
      <c r="J11" s="753"/>
      <c r="K11" s="753"/>
      <c r="L11" s="753"/>
      <c r="M11" s="753"/>
      <c r="N11" s="753"/>
      <c r="O11" s="753"/>
      <c r="P11" s="753"/>
      <c r="Q11" s="753"/>
      <c r="R11" s="753"/>
      <c r="S11" s="753"/>
      <c r="T11" s="753"/>
      <c r="U11" s="753"/>
      <c r="V11" s="753"/>
      <c r="W11" s="753"/>
      <c r="X11" s="753"/>
      <c r="Y11" s="753"/>
    </row>
    <row r="12" spans="1:25" s="767" customFormat="1" ht="15.6">
      <c r="A12" s="764"/>
      <c r="B12" s="765"/>
      <c r="C12" s="768" t="str">
        <f>Translation!C92</f>
        <v>Language:</v>
      </c>
      <c r="D12" s="781" t="s">
        <v>1532</v>
      </c>
      <c r="E12" s="765"/>
      <c r="F12" s="765"/>
      <c r="G12" s="764"/>
      <c r="H12" s="764"/>
      <c r="I12" s="764"/>
      <c r="J12" s="764"/>
      <c r="K12" s="764"/>
      <c r="L12" s="764"/>
      <c r="M12" s="764"/>
      <c r="N12" s="764"/>
      <c r="O12" s="764"/>
      <c r="P12" s="764"/>
      <c r="Q12" s="764"/>
      <c r="R12" s="764"/>
      <c r="S12" s="764"/>
      <c r="T12" s="764"/>
      <c r="U12" s="764"/>
      <c r="V12" s="764"/>
      <c r="W12" s="764"/>
      <c r="X12" s="764"/>
      <c r="Y12" s="764"/>
    </row>
    <row r="13" spans="1:25" s="706" customFormat="1" ht="13.2" customHeight="1">
      <c r="A13" s="753"/>
      <c r="B13" s="752"/>
      <c r="C13" s="752"/>
      <c r="D13" s="752"/>
      <c r="E13" s="752"/>
      <c r="F13" s="752"/>
      <c r="G13" s="753"/>
      <c r="H13" s="753"/>
      <c r="I13" s="753"/>
      <c r="J13" s="753"/>
      <c r="K13" s="753"/>
      <c r="L13" s="753"/>
      <c r="M13" s="753"/>
      <c r="N13" s="753"/>
      <c r="O13" s="753"/>
      <c r="P13" s="753"/>
      <c r="Q13" s="753"/>
      <c r="R13" s="753"/>
      <c r="S13" s="753"/>
      <c r="T13" s="753"/>
      <c r="U13" s="753"/>
      <c r="V13" s="753"/>
      <c r="W13" s="753"/>
      <c r="X13" s="753"/>
      <c r="Y13" s="753"/>
    </row>
    <row r="14" spans="1:25" s="767" customFormat="1" ht="15.6">
      <c r="A14" s="764"/>
      <c r="B14" s="765"/>
      <c r="C14" s="768" t="str">
        <f>Translation!C93</f>
        <v>Date:</v>
      </c>
      <c r="D14" s="780">
        <v>40919</v>
      </c>
      <c r="E14" s="765"/>
      <c r="F14" s="765"/>
      <c r="G14" s="764"/>
      <c r="H14" s="764"/>
      <c r="I14" s="764"/>
      <c r="J14" s="764"/>
      <c r="K14" s="764"/>
      <c r="L14" s="764"/>
      <c r="M14" s="764"/>
      <c r="N14" s="764"/>
      <c r="O14" s="764"/>
      <c r="P14" s="764"/>
      <c r="Q14" s="764"/>
      <c r="R14" s="764"/>
      <c r="S14" s="764"/>
      <c r="T14" s="764"/>
      <c r="U14" s="764"/>
      <c r="V14" s="764"/>
      <c r="W14" s="764"/>
      <c r="X14" s="764"/>
      <c r="Y14" s="764"/>
    </row>
    <row r="15" spans="1:25" s="706" customFormat="1" ht="13.2" customHeight="1">
      <c r="A15" s="753"/>
      <c r="B15" s="752"/>
      <c r="C15" s="754"/>
      <c r="D15" s="754"/>
      <c r="E15" s="752"/>
      <c r="F15" s="752"/>
      <c r="G15" s="753"/>
      <c r="H15" s="753"/>
      <c r="I15" s="753"/>
      <c r="J15" s="753"/>
      <c r="K15" s="753"/>
      <c r="L15" s="753"/>
      <c r="M15" s="753"/>
      <c r="N15" s="753"/>
      <c r="O15" s="753"/>
      <c r="P15" s="753"/>
      <c r="Q15" s="753"/>
      <c r="R15" s="753"/>
      <c r="S15" s="753"/>
      <c r="T15" s="753"/>
      <c r="U15" s="753"/>
      <c r="V15" s="753"/>
      <c r="W15" s="753"/>
      <c r="X15" s="753"/>
      <c r="Y15" s="753"/>
    </row>
    <row r="16" spans="1:25" s="706" customFormat="1" ht="13.2" customHeight="1">
      <c r="A16" s="753"/>
      <c r="B16" s="752"/>
      <c r="C16" s="752"/>
      <c r="D16" s="752"/>
      <c r="E16" s="752"/>
      <c r="F16" s="755"/>
      <c r="G16" s="753"/>
      <c r="H16" s="753"/>
      <c r="I16" s="753"/>
      <c r="J16" s="753"/>
      <c r="K16" s="753"/>
      <c r="L16" s="753"/>
      <c r="M16" s="753"/>
      <c r="N16" s="753"/>
      <c r="O16" s="753"/>
      <c r="P16" s="753"/>
      <c r="Q16" s="753"/>
      <c r="R16" s="753"/>
      <c r="S16" s="753"/>
      <c r="T16" s="753"/>
      <c r="U16" s="753"/>
      <c r="V16" s="753"/>
      <c r="W16" s="753"/>
      <c r="X16" s="753"/>
      <c r="Y16" s="753"/>
    </row>
    <row r="17" spans="2:6" ht="13.2" customHeight="1">
      <c r="B17" s="750"/>
      <c r="C17" s="750"/>
      <c r="D17" s="750"/>
      <c r="E17" s="750"/>
      <c r="F17" s="750"/>
    </row>
    <row r="18" spans="2:6" ht="13.2" customHeight="1">
      <c r="B18" s="750"/>
      <c r="C18" s="750"/>
      <c r="D18" s="756" t="str">
        <f>Translation!C94</f>
        <v>Click to index page</v>
      </c>
      <c r="E18" s="750"/>
      <c r="F18" s="750"/>
    </row>
    <row r="19" spans="2:6" ht="13.2" customHeight="1">
      <c r="B19" s="750"/>
      <c r="C19" s="750"/>
      <c r="D19" s="757"/>
      <c r="E19" s="750"/>
      <c r="F19" s="750"/>
    </row>
    <row r="20" spans="2:6" ht="13.2" customHeight="1">
      <c r="B20" s="750"/>
      <c r="C20" s="757"/>
      <c r="D20" s="758" t="str">
        <f>Translation!C95</f>
        <v>v 2012.1 - January 2012</v>
      </c>
      <c r="E20" s="750"/>
      <c r="F20" s="750"/>
    </row>
    <row r="21" spans="2:6" ht="13.2" customHeight="1">
      <c r="B21" s="759"/>
      <c r="C21" s="750"/>
      <c r="D21" s="759"/>
      <c r="E21" s="750"/>
      <c r="F21" s="750"/>
    </row>
    <row r="22" spans="2:6" ht="13.2" customHeight="1">
      <c r="B22" s="759"/>
      <c r="C22" s="750"/>
      <c r="D22" s="759"/>
      <c r="E22" s="750"/>
      <c r="F22" s="750"/>
    </row>
    <row r="23" spans="2:6" ht="13.2" customHeight="1">
      <c r="B23" s="759"/>
      <c r="C23" s="739"/>
      <c r="D23" s="760"/>
      <c r="E23" s="739"/>
      <c r="F23" s="750"/>
    </row>
    <row r="24" spans="2:6" ht="13.2" customHeight="1">
      <c r="B24" s="759"/>
      <c r="C24" s="739"/>
      <c r="D24" s="760"/>
      <c r="E24" s="739"/>
      <c r="F24" s="750"/>
    </row>
    <row r="25" spans="2:6" ht="13.2" customHeight="1">
      <c r="B25" s="759"/>
      <c r="C25" s="739"/>
      <c r="D25" s="760"/>
      <c r="E25" s="739"/>
      <c r="F25" s="750"/>
    </row>
    <row r="26" spans="2:6" ht="13.2" customHeight="1">
      <c r="B26" s="759"/>
      <c r="C26" s="739"/>
      <c r="D26" s="760"/>
      <c r="E26" s="739"/>
      <c r="F26" s="750"/>
    </row>
    <row r="27" spans="2:6" ht="13.2" customHeight="1">
      <c r="B27" s="759"/>
      <c r="C27" s="739"/>
      <c r="D27" s="760"/>
      <c r="E27" s="761" t="s">
        <v>2041</v>
      </c>
      <c r="F27" s="750"/>
    </row>
    <row r="28" spans="2:6" ht="13.2" customHeight="1">
      <c r="B28" s="759"/>
      <c r="C28" s="739"/>
      <c r="D28" s="760"/>
      <c r="E28" s="761"/>
      <c r="F28" s="750"/>
    </row>
    <row r="29" spans="2:6" ht="13.2" customHeight="1">
      <c r="B29" s="759"/>
      <c r="C29" s="750"/>
      <c r="D29" s="759"/>
      <c r="E29" s="750"/>
      <c r="F29" s="750"/>
    </row>
    <row r="30" spans="2:6">
      <c r="B30" s="749"/>
      <c r="C30" s="749"/>
      <c r="D30" s="762"/>
    </row>
    <row r="31" spans="2:6">
      <c r="B31" s="749"/>
      <c r="C31" s="749"/>
      <c r="D31" s="749"/>
    </row>
    <row r="32" spans="2:6">
      <c r="B32" s="749"/>
      <c r="C32" s="749"/>
      <c r="D32" s="749"/>
    </row>
    <row r="33" spans="26:26" s="749" customFormat="1">
      <c r="Z33" s="108"/>
    </row>
    <row r="34" spans="26:26" s="749" customFormat="1">
      <c r="Z34" s="108"/>
    </row>
    <row r="35" spans="26:26" s="749" customFormat="1">
      <c r="Z35" s="108"/>
    </row>
    <row r="36" spans="26:26" s="749" customFormat="1">
      <c r="Z36" s="108"/>
    </row>
    <row r="37" spans="26:26" s="749" customFormat="1">
      <c r="Z37" s="108"/>
    </row>
    <row r="38" spans="26:26" s="749" customFormat="1">
      <c r="Z38" s="108"/>
    </row>
    <row r="39" spans="26:26" s="749" customFormat="1">
      <c r="Z39" s="108"/>
    </row>
    <row r="40" spans="26:26" s="749" customFormat="1"/>
    <row r="41" spans="26:26" s="749" customFormat="1"/>
    <row r="42" spans="26:26" s="749" customFormat="1"/>
    <row r="43" spans="26:26" s="749" customFormat="1"/>
    <row r="44" spans="26:26" s="749" customFormat="1"/>
    <row r="45" spans="26:26" s="749" customFormat="1"/>
    <row r="46" spans="26:26" s="749" customFormat="1"/>
    <row r="47" spans="26:26" s="749" customFormat="1"/>
    <row r="48" spans="26:26" s="749" customFormat="1"/>
  </sheetData>
  <sheetProtection sheet="1" objects="1" scenarios="1"/>
  <protectedRanges>
    <protectedRange sqref="D10" name="Range1_1_1"/>
  </protectedRanges>
  <phoneticPr fontId="4" type="noConversion"/>
  <conditionalFormatting sqref="D10">
    <cfRule type="cellIs" dxfId="88" priority="1" stopIfTrue="1" operator="notEqual">
      <formula>""</formula>
    </cfRule>
  </conditionalFormatting>
  <dataValidations xWindow="1000" yWindow="268" count="2">
    <dataValidation type="list" allowBlank="1" showInputMessage="1" showErrorMessage="1" sqref="D10" xr:uid="{00000000-0002-0000-0000-000000000000}">
      <formula1>Country</formula1>
    </dataValidation>
    <dataValidation type="list" allowBlank="1" showInputMessage="1" showErrorMessage="1" sqref="D12" xr:uid="{00000000-0002-0000-0000-000001000000}">
      <formula1>Langues</formula1>
    </dataValidation>
  </dataValidations>
  <hyperlinks>
    <hyperlink ref="D18" location="Index!A1" display="Index!A1" xr:uid="{00000000-0004-0000-0000-000000000000}"/>
  </hyperlinks>
  <pageMargins left="0.75" right="0.75" top="1" bottom="1" header="0.5" footer="0.5"/>
  <pageSetup paperSize="9" scale="91" orientation="landscape" horizontalDpi="300" verticalDpi="300" r:id="rId1"/>
  <headerFooter alignWithMargins="0">
    <oddFooter>&amp;L&amp;8&amp;F, &amp;A&amp;C&amp;8&amp;P of &amp;N&amp;R&amp;8&amp;D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indexed="23"/>
  </sheetPr>
  <dimension ref="A1:D38"/>
  <sheetViews>
    <sheetView showGridLines="0" workbookViewId="0">
      <pane ySplit="7" topLeftCell="A26" activePane="bottomLeft" state="frozen"/>
      <selection activeCell="F29" sqref="B2:F29"/>
      <selection pane="bottomLeft"/>
    </sheetView>
  </sheetViews>
  <sheetFormatPr defaultColWidth="11.44140625" defaultRowHeight="13.2"/>
  <cols>
    <col min="1" max="1" width="3.6640625" style="12" customWidth="1"/>
    <col min="2" max="2" width="31.77734375" customWidth="1"/>
    <col min="3" max="3" width="121.6640625" customWidth="1"/>
    <col min="4" max="4" width="3.6640625" customWidth="1"/>
    <col min="5" max="5" width="1.109375" customWidth="1"/>
  </cols>
  <sheetData>
    <row r="1" spans="1:4" ht="7.95" customHeight="1">
      <c r="A1" s="45"/>
      <c r="B1" s="1"/>
      <c r="C1" s="1"/>
      <c r="D1" s="2"/>
    </row>
    <row r="2" spans="1:4" s="108" customFormat="1" ht="21">
      <c r="A2" s="735"/>
      <c r="B2" s="747" t="str">
        <f>Translation!C96</f>
        <v>Index and instructions</v>
      </c>
      <c r="C2" s="737"/>
      <c r="D2" s="748"/>
    </row>
    <row r="3" spans="1:4" ht="28.2" customHeight="1">
      <c r="B3" s="798" t="str">
        <f>Translation!C104</f>
        <v>1) The Vaccine Volume Calculator is used to estimate the net volume of vaccines and related supplies at each level in the supply chain. It can also be used to estimate the type of cold chain equipment needed for a specific target population. The effect of new vaccine introductions can be tested by comparing one or more of these against the current schedule.</v>
      </c>
      <c r="C3" s="798"/>
      <c r="D3" s="3"/>
    </row>
    <row r="4" spans="1:4">
      <c r="B4" s="798" t="str">
        <f>Translation!C105</f>
        <v>2) How to use the tool:</v>
      </c>
      <c r="C4" s="798"/>
      <c r="D4" s="3"/>
    </row>
    <row r="5" spans="1:4">
      <c r="B5" s="798" t="str">
        <f>Translation!C106</f>
        <v>STEP 1: Estimate net storage volume per recipient using the Vaccine_Selection worksheet.</v>
      </c>
      <c r="C5" s="798"/>
      <c r="D5" s="3"/>
    </row>
    <row r="6" spans="1:4">
      <c r="B6" s="798" t="str">
        <f>Translation!C107</f>
        <v>STEP 2: Use the Abacus_Tables worksheet to enter the data needed to generate graphs covering the range of target populations at each supply level.</v>
      </c>
      <c r="C6" s="798"/>
      <c r="D6" s="3"/>
    </row>
    <row r="7" spans="1:4">
      <c r="B7" s="798" t="str">
        <f>Translation!C108</f>
        <v>STEP 3: Use the graphs to read off the net storage volumes for a specific catchment population.  Then use these data to select appropriate cold chain equipment.</v>
      </c>
      <c r="C7" s="798"/>
      <c r="D7" s="3"/>
    </row>
    <row r="8" spans="1:4" s="773" customFormat="1" ht="18">
      <c r="A8" s="769"/>
      <c r="B8" s="770" t="str">
        <f>Translation!C99</f>
        <v>Data input sheets:</v>
      </c>
      <c r="C8" s="771"/>
      <c r="D8" s="772"/>
    </row>
    <row r="9" spans="1:4">
      <c r="A9" s="46"/>
      <c r="B9" s="194" t="str">
        <f ca="1">MID(D9,FIND("]",D9)+1,256)</f>
        <v>Vaccine_Selection</v>
      </c>
      <c r="C9" s="131" t="str">
        <f>Vaccine_Selection!B2</f>
        <v>Vaccine storage volumes</v>
      </c>
      <c r="D9" s="82" t="str">
        <f ca="1">CELL("filename",Vaccine_Selection!A$1)</f>
        <v>C:\Users\WHO\Downloads\[vaccine_volume_calculator_2012.xlsx]Vaccine_Selection</v>
      </c>
    </row>
    <row r="10" spans="1:4">
      <c r="A10" s="46"/>
      <c r="B10" s="198" t="str">
        <f ca="1">MID(D10,FIND("]",D10)+1,256)</f>
        <v>Abacus_Tables</v>
      </c>
      <c r="C10" s="131" t="str">
        <f>Abacus_Tables!B1</f>
        <v>Analysis of national and sub-national storage</v>
      </c>
      <c r="D10" s="82" t="str">
        <f ca="1">CELL("filename",Abacus_Tables!A$1)</f>
        <v>C:\Users\WHO\Downloads\[vaccine_volume_calculator_2012.xlsx]Abacus_Tables</v>
      </c>
    </row>
    <row r="11" spans="1:4" s="773" customFormat="1" ht="18">
      <c r="A11" s="769"/>
      <c r="B11" s="770" t="str">
        <f>Translation!C101</f>
        <v>Data output sheets: results of assessment of requirements per recipient</v>
      </c>
      <c r="C11" s="771"/>
      <c r="D11" s="774"/>
    </row>
    <row r="12" spans="1:4">
      <c r="A12" s="46"/>
      <c r="B12" s="194" t="str">
        <f ca="1">MID(D12,FIND("]",D12)+1,256)</f>
        <v>Volume_Inject</v>
      </c>
      <c r="C12" s="131" t="str">
        <f>Volume_Inject!$B$2</f>
        <v>Volume of diluents and safe injection equipment per recipient</v>
      </c>
      <c r="D12" s="82" t="str">
        <f ca="1">CELL("filename",Volume_Inject!A$1)</f>
        <v>C:\Users\WHO\Downloads\[vaccine_volume_calculator_2012.xlsx]Volume_Inject</v>
      </c>
    </row>
    <row r="13" spans="1:4">
      <c r="A13" s="46"/>
      <c r="B13" s="194" t="str">
        <f ca="1">MID(D13,FIND("]",D13)+1,256)</f>
        <v>Weight_Inject</v>
      </c>
      <c r="C13" s="131" t="str">
        <f>Weight_Inject!$B$2</f>
        <v>Weight of safe injection equipment per recipient</v>
      </c>
      <c r="D13" s="82" t="str">
        <f ca="1">CELL("filename",Weight_Inject!A$1)</f>
        <v>C:\Users\WHO\Downloads\[vaccine_volume_calculator_2012.xlsx]Weight_Inject</v>
      </c>
    </row>
    <row r="14" spans="1:4">
      <c r="A14" s="46"/>
      <c r="B14" s="194" t="str">
        <f ca="1">MID(D14,FIND("]",D14)+1,256)</f>
        <v>Qty_Waste</v>
      </c>
      <c r="C14" s="131" t="str">
        <f>Qty_Waste!$B$2</f>
        <v>Estimate of the amount of injection waste generated per recipient</v>
      </c>
      <c r="D14" s="82" t="str">
        <f ca="1">CELL("filename",Qty_Waste!A$1)</f>
        <v>C:\Users\WHO\Downloads\[vaccine_volume_calculator_2012.xlsx]Qty_Waste</v>
      </c>
    </row>
    <row r="15" spans="1:4">
      <c r="A15" s="46"/>
      <c r="B15" s="194" t="str">
        <f ca="1">MID(D15,FIND("]",D15)+1,256)</f>
        <v>Cost_Supplies</v>
      </c>
      <c r="C15" s="131" t="str">
        <f>Cost_Supplies!$B$2</f>
        <v>Cost of vaccines and safe injection equipment per recipient</v>
      </c>
      <c r="D15" s="82" t="str">
        <f ca="1">CELL("filename",Cost_Supplies!A$1)</f>
        <v>C:\Users\WHO\Downloads\[vaccine_volume_calculator_2012.xlsx]Cost_Supplies</v>
      </c>
    </row>
    <row r="16" spans="1:4" s="773" customFormat="1" ht="18">
      <c r="A16" s="769"/>
      <c r="B16" s="770" t="str">
        <f>Translation!C100</f>
        <v>Data output sheets: graphical illustration of results</v>
      </c>
      <c r="C16" s="771"/>
      <c r="D16" s="774"/>
    </row>
    <row r="17" spans="1:4">
      <c r="A17" s="114"/>
      <c r="B17" s="194" t="str">
        <f ca="1">MID(D17,FIND("]",D17)+1,256)</f>
        <v>Routine_illustration</v>
      </c>
      <c r="C17" s="131" t="str">
        <f>Routine_illustration!B2</f>
        <v>Illustration of results from analysis of vaccines used in routine vaccination</v>
      </c>
      <c r="D17" s="82" t="str">
        <f ca="1">CELL("filename",Routine_illustration!A$1)</f>
        <v>C:\Users\WHO\Downloads\[vaccine_volume_calculator_2012.xlsx]Routine_illustration</v>
      </c>
    </row>
    <row r="18" spans="1:4">
      <c r="A18" s="114"/>
      <c r="B18" s="194" t="str">
        <f ca="1">MID(D18,FIND("]",D18)+1,256)</f>
        <v>SIAs_illustration</v>
      </c>
      <c r="C18" s="131" t="str">
        <f>SIAs_illustration!B2</f>
        <v>Illustration of results from analysis of vaccines planned for vaccination campaign</v>
      </c>
      <c r="D18" s="82" t="str">
        <f ca="1">CELL("filename",SIAs_illustration!A$1)</f>
        <v>C:\Users\WHO\Downloads\[vaccine_volume_calculator_2012.xlsx]SIAs_illustration</v>
      </c>
    </row>
    <row r="19" spans="1:4" s="773" customFormat="1" ht="18">
      <c r="A19" s="769"/>
      <c r="B19" s="770" t="str">
        <f>Translation!C102</f>
        <v>Graphs</v>
      </c>
      <c r="C19" s="771"/>
      <c r="D19" s="774"/>
    </row>
    <row r="20" spans="1:4">
      <c r="A20" s="46"/>
      <c r="B20" s="299" t="s">
        <v>1229</v>
      </c>
      <c r="C20" s="131" t="str">
        <f>Translation!D30</f>
        <v>Graph for cold storage capacity at national and sub-national stores - @ +5°C: (different schedules with same Maximum Stock)</v>
      </c>
      <c r="D20" s="82"/>
    </row>
    <row r="21" spans="1:4">
      <c r="A21" s="46"/>
      <c r="B21" s="299" t="s">
        <v>1230</v>
      </c>
      <c r="C21" s="131" t="str">
        <f>Translation!D32</f>
        <v>Graph for cold storage capacity at national and sub-national stores - @ +5°C: (same schedule with different Maximum Stocks)</v>
      </c>
      <c r="D21" s="82"/>
    </row>
    <row r="22" spans="1:4">
      <c r="A22" s="46"/>
      <c r="B22" s="299" t="s">
        <v>1231</v>
      </c>
      <c r="C22" s="131" t="str">
        <f>Translation!D48</f>
        <v>Graph for cold storage capacity at district stores - @ +5°C: (different schedules with same Maximum Stock)</v>
      </c>
      <c r="D22" s="82"/>
    </row>
    <row r="23" spans="1:4">
      <c r="A23" s="46"/>
      <c r="B23" s="299" t="s">
        <v>1232</v>
      </c>
      <c r="C23" s="131" t="str">
        <f>Translation!D50</f>
        <v>Graph for cold storage capacity at district stores - @ +5°C: (same schedule with different Maximum Stocks)</v>
      </c>
      <c r="D23" s="82"/>
    </row>
    <row r="24" spans="1:4">
      <c r="A24" s="46"/>
      <c r="B24" s="299" t="s">
        <v>1233</v>
      </c>
      <c r="C24" s="131" t="str">
        <f>Translation!D58</f>
        <v>Graph for cold storage capacity at service points - @ +5°C: (different schedules with same Maximum Stock)</v>
      </c>
      <c r="D24" s="82"/>
    </row>
    <row r="25" spans="1:4">
      <c r="A25" s="46"/>
      <c r="B25" s="299" t="s">
        <v>1234</v>
      </c>
      <c r="C25" s="131" t="str">
        <f>Translation!D60</f>
        <v>Graph for cold storage capacity at service points - @ +5°C: (same schedule with different Maximum Stocks)</v>
      </c>
      <c r="D25" s="82"/>
    </row>
    <row r="26" spans="1:4">
      <c r="A26" s="46"/>
      <c r="B26" s="299" t="s">
        <v>1450</v>
      </c>
      <c r="C26" s="131" t="str">
        <f>Translation!D34</f>
        <v>Graph for dry storage capacity at national and sub-national stores: (different schedules with same Maximum Stock)</v>
      </c>
      <c r="D26" s="82"/>
    </row>
    <row r="27" spans="1:4">
      <c r="A27" s="46"/>
      <c r="B27" s="299" t="s">
        <v>1451</v>
      </c>
      <c r="C27" s="131" t="str">
        <f>Translation!D36</f>
        <v>Graph for dry storage capacity at national and sub-national stores: (same schedule with different Maximum Stocks)</v>
      </c>
      <c r="D27" s="82"/>
    </row>
    <row r="28" spans="1:4">
      <c r="A28" s="46"/>
      <c r="B28" s="299" t="s">
        <v>1452</v>
      </c>
      <c r="C28" s="131" t="str">
        <f>Translation!D52</f>
        <v>Graph for dry storage capacity at district stores: (different schedules with same Maximum Stock)</v>
      </c>
      <c r="D28" s="82"/>
    </row>
    <row r="29" spans="1:4">
      <c r="A29" s="46"/>
      <c r="B29" s="299" t="s">
        <v>1453</v>
      </c>
      <c r="C29" s="131" t="str">
        <f>Translation!D54</f>
        <v>Graph for dry storage capacity at district stores: (same schedule with different Maximum Stocks)</v>
      </c>
      <c r="D29" s="82"/>
    </row>
    <row r="30" spans="1:4">
      <c r="A30" s="46"/>
      <c r="B30" s="299" t="s">
        <v>1454</v>
      </c>
      <c r="C30" s="131" t="str">
        <f>Translation!D62</f>
        <v>Graph for dry storage capacity at service points (different schedules with same Maximum Stock)</v>
      </c>
      <c r="D30" s="82"/>
    </row>
    <row r="31" spans="1:4">
      <c r="A31" s="46"/>
      <c r="B31" s="299" t="s">
        <v>1455</v>
      </c>
      <c r="C31" s="131" t="str">
        <f>Translation!D64</f>
        <v>Graph for dry storage capacity at service points: (same schedule with different Maximum Stocks)</v>
      </c>
      <c r="D31" s="82"/>
    </row>
    <row r="32" spans="1:4" s="773" customFormat="1" ht="18">
      <c r="A32" s="769"/>
      <c r="B32" s="770" t="str">
        <f>Translation!C103</f>
        <v>Sheets with reference data:</v>
      </c>
      <c r="C32" s="771"/>
      <c r="D32" s="774"/>
    </row>
    <row r="33" spans="1:4">
      <c r="A33" s="46"/>
      <c r="B33" s="193" t="str">
        <f ca="1">MID(D33,FIND("]",D33)+1,256)</f>
        <v>Vaccine_database</v>
      </c>
      <c r="C33" s="131" t="str">
        <f>Vaccine_database!B1</f>
        <v>Vaccine database</v>
      </c>
      <c r="D33" s="82" t="str">
        <f ca="1">CELL("filename",Vaccine_database!B$1)</f>
        <v>C:\Users\WHO\Downloads\[vaccine_volume_calculator_2012.xlsx]Vaccine_database</v>
      </c>
    </row>
    <row r="34" spans="1:4">
      <c r="A34" s="46"/>
      <c r="B34" s="194" t="str">
        <f ca="1">MID(D34,FIND("]",D34)+1,256)</f>
        <v>Supplies</v>
      </c>
      <c r="C34" s="131" t="str">
        <f>Supplies!B2</f>
        <v>Safe injection supplies and cold chain equipment</v>
      </c>
      <c r="D34" s="82" t="str">
        <f ca="1">CELL("filename",Supplies!A$1)</f>
        <v>C:\Users\WHO\Downloads\[vaccine_volume_calculator_2012.xlsx]Supplies</v>
      </c>
    </row>
    <row r="35" spans="1:4">
      <c r="A35" s="46"/>
      <c r="B35" s="611" t="s">
        <v>1181</v>
      </c>
      <c r="C35" s="131" t="str">
        <f>PQEquipment!B1</f>
        <v>Refrigerator and freezer database</v>
      </c>
      <c r="D35" s="82"/>
    </row>
    <row r="36" spans="1:4">
      <c r="A36" s="46"/>
      <c r="B36" s="194" t="str">
        <f ca="1">MID(D36,FIND("]",D36)+1,256)</f>
        <v>Passive_containers</v>
      </c>
      <c r="C36" s="131" t="str">
        <f>Passive_containers!B1</f>
        <v>Passive container database</v>
      </c>
      <c r="D36" s="82" t="str">
        <f ca="1">CELL("filename",Passive_containers!B2)</f>
        <v>C:\Users\WHO\Downloads\[vaccine_volume_calculator_2012.xlsx]Passive_containers</v>
      </c>
    </row>
    <row r="37" spans="1:4">
      <c r="A37" s="46"/>
      <c r="B37" s="194" t="str">
        <f ca="1">MID(D37,FIND("]",D37)+1,256)</f>
        <v>Translation</v>
      </c>
      <c r="C37" s="131" t="str">
        <f>Translation!B1</f>
        <v>Translation</v>
      </c>
      <c r="D37" s="82" t="str">
        <f ca="1">CELL("filename",Translation!A1)</f>
        <v>C:\Users\WHO\Downloads\[vaccine_volume_calculator_2012.xlsx]Translation</v>
      </c>
    </row>
    <row r="38" spans="1:4" s="5" customFormat="1" ht="11.4">
      <c r="A38" s="12"/>
    </row>
  </sheetData>
  <sheetProtection sheet="1" objects="1" scenarios="1"/>
  <mergeCells count="5">
    <mergeCell ref="B6:C6"/>
    <mergeCell ref="B7:C7"/>
    <mergeCell ref="B3:C3"/>
    <mergeCell ref="B4:C4"/>
    <mergeCell ref="B5:C5"/>
  </mergeCells>
  <phoneticPr fontId="0" type="noConversion"/>
  <hyperlinks>
    <hyperlink ref="B36" location="Passive_containers!B1" display="Passive_containers!B1" xr:uid="{00000000-0004-0000-0100-000000000000}"/>
    <hyperlink ref="B34" location="supplies!A1" display="supplies!A1" xr:uid="{00000000-0004-0000-0100-000001000000}"/>
    <hyperlink ref="B33" location="Vaccine_database!A1" display="Vaccine_database" xr:uid="{00000000-0004-0000-0100-000002000000}"/>
    <hyperlink ref="B18" location="SIAs_illustration!B1" display="SIAs_illustration!B1" xr:uid="{00000000-0004-0000-0100-000003000000}"/>
    <hyperlink ref="B12" location="Volume_Inject!A1" display="Volume_Inject!A1" xr:uid="{00000000-0004-0000-0100-000004000000}"/>
    <hyperlink ref="B13" location="Weight_Inject!A1" display="Weight_Inject!A1" xr:uid="{00000000-0004-0000-0100-000005000000}"/>
    <hyperlink ref="B14" location="Qty_Waste!A1" display="Qty_Waste!A1" xr:uid="{00000000-0004-0000-0100-000006000000}"/>
    <hyperlink ref="B15" location="Cost_Supplies!A1" display="Cost_Supplies!A1" xr:uid="{00000000-0004-0000-0100-000007000000}"/>
    <hyperlink ref="B17" location="routine_illustration!B1" display="routine_illustration!B1" xr:uid="{00000000-0004-0000-0100-000008000000}"/>
    <hyperlink ref="B9" location="Vaccine_Selection!B1" display="Vaccine_Selection!B1" xr:uid="{00000000-0004-0000-0100-000009000000}"/>
    <hyperlink ref="B37" location="Translation!A1" display="Translation!A1" xr:uid="{00000000-0004-0000-0100-00000A000000}"/>
    <hyperlink ref="B10" location="Abacus_Tables!B1" display="Abacus_Tables!B1" xr:uid="{00000000-0004-0000-0100-00000B000000}"/>
    <hyperlink ref="B35" location="PQEquipment!B1" display="PQEquipment!B1" xr:uid="{00000000-0004-0000-0100-00000C000000}"/>
  </hyperlinks>
  <printOptions horizontalCentered="1"/>
  <pageMargins left="0.19685039370078741" right="0.15748031496062992" top="0.27559055118110237" bottom="0.39370078740157483" header="0.15748031496062992" footer="0.19685039370078741"/>
  <pageSetup paperSize="9" orientation="landscape" r:id="rId1"/>
  <headerFooter alignWithMargins="0">
    <oddFooter>&amp;L&amp;8&amp;F&amp;A, Rev.Jan07&amp;R&amp;8WHO/IVB/EPI Logistics docs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indexed="43"/>
  </sheetPr>
  <dimension ref="A1:AC49"/>
  <sheetViews>
    <sheetView showGridLines="0" zoomScaleNormal="90" workbookViewId="0">
      <pane xSplit="1" ySplit="16" topLeftCell="B17" activePane="bottomRight" state="frozen"/>
      <selection activeCell="F29" sqref="B2:F29"/>
      <selection pane="topRight" activeCell="F29" sqref="B2:F29"/>
      <selection pane="bottomLeft" activeCell="F29" sqref="B2:F29"/>
      <selection pane="bottomRight" activeCell="F20" sqref="F20"/>
    </sheetView>
  </sheetViews>
  <sheetFormatPr defaultColWidth="8.77734375" defaultRowHeight="13.2"/>
  <cols>
    <col min="1" max="1" width="0.77734375" customWidth="1"/>
    <col min="2" max="2" width="15.6640625" customWidth="1"/>
    <col min="3" max="3" width="13.6640625" customWidth="1"/>
    <col min="4" max="5" width="9.6640625" customWidth="1"/>
    <col min="6" max="6" width="9.77734375" customWidth="1"/>
    <col min="7" max="7" width="9.6640625" customWidth="1"/>
    <col min="8" max="8" width="7.109375" customWidth="1"/>
    <col min="9" max="12" width="7.6640625" customWidth="1"/>
    <col min="13" max="17" width="6.33203125" customWidth="1"/>
    <col min="18" max="18" width="0.77734375" style="129" customWidth="1"/>
    <col min="19" max="21" width="6.33203125" customWidth="1"/>
    <col min="22" max="23" width="9.6640625" customWidth="1"/>
    <col min="24" max="24" width="0.77734375" customWidth="1"/>
    <col min="25" max="29" width="6.6640625" customWidth="1"/>
    <col min="30" max="30" width="1.109375" customWidth="1"/>
  </cols>
  <sheetData>
    <row r="1" spans="1:29" s="5" customFormat="1" ht="6" customHeight="1">
      <c r="R1" s="147"/>
    </row>
    <row r="2" spans="1:29" s="108" customFormat="1" ht="21">
      <c r="A2" s="735"/>
      <c r="B2" s="736" t="str">
        <f>Translation!C311</f>
        <v>Vaccine storage volumes</v>
      </c>
      <c r="C2" s="737"/>
      <c r="D2" s="738"/>
      <c r="E2" s="739"/>
      <c r="F2" s="739"/>
      <c r="G2" s="739"/>
      <c r="H2" s="739"/>
      <c r="I2" s="739"/>
      <c r="J2" s="739"/>
      <c r="K2" s="739"/>
      <c r="L2" s="739"/>
      <c r="M2" s="739"/>
      <c r="N2" s="739"/>
      <c r="O2" s="739"/>
      <c r="P2" s="739"/>
      <c r="Q2" s="739"/>
      <c r="R2" s="739"/>
      <c r="S2" s="739"/>
      <c r="T2" s="739"/>
      <c r="U2" s="739"/>
      <c r="V2" s="714" t="str">
        <f>Translation!C109</f>
        <v>Index</v>
      </c>
      <c r="W2" s="739"/>
      <c r="X2" s="739"/>
      <c r="Y2" s="739"/>
      <c r="Z2" s="739"/>
      <c r="AA2" s="739"/>
      <c r="AB2" s="739"/>
      <c r="AC2" s="739"/>
    </row>
    <row r="3" spans="1:29" s="155" customFormat="1" ht="5.55" customHeight="1">
      <c r="A3" s="154"/>
      <c r="C3" s="154"/>
      <c r="D3" s="154"/>
      <c r="E3" s="154"/>
      <c r="F3" s="154"/>
      <c r="G3" s="154"/>
      <c r="H3" s="154"/>
      <c r="I3" s="154"/>
      <c r="J3" s="154"/>
      <c r="K3" s="154"/>
      <c r="L3" s="154"/>
      <c r="M3" s="154"/>
      <c r="N3" s="154"/>
      <c r="P3" s="156"/>
    </row>
    <row r="4" spans="1:29" s="161" customFormat="1" ht="4.95" customHeight="1">
      <c r="A4" s="157"/>
      <c r="B4" s="158"/>
      <c r="C4" s="159"/>
      <c r="D4" s="159"/>
      <c r="E4" s="158"/>
      <c r="F4" s="158"/>
      <c r="G4" s="158"/>
      <c r="H4" s="158"/>
      <c r="I4" s="159"/>
      <c r="J4" s="159"/>
      <c r="K4" s="159"/>
      <c r="L4" s="159"/>
      <c r="M4" s="159"/>
      <c r="N4" s="159"/>
      <c r="O4" s="158"/>
      <c r="P4" s="160"/>
      <c r="Q4" s="160"/>
      <c r="R4" s="160"/>
      <c r="S4" s="160"/>
      <c r="T4" s="160"/>
      <c r="U4" s="160"/>
      <c r="V4" s="160"/>
      <c r="W4" s="160"/>
      <c r="X4" s="226"/>
      <c r="Y4" s="158"/>
      <c r="Z4" s="158"/>
      <c r="AA4" s="158"/>
      <c r="AB4" s="158"/>
      <c r="AC4" s="158"/>
    </row>
    <row r="5" spans="1:29" s="161" customFormat="1" ht="24" customHeight="1">
      <c r="A5" s="157"/>
      <c r="B5" s="158" t="str">
        <f>Translation!C317</f>
        <v>STEP 1: Choose vaccine filter:</v>
      </c>
      <c r="C5" s="159"/>
      <c r="D5" s="792" t="s">
        <v>1396</v>
      </c>
      <c r="E5" s="803" t="str">
        <f>Translation!C328</f>
        <v xml:space="preserve">    WARNING: The packed volume for each vaccine presentation differs between manufacturers. Select 'Min/Max/Average' depending upon whether you want to use the minimum, maximum or 
     average packed volume per vaccine presentation from the vaccine database.</v>
      </c>
      <c r="F5" s="804"/>
      <c r="G5" s="804"/>
      <c r="H5" s="804"/>
      <c r="I5" s="804"/>
      <c r="J5" s="804"/>
      <c r="K5" s="804"/>
      <c r="L5" s="804"/>
      <c r="M5" s="804"/>
      <c r="N5" s="804"/>
      <c r="O5" s="804"/>
      <c r="P5" s="804"/>
      <c r="Q5" s="804"/>
      <c r="R5" s="804"/>
      <c r="S5" s="804"/>
      <c r="T5" s="804"/>
      <c r="U5" s="804"/>
      <c r="V5" s="804"/>
      <c r="W5" s="805"/>
      <c r="X5" s="806"/>
      <c r="Y5" s="806"/>
      <c r="Z5" s="806"/>
      <c r="AA5" s="806"/>
      <c r="AB5" s="806"/>
      <c r="AC5" s="806"/>
    </row>
    <row r="6" spans="1:29" s="161" customFormat="1">
      <c r="A6" s="157"/>
      <c r="B6" s="158" t="str">
        <f>Translation!C318</f>
        <v>STEP 2: Choose applicable vaccine types and presentations from the vaccine database.  Optionally, enter volume/dose data for vaccine types that are not in the database.</v>
      </c>
      <c r="C6" s="159"/>
      <c r="D6" s="159"/>
      <c r="E6" s="158"/>
      <c r="F6" s="158"/>
      <c r="G6" s="158"/>
      <c r="H6" s="158"/>
      <c r="I6" s="159"/>
      <c r="J6" s="159"/>
      <c r="K6" s="159"/>
      <c r="L6" s="159"/>
      <c r="M6" s="159"/>
      <c r="N6" s="159"/>
      <c r="O6" s="158"/>
      <c r="P6" s="160"/>
      <c r="Q6" s="160"/>
      <c r="R6" s="160"/>
      <c r="S6" s="160"/>
      <c r="T6" s="160"/>
      <c r="U6" s="160"/>
      <c r="V6" s="160"/>
      <c r="W6" s="160"/>
      <c r="X6" s="226"/>
      <c r="Y6" s="158"/>
      <c r="Z6" s="158"/>
      <c r="AA6" s="158"/>
      <c r="AB6" s="158"/>
      <c r="AC6" s="158"/>
    </row>
    <row r="7" spans="1:29" s="161" customFormat="1">
      <c r="A7" s="157"/>
      <c r="B7" s="158" t="str">
        <f>Translation!C319</f>
        <v>STEP 3: Indicate country-specific wastage rates for each vaccine. If there no national data, WHO/GAVI indicative rates will apply.</v>
      </c>
      <c r="C7" s="159"/>
      <c r="D7" s="159"/>
      <c r="E7" s="159"/>
      <c r="F7" s="159"/>
      <c r="G7" s="159"/>
      <c r="H7" s="159"/>
      <c r="I7" s="159"/>
      <c r="J7" s="159"/>
      <c r="K7" s="159"/>
      <c r="L7" s="159"/>
      <c r="M7" s="159"/>
      <c r="N7" s="159"/>
      <c r="O7" s="158"/>
      <c r="P7" s="160"/>
      <c r="Q7" s="160"/>
      <c r="R7" s="160"/>
      <c r="S7" s="160"/>
      <c r="T7" s="160"/>
      <c r="U7" s="160"/>
      <c r="V7" s="160"/>
      <c r="W7" s="160"/>
      <c r="X7" s="226"/>
      <c r="Y7" s="158"/>
      <c r="Z7" s="158"/>
      <c r="AA7" s="158"/>
      <c r="AB7" s="158"/>
      <c r="AC7" s="158"/>
    </row>
    <row r="8" spans="1:29" s="161" customFormat="1">
      <c r="A8" s="157"/>
      <c r="B8" s="158" t="str">
        <f>Translation!C320</f>
        <v xml:space="preserve">STEP 4: Choose target group type: </v>
      </c>
      <c r="C8" s="159"/>
      <c r="D8" s="159"/>
      <c r="E8" s="799" t="s">
        <v>1107</v>
      </c>
      <c r="F8" s="800"/>
      <c r="G8" s="170" t="str">
        <f>Translation!C316</f>
        <v xml:space="preserve">     Choose 'FIC' (Fully Immunized Child) or choose 'Unit of Population' (UP) for an analysis based on percentage of total population receiving each vaccine.</v>
      </c>
      <c r="H8" s="159"/>
      <c r="I8" s="159"/>
      <c r="J8" s="159"/>
      <c r="K8" s="159"/>
      <c r="L8" s="159"/>
      <c r="M8" s="159"/>
      <c r="N8" s="159"/>
      <c r="O8" s="158"/>
      <c r="P8" s="160"/>
      <c r="Q8" s="160"/>
      <c r="R8" s="160"/>
      <c r="S8" s="160"/>
      <c r="T8" s="160"/>
      <c r="U8" s="160"/>
      <c r="V8" s="160"/>
      <c r="W8" s="160"/>
      <c r="X8" s="226"/>
      <c r="Y8" s="158"/>
      <c r="Z8" s="158"/>
      <c r="AA8" s="158"/>
      <c r="AB8" s="158"/>
      <c r="AC8" s="779" t="str">
        <f>IF(E8=target1,target1,"")</f>
        <v/>
      </c>
    </row>
    <row r="9" spans="1:29" s="161" customFormat="1">
      <c r="A9" s="157"/>
      <c r="B9" s="158" t="str">
        <f>Translation!C321</f>
        <v>STEP 5: If you chosen 'Unit of Population' in step 5, enter the Unit of Population % for each vaccine in cells L18 to L37. Otherwise go to STEP 6.</v>
      </c>
      <c r="C9" s="159"/>
      <c r="D9" s="159"/>
      <c r="E9" s="159"/>
      <c r="F9" s="159"/>
      <c r="G9" s="159"/>
      <c r="H9" s="159"/>
      <c r="I9" s="159"/>
      <c r="J9" s="159"/>
      <c r="K9" s="159"/>
      <c r="L9" s="159"/>
      <c r="M9" s="159"/>
      <c r="N9" s="159"/>
      <c r="O9" s="158"/>
      <c r="P9" s="160"/>
      <c r="Q9" s="160"/>
      <c r="R9" s="160"/>
      <c r="S9" s="160"/>
      <c r="T9" s="160"/>
      <c r="U9" s="160"/>
      <c r="V9" s="160"/>
      <c r="W9" s="160"/>
      <c r="X9" s="226"/>
      <c r="Y9" s="158"/>
      <c r="Z9" s="158"/>
      <c r="AA9" s="158"/>
      <c r="AB9" s="158"/>
      <c r="AC9" s="158"/>
    </row>
    <row r="10" spans="1:29" s="17" customFormat="1">
      <c r="B10" s="158" t="str">
        <f>Translation!C322</f>
        <v>STEP 6: In column M, enter the number of doses per recipient for vaccines in the current schedule. Optionally use columns N to Q for alternative schedules.  In cells N17 to Q17 enter a title for each schedule.</v>
      </c>
      <c r="C10" s="162"/>
      <c r="D10" s="162"/>
      <c r="E10" s="162"/>
      <c r="F10" s="162"/>
      <c r="G10" s="162"/>
      <c r="H10" s="163"/>
      <c r="I10" s="162"/>
      <c r="J10" s="162"/>
      <c r="K10" s="162"/>
      <c r="L10" s="164"/>
      <c r="M10" s="162"/>
      <c r="N10" s="162"/>
      <c r="O10" s="162"/>
      <c r="P10" s="165"/>
      <c r="Q10" s="165"/>
      <c r="R10" s="165"/>
      <c r="S10" s="165"/>
      <c r="T10" s="165"/>
      <c r="U10" s="165"/>
      <c r="V10" s="165"/>
      <c r="W10" s="165"/>
      <c r="X10" s="226"/>
      <c r="Y10" s="162"/>
      <c r="Z10" s="162"/>
      <c r="AA10" s="162"/>
      <c r="AB10" s="162"/>
      <c r="AC10" s="162"/>
    </row>
    <row r="11" spans="1:29" s="17" customFormat="1">
      <c r="B11" s="158" t="str">
        <f>Translation!C323</f>
        <v>STEP 7: Use columns S to U to enter the number of doses per recipient for planned mass vaccination campaigns.  In cells S17 to U17 enter a title for each schedule.</v>
      </c>
      <c r="C11" s="162"/>
      <c r="D11" s="162"/>
      <c r="E11" s="162"/>
      <c r="F11" s="162"/>
      <c r="G11" s="162"/>
      <c r="H11" s="163"/>
      <c r="I11" s="162"/>
      <c r="J11" s="162"/>
      <c r="K11" s="166"/>
      <c r="L11" s="162"/>
      <c r="M11" s="162"/>
      <c r="N11" s="162"/>
      <c r="O11" s="162"/>
      <c r="P11" s="162"/>
      <c r="Q11" s="162"/>
      <c r="R11" s="162"/>
      <c r="S11" s="162"/>
      <c r="T11" s="162"/>
      <c r="U11" s="162"/>
      <c r="V11" s="162"/>
      <c r="W11" s="162"/>
      <c r="X11" s="226"/>
      <c r="Y11" s="162"/>
      <c r="Z11" s="162"/>
      <c r="AA11" s="162"/>
      <c r="AB11" s="162"/>
      <c r="AC11" s="162"/>
    </row>
    <row r="12" spans="1:29" s="17" customFormat="1">
      <c r="B12" s="158" t="str">
        <f>Translation!C324</f>
        <v>STEP 8: For each vaccine, enter the maximum supply interval and the safety stock level at the primary store.</v>
      </c>
      <c r="C12" s="167"/>
      <c r="D12" s="167"/>
      <c r="E12" s="168"/>
      <c r="F12" s="168"/>
      <c r="G12" s="168"/>
      <c r="H12" s="163"/>
      <c r="I12" s="162"/>
      <c r="J12" s="167"/>
      <c r="K12" s="167"/>
      <c r="L12" s="167"/>
      <c r="M12" s="162"/>
      <c r="N12" s="162"/>
      <c r="O12" s="162"/>
      <c r="P12" s="162"/>
      <c r="Q12" s="162"/>
      <c r="R12" s="160"/>
      <c r="S12" s="162"/>
      <c r="T12" s="162"/>
      <c r="U12" s="162"/>
      <c r="V12" s="162"/>
      <c r="W12" s="162"/>
      <c r="X12" s="226"/>
      <c r="Y12" s="162"/>
      <c r="Z12" s="162"/>
      <c r="AA12" s="162"/>
      <c r="AB12" s="162"/>
      <c r="AC12" s="162"/>
    </row>
    <row r="13" spans="1:29" s="169" customFormat="1" ht="6.45" customHeight="1" thickBot="1">
      <c r="B13" s="155"/>
      <c r="C13" s="155"/>
      <c r="D13" s="155"/>
      <c r="E13" s="155"/>
      <c r="F13" s="155"/>
      <c r="G13" s="155"/>
      <c r="H13" s="155"/>
      <c r="I13" s="155"/>
      <c r="J13" s="155"/>
      <c r="K13" s="155"/>
      <c r="L13" s="155"/>
      <c r="R13" s="466"/>
    </row>
    <row r="14" spans="1:29" s="18" customFormat="1" ht="15" customHeight="1">
      <c r="B14" s="201" t="str">
        <f>Translation!C329</f>
        <v>Characteristics of vaccines selected for use</v>
      </c>
      <c r="C14" s="202"/>
      <c r="D14" s="203"/>
      <c r="E14" s="203"/>
      <c r="F14" s="204"/>
      <c r="G14" s="204"/>
      <c r="H14" s="204"/>
      <c r="I14" s="208" t="str">
        <f>Translation!C340</f>
        <v>Vaccine wastage</v>
      </c>
      <c r="J14" s="209"/>
      <c r="K14" s="210"/>
      <c r="L14" s="801" t="str">
        <f>Translation!C344</f>
        <v>UP data</v>
      </c>
      <c r="M14" s="208" t="str">
        <f>Translation!C346</f>
        <v>National immunization schedule</v>
      </c>
      <c r="N14" s="214"/>
      <c r="O14" s="214"/>
      <c r="P14" s="214"/>
      <c r="Q14" s="215"/>
      <c r="R14" s="466"/>
      <c r="S14" s="219" t="str">
        <f>Translation!C349</f>
        <v>Supplementary</v>
      </c>
      <c r="T14" s="220"/>
      <c r="U14" s="215"/>
      <c r="V14" s="219" t="str">
        <f>Translation!C351</f>
        <v>Primary store</v>
      </c>
      <c r="W14" s="222"/>
      <c r="Y14" s="208" t="str">
        <f>M14</f>
        <v>National immunization schedule</v>
      </c>
      <c r="Z14" s="223"/>
      <c r="AA14" s="223"/>
      <c r="AB14" s="223"/>
      <c r="AC14" s="225"/>
    </row>
    <row r="15" spans="1:29" s="18" customFormat="1" ht="12" customHeight="1">
      <c r="B15" s="506" t="str">
        <f>Translation!C330</f>
        <v>Vaccine</v>
      </c>
      <c r="C15" s="777" t="str">
        <f>Translation!C331</f>
        <v>Presentation</v>
      </c>
      <c r="D15" s="507" t="str">
        <f>Translation!C333</f>
        <v>National figures</v>
      </c>
      <c r="E15" s="508"/>
      <c r="F15" s="505" t="str">
        <f>Translation!C335</f>
        <v>from data base</v>
      </c>
      <c r="G15" s="509"/>
      <c r="H15" s="267" t="str">
        <f>Translation!C338</f>
        <v>Price</v>
      </c>
      <c r="I15" s="211"/>
      <c r="J15" s="212"/>
      <c r="K15" s="213"/>
      <c r="L15" s="802"/>
      <c r="M15" s="227" t="str">
        <f>Translation!C347</f>
        <v>(Routine vaccinations)</v>
      </c>
      <c r="N15" s="494"/>
      <c r="O15" s="192"/>
      <c r="P15" s="192"/>
      <c r="Q15" s="218"/>
      <c r="R15" s="466"/>
      <c r="S15" s="216" t="str">
        <f>Translation!C350</f>
        <v>activities (SIAs)</v>
      </c>
      <c r="T15" s="217"/>
      <c r="U15" s="217"/>
      <c r="V15" s="775" t="str">
        <f>Translation!C352</f>
        <v>supply parameters (months)</v>
      </c>
      <c r="W15" s="776"/>
      <c r="Y15" s="505" t="str">
        <f>Translation!C355</f>
        <v>(based on individual vaccine shipments)</v>
      </c>
      <c r="Z15" s="224"/>
      <c r="AA15" s="224"/>
      <c r="AB15" s="224"/>
      <c r="AC15" s="200"/>
    </row>
    <row r="16" spans="1:29" s="18" customFormat="1" ht="61.5" customHeight="1" thickBot="1">
      <c r="B16" s="490" t="str">
        <f>Translation!C332</f>
        <v>Choose from dropdown list</v>
      </c>
      <c r="C16" s="490" t="str">
        <f>B16</f>
        <v>Choose from dropdown list</v>
      </c>
      <c r="D16" s="369" t="str">
        <f>Translation!C336</f>
        <v>Vaccine volume (cm³/dose)</v>
      </c>
      <c r="E16" s="369" t="str">
        <f>Translation!C337</f>
        <v>Diluent volume (cm³/dose)</v>
      </c>
      <c r="F16" s="369" t="str">
        <f>D16</f>
        <v>Vaccine volume (cm³/dose)</v>
      </c>
      <c r="G16" s="369" t="str">
        <f>E16</f>
        <v>Diluent volume (cm³/dose)</v>
      </c>
      <c r="H16" s="369" t="str">
        <f>Translation!C339</f>
        <v>(US$/ dose)</v>
      </c>
      <c r="I16" s="492" t="str">
        <f>Translation!C341</f>
        <v>National  wastage rates (%)</v>
      </c>
      <c r="J16" s="492" t="str">
        <f>Translation!C342</f>
        <v>WHO/GAVI indicative rates (%)</v>
      </c>
      <c r="K16" s="492" t="str">
        <f>Translation!C343</f>
        <v>Wastage factor</v>
      </c>
      <c r="L16" s="491" t="str">
        <f>Translation!C345</f>
        <v>Enter as % of total population</v>
      </c>
      <c r="M16" s="492" t="str">
        <f>Translation!C348</f>
        <v>Current schedule</v>
      </c>
      <c r="N16" s="496" t="s">
        <v>2213</v>
      </c>
      <c r="O16" s="493" t="s">
        <v>2214</v>
      </c>
      <c r="P16" s="493"/>
      <c r="Q16" s="496"/>
      <c r="R16" s="489"/>
      <c r="S16" s="493" t="s">
        <v>679</v>
      </c>
      <c r="T16" s="493"/>
      <c r="U16" s="493"/>
      <c r="V16" s="490" t="str">
        <f>Translation!C353</f>
        <v>Maxi supply interval</v>
      </c>
      <c r="W16" s="369" t="str">
        <f>Translation!C354</f>
        <v>Safety stock</v>
      </c>
      <c r="Y16" s="492" t="str">
        <f>M16</f>
        <v>Current schedule</v>
      </c>
      <c r="Z16" s="492" t="str">
        <f>IF(N16="","",N16)</f>
        <v>Current schedule with penta 1d</v>
      </c>
      <c r="AA16" s="492" t="str">
        <f>IF(O16="","",O16)</f>
        <v>Current schedule with penta CAD</v>
      </c>
      <c r="AB16" s="492" t="str">
        <f>IF(P16="","",P16)</f>
        <v/>
      </c>
      <c r="AC16" s="492" t="str">
        <f>IF(Q16="","",Q16)</f>
        <v/>
      </c>
    </row>
    <row r="17" spans="2:29" s="5" customFormat="1" ht="11.4">
      <c r="B17" s="469" t="s">
        <v>2046</v>
      </c>
      <c r="C17" s="470">
        <v>20</v>
      </c>
      <c r="D17" s="471"/>
      <c r="E17" s="472"/>
      <c r="F17" s="473">
        <f t="array" ref="F17">IF(B17="",0,IF($D$5=min,MIN(IF(Vaccines=$B17,IF(Formulation=Volume_Inject!$C13,IF(Vaccine_database!$E$10:$E$278=Volume_Inject!$D13,IF(Vaccine_database!$J$10:$J$278=$C17,Vaccine_database!K$10:K$278))))),IF($D$5=max,MAX(IF(Vaccines=$B17,IF(Formulation=Volume_Inject!$C13,IF(Vaccine_database!$E$10:$E$278=Volume_Inject!$D13,IF(Vaccine_database!$J$10:$J$278=$C17,Vaccine_database!K$10:K$278))))),AVERAGE(IF(Vaccines=$B17,IF(Formulation=Volume_Inject!$C13,IF(Vaccine_database!$E$10:$E$278=Volume_Inject!$D13,IF(Vaccine_database!$J$10:$J$278=$C17,Vaccine_database!K$10:K$278))))))))</f>
        <v>1.2102000000000002</v>
      </c>
      <c r="G17" s="473">
        <f t="array" ref="G17">IF(C17="",0,IF($D$5=min,MIN(IF(Vaccines=$B17,IF(Formulation=Volume_Inject!$C13,IF(Vaccine_database!$E$10:$E$278=Volume_Inject!$D13,IF(Vaccine_database!$J$10:$J$278=$C17,Vaccine_database!L$10:L$278))))),IF($D$5=max,MAX(IF(Vaccines=$B17,IF(Formulation=Volume_Inject!$C13,IF(Vaccine_database!$E$10:$E$278=Volume_Inject!$D13,IF(Vaccine_database!$J$10:$J$278=$C17,Vaccine_database!L$10:L$278))))),AVERAGE(IF(Vaccines=$B17,IF(Formulation=Volume_Inject!$C13,IF(Vaccine_database!$E$10:$E$278=Volume_Inject!$D13,IF(Vaccine_database!$J$10:$J$278=$C17,Vaccine_database!L$10:L$278))))))))</f>
        <v>1.1256666666666666</v>
      </c>
      <c r="H17" s="474"/>
      <c r="I17" s="475"/>
      <c r="J17" s="476">
        <f>IF(B17="","",IF(OR(ISTEXT(C17),C17=1),5,IF(Volume_Inject!$C13&lt;&gt;"liquid",IF(C17&gt;=20,50,IF(C17=10,40,10)),IF(C17&gt;=10,25,10))))</f>
        <v>50</v>
      </c>
      <c r="K17" s="477">
        <f t="shared" ref="K17:K36" si="0">IF(I17="",IF($J17="",0,100/(100-$J17)),100/(100-$I17))</f>
        <v>2</v>
      </c>
      <c r="L17" s="478">
        <v>1.9E-2</v>
      </c>
      <c r="M17" s="479">
        <v>1</v>
      </c>
      <c r="N17" s="495">
        <v>1</v>
      </c>
      <c r="O17" s="480">
        <v>1</v>
      </c>
      <c r="P17" s="480"/>
      <c r="Q17" s="495"/>
      <c r="R17" s="481"/>
      <c r="S17" s="480"/>
      <c r="T17" s="480"/>
      <c r="U17" s="480"/>
      <c r="V17" s="482">
        <v>4</v>
      </c>
      <c r="W17" s="497">
        <v>1</v>
      </c>
      <c r="X17" s="483"/>
      <c r="Y17" s="484">
        <f>IF($V17="",0,Volume_Inject!$F13*$K17*M17*($V17+$W17)/12)</f>
        <v>1.0085000000000002</v>
      </c>
      <c r="Z17" s="484">
        <f>IF($V17="",0,Volume_Inject!$F13*$K17*N17*($V17+$W17)/12)</f>
        <v>1.0085000000000002</v>
      </c>
      <c r="AA17" s="484">
        <f>IF($V17="",0,Volume_Inject!$F13*$K17*O17*($V17+$W17)/12)</f>
        <v>1.0085000000000002</v>
      </c>
      <c r="AB17" s="484">
        <f>IF($V17="",0,Volume_Inject!$F13*$K17*P17*($V17+$W17)/12)</f>
        <v>0</v>
      </c>
      <c r="AC17" s="484">
        <f>IF($V17="",0,Volume_Inject!$F13*$K17*Q17*($V17+$W17)/12)</f>
        <v>0</v>
      </c>
    </row>
    <row r="18" spans="2:29" s="5" customFormat="1" ht="11.4">
      <c r="B18" s="469" t="s">
        <v>1932</v>
      </c>
      <c r="C18" s="470">
        <v>10</v>
      </c>
      <c r="D18" s="471"/>
      <c r="E18" s="471"/>
      <c r="F18" s="473">
        <f t="array" ref="F18">IF(B18="",0,IF($D$5=min,MIN(IF(Vaccines=$B18,IF(Formulation=Volume_Inject!$C14,IF(Vaccine_database!$E$10:$E$278=Volume_Inject!$D14,IF(Vaccine_database!$J$10:$J$278=$C18,Vaccine_database!K$10:K$278))))),IF($D$5=max,MAX(IF(Vaccines=$B18,IF(Formulation=Volume_Inject!$C14,IF(Vaccine_database!$E$10:$E$278=Volume_Inject!$D14,IF(Vaccine_database!$J$10:$J$278=$C18,Vaccine_database!K$10:K$278))))),AVERAGE(IF(Vaccines=$B18,IF(Formulation=Volume_Inject!$C14,IF(Vaccine_database!$E$10:$E$278=Volume_Inject!$D14,IF(Vaccine_database!$J$10:$J$278=$C18,Vaccine_database!K$10:K$278))))))))</f>
        <v>2</v>
      </c>
      <c r="G18" s="473">
        <f t="array" ref="G18">IF(C18="",0,IF($D$5=min,MIN(IF(Vaccines=$B18,IF(Formulation=Volume_Inject!$C14,IF(Vaccine_database!$E$10:$E$278=Volume_Inject!$D14,IF(Vaccine_database!$J$10:$J$278=$C18,Vaccine_database!L$10:L$278))))),IF($D$5=max,MAX(IF(Vaccines=$B18,IF(Formulation=Volume_Inject!$C14,IF(Vaccine_database!$E$10:$E$278=Volume_Inject!$D14,IF(Vaccine_database!$J$10:$J$278=$C18,Vaccine_database!L$10:L$278))))),AVERAGE(IF(Vaccines=$B18,IF(Formulation=Volume_Inject!$C14,IF(Vaccine_database!$E$10:$E$278=Volume_Inject!$D14,IF(Vaccine_database!$J$10:$J$278=$C18,Vaccine_database!L$10:L$278))))))))</f>
        <v>0</v>
      </c>
      <c r="H18" s="485"/>
      <c r="I18" s="486"/>
      <c r="J18" s="476">
        <f>IF(B18="","",IF(OR(ISTEXT(C18),C18=1),5,IF(Volume_Inject!$C14&lt;&gt;"liquid",IF(C18&gt;=20,50,IF(C18=10,40,10)),IF(C18&gt;=10,25,10))))</f>
        <v>25</v>
      </c>
      <c r="K18" s="477">
        <f t="shared" si="0"/>
        <v>1.3333333333333333</v>
      </c>
      <c r="L18" s="478">
        <v>1.9E-2</v>
      </c>
      <c r="M18" s="479">
        <v>4</v>
      </c>
      <c r="N18" s="480">
        <v>4</v>
      </c>
      <c r="O18" s="480">
        <v>4</v>
      </c>
      <c r="P18" s="480"/>
      <c r="Q18" s="480"/>
      <c r="R18" s="481"/>
      <c r="S18" s="480"/>
      <c r="T18" s="480"/>
      <c r="U18" s="480"/>
      <c r="V18" s="487">
        <v>4</v>
      </c>
      <c r="W18" s="487">
        <v>1</v>
      </c>
      <c r="X18" s="483"/>
      <c r="Y18" s="484">
        <f>IF($V18="",0,Volume_Inject!$F14*$K18*M18*($V18+$W18)/12)</f>
        <v>4.4444444444444438</v>
      </c>
      <c r="Z18" s="484">
        <f>IF($V18="",0,Volume_Inject!$F14*$K18*N18*($V18+$W18)/12)</f>
        <v>4.4444444444444438</v>
      </c>
      <c r="AA18" s="484">
        <f>IF($V18="",0,Volume_Inject!$F14*$K18*O18*($V18+$W18)/12)</f>
        <v>4.4444444444444438</v>
      </c>
      <c r="AB18" s="484">
        <f>IF($V18="",0,Volume_Inject!$F14*$K18*P18*($V18+$W18)/12)</f>
        <v>0</v>
      </c>
      <c r="AC18" s="484">
        <f>IF($V18="",0,Volume_Inject!$F14*$K18*Q18*($V18+$W18)/12)</f>
        <v>0</v>
      </c>
    </row>
    <row r="19" spans="2:29" s="5" customFormat="1" ht="11.4">
      <c r="B19" s="469" t="s">
        <v>1081</v>
      </c>
      <c r="C19" s="470">
        <v>10</v>
      </c>
      <c r="D19" s="471"/>
      <c r="E19" s="471"/>
      <c r="F19" s="473">
        <f t="array" ref="F19">IF(B19="",0,IF($D$5=min,MIN(IF(Vaccines=$B19,IF(Formulation=Volume_Inject!$C15,IF(Vaccine_database!$E$10:$E$278=Volume_Inject!$D15,IF(Vaccine_database!$J$10:$J$278=$C19,Vaccine_database!K$10:K$278))))),IF($D$5=max,MAX(IF(Vaccines=$B19,IF(Formulation=Volume_Inject!$C15,IF(Vaccine_database!$E$10:$E$278=Volume_Inject!$D15,IF(Vaccine_database!$J$10:$J$278=$C19,Vaccine_database!K$10:K$278))))),AVERAGE(IF(Vaccines=$B19,IF(Formulation=Volume_Inject!$C15,IF(Vaccine_database!$E$10:$E$278=Volume_Inject!$D15,IF(Vaccine_database!$J$10:$J$278=$C19,Vaccine_database!K$10:K$278))))))))</f>
        <v>2.75</v>
      </c>
      <c r="G19" s="473">
        <f t="array" ref="G19">IF(C19="",0,IF($D$5=min,MIN(IF(Vaccines=$B19,IF(Formulation=Volume_Inject!$C15,IF(Vaccine_database!$E$10:$E$278=Volume_Inject!$D15,IF(Vaccine_database!$J$10:$J$278=$C19,Vaccine_database!L$10:L$278))))),IF($D$5=max,MAX(IF(Vaccines=$B19,IF(Formulation=Volume_Inject!$C15,IF(Vaccine_database!$E$10:$E$278=Volume_Inject!$D15,IF(Vaccine_database!$J$10:$J$278=$C19,Vaccine_database!L$10:L$278))))),AVERAGE(IF(Vaccines=$B19,IF(Formulation=Volume_Inject!$C15,IF(Vaccine_database!$E$10:$E$278=Volume_Inject!$D15,IF(Vaccine_database!$J$10:$J$278=$C19,Vaccine_database!L$10:L$278))))))))</f>
        <v>0</v>
      </c>
      <c r="H19" s="485"/>
      <c r="I19" s="486"/>
      <c r="J19" s="476">
        <f>IF(B19="","",IF(OR(ISTEXT(C19),C19=1),5,IF(Volume_Inject!$C15&lt;&gt;"liquid",IF(C19&gt;=20,50,IF(C19=10,40,10)),IF(C19&gt;=10,25,10))))</f>
        <v>25</v>
      </c>
      <c r="K19" s="477">
        <f t="shared" si="0"/>
        <v>1.3333333333333333</v>
      </c>
      <c r="L19" s="478">
        <v>1.9E-2</v>
      </c>
      <c r="M19" s="479">
        <v>3</v>
      </c>
      <c r="N19" s="480"/>
      <c r="O19" s="480"/>
      <c r="P19" s="480"/>
      <c r="Q19" s="480"/>
      <c r="R19" s="481"/>
      <c r="S19" s="480"/>
      <c r="T19" s="480"/>
      <c r="U19" s="480"/>
      <c r="V19" s="487">
        <v>4</v>
      </c>
      <c r="W19" s="487">
        <v>1</v>
      </c>
      <c r="X19" s="483"/>
      <c r="Y19" s="484">
        <f>IF($V19="",0,Volume_Inject!$F15*$K19*M19*($V19+$W19)/12)</f>
        <v>4.583333333333333</v>
      </c>
      <c r="Z19" s="484">
        <f>IF($V19="",0,Volume_Inject!$F15*$K19*N19*($V19+$W19)/12)</f>
        <v>0</v>
      </c>
      <c r="AA19" s="484">
        <f>IF($V19="",0,Volume_Inject!$F15*$K19*O19*($V19+$W19)/12)</f>
        <v>0</v>
      </c>
      <c r="AB19" s="484">
        <f>IF($V19="",0,Volume_Inject!$F15*$K19*P19*($V19+$W19)/12)</f>
        <v>0</v>
      </c>
      <c r="AC19" s="484">
        <f>IF($V19="",0,Volume_Inject!$F15*$K19*Q19*($V19+$W19)/12)</f>
        <v>0</v>
      </c>
    </row>
    <row r="20" spans="2:29" s="5" customFormat="1" ht="11.4">
      <c r="B20" s="469" t="s">
        <v>1081</v>
      </c>
      <c r="C20" s="470">
        <v>1</v>
      </c>
      <c r="D20" s="471"/>
      <c r="E20" s="471"/>
      <c r="F20" s="473">
        <f t="array" ref="F20">IF(B20="",0,IF($D$5=min,MIN(IF(Vaccines=$B20,IF(Formulation=Volume_Inject!$C16,IF(Vaccine_database!$E$10:$E$278=Volume_Inject!$D16,IF(Vaccine_database!$J$10:$J$278=$C20,Vaccine_database!K$10:K$278))))),IF($D$5=max,MAX(IF(Vaccines=$B20,IF(Formulation=Volume_Inject!$C16,IF(Vaccine_database!$E$10:$E$278=Volume_Inject!$D16,IF(Vaccine_database!$J$10:$J$278=$C20,Vaccine_database!K$10:K$278))))),AVERAGE(IF(Vaccines=$B20,IF(Formulation=Volume_Inject!$C16,IF(Vaccine_database!$E$10:$E$278=Volume_Inject!$D16,IF(Vaccine_database!$J$10:$J$278=$C20,Vaccine_database!K$10:K$278))))))))</f>
        <v>16.66384</v>
      </c>
      <c r="G20" s="473">
        <f t="array" ref="G20">IF(C20="",0,IF($D$5=min,MIN(IF(Vaccines=$B20,IF(Formulation=Volume_Inject!$C16,IF(Vaccine_database!$E$10:$E$278=Volume_Inject!$D16,IF(Vaccine_database!$J$10:$J$278=$C20,Vaccine_database!L$10:L$278))))),IF($D$5=max,MAX(IF(Vaccines=$B20,IF(Formulation=Volume_Inject!$C16,IF(Vaccine_database!$E$10:$E$278=Volume_Inject!$D16,IF(Vaccine_database!$J$10:$J$278=$C20,Vaccine_database!L$10:L$278))))),AVERAGE(IF(Vaccines=$B20,IF(Formulation=Volume_Inject!$C16,IF(Vaccine_database!$E$10:$E$278=Volume_Inject!$D16,IF(Vaccine_database!$J$10:$J$278=$C20,Vaccine_database!L$10:L$278))))))))</f>
        <v>0</v>
      </c>
      <c r="H20" s="485"/>
      <c r="I20" s="486"/>
      <c r="J20" s="476">
        <f>IF(B20="","",IF(OR(ISTEXT(C20),C20=1),5,IF(Volume_Inject!$C16&lt;&gt;"liquid",IF(C20&gt;=20,50,IF(C20=10,40,10)),IF(C20&gt;=10,25,10))))</f>
        <v>5</v>
      </c>
      <c r="K20" s="477">
        <f t="shared" si="0"/>
        <v>1.0526315789473684</v>
      </c>
      <c r="L20" s="478">
        <v>1.9E-2</v>
      </c>
      <c r="M20" s="479"/>
      <c r="N20" s="480">
        <v>3</v>
      </c>
      <c r="O20" s="480"/>
      <c r="P20" s="480"/>
      <c r="Q20" s="480"/>
      <c r="R20" s="481"/>
      <c r="S20" s="480"/>
      <c r="T20" s="480"/>
      <c r="U20" s="480"/>
      <c r="V20" s="487">
        <v>3</v>
      </c>
      <c r="W20" s="487">
        <v>1</v>
      </c>
      <c r="X20" s="483"/>
      <c r="Y20" s="484">
        <f>IF($V20="",0,Volume_Inject!$F16*$K20*M20*($V20+$W20)/12)</f>
        <v>0</v>
      </c>
      <c r="Z20" s="484">
        <f>IF($V20="",0,Volume_Inject!$F16*$K20*N20*($V20+$W20)/12)</f>
        <v>17.540884210526315</v>
      </c>
      <c r="AA20" s="484">
        <f>IF($V20="",0,Volume_Inject!$F16*$K20*O20*($V20+$W20)/12)</f>
        <v>0</v>
      </c>
      <c r="AB20" s="484">
        <f>IF($V20="",0,Volume_Inject!$F16*$K20*P20*($V20+$W20)/12)</f>
        <v>0</v>
      </c>
      <c r="AC20" s="484">
        <f>IF($V20="",0,Volume_Inject!$F16*$K20*Q20*($V20+$W20)/12)</f>
        <v>0</v>
      </c>
    </row>
    <row r="21" spans="2:29" s="5" customFormat="1" ht="11.4">
      <c r="B21" s="469" t="s">
        <v>1081</v>
      </c>
      <c r="C21" s="470" t="s">
        <v>652</v>
      </c>
      <c r="D21" s="471">
        <v>12</v>
      </c>
      <c r="E21" s="471"/>
      <c r="F21" s="473" t="e">
        <f t="array" ref="F21">IF(B21="",0,IF($D$5=min,MIN(IF(Vaccines=$B21,IF(Formulation=Volume_Inject!$C17,IF(Vaccine_database!$E$10:$E$278=Volume_Inject!$D17,IF(Vaccine_database!$J$10:$J$278=$C21,Vaccine_database!K$10:K$278))))),IF($D$5=max,MAX(IF(Vaccines=$B21,IF(Formulation=Volume_Inject!$C17,IF(Vaccine_database!$E$10:$E$278=Volume_Inject!$D17,IF(Vaccine_database!$J$10:$J$278=$C21,Vaccine_database!K$10:K$278))))),AVERAGE(IF(Vaccines=$B21,IF(Formulation=Volume_Inject!$C17,IF(Vaccine_database!$E$10:$E$278=Volume_Inject!$D17,IF(Vaccine_database!$J$10:$J$278=$C21,Vaccine_database!K$10:K$278))))))))</f>
        <v>#DIV/0!</v>
      </c>
      <c r="G21" s="473" t="e">
        <f t="array" ref="G21">IF(C21="",0,IF($D$5=min,MIN(IF(Vaccines=$B21,IF(Formulation=Volume_Inject!$C17,IF(Vaccine_database!$E$10:$E$278=Volume_Inject!$D17,IF(Vaccine_database!$J$10:$J$278=$C21,Vaccine_database!L$10:L$278))))),IF($D$5=max,MAX(IF(Vaccines=$B21,IF(Formulation=Volume_Inject!$C17,IF(Vaccine_database!$E$10:$E$278=Volume_Inject!$D17,IF(Vaccine_database!$J$10:$J$278=$C21,Vaccine_database!L$10:L$278))))),AVERAGE(IF(Vaccines=$B21,IF(Formulation=Volume_Inject!$C17,IF(Vaccine_database!$E$10:$E$278=Volume_Inject!$D17,IF(Vaccine_database!$J$10:$J$278=$C21,Vaccine_database!L$10:L$278))))))))</f>
        <v>#DIV/0!</v>
      </c>
      <c r="H21" s="485"/>
      <c r="I21" s="486"/>
      <c r="J21" s="476">
        <f>IF(B21="","",IF(OR(ISTEXT(C21),C21=1),5,IF(Volume_Inject!$C17&lt;&gt;"liquid",IF(C21&gt;=20,50,IF(C21=10,40,10)),IF(C21&gt;=10,25,10))))</f>
        <v>5</v>
      </c>
      <c r="K21" s="477">
        <f t="shared" si="0"/>
        <v>1.0526315789473684</v>
      </c>
      <c r="L21" s="478">
        <v>1.9E-2</v>
      </c>
      <c r="M21" s="479"/>
      <c r="N21" s="480"/>
      <c r="O21" s="480">
        <v>3</v>
      </c>
      <c r="P21" s="480"/>
      <c r="Q21" s="480"/>
      <c r="R21" s="481"/>
      <c r="S21" s="480"/>
      <c r="T21" s="480"/>
      <c r="U21" s="480"/>
      <c r="V21" s="487">
        <v>4</v>
      </c>
      <c r="W21" s="487">
        <v>1</v>
      </c>
      <c r="X21" s="483"/>
      <c r="Y21" s="484">
        <f>IF($V21="",0,Volume_Inject!$F17*$K21*M21*($V21+$W21)/12)</f>
        <v>0</v>
      </c>
      <c r="Z21" s="484">
        <f>IF($V21="",0,Volume_Inject!$F17*$K21*N21*($V21+$W21)/12)</f>
        <v>0</v>
      </c>
      <c r="AA21" s="484">
        <f>IF($V21="",0,Volume_Inject!$F17*$K21*O21*($V21+$W21)/12)</f>
        <v>15.789473684210526</v>
      </c>
      <c r="AB21" s="484">
        <f>IF($V21="",0,Volume_Inject!$F17*$K21*P21*($V21+$W21)/12)</f>
        <v>0</v>
      </c>
      <c r="AC21" s="484">
        <f>IF($V21="",0,Volume_Inject!$F17*$K21*Q21*($V21+$W21)/12)</f>
        <v>0</v>
      </c>
    </row>
    <row r="22" spans="2:29" s="5" customFormat="1" ht="11.4">
      <c r="B22" s="469" t="s">
        <v>1935</v>
      </c>
      <c r="C22" s="470">
        <v>10</v>
      </c>
      <c r="D22" s="471"/>
      <c r="E22" s="471"/>
      <c r="F22" s="473">
        <f t="array" ref="F22">IF(B22="",0,IF($D$5=min,MIN(IF(Vaccines=$B22,IF(Formulation=Volume_Inject!$C18,IF(Vaccine_database!$E$10:$E$278=Volume_Inject!$D18,IF(Vaccine_database!$J$10:$J$278=$C22,Vaccine_database!K$10:K$278))))),IF($D$5=max,MAX(IF(Vaccines=$B22,IF(Formulation=Volume_Inject!$C18,IF(Vaccine_database!$E$10:$E$278=Volume_Inject!$D18,IF(Vaccine_database!$J$10:$J$278=$C22,Vaccine_database!K$10:K$278))))),AVERAGE(IF(Vaccines=$B22,IF(Formulation=Volume_Inject!$C18,IF(Vaccine_database!$E$10:$E$278=Volume_Inject!$D18,IF(Vaccine_database!$J$10:$J$278=$C22,Vaccine_database!K$10:K$278))))))))</f>
        <v>2.4002000000000003</v>
      </c>
      <c r="G22" s="473">
        <f t="array" ref="G22">IF(C22="",0,IF($D$5=min,MIN(IF(Vaccines=$B22,IF(Formulation=Volume_Inject!$C18,IF(Vaccine_database!$E$10:$E$278=Volume_Inject!$D18,IF(Vaccine_database!$J$10:$J$278=$C22,Vaccine_database!L$10:L$278))))),IF($D$5=max,MAX(IF(Vaccines=$B22,IF(Formulation=Volume_Inject!$C18,IF(Vaccine_database!$E$10:$E$278=Volume_Inject!$D18,IF(Vaccine_database!$J$10:$J$278=$C22,Vaccine_database!L$10:L$278))))),AVERAGE(IF(Vaccines=$B22,IF(Formulation=Volume_Inject!$C18,IF(Vaccine_database!$E$10:$E$278=Volume_Inject!$D18,IF(Vaccine_database!$J$10:$J$278=$C22,Vaccine_database!L$10:L$278))))))))</f>
        <v>3.2</v>
      </c>
      <c r="H22" s="485"/>
      <c r="I22" s="486"/>
      <c r="J22" s="476">
        <f>IF(B22="","",IF(OR(ISTEXT(C22),C22=1),5,IF(Volume_Inject!$C18&lt;&gt;"liquid",IF(C22&gt;=20,50,IF(C22=10,40,10)),IF(C22&gt;=10,25,10))))</f>
        <v>40</v>
      </c>
      <c r="K22" s="477">
        <f t="shared" si="0"/>
        <v>1.6666666666666667</v>
      </c>
      <c r="L22" s="478">
        <v>1.7999999999999999E-2</v>
      </c>
      <c r="M22" s="479">
        <v>1</v>
      </c>
      <c r="N22" s="480">
        <v>1</v>
      </c>
      <c r="O22" s="480">
        <v>1</v>
      </c>
      <c r="P22" s="480"/>
      <c r="Q22" s="480"/>
      <c r="R22" s="481"/>
      <c r="S22" s="480"/>
      <c r="T22" s="480"/>
      <c r="U22" s="480"/>
      <c r="V22" s="487">
        <v>4</v>
      </c>
      <c r="W22" s="487">
        <v>1</v>
      </c>
      <c r="X22" s="483"/>
      <c r="Y22" s="484">
        <f>IF($V22="",0,Volume_Inject!$F18*$K22*M22*($V22+$W22)/12)</f>
        <v>1.6668055555555557</v>
      </c>
      <c r="Z22" s="484">
        <f>IF($V22="",0,Volume_Inject!$F18*$K22*N22*($V22+$W22)/12)</f>
        <v>1.6668055555555557</v>
      </c>
      <c r="AA22" s="484">
        <f>IF($V22="",0,Volume_Inject!$F18*$K22*O22*($V22+$W22)/12)</f>
        <v>1.6668055555555557</v>
      </c>
      <c r="AB22" s="484">
        <f>IF($V22="",0,Volume_Inject!$F18*$K22*P22*($V22+$W22)/12)</f>
        <v>0</v>
      </c>
      <c r="AC22" s="484">
        <f>IF($V22="",0,Volume_Inject!$F18*$K22*Q22*($V22+$W22)/12)</f>
        <v>0</v>
      </c>
    </row>
    <row r="23" spans="2:29" s="5" customFormat="1" ht="11.4">
      <c r="B23" s="469" t="s">
        <v>1941</v>
      </c>
      <c r="C23" s="470">
        <v>5</v>
      </c>
      <c r="D23" s="471"/>
      <c r="E23" s="471"/>
      <c r="F23" s="473">
        <f t="array" ref="F23">IF(B23="",0,IF($D$5=min,MIN(IF(Vaccines=$B23,IF(Formulation=Volume_Inject!$C19,IF(Vaccine_database!$E$10:$E$278=Volume_Inject!$D19,IF(Vaccine_database!$J$10:$J$278=$C23,Vaccine_database!K$10:K$278))))),IF($D$5=max,MAX(IF(Vaccines=$B23,IF(Formulation=Volume_Inject!$C19,IF(Vaccine_database!$E$10:$E$278=Volume_Inject!$D19,IF(Vaccine_database!$J$10:$J$278=$C23,Vaccine_database!K$10:K$278))))),AVERAGE(IF(Vaccines=$B23,IF(Formulation=Volume_Inject!$C19,IF(Vaccine_database!$E$10:$E$278=Volume_Inject!$D19,IF(Vaccine_database!$J$10:$J$278=$C23,Vaccine_database!K$10:K$278))))))))</f>
        <v>5.4024999999999999</v>
      </c>
      <c r="G23" s="473">
        <f t="array" ref="G23">IF(C23="",0,IF($D$5=min,MIN(IF(Vaccines=$B23,IF(Formulation=Volume_Inject!$C19,IF(Vaccine_database!$E$10:$E$278=Volume_Inject!$D19,IF(Vaccine_database!$J$10:$J$278=$C23,Vaccine_database!L$10:L$278))))),IF($D$5=max,MAX(IF(Vaccines=$B23,IF(Formulation=Volume_Inject!$C19,IF(Vaccine_database!$E$10:$E$278=Volume_Inject!$D19,IF(Vaccine_database!$J$10:$J$278=$C23,Vaccine_database!L$10:L$278))))),AVERAGE(IF(Vaccines=$B23,IF(Formulation=Volume_Inject!$C19,IF(Vaccine_database!$E$10:$E$278=Volume_Inject!$D19,IF(Vaccine_database!$J$10:$J$278=$C23,Vaccine_database!L$10:L$278))))))))</f>
        <v>6.75</v>
      </c>
      <c r="H23" s="485"/>
      <c r="I23" s="486"/>
      <c r="J23" s="476">
        <f>IF(B23="","",IF(OR(ISTEXT(C23),C23=1),5,IF(Volume_Inject!$C19&lt;&gt;"liquid",IF(C23&gt;=20,50,IF(C23=10,40,10)),IF(C23&gt;=10,25,10))))</f>
        <v>10</v>
      </c>
      <c r="K23" s="477">
        <f t="shared" si="0"/>
        <v>1.1111111111111112</v>
      </c>
      <c r="L23" s="478">
        <v>1.7999999999999999E-2</v>
      </c>
      <c r="M23" s="479">
        <v>1</v>
      </c>
      <c r="N23" s="480">
        <v>1</v>
      </c>
      <c r="O23" s="480">
        <v>1</v>
      </c>
      <c r="P23" s="480"/>
      <c r="Q23" s="480"/>
      <c r="R23" s="481"/>
      <c r="S23" s="480"/>
      <c r="T23" s="480"/>
      <c r="U23" s="480"/>
      <c r="V23" s="487">
        <v>4</v>
      </c>
      <c r="W23" s="487">
        <v>1</v>
      </c>
      <c r="X23" s="483"/>
      <c r="Y23" s="484">
        <f>IF($V23="",0,Volume_Inject!$F19*$K23*M23*($V23+$W23)/12)</f>
        <v>2.5011574074074079</v>
      </c>
      <c r="Z23" s="484">
        <f>IF($V23="",0,Volume_Inject!$F19*$K23*N23*($V23+$W23)/12)</f>
        <v>2.5011574074074079</v>
      </c>
      <c r="AA23" s="484">
        <f>IF($V23="",0,Volume_Inject!$F19*$K23*O23*($V23+$W23)/12)</f>
        <v>2.5011574074074079</v>
      </c>
      <c r="AB23" s="484">
        <f>IF($V23="",0,Volume_Inject!$F19*$K23*P23*($V23+$W23)/12)</f>
        <v>0</v>
      </c>
      <c r="AC23" s="484">
        <f>IF($V23="",0,Volume_Inject!$F19*$K23*Q23*($V23+$W23)/12)</f>
        <v>0</v>
      </c>
    </row>
    <row r="24" spans="2:29" s="5" customFormat="1" ht="11.4">
      <c r="B24" s="469" t="s">
        <v>1929</v>
      </c>
      <c r="C24" s="470">
        <v>10</v>
      </c>
      <c r="D24" s="471"/>
      <c r="E24" s="471"/>
      <c r="F24" s="473">
        <f t="array" ref="F24">IF(B24="",0,IF($D$5=min,MIN(IF(Vaccines=$B24,IF(Formulation=Volume_Inject!$C20,IF(Vaccine_database!$E$10:$E$278=Volume_Inject!$D20,IF(Vaccine_database!$J$10:$J$278=$C24,Vaccine_database!K$10:K$278))))),IF($D$5=max,MAX(IF(Vaccines=$B24,IF(Formulation=Volume_Inject!$C20,IF(Vaccine_database!$E$10:$E$278=Volume_Inject!$D20,IF(Vaccine_database!$J$10:$J$278=$C24,Vaccine_database!K$10:K$278))))),AVERAGE(IF(Vaccines=$B24,IF(Formulation=Volume_Inject!$C20,IF(Vaccine_database!$E$10:$E$278=Volume_Inject!$D20,IF(Vaccine_database!$J$10:$J$278=$C24,Vaccine_database!K$10:K$278))))))))</f>
        <v>3.1093333333333333</v>
      </c>
      <c r="G24" s="473">
        <f t="array" ref="G24">IF(C24="",0,IF($D$5=min,MIN(IF(Vaccines=$B24,IF(Formulation=Volume_Inject!$C20,IF(Vaccine_database!$E$10:$E$278=Volume_Inject!$D20,IF(Vaccine_database!$J$10:$J$278=$C24,Vaccine_database!L$10:L$278))))),IF($D$5=max,MAX(IF(Vaccines=$B24,IF(Formulation=Volume_Inject!$C20,IF(Vaccine_database!$E$10:$E$278=Volume_Inject!$D20,IF(Vaccine_database!$J$10:$J$278=$C24,Vaccine_database!L$10:L$278))))),AVERAGE(IF(Vaccines=$B24,IF(Formulation=Volume_Inject!$C20,IF(Vaccine_database!$E$10:$E$278=Volume_Inject!$D20,IF(Vaccine_database!$J$10:$J$278=$C24,Vaccine_database!L$10:L$278))))))))</f>
        <v>0</v>
      </c>
      <c r="H24" s="485"/>
      <c r="I24" s="486"/>
      <c r="J24" s="476">
        <f>IF(B24="","",IF(OR(ISTEXT(C24),C24=1),5,IF(Volume_Inject!$C20&lt;&gt;"liquid",IF(C24&gt;=20,50,IF(C24=10,40,10)),IF(C24&gt;=10,25,10))))</f>
        <v>25</v>
      </c>
      <c r="K24" s="477">
        <f t="shared" si="0"/>
        <v>1.3333333333333333</v>
      </c>
      <c r="L24" s="478">
        <v>0.02</v>
      </c>
      <c r="M24" s="479">
        <v>2</v>
      </c>
      <c r="N24" s="480">
        <v>2</v>
      </c>
      <c r="O24" s="480">
        <v>2</v>
      </c>
      <c r="P24" s="480"/>
      <c r="Q24" s="480"/>
      <c r="R24" s="481"/>
      <c r="S24" s="480"/>
      <c r="T24" s="480"/>
      <c r="U24" s="480"/>
      <c r="V24" s="487">
        <v>3</v>
      </c>
      <c r="W24" s="487">
        <v>1</v>
      </c>
      <c r="X24" s="483"/>
      <c r="Y24" s="484">
        <f>IF($V24="",0,Volume_Inject!$F20*$K24*M24*($V24+$W24)/12)</f>
        <v>2.7638518518518516</v>
      </c>
      <c r="Z24" s="484">
        <f>IF($V24="",0,Volume_Inject!$F20*$K24*N24*($V24+$W24)/12)</f>
        <v>2.7638518518518516</v>
      </c>
      <c r="AA24" s="484">
        <f>IF($V24="",0,Volume_Inject!$F20*$K24*O24*($V24+$W24)/12)</f>
        <v>2.7638518518518516</v>
      </c>
      <c r="AB24" s="484">
        <f>IF($V24="",0,Volume_Inject!$F20*$K24*P24*($V24+$W24)/12)</f>
        <v>0</v>
      </c>
      <c r="AC24" s="484">
        <f>IF($V24="",0,Volume_Inject!$F20*$K24*Q24*($V24+$W24)/12)</f>
        <v>0</v>
      </c>
    </row>
    <row r="25" spans="2:29" s="5" customFormat="1" ht="11.4">
      <c r="B25" s="469" t="s">
        <v>669</v>
      </c>
      <c r="C25" s="470">
        <v>1</v>
      </c>
      <c r="D25" s="471"/>
      <c r="E25" s="471"/>
      <c r="F25" s="473">
        <f t="array" ref="F25">IF(B25="",0,IF($D$5=min,MIN(IF(Vaccines=$B25,IF(Formulation=Volume_Inject!$C21,IF(Vaccine_database!$E$10:$E$278=Volume_Inject!$D21,IF(Vaccine_database!$J$10:$J$278=$C25,Vaccine_database!K$10:K$278))))),IF($D$5=max,MAX(IF(Vaccines=$B25,IF(Formulation=Volume_Inject!$C21,IF(Vaccine_database!$E$10:$E$278=Volume_Inject!$D21,IF(Vaccine_database!$J$10:$J$278=$C25,Vaccine_database!K$10:K$278))))),AVERAGE(IF(Vaccines=$B25,IF(Formulation=Volume_Inject!$C21,IF(Vaccine_database!$E$10:$E$278=Volume_Inject!$D21,IF(Vaccine_database!$J$10:$J$278=$C25,Vaccine_database!K$10:K$278))))))))</f>
        <v>13.825246999999999</v>
      </c>
      <c r="G25" s="473">
        <f t="array" ref="G25">IF(C25="",0,IF($D$5=min,MIN(IF(Vaccines=$B25,IF(Formulation=Volume_Inject!$C21,IF(Vaccine_database!$E$10:$E$278=Volume_Inject!$D21,IF(Vaccine_database!$J$10:$J$278=$C25,Vaccine_database!L$10:L$278))))),IF($D$5=max,MAX(IF(Vaccines=$B25,IF(Formulation=Volume_Inject!$C21,IF(Vaccine_database!$E$10:$E$278=Volume_Inject!$D21,IF(Vaccine_database!$J$10:$J$278=$C25,Vaccine_database!L$10:L$278))))),AVERAGE(IF(Vaccines=$B25,IF(Formulation=Volume_Inject!$C21,IF(Vaccine_database!$E$10:$E$278=Volume_Inject!$D21,IF(Vaccine_database!$J$10:$J$278=$C25,Vaccine_database!L$10:L$278))))))))</f>
        <v>0</v>
      </c>
      <c r="H25" s="485"/>
      <c r="I25" s="486"/>
      <c r="J25" s="476">
        <f>IF(B25="","",IF(OR(ISTEXT(C25),C25=1),5,IF(Volume_Inject!$C21&lt;&gt;"liquid",IF(C25&gt;=20,50,IF(C25=10,40,10)),IF(C25&gt;=10,25,10))))</f>
        <v>5</v>
      </c>
      <c r="K25" s="477">
        <f t="shared" si="0"/>
        <v>1.0526315789473684</v>
      </c>
      <c r="L25" s="478">
        <v>0.01</v>
      </c>
      <c r="M25" s="479"/>
      <c r="N25" s="480"/>
      <c r="O25" s="480"/>
      <c r="P25" s="480"/>
      <c r="Q25" s="480"/>
      <c r="R25" s="481"/>
      <c r="S25" s="480"/>
      <c r="T25" s="480"/>
      <c r="U25" s="480"/>
      <c r="V25" s="487">
        <v>12</v>
      </c>
      <c r="W25" s="487">
        <v>0</v>
      </c>
      <c r="X25" s="483"/>
      <c r="Y25" s="484">
        <f>IF($V25="",0,Volume_Inject!$F21*$K25*M25*($V25+$W25)/12)</f>
        <v>0</v>
      </c>
      <c r="Z25" s="484">
        <f>IF($V25="",0,Volume_Inject!$F21*$K25*N25*($V25+$W25)/12)</f>
        <v>0</v>
      </c>
      <c r="AA25" s="484">
        <f>IF($V25="",0,Volume_Inject!$F21*$K25*O25*($V25+$W25)/12)</f>
        <v>0</v>
      </c>
      <c r="AB25" s="484">
        <f>IF($V25="",0,Volume_Inject!$F21*$K25*P25*($V25+$W25)/12)</f>
        <v>0</v>
      </c>
      <c r="AC25" s="484">
        <f>IF($V25="",0,Volume_Inject!$F21*$K25*Q25*($V25+$W25)/12)</f>
        <v>0</v>
      </c>
    </row>
    <row r="26" spans="2:29" s="5" customFormat="1" ht="11.4">
      <c r="B26" s="469" t="s">
        <v>602</v>
      </c>
      <c r="C26" s="470">
        <v>1</v>
      </c>
      <c r="D26" s="471">
        <v>17.100000000000001</v>
      </c>
      <c r="E26" s="471"/>
      <c r="F26" s="473">
        <f t="array" ref="F26">IF(B26="",0,IF($D$5=min,MIN(IF(Vaccines=$B26,IF(Formulation=Volume_Inject!$C22,IF(Vaccine_database!$E$10:$E$278=Volume_Inject!$D22,IF(Vaccine_database!$J$10:$J$278=$C26,Vaccine_database!K$10:K$278))))),IF($D$5=max,MAX(IF(Vaccines=$B26,IF(Formulation=Volume_Inject!$C22,IF(Vaccine_database!$E$10:$E$278=Volume_Inject!$D22,IF(Vaccine_database!$J$10:$J$278=$C26,Vaccine_database!K$10:K$278))))),AVERAGE(IF(Vaccines=$B26,IF(Formulation=Volume_Inject!$C22,IF(Vaccine_database!$E$10:$E$278=Volume_Inject!$D22,IF(Vaccine_database!$J$10:$J$278=$C26,Vaccine_database!K$10:K$278))))))))</f>
        <v>17.125799999999998</v>
      </c>
      <c r="G26" s="473">
        <f t="array" ref="G26">IF(C26="",0,IF($D$5=min,MIN(IF(Vaccines=$B26,IF(Formulation=Volume_Inject!$C22,IF(Vaccine_database!$E$10:$E$278=Volume_Inject!$D22,IF(Vaccine_database!$J$10:$J$278=$C26,Vaccine_database!L$10:L$278))))),IF($D$5=max,MAX(IF(Vaccines=$B26,IF(Formulation=Volume_Inject!$C22,IF(Vaccine_database!$E$10:$E$278=Volume_Inject!$D22,IF(Vaccine_database!$J$10:$J$278=$C26,Vaccine_database!L$10:L$278))))),AVERAGE(IF(Vaccines=$B26,IF(Formulation=Volume_Inject!$C22,IF(Vaccine_database!$E$10:$E$278=Volume_Inject!$D22,IF(Vaccine_database!$J$10:$J$278=$C26,Vaccine_database!L$10:L$278))))))))</f>
        <v>0</v>
      </c>
      <c r="H26" s="485"/>
      <c r="I26" s="486"/>
      <c r="J26" s="476">
        <f>IF(B26="","",IF(OR(ISTEXT(C26),C26=1),5,IF(Volume_Inject!$C22&lt;&gt;"liquid",IF(C26&gt;=20,50,IF(C26=10,40,10)),IF(C26&gt;=10,25,10))))</f>
        <v>5</v>
      </c>
      <c r="K26" s="477">
        <f t="shared" si="0"/>
        <v>1.0526315789473684</v>
      </c>
      <c r="L26" s="478">
        <v>3.5000000000000003E-2</v>
      </c>
      <c r="M26" s="479"/>
      <c r="N26" s="480"/>
      <c r="O26" s="480"/>
      <c r="P26" s="480"/>
      <c r="Q26" s="480"/>
      <c r="R26" s="481"/>
      <c r="S26" s="480">
        <v>1</v>
      </c>
      <c r="T26" s="480"/>
      <c r="U26" s="480"/>
      <c r="V26" s="487"/>
      <c r="W26" s="487"/>
      <c r="X26" s="483"/>
      <c r="Y26" s="484">
        <f>IF($V26="",0,Volume_Inject!$F22*$K26*M26*($V26+$W26)/12)</f>
        <v>0</v>
      </c>
      <c r="Z26" s="484">
        <f>IF($V26="",0,Volume_Inject!$F22*$K26*N26*($V26+$W26)/12)</f>
        <v>0</v>
      </c>
      <c r="AA26" s="484">
        <f>IF($V26="",0,Volume_Inject!$F22*$K26*O26*($V26+$W26)/12)</f>
        <v>0</v>
      </c>
      <c r="AB26" s="484">
        <f>IF($V26="",0,Volume_Inject!$F22*$K26*P26*($V26+$W26)/12)</f>
        <v>0</v>
      </c>
      <c r="AC26" s="484">
        <f>IF($V26="",0,Volume_Inject!$F22*$K26*Q26*($V26+$W26)/12)</f>
        <v>0</v>
      </c>
    </row>
    <row r="27" spans="2:29" s="5" customFormat="1" ht="11.4">
      <c r="B27" s="469"/>
      <c r="C27" s="470"/>
      <c r="D27" s="471"/>
      <c r="E27" s="471"/>
      <c r="F27" s="473">
        <f t="array" ref="F27">IF(B27="",0,IF($D$5=min,MIN(IF(Vaccines=$B27,IF(Formulation=Volume_Inject!$C23,IF(Vaccine_database!$E$10:$E$278=Volume_Inject!$D23,IF(Vaccine_database!$J$10:$J$278=$C27,Vaccine_database!K$10:K$278))))),IF($D$5=max,MAX(IF(Vaccines=$B27,IF(Formulation=Volume_Inject!$C23,IF(Vaccine_database!$E$10:$E$278=Volume_Inject!$D23,IF(Vaccine_database!$J$10:$J$278=$C27,Vaccine_database!K$10:K$278))))),AVERAGE(IF(Vaccines=$B27,IF(Formulation=Volume_Inject!$C23,IF(Vaccine_database!$E$10:$E$278=Volume_Inject!$D23,IF(Vaccine_database!$J$10:$J$278=$C27,Vaccine_database!K$10:K$278))))))))</f>
        <v>0</v>
      </c>
      <c r="G27" s="473">
        <f t="array" ref="G27">IF(C27="",0,IF($D$5=min,MIN(IF(Vaccines=$B27,IF(Formulation=Volume_Inject!$C23,IF(Vaccine_database!$E$10:$E$278=Volume_Inject!$D23,IF(Vaccine_database!$J$10:$J$278=$C27,Vaccine_database!L$10:L$278))))),IF($D$5=max,MAX(IF(Vaccines=$B27,IF(Formulation=Volume_Inject!$C23,IF(Vaccine_database!$E$10:$E$278=Volume_Inject!$D23,IF(Vaccine_database!$J$10:$J$278=$C27,Vaccine_database!L$10:L$278))))),AVERAGE(IF(Vaccines=$B27,IF(Formulation=Volume_Inject!$C23,IF(Vaccine_database!$E$10:$E$278=Volume_Inject!$D23,IF(Vaccine_database!$J$10:$J$278=$C27,Vaccine_database!L$10:L$278))))))))</f>
        <v>0</v>
      </c>
      <c r="H27" s="485"/>
      <c r="I27" s="486"/>
      <c r="J27" s="476" t="str">
        <f>IF(B27="","",IF(OR(ISTEXT(C27),C27=1),5,IF(Volume_Inject!$C23&lt;&gt;"liquid",IF(C27&gt;=20,50,IF(C27=10,40,10)),IF(C27&gt;=10,25,10))))</f>
        <v/>
      </c>
      <c r="K27" s="477">
        <f t="shared" si="0"/>
        <v>0</v>
      </c>
      <c r="L27" s="478"/>
      <c r="M27" s="479"/>
      <c r="N27" s="480"/>
      <c r="O27" s="480"/>
      <c r="P27" s="480"/>
      <c r="Q27" s="480"/>
      <c r="R27" s="481"/>
      <c r="S27" s="480"/>
      <c r="T27" s="480"/>
      <c r="U27" s="480"/>
      <c r="V27" s="487"/>
      <c r="W27" s="487"/>
      <c r="X27" s="483"/>
      <c r="Y27" s="484">
        <f>IF($V27="",0,Volume_Inject!$F23*$K27*M27*($V27+$W27)/12)</f>
        <v>0</v>
      </c>
      <c r="Z27" s="484">
        <f>IF($V27="",0,Volume_Inject!$F23*$K27*N27*($V27+$W27)/12)</f>
        <v>0</v>
      </c>
      <c r="AA27" s="484">
        <f>IF($V27="",0,Volume_Inject!$F23*$K27*O27*($V27+$W27)/12)</f>
        <v>0</v>
      </c>
      <c r="AB27" s="484">
        <f>IF($V27="",0,Volume_Inject!$F23*$K27*P27*($V27+$W27)/12)</f>
        <v>0</v>
      </c>
      <c r="AC27" s="484">
        <f>IF($V27="",0,Volume_Inject!$F23*$K27*Q27*($V27+$W27)/12)</f>
        <v>0</v>
      </c>
    </row>
    <row r="28" spans="2:29" s="5" customFormat="1" ht="11.4">
      <c r="B28" s="469"/>
      <c r="C28" s="470"/>
      <c r="D28" s="471"/>
      <c r="E28" s="471"/>
      <c r="F28" s="473">
        <f t="array" ref="F28">IF(B28="",0,IF($D$5=min,MIN(IF(Vaccines=$B28,IF(Formulation=Volume_Inject!$C24,IF(Vaccine_database!$E$10:$E$278=Volume_Inject!$D24,IF(Vaccine_database!$J$10:$J$278=$C28,Vaccine_database!K$10:K$278))))),IF($D$5=max,MAX(IF(Vaccines=$B28,IF(Formulation=Volume_Inject!$C24,IF(Vaccine_database!$E$10:$E$278=Volume_Inject!$D24,IF(Vaccine_database!$J$10:$J$278=$C28,Vaccine_database!K$10:K$278))))),AVERAGE(IF(Vaccines=$B28,IF(Formulation=Volume_Inject!$C24,IF(Vaccine_database!$E$10:$E$278=Volume_Inject!$D24,IF(Vaccine_database!$J$10:$J$278=$C28,Vaccine_database!K$10:K$278))))))))</f>
        <v>0</v>
      </c>
      <c r="G28" s="473">
        <f t="array" ref="G28">IF(C28="",0,IF($D$5=min,MIN(IF(Vaccines=$B28,IF(Formulation=Volume_Inject!$C24,IF(Vaccine_database!$E$10:$E$278=Volume_Inject!$D24,IF(Vaccine_database!$J$10:$J$278=$C28,Vaccine_database!L$10:L$278))))),IF($D$5=max,MAX(IF(Vaccines=$B28,IF(Formulation=Volume_Inject!$C24,IF(Vaccine_database!$E$10:$E$278=Volume_Inject!$D24,IF(Vaccine_database!$J$10:$J$278=$C28,Vaccine_database!L$10:L$278))))),AVERAGE(IF(Vaccines=$B28,IF(Formulation=Volume_Inject!$C24,IF(Vaccine_database!$E$10:$E$278=Volume_Inject!$D24,IF(Vaccine_database!$J$10:$J$278=$C28,Vaccine_database!L$10:L$278))))))))</f>
        <v>0</v>
      </c>
      <c r="H28" s="485"/>
      <c r="I28" s="486"/>
      <c r="J28" s="476" t="str">
        <f>IF(B28="","",IF(OR(ISTEXT(C28),C28=1),5,IF(Volume_Inject!$C24&lt;&gt;"liquid",IF(C28&gt;=20,50,IF(C28=10,40,10)),IF(C28&gt;=10,25,10))))</f>
        <v/>
      </c>
      <c r="K28" s="477">
        <f t="shared" si="0"/>
        <v>0</v>
      </c>
      <c r="L28" s="478"/>
      <c r="M28" s="479"/>
      <c r="N28" s="480"/>
      <c r="O28" s="480"/>
      <c r="P28" s="480"/>
      <c r="Q28" s="480"/>
      <c r="R28" s="481"/>
      <c r="S28" s="480"/>
      <c r="T28" s="480"/>
      <c r="U28" s="480"/>
      <c r="V28" s="487"/>
      <c r="W28" s="487"/>
      <c r="X28" s="483"/>
      <c r="Y28" s="484">
        <f>IF($V28="",0,Volume_Inject!$F24*$K28*M28*($V28+$W28)/12)</f>
        <v>0</v>
      </c>
      <c r="Z28" s="484">
        <f>IF($V28="",0,Volume_Inject!$F24*$K28*N28*($V28+$W28)/12)</f>
        <v>0</v>
      </c>
      <c r="AA28" s="484">
        <f>IF($V28="",0,Volume_Inject!$F24*$K28*O28*($V28+$W28)/12)</f>
        <v>0</v>
      </c>
      <c r="AB28" s="484">
        <f>IF($V28="",0,Volume_Inject!$F24*$K28*P28*($V28+$W28)/12)</f>
        <v>0</v>
      </c>
      <c r="AC28" s="484">
        <f>IF($V28="",0,Volume_Inject!$F24*$K28*Q28*($V28+$W28)/12)</f>
        <v>0</v>
      </c>
    </row>
    <row r="29" spans="2:29" s="5" customFormat="1" ht="11.4">
      <c r="B29" s="469"/>
      <c r="C29" s="470"/>
      <c r="D29" s="471"/>
      <c r="E29" s="471"/>
      <c r="F29" s="473">
        <f t="array" ref="F29">IF(B29="",0,IF($D$5=min,MIN(IF(Vaccines=$B29,IF(Formulation=Volume_Inject!$C25,IF(Vaccine_database!$E$10:$E$278=Volume_Inject!$D25,IF(Vaccine_database!$J$10:$J$278=$C29,Vaccine_database!K$10:K$278))))),IF($D$5=max,MAX(IF(Vaccines=$B29,IF(Formulation=Volume_Inject!$C25,IF(Vaccine_database!$E$10:$E$278=Volume_Inject!$D25,IF(Vaccine_database!$J$10:$J$278=$C29,Vaccine_database!K$10:K$278))))),AVERAGE(IF(Vaccines=$B29,IF(Formulation=Volume_Inject!$C25,IF(Vaccine_database!$E$10:$E$278=Volume_Inject!$D25,IF(Vaccine_database!$J$10:$J$278=$C29,Vaccine_database!K$10:K$278))))))))</f>
        <v>0</v>
      </c>
      <c r="G29" s="473">
        <f t="array" ref="G29">IF(C29="",0,IF($D$5=min,MIN(IF(Vaccines=$B29,IF(Formulation=Volume_Inject!$C25,IF(Vaccine_database!$E$10:$E$278=Volume_Inject!$D25,IF(Vaccine_database!$J$10:$J$278=$C29,Vaccine_database!L$10:L$278))))),IF($D$5=max,MAX(IF(Vaccines=$B29,IF(Formulation=Volume_Inject!$C25,IF(Vaccine_database!$E$10:$E$278=Volume_Inject!$D25,IF(Vaccine_database!$J$10:$J$278=$C29,Vaccine_database!L$10:L$278))))),AVERAGE(IF(Vaccines=$B29,IF(Formulation=Volume_Inject!$C25,IF(Vaccine_database!$E$10:$E$278=Volume_Inject!$D25,IF(Vaccine_database!$J$10:$J$278=$C29,Vaccine_database!L$10:L$278))))))))</f>
        <v>0</v>
      </c>
      <c r="H29" s="485"/>
      <c r="I29" s="486"/>
      <c r="J29" s="476" t="str">
        <f>IF(B29="","",IF(OR(ISTEXT(C29),C29=1),5,IF(Volume_Inject!$C25&lt;&gt;"liquid",IF(C29&gt;=20,50,IF(C29=10,40,10)),IF(C29&gt;=10,25,10))))</f>
        <v/>
      </c>
      <c r="K29" s="477">
        <f t="shared" si="0"/>
        <v>0</v>
      </c>
      <c r="L29" s="478"/>
      <c r="M29" s="479"/>
      <c r="N29" s="480"/>
      <c r="O29" s="480"/>
      <c r="P29" s="480"/>
      <c r="Q29" s="480"/>
      <c r="R29" s="481"/>
      <c r="S29" s="480"/>
      <c r="T29" s="480"/>
      <c r="U29" s="480"/>
      <c r="V29" s="487"/>
      <c r="W29" s="487"/>
      <c r="X29" s="483"/>
      <c r="Y29" s="484">
        <f>IF($V29="",0,Volume_Inject!$F25*$K29*M29*($V29+$W29)/12)</f>
        <v>0</v>
      </c>
      <c r="Z29" s="484">
        <f>IF($V29="",0,Volume_Inject!$F25*$K29*N29*($V29+$W29)/12)</f>
        <v>0</v>
      </c>
      <c r="AA29" s="484">
        <f>IF($V29="",0,Volume_Inject!$F25*$K29*O29*($V29+$W29)/12)</f>
        <v>0</v>
      </c>
      <c r="AB29" s="484">
        <f>IF($V29="",0,Volume_Inject!$F25*$K29*P29*($V29+$W29)/12)</f>
        <v>0</v>
      </c>
      <c r="AC29" s="484">
        <f>IF($V29="",0,Volume_Inject!$F25*$K29*Q29*($V29+$W29)/12)</f>
        <v>0</v>
      </c>
    </row>
    <row r="30" spans="2:29" s="5" customFormat="1" ht="11.4">
      <c r="B30" s="469"/>
      <c r="C30" s="470"/>
      <c r="D30" s="471"/>
      <c r="E30" s="471"/>
      <c r="F30" s="473">
        <f t="array" ref="F30">IF(B30="",0,IF($D$5=min,MIN(IF(Vaccines=$B30,IF(Formulation=Volume_Inject!$C26,IF(Vaccine_database!$E$10:$E$278=Volume_Inject!$D26,IF(Vaccine_database!$J$10:$J$278=$C30,Vaccine_database!K$10:K$278))))),IF($D$5=max,MAX(IF(Vaccines=$B30,IF(Formulation=Volume_Inject!$C26,IF(Vaccine_database!$E$10:$E$278=Volume_Inject!$D26,IF(Vaccine_database!$J$10:$J$278=$C30,Vaccine_database!K$10:K$278))))),AVERAGE(IF(Vaccines=$B30,IF(Formulation=Volume_Inject!$C26,IF(Vaccine_database!$E$10:$E$278=Volume_Inject!$D26,IF(Vaccine_database!$J$10:$J$278=$C30,Vaccine_database!K$10:K$278))))))))</f>
        <v>0</v>
      </c>
      <c r="G30" s="473">
        <f t="array" ref="G30">IF(C30="",0,IF($D$5=min,MIN(IF(Vaccines=$B30,IF(Formulation=Volume_Inject!$C26,IF(Vaccine_database!$E$10:$E$278=Volume_Inject!$D26,IF(Vaccine_database!$J$10:$J$278=$C30,Vaccine_database!L$10:L$278))))),IF($D$5=max,MAX(IF(Vaccines=$B30,IF(Formulation=Volume_Inject!$C26,IF(Vaccine_database!$E$10:$E$278=Volume_Inject!$D26,IF(Vaccine_database!$J$10:$J$278=$C30,Vaccine_database!L$10:L$278))))),AVERAGE(IF(Vaccines=$B30,IF(Formulation=Volume_Inject!$C26,IF(Vaccine_database!$E$10:$E$278=Volume_Inject!$D26,IF(Vaccine_database!$J$10:$J$278=$C30,Vaccine_database!L$10:L$278))))))))</f>
        <v>0</v>
      </c>
      <c r="H30" s="485"/>
      <c r="I30" s="486"/>
      <c r="J30" s="476" t="str">
        <f>IF(B30="","",IF(OR(ISTEXT(C30),C30=1),5,IF(Volume_Inject!$C26&lt;&gt;"liquid",IF(C30&gt;=20,50,IF(C30=10,40,10)),IF(C30&gt;=10,25,10))))</f>
        <v/>
      </c>
      <c r="K30" s="477">
        <f t="shared" si="0"/>
        <v>0</v>
      </c>
      <c r="L30" s="478"/>
      <c r="M30" s="479"/>
      <c r="N30" s="480"/>
      <c r="O30" s="480"/>
      <c r="P30" s="480"/>
      <c r="Q30" s="480"/>
      <c r="R30" s="481"/>
      <c r="S30" s="480"/>
      <c r="T30" s="480"/>
      <c r="U30" s="480"/>
      <c r="V30" s="487"/>
      <c r="W30" s="487"/>
      <c r="X30" s="483"/>
      <c r="Y30" s="484">
        <f>IF($V30="",0,Volume_Inject!$F26*$K30*M30*($V30+$W30)/12)</f>
        <v>0</v>
      </c>
      <c r="Z30" s="484">
        <f>IF($V30="",0,Volume_Inject!$F26*$K30*N30*($V30+$W30)/12)</f>
        <v>0</v>
      </c>
      <c r="AA30" s="484">
        <f>IF($V30="",0,Volume_Inject!$F26*$K30*O30*($V30+$W30)/12)</f>
        <v>0</v>
      </c>
      <c r="AB30" s="484">
        <f>IF($V30="",0,Volume_Inject!$F26*$K30*P30*($V30+$W30)/12)</f>
        <v>0</v>
      </c>
      <c r="AC30" s="484">
        <f>IF($V30="",0,Volume_Inject!$F26*$K30*Q30*($V30+$W30)/12)</f>
        <v>0</v>
      </c>
    </row>
    <row r="31" spans="2:29" s="5" customFormat="1" ht="11.4">
      <c r="B31" s="488"/>
      <c r="C31" s="470"/>
      <c r="D31" s="471"/>
      <c r="E31" s="471"/>
      <c r="F31" s="473">
        <f t="array" ref="F31">IF(B31="",0,IF($D$5=min,MIN(IF(Vaccines=$B31,IF(Formulation=Volume_Inject!$C27,IF(Vaccine_database!$E$10:$E$278=Volume_Inject!$D27,IF(Vaccine_database!$J$10:$J$278=$C31,Vaccine_database!K$10:K$278))))),IF($D$5=max,MAX(IF(Vaccines=$B31,IF(Formulation=Volume_Inject!$C27,IF(Vaccine_database!$E$10:$E$278=Volume_Inject!$D27,IF(Vaccine_database!$J$10:$J$278=$C31,Vaccine_database!K$10:K$278))))),AVERAGE(IF(Vaccines=$B31,IF(Formulation=Volume_Inject!$C27,IF(Vaccine_database!$E$10:$E$278=Volume_Inject!$D27,IF(Vaccine_database!$J$10:$J$278=$C31,Vaccine_database!K$10:K$278))))))))</f>
        <v>0</v>
      </c>
      <c r="G31" s="473">
        <f t="array" ref="G31">IF(C31="",0,IF($D$5=min,MIN(IF(Vaccines=$B31,IF(Formulation=Volume_Inject!$C27,IF(Vaccine_database!$E$10:$E$278=Volume_Inject!$D27,IF(Vaccine_database!$J$10:$J$278=$C31,Vaccine_database!L$10:L$278))))),IF($D$5=max,MAX(IF(Vaccines=$B31,IF(Formulation=Volume_Inject!$C27,IF(Vaccine_database!$E$10:$E$278=Volume_Inject!$D27,IF(Vaccine_database!$J$10:$J$278=$C31,Vaccine_database!L$10:L$278))))),AVERAGE(IF(Vaccines=$B31,IF(Formulation=Volume_Inject!$C27,IF(Vaccine_database!$E$10:$E$278=Volume_Inject!$D27,IF(Vaccine_database!$J$10:$J$278=$C31,Vaccine_database!L$10:L$278))))))))</f>
        <v>0</v>
      </c>
      <c r="H31" s="485"/>
      <c r="I31" s="486"/>
      <c r="J31" s="476" t="str">
        <f>IF(B31="","",IF(OR(ISTEXT(C31),C31=1),5,IF(Volume_Inject!$C27&lt;&gt;"liquid",IF(C31&gt;=20,50,IF(C31=10,40,10)),IF(C31&gt;=10,25,10))))</f>
        <v/>
      </c>
      <c r="K31" s="477">
        <f t="shared" si="0"/>
        <v>0</v>
      </c>
      <c r="L31" s="478"/>
      <c r="M31" s="479"/>
      <c r="N31" s="480"/>
      <c r="O31" s="480"/>
      <c r="P31" s="480"/>
      <c r="Q31" s="480"/>
      <c r="R31" s="481"/>
      <c r="S31" s="480"/>
      <c r="T31" s="480"/>
      <c r="U31" s="480"/>
      <c r="V31" s="487"/>
      <c r="W31" s="487"/>
      <c r="X31" s="483"/>
      <c r="Y31" s="484">
        <f>IF($V31="",0,Volume_Inject!$F27*$K31*M31*($V31+$W31)/12)</f>
        <v>0</v>
      </c>
      <c r="Z31" s="484">
        <f>IF($V31="",0,Volume_Inject!$F27*$K31*N31*($V31+$W31)/12)</f>
        <v>0</v>
      </c>
      <c r="AA31" s="484">
        <f>IF($V31="",0,Volume_Inject!$F27*$K31*O31*($V31+$W31)/12)</f>
        <v>0</v>
      </c>
      <c r="AB31" s="484">
        <f>IF($V31="",0,Volume_Inject!$F27*$K31*P31*($V31+$W31)/12)</f>
        <v>0</v>
      </c>
      <c r="AC31" s="484">
        <f>IF($V31="",0,Volume_Inject!$F27*$K31*Q31*($V31+$W31)/12)</f>
        <v>0</v>
      </c>
    </row>
    <row r="32" spans="2:29" s="5" customFormat="1" ht="11.4">
      <c r="B32" s="488"/>
      <c r="C32" s="470"/>
      <c r="D32" s="471"/>
      <c r="E32" s="471"/>
      <c r="F32" s="473">
        <f t="array" ref="F32">IF(B32="",0,IF($D$5=min,MIN(IF(Vaccines=$B32,IF(Formulation=Volume_Inject!$C28,IF(Vaccine_database!$E$10:$E$278=Volume_Inject!$D28,IF(Vaccine_database!$J$10:$J$278=$C32,Vaccine_database!K$10:K$278))))),IF($D$5=max,MAX(IF(Vaccines=$B32,IF(Formulation=Volume_Inject!$C28,IF(Vaccine_database!$E$10:$E$278=Volume_Inject!$D28,IF(Vaccine_database!$J$10:$J$278=$C32,Vaccine_database!K$10:K$278))))),AVERAGE(IF(Vaccines=$B32,IF(Formulation=Volume_Inject!$C28,IF(Vaccine_database!$E$10:$E$278=Volume_Inject!$D28,IF(Vaccine_database!$J$10:$J$278=$C32,Vaccine_database!K$10:K$278))))))))</f>
        <v>0</v>
      </c>
      <c r="G32" s="473">
        <f t="array" ref="G32">IF(C32="",0,IF($D$5=min,MIN(IF(Vaccines=$B32,IF(Formulation=Volume_Inject!$C28,IF(Vaccine_database!$E$10:$E$278=Volume_Inject!$D28,IF(Vaccine_database!$J$10:$J$278=$C32,Vaccine_database!L$10:L$278))))),IF($D$5=max,MAX(IF(Vaccines=$B32,IF(Formulation=Volume_Inject!$C28,IF(Vaccine_database!$E$10:$E$278=Volume_Inject!$D28,IF(Vaccine_database!$J$10:$J$278=$C32,Vaccine_database!L$10:L$278))))),AVERAGE(IF(Vaccines=$B32,IF(Formulation=Volume_Inject!$C28,IF(Vaccine_database!$E$10:$E$278=Volume_Inject!$D28,IF(Vaccine_database!$J$10:$J$278=$C32,Vaccine_database!L$10:L$278))))))))</f>
        <v>0</v>
      </c>
      <c r="H32" s="485"/>
      <c r="I32" s="486"/>
      <c r="J32" s="476" t="str">
        <f>IF(B32="","",IF(OR(ISTEXT(C32),C32=1),5,IF(Volume_Inject!$C28&lt;&gt;"liquid",IF(C32&gt;=20,50,IF(C32=10,40,10)),IF(C32&gt;=10,25,10))))</f>
        <v/>
      </c>
      <c r="K32" s="477">
        <f t="shared" si="0"/>
        <v>0</v>
      </c>
      <c r="L32" s="478"/>
      <c r="M32" s="479"/>
      <c r="N32" s="480"/>
      <c r="O32" s="480"/>
      <c r="P32" s="480"/>
      <c r="Q32" s="480"/>
      <c r="R32" s="481"/>
      <c r="S32" s="480"/>
      <c r="T32" s="480"/>
      <c r="U32" s="480"/>
      <c r="V32" s="487"/>
      <c r="W32" s="487"/>
      <c r="X32" s="483"/>
      <c r="Y32" s="484">
        <f>IF($V32="",0,Volume_Inject!$F28*$K32*M32*($V32+$W32)/12)</f>
        <v>0</v>
      </c>
      <c r="Z32" s="484">
        <f>IF($V32="",0,Volume_Inject!$F28*$K32*N32*($V32+$W32)/12)</f>
        <v>0</v>
      </c>
      <c r="AA32" s="484">
        <f>IF($V32="",0,Volume_Inject!$F28*$K32*O32*($V32+$W32)/12)</f>
        <v>0</v>
      </c>
      <c r="AB32" s="484">
        <f>IF($V32="",0,Volume_Inject!$F28*$K32*P32*($V32+$W32)/12)</f>
        <v>0</v>
      </c>
      <c r="AC32" s="484">
        <f>IF($V32="",0,Volume_Inject!$F28*$K32*Q32*($V32+$W32)/12)</f>
        <v>0</v>
      </c>
    </row>
    <row r="33" spans="2:29" s="5" customFormat="1" ht="11.4">
      <c r="B33" s="488"/>
      <c r="C33" s="470"/>
      <c r="D33" s="471"/>
      <c r="E33" s="471"/>
      <c r="F33" s="473">
        <f t="array" ref="F33">IF(B33="",0,IF($D$5=min,MIN(IF(Vaccines=$B33,IF(Formulation=Volume_Inject!$C29,IF(Vaccine_database!$E$10:$E$278=Volume_Inject!$D29,IF(Vaccine_database!$J$10:$J$278=$C33,Vaccine_database!K$10:K$278))))),IF($D$5=max,MAX(IF(Vaccines=$B33,IF(Formulation=Volume_Inject!$C29,IF(Vaccine_database!$E$10:$E$278=Volume_Inject!$D29,IF(Vaccine_database!$J$10:$J$278=$C33,Vaccine_database!K$10:K$278))))),AVERAGE(IF(Vaccines=$B33,IF(Formulation=Volume_Inject!$C29,IF(Vaccine_database!$E$10:$E$278=Volume_Inject!$D29,IF(Vaccine_database!$J$10:$J$278=$C33,Vaccine_database!K$10:K$278))))))))</f>
        <v>0</v>
      </c>
      <c r="G33" s="473">
        <f t="array" ref="G33">IF(C33="",0,IF($D$5=min,MIN(IF(Vaccines=$B33,IF(Formulation=Volume_Inject!$C29,IF(Vaccine_database!$E$10:$E$278=Volume_Inject!$D29,IF(Vaccine_database!$J$10:$J$278=$C33,Vaccine_database!L$10:L$278))))),IF($D$5=max,MAX(IF(Vaccines=$B33,IF(Formulation=Volume_Inject!$C29,IF(Vaccine_database!$E$10:$E$278=Volume_Inject!$D29,IF(Vaccine_database!$J$10:$J$278=$C33,Vaccine_database!L$10:L$278))))),AVERAGE(IF(Vaccines=$B33,IF(Formulation=Volume_Inject!$C29,IF(Vaccine_database!$E$10:$E$278=Volume_Inject!$D29,IF(Vaccine_database!$J$10:$J$278=$C33,Vaccine_database!L$10:L$278))))))))</f>
        <v>0</v>
      </c>
      <c r="H33" s="485"/>
      <c r="I33" s="486"/>
      <c r="J33" s="476" t="str">
        <f>IF(B33="","",IF(OR(ISTEXT(C33),C33=1),5,IF(Volume_Inject!$C29&lt;&gt;"liquid",IF(C33&gt;=20,50,IF(C33=10,40,10)),IF(C33&gt;=10,25,10))))</f>
        <v/>
      </c>
      <c r="K33" s="477">
        <f t="shared" si="0"/>
        <v>0</v>
      </c>
      <c r="L33" s="478"/>
      <c r="M33" s="479"/>
      <c r="N33" s="480"/>
      <c r="O33" s="480"/>
      <c r="P33" s="480"/>
      <c r="Q33" s="480"/>
      <c r="R33" s="481"/>
      <c r="S33" s="480"/>
      <c r="T33" s="480"/>
      <c r="U33" s="480"/>
      <c r="V33" s="487"/>
      <c r="W33" s="487"/>
      <c r="X33" s="483"/>
      <c r="Y33" s="484">
        <f>IF($V33="",0,Volume_Inject!$F29*$K33*M33*($V33+$W33)/12)</f>
        <v>0</v>
      </c>
      <c r="Z33" s="484">
        <f>IF($V33="",0,Volume_Inject!$F29*$K33*N33*($V33+$W33)/12)</f>
        <v>0</v>
      </c>
      <c r="AA33" s="484">
        <f>IF($V33="",0,Volume_Inject!$F29*$K33*O33*($V33+$W33)/12)</f>
        <v>0</v>
      </c>
      <c r="AB33" s="484">
        <f>IF($V33="",0,Volume_Inject!$F29*$K33*P33*($V33+$W33)/12)</f>
        <v>0</v>
      </c>
      <c r="AC33" s="484">
        <f>IF($V33="",0,Volume_Inject!$F29*$K33*Q33*($V33+$W33)/12)</f>
        <v>0</v>
      </c>
    </row>
    <row r="34" spans="2:29" s="5" customFormat="1" ht="11.4">
      <c r="B34" s="488"/>
      <c r="C34" s="470"/>
      <c r="D34" s="471"/>
      <c r="E34" s="471"/>
      <c r="F34" s="473">
        <f t="array" ref="F34">IF(B34="",0,IF($D$5=min,MIN(IF(Vaccines=$B34,IF(Formulation=Volume_Inject!$C30,IF(Vaccine_database!$E$10:$E$278=Volume_Inject!$D30,IF(Vaccine_database!$J$10:$J$278=$C34,Vaccine_database!K$10:K$278))))),IF($D$5=max,MAX(IF(Vaccines=$B34,IF(Formulation=Volume_Inject!$C30,IF(Vaccine_database!$E$10:$E$278=Volume_Inject!$D30,IF(Vaccine_database!$J$10:$J$278=$C34,Vaccine_database!K$10:K$278))))),AVERAGE(IF(Vaccines=$B34,IF(Formulation=Volume_Inject!$C30,IF(Vaccine_database!$E$10:$E$278=Volume_Inject!$D30,IF(Vaccine_database!$J$10:$J$278=$C34,Vaccine_database!K$10:K$278))))))))</f>
        <v>0</v>
      </c>
      <c r="G34" s="473">
        <f t="array" ref="G34">IF(C34="",0,IF($D$5=min,MIN(IF(Vaccines=$B34,IF(Formulation=Volume_Inject!$C30,IF(Vaccine_database!$E$10:$E$278=Volume_Inject!$D30,IF(Vaccine_database!$J$10:$J$278=$C34,Vaccine_database!L$10:L$278))))),IF($D$5=max,MAX(IF(Vaccines=$B34,IF(Formulation=Volume_Inject!$C30,IF(Vaccine_database!$E$10:$E$278=Volume_Inject!$D30,IF(Vaccine_database!$J$10:$J$278=$C34,Vaccine_database!L$10:L$278))))),AVERAGE(IF(Vaccines=$B34,IF(Formulation=Volume_Inject!$C30,IF(Vaccine_database!$E$10:$E$278=Volume_Inject!$D30,IF(Vaccine_database!$J$10:$J$278=$C34,Vaccine_database!L$10:L$278))))))))</f>
        <v>0</v>
      </c>
      <c r="H34" s="485"/>
      <c r="I34" s="486"/>
      <c r="J34" s="476" t="str">
        <f>IF(B34="","",IF(OR(ISTEXT(C34),C34=1),5,IF(Volume_Inject!$C30&lt;&gt;"liquid",IF(C34&gt;=20,50,IF(C34=10,40,10)),IF(C34&gt;=10,25,10))))</f>
        <v/>
      </c>
      <c r="K34" s="477">
        <f t="shared" si="0"/>
        <v>0</v>
      </c>
      <c r="L34" s="478"/>
      <c r="M34" s="479"/>
      <c r="N34" s="480"/>
      <c r="O34" s="480"/>
      <c r="P34" s="480"/>
      <c r="Q34" s="480"/>
      <c r="R34" s="481"/>
      <c r="S34" s="480"/>
      <c r="T34" s="480"/>
      <c r="U34" s="480"/>
      <c r="V34" s="487"/>
      <c r="W34" s="487"/>
      <c r="X34" s="483"/>
      <c r="Y34" s="484">
        <f>IF($V34="",0,Volume_Inject!$F30*$K34*M34*($V34+$W34)/12)</f>
        <v>0</v>
      </c>
      <c r="Z34" s="484">
        <f>IF($V34="",0,Volume_Inject!$F30*$K34*N34*($V34+$W34)/12)</f>
        <v>0</v>
      </c>
      <c r="AA34" s="484">
        <f>IF($V34="",0,Volume_Inject!$F30*$K34*O34*($V34+$W34)/12)</f>
        <v>0</v>
      </c>
      <c r="AB34" s="484">
        <f>IF($V34="",0,Volume_Inject!$F30*$K34*P34*($V34+$W34)/12)</f>
        <v>0</v>
      </c>
      <c r="AC34" s="484">
        <f>IF($V34="",0,Volume_Inject!$F30*$K34*Q34*($V34+$W34)/12)</f>
        <v>0</v>
      </c>
    </row>
    <row r="35" spans="2:29" s="5" customFormat="1" ht="11.4">
      <c r="B35" s="488"/>
      <c r="C35" s="470"/>
      <c r="D35" s="471"/>
      <c r="E35" s="471"/>
      <c r="F35" s="473">
        <f t="array" ref="F35">IF(B35="",0,IF($D$5=min,MIN(IF(Vaccines=$B35,IF(Formulation=Volume_Inject!$C31,IF(Vaccine_database!$E$10:$E$278=Volume_Inject!$D31,IF(Vaccine_database!$J$10:$J$278=$C35,Vaccine_database!K$10:K$278))))),IF($D$5=max,MAX(IF(Vaccines=$B35,IF(Formulation=Volume_Inject!$C31,IF(Vaccine_database!$E$10:$E$278=Volume_Inject!$D31,IF(Vaccine_database!$J$10:$J$278=$C35,Vaccine_database!K$10:K$278))))),AVERAGE(IF(Vaccines=$B35,IF(Formulation=Volume_Inject!$C31,IF(Vaccine_database!$E$10:$E$278=Volume_Inject!$D31,IF(Vaccine_database!$J$10:$J$278=$C35,Vaccine_database!K$10:K$278))))))))</f>
        <v>0</v>
      </c>
      <c r="G35" s="473">
        <f t="array" ref="G35">IF(C35="",0,IF($D$5=min,MIN(IF(Vaccines=$B35,IF(Formulation=Volume_Inject!$C31,IF(Vaccine_database!$E$10:$E$278=Volume_Inject!$D31,IF(Vaccine_database!$J$10:$J$278=$C35,Vaccine_database!L$10:L$278))))),IF($D$5=max,MAX(IF(Vaccines=$B35,IF(Formulation=Volume_Inject!$C31,IF(Vaccine_database!$E$10:$E$278=Volume_Inject!$D31,IF(Vaccine_database!$J$10:$J$278=$C35,Vaccine_database!L$10:L$278))))),AVERAGE(IF(Vaccines=$B35,IF(Formulation=Volume_Inject!$C31,IF(Vaccine_database!$E$10:$E$278=Volume_Inject!$D31,IF(Vaccine_database!$J$10:$J$278=$C35,Vaccine_database!L$10:L$278))))))))</f>
        <v>0</v>
      </c>
      <c r="H35" s="485"/>
      <c r="I35" s="486"/>
      <c r="J35" s="476" t="str">
        <f>IF(B35="","",IF(OR(ISTEXT(C35),C35=1),5,IF(Volume_Inject!$C31&lt;&gt;"liquid",IF(C35&gt;=20,50,IF(C35=10,40,10)),IF(C35&gt;=10,25,10))))</f>
        <v/>
      </c>
      <c r="K35" s="477">
        <f t="shared" si="0"/>
        <v>0</v>
      </c>
      <c r="L35" s="478"/>
      <c r="M35" s="479"/>
      <c r="N35" s="480"/>
      <c r="O35" s="480"/>
      <c r="P35" s="480"/>
      <c r="Q35" s="480"/>
      <c r="R35" s="481"/>
      <c r="S35" s="480"/>
      <c r="T35" s="480"/>
      <c r="U35" s="480"/>
      <c r="V35" s="487"/>
      <c r="W35" s="487"/>
      <c r="X35" s="483"/>
      <c r="Y35" s="484">
        <f>IF($V35="",0,Volume_Inject!$F31*$K35*M35*($V35+$W35)/12)</f>
        <v>0</v>
      </c>
      <c r="Z35" s="484">
        <f>IF($V35="",0,Volume_Inject!$F31*$K35*N35*($V35+$W35)/12)</f>
        <v>0</v>
      </c>
      <c r="AA35" s="484">
        <f>IF($V35="",0,Volume_Inject!$F31*$K35*O35*($V35+$W35)/12)</f>
        <v>0</v>
      </c>
      <c r="AB35" s="484">
        <f>IF($V35="",0,Volume_Inject!$F31*$K35*P35*($V35+$W35)/12)</f>
        <v>0</v>
      </c>
      <c r="AC35" s="484">
        <f>IF($V35="",0,Volume_Inject!$F31*$K35*Q35*($V35+$W35)/12)</f>
        <v>0</v>
      </c>
    </row>
    <row r="36" spans="2:29" s="5" customFormat="1" ht="11.4">
      <c r="B36" s="488"/>
      <c r="C36" s="470"/>
      <c r="D36" s="471"/>
      <c r="E36" s="471"/>
      <c r="F36" s="473">
        <f t="array" ref="F36">IF(B36="",0,IF($D$5=min,MIN(IF(Vaccines=$B36,IF(Formulation=Volume_Inject!$C32,IF(Vaccine_database!$E$10:$E$278=Volume_Inject!$D32,IF(Vaccine_database!$J$10:$J$278=$C36,Vaccine_database!K$10:K$278))))),IF($D$5=max,MAX(IF(Vaccines=$B36,IF(Formulation=Volume_Inject!$C32,IF(Vaccine_database!$E$10:$E$278=Volume_Inject!$D32,IF(Vaccine_database!$J$10:$J$278=$C36,Vaccine_database!K$10:K$278))))),AVERAGE(IF(Vaccines=$B36,IF(Formulation=Volume_Inject!$C32,IF(Vaccine_database!$E$10:$E$278=Volume_Inject!$D32,IF(Vaccine_database!$J$10:$J$278=$C36,Vaccine_database!K$10:K$278))))))))</f>
        <v>0</v>
      </c>
      <c r="G36" s="473">
        <f t="array" ref="G36">IF(C36="",0,IF($D$5=min,MIN(IF(Vaccines=$B36,IF(Formulation=Volume_Inject!$C32,IF(Vaccine_database!$E$10:$E$278=Volume_Inject!$D32,IF(Vaccine_database!$J$10:$J$278=$C36,Vaccine_database!L$10:L$278))))),IF($D$5=max,MAX(IF(Vaccines=$B36,IF(Formulation=Volume_Inject!$C32,IF(Vaccine_database!$E$10:$E$278=Volume_Inject!$D32,IF(Vaccine_database!$J$10:$J$278=$C36,Vaccine_database!L$10:L$278))))),AVERAGE(IF(Vaccines=$B36,IF(Formulation=Volume_Inject!$C32,IF(Vaccine_database!$E$10:$E$278=Volume_Inject!$D32,IF(Vaccine_database!$J$10:$J$278=$C36,Vaccine_database!L$10:L$278))))))))</f>
        <v>0</v>
      </c>
      <c r="H36" s="485"/>
      <c r="I36" s="486"/>
      <c r="J36" s="476" t="str">
        <f>IF(B36="","",IF(OR(ISTEXT(C36),C36=1),5,IF(Volume_Inject!$C32&lt;&gt;"liquid",IF(C36&gt;=20,50,IF(C36=10,40,10)),IF(C36&gt;=10,25,10))))</f>
        <v/>
      </c>
      <c r="K36" s="477">
        <f t="shared" si="0"/>
        <v>0</v>
      </c>
      <c r="L36" s="478"/>
      <c r="M36" s="479"/>
      <c r="N36" s="480"/>
      <c r="O36" s="480"/>
      <c r="P36" s="480"/>
      <c r="Q36" s="480"/>
      <c r="R36" s="481"/>
      <c r="S36" s="480"/>
      <c r="T36" s="480"/>
      <c r="U36" s="480"/>
      <c r="V36" s="487"/>
      <c r="W36" s="487"/>
      <c r="X36" s="483"/>
      <c r="Y36" s="484">
        <f>IF($V36="",0,Volume_Inject!$F32*$K36*M36*($V36+$W36)/12)</f>
        <v>0</v>
      </c>
      <c r="Z36" s="484">
        <f>IF($V36="",0,Volume_Inject!$F32*$K36*N36*($V36+$W36)/12)</f>
        <v>0</v>
      </c>
      <c r="AA36" s="484">
        <f>IF($V36="",0,Volume_Inject!$F32*$K36*O36*($V36+$W36)/12)</f>
        <v>0</v>
      </c>
      <c r="AB36" s="484">
        <f>IF($V36="",0,Volume_Inject!$F32*$K36*P36*($V36+$W36)/12)</f>
        <v>0</v>
      </c>
      <c r="AC36" s="484">
        <f>IF($V36="",0,Volume_Inject!$F32*$K36*Q36*($V36+$W36)/12)</f>
        <v>0</v>
      </c>
    </row>
    <row r="37" spans="2:29" s="25" customFormat="1" ht="6" customHeight="1">
      <c r="B37" s="24"/>
      <c r="C37" s="24"/>
      <c r="D37" s="24"/>
      <c r="E37" s="24"/>
      <c r="F37" s="24"/>
      <c r="G37" s="24"/>
      <c r="H37" s="24"/>
      <c r="I37" s="24"/>
      <c r="J37" s="24"/>
      <c r="K37" s="24"/>
      <c r="L37" s="24"/>
      <c r="M37" s="24"/>
      <c r="N37" s="24"/>
      <c r="O37" s="24"/>
      <c r="P37" s="24"/>
      <c r="Q37" s="24"/>
      <c r="R37" s="466"/>
      <c r="S37" s="24"/>
      <c r="T37" s="24"/>
      <c r="U37" s="24"/>
      <c r="V37"/>
      <c r="W37"/>
      <c r="X37" s="24"/>
      <c r="Y37" s="70"/>
      <c r="Z37" s="70"/>
      <c r="AA37" s="70"/>
      <c r="AB37" s="70"/>
      <c r="AC37" s="70"/>
    </row>
    <row r="38" spans="2:29" ht="13.8">
      <c r="B38" s="28"/>
      <c r="F38" s="498"/>
      <c r="G38" s="498"/>
      <c r="H38" s="498"/>
      <c r="I38" s="498"/>
      <c r="J38" s="499"/>
      <c r="K38" s="500"/>
      <c r="L38" s="501" t="str">
        <f>CONCATENATE(Translation!C356," ",E$8)</f>
        <v xml:space="preserve">Net volume of OPV at -20°C in higher level stores, per Unit of Population </v>
      </c>
      <c r="M38" s="27">
        <f t="array" ref="M38">IF($E$8=target1,SUM(($B$17:$B$36="OPV")*(Volume_Inject!$F$13:$F$32)*($K$17:$K$36)*(M$17:M$36)),SUM(($B$17:$B$36="OPV")*(Volume_Inject!$F$13:$F$32)*($K$17:$K$36)*($L$17:$L$36)*(M$17:M$36)))</f>
        <v>0.20266666666666666</v>
      </c>
      <c r="N38" s="27">
        <f t="array" ref="N38">IF($E$8=target1,SUM(($B$17:$B$36="OPV")*(Volume_Inject!$F$13:$F$32)*($K$17:$K$36)*(N$17:N$36)),SUM(($B$17:$B$36="OPV")*(Volume_Inject!$F$13:$F$32)*($K$17:$K$36)*($L$17:$L$36)*(N$17:N$36)))</f>
        <v>0.20266666666666666</v>
      </c>
      <c r="O38" s="27">
        <f t="array" ref="O38">IF($E$8=target1,SUM(($B$17:$B$36="OPV")*(Volume_Inject!$F$13:$F$32)*($K$17:$K$36)*(O$17:O$36)),SUM(($B$17:$B$36="OPV")*(Volume_Inject!$F$13:$F$32)*($K$17:$K$36)*($L$17:$L$36)*(O$17:O$36)))</f>
        <v>0.20266666666666666</v>
      </c>
      <c r="P38" s="27">
        <f t="array" ref="P38">IF($E$8=target1,SUM(($B$17:$B$36="OPV")*(Volume_Inject!$F$13:$F$32)*($K$17:$K$36)*(P$17:P$36)),SUM(($B$17:$B$36="OPV")*(Volume_Inject!$F$13:$F$32)*($K$17:$K$36)*($L$17:$L$36)*(P$17:P$36)))</f>
        <v>0</v>
      </c>
      <c r="Q38" s="27">
        <f t="array" ref="Q38">IF($E$8=target1,SUM(($B$17:$B$36="OPV")*(Volume_Inject!$F$13:$F$32)*($K$17:$K$36)*(Q$17:Q$36)),SUM(($B$17:$B$36="OPV")*(Volume_Inject!$F$13:$F$32)*($K$17:$K$36)*($L$17:$L$36)*(Q$17:Q$36)))</f>
        <v>0</v>
      </c>
      <c r="R38" s="466"/>
      <c r="S38" s="52"/>
      <c r="T38" s="52"/>
      <c r="U38" s="52"/>
      <c r="Y38" s="71">
        <f t="array" ref="Y38">IF($E$8=target1,SUMIF($B$17:$B$36,"OPV",Y$17:Y$36),SUM(($B$17:$B$36="OPV")*($L$17:$L$36)*(Y$17:Y$36)))</f>
        <v>8.4444444444444433E-2</v>
      </c>
      <c r="Z38" s="71">
        <f t="array" ref="Z38">IF($E$8=target1,SUMIF($B$17:$B$36,"OPV",Z$17:Z$36),SUM(($B$17:$B$36="OPV")*($L$17:$L$36)*(Z$17:Z$36)))</f>
        <v>8.4444444444444433E-2</v>
      </c>
      <c r="AA38" s="71">
        <f t="array" ref="AA38">IF($E$8=target1,SUMIF($B$17:$B$36,"OPV",AA$17:AA$36),SUM(($B$17:$B$36="OPV")*($L$17:$L$36)*(AA$17:AA$36)))</f>
        <v>8.4444444444444433E-2</v>
      </c>
      <c r="AB38" s="71">
        <f t="array" ref="AB38">IF($E$8=target1,SUMIF($B$17:$B$36,"OPV",AB$17:AB$36),SUM(($B$17:$B$36="OPV")*($L$17:$L$36)*(AB$17:AB$36)))</f>
        <v>0</v>
      </c>
      <c r="AC38" s="71">
        <f t="array" ref="AC38">IF($E$8=target1,SUMIF($B$17:$B$36,"OPV",AC$17:AC$36),SUM(($B$17:$B$36="OPV")*($L$17:$L$36)*(AC$17:AC$36)))</f>
        <v>0</v>
      </c>
    </row>
    <row r="39" spans="2:29" ht="13.8">
      <c r="B39" s="28"/>
      <c r="F39" s="56"/>
      <c r="G39" s="56"/>
      <c r="H39" s="56"/>
      <c r="I39" s="56"/>
      <c r="J39" s="502"/>
      <c r="K39" s="500"/>
      <c r="L39" s="501" t="str">
        <f>CONCATENATE(Translation!C357," ",E$8)</f>
        <v xml:space="preserve">Net volume of all vaccines except OPV stored at +5°C in higher level stores, per Unit of Population </v>
      </c>
      <c r="M39" s="29">
        <f t="array" ref="M39">IF($E$8=target1,SUMPRODUCT(Volume_Inject!$F$13:$F$32,$K$17:$K$36,M$17:M$36),SUMPRODUCT(Volume_Inject!$F$13:$F$32,$K$17:$K$36,$L$17:$L$36,M$17:M$36))-M38</f>
        <v>0.60087471111111113</v>
      </c>
      <c r="N39" s="29">
        <f t="array" ref="N39">IF($E$8=target1,SUMPRODUCT(Volume_Inject!$F$13:$F$32,$K$17:$K$36,N$17:N$36),SUMPRODUCT(Volume_Inject!$F$13:$F$32,$K$17:$K$36,$L$17:$L$36,N$17:N$36))-N38</f>
        <v>1.3917051111111109</v>
      </c>
      <c r="O39" s="29">
        <f t="array" ref="O39">IF($E$8=target1,SUMPRODUCT(Volume_Inject!$F$13:$F$32,$K$17:$K$36,O$17:O$36),SUMPRODUCT(Volume_Inject!$F$13:$F$32,$K$17:$K$36,$L$17:$L$36,O$17:O$36))-O38</f>
        <v>1.1118747111111111</v>
      </c>
      <c r="P39" s="29">
        <f t="array" ref="P39">IF($E$8=target1,SUMPRODUCT(Volume_Inject!$F$13:$F$32,$K$17:$K$36,P$17:P$36),SUMPRODUCT(Volume_Inject!$F$13:$F$32,$K$17:$K$36,$L$17:$L$36,P$17:P$36))-P38</f>
        <v>0</v>
      </c>
      <c r="Q39" s="29">
        <f t="array" ref="Q39">IF($E$8=target1,SUMPRODUCT(Volume_Inject!$F$13:$F$32,$K$17:$K$36,Q$17:Q$36),SUMPRODUCT(Volume_Inject!$F$13:$F$32,$K$17:$K$36,$L$17:$L$36,Q$17:Q$36))-Q38</f>
        <v>0</v>
      </c>
      <c r="R39" s="466"/>
      <c r="S39" s="83"/>
      <c r="T39" s="83"/>
      <c r="U39" s="83"/>
      <c r="Y39" s="72">
        <f>Y40-Y38</f>
        <v>0.23654520370370369</v>
      </c>
      <c r="Z39" s="72">
        <f>Z40-Z38</f>
        <v>0.48273867037037033</v>
      </c>
      <c r="AA39" s="72">
        <f>AA40-AA38</f>
        <v>0.44946187037037033</v>
      </c>
      <c r="AB39" s="72">
        <f>AB40-AB38</f>
        <v>0</v>
      </c>
      <c r="AC39" s="72">
        <f>AC40-AC38</f>
        <v>0</v>
      </c>
    </row>
    <row r="40" spans="2:29" s="17" customFormat="1" ht="13.8">
      <c r="B40" s="26"/>
      <c r="F40" s="56"/>
      <c r="G40" s="56"/>
      <c r="H40" s="56"/>
      <c r="I40" s="56"/>
      <c r="J40" s="502"/>
      <c r="K40" s="500"/>
      <c r="L40" s="501" t="str">
        <f>CONCATENATE(Translation!C358," ",E$8)</f>
        <v xml:space="preserve">Net volume of all vaccines, including OPV, stored at +5°C in lower level stores, per Unit of Population </v>
      </c>
      <c r="M40" s="29">
        <f t="array" ref="M40">IF($E$8=target1,SUMPRODUCT(Volume_Inject!$F$13:$F$32,$K$17:$K$36,M$17:M$36),SUMPRODUCT(Volume_Inject!$F$13:$F$32,$K$17:$K$36,$L$17:$L$36,M$17:M$36))</f>
        <v>0.80354137777777779</v>
      </c>
      <c r="N40" s="29">
        <f t="array" ref="N40">IF($E$8=target1,SUMPRODUCT(Volume_Inject!$F$13:$F$32,$K$17:$K$36,N$17:N$36),SUMPRODUCT(Volume_Inject!$F$13:$F$32,$K$17:$K$36,$L$17:$L$36,N$17:N$36))</f>
        <v>1.5943717777777777</v>
      </c>
      <c r="O40" s="29">
        <f t="array" ref="O40">IF($E$8=target1,SUMPRODUCT(Volume_Inject!$F$13:$F$32,$K$17:$K$36,O$17:O$36),SUMPRODUCT(Volume_Inject!$F$13:$F$32,$K$17:$K$36,$L$17:$L$36,O$17:O$36))</f>
        <v>1.3145413777777777</v>
      </c>
      <c r="P40" s="29">
        <f t="array" ref="P40">IF($E$8=target1,SUMPRODUCT(Volume_Inject!$F$13:$F$32,$K$17:$K$36,P$17:P$36),SUMPRODUCT(Volume_Inject!$F$13:$F$32,$K$17:$K$36,$L$17:$L$36,P$17:P$36))</f>
        <v>0</v>
      </c>
      <c r="Q40" s="29">
        <f t="array" ref="Q40">IF($E$8=target1,SUMPRODUCT(Volume_Inject!$F$13:$F$32,$K$17:$K$36,Q$17:Q$36),SUMPRODUCT(Volume_Inject!$F$13:$F$32,$K$17:$K$36,$L$17:$L$36,Q$17:Q$36))</f>
        <v>0</v>
      </c>
      <c r="R40" s="466" t="str">
        <f>Translation!C357</f>
        <v>Net volume of all vaccines except OPV stored at +5°C in higher level stores, per</v>
      </c>
      <c r="S40" s="29">
        <f>SUMPRODUCT(Volume_Inject!$F$13:$F$32,$K$17:$K$36,S$17:S$36)</f>
        <v>18</v>
      </c>
      <c r="T40" s="29">
        <f>SUMPRODUCT(Volume_Inject!$F$13:$F$32,$K$17:$K$36,T$17:T$36)</f>
        <v>0</v>
      </c>
      <c r="U40" s="29">
        <f>SUMPRODUCT(Volume_Inject!$F$13:$F$32,$K$17:$K$36,U$17:U$36)</f>
        <v>0</v>
      </c>
      <c r="V40"/>
      <c r="W40"/>
      <c r="Y40" s="72">
        <f t="array" ref="Y40">IF($E$8=target1,SUM(Y$17:Y$36),SUM(($L$17:$L$36)*(Y$17:Y$36)))</f>
        <v>0.32098964814814812</v>
      </c>
      <c r="Z40" s="72">
        <f t="array" ref="Z40">IF($E$8=target1,SUM(Z$17:Z$36),SUM(($L$17:$L$36)*(Z$17:Z$36)))</f>
        <v>0.56718311481481476</v>
      </c>
      <c r="AA40" s="72">
        <f t="array" ref="AA40">IF($E$8=target1,SUM(AA$17:AA$36),SUM(($L$17:$L$36)*(AA$17:AA$36)))</f>
        <v>0.53390631481481476</v>
      </c>
      <c r="AB40" s="72">
        <f t="array" ref="AB40">IF($E$8=target1,SUM(AB$17:AB$36),SUM(($L$17:$L$36)*(AB$17:AB$36)))</f>
        <v>0</v>
      </c>
      <c r="AC40" s="72">
        <f t="array" ref="AC40">IF($E$8=target1,SUM(AC$17:AC$36),SUM(($L$17:$L$36)*(AC$17:AC$36)))</f>
        <v>0</v>
      </c>
    </row>
    <row r="41" spans="2:29" ht="13.8">
      <c r="B41" s="28"/>
      <c r="F41" s="498"/>
      <c r="G41" s="498"/>
      <c r="H41" s="498"/>
      <c r="I41" s="498"/>
      <c r="J41" s="499"/>
      <c r="K41" s="500"/>
      <c r="L41" s="501" t="str">
        <f>CONCATENATE(Translation!C359," ",E$8)</f>
        <v xml:space="preserve">Net volume of vaccines and diluents, stored at +5°C at service points, per Unit of Population </v>
      </c>
      <c r="M41" s="30">
        <f>IF($E$8=target1,SUMPRODUCT(Volume_Inject!$F$13:$F$32,$K$17:$K$36,M$17:M$36)+SUMPRODUCT(Volume_Inject!$G$13:$G$32,$K$17:$K$36,M$17:M$36),SUMPRODUCT(Volume_Inject!$F$13:$F$32,$K$17:$K$36,$L$17:$L$36,M$17:M$36)+SUMPRODUCT(Volume_Inject!$G$13:$G$32,$K$17:$K$36,$L$17:$L$36,M$17:M$36))</f>
        <v>1.077316711111111</v>
      </c>
      <c r="N41" s="30">
        <f>IF($E$8=target1,SUMPRODUCT(Volume_Inject!$F$13:$F$32,$K$17:$K$36,N$17:N$36)+SUMPRODUCT(Volume_Inject!$G$13:$G$32,$K$17:$K$36,N$17:N$36),SUMPRODUCT(Volume_Inject!$F$13:$F$32,$K$17:$K$36,$L$17:$L$36,N$17:N$36)+SUMPRODUCT(Volume_Inject!$G$13:$G$32,$K$17:$K$36,$L$17:$L$36,N$17:N$36))</f>
        <v>1.868147111111111</v>
      </c>
      <c r="O41" s="30">
        <f>IF($E$8=target1,SUMPRODUCT(Volume_Inject!$F$13:$F$32,$K$17:$K$36,O$17:O$36)+SUMPRODUCT(Volume_Inject!$G$13:$G$32,$K$17:$K$36,O$17:O$36),SUMPRODUCT(Volume_Inject!$F$13:$F$32,$K$17:$K$36,$L$17:$L$36,O$17:O$36)+SUMPRODUCT(Volume_Inject!$G$13:$G$32,$K$17:$K$36,$L$17:$L$36,O$17:O$36))</f>
        <v>1.5883167111111109</v>
      </c>
      <c r="P41" s="30">
        <f>IF($E$8=target1,SUMPRODUCT(Volume_Inject!$F$13:$F$32,$K$17:$K$36,P$17:P$36)+SUMPRODUCT(Volume_Inject!$G$13:$G$32,$K$17:$K$36,P$17:P$36),SUMPRODUCT(Volume_Inject!$F$13:$F$32,$K$17:$K$36,$L$17:$L$36,P$17:P$36)+SUMPRODUCT(Volume_Inject!$G$13:$G$32,$K$17:$K$36,$L$17:$L$36,P$17:P$36))</f>
        <v>0</v>
      </c>
      <c r="Q41" s="30">
        <f>IF($E$8=target1,SUMPRODUCT(Volume_Inject!$F$13:$F$32,$K$17:$K$36,Q$17:Q$36)+SUMPRODUCT(Volume_Inject!$G$13:$G$32,$K$17:$K$36,Q$17:Q$36),SUMPRODUCT(Volume_Inject!$F$13:$F$32,$K$17:$K$36,$L$17:$L$36,Q$17:Q$36)+SUMPRODUCT(Volume_Inject!$G$13:$G$32,$K$17:$K$36,$L$17:$L$36,Q$17:Q$36))</f>
        <v>0</v>
      </c>
      <c r="R41" s="466" t="str">
        <f>Translation!C366</f>
        <v>Total net storage volume of vaccines &amp; diluents per recipient</v>
      </c>
      <c r="S41" s="30">
        <f>SUMPRODUCT(Volume_Inject!$F$13:$F$32,$K$17:$K$36,S$17:S$36)+SUMPRODUCT(Volume_Inject!$G$13:$G$32,$K$17:$K$36,S$17:S$36)</f>
        <v>18</v>
      </c>
      <c r="T41" s="30">
        <f>SUMPRODUCT(Volume_Inject!$F$13:$F$32,$K$17:$K$36,T$17:T$36)+SUMPRODUCT(Volume_Inject!$G$13:$G$32,$K$17:$K$36,T$17:T$36)</f>
        <v>0</v>
      </c>
      <c r="U41" s="30">
        <f>SUMPRODUCT(Volume_Inject!$F$13:$F$32,$K$17:$K$36,U$17:U$36)+SUMPRODUCT(Volume_Inject!$G$13:$G$32,$K$17:$K$36,U$17:U$36)</f>
        <v>0</v>
      </c>
      <c r="Y41" s="73"/>
      <c r="Z41" s="73"/>
      <c r="AA41" s="73"/>
      <c r="AB41" s="73"/>
      <c r="AC41" s="73"/>
    </row>
    <row r="42" spans="2:29" ht="7.5" hidden="1" customHeight="1">
      <c r="B42" s="31"/>
      <c r="F42" s="31"/>
      <c r="G42" s="31"/>
      <c r="H42" s="31"/>
      <c r="I42" s="31"/>
      <c r="J42" s="31"/>
      <c r="K42" s="31"/>
      <c r="L42" s="33"/>
      <c r="M42" s="35"/>
      <c r="N42" s="35"/>
      <c r="O42" s="35"/>
      <c r="P42" s="35"/>
      <c r="Q42" s="35"/>
      <c r="R42" s="466"/>
      <c r="Y42" s="74"/>
      <c r="Z42" s="74"/>
      <c r="AA42" s="74"/>
      <c r="AB42" s="74"/>
      <c r="AC42" s="74"/>
    </row>
    <row r="43" spans="2:29" ht="13.8" hidden="1">
      <c r="B43" s="28"/>
      <c r="F43" s="37"/>
      <c r="G43" s="37"/>
      <c r="H43" s="37"/>
      <c r="I43" s="37"/>
      <c r="J43" s="131"/>
      <c r="K43" s="503"/>
      <c r="L43" s="504" t="str">
        <f>CONCATENATE(Translation!C360," ",$E$8)</f>
        <v xml:space="preserve">No. of vaccine doses per Unit of Population </v>
      </c>
      <c r="M43" s="30">
        <f>SUM(M$17:M$36)</f>
        <v>12</v>
      </c>
      <c r="N43" s="30">
        <f>SUM(N$17:N$36)</f>
        <v>12</v>
      </c>
      <c r="O43" s="30">
        <f>SUM(O$17:O$36)</f>
        <v>12</v>
      </c>
      <c r="P43" s="30">
        <f>SUM(P$17:P$36)</f>
        <v>0</v>
      </c>
      <c r="Q43" s="30">
        <f>SUM(Q$17:Q$36)</f>
        <v>0</v>
      </c>
      <c r="R43" s="466"/>
      <c r="S43" s="30">
        <f>SUMPRODUCT(S$17:S$36,$K$17:$K$36)</f>
        <v>1.0526315789473684</v>
      </c>
      <c r="T43" s="30">
        <f>SUMPRODUCT(T$17:T$36,$K$17:$K$36)</f>
        <v>0</v>
      </c>
      <c r="U43" s="30">
        <f>SUMPRODUCT(U$17:U$36,$K$17:$K$36)</f>
        <v>0</v>
      </c>
    </row>
    <row r="44" spans="2:29" ht="7.5" customHeight="1">
      <c r="B44" s="31"/>
      <c r="F44" s="31"/>
      <c r="G44" s="31"/>
      <c r="H44" s="31"/>
      <c r="I44" s="31"/>
      <c r="J44" s="31"/>
      <c r="K44" s="31"/>
      <c r="L44" s="33"/>
      <c r="M44" s="35"/>
      <c r="N44" s="32"/>
      <c r="O44" s="36"/>
      <c r="R44" s="466"/>
      <c r="Y44" s="74"/>
      <c r="Z44" s="74"/>
      <c r="AA44" s="74"/>
      <c r="AB44" s="74"/>
      <c r="AC44" s="74"/>
    </row>
    <row r="45" spans="2:29" ht="13.8">
      <c r="B45" s="37"/>
      <c r="F45" s="37"/>
      <c r="G45" s="37"/>
      <c r="H45" s="37"/>
      <c r="I45" s="37"/>
      <c r="J45" s="37"/>
      <c r="K45" s="37"/>
      <c r="L45" s="501" t="str">
        <f>Translation!C361</f>
        <v>Percent increase of the net vaccine volume compared to current schedule in store for -20°C</v>
      </c>
      <c r="M45" s="48"/>
      <c r="N45" s="786">
        <f>IF(OR($M$38=0,N38=0),"",(N38-$M$38)/$M$38)</f>
        <v>0</v>
      </c>
      <c r="O45" s="786">
        <f>IF(OR($M$38=0,O38=0),"",(O38-$M$38)/$M$38)</f>
        <v>0</v>
      </c>
      <c r="P45" s="786" t="str">
        <f>IF(OR($M$38=0,P38=0),"",(P38-$M$38)/$M$38)</f>
        <v/>
      </c>
      <c r="Q45" s="786" t="str">
        <f>IF(OR($M$38=0,Q38=0),"",(Q38-$M$38)/$M$38)</f>
        <v/>
      </c>
      <c r="R45" s="466"/>
      <c r="S45" s="48"/>
      <c r="T45" s="48"/>
      <c r="U45" s="84"/>
      <c r="Y45" s="75"/>
      <c r="Z45" s="786">
        <f>IF(OR($Y$38=0,Z38=0),"",(Z38-$Y$38)/$Y$38)</f>
        <v>0</v>
      </c>
      <c r="AA45" s="786">
        <f>IF(OR($Y$38=0,AA38=0),"",(AA38-$Y$38)/$Y$38)</f>
        <v>0</v>
      </c>
      <c r="AB45" s="786" t="str">
        <f>IF(OR($Y$38=0,AB38=0),"",(AB38-$Y$38)/$Y$38)</f>
        <v/>
      </c>
      <c r="AC45" s="786" t="str">
        <f>IF(OR($Y$38=0,AC38=0),"",(AC38-$Y$38)/$Y$38)</f>
        <v/>
      </c>
    </row>
    <row r="46" spans="2:29" ht="13.8">
      <c r="B46" s="37"/>
      <c r="F46" s="37"/>
      <c r="G46" s="37"/>
      <c r="H46" s="37"/>
      <c r="I46" s="37"/>
      <c r="J46" s="37"/>
      <c r="K46" s="37"/>
      <c r="L46" s="501" t="str">
        <f>Translation!C362</f>
        <v>% increase of the net vaccine volume compared to current schedule in store w/o OPV @+5°C</v>
      </c>
      <c r="M46" s="49"/>
      <c r="N46" s="787">
        <f>IF(OR($M$39=0,N39=0),"",(N39-$M$39)/$M$39)</f>
        <v>1.3161319412787917</v>
      </c>
      <c r="O46" s="787">
        <f>IF(OR($M$39=0,O39=0),"",(O39-$M$39)/$M$39)</f>
        <v>0.85042687027896591</v>
      </c>
      <c r="P46" s="787" t="str">
        <f>IF(OR($M$39=0,P39=0),"",(P39-$M$39)/$M$39)</f>
        <v/>
      </c>
      <c r="Q46" s="787" t="str">
        <f>IF(OR($M$39=0,Q39=0),"",(Q39-$M$39)/$M$39)</f>
        <v/>
      </c>
      <c r="R46" s="466"/>
      <c r="S46" s="49"/>
      <c r="T46" s="49"/>
      <c r="U46" s="85"/>
      <c r="Y46" s="76"/>
      <c r="Z46" s="787">
        <f>IF(OR($Y$39=0,Z39=0),"",(Z39-$Y$39)/$Y$39)</f>
        <v>1.0407882417901331</v>
      </c>
      <c r="AA46" s="787">
        <f>IF(OR($Y$39=0,AA39=0),"",(AA39-$Y$39)/$Y$39)</f>
        <v>0.90010984510751646</v>
      </c>
      <c r="AB46" s="787" t="str">
        <f>IF(OR($Y$39=0,AB39=0),"",(AB39-$Y$39)/$Y$39)</f>
        <v/>
      </c>
      <c r="AC46" s="787" t="str">
        <f>IF(OR($Y$39=0,AC39=0),"",(AC39-$Y$39)/$Y$39)</f>
        <v/>
      </c>
    </row>
    <row r="47" spans="2:29" ht="13.8">
      <c r="B47" s="37"/>
      <c r="F47" s="37"/>
      <c r="G47" s="37"/>
      <c r="H47" s="37"/>
      <c r="I47" s="37"/>
      <c r="J47" s="37"/>
      <c r="K47" s="37"/>
      <c r="L47" s="501" t="str">
        <f>Translation!C363</f>
        <v>% increase of the net vaccine volume compared to current schedule in store with OPV @+5°C</v>
      </c>
      <c r="M47" s="49"/>
      <c r="N47" s="787">
        <f>IF(OR($M$40=0,N40=0),"",(N40-$M$40)/$M$40)</f>
        <v>0.9841813027563926</v>
      </c>
      <c r="O47" s="787">
        <f>IF(OR($M$40=0,O40=0),"",(O40-$M$40)/$M$40)</f>
        <v>0.63593489287781113</v>
      </c>
      <c r="P47" s="787" t="str">
        <f>IF(OR($M$40=0,P40=0),"",(P40-$M$40)/$M$40)</f>
        <v/>
      </c>
      <c r="Q47" s="787" t="str">
        <f>IF(OR($M$40=0,Q40=0),"",(Q40-$M$40)/$M$40)</f>
        <v/>
      </c>
      <c r="R47" s="466"/>
      <c r="S47" s="49"/>
      <c r="T47" s="787" t="str">
        <f>IF(OR($S$40=0,T40=0),"",(T40-$S$40)/$S$40)</f>
        <v/>
      </c>
      <c r="U47" s="787" t="str">
        <f>IF(OR($S$40=0,U40=0),"",(U40-$S$40)/$S$40)</f>
        <v/>
      </c>
      <c r="Y47" s="76"/>
      <c r="Z47" s="787">
        <f>IF(OR($Y$40=0,Z40=0),"",(Z40-$Y$40)/$Y$40)</f>
        <v>0.76698257431977868</v>
      </c>
      <c r="AA47" s="787">
        <f>IF(OR($Y$40=0,AA40=0),"",(AA40-$Y$40)/$Y$40)</f>
        <v>0.66331318749693147</v>
      </c>
      <c r="AB47" s="787" t="str">
        <f>IF(OR($Y$40=0,AB40=0),"",(AB40-$Y$40)/$Y$40)</f>
        <v/>
      </c>
      <c r="AC47" s="787" t="str">
        <f>IF(OR($Y$40=0,AC40=0),"",(AC40-$Y$40)/$Y$40)</f>
        <v/>
      </c>
    </row>
    <row r="48" spans="2:29" ht="13.8">
      <c r="B48" s="37"/>
      <c r="F48" s="37"/>
      <c r="G48" s="37"/>
      <c r="H48" s="37"/>
      <c r="I48" s="37"/>
      <c r="J48" s="37"/>
      <c r="K48" s="37"/>
      <c r="L48" s="501" t="str">
        <f>Translation!C364</f>
        <v>% increase of the net vaccine volume compared to current schedule at service delivery</v>
      </c>
      <c r="M48" s="38"/>
      <c r="N48" s="788">
        <f>IF(OR($M$41=0,N41=0),"",(N41-$M$41)/$M$41)</f>
        <v>0.73407419734941448</v>
      </c>
      <c r="O48" s="788">
        <f>IF(OR($M$41=0,O41=0),"",(O41-$M$41)/$M$41)</f>
        <v>0.47432662533654596</v>
      </c>
      <c r="P48" s="788" t="str">
        <f>IF(OR($M$41=0,P41=0),"",(P41-$M$41)/$M$41)</f>
        <v/>
      </c>
      <c r="Q48" s="788" t="str">
        <f>IF(OR($M$41=0,Q41=0),"",(Q41-$M$41)/$M$41)</f>
        <v/>
      </c>
      <c r="R48" s="466"/>
      <c r="S48" s="38"/>
      <c r="T48" s="788" t="str">
        <f>IF(OR($S$41=0,T41=0),"",(T41-$S$41)/$S$41)</f>
        <v/>
      </c>
      <c r="U48" s="788" t="str">
        <f>IF(OR($S$41=0,U41=0),"",(U41-$S$41)/$S$41)</f>
        <v/>
      </c>
      <c r="Y48" s="77"/>
      <c r="Z48" s="77"/>
      <c r="AA48" s="77"/>
      <c r="AB48" s="77"/>
      <c r="AC48" s="77"/>
    </row>
    <row r="49" spans="18:18">
      <c r="R49" s="466"/>
    </row>
  </sheetData>
  <mergeCells count="3">
    <mergeCell ref="E8:F8"/>
    <mergeCell ref="L14:L15"/>
    <mergeCell ref="E5:AC5"/>
  </mergeCells>
  <phoneticPr fontId="0" type="noConversion"/>
  <conditionalFormatting sqref="S40:U41">
    <cfRule type="cellIs" dxfId="87" priority="1" stopIfTrue="1" operator="equal">
      <formula>MAX($S40:$U40)</formula>
    </cfRule>
    <cfRule type="cellIs" dxfId="86" priority="2" stopIfTrue="1" operator="equal">
      <formula>MIN($S40:$U40)</formula>
    </cfRule>
  </conditionalFormatting>
  <conditionalFormatting sqref="M38:Q41">
    <cfRule type="cellIs" dxfId="85" priority="3" stopIfTrue="1" operator="equal">
      <formula>MAX($M38:$Q38)</formula>
    </cfRule>
    <cfRule type="cellIs" dxfId="84" priority="4" stopIfTrue="1" operator="equal">
      <formula>MIN($M38:$Q38)</formula>
    </cfRule>
  </conditionalFormatting>
  <conditionalFormatting sqref="Y38:AC40">
    <cfRule type="cellIs" dxfId="83" priority="5" stopIfTrue="1" operator="equal">
      <formula>MAX($Y38:$AC38)</formula>
    </cfRule>
    <cfRule type="cellIs" dxfId="82" priority="6" stopIfTrue="1" operator="equal">
      <formula>MIN($Y38:$AC38)</formula>
    </cfRule>
  </conditionalFormatting>
  <conditionalFormatting sqref="J17:J36">
    <cfRule type="cellIs" dxfId="81" priority="7" stopIfTrue="1" operator="notBetween">
      <formula>0</formula>
      <formula>1000</formula>
    </cfRule>
    <cfRule type="expression" dxfId="80" priority="8" stopIfTrue="1">
      <formula>$I17&lt;&gt;""</formula>
    </cfRule>
  </conditionalFormatting>
  <conditionalFormatting sqref="F17:G36">
    <cfRule type="cellIs" dxfId="79" priority="9" stopIfTrue="1" operator="equal">
      <formula>0</formula>
    </cfRule>
    <cfRule type="expression" dxfId="78" priority="10" stopIfTrue="1">
      <formula>$D17&lt;&gt;""</formula>
    </cfRule>
  </conditionalFormatting>
  <conditionalFormatting sqref="Y45:AC48 U45:U48 T47:T48 N45:Q48">
    <cfRule type="cellIs" dxfId="77" priority="11" stopIfTrue="1" operator="lessThan">
      <formula>0</formula>
    </cfRule>
  </conditionalFormatting>
  <conditionalFormatting sqref="Y41:AC41">
    <cfRule type="cellIs" dxfId="76" priority="12" stopIfTrue="1" operator="equal">
      <formula>MAX($N$41:$U$41)</formula>
    </cfRule>
    <cfRule type="cellIs" dxfId="75" priority="13" stopIfTrue="1" operator="equal">
      <formula>MIN($N$41:$U$41)</formula>
    </cfRule>
  </conditionalFormatting>
  <conditionalFormatting sqref="S38:U38">
    <cfRule type="cellIs" dxfId="74" priority="14" stopIfTrue="1" operator="equal">
      <formula>MAX($M$38:$U$38)</formula>
    </cfRule>
    <cfRule type="cellIs" dxfId="73" priority="15" stopIfTrue="1" operator="equal">
      <formula>MIN($M$38:$U$38)</formula>
    </cfRule>
  </conditionalFormatting>
  <conditionalFormatting sqref="S39:U39">
    <cfRule type="cellIs" dxfId="72" priority="16" stopIfTrue="1" operator="equal">
      <formula>MAX($M$39:$U$39)</formula>
    </cfRule>
    <cfRule type="cellIs" dxfId="71" priority="17" stopIfTrue="1" operator="equal">
      <formula>MIN($M$39:$U$39)</formula>
    </cfRule>
  </conditionalFormatting>
  <conditionalFormatting sqref="S43:U43">
    <cfRule type="cellIs" dxfId="70" priority="18" stopIfTrue="1" operator="equal">
      <formula>MAX($S$43:$U$43)</formula>
    </cfRule>
  </conditionalFormatting>
  <conditionalFormatting sqref="M43:Q43">
    <cfRule type="cellIs" dxfId="69" priority="19" stopIfTrue="1" operator="equal">
      <formula>MAX($N$40:$U$40)</formula>
    </cfRule>
    <cfRule type="cellIs" dxfId="68" priority="20" stopIfTrue="1" operator="equal">
      <formula>MIN($N$40:$U$40)</formula>
    </cfRule>
  </conditionalFormatting>
  <conditionalFormatting sqref="I17:I36">
    <cfRule type="cellIs" dxfId="67" priority="21" stopIfTrue="1" operator="notBetween">
      <formula>0</formula>
      <formula>1000</formula>
    </cfRule>
  </conditionalFormatting>
  <conditionalFormatting sqref="K17:K36">
    <cfRule type="cellIs" dxfId="66" priority="22" stopIfTrue="1" operator="equal">
      <formula>0</formula>
    </cfRule>
  </conditionalFormatting>
  <conditionalFormatting sqref="L17:L36">
    <cfRule type="expression" dxfId="65" priority="23" stopIfTrue="1">
      <formula>$E$8=$AC$8</formula>
    </cfRule>
  </conditionalFormatting>
  <conditionalFormatting sqref="L14:L16">
    <cfRule type="expression" dxfId="64" priority="24" stopIfTrue="1">
      <formula>$E$8=$AC$8</formula>
    </cfRule>
  </conditionalFormatting>
  <dataValidations xWindow="1088" yWindow="607" count="13">
    <dataValidation type="custom" operator="greaterThanOrEqual" allowBlank="1" showErrorMessage="1" error="Only entry allowed!" promptTitle="Doses of suppl. vaccination:" prompt="Indicate the number of doses per recipient for the vaccine selected for use during the campaign." sqref="S17:U36" xr:uid="{00000000-0002-0000-0200-000000000000}">
      <formula1>COUNT(S$17:S$36)=1</formula1>
    </dataValidation>
    <dataValidation type="list" allowBlank="1" showErrorMessage="1" promptTitle="Selection:" prompt="Select from the menu one option for reporting maximum packed volume of vaccines from the database._x000a_- WHO Intern. Shipping guidelines, to report prior maxi WHO recommended maximum packed volumes, if exist/stated._x000a_- All, without prioritization." sqref="D5" xr:uid="{00000000-0002-0000-0200-000001000000}">
      <formula1>filtr</formula1>
    </dataValidation>
    <dataValidation allowBlank="1" showErrorMessage="1" sqref="V17:W36" xr:uid="{00000000-0002-0000-0200-000002000000}"/>
    <dataValidation allowBlank="1" showErrorMessage="1" promptTitle="Name of SIAs:" prompt="Name the SIAs you are planning for easy reference. Example:_x000a_- Polio_SIAs_Oct09_x000a_- Msl_SIAS_Feb10_x000a_- H1N1_Nov09" sqref="S16:U16" xr:uid="{00000000-0002-0000-0200-000003000000}"/>
    <dataValidation operator="greaterThanOrEqual" allowBlank="1" showErrorMessage="1" promptTitle="Doses of vaccination schedule:" prompt="Indicate for each selected vaccine presentation, the No. of doses in the vaccination schedule." sqref="M17:R36" xr:uid="{00000000-0002-0000-0200-000004000000}"/>
    <dataValidation type="whole" allowBlank="1" showErrorMessage="1" promptTitle="National expected wastages:" prompt="Indicate for each selected vaccine presentation, the national expected vaccine wastage rates." sqref="I17:I36" xr:uid="{00000000-0002-0000-0200-000005000000}">
      <formula1>0</formula1>
      <formula2>100</formula2>
    </dataValidation>
    <dataValidation type="decimal" operator="greaterThanOrEqual" allowBlank="1" showErrorMessage="1" promptTitle="Target population:" prompt="Indicate for each selected vaccine presentation, the target population as percentage of the total population." sqref="L17:L36" xr:uid="{00000000-0002-0000-0200-000006000000}">
      <formula1>0</formula1>
    </dataValidation>
    <dataValidation type="list" allowBlank="1" showErrorMessage="1" promptTitle="Presentation:" prompt="Indicate the presentation." sqref="C17:C36" xr:uid="{00000000-0002-0000-0200-000007000000}">
      <formula1>"1,2,5,6,10,20,PFS,Uniject"</formula1>
    </dataValidation>
    <dataValidation allowBlank="1" showErrorMessage="1" promptTitle="Price of vaccines:" prompt="Indicate the cost of the vaccine in your programme ($/dose). The figures given here are for illustration ONLY!" sqref="H17:H36" xr:uid="{00000000-0002-0000-0200-000008000000}"/>
    <dataValidation type="decimal" operator="greaterThanOrEqual" allowBlank="1" showErrorMessage="1" promptTitle="Packed volume:" prompt="Indicate the packed volumes as per national figures." sqref="D17:E36" xr:uid="{00000000-0002-0000-0200-000009000000}">
      <formula1>0</formula1>
    </dataValidation>
    <dataValidation type="list" allowBlank="1" showInputMessage="1" showErrorMessage="1" sqref="B17:B36" xr:uid="{00000000-0002-0000-0200-00000A000000}">
      <formula1>Vaccines1</formula1>
    </dataValidation>
    <dataValidation type="list" allowBlank="1" showInputMessage="1" showErrorMessage="1" sqref="E8:F8" xr:uid="{00000000-0002-0000-0200-00000B000000}">
      <formula1>target</formula1>
    </dataValidation>
    <dataValidation allowBlank="1" showErrorMessage="1" promptTitle="Routine schedule:" prompt="Enter a name for each colunm to identify the vaccines used in the national immunization schedule. Example:_x000a_- Current schedule_x000a_- Adding Pneumo_x000a_- With Rota_x000a_- etc." sqref="M16:Q16" xr:uid="{00000000-0002-0000-0200-00000C000000}"/>
  </dataValidations>
  <hyperlinks>
    <hyperlink ref="V2" location="Index!B1" display="Index!B1" xr:uid="{00000000-0004-0000-0200-000000000000}"/>
  </hyperlinks>
  <printOptions horizontalCentered="1"/>
  <pageMargins left="0.25" right="0.17" top="0.23" bottom="0.34" header="0.16" footer="0.16"/>
  <pageSetup paperSize="9" orientation="landscape" r:id="rId1"/>
  <headerFooter alignWithMargins="0">
    <oddFooter>&amp;L&amp;8&amp;F, &amp;A, Rev.May11&amp;R&amp;8WHO/IVB/EPI Logistics docs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43"/>
  </sheetPr>
  <dimension ref="B1:AB219"/>
  <sheetViews>
    <sheetView showGridLines="0" topLeftCell="A153" workbookViewId="0">
      <selection activeCell="B153" sqref="B153"/>
    </sheetView>
  </sheetViews>
  <sheetFormatPr defaultColWidth="9.109375" defaultRowHeight="11.4" outlineLevelRow="1"/>
  <cols>
    <col min="1" max="1" width="1.33203125" style="5" customWidth="1"/>
    <col min="2" max="2" width="55.44140625" style="5" customWidth="1"/>
    <col min="3" max="16" width="11.6640625" style="5" customWidth="1"/>
    <col min="17" max="19" width="14.44140625" style="5" customWidth="1"/>
    <col min="20" max="28" width="15.77734375" style="5" customWidth="1"/>
    <col min="29" max="29" width="1.6640625" style="5" customWidth="1"/>
    <col min="30" max="16384" width="9.109375" style="5"/>
  </cols>
  <sheetData>
    <row r="1" spans="2:28" s="729" customFormat="1" ht="21">
      <c r="B1" s="688" t="str">
        <f>Translation!C10</f>
        <v>Analysis of national and sub-national storage</v>
      </c>
      <c r="C1" s="734"/>
      <c r="D1" s="734"/>
      <c r="E1" s="734"/>
      <c r="F1" s="734"/>
      <c r="G1" s="734"/>
      <c r="H1" s="734"/>
      <c r="I1" s="734"/>
      <c r="J1" s="734"/>
      <c r="K1" s="734"/>
      <c r="L1" s="734"/>
      <c r="M1" s="734"/>
      <c r="N1" s="734"/>
      <c r="O1" s="714" t="str">
        <f>Translation!C109</f>
        <v>Index</v>
      </c>
      <c r="P1" s="734"/>
      <c r="Q1" s="734"/>
      <c r="R1" s="734"/>
      <c r="S1" s="734"/>
      <c r="T1" s="734"/>
      <c r="U1" s="734"/>
      <c r="V1" s="734"/>
      <c r="W1" s="734"/>
      <c r="X1" s="734"/>
      <c r="Y1" s="734"/>
      <c r="Z1" s="734"/>
      <c r="AA1" s="734"/>
      <c r="AB1" s="734"/>
    </row>
    <row r="2" spans="2:28" ht="12" outlineLevel="1">
      <c r="B2" s="627"/>
      <c r="C2" s="627"/>
      <c r="D2" s="627"/>
      <c r="E2" s="627"/>
      <c r="F2" s="678" t="str">
        <f>Translation!C19</f>
        <v>Maximum stock levels (months)</v>
      </c>
      <c r="G2" s="678"/>
      <c r="H2" s="679"/>
      <c r="I2" s="679"/>
      <c r="J2" s="627"/>
      <c r="K2" s="627"/>
      <c r="L2" s="627"/>
      <c r="M2" s="627"/>
      <c r="N2" s="627"/>
      <c r="O2" s="627"/>
      <c r="P2" s="627"/>
      <c r="Q2" s="627"/>
      <c r="R2" s="627"/>
      <c r="S2" s="627"/>
      <c r="T2" s="627"/>
      <c r="U2" s="627"/>
      <c r="V2" s="627"/>
      <c r="W2" s="627"/>
      <c r="X2" s="627"/>
      <c r="Y2" s="627"/>
      <c r="Z2" s="627"/>
      <c r="AA2" s="627"/>
      <c r="AB2" s="627"/>
    </row>
    <row r="3" spans="2:28" outlineLevel="1">
      <c r="B3" s="627"/>
      <c r="C3" s="627"/>
      <c r="D3" s="627"/>
      <c r="E3" s="627"/>
      <c r="F3" s="674" t="str">
        <f>Translation!C20</f>
        <v>Vaccines</v>
      </c>
      <c r="G3" s="674"/>
      <c r="H3" s="674" t="str">
        <f>Translation!C25</f>
        <v>Safe injection equipment</v>
      </c>
      <c r="I3" s="674"/>
      <c r="J3" s="627"/>
      <c r="K3" s="627"/>
      <c r="L3" s="627"/>
      <c r="M3" s="627"/>
      <c r="N3" s="627"/>
      <c r="O3" s="627"/>
      <c r="P3" s="627"/>
      <c r="Q3" s="627"/>
      <c r="R3" s="627"/>
      <c r="S3" s="627"/>
      <c r="T3" s="627"/>
      <c r="U3" s="627"/>
      <c r="V3" s="627"/>
      <c r="W3" s="627"/>
      <c r="X3" s="627"/>
      <c r="Y3" s="627"/>
      <c r="Z3" s="627"/>
      <c r="AA3" s="627"/>
      <c r="AB3" s="627"/>
    </row>
    <row r="4" spans="2:28" ht="13.2" outlineLevel="1">
      <c r="B4" s="628" t="str">
        <f>Translation!C11</f>
        <v>Analysis per</v>
      </c>
      <c r="C4" s="813" t="str">
        <f>Vaccine_Selection!$E$8</f>
        <v xml:space="preserve">Unit of Population </v>
      </c>
      <c r="D4" s="814"/>
      <c r="E4" s="627"/>
      <c r="F4" s="811">
        <v>4</v>
      </c>
      <c r="G4" s="808"/>
      <c r="H4" s="807">
        <v>6</v>
      </c>
      <c r="I4" s="808"/>
      <c r="J4" s="627"/>
      <c r="K4" s="627"/>
      <c r="L4" s="627"/>
      <c r="M4" s="627"/>
      <c r="N4" s="627"/>
      <c r="O4" s="627"/>
      <c r="P4" s="627"/>
      <c r="Q4" s="627"/>
      <c r="R4" s="627"/>
      <c r="S4" s="627"/>
      <c r="T4" s="627"/>
      <c r="U4" s="627"/>
      <c r="V4" s="627"/>
      <c r="W4" s="627"/>
      <c r="X4" s="627"/>
      <c r="Y4" s="627"/>
      <c r="Z4" s="627"/>
      <c r="AA4" s="627"/>
      <c r="AB4" s="627"/>
    </row>
    <row r="5" spans="2:28" ht="13.2" outlineLevel="1">
      <c r="B5" s="628" t="str">
        <f>IF($C$4=target2,CONCATENATE(Translation!$C$12," ",Translation!$C$15),CONCATENATE(Translation!$C$13," ",Translation!$C$15))</f>
        <v>Total population (minimum)</v>
      </c>
      <c r="C5" s="815">
        <v>500000</v>
      </c>
      <c r="D5" s="816"/>
      <c r="E5" s="627"/>
      <c r="F5" s="812">
        <v>6</v>
      </c>
      <c r="G5" s="808"/>
      <c r="H5" s="809">
        <v>9</v>
      </c>
      <c r="I5" s="808"/>
      <c r="J5" s="627"/>
      <c r="K5" s="590" t="str">
        <f>Translation!C26</f>
        <v>Cold room cost equation</v>
      </c>
      <c r="L5" s="185"/>
      <c r="M5" s="185"/>
      <c r="N5" s="796">
        <v>4.2</v>
      </c>
      <c r="O5" s="627" t="str">
        <f>Translation!C27</f>
        <v>Indicative grossing factor</v>
      </c>
      <c r="P5" s="627"/>
      <c r="Q5" s="627"/>
      <c r="R5" s="627"/>
      <c r="S5" s="627"/>
      <c r="T5" s="627"/>
      <c r="U5" s="627"/>
      <c r="V5" s="627"/>
      <c r="W5" s="627"/>
      <c r="X5" s="627"/>
      <c r="Y5" s="627"/>
      <c r="Z5" s="627"/>
      <c r="AA5" s="627"/>
      <c r="AB5" s="627"/>
    </row>
    <row r="6" spans="2:28" ht="13.2" outlineLevel="1">
      <c r="B6" s="628" t="str">
        <f>IF($C$4=target2,CONCATENATE(Translation!$C$12," ",Translation!$C$14),CONCATENATE(Translation!$C$13," ",Translation!$C$14))</f>
        <v>Total population (maximum)</v>
      </c>
      <c r="C6" s="815">
        <v>10000000</v>
      </c>
      <c r="D6" s="816"/>
      <c r="E6" s="627"/>
      <c r="F6" s="812">
        <v>9</v>
      </c>
      <c r="G6" s="808"/>
      <c r="H6" s="809">
        <v>12</v>
      </c>
      <c r="I6" s="808"/>
      <c r="J6" s="627"/>
      <c r="K6" s="591" t="s">
        <v>748</v>
      </c>
      <c r="L6" s="592">
        <v>4.0300000000000002E-2</v>
      </c>
      <c r="M6" s="592">
        <v>-11.316000000000001</v>
      </c>
      <c r="N6" s="592">
        <v>2326.5</v>
      </c>
      <c r="O6" s="627" t="str">
        <f>Translation!C254</f>
        <v>WICR</v>
      </c>
      <c r="P6" s="627"/>
      <c r="Q6" s="627"/>
      <c r="R6" s="627"/>
      <c r="S6" s="627"/>
      <c r="T6" s="627"/>
      <c r="U6" s="627"/>
      <c r="V6" s="627"/>
      <c r="W6" s="627"/>
      <c r="X6" s="627"/>
      <c r="Y6" s="627"/>
      <c r="Z6" s="627"/>
      <c r="AA6" s="627"/>
      <c r="AB6" s="627"/>
    </row>
    <row r="7" spans="2:28" ht="13.2" outlineLevel="1">
      <c r="B7" s="628" t="str">
        <f>Translation!C18</f>
        <v>MaxiStock</v>
      </c>
      <c r="C7" s="807" t="s">
        <v>1664</v>
      </c>
      <c r="D7" s="817"/>
      <c r="E7" s="627" t="str">
        <f>Translation!C17</f>
        <v xml:space="preserve"> months</v>
      </c>
      <c r="F7" s="812" t="s">
        <v>837</v>
      </c>
      <c r="G7" s="808"/>
      <c r="H7" s="809"/>
      <c r="I7" s="808"/>
      <c r="J7" s="627"/>
      <c r="K7" s="591" t="s">
        <v>749</v>
      </c>
      <c r="L7" s="592">
        <v>5.0599999999999999E-2</v>
      </c>
      <c r="M7" s="592">
        <v>-14.207000000000001</v>
      </c>
      <c r="N7" s="592">
        <v>2944.4</v>
      </c>
      <c r="O7" s="627" t="str">
        <f>Translation!C255</f>
        <v>WIFR</v>
      </c>
      <c r="P7" s="627"/>
      <c r="Q7" s="627"/>
      <c r="R7" s="627"/>
      <c r="S7" s="627"/>
      <c r="T7" s="627"/>
      <c r="U7" s="627"/>
      <c r="V7" s="627"/>
      <c r="W7" s="627"/>
      <c r="X7" s="627"/>
      <c r="Y7" s="627"/>
      <c r="Z7" s="627"/>
      <c r="AA7" s="627"/>
      <c r="AB7" s="627"/>
    </row>
    <row r="8" spans="2:28" hidden="1" outlineLevel="1">
      <c r="B8" s="628"/>
      <c r="C8" s="687">
        <f>(C6-C5)/25</f>
        <v>380000</v>
      </c>
      <c r="D8" s="687">
        <f>IF(C8=0,0,ROUNDUP(C8,-(ROUND(LOG(C8),1))))</f>
        <v>400000</v>
      </c>
      <c r="E8" s="628"/>
      <c r="F8" s="628"/>
      <c r="G8" s="628"/>
      <c r="H8" s="628"/>
      <c r="I8" s="628"/>
      <c r="J8" s="628"/>
      <c r="K8" s="628"/>
      <c r="L8" s="628"/>
      <c r="M8" s="628"/>
      <c r="N8" s="627"/>
      <c r="O8" s="627"/>
      <c r="P8" s="627"/>
      <c r="Q8" s="627"/>
      <c r="R8" s="627"/>
      <c r="S8" s="627"/>
      <c r="T8" s="627"/>
      <c r="U8" s="627"/>
      <c r="V8" s="627"/>
      <c r="W8" s="627"/>
      <c r="X8" s="627"/>
      <c r="Y8" s="627"/>
      <c r="Z8" s="627"/>
      <c r="AA8" s="627"/>
      <c r="AB8" s="627"/>
    </row>
    <row r="9" spans="2:28" s="548" customFormat="1" ht="5.4" outlineLevel="1">
      <c r="B9" s="666"/>
      <c r="C9" s="666"/>
      <c r="D9" s="666"/>
      <c r="E9" s="666"/>
      <c r="F9" s="666"/>
      <c r="G9" s="666"/>
      <c r="H9" s="666"/>
      <c r="I9" s="666"/>
      <c r="J9" s="666"/>
      <c r="K9" s="666"/>
      <c r="L9" s="666"/>
      <c r="M9" s="666"/>
      <c r="N9" s="666"/>
      <c r="O9" s="666"/>
      <c r="P9" s="666"/>
      <c r="Q9" s="666"/>
      <c r="R9" s="666"/>
      <c r="S9" s="666"/>
      <c r="T9" s="666"/>
      <c r="U9" s="666"/>
      <c r="V9" s="666"/>
      <c r="W9" s="666"/>
      <c r="X9" s="666"/>
      <c r="Y9" s="666"/>
      <c r="Z9" s="666"/>
      <c r="AA9" s="666"/>
      <c r="AB9" s="666"/>
    </row>
    <row r="10" spans="2:28" ht="12" outlineLevel="1">
      <c r="B10" s="629" t="str">
        <f>Translation!C28</f>
        <v>Vaccine net volume for supply period and cold room capacities</v>
      </c>
      <c r="C10" s="627"/>
      <c r="D10" s="627"/>
      <c r="E10" s="627"/>
      <c r="F10" s="783" t="str">
        <f>IF($C$4=target2,Translation!$C$12,Translation!$C$13)</f>
        <v>Total population</v>
      </c>
      <c r="G10" s="627"/>
      <c r="H10" s="627"/>
      <c r="I10" s="627"/>
      <c r="J10" s="627"/>
      <c r="K10" s="627"/>
      <c r="L10" s="627"/>
      <c r="M10" s="627"/>
      <c r="N10" s="627"/>
      <c r="O10" s="627"/>
      <c r="P10" s="627"/>
      <c r="Q10" s="627"/>
      <c r="R10" s="627"/>
      <c r="S10" s="627"/>
      <c r="T10" s="627"/>
      <c r="U10" s="627"/>
      <c r="V10" s="627"/>
      <c r="W10" s="627"/>
      <c r="X10" s="627"/>
      <c r="Y10" s="627"/>
      <c r="Z10" s="627"/>
      <c r="AA10" s="627"/>
      <c r="AB10" s="627"/>
    </row>
    <row r="11" spans="2:28" ht="12" customHeight="1" outlineLevel="1">
      <c r="B11" s="593" t="str">
        <f>CONCATENATE(F10,": ",)</f>
        <v xml:space="preserve">Total population: </v>
      </c>
      <c r="C11" s="594">
        <f>$C$5</f>
        <v>500000</v>
      </c>
      <c r="D11" s="594">
        <f>C11+$D$8</f>
        <v>900000</v>
      </c>
      <c r="E11" s="594">
        <f t="shared" ref="E11:AB11" si="0">D11+$D$8</f>
        <v>1300000</v>
      </c>
      <c r="F11" s="594">
        <f t="shared" si="0"/>
        <v>1700000</v>
      </c>
      <c r="G11" s="594">
        <f t="shared" si="0"/>
        <v>2100000</v>
      </c>
      <c r="H11" s="594">
        <f t="shared" si="0"/>
        <v>2500000</v>
      </c>
      <c r="I11" s="594">
        <f t="shared" si="0"/>
        <v>2900000</v>
      </c>
      <c r="J11" s="594">
        <f t="shared" si="0"/>
        <v>3300000</v>
      </c>
      <c r="K11" s="594">
        <f t="shared" si="0"/>
        <v>3700000</v>
      </c>
      <c r="L11" s="594">
        <f t="shared" si="0"/>
        <v>4100000</v>
      </c>
      <c r="M11" s="594">
        <f t="shared" si="0"/>
        <v>4500000</v>
      </c>
      <c r="N11" s="594">
        <f t="shared" si="0"/>
        <v>4900000</v>
      </c>
      <c r="O11" s="594">
        <f t="shared" si="0"/>
        <v>5300000</v>
      </c>
      <c r="P11" s="594">
        <f t="shared" si="0"/>
        <v>5700000</v>
      </c>
      <c r="Q11" s="594">
        <f t="shared" si="0"/>
        <v>6100000</v>
      </c>
      <c r="R11" s="594">
        <f t="shared" si="0"/>
        <v>6500000</v>
      </c>
      <c r="S11" s="594">
        <f t="shared" si="0"/>
        <v>6900000</v>
      </c>
      <c r="T11" s="594">
        <f t="shared" si="0"/>
        <v>7300000</v>
      </c>
      <c r="U11" s="594">
        <f t="shared" si="0"/>
        <v>7700000</v>
      </c>
      <c r="V11" s="594">
        <f t="shared" si="0"/>
        <v>8100000</v>
      </c>
      <c r="W11" s="594">
        <f t="shared" si="0"/>
        <v>8500000</v>
      </c>
      <c r="X11" s="594">
        <f t="shared" si="0"/>
        <v>8900000</v>
      </c>
      <c r="Y11" s="594">
        <f t="shared" si="0"/>
        <v>9300000</v>
      </c>
      <c r="Z11" s="594">
        <f t="shared" si="0"/>
        <v>9700000</v>
      </c>
      <c r="AA11" s="594">
        <f t="shared" si="0"/>
        <v>10100000</v>
      </c>
      <c r="AB11" s="594">
        <f t="shared" si="0"/>
        <v>10500000</v>
      </c>
    </row>
    <row r="12" spans="2:28" ht="12" outlineLevel="1">
      <c r="B12" s="641" t="str">
        <f>Translation!C29</f>
        <v>Estimate of cold-chain capacity per schedule (litres)</v>
      </c>
      <c r="C12" s="186"/>
      <c r="D12" s="186"/>
      <c r="E12" s="186"/>
      <c r="F12" s="186"/>
      <c r="G12" s="186"/>
      <c r="H12" s="186"/>
      <c r="I12" s="186"/>
      <c r="J12" s="186"/>
      <c r="K12" s="186"/>
      <c r="L12" s="186"/>
      <c r="M12" s="186"/>
      <c r="N12" s="186"/>
      <c r="O12" s="186"/>
      <c r="P12" s="186"/>
      <c r="Q12" s="186"/>
      <c r="R12" s="186"/>
      <c r="S12" s="186"/>
      <c r="T12" s="186"/>
      <c r="U12" s="186"/>
      <c r="V12" s="186"/>
      <c r="W12" s="186"/>
      <c r="X12" s="186"/>
      <c r="Y12" s="186"/>
      <c r="Z12" s="186"/>
      <c r="AA12" s="186"/>
      <c r="AB12" s="186"/>
    </row>
    <row r="13" spans="2:28" ht="11.55" customHeight="1" outlineLevel="1">
      <c r="B13" s="633" t="str">
        <f>IF(Vaccine_Selection!$M$16="","",CONCATENATE(Vaccine_Selection!$M$16," @ ",$C$7,$E$7,"-MaxiStock"))</f>
        <v>Current schedule @ per individual vaccine months-MaxiStock</v>
      </c>
      <c r="C13" s="634">
        <f>IF(ISTEXT($C$7),Vaccine_Selection!$Y$39,Vaccine_Selection!$M$39*$C$7/12)*C$11/1000</f>
        <v>118.27260185185185</v>
      </c>
      <c r="D13" s="634">
        <f>IF(ISTEXT($C$7),Vaccine_Selection!$Y$39,Vaccine_Selection!$M$39*$C$7/12)*D$11/1000</f>
        <v>212.89068333333333</v>
      </c>
      <c r="E13" s="634">
        <f>IF(ISTEXT($C$7),Vaccine_Selection!$Y$39,Vaccine_Selection!$M$39*$C$7/12)*E$11/1000</f>
        <v>307.50876481481481</v>
      </c>
      <c r="F13" s="634">
        <f>IF(ISTEXT($C$7),Vaccine_Selection!$Y$39,Vaccine_Selection!$M$39*$C$7/12)*F$11/1000</f>
        <v>402.12684629629626</v>
      </c>
      <c r="G13" s="634">
        <f>IF(ISTEXT($C$7),Vaccine_Selection!$Y$39,Vaccine_Selection!$M$39*$C$7/12)*G$11/1000</f>
        <v>496.74492777777772</v>
      </c>
      <c r="H13" s="634">
        <f>IF(ISTEXT($C$7),Vaccine_Selection!$Y$39,Vaccine_Selection!$M$39*$C$7/12)*H$11/1000</f>
        <v>591.36300925925923</v>
      </c>
      <c r="I13" s="634">
        <f>IF(ISTEXT($C$7),Vaccine_Selection!$Y$39,Vaccine_Selection!$M$39*$C$7/12)*I$11/1000</f>
        <v>685.98109074074068</v>
      </c>
      <c r="J13" s="634">
        <f>IF(ISTEXT($C$7),Vaccine_Selection!$Y$39,Vaccine_Selection!$M$39*$C$7/12)*J$11/1000</f>
        <v>780.59917222222225</v>
      </c>
      <c r="K13" s="634">
        <f>IF(ISTEXT($C$7),Vaccine_Selection!$Y$39,Vaccine_Selection!$M$39*$C$7/12)*K$11/1000</f>
        <v>875.21725370370359</v>
      </c>
      <c r="L13" s="634">
        <f>IF(ISTEXT($C$7),Vaccine_Selection!$Y$39,Vaccine_Selection!$M$39*$C$7/12)*L$11/1000</f>
        <v>969.83533518518504</v>
      </c>
      <c r="M13" s="634">
        <f>IF(ISTEXT($C$7),Vaccine_Selection!$Y$39,Vaccine_Selection!$M$39*$C$7/12)*M$11/1000</f>
        <v>1064.4534166666665</v>
      </c>
      <c r="N13" s="634">
        <f>IF(ISTEXT($C$7),Vaccine_Selection!$Y$39,Vaccine_Selection!$M$39*$C$7/12)*N$11/1000</f>
        <v>1159.0714981481483</v>
      </c>
      <c r="O13" s="634">
        <f>IF(ISTEXT($C$7),Vaccine_Selection!$Y$39,Vaccine_Selection!$M$39*$C$7/12)*O$11/1000</f>
        <v>1253.6895796296296</v>
      </c>
      <c r="P13" s="634">
        <f>IF(ISTEXT($C$7),Vaccine_Selection!$Y$39,Vaccine_Selection!$M$39*$C$7/12)*P$11/1000</f>
        <v>1348.307661111111</v>
      </c>
      <c r="Q13" s="634">
        <f>IF(ISTEXT($C$7),Vaccine_Selection!$Y$39,Vaccine_Selection!$M$39*$C$7/12)*Q$11/1000</f>
        <v>1442.9257425925925</v>
      </c>
      <c r="R13" s="634">
        <f>IF(ISTEXT($C$7),Vaccine_Selection!$Y$39,Vaccine_Selection!$M$39*$C$7/12)*R$11/1000</f>
        <v>1537.5438240740739</v>
      </c>
      <c r="S13" s="634">
        <f>IF(ISTEXT($C$7),Vaccine_Selection!$Y$39,Vaccine_Selection!$M$39*$C$7/12)*S$11/1000</f>
        <v>1632.1619055555554</v>
      </c>
      <c r="T13" s="634">
        <f>IF(ISTEXT($C$7),Vaccine_Selection!$Y$39,Vaccine_Selection!$M$39*$C$7/12)*T$11/1000</f>
        <v>1726.779987037037</v>
      </c>
      <c r="U13" s="634">
        <f>IF(ISTEXT($C$7),Vaccine_Selection!$Y$39,Vaccine_Selection!$M$39*$C$7/12)*U$11/1000</f>
        <v>1821.3980685185184</v>
      </c>
      <c r="V13" s="634">
        <f>IF(ISTEXT($C$7),Vaccine_Selection!$Y$39,Vaccine_Selection!$M$39*$C$7/12)*V$11/1000</f>
        <v>1916.0161499999999</v>
      </c>
      <c r="W13" s="634">
        <f>IF(ISTEXT($C$7),Vaccine_Selection!$Y$39,Vaccine_Selection!$M$39*$C$7/12)*W$11/1000</f>
        <v>2010.6342314814813</v>
      </c>
      <c r="X13" s="634">
        <f>IF(ISTEXT($C$7),Vaccine_Selection!$Y$39,Vaccine_Selection!$M$39*$C$7/12)*X$11/1000</f>
        <v>2105.2523129629626</v>
      </c>
      <c r="Y13" s="634">
        <f>IF(ISTEXT($C$7),Vaccine_Selection!$Y$39,Vaccine_Selection!$M$39*$C$7/12)*Y$11/1000</f>
        <v>2199.8703944444442</v>
      </c>
      <c r="Z13" s="634">
        <f>IF(ISTEXT($C$7),Vaccine_Selection!$Y$39,Vaccine_Selection!$M$39*$C$7/12)*Z$11/1000</f>
        <v>2294.4884759259257</v>
      </c>
      <c r="AA13" s="634">
        <f>IF(ISTEXT($C$7),Vaccine_Selection!$Y$39,Vaccine_Selection!$M$39*$C$7/12)*AA$11/1000</f>
        <v>2389.1065574074073</v>
      </c>
      <c r="AB13" s="634">
        <f>IF(ISTEXT($C$7),Vaccine_Selection!$Y$39,Vaccine_Selection!$M$39*$C$7/12)*AB$11/1000</f>
        <v>2483.7246388888884</v>
      </c>
    </row>
    <row r="14" spans="2:28" outlineLevel="1">
      <c r="B14" s="635" t="str">
        <f>IF(Vaccine_Selection!$N$16="","",CONCATENATE(Vaccine_Selection!$N$16," @ ",$C$7,$E$7,"-MaxiStock"))</f>
        <v>Current schedule with penta 1d @ per individual vaccine months-MaxiStock</v>
      </c>
      <c r="C14" s="634">
        <f>IF(ISTEXT($C$7),Vaccine_Selection!$Z$39,Vaccine_Selection!$N$39*$C$7/12)*C$11/1000</f>
        <v>241.36933518518515</v>
      </c>
      <c r="D14" s="634">
        <f>IF(ISTEXT($C$7),Vaccine_Selection!$Z$39,Vaccine_Selection!$N$39*$C$7/12)*D$11/1000</f>
        <v>434.46480333333329</v>
      </c>
      <c r="E14" s="634">
        <f>IF(ISTEXT($C$7),Vaccine_Selection!$Z$39,Vaccine_Selection!$N$39*$C$7/12)*E$11/1000</f>
        <v>627.56027148148144</v>
      </c>
      <c r="F14" s="634">
        <f>IF(ISTEXT($C$7),Vaccine_Selection!$Z$39,Vaccine_Selection!$N$39*$C$7/12)*F$11/1000</f>
        <v>820.65573962962958</v>
      </c>
      <c r="G14" s="634">
        <f>IF(ISTEXT($C$7),Vaccine_Selection!$Z$39,Vaccine_Selection!$N$39*$C$7/12)*G$11/1000</f>
        <v>1013.7512077777777</v>
      </c>
      <c r="H14" s="634">
        <f>IF(ISTEXT($C$7),Vaccine_Selection!$Z$39,Vaccine_Selection!$N$39*$C$7/12)*H$11/1000</f>
        <v>1206.8466759259259</v>
      </c>
      <c r="I14" s="634">
        <f>IF(ISTEXT($C$7),Vaccine_Selection!$Z$39,Vaccine_Selection!$N$39*$C$7/12)*I$11/1000</f>
        <v>1399.9421440740739</v>
      </c>
      <c r="J14" s="634">
        <f>IF(ISTEXT($C$7),Vaccine_Selection!$Z$39,Vaccine_Selection!$N$39*$C$7/12)*J$11/1000</f>
        <v>1593.0376122222222</v>
      </c>
      <c r="K14" s="634">
        <f>IF(ISTEXT($C$7),Vaccine_Selection!$Z$39,Vaccine_Selection!$N$39*$C$7/12)*K$11/1000</f>
        <v>1786.1330803703704</v>
      </c>
      <c r="L14" s="634">
        <f>IF(ISTEXT($C$7),Vaccine_Selection!$Z$39,Vaccine_Selection!$N$39*$C$7/12)*L$11/1000</f>
        <v>1979.2285485185184</v>
      </c>
      <c r="M14" s="634">
        <f>IF(ISTEXT($C$7),Vaccine_Selection!$Z$39,Vaccine_Selection!$N$39*$C$7/12)*M$11/1000</f>
        <v>2172.3240166666665</v>
      </c>
      <c r="N14" s="634">
        <f>IF(ISTEXT($C$7),Vaccine_Selection!$Z$39,Vaccine_Selection!$N$39*$C$7/12)*N$11/1000</f>
        <v>2365.419484814815</v>
      </c>
      <c r="O14" s="634">
        <f>IF(ISTEXT($C$7),Vaccine_Selection!$Z$39,Vaccine_Selection!$N$39*$C$7/12)*O$11/1000</f>
        <v>2558.514952962963</v>
      </c>
      <c r="P14" s="634">
        <f>IF(ISTEXT($C$7),Vaccine_Selection!$Z$39,Vaccine_Selection!$N$39*$C$7/12)*P$11/1000</f>
        <v>2751.610421111111</v>
      </c>
      <c r="Q14" s="634">
        <f>IF(ISTEXT($C$7),Vaccine_Selection!$Z$39,Vaccine_Selection!$N$39*$C$7/12)*Q$11/1000</f>
        <v>2944.705889259259</v>
      </c>
      <c r="R14" s="634">
        <f>IF(ISTEXT($C$7),Vaccine_Selection!$Z$39,Vaccine_Selection!$N$39*$C$7/12)*R$11/1000</f>
        <v>3137.8013574074071</v>
      </c>
      <c r="S14" s="634">
        <f>IF(ISTEXT($C$7),Vaccine_Selection!$Z$39,Vaccine_Selection!$N$39*$C$7/12)*S$11/1000</f>
        <v>3330.8968255555551</v>
      </c>
      <c r="T14" s="634">
        <f>IF(ISTEXT($C$7),Vaccine_Selection!$Z$39,Vaccine_Selection!$N$39*$C$7/12)*T$11/1000</f>
        <v>3523.9922937037031</v>
      </c>
      <c r="U14" s="634">
        <f>IF(ISTEXT($C$7),Vaccine_Selection!$Z$39,Vaccine_Selection!$N$39*$C$7/12)*U$11/1000</f>
        <v>3717.0877618518512</v>
      </c>
      <c r="V14" s="634">
        <f>IF(ISTEXT($C$7),Vaccine_Selection!$Z$39,Vaccine_Selection!$N$39*$C$7/12)*V$11/1000</f>
        <v>3910.1832299999996</v>
      </c>
      <c r="W14" s="634">
        <f>IF(ISTEXT($C$7),Vaccine_Selection!$Z$39,Vaccine_Selection!$N$39*$C$7/12)*W$11/1000</f>
        <v>4103.2786981481477</v>
      </c>
      <c r="X14" s="634">
        <f>IF(ISTEXT($C$7),Vaccine_Selection!$Z$39,Vaccine_Selection!$N$39*$C$7/12)*X$11/1000</f>
        <v>4296.3741662962957</v>
      </c>
      <c r="Y14" s="634">
        <f>IF(ISTEXT($C$7),Vaccine_Selection!$Z$39,Vaccine_Selection!$N$39*$C$7/12)*Y$11/1000</f>
        <v>4489.4696344444446</v>
      </c>
      <c r="Z14" s="634">
        <f>IF(ISTEXT($C$7),Vaccine_Selection!$Z$39,Vaccine_Selection!$N$39*$C$7/12)*Z$11/1000</f>
        <v>4682.5651025925918</v>
      </c>
      <c r="AA14" s="634">
        <f>IF(ISTEXT($C$7),Vaccine_Selection!$Z$39,Vaccine_Selection!$N$39*$C$7/12)*AA$11/1000</f>
        <v>4875.6605707407407</v>
      </c>
      <c r="AB14" s="634">
        <f>IF(ISTEXT($C$7),Vaccine_Selection!$Z$39,Vaccine_Selection!$N$39*$C$7/12)*AB$11/1000</f>
        <v>5068.7560388888887</v>
      </c>
    </row>
    <row r="15" spans="2:28" outlineLevel="1">
      <c r="B15" s="635" t="str">
        <f>IF(Vaccine_Selection!$O$16="","",CONCATENATE(Vaccine_Selection!$O$16," @ ",$C$7,$E$7,"-MaxiStock"))</f>
        <v>Current schedule with penta CAD @ per individual vaccine months-MaxiStock</v>
      </c>
      <c r="C15" s="634">
        <f>IF(ISTEXT($C$7),Vaccine_Selection!$AA$39,Vaccine_Selection!$O$39*$C$7/12)*C$11/1000</f>
        <v>224.73093518518516</v>
      </c>
      <c r="D15" s="634">
        <f>IF(ISTEXT($C$7),Vaccine_Selection!$AA$39,Vaccine_Selection!$O$39*$C$7/12)*D$11/1000</f>
        <v>404.5156833333333</v>
      </c>
      <c r="E15" s="634">
        <f>IF(ISTEXT($C$7),Vaccine_Selection!$AA$39,Vaccine_Selection!$O$39*$C$7/12)*E$11/1000</f>
        <v>584.30043148148138</v>
      </c>
      <c r="F15" s="634">
        <f>IF(ISTEXT($C$7),Vaccine_Selection!$AA$39,Vaccine_Selection!$O$39*$C$7/12)*F$11/1000</f>
        <v>764.08517962962958</v>
      </c>
      <c r="G15" s="634">
        <f>IF(ISTEXT($C$7),Vaccine_Selection!$AA$39,Vaccine_Selection!$O$39*$C$7/12)*G$11/1000</f>
        <v>943.86992777777766</v>
      </c>
      <c r="H15" s="634">
        <f>IF(ISTEXT($C$7),Vaccine_Selection!$AA$39,Vaccine_Selection!$O$39*$C$7/12)*H$11/1000</f>
        <v>1123.6546759259259</v>
      </c>
      <c r="I15" s="634">
        <f>IF(ISTEXT($C$7),Vaccine_Selection!$AA$39,Vaccine_Selection!$O$39*$C$7/12)*I$11/1000</f>
        <v>1303.4394240740739</v>
      </c>
      <c r="J15" s="634">
        <f>IF(ISTEXT($C$7),Vaccine_Selection!$AA$39,Vaccine_Selection!$O$39*$C$7/12)*J$11/1000</f>
        <v>1483.2241722222223</v>
      </c>
      <c r="K15" s="634">
        <f>IF(ISTEXT($C$7),Vaccine_Selection!$AA$39,Vaccine_Selection!$O$39*$C$7/12)*K$11/1000</f>
        <v>1663.0089203703701</v>
      </c>
      <c r="L15" s="634">
        <f>IF(ISTEXT($C$7),Vaccine_Selection!$AA$39,Vaccine_Selection!$O$39*$C$7/12)*L$11/1000</f>
        <v>1842.7936685185184</v>
      </c>
      <c r="M15" s="634">
        <f>IF(ISTEXT($C$7),Vaccine_Selection!$AA$39,Vaccine_Selection!$O$39*$C$7/12)*M$11/1000</f>
        <v>2022.5784166666665</v>
      </c>
      <c r="N15" s="634">
        <f>IF(ISTEXT($C$7),Vaccine_Selection!$AA$39,Vaccine_Selection!$O$39*$C$7/12)*N$11/1000</f>
        <v>2202.3631648148144</v>
      </c>
      <c r="O15" s="634">
        <f>IF(ISTEXT($C$7),Vaccine_Selection!$AA$39,Vaccine_Selection!$O$39*$C$7/12)*O$11/1000</f>
        <v>2382.1479129629629</v>
      </c>
      <c r="P15" s="634">
        <f>IF(ISTEXT($C$7),Vaccine_Selection!$AA$39,Vaccine_Selection!$O$39*$C$7/12)*P$11/1000</f>
        <v>2561.932661111111</v>
      </c>
      <c r="Q15" s="634">
        <f>IF(ISTEXT($C$7),Vaccine_Selection!$AA$39,Vaccine_Selection!$O$39*$C$7/12)*Q$11/1000</f>
        <v>2741.7174092592591</v>
      </c>
      <c r="R15" s="634">
        <f>IF(ISTEXT($C$7),Vaccine_Selection!$AA$39,Vaccine_Selection!$O$39*$C$7/12)*R$11/1000</f>
        <v>2921.5021574074071</v>
      </c>
      <c r="S15" s="634">
        <f>IF(ISTEXT($C$7),Vaccine_Selection!$AA$39,Vaccine_Selection!$O$39*$C$7/12)*S$11/1000</f>
        <v>3101.2869055555552</v>
      </c>
      <c r="T15" s="634">
        <f>IF(ISTEXT($C$7),Vaccine_Selection!$AA$39,Vaccine_Selection!$O$39*$C$7/12)*T$11/1000</f>
        <v>3281.0716537037038</v>
      </c>
      <c r="U15" s="634">
        <f>IF(ISTEXT($C$7),Vaccine_Selection!$AA$39,Vaccine_Selection!$O$39*$C$7/12)*U$11/1000</f>
        <v>3460.8564018518514</v>
      </c>
      <c r="V15" s="634">
        <f>IF(ISTEXT($C$7),Vaccine_Selection!$AA$39,Vaccine_Selection!$O$39*$C$7/12)*V$11/1000</f>
        <v>3640.6411499999999</v>
      </c>
      <c r="W15" s="634">
        <f>IF(ISTEXT($C$7),Vaccine_Selection!$AA$39,Vaccine_Selection!$O$39*$C$7/12)*W$11/1000</f>
        <v>3820.425898148148</v>
      </c>
      <c r="X15" s="634">
        <f>IF(ISTEXT($C$7),Vaccine_Selection!$AA$39,Vaccine_Selection!$O$39*$C$7/12)*X$11/1000</f>
        <v>4000.2106462962956</v>
      </c>
      <c r="Y15" s="634">
        <f>IF(ISTEXT($C$7),Vaccine_Selection!$AA$39,Vaccine_Selection!$O$39*$C$7/12)*Y$11/1000</f>
        <v>4179.9953944444442</v>
      </c>
      <c r="Z15" s="634">
        <f>IF(ISTEXT($C$7),Vaccine_Selection!$AA$39,Vaccine_Selection!$O$39*$C$7/12)*Z$11/1000</f>
        <v>4359.7801425925918</v>
      </c>
      <c r="AA15" s="634">
        <f>IF(ISTEXT($C$7),Vaccine_Selection!$AA$39,Vaccine_Selection!$O$39*$C$7/12)*AA$11/1000</f>
        <v>4539.5648907407403</v>
      </c>
      <c r="AB15" s="634">
        <f>IF(ISTEXT($C$7),Vaccine_Selection!$AA$39,Vaccine_Selection!$O$39*$C$7/12)*AB$11/1000</f>
        <v>4719.349638888888</v>
      </c>
    </row>
    <row r="16" spans="2:28" outlineLevel="1">
      <c r="B16" s="635" t="str">
        <f>IF(Vaccine_Selection!$P$16="","",CONCATENATE(Vaccine_Selection!$P$16," @ ",$C$7,$E$7,"-MaxiStock"))</f>
        <v/>
      </c>
      <c r="C16" s="634">
        <f>IF(ISTEXT($C$7),Vaccine_Selection!$AB$39,Vaccine_Selection!$P$39*$C$7/12)*C$11/1000</f>
        <v>0</v>
      </c>
      <c r="D16" s="634">
        <f>IF(ISTEXT($C$7),Vaccine_Selection!$AB$39,Vaccine_Selection!$P$39*$C$7/12)*D$11/1000</f>
        <v>0</v>
      </c>
      <c r="E16" s="634">
        <f>IF(ISTEXT($C$7),Vaccine_Selection!$AB$39,Vaccine_Selection!$P$39*$C$7/12)*E$11/1000</f>
        <v>0</v>
      </c>
      <c r="F16" s="634">
        <f>IF(ISTEXT($C$7),Vaccine_Selection!$AB$39,Vaccine_Selection!$P$39*$C$7/12)*F$11/1000</f>
        <v>0</v>
      </c>
      <c r="G16" s="634">
        <f>IF(ISTEXT($C$7),Vaccine_Selection!$AB$39,Vaccine_Selection!$P$39*$C$7/12)*G$11/1000</f>
        <v>0</v>
      </c>
      <c r="H16" s="634">
        <f>IF(ISTEXT($C$7),Vaccine_Selection!$AB$39,Vaccine_Selection!$P$39*$C$7/12)*H$11/1000</f>
        <v>0</v>
      </c>
      <c r="I16" s="634">
        <f>IF(ISTEXT($C$7),Vaccine_Selection!$AB$39,Vaccine_Selection!$P$39*$C$7/12)*I$11/1000</f>
        <v>0</v>
      </c>
      <c r="J16" s="634">
        <f>IF(ISTEXT($C$7),Vaccine_Selection!$AB$39,Vaccine_Selection!$P$39*$C$7/12)*J$11/1000</f>
        <v>0</v>
      </c>
      <c r="K16" s="634">
        <f>IF(ISTEXT($C$7),Vaccine_Selection!$AB$39,Vaccine_Selection!$P$39*$C$7/12)*K$11/1000</f>
        <v>0</v>
      </c>
      <c r="L16" s="634">
        <f>IF(ISTEXT($C$7),Vaccine_Selection!$AB$39,Vaccine_Selection!$P$39*$C$7/12)*L$11/1000</f>
        <v>0</v>
      </c>
      <c r="M16" s="634">
        <f>IF(ISTEXT($C$7),Vaccine_Selection!$AB$39,Vaccine_Selection!$P$39*$C$7/12)*M$11/1000</f>
        <v>0</v>
      </c>
      <c r="N16" s="634">
        <f>IF(ISTEXT($C$7),Vaccine_Selection!$AB$39,Vaccine_Selection!$P$39*$C$7/12)*N$11/1000</f>
        <v>0</v>
      </c>
      <c r="O16" s="634">
        <f>IF(ISTEXT($C$7),Vaccine_Selection!$AB$39,Vaccine_Selection!$P$39*$C$7/12)*O$11/1000</f>
        <v>0</v>
      </c>
      <c r="P16" s="634">
        <f>IF(ISTEXT($C$7),Vaccine_Selection!$AB$39,Vaccine_Selection!$P$39*$C$7/12)*P$11/1000</f>
        <v>0</v>
      </c>
      <c r="Q16" s="634">
        <f>IF(ISTEXT($C$7),Vaccine_Selection!$AB$39,Vaccine_Selection!$P$39*$C$7/12)*Q$11/1000</f>
        <v>0</v>
      </c>
      <c r="R16" s="634">
        <f>IF(ISTEXT($C$7),Vaccine_Selection!$AB$39,Vaccine_Selection!$P$39*$C$7/12)*R$11/1000</f>
        <v>0</v>
      </c>
      <c r="S16" s="634">
        <f>IF(ISTEXT($C$7),Vaccine_Selection!$AB$39,Vaccine_Selection!$P$39*$C$7/12)*S$11/1000</f>
        <v>0</v>
      </c>
      <c r="T16" s="634">
        <f>IF(ISTEXT($C$7),Vaccine_Selection!$AB$39,Vaccine_Selection!$P$39*$C$7/12)*T$11/1000</f>
        <v>0</v>
      </c>
      <c r="U16" s="634">
        <f>IF(ISTEXT($C$7),Vaccine_Selection!$AB$39,Vaccine_Selection!$P$39*$C$7/12)*U$11/1000</f>
        <v>0</v>
      </c>
      <c r="V16" s="634">
        <f>IF(ISTEXT($C$7),Vaccine_Selection!$AB$39,Vaccine_Selection!$P$39*$C$7/12)*V$11/1000</f>
        <v>0</v>
      </c>
      <c r="W16" s="634">
        <f>IF(ISTEXT($C$7),Vaccine_Selection!$AB$39,Vaccine_Selection!$P$39*$C$7/12)*W$11/1000</f>
        <v>0</v>
      </c>
      <c r="X16" s="634">
        <f>IF(ISTEXT($C$7),Vaccine_Selection!$AB$39,Vaccine_Selection!$P$39*$C$7/12)*X$11/1000</f>
        <v>0</v>
      </c>
      <c r="Y16" s="634">
        <f>IF(ISTEXT($C$7),Vaccine_Selection!$AB$39,Vaccine_Selection!$P$39*$C$7/12)*Y$11/1000</f>
        <v>0</v>
      </c>
      <c r="Z16" s="634">
        <f>IF(ISTEXT($C$7),Vaccine_Selection!$AB$39,Vaccine_Selection!$P$39*$C$7/12)*Z$11/1000</f>
        <v>0</v>
      </c>
      <c r="AA16" s="634">
        <f>IF(ISTEXT($C$7),Vaccine_Selection!$AB$39,Vaccine_Selection!$P$39*$C$7/12)*AA$11/1000</f>
        <v>0</v>
      </c>
      <c r="AB16" s="634">
        <f>IF(ISTEXT($C$7),Vaccine_Selection!$AB$39,Vaccine_Selection!$P$39*$C$7/12)*AB$11/1000</f>
        <v>0</v>
      </c>
    </row>
    <row r="17" spans="2:28" outlineLevel="1">
      <c r="B17" s="648" t="str">
        <f>IF(Vaccine_Selection!$Q$16="","",CONCATENATE(Vaccine_Selection!$Q$16," @ ",$C$7,$E$7,"-MaxiStock"))</f>
        <v/>
      </c>
      <c r="C17" s="642">
        <f>IF(ISTEXT($C$7),Vaccine_Selection!$AC$39,Vaccine_Selection!$Q$39*$C$7/12)*C$11/1000</f>
        <v>0</v>
      </c>
      <c r="D17" s="642">
        <f>IF(ISTEXT($C$7),Vaccine_Selection!$AC$39,Vaccine_Selection!$Q$39*$C$7/12)*D$11/1000</f>
        <v>0</v>
      </c>
      <c r="E17" s="642">
        <f>IF(ISTEXT($C$7),Vaccine_Selection!$AC$39,Vaccine_Selection!$Q$39*$C$7/12)*E$11/1000</f>
        <v>0</v>
      </c>
      <c r="F17" s="642">
        <f>IF(ISTEXT($C$7),Vaccine_Selection!$AC$39,Vaccine_Selection!$Q$39*$C$7/12)*F$11/1000</f>
        <v>0</v>
      </c>
      <c r="G17" s="642">
        <f>IF(ISTEXT($C$7),Vaccine_Selection!$AC$39,Vaccine_Selection!$Q$39*$C$7/12)*G$11/1000</f>
        <v>0</v>
      </c>
      <c r="H17" s="642">
        <f>IF(ISTEXT($C$7),Vaccine_Selection!$AC$39,Vaccine_Selection!$Q$39*$C$7/12)*H$11/1000</f>
        <v>0</v>
      </c>
      <c r="I17" s="642">
        <f>IF(ISTEXT($C$7),Vaccine_Selection!$AC$39,Vaccine_Selection!$Q$39*$C$7/12)*I$11/1000</f>
        <v>0</v>
      </c>
      <c r="J17" s="642">
        <f>IF(ISTEXT($C$7),Vaccine_Selection!$AC$39,Vaccine_Selection!$Q$39*$C$7/12)*J$11/1000</f>
        <v>0</v>
      </c>
      <c r="K17" s="642">
        <f>IF(ISTEXT($C$7),Vaccine_Selection!$AC$39,Vaccine_Selection!$Q$39*$C$7/12)*K$11/1000</f>
        <v>0</v>
      </c>
      <c r="L17" s="642">
        <f>IF(ISTEXT($C$7),Vaccine_Selection!$AC$39,Vaccine_Selection!$Q$39*$C$7/12)*L$11/1000</f>
        <v>0</v>
      </c>
      <c r="M17" s="642">
        <f>IF(ISTEXT($C$7),Vaccine_Selection!$AC$39,Vaccine_Selection!$Q$39*$C$7/12)*M$11/1000</f>
        <v>0</v>
      </c>
      <c r="N17" s="642">
        <f>IF(ISTEXT($C$7),Vaccine_Selection!$AC$39,Vaccine_Selection!$Q$39*$C$7/12)*N$11/1000</f>
        <v>0</v>
      </c>
      <c r="O17" s="642">
        <f>IF(ISTEXT($C$7),Vaccine_Selection!$AC$39,Vaccine_Selection!$Q$39*$C$7/12)*O$11/1000</f>
        <v>0</v>
      </c>
      <c r="P17" s="642">
        <f>IF(ISTEXT($C$7),Vaccine_Selection!$AC$39,Vaccine_Selection!$Q$39*$C$7/12)*P$11/1000</f>
        <v>0</v>
      </c>
      <c r="Q17" s="642">
        <f>IF(ISTEXT($C$7),Vaccine_Selection!$AC$39,Vaccine_Selection!$Q$39*$C$7/12)*Q$11/1000</f>
        <v>0</v>
      </c>
      <c r="R17" s="642">
        <f>IF(ISTEXT($C$7),Vaccine_Selection!$AC$39,Vaccine_Selection!$Q$39*$C$7/12)*R$11/1000</f>
        <v>0</v>
      </c>
      <c r="S17" s="642">
        <f>IF(ISTEXT($C$7),Vaccine_Selection!$AC$39,Vaccine_Selection!$Q$39*$C$7/12)*S$11/1000</f>
        <v>0</v>
      </c>
      <c r="T17" s="642">
        <f>IF(ISTEXT($C$7),Vaccine_Selection!$AC$39,Vaccine_Selection!$Q$39*$C$7/12)*T$11/1000</f>
        <v>0</v>
      </c>
      <c r="U17" s="642">
        <f>IF(ISTEXT($C$7),Vaccine_Selection!$AC$39,Vaccine_Selection!$Q$39*$C$7/12)*U$11/1000</f>
        <v>0</v>
      </c>
      <c r="V17" s="642">
        <f>IF(ISTEXT($C$7),Vaccine_Selection!$AC$39,Vaccine_Selection!$Q$39*$C$7/12)*V$11/1000</f>
        <v>0</v>
      </c>
      <c r="W17" s="642">
        <f>IF(ISTEXT($C$7),Vaccine_Selection!$AC$39,Vaccine_Selection!$Q$39*$C$7/12)*W$11/1000</f>
        <v>0</v>
      </c>
      <c r="X17" s="642">
        <f>IF(ISTEXT($C$7),Vaccine_Selection!$AC$39,Vaccine_Selection!$Q$39*$C$7/12)*X$11/1000</f>
        <v>0</v>
      </c>
      <c r="Y17" s="642">
        <f>IF(ISTEXT($C$7),Vaccine_Selection!$AC$39,Vaccine_Selection!$Q$39*$C$7/12)*Y$11/1000</f>
        <v>0</v>
      </c>
      <c r="Z17" s="642">
        <f>IF(ISTEXT($C$7),Vaccine_Selection!$AC$39,Vaccine_Selection!$Q$39*$C$7/12)*Z$11/1000</f>
        <v>0</v>
      </c>
      <c r="AA17" s="642">
        <f>IF(ISTEXT($C$7),Vaccine_Selection!$AC$39,Vaccine_Selection!$Q$39*$C$7/12)*AA$11/1000</f>
        <v>0</v>
      </c>
      <c r="AB17" s="642">
        <f>IF(ISTEXT($C$7),Vaccine_Selection!$AC$39,Vaccine_Selection!$Q$39*$C$7/12)*AB$11/1000</f>
        <v>0</v>
      </c>
    </row>
    <row r="18" spans="2:28" ht="12" outlineLevel="1">
      <c r="B18" s="650" t="str">
        <f>Translation!C38</f>
        <v>Estimate of equipment requirements per schedule</v>
      </c>
      <c r="C18" s="651"/>
      <c r="D18" s="652"/>
      <c r="E18" s="653" t="str">
        <f>Translation!C40</f>
        <v>Equipment utilization factor (%)</v>
      </c>
      <c r="F18" s="655">
        <v>0.65</v>
      </c>
      <c r="G18" s="652"/>
      <c r="H18" s="652"/>
      <c r="I18" s="652"/>
      <c r="J18" s="652"/>
      <c r="K18" s="652"/>
      <c r="L18" s="652"/>
      <c r="M18" s="652"/>
      <c r="N18" s="652"/>
      <c r="O18" s="652"/>
      <c r="P18" s="652"/>
      <c r="Q18" s="652"/>
      <c r="R18" s="652"/>
      <c r="S18" s="652"/>
      <c r="T18" s="652"/>
      <c r="U18" s="652"/>
      <c r="V18" s="652"/>
      <c r="W18" s="652"/>
      <c r="X18" s="652"/>
      <c r="Y18" s="652"/>
      <c r="Z18" s="652"/>
      <c r="AA18" s="652"/>
      <c r="AB18" s="652"/>
    </row>
    <row r="19" spans="2:28" ht="12" outlineLevel="1">
      <c r="B19" s="649" t="s">
        <v>844</v>
      </c>
      <c r="C19" s="634">
        <f>SUMIF(WICR,$B$19,Supplies!$E$36:$E$46)</f>
        <v>3030.3030303030305</v>
      </c>
      <c r="D19" s="634">
        <f t="shared" ref="D19:AB19" si="1">C19</f>
        <v>3030.3030303030305</v>
      </c>
      <c r="E19" s="634">
        <f t="shared" si="1"/>
        <v>3030.3030303030305</v>
      </c>
      <c r="F19" s="634">
        <f t="shared" si="1"/>
        <v>3030.3030303030305</v>
      </c>
      <c r="G19" s="634">
        <f t="shared" si="1"/>
        <v>3030.3030303030305</v>
      </c>
      <c r="H19" s="634">
        <f t="shared" si="1"/>
        <v>3030.3030303030305</v>
      </c>
      <c r="I19" s="634">
        <f t="shared" si="1"/>
        <v>3030.3030303030305</v>
      </c>
      <c r="J19" s="634">
        <f t="shared" si="1"/>
        <v>3030.3030303030305</v>
      </c>
      <c r="K19" s="634">
        <f t="shared" si="1"/>
        <v>3030.3030303030305</v>
      </c>
      <c r="L19" s="634">
        <f t="shared" si="1"/>
        <v>3030.3030303030305</v>
      </c>
      <c r="M19" s="634">
        <f t="shared" si="1"/>
        <v>3030.3030303030305</v>
      </c>
      <c r="N19" s="634">
        <f t="shared" si="1"/>
        <v>3030.3030303030305</v>
      </c>
      <c r="O19" s="634">
        <f t="shared" si="1"/>
        <v>3030.3030303030305</v>
      </c>
      <c r="P19" s="634">
        <f t="shared" si="1"/>
        <v>3030.3030303030305</v>
      </c>
      <c r="Q19" s="634">
        <f t="shared" si="1"/>
        <v>3030.3030303030305</v>
      </c>
      <c r="R19" s="634">
        <f t="shared" si="1"/>
        <v>3030.3030303030305</v>
      </c>
      <c r="S19" s="634">
        <f t="shared" si="1"/>
        <v>3030.3030303030305</v>
      </c>
      <c r="T19" s="634">
        <f t="shared" si="1"/>
        <v>3030.3030303030305</v>
      </c>
      <c r="U19" s="634">
        <f t="shared" si="1"/>
        <v>3030.3030303030305</v>
      </c>
      <c r="V19" s="634">
        <f t="shared" si="1"/>
        <v>3030.3030303030305</v>
      </c>
      <c r="W19" s="634">
        <f t="shared" si="1"/>
        <v>3030.3030303030305</v>
      </c>
      <c r="X19" s="634">
        <f t="shared" si="1"/>
        <v>3030.3030303030305</v>
      </c>
      <c r="Y19" s="634">
        <f t="shared" si="1"/>
        <v>3030.3030303030305</v>
      </c>
      <c r="Z19" s="634">
        <f t="shared" si="1"/>
        <v>3030.3030303030305</v>
      </c>
      <c r="AA19" s="634">
        <f t="shared" si="1"/>
        <v>3030.3030303030305</v>
      </c>
      <c r="AB19" s="634">
        <f t="shared" si="1"/>
        <v>3030.3030303030305</v>
      </c>
    </row>
    <row r="20" spans="2:28" outlineLevel="1">
      <c r="B20" s="645" t="str">
        <f>IF(Vaccine_Selection!$M$16="","",CONCATENATE(Vaccine_Selection!$M$16," @ ",$C$7,$E$7,"-MaxiStock: ",$B$19))</f>
        <v>Current schedule @ per individual vaccine months-MaxiStock: WICR-10m3</v>
      </c>
      <c r="C20" s="667">
        <f t="shared" ref="C20:AB20" si="2">IF(C$19=0,0,ROUND(C13/(C$19*$F$18),0))</f>
        <v>0</v>
      </c>
      <c r="D20" s="667">
        <f t="shared" si="2"/>
        <v>0</v>
      </c>
      <c r="E20" s="667">
        <f t="shared" si="2"/>
        <v>0</v>
      </c>
      <c r="F20" s="667">
        <f t="shared" si="2"/>
        <v>0</v>
      </c>
      <c r="G20" s="667">
        <f t="shared" si="2"/>
        <v>0</v>
      </c>
      <c r="H20" s="667">
        <f t="shared" si="2"/>
        <v>0</v>
      </c>
      <c r="I20" s="667">
        <f t="shared" si="2"/>
        <v>0</v>
      </c>
      <c r="J20" s="667">
        <f t="shared" si="2"/>
        <v>0</v>
      </c>
      <c r="K20" s="667">
        <f t="shared" si="2"/>
        <v>0</v>
      </c>
      <c r="L20" s="667">
        <f t="shared" si="2"/>
        <v>0</v>
      </c>
      <c r="M20" s="667">
        <f t="shared" si="2"/>
        <v>1</v>
      </c>
      <c r="N20" s="667">
        <f t="shared" si="2"/>
        <v>1</v>
      </c>
      <c r="O20" s="667">
        <f t="shared" si="2"/>
        <v>1</v>
      </c>
      <c r="P20" s="667">
        <f t="shared" si="2"/>
        <v>1</v>
      </c>
      <c r="Q20" s="667">
        <f t="shared" si="2"/>
        <v>1</v>
      </c>
      <c r="R20" s="667">
        <f t="shared" si="2"/>
        <v>1</v>
      </c>
      <c r="S20" s="667">
        <f t="shared" si="2"/>
        <v>1</v>
      </c>
      <c r="T20" s="667">
        <f t="shared" si="2"/>
        <v>1</v>
      </c>
      <c r="U20" s="667">
        <f t="shared" si="2"/>
        <v>1</v>
      </c>
      <c r="V20" s="667">
        <f t="shared" si="2"/>
        <v>1</v>
      </c>
      <c r="W20" s="667">
        <f t="shared" si="2"/>
        <v>1</v>
      </c>
      <c r="X20" s="667">
        <f t="shared" si="2"/>
        <v>1</v>
      </c>
      <c r="Y20" s="667">
        <f t="shared" si="2"/>
        <v>1</v>
      </c>
      <c r="Z20" s="667">
        <f t="shared" si="2"/>
        <v>1</v>
      </c>
      <c r="AA20" s="667">
        <f t="shared" si="2"/>
        <v>1</v>
      </c>
      <c r="AB20" s="667">
        <f t="shared" si="2"/>
        <v>1</v>
      </c>
    </row>
    <row r="21" spans="2:28" outlineLevel="1">
      <c r="B21" s="636" t="str">
        <f>IF(Vaccine_Selection!$N$16="","",CONCATENATE(Vaccine_Selection!$N$16," @ ",$C$7,$E$7,"-MaxiStock: ",$B$19))</f>
        <v>Current schedule with penta 1d @ per individual vaccine months-MaxiStock: WICR-10m3</v>
      </c>
      <c r="C21" s="667">
        <f t="shared" ref="C21:AB21" si="3">IF(C$19=0,0,ROUND(C14/(C$19*$F$18),0))</f>
        <v>0</v>
      </c>
      <c r="D21" s="667">
        <f t="shared" si="3"/>
        <v>0</v>
      </c>
      <c r="E21" s="667">
        <f t="shared" si="3"/>
        <v>0</v>
      </c>
      <c r="F21" s="667">
        <f t="shared" si="3"/>
        <v>0</v>
      </c>
      <c r="G21" s="667">
        <f t="shared" si="3"/>
        <v>1</v>
      </c>
      <c r="H21" s="667">
        <f t="shared" si="3"/>
        <v>1</v>
      </c>
      <c r="I21" s="667">
        <f t="shared" si="3"/>
        <v>1</v>
      </c>
      <c r="J21" s="667">
        <f t="shared" si="3"/>
        <v>1</v>
      </c>
      <c r="K21" s="667">
        <f t="shared" si="3"/>
        <v>1</v>
      </c>
      <c r="L21" s="667">
        <f t="shared" si="3"/>
        <v>1</v>
      </c>
      <c r="M21" s="667">
        <f t="shared" si="3"/>
        <v>1</v>
      </c>
      <c r="N21" s="667">
        <f t="shared" si="3"/>
        <v>1</v>
      </c>
      <c r="O21" s="667">
        <f t="shared" si="3"/>
        <v>1</v>
      </c>
      <c r="P21" s="667">
        <f t="shared" si="3"/>
        <v>1</v>
      </c>
      <c r="Q21" s="667">
        <f t="shared" si="3"/>
        <v>1</v>
      </c>
      <c r="R21" s="667">
        <f t="shared" si="3"/>
        <v>2</v>
      </c>
      <c r="S21" s="667">
        <f t="shared" si="3"/>
        <v>2</v>
      </c>
      <c r="T21" s="667">
        <f t="shared" si="3"/>
        <v>2</v>
      </c>
      <c r="U21" s="667">
        <f t="shared" si="3"/>
        <v>2</v>
      </c>
      <c r="V21" s="667">
        <f t="shared" si="3"/>
        <v>2</v>
      </c>
      <c r="W21" s="667">
        <f t="shared" si="3"/>
        <v>2</v>
      </c>
      <c r="X21" s="667">
        <f t="shared" si="3"/>
        <v>2</v>
      </c>
      <c r="Y21" s="667">
        <f t="shared" si="3"/>
        <v>2</v>
      </c>
      <c r="Z21" s="667">
        <f t="shared" si="3"/>
        <v>2</v>
      </c>
      <c r="AA21" s="667">
        <f t="shared" si="3"/>
        <v>2</v>
      </c>
      <c r="AB21" s="667">
        <f t="shared" si="3"/>
        <v>3</v>
      </c>
    </row>
    <row r="22" spans="2:28" outlineLevel="1">
      <c r="B22" s="636" t="str">
        <f>IF(Vaccine_Selection!$O$16="","",CONCATENATE(Vaccine_Selection!$O$16," @ ",$C$7,$E$7,"-MaxiStock: ",$B$19))</f>
        <v>Current schedule with penta CAD @ per individual vaccine months-MaxiStock: WICR-10m3</v>
      </c>
      <c r="C22" s="667">
        <f t="shared" ref="C22:AB22" si="4">IF(C$19=0,0,ROUND(C15/(C$19*$F$18),0))</f>
        <v>0</v>
      </c>
      <c r="D22" s="667">
        <f t="shared" si="4"/>
        <v>0</v>
      </c>
      <c r="E22" s="667">
        <f t="shared" si="4"/>
        <v>0</v>
      </c>
      <c r="F22" s="667">
        <f t="shared" si="4"/>
        <v>0</v>
      </c>
      <c r="G22" s="667">
        <f t="shared" si="4"/>
        <v>0</v>
      </c>
      <c r="H22" s="667">
        <f t="shared" si="4"/>
        <v>1</v>
      </c>
      <c r="I22" s="667">
        <f t="shared" si="4"/>
        <v>1</v>
      </c>
      <c r="J22" s="667">
        <f t="shared" si="4"/>
        <v>1</v>
      </c>
      <c r="K22" s="667">
        <f t="shared" si="4"/>
        <v>1</v>
      </c>
      <c r="L22" s="667">
        <f t="shared" si="4"/>
        <v>1</v>
      </c>
      <c r="M22" s="667">
        <f t="shared" si="4"/>
        <v>1</v>
      </c>
      <c r="N22" s="667">
        <f t="shared" si="4"/>
        <v>1</v>
      </c>
      <c r="O22" s="667">
        <f t="shared" si="4"/>
        <v>1</v>
      </c>
      <c r="P22" s="667">
        <f t="shared" si="4"/>
        <v>1</v>
      </c>
      <c r="Q22" s="667">
        <f t="shared" si="4"/>
        <v>1</v>
      </c>
      <c r="R22" s="667">
        <f t="shared" si="4"/>
        <v>1</v>
      </c>
      <c r="S22" s="667">
        <f t="shared" si="4"/>
        <v>2</v>
      </c>
      <c r="T22" s="667">
        <f t="shared" si="4"/>
        <v>2</v>
      </c>
      <c r="U22" s="667">
        <f t="shared" si="4"/>
        <v>2</v>
      </c>
      <c r="V22" s="667">
        <f t="shared" si="4"/>
        <v>2</v>
      </c>
      <c r="W22" s="667">
        <f t="shared" si="4"/>
        <v>2</v>
      </c>
      <c r="X22" s="667">
        <f t="shared" si="4"/>
        <v>2</v>
      </c>
      <c r="Y22" s="667">
        <f t="shared" si="4"/>
        <v>2</v>
      </c>
      <c r="Z22" s="667">
        <f t="shared" si="4"/>
        <v>2</v>
      </c>
      <c r="AA22" s="667">
        <f t="shared" si="4"/>
        <v>2</v>
      </c>
      <c r="AB22" s="667">
        <f t="shared" si="4"/>
        <v>2</v>
      </c>
    </row>
    <row r="23" spans="2:28" outlineLevel="1">
      <c r="B23" s="636" t="str">
        <f>IF(Vaccine_Selection!$P$16="","",CONCATENATE(Vaccine_Selection!$P$16," @ ",$C$7,$E$7,"-MaxiStock: ",$B$19))</f>
        <v/>
      </c>
      <c r="C23" s="667">
        <f t="shared" ref="C23:AB23" si="5">IF(C$19=0,0,ROUND(C16/(C$19*$F$18),0))</f>
        <v>0</v>
      </c>
      <c r="D23" s="667">
        <f t="shared" si="5"/>
        <v>0</v>
      </c>
      <c r="E23" s="667">
        <f t="shared" si="5"/>
        <v>0</v>
      </c>
      <c r="F23" s="667">
        <f t="shared" si="5"/>
        <v>0</v>
      </c>
      <c r="G23" s="667">
        <f t="shared" si="5"/>
        <v>0</v>
      </c>
      <c r="H23" s="667">
        <f t="shared" si="5"/>
        <v>0</v>
      </c>
      <c r="I23" s="667">
        <f t="shared" si="5"/>
        <v>0</v>
      </c>
      <c r="J23" s="667">
        <f t="shared" si="5"/>
        <v>0</v>
      </c>
      <c r="K23" s="667">
        <f t="shared" si="5"/>
        <v>0</v>
      </c>
      <c r="L23" s="667">
        <f t="shared" si="5"/>
        <v>0</v>
      </c>
      <c r="M23" s="667">
        <f t="shared" si="5"/>
        <v>0</v>
      </c>
      <c r="N23" s="667">
        <f t="shared" si="5"/>
        <v>0</v>
      </c>
      <c r="O23" s="667">
        <f t="shared" si="5"/>
        <v>0</v>
      </c>
      <c r="P23" s="667">
        <f t="shared" si="5"/>
        <v>0</v>
      </c>
      <c r="Q23" s="667">
        <f t="shared" si="5"/>
        <v>0</v>
      </c>
      <c r="R23" s="667">
        <f t="shared" si="5"/>
        <v>0</v>
      </c>
      <c r="S23" s="667">
        <f t="shared" si="5"/>
        <v>0</v>
      </c>
      <c r="T23" s="667">
        <f t="shared" si="5"/>
        <v>0</v>
      </c>
      <c r="U23" s="667">
        <f t="shared" si="5"/>
        <v>0</v>
      </c>
      <c r="V23" s="667">
        <f t="shared" si="5"/>
        <v>0</v>
      </c>
      <c r="W23" s="667">
        <f t="shared" si="5"/>
        <v>0</v>
      </c>
      <c r="X23" s="667">
        <f t="shared" si="5"/>
        <v>0</v>
      </c>
      <c r="Y23" s="667">
        <f t="shared" si="5"/>
        <v>0</v>
      </c>
      <c r="Z23" s="667">
        <f t="shared" si="5"/>
        <v>0</v>
      </c>
      <c r="AA23" s="667">
        <f t="shared" si="5"/>
        <v>0</v>
      </c>
      <c r="AB23" s="667">
        <f t="shared" si="5"/>
        <v>0</v>
      </c>
    </row>
    <row r="24" spans="2:28" outlineLevel="1">
      <c r="B24" s="638" t="str">
        <f>IF(Vaccine_Selection!$Q$16="","",CONCATENATE(Vaccine_Selection!$Q$16," @ ",$C$7,$E$7,"-MaxiStock: ",$B$19))</f>
        <v/>
      </c>
      <c r="C24" s="668">
        <f t="shared" ref="C24:AB24" si="6">IF(C$19=0,0,ROUND(C17/(C$19*$F$18),0))</f>
        <v>0</v>
      </c>
      <c r="D24" s="668">
        <f t="shared" si="6"/>
        <v>0</v>
      </c>
      <c r="E24" s="668">
        <f t="shared" si="6"/>
        <v>0</v>
      </c>
      <c r="F24" s="669">
        <f t="shared" si="6"/>
        <v>0</v>
      </c>
      <c r="G24" s="669">
        <f t="shared" si="6"/>
        <v>0</v>
      </c>
      <c r="H24" s="668">
        <f t="shared" si="6"/>
        <v>0</v>
      </c>
      <c r="I24" s="668">
        <f t="shared" si="6"/>
        <v>0</v>
      </c>
      <c r="J24" s="668">
        <f t="shared" si="6"/>
        <v>0</v>
      </c>
      <c r="K24" s="668">
        <f t="shared" si="6"/>
        <v>0</v>
      </c>
      <c r="L24" s="668">
        <f t="shared" si="6"/>
        <v>0</v>
      </c>
      <c r="M24" s="668">
        <f t="shared" si="6"/>
        <v>0</v>
      </c>
      <c r="N24" s="668">
        <f t="shared" si="6"/>
        <v>0</v>
      </c>
      <c r="O24" s="668">
        <f t="shared" si="6"/>
        <v>0</v>
      </c>
      <c r="P24" s="668">
        <f t="shared" si="6"/>
        <v>0</v>
      </c>
      <c r="Q24" s="668">
        <f t="shared" si="6"/>
        <v>0</v>
      </c>
      <c r="R24" s="668">
        <f t="shared" si="6"/>
        <v>0</v>
      </c>
      <c r="S24" s="668">
        <f t="shared" si="6"/>
        <v>0</v>
      </c>
      <c r="T24" s="668">
        <f t="shared" si="6"/>
        <v>0</v>
      </c>
      <c r="U24" s="668">
        <f t="shared" si="6"/>
        <v>0</v>
      </c>
      <c r="V24" s="668">
        <f t="shared" si="6"/>
        <v>0</v>
      </c>
      <c r="W24" s="668">
        <f t="shared" si="6"/>
        <v>0</v>
      </c>
      <c r="X24" s="668">
        <f t="shared" si="6"/>
        <v>0</v>
      </c>
      <c r="Y24" s="668">
        <f t="shared" si="6"/>
        <v>0</v>
      </c>
      <c r="Z24" s="668">
        <f t="shared" si="6"/>
        <v>0</v>
      </c>
      <c r="AA24" s="668">
        <f t="shared" si="6"/>
        <v>0</v>
      </c>
      <c r="AB24" s="668">
        <f t="shared" si="6"/>
        <v>0</v>
      </c>
    </row>
    <row r="25" spans="2:28" ht="13.2" outlineLevel="1">
      <c r="B25" s="650" t="str">
        <f>Translation!C42</f>
        <v>Estimate of cold-chain capacity per MaxiStock (litres)</v>
      </c>
      <c r="C25" s="652"/>
      <c r="D25" s="652"/>
      <c r="E25" s="656" t="str">
        <f>Translation!C45</f>
        <v>Select schedule</v>
      </c>
      <c r="F25" s="807" t="s">
        <v>1854</v>
      </c>
      <c r="G25" s="810"/>
      <c r="H25" s="654"/>
      <c r="I25" s="652"/>
      <c r="J25" s="652"/>
      <c r="K25" s="652"/>
      <c r="L25" s="652"/>
      <c r="M25" s="652"/>
      <c r="N25" s="652"/>
      <c r="O25" s="652"/>
      <c r="P25" s="652"/>
      <c r="Q25" s="652"/>
      <c r="R25" s="652"/>
      <c r="S25" s="652"/>
      <c r="T25" s="652"/>
      <c r="U25" s="652"/>
      <c r="V25" s="652"/>
      <c r="W25" s="652"/>
      <c r="X25" s="652"/>
      <c r="Y25" s="652"/>
      <c r="Z25" s="652"/>
      <c r="AA25" s="652"/>
      <c r="AB25" s="652"/>
    </row>
    <row r="26" spans="2:28" outlineLevel="1">
      <c r="B26" s="645" t="str">
        <f>IF(F4="","",IF(ISTEXT($F4),CONCATENATE($F$25," @ ",$F4," MaxiStock"),CONCATENATE($F$25," @ ",$F4,$E$7," MaxiStock")))</f>
        <v>Current schedule @ 4 months MaxiStock</v>
      </c>
      <c r="C26" s="634">
        <f t="array" ref="C26">IF(ISTEXT($F4),SUMIF(Schedule,$F$25,Vaccine_Selection!$Y$39:$AC$39),SUMIF(Schedule,$F$25,Vaccine_Selection!$M$39:$Q$39)*$F4/12)*C$11/1000</f>
        <v>100.14578518518519</v>
      </c>
      <c r="D26" s="634">
        <f t="array" ref="D26">IF(ISTEXT($F4),SUMIF(Schedule,$F$25,Vaccine_Selection!$Y$39:$AC$39),SUMIF(Schedule,$F$25,Vaccine_Selection!$M$39:$Q$39)*$F4/12)*D$11/1000</f>
        <v>180.26241333333334</v>
      </c>
      <c r="E26" s="634">
        <f t="array" ref="E26">IF(ISTEXT($F4),SUMIF(Schedule,$F$25,Vaccine_Selection!$Y$39:$AC$39),SUMIF(Schedule,$F$25,Vaccine_Selection!$M$39:$Q$39)*$F4/12)*E$11/1000</f>
        <v>260.37904148148147</v>
      </c>
      <c r="F26" s="634">
        <f t="array" ref="F26">IF(ISTEXT($F4),SUMIF(Schedule,$F$25,Vaccine_Selection!$Y$39:$AC$39),SUMIF(Schedule,$F$25,Vaccine_Selection!$M$39:$Q$39)*$F4/12)*F$11/1000</f>
        <v>340.49566962962962</v>
      </c>
      <c r="G26" s="634">
        <f t="array" ref="G26">IF(ISTEXT($F4),SUMIF(Schedule,$F$25,Vaccine_Selection!$Y$39:$AC$39),SUMIF(Schedule,$F$25,Vaccine_Selection!$M$39:$Q$39)*$F4/12)*G$11/1000</f>
        <v>420.61229777777777</v>
      </c>
      <c r="H26" s="634">
        <f t="array" ref="H26">IF(ISTEXT($F4),SUMIF(Schedule,$F$25,Vaccine_Selection!$Y$39:$AC$39),SUMIF(Schedule,$F$25,Vaccine_Selection!$M$39:$Q$39)*$F4/12)*H$11/1000</f>
        <v>500.72892592592598</v>
      </c>
      <c r="I26" s="634">
        <f t="array" ref="I26">IF(ISTEXT($F4),SUMIF(Schedule,$F$25,Vaccine_Selection!$Y$39:$AC$39),SUMIF(Schedule,$F$25,Vaccine_Selection!$M$39:$Q$39)*$F4/12)*I$11/1000</f>
        <v>580.84555407407413</v>
      </c>
      <c r="J26" s="634">
        <f t="array" ref="J26">IF(ISTEXT($F4),SUMIF(Schedule,$F$25,Vaccine_Selection!$Y$39:$AC$39),SUMIF(Schedule,$F$25,Vaccine_Selection!$M$39:$Q$39)*$F4/12)*J$11/1000</f>
        <v>660.96218222222217</v>
      </c>
      <c r="K26" s="634">
        <f t="array" ref="K26">IF(ISTEXT($F4),SUMIF(Schedule,$F$25,Vaccine_Selection!$Y$39:$AC$39),SUMIF(Schedule,$F$25,Vaccine_Selection!$M$39:$Q$39)*$F4/12)*K$11/1000</f>
        <v>741.07881037037043</v>
      </c>
      <c r="L26" s="634">
        <f t="array" ref="L26">IF(ISTEXT($F4),SUMIF(Schedule,$F$25,Vaccine_Selection!$Y$39:$AC$39),SUMIF(Schedule,$F$25,Vaccine_Selection!$M$39:$Q$39)*$F4/12)*L$11/1000</f>
        <v>821.19543851851859</v>
      </c>
      <c r="M26" s="634">
        <f t="array" ref="M26">IF(ISTEXT($F4),SUMIF(Schedule,$F$25,Vaccine_Selection!$Y$39:$AC$39),SUMIF(Schedule,$F$25,Vaccine_Selection!$M$39:$Q$39)*$F4/12)*M$11/1000</f>
        <v>901.31206666666662</v>
      </c>
      <c r="N26" s="634">
        <f t="array" ref="N26">IF(ISTEXT($F4),SUMIF(Schedule,$F$25,Vaccine_Selection!$Y$39:$AC$39),SUMIF(Schedule,$F$25,Vaccine_Selection!$M$39:$Q$39)*$F4/12)*N$11/1000</f>
        <v>981.42869481481489</v>
      </c>
      <c r="O26" s="634">
        <f t="array" ref="O26">IF(ISTEXT($F4),SUMIF(Schedule,$F$25,Vaccine_Selection!$Y$39:$AC$39),SUMIF(Schedule,$F$25,Vaccine_Selection!$M$39:$Q$39)*$F4/12)*O$11/1000</f>
        <v>1061.5453229629629</v>
      </c>
      <c r="P26" s="634">
        <f t="array" ref="P26">IF(ISTEXT($F4),SUMIF(Schedule,$F$25,Vaccine_Selection!$Y$39:$AC$39),SUMIF(Schedule,$F$25,Vaccine_Selection!$M$39:$Q$39)*$F4/12)*P$11/1000</f>
        <v>1141.6619511111112</v>
      </c>
      <c r="Q26" s="634">
        <f t="array" ref="Q26">IF(ISTEXT($F4),SUMIF(Schedule,$F$25,Vaccine_Selection!$Y$39:$AC$39),SUMIF(Schedule,$F$25,Vaccine_Selection!$M$39:$Q$39)*$F4/12)*Q$11/1000</f>
        <v>1221.7785792592595</v>
      </c>
      <c r="R26" s="634">
        <f t="array" ref="R26">IF(ISTEXT($F4),SUMIF(Schedule,$F$25,Vaccine_Selection!$Y$39:$AC$39),SUMIF(Schedule,$F$25,Vaccine_Selection!$M$39:$Q$39)*$F4/12)*R$11/1000</f>
        <v>1301.8952074074075</v>
      </c>
      <c r="S26" s="634">
        <f t="array" ref="S26">IF(ISTEXT($F4),SUMIF(Schedule,$F$25,Vaccine_Selection!$Y$39:$AC$39),SUMIF(Schedule,$F$25,Vaccine_Selection!$M$39:$Q$39)*$F4/12)*S$11/1000</f>
        <v>1382.0118355555555</v>
      </c>
      <c r="T26" s="634">
        <f t="array" ref="T26">IF(ISTEXT($F4),SUMIF(Schedule,$F$25,Vaccine_Selection!$Y$39:$AC$39),SUMIF(Schedule,$F$25,Vaccine_Selection!$M$39:$Q$39)*$F4/12)*T$11/1000</f>
        <v>1462.1284637037038</v>
      </c>
      <c r="U26" s="634">
        <f t="array" ref="U26">IF(ISTEXT($F4),SUMIF(Schedule,$F$25,Vaccine_Selection!$Y$39:$AC$39),SUMIF(Schedule,$F$25,Vaccine_Selection!$M$39:$Q$39)*$F4/12)*U$11/1000</f>
        <v>1542.2450918518518</v>
      </c>
      <c r="V26" s="634">
        <f t="array" ref="V26">IF(ISTEXT($F4),SUMIF(Schedule,$F$25,Vaccine_Selection!$Y$39:$AC$39),SUMIF(Schedule,$F$25,Vaccine_Selection!$M$39:$Q$39)*$F4/12)*V$11/1000</f>
        <v>1622.3617199999999</v>
      </c>
      <c r="W26" s="634">
        <f t="array" ref="W26">IF(ISTEXT($F4),SUMIF(Schedule,$F$25,Vaccine_Selection!$Y$39:$AC$39),SUMIF(Schedule,$F$25,Vaccine_Selection!$M$39:$Q$39)*$F4/12)*W$11/1000</f>
        <v>1702.4783481481484</v>
      </c>
      <c r="X26" s="634">
        <f t="array" ref="X26">IF(ISTEXT($F4),SUMIF(Schedule,$F$25,Vaccine_Selection!$Y$39:$AC$39),SUMIF(Schedule,$F$25,Vaccine_Selection!$M$39:$Q$39)*$F4/12)*X$11/1000</f>
        <v>1782.5949762962964</v>
      </c>
      <c r="Y26" s="634">
        <f t="array" ref="Y26">IF(ISTEXT($F4),SUMIF(Schedule,$F$25,Vaccine_Selection!$Y$39:$AC$39),SUMIF(Schedule,$F$25,Vaccine_Selection!$M$39:$Q$39)*$F4/12)*Y$11/1000</f>
        <v>1862.7116044444444</v>
      </c>
      <c r="Z26" s="634">
        <f t="array" ref="Z26">IF(ISTEXT($F4),SUMIF(Schedule,$F$25,Vaccine_Selection!$Y$39:$AC$39),SUMIF(Schedule,$F$25,Vaccine_Selection!$M$39:$Q$39)*$F4/12)*Z$11/1000</f>
        <v>1942.8282325925927</v>
      </c>
      <c r="AA26" s="634">
        <f t="array" ref="AA26">IF(ISTEXT($F4),SUMIF(Schedule,$F$25,Vaccine_Selection!$Y$39:$AC$39),SUMIF(Schedule,$F$25,Vaccine_Selection!$M$39:$Q$39)*$F4/12)*AA$11/1000</f>
        <v>2022.9448607407408</v>
      </c>
      <c r="AB26" s="634">
        <f t="array" ref="AB26">IF(ISTEXT($F4),SUMIF(Schedule,$F$25,Vaccine_Selection!$Y$39:$AC$39),SUMIF(Schedule,$F$25,Vaccine_Selection!$M$39:$Q$39)*$F4/12)*AB$11/1000</f>
        <v>2103.061488888889</v>
      </c>
    </row>
    <row r="27" spans="2:28" outlineLevel="1">
      <c r="B27" s="636" t="str">
        <f>IF(F5="","",IF(ISTEXT($F5),CONCATENATE($F$25," @ ",$F5," MaxiStock"),CONCATENATE($F$25," @ ",$F5,$E$7," MaxiStock")))</f>
        <v>Current schedule @ 6 months MaxiStock</v>
      </c>
      <c r="C27" s="637">
        <f t="array" ref="C27">IF(ISTEXT($F5),SUMIF(Schedule,$F$25,Vaccine_Selection!$Y$39:$AC$39),SUMIF(Schedule,$F$25,Vaccine_Selection!$M$39:$Q$39)*$F5/12)*C$11/1000</f>
        <v>150.21867777777777</v>
      </c>
      <c r="D27" s="637">
        <f t="array" ref="D27">IF(ISTEXT($F5),SUMIF(Schedule,$F$25,Vaccine_Selection!$Y$39:$AC$39),SUMIF(Schedule,$F$25,Vaccine_Selection!$M$39:$Q$39)*$F5/12)*D$11/1000</f>
        <v>270.39362</v>
      </c>
      <c r="E27" s="637">
        <f t="array" ref="E27">IF(ISTEXT($F5),SUMIF(Schedule,$F$25,Vaccine_Selection!$Y$39:$AC$39),SUMIF(Schedule,$F$25,Vaccine_Selection!$M$39:$Q$39)*$F5/12)*E$11/1000</f>
        <v>390.56856222222223</v>
      </c>
      <c r="F27" s="637">
        <f t="array" ref="F27">IF(ISTEXT($F5),SUMIF(Schedule,$F$25,Vaccine_Selection!$Y$39:$AC$39),SUMIF(Schedule,$F$25,Vaccine_Selection!$M$39:$Q$39)*$F5/12)*F$11/1000</f>
        <v>510.74350444444445</v>
      </c>
      <c r="G27" s="637">
        <f t="array" ref="G27">IF(ISTEXT($F5),SUMIF(Schedule,$F$25,Vaccine_Selection!$Y$39:$AC$39),SUMIF(Schedule,$F$25,Vaccine_Selection!$M$39:$Q$39)*$F5/12)*G$11/1000</f>
        <v>630.91844666666668</v>
      </c>
      <c r="H27" s="637">
        <f t="array" ref="H27">IF(ISTEXT($F5),SUMIF(Schedule,$F$25,Vaccine_Selection!$Y$39:$AC$39),SUMIF(Schedule,$F$25,Vaccine_Selection!$M$39:$Q$39)*$F5/12)*H$11/1000</f>
        <v>751.09338888888885</v>
      </c>
      <c r="I27" s="637">
        <f t="array" ref="I27">IF(ISTEXT($F5),SUMIF(Schedule,$F$25,Vaccine_Selection!$Y$39:$AC$39),SUMIF(Schedule,$F$25,Vaccine_Selection!$M$39:$Q$39)*$F5/12)*I$11/1000</f>
        <v>871.26833111111114</v>
      </c>
      <c r="J27" s="637">
        <f t="array" ref="J27">IF(ISTEXT($F5),SUMIF(Schedule,$F$25,Vaccine_Selection!$Y$39:$AC$39),SUMIF(Schedule,$F$25,Vaccine_Selection!$M$39:$Q$39)*$F5/12)*J$11/1000</f>
        <v>991.44327333333331</v>
      </c>
      <c r="K27" s="637">
        <f t="array" ref="K27">IF(ISTEXT($F5),SUMIF(Schedule,$F$25,Vaccine_Selection!$Y$39:$AC$39),SUMIF(Schedule,$F$25,Vaccine_Selection!$M$39:$Q$39)*$F5/12)*K$11/1000</f>
        <v>1111.6182155555557</v>
      </c>
      <c r="L27" s="637">
        <f t="array" ref="L27">IF(ISTEXT($F5),SUMIF(Schedule,$F$25,Vaccine_Selection!$Y$39:$AC$39),SUMIF(Schedule,$F$25,Vaccine_Selection!$M$39:$Q$39)*$F5/12)*L$11/1000</f>
        <v>1231.7931577777779</v>
      </c>
      <c r="M27" s="637">
        <f t="array" ref="M27">IF(ISTEXT($F5),SUMIF(Schedule,$F$25,Vaccine_Selection!$Y$39:$AC$39),SUMIF(Schedule,$F$25,Vaccine_Selection!$M$39:$Q$39)*$F5/12)*M$11/1000</f>
        <v>1351.9681</v>
      </c>
      <c r="N27" s="637">
        <f t="array" ref="N27">IF(ISTEXT($F5),SUMIF(Schedule,$F$25,Vaccine_Selection!$Y$39:$AC$39),SUMIF(Schedule,$F$25,Vaccine_Selection!$M$39:$Q$39)*$F5/12)*N$11/1000</f>
        <v>1472.1430422222222</v>
      </c>
      <c r="O27" s="637">
        <f t="array" ref="O27">IF(ISTEXT($F5),SUMIF(Schedule,$F$25,Vaccine_Selection!$Y$39:$AC$39),SUMIF(Schedule,$F$25,Vaccine_Selection!$M$39:$Q$39)*$F5/12)*O$11/1000</f>
        <v>1592.3179844444446</v>
      </c>
      <c r="P27" s="637">
        <f t="array" ref="P27">IF(ISTEXT($F5),SUMIF(Schedule,$F$25,Vaccine_Selection!$Y$39:$AC$39),SUMIF(Schedule,$F$25,Vaccine_Selection!$M$39:$Q$39)*$F5/12)*P$11/1000</f>
        <v>1712.4929266666668</v>
      </c>
      <c r="Q27" s="637">
        <f t="array" ref="Q27">IF(ISTEXT($F5),SUMIF(Schedule,$F$25,Vaccine_Selection!$Y$39:$AC$39),SUMIF(Schedule,$F$25,Vaccine_Selection!$M$39:$Q$39)*$F5/12)*Q$11/1000</f>
        <v>1832.667868888889</v>
      </c>
      <c r="R27" s="637">
        <f t="array" ref="R27">IF(ISTEXT($F5),SUMIF(Schedule,$F$25,Vaccine_Selection!$Y$39:$AC$39),SUMIF(Schedule,$F$25,Vaccine_Selection!$M$39:$Q$39)*$F5/12)*R$11/1000</f>
        <v>1952.8428111111111</v>
      </c>
      <c r="S27" s="637">
        <f t="array" ref="S27">IF(ISTEXT($F5),SUMIF(Schedule,$F$25,Vaccine_Selection!$Y$39:$AC$39),SUMIF(Schedule,$F$25,Vaccine_Selection!$M$39:$Q$39)*$F5/12)*S$11/1000</f>
        <v>2073.0177533333335</v>
      </c>
      <c r="T27" s="637">
        <f t="array" ref="T27">IF(ISTEXT($F5),SUMIF(Schedule,$F$25,Vaccine_Selection!$Y$39:$AC$39),SUMIF(Schedule,$F$25,Vaccine_Selection!$M$39:$Q$39)*$F5/12)*T$11/1000</f>
        <v>2193.1926955555555</v>
      </c>
      <c r="U27" s="637">
        <f t="array" ref="U27">IF(ISTEXT($F5),SUMIF(Schedule,$F$25,Vaccine_Selection!$Y$39:$AC$39),SUMIF(Schedule,$F$25,Vaccine_Selection!$M$39:$Q$39)*$F5/12)*U$11/1000</f>
        <v>2313.3676377777779</v>
      </c>
      <c r="V27" s="637">
        <f t="array" ref="V27">IF(ISTEXT($F5),SUMIF(Schedule,$F$25,Vaccine_Selection!$Y$39:$AC$39),SUMIF(Schedule,$F$25,Vaccine_Selection!$M$39:$Q$39)*$F5/12)*V$11/1000</f>
        <v>2433.5425800000003</v>
      </c>
      <c r="W27" s="637">
        <f t="array" ref="W27">IF(ISTEXT($F5),SUMIF(Schedule,$F$25,Vaccine_Selection!$Y$39:$AC$39),SUMIF(Schedule,$F$25,Vaccine_Selection!$M$39:$Q$39)*$F5/12)*W$11/1000</f>
        <v>2553.7175222222222</v>
      </c>
      <c r="X27" s="637">
        <f t="array" ref="X27">IF(ISTEXT($F5),SUMIF(Schedule,$F$25,Vaccine_Selection!$Y$39:$AC$39),SUMIF(Schedule,$F$25,Vaccine_Selection!$M$39:$Q$39)*$F5/12)*X$11/1000</f>
        <v>2673.8924644444446</v>
      </c>
      <c r="Y27" s="637">
        <f t="array" ref="Y27">IF(ISTEXT($F5),SUMIF(Schedule,$F$25,Vaccine_Selection!$Y$39:$AC$39),SUMIF(Schedule,$F$25,Vaccine_Selection!$M$39:$Q$39)*$F5/12)*Y$11/1000</f>
        <v>2794.0674066666666</v>
      </c>
      <c r="Z27" s="637">
        <f t="array" ref="Z27">IF(ISTEXT($F5),SUMIF(Schedule,$F$25,Vaccine_Selection!$Y$39:$AC$39),SUMIF(Schedule,$F$25,Vaccine_Selection!$M$39:$Q$39)*$F5/12)*Z$11/1000</f>
        <v>2914.242348888889</v>
      </c>
      <c r="AA27" s="637">
        <f t="array" ref="AA27">IF(ISTEXT($F5),SUMIF(Schedule,$F$25,Vaccine_Selection!$Y$39:$AC$39),SUMIF(Schedule,$F$25,Vaccine_Selection!$M$39:$Q$39)*$F5/12)*AA$11/1000</f>
        <v>3034.4172911111114</v>
      </c>
      <c r="AB27" s="637">
        <f t="array" ref="AB27">IF(ISTEXT($F5),SUMIF(Schedule,$F$25,Vaccine_Selection!$Y$39:$AC$39),SUMIF(Schedule,$F$25,Vaccine_Selection!$M$39:$Q$39)*$F5/12)*AB$11/1000</f>
        <v>3154.5922333333333</v>
      </c>
    </row>
    <row r="28" spans="2:28" outlineLevel="1">
      <c r="B28" s="636" t="str">
        <f>IF(F6="","",IF(ISTEXT($F6),CONCATENATE($F$25," @ ",$F6," MaxiStock"),CONCATENATE($F$25," @ ",$F6,$E$7," MaxiStock")))</f>
        <v>Current schedule @ 9 months MaxiStock</v>
      </c>
      <c r="C28" s="637">
        <f t="array" ref="C28">IF(ISTEXT($F6),SUMIF(Schedule,$F$25,Vaccine_Selection!$Y$39:$AC$39),SUMIF(Schedule,$F$25,Vaccine_Selection!$M$39:$Q$39)*$F6/12)*C$11/1000</f>
        <v>225.32801666666668</v>
      </c>
      <c r="D28" s="637">
        <f t="array" ref="D28">IF(ISTEXT($F6),SUMIF(Schedule,$F$25,Vaccine_Selection!$Y$39:$AC$39),SUMIF(Schedule,$F$25,Vaccine_Selection!$M$39:$Q$39)*$F6/12)*D$11/1000</f>
        <v>405.59043000000003</v>
      </c>
      <c r="E28" s="637">
        <f t="array" ref="E28">IF(ISTEXT($F6),SUMIF(Schedule,$F$25,Vaccine_Selection!$Y$39:$AC$39),SUMIF(Schedule,$F$25,Vaccine_Selection!$M$39:$Q$39)*$F6/12)*E$11/1000</f>
        <v>585.85284333333334</v>
      </c>
      <c r="F28" s="637">
        <f t="array" ref="F28">IF(ISTEXT($F6),SUMIF(Schedule,$F$25,Vaccine_Selection!$Y$39:$AC$39),SUMIF(Schedule,$F$25,Vaccine_Selection!$M$39:$Q$39)*$F6/12)*F$11/1000</f>
        <v>766.11525666666671</v>
      </c>
      <c r="G28" s="637">
        <f t="array" ref="G28">IF(ISTEXT($F6),SUMIF(Schedule,$F$25,Vaccine_Selection!$Y$39:$AC$39),SUMIF(Schedule,$F$25,Vaccine_Selection!$M$39:$Q$39)*$F6/12)*G$11/1000</f>
        <v>946.37767000000008</v>
      </c>
      <c r="H28" s="637">
        <f t="array" ref="H28">IF(ISTEXT($F6),SUMIF(Schedule,$F$25,Vaccine_Selection!$Y$39:$AC$39),SUMIF(Schedule,$F$25,Vaccine_Selection!$M$39:$Q$39)*$F6/12)*H$11/1000</f>
        <v>1126.6400833333335</v>
      </c>
      <c r="I28" s="637">
        <f t="array" ref="I28">IF(ISTEXT($F6),SUMIF(Schedule,$F$25,Vaccine_Selection!$Y$39:$AC$39),SUMIF(Schedule,$F$25,Vaccine_Selection!$M$39:$Q$39)*$F6/12)*I$11/1000</f>
        <v>1306.9024966666668</v>
      </c>
      <c r="J28" s="637">
        <f t="array" ref="J28">IF(ISTEXT($F6),SUMIF(Schedule,$F$25,Vaccine_Selection!$Y$39:$AC$39),SUMIF(Schedule,$F$25,Vaccine_Selection!$M$39:$Q$39)*$F6/12)*J$11/1000</f>
        <v>1487.1649100000002</v>
      </c>
      <c r="K28" s="637">
        <f t="array" ref="K28">IF(ISTEXT($F6),SUMIF(Schedule,$F$25,Vaccine_Selection!$Y$39:$AC$39),SUMIF(Schedule,$F$25,Vaccine_Selection!$M$39:$Q$39)*$F6/12)*K$11/1000</f>
        <v>1667.4273233333336</v>
      </c>
      <c r="L28" s="637">
        <f t="array" ref="L28">IF(ISTEXT($F6),SUMIF(Schedule,$F$25,Vaccine_Selection!$Y$39:$AC$39),SUMIF(Schedule,$F$25,Vaccine_Selection!$M$39:$Q$39)*$F6/12)*L$11/1000</f>
        <v>1847.6897366666667</v>
      </c>
      <c r="M28" s="637">
        <f t="array" ref="M28">IF(ISTEXT($F6),SUMIF(Schedule,$F$25,Vaccine_Selection!$Y$39:$AC$39),SUMIF(Schedule,$F$25,Vaccine_Selection!$M$39:$Q$39)*$F6/12)*M$11/1000</f>
        <v>2027.9521500000001</v>
      </c>
      <c r="N28" s="637">
        <f t="array" ref="N28">IF(ISTEXT($F6),SUMIF(Schedule,$F$25,Vaccine_Selection!$Y$39:$AC$39),SUMIF(Schedule,$F$25,Vaccine_Selection!$M$39:$Q$39)*$F6/12)*N$11/1000</f>
        <v>2208.2145633333334</v>
      </c>
      <c r="O28" s="637">
        <f t="array" ref="O28">IF(ISTEXT($F6),SUMIF(Schedule,$F$25,Vaccine_Selection!$Y$39:$AC$39),SUMIF(Schedule,$F$25,Vaccine_Selection!$M$39:$Q$39)*$F6/12)*O$11/1000</f>
        <v>2388.4769766666668</v>
      </c>
      <c r="P28" s="637">
        <f t="array" ref="P28">IF(ISTEXT($F6),SUMIF(Schedule,$F$25,Vaccine_Selection!$Y$39:$AC$39),SUMIF(Schedule,$F$25,Vaccine_Selection!$M$39:$Q$39)*$F6/12)*P$11/1000</f>
        <v>2568.7393900000002</v>
      </c>
      <c r="Q28" s="637">
        <f t="array" ref="Q28">IF(ISTEXT($F6),SUMIF(Schedule,$F$25,Vaccine_Selection!$Y$39:$AC$39),SUMIF(Schedule,$F$25,Vaccine_Selection!$M$39:$Q$39)*$F6/12)*Q$11/1000</f>
        <v>2749.0018033333336</v>
      </c>
      <c r="R28" s="637">
        <f t="array" ref="R28">IF(ISTEXT($F6),SUMIF(Schedule,$F$25,Vaccine_Selection!$Y$39:$AC$39),SUMIF(Schedule,$F$25,Vaccine_Selection!$M$39:$Q$39)*$F6/12)*R$11/1000</f>
        <v>2929.2642166666669</v>
      </c>
      <c r="S28" s="637">
        <f t="array" ref="S28">IF(ISTEXT($F6),SUMIF(Schedule,$F$25,Vaccine_Selection!$Y$39:$AC$39),SUMIF(Schedule,$F$25,Vaccine_Selection!$M$39:$Q$39)*$F6/12)*S$11/1000</f>
        <v>3109.5266300000003</v>
      </c>
      <c r="T28" s="637">
        <f t="array" ref="T28">IF(ISTEXT($F6),SUMIF(Schedule,$F$25,Vaccine_Selection!$Y$39:$AC$39),SUMIF(Schedule,$F$25,Vaccine_Selection!$M$39:$Q$39)*$F6/12)*T$11/1000</f>
        <v>3289.7890433333337</v>
      </c>
      <c r="U28" s="637">
        <f t="array" ref="U28">IF(ISTEXT($F6),SUMIF(Schedule,$F$25,Vaccine_Selection!$Y$39:$AC$39),SUMIF(Schedule,$F$25,Vaccine_Selection!$M$39:$Q$39)*$F6/12)*U$11/1000</f>
        <v>3470.051456666667</v>
      </c>
      <c r="V28" s="637">
        <f t="array" ref="V28">IF(ISTEXT($F6),SUMIF(Schedule,$F$25,Vaccine_Selection!$Y$39:$AC$39),SUMIF(Schedule,$F$25,Vaccine_Selection!$M$39:$Q$39)*$F6/12)*V$11/1000</f>
        <v>3650.31387</v>
      </c>
      <c r="W28" s="637">
        <f t="array" ref="W28">IF(ISTEXT($F6),SUMIF(Schedule,$F$25,Vaccine_Selection!$Y$39:$AC$39),SUMIF(Schedule,$F$25,Vaccine_Selection!$M$39:$Q$39)*$F6/12)*W$11/1000</f>
        <v>3830.5762833333338</v>
      </c>
      <c r="X28" s="637">
        <f t="array" ref="X28">IF(ISTEXT($F6),SUMIF(Schedule,$F$25,Vaccine_Selection!$Y$39:$AC$39),SUMIF(Schedule,$F$25,Vaccine_Selection!$M$39:$Q$39)*$F6/12)*X$11/1000</f>
        <v>4010.8386966666671</v>
      </c>
      <c r="Y28" s="637">
        <f t="array" ref="Y28">IF(ISTEXT($F6),SUMIF(Schedule,$F$25,Vaccine_Selection!$Y$39:$AC$39),SUMIF(Schedule,$F$25,Vaccine_Selection!$M$39:$Q$39)*$F6/12)*Y$11/1000</f>
        <v>4191.1011100000005</v>
      </c>
      <c r="Z28" s="637">
        <f t="array" ref="Z28">IF(ISTEXT($F6),SUMIF(Schedule,$F$25,Vaccine_Selection!$Y$39:$AC$39),SUMIF(Schedule,$F$25,Vaccine_Selection!$M$39:$Q$39)*$F6/12)*Z$11/1000</f>
        <v>4371.3635233333334</v>
      </c>
      <c r="AA28" s="637">
        <f t="array" ref="AA28">IF(ISTEXT($F6),SUMIF(Schedule,$F$25,Vaccine_Selection!$Y$39:$AC$39),SUMIF(Schedule,$F$25,Vaccine_Selection!$M$39:$Q$39)*$F6/12)*AA$11/1000</f>
        <v>4551.6259366666673</v>
      </c>
      <c r="AB28" s="637">
        <f t="array" ref="AB28">IF(ISTEXT($F6),SUMIF(Schedule,$F$25,Vaccine_Selection!$Y$39:$AC$39),SUMIF(Schedule,$F$25,Vaccine_Selection!$M$39:$Q$39)*$F6/12)*AB$11/1000</f>
        <v>4731.8883500000002</v>
      </c>
    </row>
    <row r="29" spans="2:28" outlineLevel="1">
      <c r="B29" s="638" t="str">
        <f>IF(F7="","",IF(ISTEXT($F7),CONCATENATE($F$25," @ ",$F7," MaxiStock"),CONCATENATE($F$25," @ ",$F7,$E$7,"MaxiStock")))</f>
        <v>Current schedule @ par vaccin individuel MaxiStock</v>
      </c>
      <c r="C29" s="639">
        <f t="array" ref="C29">IF(ISTEXT($F7),SUMIF(Schedule,$F$25,Vaccine_Selection!$Y$39:$AC$39),SUMIF(Schedule,$F$25,Vaccine_Selection!$M$39:$Q$39)*$F7/12)*C$11/1000</f>
        <v>118.27260185185185</v>
      </c>
      <c r="D29" s="639">
        <f t="array" ref="D29">IF(ISTEXT($F7),SUMIF(Schedule,$F$25,Vaccine_Selection!$Y$39:$AC$39),SUMIF(Schedule,$F$25,Vaccine_Selection!$M$39:$Q$39)*$F7/12)*D$11/1000</f>
        <v>212.89068333333333</v>
      </c>
      <c r="E29" s="639">
        <f t="array" ref="E29">IF(ISTEXT($F7),SUMIF(Schedule,$F$25,Vaccine_Selection!$Y$39:$AC$39),SUMIF(Schedule,$F$25,Vaccine_Selection!$M$39:$Q$39)*$F7/12)*E$11/1000</f>
        <v>307.50876481481481</v>
      </c>
      <c r="F29" s="643">
        <f t="array" ref="F29">IF(ISTEXT($F7),SUMIF(Schedule,$F$25,Vaccine_Selection!$Y$39:$AC$39),SUMIF(Schedule,$F$25,Vaccine_Selection!$M$39:$Q$39)*$F7/12)*F$11/1000</f>
        <v>402.12684629629626</v>
      </c>
      <c r="G29" s="639">
        <f t="array" ref="G29">IF(ISTEXT($F7),SUMIF(Schedule,$F$25,Vaccine_Selection!$Y$39:$AC$39),SUMIF(Schedule,$F$25,Vaccine_Selection!$M$39:$Q$39)*$F7/12)*G$11/1000</f>
        <v>496.74492777777772</v>
      </c>
      <c r="H29" s="639">
        <f t="array" ref="H29">IF(ISTEXT($F7),SUMIF(Schedule,$F$25,Vaccine_Selection!$Y$39:$AC$39),SUMIF(Schedule,$F$25,Vaccine_Selection!$M$39:$Q$39)*$F7/12)*H$11/1000</f>
        <v>591.36300925925923</v>
      </c>
      <c r="I29" s="639">
        <f t="array" ref="I29">IF(ISTEXT($F7),SUMIF(Schedule,$F$25,Vaccine_Selection!$Y$39:$AC$39),SUMIF(Schedule,$F$25,Vaccine_Selection!$M$39:$Q$39)*$F7/12)*I$11/1000</f>
        <v>685.98109074074068</v>
      </c>
      <c r="J29" s="639">
        <f t="array" ref="J29">IF(ISTEXT($F7),SUMIF(Schedule,$F$25,Vaccine_Selection!$Y$39:$AC$39),SUMIF(Schedule,$F$25,Vaccine_Selection!$M$39:$Q$39)*$F7/12)*J$11/1000</f>
        <v>780.59917222222225</v>
      </c>
      <c r="K29" s="639">
        <f t="array" ref="K29">IF(ISTEXT($F7),SUMIF(Schedule,$F$25,Vaccine_Selection!$Y$39:$AC$39),SUMIF(Schedule,$F$25,Vaccine_Selection!$M$39:$Q$39)*$F7/12)*K$11/1000</f>
        <v>875.21725370370359</v>
      </c>
      <c r="L29" s="639">
        <f t="array" ref="L29">IF(ISTEXT($F7),SUMIF(Schedule,$F$25,Vaccine_Selection!$Y$39:$AC$39),SUMIF(Schedule,$F$25,Vaccine_Selection!$M$39:$Q$39)*$F7/12)*L$11/1000</f>
        <v>969.83533518518504</v>
      </c>
      <c r="M29" s="639">
        <f t="array" ref="M29">IF(ISTEXT($F7),SUMIF(Schedule,$F$25,Vaccine_Selection!$Y$39:$AC$39),SUMIF(Schedule,$F$25,Vaccine_Selection!$M$39:$Q$39)*$F7/12)*M$11/1000</f>
        <v>1064.4534166666665</v>
      </c>
      <c r="N29" s="639">
        <f t="array" ref="N29">IF(ISTEXT($F7),SUMIF(Schedule,$F$25,Vaccine_Selection!$Y$39:$AC$39),SUMIF(Schedule,$F$25,Vaccine_Selection!$M$39:$Q$39)*$F7/12)*N$11/1000</f>
        <v>1159.0714981481483</v>
      </c>
      <c r="O29" s="639">
        <f t="array" ref="O29">IF(ISTEXT($F7),SUMIF(Schedule,$F$25,Vaccine_Selection!$Y$39:$AC$39),SUMIF(Schedule,$F$25,Vaccine_Selection!$M$39:$Q$39)*$F7/12)*O$11/1000</f>
        <v>1253.6895796296296</v>
      </c>
      <c r="P29" s="639">
        <f t="array" ref="P29">IF(ISTEXT($F7),SUMIF(Schedule,$F$25,Vaccine_Selection!$Y$39:$AC$39),SUMIF(Schedule,$F$25,Vaccine_Selection!$M$39:$Q$39)*$F7/12)*P$11/1000</f>
        <v>1348.307661111111</v>
      </c>
      <c r="Q29" s="639">
        <f t="array" ref="Q29">IF(ISTEXT($F7),SUMIF(Schedule,$F$25,Vaccine_Selection!$Y$39:$AC$39),SUMIF(Schedule,$F$25,Vaccine_Selection!$M$39:$Q$39)*$F7/12)*Q$11/1000</f>
        <v>1442.9257425925925</v>
      </c>
      <c r="R29" s="639">
        <f t="array" ref="R29">IF(ISTEXT($F7),SUMIF(Schedule,$F$25,Vaccine_Selection!$Y$39:$AC$39),SUMIF(Schedule,$F$25,Vaccine_Selection!$M$39:$Q$39)*$F7/12)*R$11/1000</f>
        <v>1537.5438240740739</v>
      </c>
      <c r="S29" s="639">
        <f t="array" ref="S29">IF(ISTEXT($F7),SUMIF(Schedule,$F$25,Vaccine_Selection!$Y$39:$AC$39),SUMIF(Schedule,$F$25,Vaccine_Selection!$M$39:$Q$39)*$F7/12)*S$11/1000</f>
        <v>1632.1619055555554</v>
      </c>
      <c r="T29" s="639">
        <f t="array" ref="T29">IF(ISTEXT($F7),SUMIF(Schedule,$F$25,Vaccine_Selection!$Y$39:$AC$39),SUMIF(Schedule,$F$25,Vaccine_Selection!$M$39:$Q$39)*$F7/12)*T$11/1000</f>
        <v>1726.779987037037</v>
      </c>
      <c r="U29" s="639">
        <f t="array" ref="U29">IF(ISTEXT($F7),SUMIF(Schedule,$F$25,Vaccine_Selection!$Y$39:$AC$39),SUMIF(Schedule,$F$25,Vaccine_Selection!$M$39:$Q$39)*$F7/12)*U$11/1000</f>
        <v>1821.3980685185184</v>
      </c>
      <c r="V29" s="639">
        <f t="array" ref="V29">IF(ISTEXT($F7),SUMIF(Schedule,$F$25,Vaccine_Selection!$Y$39:$AC$39),SUMIF(Schedule,$F$25,Vaccine_Selection!$M$39:$Q$39)*$F7/12)*V$11/1000</f>
        <v>1916.0161499999999</v>
      </c>
      <c r="W29" s="639">
        <f t="array" ref="W29">IF(ISTEXT($F7),SUMIF(Schedule,$F$25,Vaccine_Selection!$Y$39:$AC$39),SUMIF(Schedule,$F$25,Vaccine_Selection!$M$39:$Q$39)*$F7/12)*W$11/1000</f>
        <v>2010.6342314814813</v>
      </c>
      <c r="X29" s="639">
        <f t="array" ref="X29">IF(ISTEXT($F7),SUMIF(Schedule,$F$25,Vaccine_Selection!$Y$39:$AC$39),SUMIF(Schedule,$F$25,Vaccine_Selection!$M$39:$Q$39)*$F7/12)*X$11/1000</f>
        <v>2105.2523129629626</v>
      </c>
      <c r="Y29" s="639">
        <f t="array" ref="Y29">IF(ISTEXT($F7),SUMIF(Schedule,$F$25,Vaccine_Selection!$Y$39:$AC$39),SUMIF(Schedule,$F$25,Vaccine_Selection!$M$39:$Q$39)*$F7/12)*Y$11/1000</f>
        <v>2199.8703944444442</v>
      </c>
      <c r="Z29" s="639">
        <f t="array" ref="Z29">IF(ISTEXT($F7),SUMIF(Schedule,$F$25,Vaccine_Selection!$Y$39:$AC$39),SUMIF(Schedule,$F$25,Vaccine_Selection!$M$39:$Q$39)*$F7/12)*Z$11/1000</f>
        <v>2294.4884759259257</v>
      </c>
      <c r="AA29" s="639">
        <f t="array" ref="AA29">IF(ISTEXT($F7),SUMIF(Schedule,$F$25,Vaccine_Selection!$Y$39:$AC$39),SUMIF(Schedule,$F$25,Vaccine_Selection!$M$39:$Q$39)*$F7/12)*AA$11/1000</f>
        <v>2389.1065574074073</v>
      </c>
      <c r="AB29" s="639">
        <f t="array" ref="AB29">IF(ISTEXT($F7),SUMIF(Schedule,$F$25,Vaccine_Selection!$Y$39:$AC$39),SUMIF(Schedule,$F$25,Vaccine_Selection!$M$39:$Q$39)*$F7/12)*AB$11/1000</f>
        <v>2483.7246388888884</v>
      </c>
    </row>
    <row r="30" spans="2:28" ht="12" outlineLevel="1">
      <c r="B30" s="650" t="str">
        <f>Translation!C39</f>
        <v>Estimate of equipment requirements per MaxiStock</v>
      </c>
      <c r="C30" s="652"/>
      <c r="D30" s="652"/>
      <c r="E30" s="653" t="str">
        <f>Translation!C40</f>
        <v>Equipment utilization factor (%)</v>
      </c>
      <c r="F30" s="655">
        <v>0.65</v>
      </c>
      <c r="G30" s="652"/>
      <c r="H30" s="652"/>
      <c r="I30" s="652"/>
      <c r="J30" s="652"/>
      <c r="K30" s="652"/>
      <c r="L30" s="652"/>
      <c r="M30" s="652"/>
      <c r="N30" s="652"/>
      <c r="O30" s="652"/>
      <c r="P30" s="652"/>
      <c r="Q30" s="652"/>
      <c r="R30" s="652"/>
      <c r="S30" s="652"/>
      <c r="T30" s="652"/>
      <c r="U30" s="652"/>
      <c r="V30" s="652"/>
      <c r="W30" s="652"/>
      <c r="X30" s="652"/>
      <c r="Y30" s="652"/>
      <c r="Z30" s="652"/>
      <c r="AA30" s="652"/>
      <c r="AB30" s="652"/>
    </row>
    <row r="31" spans="2:28" ht="12" outlineLevel="1">
      <c r="B31" s="649" t="s">
        <v>844</v>
      </c>
      <c r="C31" s="634">
        <f>SUMIF(WICR,$B$31,Supplies!$E$36:$E$46)</f>
        <v>3030.3030303030305</v>
      </c>
      <c r="D31" s="634">
        <f t="shared" ref="D31:AB31" si="7">C31</f>
        <v>3030.3030303030305</v>
      </c>
      <c r="E31" s="634">
        <f t="shared" si="7"/>
        <v>3030.3030303030305</v>
      </c>
      <c r="F31" s="634">
        <f t="shared" si="7"/>
        <v>3030.3030303030305</v>
      </c>
      <c r="G31" s="634">
        <f t="shared" si="7"/>
        <v>3030.3030303030305</v>
      </c>
      <c r="H31" s="634">
        <f t="shared" si="7"/>
        <v>3030.3030303030305</v>
      </c>
      <c r="I31" s="634">
        <f t="shared" si="7"/>
        <v>3030.3030303030305</v>
      </c>
      <c r="J31" s="634">
        <f t="shared" si="7"/>
        <v>3030.3030303030305</v>
      </c>
      <c r="K31" s="634">
        <f t="shared" si="7"/>
        <v>3030.3030303030305</v>
      </c>
      <c r="L31" s="634">
        <f t="shared" si="7"/>
        <v>3030.3030303030305</v>
      </c>
      <c r="M31" s="634">
        <f t="shared" si="7"/>
        <v>3030.3030303030305</v>
      </c>
      <c r="N31" s="634">
        <f t="shared" si="7"/>
        <v>3030.3030303030305</v>
      </c>
      <c r="O31" s="634">
        <f t="shared" si="7"/>
        <v>3030.3030303030305</v>
      </c>
      <c r="P31" s="634">
        <f t="shared" si="7"/>
        <v>3030.3030303030305</v>
      </c>
      <c r="Q31" s="634">
        <f t="shared" si="7"/>
        <v>3030.3030303030305</v>
      </c>
      <c r="R31" s="634">
        <f t="shared" si="7"/>
        <v>3030.3030303030305</v>
      </c>
      <c r="S31" s="634">
        <f t="shared" si="7"/>
        <v>3030.3030303030305</v>
      </c>
      <c r="T31" s="634">
        <f t="shared" si="7"/>
        <v>3030.3030303030305</v>
      </c>
      <c r="U31" s="634">
        <f t="shared" si="7"/>
        <v>3030.3030303030305</v>
      </c>
      <c r="V31" s="634">
        <f t="shared" si="7"/>
        <v>3030.3030303030305</v>
      </c>
      <c r="W31" s="634">
        <f t="shared" si="7"/>
        <v>3030.3030303030305</v>
      </c>
      <c r="X31" s="634">
        <f t="shared" si="7"/>
        <v>3030.3030303030305</v>
      </c>
      <c r="Y31" s="634">
        <f t="shared" si="7"/>
        <v>3030.3030303030305</v>
      </c>
      <c r="Z31" s="634">
        <f t="shared" si="7"/>
        <v>3030.3030303030305</v>
      </c>
      <c r="AA31" s="634">
        <f t="shared" si="7"/>
        <v>3030.3030303030305</v>
      </c>
      <c r="AB31" s="634">
        <f t="shared" si="7"/>
        <v>3030.3030303030305</v>
      </c>
    </row>
    <row r="32" spans="2:28" outlineLevel="1">
      <c r="B32" s="645" t="str">
        <f>IF(F4="","",CONCATENATE(B26," - ",$B$31))</f>
        <v>Current schedule @ 4 months MaxiStock - WICR-10m3</v>
      </c>
      <c r="C32" s="667">
        <f t="shared" ref="C32:AB32" si="8">IF(C$31=0,0,ROUND(C26/(C$31*$F$30),0))</f>
        <v>0</v>
      </c>
      <c r="D32" s="667">
        <f t="shared" si="8"/>
        <v>0</v>
      </c>
      <c r="E32" s="667">
        <f t="shared" si="8"/>
        <v>0</v>
      </c>
      <c r="F32" s="667">
        <f t="shared" si="8"/>
        <v>0</v>
      </c>
      <c r="G32" s="667">
        <f t="shared" si="8"/>
        <v>0</v>
      </c>
      <c r="H32" s="667">
        <f t="shared" si="8"/>
        <v>0</v>
      </c>
      <c r="I32" s="667">
        <f t="shared" si="8"/>
        <v>0</v>
      </c>
      <c r="J32" s="667">
        <f t="shared" si="8"/>
        <v>0</v>
      </c>
      <c r="K32" s="667">
        <f t="shared" si="8"/>
        <v>0</v>
      </c>
      <c r="L32" s="667">
        <f t="shared" si="8"/>
        <v>0</v>
      </c>
      <c r="M32" s="667">
        <f t="shared" si="8"/>
        <v>0</v>
      </c>
      <c r="N32" s="667">
        <f t="shared" si="8"/>
        <v>0</v>
      </c>
      <c r="O32" s="667">
        <f t="shared" si="8"/>
        <v>1</v>
      </c>
      <c r="P32" s="667">
        <f t="shared" si="8"/>
        <v>1</v>
      </c>
      <c r="Q32" s="667">
        <f t="shared" si="8"/>
        <v>1</v>
      </c>
      <c r="R32" s="667">
        <f t="shared" si="8"/>
        <v>1</v>
      </c>
      <c r="S32" s="667">
        <f t="shared" si="8"/>
        <v>1</v>
      </c>
      <c r="T32" s="667">
        <f t="shared" si="8"/>
        <v>1</v>
      </c>
      <c r="U32" s="667">
        <f t="shared" si="8"/>
        <v>1</v>
      </c>
      <c r="V32" s="667">
        <f t="shared" si="8"/>
        <v>1</v>
      </c>
      <c r="W32" s="667">
        <f t="shared" si="8"/>
        <v>1</v>
      </c>
      <c r="X32" s="667">
        <f t="shared" si="8"/>
        <v>1</v>
      </c>
      <c r="Y32" s="667">
        <f t="shared" si="8"/>
        <v>1</v>
      </c>
      <c r="Z32" s="667">
        <f t="shared" si="8"/>
        <v>1</v>
      </c>
      <c r="AA32" s="667">
        <f t="shared" si="8"/>
        <v>1</v>
      </c>
      <c r="AB32" s="667">
        <f t="shared" si="8"/>
        <v>1</v>
      </c>
    </row>
    <row r="33" spans="2:28" outlineLevel="1">
      <c r="B33" s="645" t="str">
        <f>IF(F5="","",CONCATENATE(B27," - ",$B$31))</f>
        <v>Current schedule @ 6 months MaxiStock - WICR-10m3</v>
      </c>
      <c r="C33" s="667">
        <f t="shared" ref="C33:AB33" si="9">IF(C$31=0,0,ROUND(C27/(C$31*$F$30),0))</f>
        <v>0</v>
      </c>
      <c r="D33" s="667">
        <f t="shared" si="9"/>
        <v>0</v>
      </c>
      <c r="E33" s="667">
        <f t="shared" si="9"/>
        <v>0</v>
      </c>
      <c r="F33" s="667">
        <f t="shared" si="9"/>
        <v>0</v>
      </c>
      <c r="G33" s="667">
        <f t="shared" si="9"/>
        <v>0</v>
      </c>
      <c r="H33" s="667">
        <f t="shared" si="9"/>
        <v>0</v>
      </c>
      <c r="I33" s="667">
        <f t="shared" si="9"/>
        <v>0</v>
      </c>
      <c r="J33" s="667">
        <f t="shared" si="9"/>
        <v>1</v>
      </c>
      <c r="K33" s="667">
        <f t="shared" si="9"/>
        <v>1</v>
      </c>
      <c r="L33" s="667">
        <f t="shared" si="9"/>
        <v>1</v>
      </c>
      <c r="M33" s="667">
        <f t="shared" si="9"/>
        <v>1</v>
      </c>
      <c r="N33" s="667">
        <f t="shared" si="9"/>
        <v>1</v>
      </c>
      <c r="O33" s="667">
        <f t="shared" si="9"/>
        <v>1</v>
      </c>
      <c r="P33" s="667">
        <f t="shared" si="9"/>
        <v>1</v>
      </c>
      <c r="Q33" s="667">
        <f t="shared" si="9"/>
        <v>1</v>
      </c>
      <c r="R33" s="667">
        <f t="shared" si="9"/>
        <v>1</v>
      </c>
      <c r="S33" s="667">
        <f t="shared" si="9"/>
        <v>1</v>
      </c>
      <c r="T33" s="667">
        <f t="shared" si="9"/>
        <v>1</v>
      </c>
      <c r="U33" s="667">
        <f t="shared" si="9"/>
        <v>1</v>
      </c>
      <c r="V33" s="667">
        <f t="shared" si="9"/>
        <v>1</v>
      </c>
      <c r="W33" s="667">
        <f t="shared" si="9"/>
        <v>1</v>
      </c>
      <c r="X33" s="667">
        <f t="shared" si="9"/>
        <v>1</v>
      </c>
      <c r="Y33" s="667">
        <f t="shared" si="9"/>
        <v>1</v>
      </c>
      <c r="Z33" s="667">
        <f t="shared" si="9"/>
        <v>1</v>
      </c>
      <c r="AA33" s="667">
        <f t="shared" si="9"/>
        <v>2</v>
      </c>
      <c r="AB33" s="667">
        <f t="shared" si="9"/>
        <v>2</v>
      </c>
    </row>
    <row r="34" spans="2:28" outlineLevel="1">
      <c r="B34" s="645" t="str">
        <f>IF(F6="","",CONCATENATE(B28," - ",$B$31))</f>
        <v>Current schedule @ 9 months MaxiStock - WICR-10m3</v>
      </c>
      <c r="C34" s="667">
        <f t="shared" ref="C34:AB34" si="10">IF(C$31=0,0,ROUND(C28/(C$31*$F$30),0))</f>
        <v>0</v>
      </c>
      <c r="D34" s="667">
        <f t="shared" si="10"/>
        <v>0</v>
      </c>
      <c r="E34" s="667">
        <f t="shared" si="10"/>
        <v>0</v>
      </c>
      <c r="F34" s="667">
        <f t="shared" si="10"/>
        <v>0</v>
      </c>
      <c r="G34" s="667">
        <f t="shared" si="10"/>
        <v>0</v>
      </c>
      <c r="H34" s="667">
        <f t="shared" si="10"/>
        <v>1</v>
      </c>
      <c r="I34" s="667">
        <f t="shared" si="10"/>
        <v>1</v>
      </c>
      <c r="J34" s="667">
        <f t="shared" si="10"/>
        <v>1</v>
      </c>
      <c r="K34" s="667">
        <f t="shared" si="10"/>
        <v>1</v>
      </c>
      <c r="L34" s="667">
        <f t="shared" si="10"/>
        <v>1</v>
      </c>
      <c r="M34" s="667">
        <f t="shared" si="10"/>
        <v>1</v>
      </c>
      <c r="N34" s="667">
        <f t="shared" si="10"/>
        <v>1</v>
      </c>
      <c r="O34" s="667">
        <f t="shared" si="10"/>
        <v>1</v>
      </c>
      <c r="P34" s="667">
        <f t="shared" si="10"/>
        <v>1</v>
      </c>
      <c r="Q34" s="667">
        <f t="shared" si="10"/>
        <v>1</v>
      </c>
      <c r="R34" s="667">
        <f t="shared" si="10"/>
        <v>1</v>
      </c>
      <c r="S34" s="667">
        <f t="shared" si="10"/>
        <v>2</v>
      </c>
      <c r="T34" s="667">
        <f t="shared" si="10"/>
        <v>2</v>
      </c>
      <c r="U34" s="667">
        <f t="shared" si="10"/>
        <v>2</v>
      </c>
      <c r="V34" s="667">
        <f t="shared" si="10"/>
        <v>2</v>
      </c>
      <c r="W34" s="667">
        <f t="shared" si="10"/>
        <v>2</v>
      </c>
      <c r="X34" s="667">
        <f t="shared" si="10"/>
        <v>2</v>
      </c>
      <c r="Y34" s="667">
        <f t="shared" si="10"/>
        <v>2</v>
      </c>
      <c r="Z34" s="667">
        <f t="shared" si="10"/>
        <v>2</v>
      </c>
      <c r="AA34" s="667">
        <f t="shared" si="10"/>
        <v>2</v>
      </c>
      <c r="AB34" s="667">
        <f t="shared" si="10"/>
        <v>2</v>
      </c>
    </row>
    <row r="35" spans="2:28" outlineLevel="1">
      <c r="B35" s="645" t="str">
        <f>IF(F7="","",CONCATENATE(B29," - ",$B$31))</f>
        <v>Current schedule @ par vaccin individuel MaxiStock - WICR-10m3</v>
      </c>
      <c r="C35" s="668">
        <f t="shared" ref="C35:AB35" si="11">IF(C$31=0,0,ROUND(C29/(C$31*$F$30),0))</f>
        <v>0</v>
      </c>
      <c r="D35" s="668">
        <f t="shared" si="11"/>
        <v>0</v>
      </c>
      <c r="E35" s="668">
        <f t="shared" si="11"/>
        <v>0</v>
      </c>
      <c r="F35" s="668">
        <f t="shared" si="11"/>
        <v>0</v>
      </c>
      <c r="G35" s="668">
        <f t="shared" si="11"/>
        <v>0</v>
      </c>
      <c r="H35" s="668">
        <f t="shared" si="11"/>
        <v>0</v>
      </c>
      <c r="I35" s="668">
        <f t="shared" si="11"/>
        <v>0</v>
      </c>
      <c r="J35" s="668">
        <f t="shared" si="11"/>
        <v>0</v>
      </c>
      <c r="K35" s="668">
        <f t="shared" si="11"/>
        <v>0</v>
      </c>
      <c r="L35" s="668">
        <f t="shared" si="11"/>
        <v>0</v>
      </c>
      <c r="M35" s="668">
        <f t="shared" si="11"/>
        <v>1</v>
      </c>
      <c r="N35" s="668">
        <f t="shared" si="11"/>
        <v>1</v>
      </c>
      <c r="O35" s="668">
        <f t="shared" si="11"/>
        <v>1</v>
      </c>
      <c r="P35" s="668">
        <f t="shared" si="11"/>
        <v>1</v>
      </c>
      <c r="Q35" s="668">
        <f t="shared" si="11"/>
        <v>1</v>
      </c>
      <c r="R35" s="668">
        <f t="shared" si="11"/>
        <v>1</v>
      </c>
      <c r="S35" s="668">
        <f t="shared" si="11"/>
        <v>1</v>
      </c>
      <c r="T35" s="668">
        <f t="shared" si="11"/>
        <v>1</v>
      </c>
      <c r="U35" s="668">
        <f t="shared" si="11"/>
        <v>1</v>
      </c>
      <c r="V35" s="668">
        <f t="shared" si="11"/>
        <v>1</v>
      </c>
      <c r="W35" s="668">
        <f t="shared" si="11"/>
        <v>1</v>
      </c>
      <c r="X35" s="668">
        <f t="shared" si="11"/>
        <v>1</v>
      </c>
      <c r="Y35" s="668">
        <f t="shared" si="11"/>
        <v>1</v>
      </c>
      <c r="Z35" s="668">
        <f t="shared" si="11"/>
        <v>1</v>
      </c>
      <c r="AA35" s="668">
        <f t="shared" si="11"/>
        <v>1</v>
      </c>
      <c r="AB35" s="668">
        <f t="shared" si="11"/>
        <v>1</v>
      </c>
    </row>
    <row r="36" spans="2:28" ht="12" outlineLevel="1">
      <c r="B36" s="650" t="str">
        <f>Translation!C43</f>
        <v>Estimate of net dry storage per schedule (m³)</v>
      </c>
      <c r="C36" s="652"/>
      <c r="D36" s="652"/>
      <c r="E36" s="652"/>
      <c r="F36" s="652"/>
      <c r="G36" s="652"/>
      <c r="H36" s="652"/>
      <c r="I36" s="652"/>
      <c r="J36" s="652"/>
      <c r="K36" s="652"/>
      <c r="L36" s="652"/>
      <c r="M36" s="652"/>
      <c r="N36" s="652"/>
      <c r="O36" s="652"/>
      <c r="P36" s="652"/>
      <c r="Q36" s="652"/>
      <c r="R36" s="652"/>
      <c r="S36" s="652"/>
      <c r="T36" s="652"/>
      <c r="U36" s="652"/>
      <c r="V36" s="652"/>
      <c r="W36" s="652"/>
      <c r="X36" s="652"/>
      <c r="Y36" s="652"/>
      <c r="Z36" s="652"/>
      <c r="AA36" s="652"/>
      <c r="AB36" s="652"/>
    </row>
    <row r="37" spans="2:28" outlineLevel="1">
      <c r="B37" s="645" t="str">
        <f>B13</f>
        <v>Current schedule @ per individual vaccine months-MaxiStock</v>
      </c>
      <c r="C37" s="676">
        <f>IF(ISTEXT($C$7),MAX(Vaccine_Selection!$V$17:$V$36)+MAX(Vaccine_Selection!$W$17:$W$36),$C$7)*C$11*Volume_Inject!$M$38/12000000</f>
        <v>6.1949645604166665</v>
      </c>
      <c r="D37" s="634">
        <f>IF(ISTEXT($C$7),MAX(Vaccine_Selection!$V$17:$V$36)+MAX(Vaccine_Selection!$W$17:$W$36),$C$7)*D$11*Volume_Inject!$M$38/12000000</f>
        <v>11.150936208749998</v>
      </c>
      <c r="E37" s="634">
        <f>IF(ISTEXT($C$7),MAX(Vaccine_Selection!$V$17:$V$36)+MAX(Vaccine_Selection!$W$17:$W$36),$C$7)*E$11*Volume_Inject!$M$38/12000000</f>
        <v>16.106907857083332</v>
      </c>
      <c r="F37" s="634">
        <f>IF(ISTEXT($C$7),MAX(Vaccine_Selection!$V$17:$V$36)+MAX(Vaccine_Selection!$W$17:$W$36),$C$7)*F$11*Volume_Inject!$M$38/12000000</f>
        <v>21.062879505416664</v>
      </c>
      <c r="G37" s="634">
        <f>IF(ISTEXT($C$7),MAX(Vaccine_Selection!$V$17:$V$36)+MAX(Vaccine_Selection!$W$17:$W$36),$C$7)*G$11*Volume_Inject!$M$38/12000000</f>
        <v>26.018851153749999</v>
      </c>
      <c r="H37" s="634">
        <f>IF(ISTEXT($C$7),MAX(Vaccine_Selection!$V$17:$V$36)+MAX(Vaccine_Selection!$W$17:$W$36),$C$7)*H$11*Volume_Inject!$M$38/12000000</f>
        <v>30.974822802083327</v>
      </c>
      <c r="I37" s="634">
        <f>IF(ISTEXT($C$7),MAX(Vaccine_Selection!$V$17:$V$36)+MAX(Vaccine_Selection!$W$17:$W$36),$C$7)*I$11*Volume_Inject!$M$38/12000000</f>
        <v>35.930794450416663</v>
      </c>
      <c r="J37" s="634">
        <f>IF(ISTEXT($C$7),MAX(Vaccine_Selection!$V$17:$V$36)+MAX(Vaccine_Selection!$W$17:$W$36),$C$7)*J$11*Volume_Inject!$M$38/12000000</f>
        <v>40.886766098749995</v>
      </c>
      <c r="K37" s="634">
        <f>IF(ISTEXT($C$7),MAX(Vaccine_Selection!$V$17:$V$36)+MAX(Vaccine_Selection!$W$17:$W$36),$C$7)*K$11*Volume_Inject!$M$38/12000000</f>
        <v>45.842737747083326</v>
      </c>
      <c r="L37" s="634">
        <f>IF(ISTEXT($C$7),MAX(Vaccine_Selection!$V$17:$V$36)+MAX(Vaccine_Selection!$W$17:$W$36),$C$7)*L$11*Volume_Inject!$M$38/12000000</f>
        <v>50.798709395416658</v>
      </c>
      <c r="M37" s="634">
        <f>IF(ISTEXT($C$7),MAX(Vaccine_Selection!$V$17:$V$36)+MAX(Vaccine_Selection!$W$17:$W$36),$C$7)*M$11*Volume_Inject!$M$38/12000000</f>
        <v>55.75468104374999</v>
      </c>
      <c r="N37" s="634">
        <f>IF(ISTEXT($C$7),MAX(Vaccine_Selection!$V$17:$V$36)+MAX(Vaccine_Selection!$W$17:$W$36),$C$7)*N$11*Volume_Inject!$M$38/12000000</f>
        <v>60.710652692083329</v>
      </c>
      <c r="O37" s="634">
        <f>IF(ISTEXT($C$7),MAX(Vaccine_Selection!$V$17:$V$36)+MAX(Vaccine_Selection!$W$17:$W$36),$C$7)*O$11*Volume_Inject!$M$38/12000000</f>
        <v>65.666624340416661</v>
      </c>
      <c r="P37" s="634">
        <f>IF(ISTEXT($C$7),MAX(Vaccine_Selection!$V$17:$V$36)+MAX(Vaccine_Selection!$W$17:$W$36),$C$7)*P$11*Volume_Inject!$M$38/12000000</f>
        <v>70.622595988749993</v>
      </c>
      <c r="Q37" s="634">
        <f>IF(ISTEXT($C$7),MAX(Vaccine_Selection!$V$17:$V$36)+MAX(Vaccine_Selection!$W$17:$W$36),$C$7)*Q$11*Volume_Inject!$M$38/12000000</f>
        <v>75.578567637083324</v>
      </c>
      <c r="R37" s="634">
        <f>IF(ISTEXT($C$7),MAX(Vaccine_Selection!$V$17:$V$36)+MAX(Vaccine_Selection!$W$17:$W$36),$C$7)*R$11*Volume_Inject!$M$38/12000000</f>
        <v>80.534539285416656</v>
      </c>
      <c r="S37" s="634">
        <f>IF(ISTEXT($C$7),MAX(Vaccine_Selection!$V$17:$V$36)+MAX(Vaccine_Selection!$W$17:$W$36),$C$7)*S$11*Volume_Inject!$M$38/12000000</f>
        <v>85.490510933749988</v>
      </c>
      <c r="T37" s="634">
        <f>IF(ISTEXT($C$7),MAX(Vaccine_Selection!$V$17:$V$36)+MAX(Vaccine_Selection!$W$17:$W$36),$C$7)*T$11*Volume_Inject!$M$38/12000000</f>
        <v>90.44648258208332</v>
      </c>
      <c r="U37" s="634">
        <f>IF(ISTEXT($C$7),MAX(Vaccine_Selection!$V$17:$V$36)+MAX(Vaccine_Selection!$W$17:$W$36),$C$7)*U$11*Volume_Inject!$M$38/12000000</f>
        <v>95.402454230416652</v>
      </c>
      <c r="V37" s="634">
        <f>IF(ISTEXT($C$7),MAX(Vaccine_Selection!$V$17:$V$36)+MAX(Vaccine_Selection!$W$17:$W$36),$C$7)*V$11*Volume_Inject!$M$38/12000000</f>
        <v>100.35842587874998</v>
      </c>
      <c r="W37" s="634">
        <f>IF(ISTEXT($C$7),MAX(Vaccine_Selection!$V$17:$V$36)+MAX(Vaccine_Selection!$W$17:$W$36),$C$7)*W$11*Volume_Inject!$M$38/12000000</f>
        <v>105.31439752708332</v>
      </c>
      <c r="X37" s="634">
        <f>IF(ISTEXT($C$7),MAX(Vaccine_Selection!$V$17:$V$36)+MAX(Vaccine_Selection!$W$17:$W$36),$C$7)*X$11*Volume_Inject!$M$38/12000000</f>
        <v>110.27036917541665</v>
      </c>
      <c r="Y37" s="634">
        <f>IF(ISTEXT($C$7),MAX(Vaccine_Selection!$V$17:$V$36)+MAX(Vaccine_Selection!$W$17:$W$36),$C$7)*Y$11*Volume_Inject!$M$38/12000000</f>
        <v>115.22634082374998</v>
      </c>
      <c r="Z37" s="634">
        <f>IF(ISTEXT($C$7),MAX(Vaccine_Selection!$V$17:$V$36)+MAX(Vaccine_Selection!$W$17:$W$36),$C$7)*Z$11*Volume_Inject!$M$38/12000000</f>
        <v>120.18231247208331</v>
      </c>
      <c r="AA37" s="634">
        <f>IF(ISTEXT($C$7),MAX(Vaccine_Selection!$V$17:$V$36)+MAX(Vaccine_Selection!$W$17:$W$36),$C$7)*AA$11*Volume_Inject!$M$38/12000000</f>
        <v>125.13828412041664</v>
      </c>
      <c r="AB37" s="634">
        <f>IF(ISTEXT($C$7),MAX(Vaccine_Selection!$V$17:$V$36)+MAX(Vaccine_Selection!$W$17:$W$36),$C$7)*AB$11*Volume_Inject!$M$38/12000000</f>
        <v>130.09425576875</v>
      </c>
    </row>
    <row r="38" spans="2:28" outlineLevel="1">
      <c r="B38" s="636" t="str">
        <f>B14</f>
        <v>Current schedule with penta 1d @ per individual vaccine months-MaxiStock</v>
      </c>
      <c r="C38" s="675">
        <f>IF(ISTEXT($C$7),MAX(Vaccine_Selection!$V$17:$V$36)+MAX(Vaccine_Selection!$W$17:$W$36),$C$7)*C$11*Volume_Inject!$N$38/12000000</f>
        <v>6.1949645604166665</v>
      </c>
      <c r="D38" s="637">
        <f>IF(ISTEXT($C$7),MAX(Vaccine_Selection!$V$17:$V$36)+MAX(Vaccine_Selection!$W$17:$W$36),$C$7)*D$11*Volume_Inject!$N$38/12000000</f>
        <v>11.150936208749998</v>
      </c>
      <c r="E38" s="637">
        <f>IF(ISTEXT($C$7),MAX(Vaccine_Selection!$V$17:$V$36)+MAX(Vaccine_Selection!$W$17:$W$36),$C$7)*E$11*Volume_Inject!$N$38/12000000</f>
        <v>16.106907857083332</v>
      </c>
      <c r="F38" s="637">
        <f>IF(ISTEXT($C$7),MAX(Vaccine_Selection!$V$17:$V$36)+MAX(Vaccine_Selection!$W$17:$W$36),$C$7)*F$11*Volume_Inject!$N$38/12000000</f>
        <v>21.062879505416664</v>
      </c>
      <c r="G38" s="637">
        <f>IF(ISTEXT($C$7),MAX(Vaccine_Selection!$V$17:$V$36)+MAX(Vaccine_Selection!$W$17:$W$36),$C$7)*G$11*Volume_Inject!$N$38/12000000</f>
        <v>26.018851153749999</v>
      </c>
      <c r="H38" s="637">
        <f>IF(ISTEXT($C$7),MAX(Vaccine_Selection!$V$17:$V$36)+MAX(Vaccine_Selection!$W$17:$W$36),$C$7)*H$11*Volume_Inject!$N$38/12000000</f>
        <v>30.974822802083327</v>
      </c>
      <c r="I38" s="637">
        <f>IF(ISTEXT($C$7),MAX(Vaccine_Selection!$V$17:$V$36)+MAX(Vaccine_Selection!$W$17:$W$36),$C$7)*I$11*Volume_Inject!$N$38/12000000</f>
        <v>35.930794450416663</v>
      </c>
      <c r="J38" s="637">
        <f>IF(ISTEXT($C$7),MAX(Vaccine_Selection!$V$17:$V$36)+MAX(Vaccine_Selection!$W$17:$W$36),$C$7)*J$11*Volume_Inject!$N$38/12000000</f>
        <v>40.886766098749995</v>
      </c>
      <c r="K38" s="637">
        <f>IF(ISTEXT($C$7),MAX(Vaccine_Selection!$V$17:$V$36)+MAX(Vaccine_Selection!$W$17:$W$36),$C$7)*K$11*Volume_Inject!$N$38/12000000</f>
        <v>45.842737747083326</v>
      </c>
      <c r="L38" s="637">
        <f>IF(ISTEXT($C$7),MAX(Vaccine_Selection!$V$17:$V$36)+MAX(Vaccine_Selection!$W$17:$W$36),$C$7)*L$11*Volume_Inject!$N$38/12000000</f>
        <v>50.798709395416658</v>
      </c>
      <c r="M38" s="637">
        <f>IF(ISTEXT($C$7),MAX(Vaccine_Selection!$V$17:$V$36)+MAX(Vaccine_Selection!$W$17:$W$36),$C$7)*M$11*Volume_Inject!$N$38/12000000</f>
        <v>55.75468104374999</v>
      </c>
      <c r="N38" s="637">
        <f>IF(ISTEXT($C$7),MAX(Vaccine_Selection!$V$17:$V$36)+MAX(Vaccine_Selection!$W$17:$W$36),$C$7)*N$11*Volume_Inject!$N$38/12000000</f>
        <v>60.710652692083329</v>
      </c>
      <c r="O38" s="637">
        <f>IF(ISTEXT($C$7),MAX(Vaccine_Selection!$V$17:$V$36)+MAX(Vaccine_Selection!$W$17:$W$36),$C$7)*O$11*Volume_Inject!$N$38/12000000</f>
        <v>65.666624340416661</v>
      </c>
      <c r="P38" s="637">
        <f>IF(ISTEXT($C$7),MAX(Vaccine_Selection!$V$17:$V$36)+MAX(Vaccine_Selection!$W$17:$W$36),$C$7)*P$11*Volume_Inject!$N$38/12000000</f>
        <v>70.622595988749993</v>
      </c>
      <c r="Q38" s="637">
        <f>IF(ISTEXT($C$7),MAX(Vaccine_Selection!$V$17:$V$36)+MAX(Vaccine_Selection!$W$17:$W$36),$C$7)*Q$11*Volume_Inject!$N$38/12000000</f>
        <v>75.578567637083324</v>
      </c>
      <c r="R38" s="637">
        <f>IF(ISTEXT($C$7),MAX(Vaccine_Selection!$V$17:$V$36)+MAX(Vaccine_Selection!$W$17:$W$36),$C$7)*R$11*Volume_Inject!$N$38/12000000</f>
        <v>80.534539285416656</v>
      </c>
      <c r="S38" s="637">
        <f>IF(ISTEXT($C$7),MAX(Vaccine_Selection!$V$17:$V$36)+MAX(Vaccine_Selection!$W$17:$W$36),$C$7)*S$11*Volume_Inject!$N$38/12000000</f>
        <v>85.490510933749988</v>
      </c>
      <c r="T38" s="637">
        <f>IF(ISTEXT($C$7),MAX(Vaccine_Selection!$V$17:$V$36)+MAX(Vaccine_Selection!$W$17:$W$36),$C$7)*T$11*Volume_Inject!$N$38/12000000</f>
        <v>90.44648258208332</v>
      </c>
      <c r="U38" s="637">
        <f>IF(ISTEXT($C$7),MAX(Vaccine_Selection!$V$17:$V$36)+MAX(Vaccine_Selection!$W$17:$W$36),$C$7)*U$11*Volume_Inject!$N$38/12000000</f>
        <v>95.402454230416652</v>
      </c>
      <c r="V38" s="637">
        <f>IF(ISTEXT($C$7),MAX(Vaccine_Selection!$V$17:$V$36)+MAX(Vaccine_Selection!$W$17:$W$36),$C$7)*V$11*Volume_Inject!$N$38/12000000</f>
        <v>100.35842587874998</v>
      </c>
      <c r="W38" s="637">
        <f>IF(ISTEXT($C$7),MAX(Vaccine_Selection!$V$17:$V$36)+MAX(Vaccine_Selection!$W$17:$W$36),$C$7)*W$11*Volume_Inject!$N$38/12000000</f>
        <v>105.31439752708332</v>
      </c>
      <c r="X38" s="637">
        <f>IF(ISTEXT($C$7),MAX(Vaccine_Selection!$V$17:$V$36)+MAX(Vaccine_Selection!$W$17:$W$36),$C$7)*X$11*Volume_Inject!$N$38/12000000</f>
        <v>110.27036917541665</v>
      </c>
      <c r="Y38" s="637">
        <f>IF(ISTEXT($C$7),MAX(Vaccine_Selection!$V$17:$V$36)+MAX(Vaccine_Selection!$W$17:$W$36),$C$7)*Y$11*Volume_Inject!$N$38/12000000</f>
        <v>115.22634082374998</v>
      </c>
      <c r="Z38" s="637">
        <f>IF(ISTEXT($C$7),MAX(Vaccine_Selection!$V$17:$V$36)+MAX(Vaccine_Selection!$W$17:$W$36),$C$7)*Z$11*Volume_Inject!$N$38/12000000</f>
        <v>120.18231247208331</v>
      </c>
      <c r="AA38" s="637">
        <f>IF(ISTEXT($C$7),MAX(Vaccine_Selection!$V$17:$V$36)+MAX(Vaccine_Selection!$W$17:$W$36),$C$7)*AA$11*Volume_Inject!$N$38/12000000</f>
        <v>125.13828412041664</v>
      </c>
      <c r="AB38" s="637">
        <f>IF(ISTEXT($C$7),MAX(Vaccine_Selection!$V$17:$V$36)+MAX(Vaccine_Selection!$W$17:$W$36),$C$7)*AB$11*Volume_Inject!$N$38/12000000</f>
        <v>130.09425576875</v>
      </c>
    </row>
    <row r="39" spans="2:28" outlineLevel="1">
      <c r="B39" s="636" t="str">
        <f>B15</f>
        <v>Current schedule with penta CAD @ per individual vaccine months-MaxiStock</v>
      </c>
      <c r="C39" s="675">
        <f>IF(ISTEXT($C$7),MAX(Vaccine_Selection!$V$17:$V$36)+MAX(Vaccine_Selection!$W$17:$W$36),$C$7)*C$11*Volume_Inject!$O$38/12000000</f>
        <v>4.2704228937499993</v>
      </c>
      <c r="D39" s="637">
        <f>IF(ISTEXT($C$7),MAX(Vaccine_Selection!$V$17:$V$36)+MAX(Vaccine_Selection!$W$17:$W$36),$C$7)*D$11*Volume_Inject!$O$38/12000000</f>
        <v>7.6867612087499992</v>
      </c>
      <c r="E39" s="637">
        <f>IF(ISTEXT($C$7),MAX(Vaccine_Selection!$V$17:$V$36)+MAX(Vaccine_Selection!$W$17:$W$36),$C$7)*E$11*Volume_Inject!$O$38/12000000</f>
        <v>11.10309952375</v>
      </c>
      <c r="F39" s="637">
        <f>IF(ISTEXT($C$7),MAX(Vaccine_Selection!$V$17:$V$36)+MAX(Vaccine_Selection!$W$17:$W$36),$C$7)*F$11*Volume_Inject!$O$38/12000000</f>
        <v>14.519437838749999</v>
      </c>
      <c r="G39" s="637">
        <f>IF(ISTEXT($C$7),MAX(Vaccine_Selection!$V$17:$V$36)+MAX(Vaccine_Selection!$W$17:$W$36),$C$7)*G$11*Volume_Inject!$O$38/12000000</f>
        <v>17.935776153749998</v>
      </c>
      <c r="H39" s="637">
        <f>IF(ISTEXT($C$7),MAX(Vaccine_Selection!$V$17:$V$36)+MAX(Vaccine_Selection!$W$17:$W$36),$C$7)*H$11*Volume_Inject!$O$38/12000000</f>
        <v>21.352114468749999</v>
      </c>
      <c r="I39" s="637">
        <f>IF(ISTEXT($C$7),MAX(Vaccine_Selection!$V$17:$V$36)+MAX(Vaccine_Selection!$W$17:$W$36),$C$7)*I$11*Volume_Inject!$O$38/12000000</f>
        <v>24.768452783749996</v>
      </c>
      <c r="J39" s="637">
        <f>IF(ISTEXT($C$7),MAX(Vaccine_Selection!$V$17:$V$36)+MAX(Vaccine_Selection!$W$17:$W$36),$C$7)*J$11*Volume_Inject!$O$38/12000000</f>
        <v>28.184791098750001</v>
      </c>
      <c r="K39" s="637">
        <f>IF(ISTEXT($C$7),MAX(Vaccine_Selection!$V$17:$V$36)+MAX(Vaccine_Selection!$W$17:$W$36),$C$7)*K$11*Volume_Inject!$O$38/12000000</f>
        <v>31.601129413749998</v>
      </c>
      <c r="L39" s="637">
        <f>IF(ISTEXT($C$7),MAX(Vaccine_Selection!$V$17:$V$36)+MAX(Vaccine_Selection!$W$17:$W$36),$C$7)*L$11*Volume_Inject!$O$38/12000000</f>
        <v>35.017467728749999</v>
      </c>
      <c r="M39" s="637">
        <f>IF(ISTEXT($C$7),MAX(Vaccine_Selection!$V$17:$V$36)+MAX(Vaccine_Selection!$W$17:$W$36),$C$7)*M$11*Volume_Inject!$O$38/12000000</f>
        <v>38.433806043749996</v>
      </c>
      <c r="N39" s="637">
        <f>IF(ISTEXT($C$7),MAX(Vaccine_Selection!$V$17:$V$36)+MAX(Vaccine_Selection!$W$17:$W$36),$C$7)*N$11*Volume_Inject!$O$38/12000000</f>
        <v>41.850144358749994</v>
      </c>
      <c r="O39" s="637">
        <f>IF(ISTEXT($C$7),MAX(Vaccine_Selection!$V$17:$V$36)+MAX(Vaccine_Selection!$W$17:$W$36),$C$7)*O$11*Volume_Inject!$O$38/12000000</f>
        <v>45.266482673749991</v>
      </c>
      <c r="P39" s="637">
        <f>IF(ISTEXT($C$7),MAX(Vaccine_Selection!$V$17:$V$36)+MAX(Vaccine_Selection!$W$17:$W$36),$C$7)*P$11*Volume_Inject!$O$38/12000000</f>
        <v>48.682820988750002</v>
      </c>
      <c r="Q39" s="637">
        <f>IF(ISTEXT($C$7),MAX(Vaccine_Selection!$V$17:$V$36)+MAX(Vaccine_Selection!$W$17:$W$36),$C$7)*Q$11*Volume_Inject!$O$38/12000000</f>
        <v>52.09915930375</v>
      </c>
      <c r="R39" s="637">
        <f>IF(ISTEXT($C$7),MAX(Vaccine_Selection!$V$17:$V$36)+MAX(Vaccine_Selection!$W$17:$W$36),$C$7)*R$11*Volume_Inject!$O$38/12000000</f>
        <v>55.515497618749997</v>
      </c>
      <c r="S39" s="637">
        <f>IF(ISTEXT($C$7),MAX(Vaccine_Selection!$V$17:$V$36)+MAX(Vaccine_Selection!$W$17:$W$36),$C$7)*S$11*Volume_Inject!$O$38/12000000</f>
        <v>58.931835933749994</v>
      </c>
      <c r="T39" s="637">
        <f>IF(ISTEXT($C$7),MAX(Vaccine_Selection!$V$17:$V$36)+MAX(Vaccine_Selection!$W$17:$W$36),$C$7)*T$11*Volume_Inject!$O$38/12000000</f>
        <v>62.348174248749991</v>
      </c>
      <c r="U39" s="637">
        <f>IF(ISTEXT($C$7),MAX(Vaccine_Selection!$V$17:$V$36)+MAX(Vaccine_Selection!$W$17:$W$36),$C$7)*U$11*Volume_Inject!$O$38/12000000</f>
        <v>65.764512563750003</v>
      </c>
      <c r="V39" s="637">
        <f>IF(ISTEXT($C$7),MAX(Vaccine_Selection!$V$17:$V$36)+MAX(Vaccine_Selection!$W$17:$W$36),$C$7)*V$11*Volume_Inject!$O$38/12000000</f>
        <v>69.180850878749993</v>
      </c>
      <c r="W39" s="637">
        <f>IF(ISTEXT($C$7),MAX(Vaccine_Selection!$V$17:$V$36)+MAX(Vaccine_Selection!$W$17:$W$36),$C$7)*W$11*Volume_Inject!$O$38/12000000</f>
        <v>72.597189193749998</v>
      </c>
      <c r="X39" s="637">
        <f>IF(ISTEXT($C$7),MAX(Vaccine_Selection!$V$17:$V$36)+MAX(Vaccine_Selection!$W$17:$W$36),$C$7)*X$11*Volume_Inject!$O$38/12000000</f>
        <v>76.013527508749988</v>
      </c>
      <c r="Y39" s="637">
        <f>IF(ISTEXT($C$7),MAX(Vaccine_Selection!$V$17:$V$36)+MAX(Vaccine_Selection!$W$17:$W$36),$C$7)*Y$11*Volume_Inject!$O$38/12000000</f>
        <v>79.429865823749992</v>
      </c>
      <c r="Z39" s="637">
        <f>IF(ISTEXT($C$7),MAX(Vaccine_Selection!$V$17:$V$36)+MAX(Vaccine_Selection!$W$17:$W$36),$C$7)*Z$11*Volume_Inject!$O$38/12000000</f>
        <v>82.846204138749997</v>
      </c>
      <c r="AA39" s="637">
        <f>IF(ISTEXT($C$7),MAX(Vaccine_Selection!$V$17:$V$36)+MAX(Vaccine_Selection!$W$17:$W$36),$C$7)*AA$11*Volume_Inject!$O$38/12000000</f>
        <v>86.262542453750001</v>
      </c>
      <c r="AB39" s="637">
        <f>IF(ISTEXT($C$7),MAX(Vaccine_Selection!$V$17:$V$36)+MAX(Vaccine_Selection!$W$17:$W$36),$C$7)*AB$11*Volume_Inject!$O$38/12000000</f>
        <v>89.678880768749991</v>
      </c>
    </row>
    <row r="40" spans="2:28" outlineLevel="1">
      <c r="B40" s="636" t="str">
        <f>B16</f>
        <v/>
      </c>
      <c r="C40" s="675">
        <f>IF(ISTEXT($C$7),MAX(Vaccine_Selection!$V$17:$V$36)+MAX(Vaccine_Selection!$W$17:$W$36),$C$7)*C$11*Volume_Inject!$P$38/12000000</f>
        <v>0</v>
      </c>
      <c r="D40" s="637">
        <f>IF(ISTEXT($C$7),MAX(Vaccine_Selection!$V$17:$V$36)+MAX(Vaccine_Selection!$W$17:$W$36),$C$7)*D$11*Volume_Inject!$P$38/12000000</f>
        <v>0</v>
      </c>
      <c r="E40" s="637">
        <f>IF(ISTEXT($C$7),MAX(Vaccine_Selection!$V$17:$V$36)+MAX(Vaccine_Selection!$W$17:$W$36),$C$7)*E$11*Volume_Inject!$P$38/12000000</f>
        <v>0</v>
      </c>
      <c r="F40" s="637">
        <f>IF(ISTEXT($C$7),MAX(Vaccine_Selection!$V$17:$V$36)+MAX(Vaccine_Selection!$W$17:$W$36),$C$7)*F$11*Volume_Inject!$P$38/12000000</f>
        <v>0</v>
      </c>
      <c r="G40" s="637">
        <f>IF(ISTEXT($C$7),MAX(Vaccine_Selection!$V$17:$V$36)+MAX(Vaccine_Selection!$W$17:$W$36),$C$7)*G$11*Volume_Inject!$P$38/12000000</f>
        <v>0</v>
      </c>
      <c r="H40" s="637">
        <f>IF(ISTEXT($C$7),MAX(Vaccine_Selection!$V$17:$V$36)+MAX(Vaccine_Selection!$W$17:$W$36),$C$7)*H$11*Volume_Inject!$P$38/12000000</f>
        <v>0</v>
      </c>
      <c r="I40" s="637">
        <f>IF(ISTEXT($C$7),MAX(Vaccine_Selection!$V$17:$V$36)+MAX(Vaccine_Selection!$W$17:$W$36),$C$7)*I$11*Volume_Inject!$P$38/12000000</f>
        <v>0</v>
      </c>
      <c r="J40" s="637">
        <f>IF(ISTEXT($C$7),MAX(Vaccine_Selection!$V$17:$V$36)+MAX(Vaccine_Selection!$W$17:$W$36),$C$7)*J$11*Volume_Inject!$P$38/12000000</f>
        <v>0</v>
      </c>
      <c r="K40" s="637">
        <f>IF(ISTEXT($C$7),MAX(Vaccine_Selection!$V$17:$V$36)+MAX(Vaccine_Selection!$W$17:$W$36),$C$7)*K$11*Volume_Inject!$P$38/12000000</f>
        <v>0</v>
      </c>
      <c r="L40" s="637">
        <f>IF(ISTEXT($C$7),MAX(Vaccine_Selection!$V$17:$V$36)+MAX(Vaccine_Selection!$W$17:$W$36),$C$7)*L$11*Volume_Inject!$P$38/12000000</f>
        <v>0</v>
      </c>
      <c r="M40" s="637">
        <f>IF(ISTEXT($C$7),MAX(Vaccine_Selection!$V$17:$V$36)+MAX(Vaccine_Selection!$W$17:$W$36),$C$7)*M$11*Volume_Inject!$P$38/12000000</f>
        <v>0</v>
      </c>
      <c r="N40" s="637">
        <f>IF(ISTEXT($C$7),MAX(Vaccine_Selection!$V$17:$V$36)+MAX(Vaccine_Selection!$W$17:$W$36),$C$7)*N$11*Volume_Inject!$P$38/12000000</f>
        <v>0</v>
      </c>
      <c r="O40" s="637">
        <f>IF(ISTEXT($C$7),MAX(Vaccine_Selection!$V$17:$V$36)+MAX(Vaccine_Selection!$W$17:$W$36),$C$7)*O$11*Volume_Inject!$P$38/12000000</f>
        <v>0</v>
      </c>
      <c r="P40" s="637">
        <f>IF(ISTEXT($C$7),MAX(Vaccine_Selection!$V$17:$V$36)+MAX(Vaccine_Selection!$W$17:$W$36),$C$7)*P$11*Volume_Inject!$P$38/12000000</f>
        <v>0</v>
      </c>
      <c r="Q40" s="637">
        <f>IF(ISTEXT($C$7),MAX(Vaccine_Selection!$V$17:$V$36)+MAX(Vaccine_Selection!$W$17:$W$36),$C$7)*Q$11*Volume_Inject!$P$38/12000000</f>
        <v>0</v>
      </c>
      <c r="R40" s="637">
        <f>IF(ISTEXT($C$7),MAX(Vaccine_Selection!$V$17:$V$36)+MAX(Vaccine_Selection!$W$17:$W$36),$C$7)*R$11*Volume_Inject!$P$38/12000000</f>
        <v>0</v>
      </c>
      <c r="S40" s="637">
        <f>IF(ISTEXT($C$7),MAX(Vaccine_Selection!$V$17:$V$36)+MAX(Vaccine_Selection!$W$17:$W$36),$C$7)*S$11*Volume_Inject!$P$38/12000000</f>
        <v>0</v>
      </c>
      <c r="T40" s="637">
        <f>IF(ISTEXT($C$7),MAX(Vaccine_Selection!$V$17:$V$36)+MAX(Vaccine_Selection!$W$17:$W$36),$C$7)*T$11*Volume_Inject!$P$38/12000000</f>
        <v>0</v>
      </c>
      <c r="U40" s="637">
        <f>IF(ISTEXT($C$7),MAX(Vaccine_Selection!$V$17:$V$36)+MAX(Vaccine_Selection!$W$17:$W$36),$C$7)*U$11*Volume_Inject!$P$38/12000000</f>
        <v>0</v>
      </c>
      <c r="V40" s="637">
        <f>IF(ISTEXT($C$7),MAX(Vaccine_Selection!$V$17:$V$36)+MAX(Vaccine_Selection!$W$17:$W$36),$C$7)*V$11*Volume_Inject!$P$38/12000000</f>
        <v>0</v>
      </c>
      <c r="W40" s="637">
        <f>IF(ISTEXT($C$7),MAX(Vaccine_Selection!$V$17:$V$36)+MAX(Vaccine_Selection!$W$17:$W$36),$C$7)*W$11*Volume_Inject!$P$38/12000000</f>
        <v>0</v>
      </c>
      <c r="X40" s="637">
        <f>IF(ISTEXT($C$7),MAX(Vaccine_Selection!$V$17:$V$36)+MAX(Vaccine_Selection!$W$17:$W$36),$C$7)*X$11*Volume_Inject!$P$38/12000000</f>
        <v>0</v>
      </c>
      <c r="Y40" s="637">
        <f>IF(ISTEXT($C$7),MAX(Vaccine_Selection!$V$17:$V$36)+MAX(Vaccine_Selection!$W$17:$W$36),$C$7)*Y$11*Volume_Inject!$P$38/12000000</f>
        <v>0</v>
      </c>
      <c r="Z40" s="637">
        <f>IF(ISTEXT($C$7),MAX(Vaccine_Selection!$V$17:$V$36)+MAX(Vaccine_Selection!$W$17:$W$36),$C$7)*Z$11*Volume_Inject!$P$38/12000000</f>
        <v>0</v>
      </c>
      <c r="AA40" s="637">
        <f>IF(ISTEXT($C$7),MAX(Vaccine_Selection!$V$17:$V$36)+MAX(Vaccine_Selection!$W$17:$W$36),$C$7)*AA$11*Volume_Inject!$P$38/12000000</f>
        <v>0</v>
      </c>
      <c r="AB40" s="637">
        <f>IF(ISTEXT($C$7),MAX(Vaccine_Selection!$V$17:$V$36)+MAX(Vaccine_Selection!$W$17:$W$36),$C$7)*AB$11*Volume_Inject!$P$38/12000000</f>
        <v>0</v>
      </c>
    </row>
    <row r="41" spans="2:28" outlineLevel="1">
      <c r="B41" s="638" t="str">
        <f>B17</f>
        <v/>
      </c>
      <c r="C41" s="677">
        <f>IF(ISTEXT($C$7),MAX(Vaccine_Selection!$V$17:$V$36)+MAX(Vaccine_Selection!$W$17:$W$36),$C$7)*C$11*Volume_Inject!$Q$38/12000000</f>
        <v>0</v>
      </c>
      <c r="D41" s="639">
        <f>IF(ISTEXT($C$7),MAX(Vaccine_Selection!$V$17:$V$36)+MAX(Vaccine_Selection!$W$17:$W$36),$C$7)*D$11*Volume_Inject!$Q$38/12000000</f>
        <v>0</v>
      </c>
      <c r="E41" s="639">
        <f>IF(ISTEXT($C$7),MAX(Vaccine_Selection!$V$17:$V$36)+MAX(Vaccine_Selection!$W$17:$W$36),$C$7)*E$11*Volume_Inject!$Q$38/12000000</f>
        <v>0</v>
      </c>
      <c r="F41" s="639">
        <f>IF(ISTEXT($C$7),MAX(Vaccine_Selection!$V$17:$V$36)+MAX(Vaccine_Selection!$W$17:$W$36),$C$7)*F$11*Volume_Inject!$Q$38/12000000</f>
        <v>0</v>
      </c>
      <c r="G41" s="639">
        <f>IF(ISTEXT($C$7),MAX(Vaccine_Selection!$V$17:$V$36)+MAX(Vaccine_Selection!$W$17:$W$36),$C$7)*G$11*Volume_Inject!$Q$38/12000000</f>
        <v>0</v>
      </c>
      <c r="H41" s="639">
        <f>IF(ISTEXT($C$7),MAX(Vaccine_Selection!$V$17:$V$36)+MAX(Vaccine_Selection!$W$17:$W$36),$C$7)*H$11*Volume_Inject!$Q$38/12000000</f>
        <v>0</v>
      </c>
      <c r="I41" s="639">
        <f>IF(ISTEXT($C$7),MAX(Vaccine_Selection!$V$17:$V$36)+MAX(Vaccine_Selection!$W$17:$W$36),$C$7)*I$11*Volume_Inject!$Q$38/12000000</f>
        <v>0</v>
      </c>
      <c r="J41" s="639">
        <f>IF(ISTEXT($C$7),MAX(Vaccine_Selection!$V$17:$V$36)+MAX(Vaccine_Selection!$W$17:$W$36),$C$7)*J$11*Volume_Inject!$Q$38/12000000</f>
        <v>0</v>
      </c>
      <c r="K41" s="639">
        <f>IF(ISTEXT($C$7),MAX(Vaccine_Selection!$V$17:$V$36)+MAX(Vaccine_Selection!$W$17:$W$36),$C$7)*K$11*Volume_Inject!$Q$38/12000000</f>
        <v>0</v>
      </c>
      <c r="L41" s="639">
        <f>IF(ISTEXT($C$7),MAX(Vaccine_Selection!$V$17:$V$36)+MAX(Vaccine_Selection!$W$17:$W$36),$C$7)*L$11*Volume_Inject!$Q$38/12000000</f>
        <v>0</v>
      </c>
      <c r="M41" s="639">
        <f>IF(ISTEXT($C$7),MAX(Vaccine_Selection!$V$17:$V$36)+MAX(Vaccine_Selection!$W$17:$W$36),$C$7)*M$11*Volume_Inject!$Q$38/12000000</f>
        <v>0</v>
      </c>
      <c r="N41" s="639">
        <f>IF(ISTEXT($C$7),MAX(Vaccine_Selection!$V$17:$V$36)+MAX(Vaccine_Selection!$W$17:$W$36),$C$7)*N$11*Volume_Inject!$Q$38/12000000</f>
        <v>0</v>
      </c>
      <c r="O41" s="639">
        <f>IF(ISTEXT($C$7),MAX(Vaccine_Selection!$V$17:$V$36)+MAX(Vaccine_Selection!$W$17:$W$36),$C$7)*O$11*Volume_Inject!$Q$38/12000000</f>
        <v>0</v>
      </c>
      <c r="P41" s="639">
        <f>IF(ISTEXT($C$7),MAX(Vaccine_Selection!$V$17:$V$36)+MAX(Vaccine_Selection!$W$17:$W$36),$C$7)*P$11*Volume_Inject!$Q$38/12000000</f>
        <v>0</v>
      </c>
      <c r="Q41" s="639">
        <f>IF(ISTEXT($C$7),MAX(Vaccine_Selection!$V$17:$V$36)+MAX(Vaccine_Selection!$W$17:$W$36),$C$7)*Q$11*Volume_Inject!$Q$38/12000000</f>
        <v>0</v>
      </c>
      <c r="R41" s="639">
        <f>IF(ISTEXT($C$7),MAX(Vaccine_Selection!$V$17:$V$36)+MAX(Vaccine_Selection!$W$17:$W$36),$C$7)*R$11*Volume_Inject!$Q$38/12000000</f>
        <v>0</v>
      </c>
      <c r="S41" s="639">
        <f>IF(ISTEXT($C$7),MAX(Vaccine_Selection!$V$17:$V$36)+MAX(Vaccine_Selection!$W$17:$W$36),$C$7)*S$11*Volume_Inject!$Q$38/12000000</f>
        <v>0</v>
      </c>
      <c r="T41" s="639">
        <f>IF(ISTEXT($C$7),MAX(Vaccine_Selection!$V$17:$V$36)+MAX(Vaccine_Selection!$W$17:$W$36),$C$7)*T$11*Volume_Inject!$Q$38/12000000</f>
        <v>0</v>
      </c>
      <c r="U41" s="639">
        <f>IF(ISTEXT($C$7),MAX(Vaccine_Selection!$V$17:$V$36)+MAX(Vaccine_Selection!$W$17:$W$36),$C$7)*U$11*Volume_Inject!$Q$38/12000000</f>
        <v>0</v>
      </c>
      <c r="V41" s="639">
        <f>IF(ISTEXT($C$7),MAX(Vaccine_Selection!$V$17:$V$36)+MAX(Vaccine_Selection!$W$17:$W$36),$C$7)*V$11*Volume_Inject!$Q$38/12000000</f>
        <v>0</v>
      </c>
      <c r="W41" s="639">
        <f>IF(ISTEXT($C$7),MAX(Vaccine_Selection!$V$17:$V$36)+MAX(Vaccine_Selection!$W$17:$W$36),$C$7)*W$11*Volume_Inject!$Q$38/12000000</f>
        <v>0</v>
      </c>
      <c r="X41" s="639">
        <f>IF(ISTEXT($C$7),MAX(Vaccine_Selection!$V$17:$V$36)+MAX(Vaccine_Selection!$W$17:$W$36),$C$7)*X$11*Volume_Inject!$Q$38/12000000</f>
        <v>0</v>
      </c>
      <c r="Y41" s="639">
        <f>IF(ISTEXT($C$7),MAX(Vaccine_Selection!$V$17:$V$36)+MAX(Vaccine_Selection!$W$17:$W$36),$C$7)*Y$11*Volume_Inject!$Q$38/12000000</f>
        <v>0</v>
      </c>
      <c r="Z41" s="639">
        <f>IF(ISTEXT($C$7),MAX(Vaccine_Selection!$V$17:$V$36)+MAX(Vaccine_Selection!$W$17:$W$36),$C$7)*Z$11*Volume_Inject!$Q$38/12000000</f>
        <v>0</v>
      </c>
      <c r="AA41" s="639">
        <f>IF(ISTEXT($C$7),MAX(Vaccine_Selection!$V$17:$V$36)+MAX(Vaccine_Selection!$W$17:$W$36),$C$7)*AA$11*Volume_Inject!$Q$38/12000000</f>
        <v>0</v>
      </c>
      <c r="AB41" s="639">
        <f>IF(ISTEXT($C$7),MAX(Vaccine_Selection!$V$17:$V$36)+MAX(Vaccine_Selection!$W$17:$W$36),$C$7)*AB$11*Volume_Inject!$Q$38/12000000</f>
        <v>0</v>
      </c>
    </row>
    <row r="42" spans="2:28" ht="13.2" outlineLevel="1">
      <c r="B42" s="650" t="str">
        <f>Translation!C44</f>
        <v>Estimate of net dry storage per MaxiStock (m³)</v>
      </c>
      <c r="C42" s="652"/>
      <c r="D42" s="652"/>
      <c r="E42" s="656" t="str">
        <f>Translation!C45</f>
        <v>Select schedule</v>
      </c>
      <c r="F42" s="807" t="s">
        <v>1854</v>
      </c>
      <c r="G42" s="819"/>
      <c r="H42" s="652"/>
      <c r="I42" s="652"/>
      <c r="J42" s="652"/>
      <c r="K42" s="652"/>
      <c r="L42" s="652"/>
      <c r="M42" s="652"/>
      <c r="N42" s="652"/>
      <c r="O42" s="652"/>
      <c r="P42" s="652"/>
      <c r="Q42" s="652"/>
      <c r="R42" s="652"/>
      <c r="S42" s="652"/>
      <c r="T42" s="652"/>
      <c r="U42" s="652"/>
      <c r="V42" s="652"/>
      <c r="W42" s="652"/>
      <c r="X42" s="652"/>
      <c r="Y42" s="652"/>
      <c r="Z42" s="652"/>
      <c r="AA42" s="652"/>
      <c r="AB42" s="652"/>
    </row>
    <row r="43" spans="2:28" outlineLevel="1">
      <c r="B43" s="645" t="str">
        <f>CONCATENATE($F$42," @ ",$H4,$E$7," ",$B$7)</f>
        <v>Current schedule @ 6 months MaxiStock</v>
      </c>
      <c r="C43" s="634">
        <f>C$11*SUMIF(Volume_Inject!$M$12:$Q$12,$F$42,Volume_Inject!$M$38:$Q$38)*$H4/12000000</f>
        <v>2.8592144124999996</v>
      </c>
      <c r="D43" s="634">
        <f>D$11*SUMIF(Volume_Inject!$M$12:$Q$12,$F$42,Volume_Inject!$M$38:$Q$38)*$H4/12000000</f>
        <v>5.1465859424999989</v>
      </c>
      <c r="E43" s="634">
        <f>E$11*SUMIF(Volume_Inject!$M$12:$Q$12,$F$42,Volume_Inject!$M$38:$Q$38)*$H4/12000000</f>
        <v>7.4339574724999986</v>
      </c>
      <c r="F43" s="634">
        <f>F$11*SUMIF(Volume_Inject!$M$12:$Q$12,$F$42,Volume_Inject!$M$38:$Q$38)*$H4/12000000</f>
        <v>9.721329002500001</v>
      </c>
      <c r="G43" s="634">
        <f>G$11*SUMIF(Volume_Inject!$M$12:$Q$12,$F$42,Volume_Inject!$M$38:$Q$38)*$H4/12000000</f>
        <v>12.008700532499999</v>
      </c>
      <c r="H43" s="634">
        <f>H$11*SUMIF(Volume_Inject!$M$12:$Q$12,$F$42,Volume_Inject!$M$38:$Q$38)*$H4/12000000</f>
        <v>14.296072062499997</v>
      </c>
      <c r="I43" s="634">
        <f>I$11*SUMIF(Volume_Inject!$M$12:$Q$12,$F$42,Volume_Inject!$M$38:$Q$38)*$H4/12000000</f>
        <v>16.583443592499997</v>
      </c>
      <c r="J43" s="634">
        <f>J$11*SUMIF(Volume_Inject!$M$12:$Q$12,$F$42,Volume_Inject!$M$38:$Q$38)*$H4/12000000</f>
        <v>18.870815122499998</v>
      </c>
      <c r="K43" s="634">
        <f>K$11*SUMIF(Volume_Inject!$M$12:$Q$12,$F$42,Volume_Inject!$M$38:$Q$38)*$H4/12000000</f>
        <v>21.158186652499996</v>
      </c>
      <c r="L43" s="634">
        <f>L$11*SUMIF(Volume_Inject!$M$12:$Q$12,$F$42,Volume_Inject!$M$38:$Q$38)*$H4/12000000</f>
        <v>23.445558182499994</v>
      </c>
      <c r="M43" s="634">
        <f>M$11*SUMIF(Volume_Inject!$M$12:$Q$12,$F$42,Volume_Inject!$M$38:$Q$38)*$H4/12000000</f>
        <v>25.732929712499995</v>
      </c>
      <c r="N43" s="634">
        <f>N$11*SUMIF(Volume_Inject!$M$12:$Q$12,$F$42,Volume_Inject!$M$38:$Q$38)*$H4/12000000</f>
        <v>28.020301242499997</v>
      </c>
      <c r="O43" s="634">
        <f>O$11*SUMIF(Volume_Inject!$M$12:$Q$12,$F$42,Volume_Inject!$M$38:$Q$38)*$H4/12000000</f>
        <v>30.307672772499998</v>
      </c>
      <c r="P43" s="634">
        <f>P$11*SUMIF(Volume_Inject!$M$12:$Q$12,$F$42,Volume_Inject!$M$38:$Q$38)*$H4/12000000</f>
        <v>32.595044302499993</v>
      </c>
      <c r="Q43" s="634">
        <f>Q$11*SUMIF(Volume_Inject!$M$12:$Q$12,$F$42,Volume_Inject!$M$38:$Q$38)*$H4/12000000</f>
        <v>34.882415832499994</v>
      </c>
      <c r="R43" s="634">
        <f>R$11*SUMIF(Volume_Inject!$M$12:$Q$12,$F$42,Volume_Inject!$M$38:$Q$38)*$H4/12000000</f>
        <v>37.169787362499996</v>
      </c>
      <c r="S43" s="634">
        <f>S$11*SUMIF(Volume_Inject!$M$12:$Q$12,$F$42,Volume_Inject!$M$38:$Q$38)*$H4/12000000</f>
        <v>39.457158892499997</v>
      </c>
      <c r="T43" s="634">
        <f>T$11*SUMIF(Volume_Inject!$M$12:$Q$12,$F$42,Volume_Inject!$M$38:$Q$38)*$H4/12000000</f>
        <v>41.744530422499992</v>
      </c>
      <c r="U43" s="634">
        <f>U$11*SUMIF(Volume_Inject!$M$12:$Q$12,$F$42,Volume_Inject!$M$38:$Q$38)*$H4/12000000</f>
        <v>44.031901952499993</v>
      </c>
      <c r="V43" s="634">
        <f>V$11*SUMIF(Volume_Inject!$M$12:$Q$12,$F$42,Volume_Inject!$M$38:$Q$38)*$H4/12000000</f>
        <v>46.319273482499995</v>
      </c>
      <c r="W43" s="634">
        <f>W$11*SUMIF(Volume_Inject!$M$12:$Q$12,$F$42,Volume_Inject!$M$38:$Q$38)*$H4/12000000</f>
        <v>48.606645012499996</v>
      </c>
      <c r="X43" s="634">
        <f>X$11*SUMIF(Volume_Inject!$M$12:$Q$12,$F$42,Volume_Inject!$M$38:$Q$38)*$H4/12000000</f>
        <v>50.894016542499998</v>
      </c>
      <c r="Y43" s="634">
        <f>Y$11*SUMIF(Volume_Inject!$M$12:$Q$12,$F$42,Volume_Inject!$M$38:$Q$38)*$H4/12000000</f>
        <v>53.181388072499992</v>
      </c>
      <c r="Z43" s="634">
        <f>Z$11*SUMIF(Volume_Inject!$M$12:$Q$12,$F$42,Volume_Inject!$M$38:$Q$38)*$H4/12000000</f>
        <v>55.468759602499993</v>
      </c>
      <c r="AA43" s="634">
        <f>AA$11*SUMIF(Volume_Inject!$M$12:$Q$12,$F$42,Volume_Inject!$M$38:$Q$38)*$H4/12000000</f>
        <v>57.756131132499995</v>
      </c>
      <c r="AB43" s="634">
        <f>AB$11*SUMIF(Volume_Inject!$M$12:$Q$12,$F$42,Volume_Inject!$M$38:$Q$38)*$H4/12000000</f>
        <v>60.043502662499996</v>
      </c>
    </row>
    <row r="44" spans="2:28" outlineLevel="1">
      <c r="B44" s="636" t="str">
        <f>CONCATENATE($F$42," @ ",$H5,$E$7," ",$B$7)</f>
        <v>Current schedule @ 9 months MaxiStock</v>
      </c>
      <c r="C44" s="637">
        <f>C$11*SUMIF(Volume_Inject!$M$12:$Q$12,$F$42,Volume_Inject!$M$38:$Q$38)*$H5/12000000</f>
        <v>4.2888216187500001</v>
      </c>
      <c r="D44" s="637">
        <f>D$11*SUMIF(Volume_Inject!$M$12:$Q$12,$F$42,Volume_Inject!$M$38:$Q$38)*$H5/12000000</f>
        <v>7.7198789137499979</v>
      </c>
      <c r="E44" s="637">
        <f>E$11*SUMIF(Volume_Inject!$M$12:$Q$12,$F$42,Volume_Inject!$M$38:$Q$38)*$H5/12000000</f>
        <v>11.150936208749998</v>
      </c>
      <c r="F44" s="637">
        <f>F$11*SUMIF(Volume_Inject!$M$12:$Q$12,$F$42,Volume_Inject!$M$38:$Q$38)*$H5/12000000</f>
        <v>14.581993503749999</v>
      </c>
      <c r="G44" s="637">
        <f>G$11*SUMIF(Volume_Inject!$M$12:$Q$12,$F$42,Volume_Inject!$M$38:$Q$38)*$H5/12000000</f>
        <v>18.013050798749997</v>
      </c>
      <c r="H44" s="637">
        <f>H$11*SUMIF(Volume_Inject!$M$12:$Q$12,$F$42,Volume_Inject!$M$38:$Q$38)*$H5/12000000</f>
        <v>21.444108093749996</v>
      </c>
      <c r="I44" s="637">
        <f>I$11*SUMIF(Volume_Inject!$M$12:$Q$12,$F$42,Volume_Inject!$M$38:$Q$38)*$H5/12000000</f>
        <v>24.875165388749998</v>
      </c>
      <c r="J44" s="637">
        <f>J$11*SUMIF(Volume_Inject!$M$12:$Q$12,$F$42,Volume_Inject!$M$38:$Q$38)*$H5/12000000</f>
        <v>28.306222683749997</v>
      </c>
      <c r="K44" s="637">
        <f>K$11*SUMIF(Volume_Inject!$M$12:$Q$12,$F$42,Volume_Inject!$M$38:$Q$38)*$H5/12000000</f>
        <v>31.737279978749996</v>
      </c>
      <c r="L44" s="637">
        <f>L$11*SUMIF(Volume_Inject!$M$12:$Q$12,$F$42,Volume_Inject!$M$38:$Q$38)*$H5/12000000</f>
        <v>35.168337273749998</v>
      </c>
      <c r="M44" s="637">
        <f>M$11*SUMIF(Volume_Inject!$M$12:$Q$12,$F$42,Volume_Inject!$M$38:$Q$38)*$H5/12000000</f>
        <v>38.59939456875</v>
      </c>
      <c r="N44" s="637">
        <f>N$11*SUMIF(Volume_Inject!$M$12:$Q$12,$F$42,Volume_Inject!$M$38:$Q$38)*$H5/12000000</f>
        <v>42.030451863749995</v>
      </c>
      <c r="O44" s="637">
        <f>O$11*SUMIF(Volume_Inject!$M$12:$Q$12,$F$42,Volume_Inject!$M$38:$Q$38)*$H5/12000000</f>
        <v>45.461509158749998</v>
      </c>
      <c r="P44" s="637">
        <f>P$11*SUMIF(Volume_Inject!$M$12:$Q$12,$F$42,Volume_Inject!$M$38:$Q$38)*$H5/12000000</f>
        <v>48.892566453749993</v>
      </c>
      <c r="Q44" s="637">
        <f>Q$11*SUMIF(Volume_Inject!$M$12:$Q$12,$F$42,Volume_Inject!$M$38:$Q$38)*$H5/12000000</f>
        <v>52.323623748749988</v>
      </c>
      <c r="R44" s="637">
        <f>R$11*SUMIF(Volume_Inject!$M$12:$Q$12,$F$42,Volume_Inject!$M$38:$Q$38)*$H5/12000000</f>
        <v>55.754681043749997</v>
      </c>
      <c r="S44" s="637">
        <f>S$11*SUMIF(Volume_Inject!$M$12:$Q$12,$F$42,Volume_Inject!$M$38:$Q$38)*$H5/12000000</f>
        <v>59.185738338749992</v>
      </c>
      <c r="T44" s="637">
        <f>T$11*SUMIF(Volume_Inject!$M$12:$Q$12,$F$42,Volume_Inject!$M$38:$Q$38)*$H5/12000000</f>
        <v>62.616795633749994</v>
      </c>
      <c r="U44" s="637">
        <f>U$11*SUMIF(Volume_Inject!$M$12:$Q$12,$F$42,Volume_Inject!$M$38:$Q$38)*$H5/12000000</f>
        <v>66.04785292874999</v>
      </c>
      <c r="V44" s="637">
        <f>V$11*SUMIF(Volume_Inject!$M$12:$Q$12,$F$42,Volume_Inject!$M$38:$Q$38)*$H5/12000000</f>
        <v>69.478910223749992</v>
      </c>
      <c r="W44" s="637">
        <f>W$11*SUMIF(Volume_Inject!$M$12:$Q$12,$F$42,Volume_Inject!$M$38:$Q$38)*$H5/12000000</f>
        <v>72.909967518749994</v>
      </c>
      <c r="X44" s="637">
        <f>X$11*SUMIF(Volume_Inject!$M$12:$Q$12,$F$42,Volume_Inject!$M$38:$Q$38)*$H5/12000000</f>
        <v>76.341024813749996</v>
      </c>
      <c r="Y44" s="637">
        <f>Y$11*SUMIF(Volume_Inject!$M$12:$Q$12,$F$42,Volume_Inject!$M$38:$Q$38)*$H5/12000000</f>
        <v>79.772082108749984</v>
      </c>
      <c r="Z44" s="637">
        <f>Z$11*SUMIF(Volume_Inject!$M$12:$Q$12,$F$42,Volume_Inject!$M$38:$Q$38)*$H5/12000000</f>
        <v>83.203139403749987</v>
      </c>
      <c r="AA44" s="637">
        <f>AA$11*SUMIF(Volume_Inject!$M$12:$Q$12,$F$42,Volume_Inject!$M$38:$Q$38)*$H5/12000000</f>
        <v>86.634196698749989</v>
      </c>
      <c r="AB44" s="637">
        <f>AB$11*SUMIF(Volume_Inject!$M$12:$Q$12,$F$42,Volume_Inject!$M$38:$Q$38)*$H5/12000000</f>
        <v>90.065253993749991</v>
      </c>
    </row>
    <row r="45" spans="2:28" outlineLevel="1">
      <c r="B45" s="636" t="str">
        <f>CONCATENATE($F$42," @ ",$H6,$E$7," ",$B$7)</f>
        <v>Current schedule @ 12 months MaxiStock</v>
      </c>
      <c r="C45" s="637">
        <f>C$11*SUMIF(Volume_Inject!$M$12:$Q$12,$F$42,Volume_Inject!$M$38:$Q$38)*$H6/12000000</f>
        <v>5.7184288249999993</v>
      </c>
      <c r="D45" s="637">
        <f>D$11*SUMIF(Volume_Inject!$M$12:$Q$12,$F$42,Volume_Inject!$M$38:$Q$38)*$H6/12000000</f>
        <v>10.293171884999998</v>
      </c>
      <c r="E45" s="637">
        <f>E$11*SUMIF(Volume_Inject!$M$12:$Q$12,$F$42,Volume_Inject!$M$38:$Q$38)*$H6/12000000</f>
        <v>14.867914944999997</v>
      </c>
      <c r="F45" s="637">
        <f>F$11*SUMIF(Volume_Inject!$M$12:$Q$12,$F$42,Volume_Inject!$M$38:$Q$38)*$H6/12000000</f>
        <v>19.442658005000002</v>
      </c>
      <c r="G45" s="637">
        <f>G$11*SUMIF(Volume_Inject!$M$12:$Q$12,$F$42,Volume_Inject!$M$38:$Q$38)*$H6/12000000</f>
        <v>24.017401064999998</v>
      </c>
      <c r="H45" s="637">
        <f>H$11*SUMIF(Volume_Inject!$M$12:$Q$12,$F$42,Volume_Inject!$M$38:$Q$38)*$H6/12000000</f>
        <v>28.592144124999994</v>
      </c>
      <c r="I45" s="637">
        <f>I$11*SUMIF(Volume_Inject!$M$12:$Q$12,$F$42,Volume_Inject!$M$38:$Q$38)*$H6/12000000</f>
        <v>33.166887184999993</v>
      </c>
      <c r="J45" s="637">
        <f>J$11*SUMIF(Volume_Inject!$M$12:$Q$12,$F$42,Volume_Inject!$M$38:$Q$38)*$H6/12000000</f>
        <v>37.741630244999996</v>
      </c>
      <c r="K45" s="637">
        <f>K$11*SUMIF(Volume_Inject!$M$12:$Q$12,$F$42,Volume_Inject!$M$38:$Q$38)*$H6/12000000</f>
        <v>42.316373304999992</v>
      </c>
      <c r="L45" s="637">
        <f>L$11*SUMIF(Volume_Inject!$M$12:$Q$12,$F$42,Volume_Inject!$M$38:$Q$38)*$H6/12000000</f>
        <v>46.891116364999988</v>
      </c>
      <c r="M45" s="637">
        <f>M$11*SUMIF(Volume_Inject!$M$12:$Q$12,$F$42,Volume_Inject!$M$38:$Q$38)*$H6/12000000</f>
        <v>51.465859424999991</v>
      </c>
      <c r="N45" s="637">
        <f>N$11*SUMIF(Volume_Inject!$M$12:$Q$12,$F$42,Volume_Inject!$M$38:$Q$38)*$H6/12000000</f>
        <v>56.040602484999994</v>
      </c>
      <c r="O45" s="637">
        <f>O$11*SUMIF(Volume_Inject!$M$12:$Q$12,$F$42,Volume_Inject!$M$38:$Q$38)*$H6/12000000</f>
        <v>60.615345544999997</v>
      </c>
      <c r="P45" s="637">
        <f>P$11*SUMIF(Volume_Inject!$M$12:$Q$12,$F$42,Volume_Inject!$M$38:$Q$38)*$H6/12000000</f>
        <v>65.190088604999985</v>
      </c>
      <c r="Q45" s="637">
        <f>Q$11*SUMIF(Volume_Inject!$M$12:$Q$12,$F$42,Volume_Inject!$M$38:$Q$38)*$H6/12000000</f>
        <v>69.764831664999988</v>
      </c>
      <c r="R45" s="637">
        <f>R$11*SUMIF(Volume_Inject!$M$12:$Q$12,$F$42,Volume_Inject!$M$38:$Q$38)*$H6/12000000</f>
        <v>74.339574724999991</v>
      </c>
      <c r="S45" s="637">
        <f>S$11*SUMIF(Volume_Inject!$M$12:$Q$12,$F$42,Volume_Inject!$M$38:$Q$38)*$H6/12000000</f>
        <v>78.914317784999994</v>
      </c>
      <c r="T45" s="637">
        <f>T$11*SUMIF(Volume_Inject!$M$12:$Q$12,$F$42,Volume_Inject!$M$38:$Q$38)*$H6/12000000</f>
        <v>83.489060844999983</v>
      </c>
      <c r="U45" s="637">
        <f>U$11*SUMIF(Volume_Inject!$M$12:$Q$12,$F$42,Volume_Inject!$M$38:$Q$38)*$H6/12000000</f>
        <v>88.063803904999986</v>
      </c>
      <c r="V45" s="637">
        <f>V$11*SUMIF(Volume_Inject!$M$12:$Q$12,$F$42,Volume_Inject!$M$38:$Q$38)*$H6/12000000</f>
        <v>92.638546964999989</v>
      </c>
      <c r="W45" s="637">
        <f>W$11*SUMIF(Volume_Inject!$M$12:$Q$12,$F$42,Volume_Inject!$M$38:$Q$38)*$H6/12000000</f>
        <v>97.213290024999992</v>
      </c>
      <c r="X45" s="637">
        <f>X$11*SUMIF(Volume_Inject!$M$12:$Q$12,$F$42,Volume_Inject!$M$38:$Q$38)*$H6/12000000</f>
        <v>101.788033085</v>
      </c>
      <c r="Y45" s="637">
        <f>Y$11*SUMIF(Volume_Inject!$M$12:$Q$12,$F$42,Volume_Inject!$M$38:$Q$38)*$H6/12000000</f>
        <v>106.36277614499998</v>
      </c>
      <c r="Z45" s="637">
        <f>Z$11*SUMIF(Volume_Inject!$M$12:$Q$12,$F$42,Volume_Inject!$M$38:$Q$38)*$H6/12000000</f>
        <v>110.93751920499999</v>
      </c>
      <c r="AA45" s="637">
        <f>AA$11*SUMIF(Volume_Inject!$M$12:$Q$12,$F$42,Volume_Inject!$M$38:$Q$38)*$H6/12000000</f>
        <v>115.51226226499999</v>
      </c>
      <c r="AB45" s="637">
        <f>AB$11*SUMIF(Volume_Inject!$M$12:$Q$12,$F$42,Volume_Inject!$M$38:$Q$38)*$H6/12000000</f>
        <v>120.08700532499999</v>
      </c>
    </row>
    <row r="46" spans="2:28" outlineLevel="1">
      <c r="B46" s="638" t="str">
        <f>CONCATENATE($F$42," @ ",$H7,$E$7," ",$B$7)</f>
        <v>Current schedule @  months MaxiStock</v>
      </c>
      <c r="C46" s="639">
        <f>C$11*SUMIF(Volume_Inject!$M$12:$Q$12,$F$42,Volume_Inject!$M$38:$Q$38)*$H7/12000000</f>
        <v>0</v>
      </c>
      <c r="D46" s="639">
        <f>D$11*SUMIF(Volume_Inject!$M$12:$Q$12,$F$42,Volume_Inject!$M$38:$Q$38)*$H7/12000000</f>
        <v>0</v>
      </c>
      <c r="E46" s="639">
        <f>E$11*SUMIF(Volume_Inject!$M$12:$Q$12,$F$42,Volume_Inject!$M$38:$Q$38)*$H7/12000000</f>
        <v>0</v>
      </c>
      <c r="F46" s="639">
        <f>F$11*SUMIF(Volume_Inject!$M$12:$Q$12,$F$42,Volume_Inject!$M$38:$Q$38)*$H7/12000000</f>
        <v>0</v>
      </c>
      <c r="G46" s="639">
        <f>G$11*SUMIF(Volume_Inject!$M$12:$Q$12,$F$42,Volume_Inject!$M$38:$Q$38)*$H7/12000000</f>
        <v>0</v>
      </c>
      <c r="H46" s="639">
        <f>H$11*SUMIF(Volume_Inject!$M$12:$Q$12,$F$42,Volume_Inject!$M$38:$Q$38)*$H7/12000000</f>
        <v>0</v>
      </c>
      <c r="I46" s="639">
        <f>I$11*SUMIF(Volume_Inject!$M$12:$Q$12,$F$42,Volume_Inject!$M$38:$Q$38)*$H7/12000000</f>
        <v>0</v>
      </c>
      <c r="J46" s="639">
        <f>J$11*SUMIF(Volume_Inject!$M$12:$Q$12,$F$42,Volume_Inject!$M$38:$Q$38)*$H7/12000000</f>
        <v>0</v>
      </c>
      <c r="K46" s="639">
        <f>K$11*SUMIF(Volume_Inject!$M$12:$Q$12,$F$42,Volume_Inject!$M$38:$Q$38)*$H7/12000000</f>
        <v>0</v>
      </c>
      <c r="L46" s="639">
        <f>L$11*SUMIF(Volume_Inject!$M$12:$Q$12,$F$42,Volume_Inject!$M$38:$Q$38)*$H7/12000000</f>
        <v>0</v>
      </c>
      <c r="M46" s="639">
        <f>M$11*SUMIF(Volume_Inject!$M$12:$Q$12,$F$42,Volume_Inject!$M$38:$Q$38)*$H7/12000000</f>
        <v>0</v>
      </c>
      <c r="N46" s="639">
        <f>N$11*SUMIF(Volume_Inject!$M$12:$Q$12,$F$42,Volume_Inject!$M$38:$Q$38)*$H7/12000000</f>
        <v>0</v>
      </c>
      <c r="O46" s="639">
        <f>O$11*SUMIF(Volume_Inject!$M$12:$Q$12,$F$42,Volume_Inject!$M$38:$Q$38)*$H7/12000000</f>
        <v>0</v>
      </c>
      <c r="P46" s="639">
        <f>P$11*SUMIF(Volume_Inject!$M$12:$Q$12,$F$42,Volume_Inject!$M$38:$Q$38)*$H7/12000000</f>
        <v>0</v>
      </c>
      <c r="Q46" s="639">
        <f>Q$11*SUMIF(Volume_Inject!$M$12:$Q$12,$F$42,Volume_Inject!$M$38:$Q$38)*$H7/12000000</f>
        <v>0</v>
      </c>
      <c r="R46" s="639">
        <f>R$11*SUMIF(Volume_Inject!$M$12:$Q$12,$F$42,Volume_Inject!$M$38:$Q$38)*$H7/12000000</f>
        <v>0</v>
      </c>
      <c r="S46" s="639">
        <f>S$11*SUMIF(Volume_Inject!$M$12:$Q$12,$F$42,Volume_Inject!$M$38:$Q$38)*$H7/12000000</f>
        <v>0</v>
      </c>
      <c r="T46" s="639">
        <f>T$11*SUMIF(Volume_Inject!$M$12:$Q$12,$F$42,Volume_Inject!$M$38:$Q$38)*$H7/12000000</f>
        <v>0</v>
      </c>
      <c r="U46" s="639">
        <f>U$11*SUMIF(Volume_Inject!$M$12:$Q$12,$F$42,Volume_Inject!$M$38:$Q$38)*$H7/12000000</f>
        <v>0</v>
      </c>
      <c r="V46" s="639">
        <f>V$11*SUMIF(Volume_Inject!$M$12:$Q$12,$F$42,Volume_Inject!$M$38:$Q$38)*$H7/12000000</f>
        <v>0</v>
      </c>
      <c r="W46" s="639">
        <f>W$11*SUMIF(Volume_Inject!$M$12:$Q$12,$F$42,Volume_Inject!$M$38:$Q$38)*$H7/12000000</f>
        <v>0</v>
      </c>
      <c r="X46" s="639">
        <f>X$11*SUMIF(Volume_Inject!$M$12:$Q$12,$F$42,Volume_Inject!$M$38:$Q$38)*$H7/12000000</f>
        <v>0</v>
      </c>
      <c r="Y46" s="639">
        <f>Y$11*SUMIF(Volume_Inject!$M$12:$Q$12,$F$42,Volume_Inject!$M$38:$Q$38)*$H7/12000000</f>
        <v>0</v>
      </c>
      <c r="Z46" s="639">
        <f>Z$11*SUMIF(Volume_Inject!$M$12:$Q$12,$F$42,Volume_Inject!$M$38:$Q$38)*$H7/12000000</f>
        <v>0</v>
      </c>
      <c r="AA46" s="639">
        <f>AA$11*SUMIF(Volume_Inject!$M$12:$Q$12,$F$42,Volume_Inject!$M$38:$Q$38)*$H7/12000000</f>
        <v>0</v>
      </c>
      <c r="AB46" s="639">
        <f>AB$11*SUMIF(Volume_Inject!$M$12:$Q$12,$F$42,Volume_Inject!$M$38:$Q$38)*$H7/12000000</f>
        <v>0</v>
      </c>
    </row>
    <row r="47" spans="2:28">
      <c r="B47" s="187"/>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row>
    <row r="48" spans="2:28" s="463" customFormat="1" ht="21">
      <c r="B48" s="464" t="str">
        <f>Translation!C46</f>
        <v>Analysis of district level storage</v>
      </c>
      <c r="C48" s="465"/>
      <c r="D48" s="465"/>
      <c r="E48" s="465"/>
      <c r="F48" s="465"/>
      <c r="G48" s="465"/>
      <c r="H48" s="465"/>
      <c r="I48" s="465"/>
      <c r="J48" s="465"/>
      <c r="K48" s="465"/>
      <c r="L48" s="465"/>
      <c r="M48" s="465"/>
      <c r="N48" s="465"/>
      <c r="O48" s="465"/>
      <c r="P48" s="465"/>
      <c r="Q48" s="465"/>
      <c r="R48" s="465"/>
      <c r="S48" s="465"/>
      <c r="T48" s="465"/>
      <c r="U48" s="465"/>
      <c r="V48" s="465"/>
      <c r="W48" s="465"/>
      <c r="X48" s="465"/>
      <c r="Y48" s="465"/>
      <c r="Z48" s="465"/>
      <c r="AA48" s="465"/>
      <c r="AB48" s="465"/>
    </row>
    <row r="49" spans="2:28" ht="12" outlineLevel="1">
      <c r="B49" s="627"/>
      <c r="C49" s="627"/>
      <c r="D49" s="627"/>
      <c r="E49" s="627"/>
      <c r="F49" s="785" t="str">
        <f>F2</f>
        <v>Maximum stock levels (months)</v>
      </c>
      <c r="G49" s="630"/>
      <c r="H49" s="627"/>
      <c r="I49" s="627"/>
      <c r="J49" s="627"/>
      <c r="K49" s="627"/>
      <c r="L49" s="627"/>
      <c r="M49" s="627"/>
      <c r="N49" s="627"/>
      <c r="O49" s="627"/>
      <c r="P49" s="627"/>
      <c r="Q49" s="627"/>
      <c r="R49" s="627"/>
      <c r="S49" s="627"/>
      <c r="T49" s="627"/>
      <c r="U49" s="627"/>
      <c r="V49" s="627"/>
      <c r="W49" s="627"/>
      <c r="X49" s="627"/>
      <c r="Y49" s="627"/>
      <c r="Z49" s="627"/>
      <c r="AA49" s="627"/>
      <c r="AB49" s="627"/>
    </row>
    <row r="50" spans="2:28" outlineLevel="1">
      <c r="B50" s="627"/>
      <c r="C50" s="627"/>
      <c r="D50" s="627"/>
      <c r="E50" s="627"/>
      <c r="F50" s="627" t="str">
        <f>$F$3</f>
        <v>Vaccines</v>
      </c>
      <c r="G50" s="627" t="str">
        <f>$H$3</f>
        <v>Safe injection equipment</v>
      </c>
      <c r="H50" s="627"/>
      <c r="I50" s="627"/>
      <c r="J50" s="627"/>
      <c r="K50" s="627"/>
      <c r="L50" s="627"/>
      <c r="M50" s="627"/>
      <c r="N50" s="627"/>
      <c r="O50" s="627"/>
      <c r="P50" s="627"/>
      <c r="Q50" s="627"/>
      <c r="R50" s="627"/>
      <c r="S50" s="627"/>
      <c r="T50" s="627"/>
      <c r="U50" s="627"/>
      <c r="V50" s="627"/>
      <c r="W50" s="627"/>
      <c r="X50" s="627"/>
      <c r="Y50" s="627"/>
      <c r="Z50" s="627"/>
      <c r="AA50" s="627"/>
      <c r="AB50" s="627"/>
    </row>
    <row r="51" spans="2:28" ht="13.2" outlineLevel="1">
      <c r="B51" s="628" t="str">
        <f>B4</f>
        <v>Analysis per</v>
      </c>
      <c r="C51" s="813" t="str">
        <f>C4</f>
        <v xml:space="preserve">Unit of Population </v>
      </c>
      <c r="D51" s="814"/>
      <c r="E51" s="627"/>
      <c r="F51" s="626">
        <v>1.5</v>
      </c>
      <c r="G51" s="626">
        <v>2</v>
      </c>
      <c r="H51" s="631"/>
      <c r="I51" s="631"/>
      <c r="J51" s="631"/>
      <c r="K51" s="631"/>
      <c r="L51" s="631"/>
      <c r="M51" s="631"/>
      <c r="N51" s="631"/>
      <c r="O51" s="631"/>
      <c r="P51" s="631"/>
      <c r="Q51" s="631"/>
      <c r="R51" s="631"/>
      <c r="S51" s="631"/>
      <c r="T51" s="631"/>
      <c r="U51" s="631"/>
      <c r="V51" s="631"/>
      <c r="W51" s="631"/>
      <c r="X51" s="631"/>
      <c r="Y51" s="631"/>
      <c r="Z51" s="631"/>
      <c r="AA51" s="631"/>
      <c r="AB51" s="631"/>
    </row>
    <row r="52" spans="2:28" ht="13.2" outlineLevel="1">
      <c r="B52" s="628" t="str">
        <f>B5</f>
        <v>Total population (minimum)</v>
      </c>
      <c r="C52" s="815">
        <v>100000</v>
      </c>
      <c r="D52" s="816">
        <f>E5</f>
        <v>0</v>
      </c>
      <c r="E52" s="627"/>
      <c r="F52" s="625">
        <v>2</v>
      </c>
      <c r="G52" s="625">
        <v>3</v>
      </c>
      <c r="H52" s="631"/>
      <c r="I52" s="631"/>
      <c r="J52" s="631"/>
      <c r="K52" s="631"/>
      <c r="L52" s="631"/>
      <c r="M52" s="631"/>
      <c r="N52" s="631"/>
      <c r="O52" s="631"/>
      <c r="P52" s="631"/>
      <c r="Q52" s="631"/>
      <c r="R52" s="631"/>
      <c r="S52" s="631"/>
      <c r="T52" s="631"/>
      <c r="U52" s="631"/>
      <c r="V52" s="631"/>
      <c r="W52" s="631"/>
      <c r="X52" s="631"/>
      <c r="Y52" s="631"/>
      <c r="Z52" s="631"/>
      <c r="AA52" s="631"/>
      <c r="AB52" s="631"/>
    </row>
    <row r="53" spans="2:28" ht="13.2" outlineLevel="1">
      <c r="B53" s="628" t="str">
        <f>B6</f>
        <v>Total population (maximum)</v>
      </c>
      <c r="C53" s="815">
        <v>300000</v>
      </c>
      <c r="D53" s="816">
        <f>E6</f>
        <v>0</v>
      </c>
      <c r="E53" s="627"/>
      <c r="F53" s="625">
        <v>3</v>
      </c>
      <c r="G53" s="625">
        <v>4</v>
      </c>
      <c r="H53" s="631"/>
      <c r="I53" s="631"/>
      <c r="J53" s="631"/>
      <c r="K53" s="631"/>
      <c r="L53" s="631"/>
      <c r="M53" s="631"/>
      <c r="N53" s="631"/>
      <c r="O53" s="631"/>
      <c r="P53" s="631"/>
      <c r="Q53" s="631"/>
      <c r="R53" s="631"/>
      <c r="S53" s="631"/>
      <c r="T53" s="631"/>
      <c r="U53" s="631"/>
      <c r="V53" s="631"/>
      <c r="W53" s="631"/>
      <c r="X53" s="631"/>
      <c r="Y53" s="631"/>
      <c r="Z53" s="631"/>
      <c r="AA53" s="631"/>
      <c r="AB53" s="631"/>
    </row>
    <row r="54" spans="2:28" ht="12" customHeight="1" outlineLevel="1">
      <c r="B54" s="628" t="str">
        <f>B7</f>
        <v>MaxiStock</v>
      </c>
      <c r="C54" s="807">
        <v>3</v>
      </c>
      <c r="D54" s="817" t="str">
        <f>E7</f>
        <v xml:space="preserve"> months</v>
      </c>
      <c r="E54" s="627"/>
      <c r="F54" s="625"/>
      <c r="G54" s="625"/>
      <c r="H54" s="627"/>
      <c r="I54" s="627"/>
      <c r="J54" s="627"/>
      <c r="K54" s="627"/>
      <c r="L54" s="627"/>
      <c r="M54" s="627"/>
      <c r="N54" s="627"/>
      <c r="O54" s="627"/>
      <c r="P54" s="627"/>
      <c r="Q54" s="627"/>
      <c r="R54" s="627"/>
      <c r="S54" s="627"/>
      <c r="T54" s="627"/>
      <c r="U54" s="627"/>
      <c r="V54" s="627"/>
      <c r="W54" s="627"/>
      <c r="X54" s="627"/>
      <c r="Y54" s="627"/>
      <c r="Z54" s="627"/>
      <c r="AA54" s="627"/>
      <c r="AB54" s="627"/>
    </row>
    <row r="55" spans="2:28" hidden="1" outlineLevel="1">
      <c r="B55" s="628"/>
      <c r="C55" s="687">
        <f>(C53-C52)/25</f>
        <v>8000</v>
      </c>
      <c r="D55" s="687">
        <f>IF(C55=0,0,ROUNDUP(C55,-(ROUND(LOG(C55),1))))</f>
        <v>8000</v>
      </c>
      <c r="E55" s="628"/>
      <c r="F55" s="628"/>
      <c r="G55" s="628"/>
      <c r="H55" s="628"/>
      <c r="I55" s="628"/>
      <c r="J55" s="628"/>
      <c r="K55" s="628"/>
      <c r="L55" s="628"/>
      <c r="M55" s="628"/>
      <c r="N55" s="627"/>
      <c r="O55" s="627"/>
      <c r="P55" s="627"/>
      <c r="Q55" s="627"/>
      <c r="R55" s="627"/>
      <c r="S55" s="627"/>
      <c r="T55" s="627"/>
      <c r="U55" s="627"/>
      <c r="V55" s="627"/>
      <c r="W55" s="627"/>
      <c r="X55" s="627"/>
      <c r="Y55" s="627"/>
      <c r="Z55" s="627"/>
      <c r="AA55" s="627"/>
      <c r="AB55" s="627"/>
    </row>
    <row r="56" spans="2:28" s="548" customFormat="1" ht="5.4" outlineLevel="1">
      <c r="B56" s="666"/>
      <c r="C56" s="666"/>
      <c r="D56" s="666"/>
      <c r="E56" s="666"/>
      <c r="F56" s="666"/>
      <c r="G56" s="666"/>
      <c r="H56" s="666"/>
      <c r="I56" s="666"/>
      <c r="J56" s="666"/>
      <c r="K56" s="666"/>
      <c r="L56" s="666"/>
      <c r="M56" s="666"/>
      <c r="N56" s="666"/>
      <c r="O56" s="666"/>
      <c r="P56" s="666"/>
      <c r="Q56" s="666"/>
      <c r="R56" s="666"/>
      <c r="S56" s="666"/>
      <c r="T56" s="666"/>
      <c r="U56" s="666"/>
      <c r="V56" s="666"/>
      <c r="W56" s="666"/>
      <c r="X56" s="666"/>
      <c r="Y56" s="666"/>
      <c r="Z56" s="666"/>
      <c r="AA56" s="666"/>
      <c r="AB56" s="666"/>
    </row>
    <row r="57" spans="2:28" ht="12" outlineLevel="1">
      <c r="B57" s="629" t="str">
        <f>Translation!C47</f>
        <v>Vaccine net volume for supply period and cold equipment capacities (litres)</v>
      </c>
      <c r="C57" s="627"/>
      <c r="D57" s="631"/>
      <c r="E57" s="631"/>
      <c r="F57" s="783" t="str">
        <f>IF($C$4=target2,Translation!$C$12,Translation!$C$13)</f>
        <v>Total population</v>
      </c>
      <c r="G57" s="631"/>
      <c r="H57" s="631"/>
      <c r="I57" s="631"/>
      <c r="J57" s="631"/>
      <c r="K57" s="631"/>
      <c r="L57" s="631"/>
      <c r="M57" s="631"/>
      <c r="N57" s="631"/>
      <c r="O57" s="631"/>
      <c r="P57" s="631"/>
      <c r="Q57" s="631"/>
      <c r="R57" s="631"/>
      <c r="S57" s="631"/>
      <c r="T57" s="631"/>
      <c r="U57" s="631"/>
      <c r="V57" s="631"/>
      <c r="W57" s="631"/>
      <c r="X57" s="631"/>
      <c r="Y57" s="631"/>
      <c r="Z57" s="631"/>
      <c r="AA57" s="631"/>
      <c r="AB57" s="631"/>
    </row>
    <row r="58" spans="2:28" ht="12" customHeight="1" outlineLevel="1">
      <c r="B58" s="593" t="str">
        <f>B11</f>
        <v xml:space="preserve">Total population: </v>
      </c>
      <c r="C58" s="594">
        <f>$C$52</f>
        <v>100000</v>
      </c>
      <c r="D58" s="594">
        <f>C58+$D$55</f>
        <v>108000</v>
      </c>
      <c r="E58" s="594">
        <f t="shared" ref="E58:AB58" si="12">D58+$D$55</f>
        <v>116000</v>
      </c>
      <c r="F58" s="594">
        <f t="shared" si="12"/>
        <v>124000</v>
      </c>
      <c r="G58" s="594">
        <f t="shared" si="12"/>
        <v>132000</v>
      </c>
      <c r="H58" s="594">
        <f t="shared" si="12"/>
        <v>140000</v>
      </c>
      <c r="I58" s="594">
        <f t="shared" si="12"/>
        <v>148000</v>
      </c>
      <c r="J58" s="594">
        <f t="shared" si="12"/>
        <v>156000</v>
      </c>
      <c r="K58" s="594">
        <f t="shared" si="12"/>
        <v>164000</v>
      </c>
      <c r="L58" s="594">
        <f t="shared" si="12"/>
        <v>172000</v>
      </c>
      <c r="M58" s="594">
        <f t="shared" si="12"/>
        <v>180000</v>
      </c>
      <c r="N58" s="594">
        <f t="shared" si="12"/>
        <v>188000</v>
      </c>
      <c r="O58" s="594">
        <f t="shared" si="12"/>
        <v>196000</v>
      </c>
      <c r="P58" s="594">
        <f t="shared" si="12"/>
        <v>204000</v>
      </c>
      <c r="Q58" s="594">
        <f t="shared" si="12"/>
        <v>212000</v>
      </c>
      <c r="R58" s="594">
        <f t="shared" si="12"/>
        <v>220000</v>
      </c>
      <c r="S58" s="594">
        <f t="shared" si="12"/>
        <v>228000</v>
      </c>
      <c r="T58" s="594">
        <f t="shared" si="12"/>
        <v>236000</v>
      </c>
      <c r="U58" s="594">
        <f t="shared" si="12"/>
        <v>244000</v>
      </c>
      <c r="V58" s="594">
        <f t="shared" si="12"/>
        <v>252000</v>
      </c>
      <c r="W58" s="594">
        <f t="shared" si="12"/>
        <v>260000</v>
      </c>
      <c r="X58" s="594">
        <f t="shared" si="12"/>
        <v>268000</v>
      </c>
      <c r="Y58" s="594">
        <f t="shared" si="12"/>
        <v>276000</v>
      </c>
      <c r="Z58" s="594">
        <f t="shared" si="12"/>
        <v>284000</v>
      </c>
      <c r="AA58" s="594">
        <f t="shared" si="12"/>
        <v>292000</v>
      </c>
      <c r="AB58" s="594">
        <f t="shared" si="12"/>
        <v>300000</v>
      </c>
    </row>
    <row r="59" spans="2:28" ht="12" outlineLevel="1">
      <c r="B59" s="641" t="str">
        <f>Translation!C29</f>
        <v>Estimate of cold-chain capacity per schedule (litres)</v>
      </c>
      <c r="C59" s="186"/>
      <c r="D59" s="186"/>
      <c r="E59" s="186"/>
      <c r="F59" s="186"/>
      <c r="G59" s="186"/>
      <c r="H59" s="186"/>
      <c r="I59" s="186"/>
      <c r="J59" s="186"/>
      <c r="K59" s="186"/>
      <c r="L59" s="186"/>
      <c r="M59" s="186"/>
      <c r="N59" s="186"/>
      <c r="O59" s="186"/>
      <c r="P59" s="186"/>
      <c r="Q59" s="186"/>
      <c r="R59" s="186"/>
      <c r="S59" s="186"/>
      <c r="T59" s="186"/>
      <c r="U59" s="186"/>
      <c r="V59" s="186"/>
      <c r="W59" s="186"/>
      <c r="X59" s="186"/>
      <c r="Y59" s="186"/>
      <c r="Z59" s="186"/>
      <c r="AA59" s="186"/>
      <c r="AB59" s="186"/>
    </row>
    <row r="60" spans="2:28" outlineLevel="1">
      <c r="B60" s="633" t="str">
        <f>IF(Vaccine_Selection!$M$16="","",CONCATENATE(Vaccine_Selection!$M$16," @ ",$C$54,$D$54," MaxiStock"))</f>
        <v>Current schedule @ 3 months MaxiStock</v>
      </c>
      <c r="C60" s="634">
        <f>Vaccine_Selection!$M$40*$C$54*C$58/12000</f>
        <v>20.088534444444441</v>
      </c>
      <c r="D60" s="634">
        <f>Vaccine_Selection!$M$40*$C$54*D$58/12000</f>
        <v>21.695617199999997</v>
      </c>
      <c r="E60" s="634">
        <f>Vaccine_Selection!$M$40*$C$54*E$58/12000</f>
        <v>23.302699955555553</v>
      </c>
      <c r="F60" s="634">
        <f>Vaccine_Selection!$M$40*$C$54*F$58/12000</f>
        <v>24.909782711111109</v>
      </c>
      <c r="G60" s="634">
        <f>Vaccine_Selection!$M$40*$C$54*G$58/12000</f>
        <v>26.516865466666665</v>
      </c>
      <c r="H60" s="634">
        <f>Vaccine_Selection!$M$40*$C$54*H$58/12000</f>
        <v>28.123948222222218</v>
      </c>
      <c r="I60" s="634">
        <f>Vaccine_Selection!$M$40*$C$54*I$58/12000</f>
        <v>29.731030977777777</v>
      </c>
      <c r="J60" s="634">
        <f>Vaccine_Selection!$M$40*$C$54*J$58/12000</f>
        <v>31.338113733333333</v>
      </c>
      <c r="K60" s="634">
        <f>Vaccine_Selection!$M$40*$C$54*K$58/12000</f>
        <v>32.945196488888882</v>
      </c>
      <c r="L60" s="634">
        <f>Vaccine_Selection!$M$40*$C$54*L$58/12000</f>
        <v>34.552279244444442</v>
      </c>
      <c r="M60" s="634">
        <f>Vaccine_Selection!$M$40*$C$54*M$58/12000</f>
        <v>36.159362000000002</v>
      </c>
      <c r="N60" s="634">
        <f>Vaccine_Selection!$M$40*$C$54*N$58/12000</f>
        <v>37.766444755555554</v>
      </c>
      <c r="O60" s="634">
        <f>Vaccine_Selection!$M$40*$C$54*O$58/12000</f>
        <v>39.373527511111106</v>
      </c>
      <c r="P60" s="634">
        <f>Vaccine_Selection!$M$40*$C$54*P$58/12000</f>
        <v>40.980610266666666</v>
      </c>
      <c r="Q60" s="634">
        <f>Vaccine_Selection!$M$40*$C$54*Q$58/12000</f>
        <v>42.587693022222219</v>
      </c>
      <c r="R60" s="634">
        <f>Vaccine_Selection!$M$40*$C$54*R$58/12000</f>
        <v>44.194775777777771</v>
      </c>
      <c r="S60" s="634">
        <f>Vaccine_Selection!$M$40*$C$54*S$58/12000</f>
        <v>45.801858533333331</v>
      </c>
      <c r="T60" s="634">
        <f>Vaccine_Selection!$M$40*$C$54*T$58/12000</f>
        <v>47.408941288888883</v>
      </c>
      <c r="U60" s="634">
        <f>Vaccine_Selection!$M$40*$C$54*U$58/12000</f>
        <v>49.016024044444443</v>
      </c>
      <c r="V60" s="634">
        <f>Vaccine_Selection!$M$40*$C$54*V$58/12000</f>
        <v>50.623106800000002</v>
      </c>
      <c r="W60" s="634">
        <f>Vaccine_Selection!$M$40*$C$54*W$58/12000</f>
        <v>52.230189555555555</v>
      </c>
      <c r="X60" s="634">
        <f>Vaccine_Selection!$M$40*$C$54*X$58/12000</f>
        <v>53.837272311111107</v>
      </c>
      <c r="Y60" s="634">
        <f>Vaccine_Selection!$M$40*$C$54*Y$58/12000</f>
        <v>55.44435506666666</v>
      </c>
      <c r="Z60" s="634">
        <f>Vaccine_Selection!$M$40*$C$54*Z$58/12000</f>
        <v>57.051437822222212</v>
      </c>
      <c r="AA60" s="634">
        <f>Vaccine_Selection!$M$40*$C$54*AA$58/12000</f>
        <v>58.658520577777772</v>
      </c>
      <c r="AB60" s="634">
        <f>Vaccine_Selection!$M$40*$C$54*AB$58/12000</f>
        <v>60.265603333333331</v>
      </c>
    </row>
    <row r="61" spans="2:28" outlineLevel="1">
      <c r="B61" s="633" t="str">
        <f>IF(Vaccine_Selection!$N$16="","",CONCATENATE(Vaccine_Selection!$N$16," @ ",$C$54,$D$54," MaxiStock"))</f>
        <v>Current schedule with penta 1d @ 3 months MaxiStock</v>
      </c>
      <c r="C61" s="634">
        <f>Vaccine_Selection!$N$40*$C$54*C$58/12000</f>
        <v>39.859294444444437</v>
      </c>
      <c r="D61" s="634">
        <f>Vaccine_Selection!$N$40*$C$54*D$58/12000</f>
        <v>43.048037999999998</v>
      </c>
      <c r="E61" s="634">
        <f>Vaccine_Selection!$N$40*$C$54*E$58/12000</f>
        <v>46.236781555555545</v>
      </c>
      <c r="F61" s="634">
        <f>Vaccine_Selection!$N$40*$C$54*F$58/12000</f>
        <v>49.425525111111106</v>
      </c>
      <c r="G61" s="634">
        <f>Vaccine_Selection!$N$40*$C$54*G$58/12000</f>
        <v>52.614268666666661</v>
      </c>
      <c r="H61" s="634">
        <f>Vaccine_Selection!$N$40*$C$54*H$58/12000</f>
        <v>55.803012222222215</v>
      </c>
      <c r="I61" s="634">
        <f>Vaccine_Selection!$N$40*$C$54*I$58/12000</f>
        <v>58.991755777777776</v>
      </c>
      <c r="J61" s="634">
        <f>Vaccine_Selection!$N$40*$C$54*J$58/12000</f>
        <v>62.18049933333333</v>
      </c>
      <c r="K61" s="634">
        <f>Vaccine_Selection!$N$40*$C$54*K$58/12000</f>
        <v>65.369242888888891</v>
      </c>
      <c r="L61" s="634">
        <f>Vaccine_Selection!$N$40*$C$54*L$58/12000</f>
        <v>68.557986444444438</v>
      </c>
      <c r="M61" s="634">
        <f>Vaccine_Selection!$N$40*$C$54*M$58/12000</f>
        <v>71.746729999999985</v>
      </c>
      <c r="N61" s="634">
        <f>Vaccine_Selection!$N$40*$C$54*N$58/12000</f>
        <v>74.935473555555546</v>
      </c>
      <c r="O61" s="634">
        <f>Vaccine_Selection!$N$40*$C$54*O$58/12000</f>
        <v>78.124217111111108</v>
      </c>
      <c r="P61" s="634">
        <f>Vaccine_Selection!$N$40*$C$54*P$58/12000</f>
        <v>81.312960666666655</v>
      </c>
      <c r="Q61" s="634">
        <f>Vaccine_Selection!$N$40*$C$54*Q$58/12000</f>
        <v>84.501704222222216</v>
      </c>
      <c r="R61" s="634">
        <f>Vaccine_Selection!$N$40*$C$54*R$58/12000</f>
        <v>87.690447777777777</v>
      </c>
      <c r="S61" s="634">
        <f>Vaccine_Selection!$N$40*$C$54*S$58/12000</f>
        <v>90.879191333333324</v>
      </c>
      <c r="T61" s="634">
        <f>Vaccine_Selection!$N$40*$C$54*T$58/12000</f>
        <v>94.067934888888885</v>
      </c>
      <c r="U61" s="634">
        <f>Vaccine_Selection!$N$40*$C$54*U$58/12000</f>
        <v>97.256678444444432</v>
      </c>
      <c r="V61" s="634">
        <f>Vaccine_Selection!$N$40*$C$54*V$58/12000</f>
        <v>100.44542200000001</v>
      </c>
      <c r="W61" s="634">
        <f>Vaccine_Selection!$N$40*$C$54*W$58/12000</f>
        <v>103.63416555555555</v>
      </c>
      <c r="X61" s="634">
        <f>Vaccine_Selection!$N$40*$C$54*X$58/12000</f>
        <v>106.8229091111111</v>
      </c>
      <c r="Y61" s="634">
        <f>Vaccine_Selection!$N$40*$C$54*Y$58/12000</f>
        <v>110.01165266666666</v>
      </c>
      <c r="Z61" s="634">
        <f>Vaccine_Selection!$N$40*$C$54*Z$58/12000</f>
        <v>113.20039622222221</v>
      </c>
      <c r="AA61" s="634">
        <f>Vaccine_Selection!$N$40*$C$54*AA$58/12000</f>
        <v>116.38913977777777</v>
      </c>
      <c r="AB61" s="634">
        <f>Vaccine_Selection!$N$40*$C$54*AB$58/12000</f>
        <v>119.57788333333332</v>
      </c>
    </row>
    <row r="62" spans="2:28" outlineLevel="1">
      <c r="B62" s="633" t="str">
        <f>IF(Vaccine_Selection!$O$16="","",CONCATENATE(Vaccine_Selection!$O$16," @ ",$C$54,$D$54," MaxiStock"))</f>
        <v>Current schedule with penta CAD @ 3 months MaxiStock</v>
      </c>
      <c r="C62" s="634">
        <f>Vaccine_Selection!$O$40*$C$54*C$58/12000</f>
        <v>32.863534444444447</v>
      </c>
      <c r="D62" s="634">
        <f>Vaccine_Selection!$O$40*$C$54*D$58/12000</f>
        <v>35.492617199999998</v>
      </c>
      <c r="E62" s="634">
        <f>Vaccine_Selection!$O$40*$C$54*E$58/12000</f>
        <v>38.121699955555549</v>
      </c>
      <c r="F62" s="634">
        <f>Vaccine_Selection!$O$40*$C$54*F$58/12000</f>
        <v>40.750782711111107</v>
      </c>
      <c r="G62" s="634">
        <f>Vaccine_Selection!$O$40*$C$54*G$58/12000</f>
        <v>43.379865466666665</v>
      </c>
      <c r="H62" s="634">
        <f>Vaccine_Selection!$O$40*$C$54*H$58/12000</f>
        <v>46.008948222222223</v>
      </c>
      <c r="I62" s="634">
        <f>Vaccine_Selection!$O$40*$C$54*I$58/12000</f>
        <v>48.638030977777781</v>
      </c>
      <c r="J62" s="634">
        <f>Vaccine_Selection!$O$40*$C$54*J$58/12000</f>
        <v>51.267113733333332</v>
      </c>
      <c r="K62" s="634">
        <f>Vaccine_Selection!$O$40*$C$54*K$58/12000</f>
        <v>53.896196488888883</v>
      </c>
      <c r="L62" s="634">
        <f>Vaccine_Selection!$O$40*$C$54*L$58/12000</f>
        <v>56.525279244444441</v>
      </c>
      <c r="M62" s="634">
        <f>Vaccine_Selection!$O$40*$C$54*M$58/12000</f>
        <v>59.154361999999992</v>
      </c>
      <c r="N62" s="634">
        <f>Vaccine_Selection!$O$40*$C$54*N$58/12000</f>
        <v>61.78344475555555</v>
      </c>
      <c r="O62" s="634">
        <f>Vaccine_Selection!$O$40*$C$54*O$58/12000</f>
        <v>64.412527511111108</v>
      </c>
      <c r="P62" s="634">
        <f>Vaccine_Selection!$O$40*$C$54*P$58/12000</f>
        <v>67.041610266666666</v>
      </c>
      <c r="Q62" s="634">
        <f>Vaccine_Selection!$O$40*$C$54*Q$58/12000</f>
        <v>69.670693022222224</v>
      </c>
      <c r="R62" s="634">
        <f>Vaccine_Selection!$O$40*$C$54*R$58/12000</f>
        <v>72.299775777777768</v>
      </c>
      <c r="S62" s="634">
        <f>Vaccine_Selection!$O$40*$C$54*S$58/12000</f>
        <v>74.928858533333326</v>
      </c>
      <c r="T62" s="634">
        <f>Vaccine_Selection!$O$40*$C$54*T$58/12000</f>
        <v>77.557941288888884</v>
      </c>
      <c r="U62" s="634">
        <f>Vaccine_Selection!$O$40*$C$54*U$58/12000</f>
        <v>80.187024044444442</v>
      </c>
      <c r="V62" s="634">
        <f>Vaccine_Selection!$O$40*$C$54*V$58/12000</f>
        <v>82.8161068</v>
      </c>
      <c r="W62" s="634">
        <f>Vaccine_Selection!$O$40*$C$54*W$58/12000</f>
        <v>85.445189555555558</v>
      </c>
      <c r="X62" s="634">
        <f>Vaccine_Selection!$O$40*$C$54*X$58/12000</f>
        <v>88.074272311111102</v>
      </c>
      <c r="Y62" s="634">
        <f>Vaccine_Selection!$O$40*$C$54*Y$58/12000</f>
        <v>90.703355066666646</v>
      </c>
      <c r="Z62" s="634">
        <f>Vaccine_Selection!$O$40*$C$54*Z$58/12000</f>
        <v>93.332437822222218</v>
      </c>
      <c r="AA62" s="634">
        <f>Vaccine_Selection!$O$40*$C$54*AA$58/12000</f>
        <v>95.961520577777776</v>
      </c>
      <c r="AB62" s="634">
        <f>Vaccine_Selection!$O$40*$C$54*AB$58/12000</f>
        <v>98.590603333333334</v>
      </c>
    </row>
    <row r="63" spans="2:28" outlineLevel="1">
      <c r="B63" s="633" t="str">
        <f>IF(Vaccine_Selection!$P$16="","",CONCATENATE(Vaccine_Selection!$P$16," @ ",$C$54,$D$54," MaxiStock"))</f>
        <v/>
      </c>
      <c r="C63" s="634">
        <f>Vaccine_Selection!$P$40*$C$54*C$58/12000</f>
        <v>0</v>
      </c>
      <c r="D63" s="634">
        <f>Vaccine_Selection!$P$40*$C$54*D$58/12000</f>
        <v>0</v>
      </c>
      <c r="E63" s="634">
        <f>Vaccine_Selection!$P$40*$C$54*E$58/12000</f>
        <v>0</v>
      </c>
      <c r="F63" s="634">
        <f>Vaccine_Selection!$P$40*$C$54*F$58/12000</f>
        <v>0</v>
      </c>
      <c r="G63" s="634">
        <f>Vaccine_Selection!$P$40*$C$54*G$58/12000</f>
        <v>0</v>
      </c>
      <c r="H63" s="634">
        <f>Vaccine_Selection!$P$40*$C$54*H$58/12000</f>
        <v>0</v>
      </c>
      <c r="I63" s="634">
        <f>Vaccine_Selection!$P$40*$C$54*I$58/12000</f>
        <v>0</v>
      </c>
      <c r="J63" s="634">
        <f>Vaccine_Selection!$P$40*$C$54*J$58/12000</f>
        <v>0</v>
      </c>
      <c r="K63" s="634">
        <f>Vaccine_Selection!$P$40*$C$54*K$58/12000</f>
        <v>0</v>
      </c>
      <c r="L63" s="634">
        <f>Vaccine_Selection!$P$40*$C$54*L$58/12000</f>
        <v>0</v>
      </c>
      <c r="M63" s="634">
        <f>Vaccine_Selection!$P$40*$C$54*M$58/12000</f>
        <v>0</v>
      </c>
      <c r="N63" s="634">
        <f>Vaccine_Selection!$P$40*$C$54*N$58/12000</f>
        <v>0</v>
      </c>
      <c r="O63" s="634">
        <f>Vaccine_Selection!$P$40*$C$54*O$58/12000</f>
        <v>0</v>
      </c>
      <c r="P63" s="634">
        <f>Vaccine_Selection!$P$40*$C$54*P$58/12000</f>
        <v>0</v>
      </c>
      <c r="Q63" s="634">
        <f>Vaccine_Selection!$P$40*$C$54*Q$58/12000</f>
        <v>0</v>
      </c>
      <c r="R63" s="634">
        <f>Vaccine_Selection!$P$40*$C$54*R$58/12000</f>
        <v>0</v>
      </c>
      <c r="S63" s="634">
        <f>Vaccine_Selection!$P$40*$C$54*S$58/12000</f>
        <v>0</v>
      </c>
      <c r="T63" s="634">
        <f>Vaccine_Selection!$P$40*$C$54*T$58/12000</f>
        <v>0</v>
      </c>
      <c r="U63" s="634">
        <f>Vaccine_Selection!$P$40*$C$54*U$58/12000</f>
        <v>0</v>
      </c>
      <c r="V63" s="634">
        <f>Vaccine_Selection!$P$40*$C$54*V$58/12000</f>
        <v>0</v>
      </c>
      <c r="W63" s="634">
        <f>Vaccine_Selection!$P$40*$C$54*W$58/12000</f>
        <v>0</v>
      </c>
      <c r="X63" s="634">
        <f>Vaccine_Selection!$P$40*$C$54*X$58/12000</f>
        <v>0</v>
      </c>
      <c r="Y63" s="634">
        <f>Vaccine_Selection!$P$40*$C$54*Y$58/12000</f>
        <v>0</v>
      </c>
      <c r="Z63" s="634">
        <f>Vaccine_Selection!$P$40*$C$54*Z$58/12000</f>
        <v>0</v>
      </c>
      <c r="AA63" s="634">
        <f>Vaccine_Selection!$P$40*$C$54*AA$58/12000</f>
        <v>0</v>
      </c>
      <c r="AB63" s="634">
        <f>Vaccine_Selection!$P$40*$C$54*AB$58/12000</f>
        <v>0</v>
      </c>
    </row>
    <row r="64" spans="2:28" outlineLevel="1">
      <c r="B64" s="657" t="str">
        <f>IF(Vaccine_Selection!$Q$16="","",CONCATENATE(Vaccine_Selection!$Q$16," @ ",$C$54,$D$54," MaxiStock"))</f>
        <v/>
      </c>
      <c r="C64" s="642">
        <f>Vaccine_Selection!$Q$40*$C$54*C$58/12000</f>
        <v>0</v>
      </c>
      <c r="D64" s="642">
        <f>Vaccine_Selection!$Q$40*$C$54*D$58/12000</f>
        <v>0</v>
      </c>
      <c r="E64" s="642">
        <f>Vaccine_Selection!$Q$40*$C$54*E$58/12000</f>
        <v>0</v>
      </c>
      <c r="F64" s="642">
        <f>Vaccine_Selection!$Q$40*$C$54*F$58/12000</f>
        <v>0</v>
      </c>
      <c r="G64" s="642">
        <f>Vaccine_Selection!$Q$40*$C$54*G$58/12000</f>
        <v>0</v>
      </c>
      <c r="H64" s="642">
        <f>Vaccine_Selection!$Q$40*$C$54*H$58/12000</f>
        <v>0</v>
      </c>
      <c r="I64" s="642">
        <f>Vaccine_Selection!$Q$40*$C$54*I$58/12000</f>
        <v>0</v>
      </c>
      <c r="J64" s="642">
        <f>Vaccine_Selection!$Q$40*$C$54*J$58/12000</f>
        <v>0</v>
      </c>
      <c r="K64" s="642">
        <f>Vaccine_Selection!$Q$40*$C$54*K$58/12000</f>
        <v>0</v>
      </c>
      <c r="L64" s="642">
        <f>Vaccine_Selection!$Q$40*$C$54*L$58/12000</f>
        <v>0</v>
      </c>
      <c r="M64" s="642">
        <f>Vaccine_Selection!$Q$40*$C$54*M$58/12000</f>
        <v>0</v>
      </c>
      <c r="N64" s="642">
        <f>Vaccine_Selection!$Q$40*$C$54*N$58/12000</f>
        <v>0</v>
      </c>
      <c r="O64" s="642">
        <f>Vaccine_Selection!$Q$40*$C$54*O$58/12000</f>
        <v>0</v>
      </c>
      <c r="P64" s="642">
        <f>Vaccine_Selection!$Q$40*$C$54*P$58/12000</f>
        <v>0</v>
      </c>
      <c r="Q64" s="642">
        <f>Vaccine_Selection!$Q$40*$C$54*Q$58/12000</f>
        <v>0</v>
      </c>
      <c r="R64" s="642">
        <f>Vaccine_Selection!$Q$40*$C$54*R$58/12000</f>
        <v>0</v>
      </c>
      <c r="S64" s="642">
        <f>Vaccine_Selection!$Q$40*$C$54*S$58/12000</f>
        <v>0</v>
      </c>
      <c r="T64" s="642">
        <f>Vaccine_Selection!$Q$40*$C$54*T$58/12000</f>
        <v>0</v>
      </c>
      <c r="U64" s="642">
        <f>Vaccine_Selection!$Q$40*$C$54*U$58/12000</f>
        <v>0</v>
      </c>
      <c r="V64" s="642">
        <f>Vaccine_Selection!$Q$40*$C$54*V$58/12000</f>
        <v>0</v>
      </c>
      <c r="W64" s="642">
        <f>Vaccine_Selection!$Q$40*$C$54*W$58/12000</f>
        <v>0</v>
      </c>
      <c r="X64" s="642">
        <f>Vaccine_Selection!$Q$40*$C$54*X$58/12000</f>
        <v>0</v>
      </c>
      <c r="Y64" s="642">
        <f>Vaccine_Selection!$Q$40*$C$54*Y$58/12000</f>
        <v>0</v>
      </c>
      <c r="Z64" s="642">
        <f>Vaccine_Selection!$Q$40*$C$54*Z$58/12000</f>
        <v>0</v>
      </c>
      <c r="AA64" s="642">
        <f>Vaccine_Selection!$Q$40*$C$54*AA$58/12000</f>
        <v>0</v>
      </c>
      <c r="AB64" s="642">
        <f>Vaccine_Selection!$Q$40*$C$54*AB$58/12000</f>
        <v>0</v>
      </c>
    </row>
    <row r="65" spans="2:28" ht="12" outlineLevel="1">
      <c r="B65" s="658" t="str">
        <f>Translation!C38</f>
        <v>Estimate of equipment requirements per schedule</v>
      </c>
      <c r="C65" s="652"/>
      <c r="D65" s="652"/>
      <c r="E65" s="659" t="str">
        <f>Translation!C40</f>
        <v>Equipment utilization factor (%)</v>
      </c>
      <c r="F65" s="647">
        <v>0.8</v>
      </c>
      <c r="G65" s="652"/>
      <c r="H65" s="652"/>
      <c r="I65" s="652"/>
      <c r="J65" s="652"/>
      <c r="K65" s="652"/>
      <c r="L65" s="652"/>
      <c r="M65" s="652"/>
      <c r="N65" s="652"/>
      <c r="O65" s="652"/>
      <c r="P65" s="652"/>
      <c r="Q65" s="652"/>
      <c r="R65" s="652"/>
      <c r="S65" s="652"/>
      <c r="T65" s="652"/>
      <c r="U65" s="652"/>
      <c r="V65" s="652"/>
      <c r="W65" s="652"/>
      <c r="X65" s="652"/>
      <c r="Y65" s="652"/>
      <c r="Z65" s="652"/>
      <c r="AA65" s="652"/>
      <c r="AB65" s="652"/>
    </row>
    <row r="66" spans="2:28" ht="12" outlineLevel="1">
      <c r="B66" s="646" t="s">
        <v>1677</v>
      </c>
      <c r="C66" s="634">
        <f>SUMIF(Eqpt_list,$B66,PQEquipment!$I$6:$I$97)</f>
        <v>200</v>
      </c>
      <c r="D66" s="634">
        <f t="shared" ref="D66:AB66" si="13">C66</f>
        <v>200</v>
      </c>
      <c r="E66" s="634">
        <f t="shared" si="13"/>
        <v>200</v>
      </c>
      <c r="F66" s="634">
        <f t="shared" si="13"/>
        <v>200</v>
      </c>
      <c r="G66" s="634">
        <f t="shared" si="13"/>
        <v>200</v>
      </c>
      <c r="H66" s="634">
        <f t="shared" si="13"/>
        <v>200</v>
      </c>
      <c r="I66" s="634">
        <f t="shared" si="13"/>
        <v>200</v>
      </c>
      <c r="J66" s="634">
        <f t="shared" si="13"/>
        <v>200</v>
      </c>
      <c r="K66" s="634">
        <f t="shared" si="13"/>
        <v>200</v>
      </c>
      <c r="L66" s="634">
        <f t="shared" si="13"/>
        <v>200</v>
      </c>
      <c r="M66" s="634">
        <f t="shared" si="13"/>
        <v>200</v>
      </c>
      <c r="N66" s="634">
        <f t="shared" si="13"/>
        <v>200</v>
      </c>
      <c r="O66" s="634">
        <f t="shared" si="13"/>
        <v>200</v>
      </c>
      <c r="P66" s="634">
        <f t="shared" si="13"/>
        <v>200</v>
      </c>
      <c r="Q66" s="634">
        <f t="shared" si="13"/>
        <v>200</v>
      </c>
      <c r="R66" s="634">
        <f t="shared" si="13"/>
        <v>200</v>
      </c>
      <c r="S66" s="634">
        <f t="shared" si="13"/>
        <v>200</v>
      </c>
      <c r="T66" s="634">
        <f t="shared" si="13"/>
        <v>200</v>
      </c>
      <c r="U66" s="634">
        <f t="shared" si="13"/>
        <v>200</v>
      </c>
      <c r="V66" s="634">
        <f t="shared" si="13"/>
        <v>200</v>
      </c>
      <c r="W66" s="634">
        <f t="shared" si="13"/>
        <v>200</v>
      </c>
      <c r="X66" s="634">
        <f t="shared" si="13"/>
        <v>200</v>
      </c>
      <c r="Y66" s="634">
        <f t="shared" si="13"/>
        <v>200</v>
      </c>
      <c r="Z66" s="634">
        <f t="shared" si="13"/>
        <v>200</v>
      </c>
      <c r="AA66" s="634">
        <f t="shared" si="13"/>
        <v>200</v>
      </c>
      <c r="AB66" s="634">
        <f t="shared" si="13"/>
        <v>200</v>
      </c>
    </row>
    <row r="67" spans="2:28" outlineLevel="1">
      <c r="B67" s="660" t="str">
        <f>IF(Vaccine_Selection!$M$16="","",CONCATENATE($B60," - ",$B$66))</f>
        <v>Current schedule @ 3 months MaxiStock - HBC-340</v>
      </c>
      <c r="C67" s="640">
        <f t="shared" ref="C67:AB67" si="14">IF(C$66=0,0,ROUND(C60/(C$66*$F$65),0))</f>
        <v>0</v>
      </c>
      <c r="D67" s="640">
        <f t="shared" si="14"/>
        <v>0</v>
      </c>
      <c r="E67" s="640">
        <f t="shared" si="14"/>
        <v>0</v>
      </c>
      <c r="F67" s="640">
        <f t="shared" si="14"/>
        <v>0</v>
      </c>
      <c r="G67" s="640">
        <f t="shared" si="14"/>
        <v>0</v>
      </c>
      <c r="H67" s="640">
        <f t="shared" si="14"/>
        <v>0</v>
      </c>
      <c r="I67" s="640">
        <f t="shared" si="14"/>
        <v>0</v>
      </c>
      <c r="J67" s="640">
        <f t="shared" si="14"/>
        <v>0</v>
      </c>
      <c r="K67" s="640">
        <f t="shared" si="14"/>
        <v>0</v>
      </c>
      <c r="L67" s="640">
        <f t="shared" si="14"/>
        <v>0</v>
      </c>
      <c r="M67" s="640">
        <f t="shared" si="14"/>
        <v>0</v>
      </c>
      <c r="N67" s="640">
        <f t="shared" si="14"/>
        <v>0</v>
      </c>
      <c r="O67" s="640">
        <f t="shared" si="14"/>
        <v>0</v>
      </c>
      <c r="P67" s="640">
        <f t="shared" si="14"/>
        <v>0</v>
      </c>
      <c r="Q67" s="640">
        <f t="shared" si="14"/>
        <v>0</v>
      </c>
      <c r="R67" s="640">
        <f t="shared" si="14"/>
        <v>0</v>
      </c>
      <c r="S67" s="640">
        <f t="shared" si="14"/>
        <v>0</v>
      </c>
      <c r="T67" s="640">
        <f t="shared" si="14"/>
        <v>0</v>
      </c>
      <c r="U67" s="640">
        <f t="shared" si="14"/>
        <v>0</v>
      </c>
      <c r="V67" s="640">
        <f t="shared" si="14"/>
        <v>0</v>
      </c>
      <c r="W67" s="640">
        <f t="shared" si="14"/>
        <v>0</v>
      </c>
      <c r="X67" s="640">
        <f t="shared" si="14"/>
        <v>0</v>
      </c>
      <c r="Y67" s="640">
        <f t="shared" si="14"/>
        <v>0</v>
      </c>
      <c r="Z67" s="640">
        <f t="shared" si="14"/>
        <v>0</v>
      </c>
      <c r="AA67" s="640">
        <f t="shared" si="14"/>
        <v>0</v>
      </c>
      <c r="AB67" s="640">
        <f t="shared" si="14"/>
        <v>0</v>
      </c>
    </row>
    <row r="68" spans="2:28" outlineLevel="1">
      <c r="B68" s="22" t="str">
        <f>IF(Vaccine_Selection!$N$16="","",CONCATENATE($B61," - ",$B$66))</f>
        <v>Current schedule with penta 1d @ 3 months MaxiStock - HBC-340</v>
      </c>
      <c r="C68" s="640">
        <f t="shared" ref="C68:AB68" si="15">IF(C$66=0,0,ROUND(C61/(C$66*$F$65),0))</f>
        <v>0</v>
      </c>
      <c r="D68" s="640">
        <f t="shared" si="15"/>
        <v>0</v>
      </c>
      <c r="E68" s="640">
        <f t="shared" si="15"/>
        <v>0</v>
      </c>
      <c r="F68" s="640">
        <f t="shared" si="15"/>
        <v>0</v>
      </c>
      <c r="G68" s="640">
        <f t="shared" si="15"/>
        <v>0</v>
      </c>
      <c r="H68" s="640">
        <f t="shared" si="15"/>
        <v>0</v>
      </c>
      <c r="I68" s="640">
        <f t="shared" si="15"/>
        <v>0</v>
      </c>
      <c r="J68" s="640">
        <f t="shared" si="15"/>
        <v>0</v>
      </c>
      <c r="K68" s="640">
        <f t="shared" si="15"/>
        <v>0</v>
      </c>
      <c r="L68" s="640">
        <f t="shared" si="15"/>
        <v>0</v>
      </c>
      <c r="M68" s="640">
        <f t="shared" si="15"/>
        <v>0</v>
      </c>
      <c r="N68" s="640">
        <f t="shared" si="15"/>
        <v>0</v>
      </c>
      <c r="O68" s="640">
        <f t="shared" si="15"/>
        <v>0</v>
      </c>
      <c r="P68" s="640">
        <f t="shared" si="15"/>
        <v>1</v>
      </c>
      <c r="Q68" s="640">
        <f t="shared" si="15"/>
        <v>1</v>
      </c>
      <c r="R68" s="640">
        <f t="shared" si="15"/>
        <v>1</v>
      </c>
      <c r="S68" s="640">
        <f t="shared" si="15"/>
        <v>1</v>
      </c>
      <c r="T68" s="640">
        <f t="shared" si="15"/>
        <v>1</v>
      </c>
      <c r="U68" s="640">
        <f t="shared" si="15"/>
        <v>1</v>
      </c>
      <c r="V68" s="640">
        <f t="shared" si="15"/>
        <v>1</v>
      </c>
      <c r="W68" s="640">
        <f t="shared" si="15"/>
        <v>1</v>
      </c>
      <c r="X68" s="640">
        <f t="shared" si="15"/>
        <v>1</v>
      </c>
      <c r="Y68" s="640">
        <f t="shared" si="15"/>
        <v>1</v>
      </c>
      <c r="Z68" s="640">
        <f t="shared" si="15"/>
        <v>1</v>
      </c>
      <c r="AA68" s="640">
        <f t="shared" si="15"/>
        <v>1</v>
      </c>
      <c r="AB68" s="640">
        <f t="shared" si="15"/>
        <v>1</v>
      </c>
    </row>
    <row r="69" spans="2:28" outlineLevel="1">
      <c r="B69" s="22" t="str">
        <f>IF(Vaccine_Selection!$O$16="","",CONCATENATE($B62," - ",$B$66))</f>
        <v>Current schedule with penta CAD @ 3 months MaxiStock - HBC-340</v>
      </c>
      <c r="C69" s="640">
        <f t="shared" ref="C69:AB69" si="16">IF(C$66=0,0,ROUND(C62/(C$66*$F$65),0))</f>
        <v>0</v>
      </c>
      <c r="D69" s="640">
        <f t="shared" si="16"/>
        <v>0</v>
      </c>
      <c r="E69" s="640">
        <f t="shared" si="16"/>
        <v>0</v>
      </c>
      <c r="F69" s="640">
        <f t="shared" si="16"/>
        <v>0</v>
      </c>
      <c r="G69" s="640">
        <f t="shared" si="16"/>
        <v>0</v>
      </c>
      <c r="H69" s="640">
        <f t="shared" si="16"/>
        <v>0</v>
      </c>
      <c r="I69" s="640">
        <f t="shared" si="16"/>
        <v>0</v>
      </c>
      <c r="J69" s="640">
        <f t="shared" si="16"/>
        <v>0</v>
      </c>
      <c r="K69" s="640">
        <f t="shared" si="16"/>
        <v>0</v>
      </c>
      <c r="L69" s="640">
        <f t="shared" si="16"/>
        <v>0</v>
      </c>
      <c r="M69" s="640">
        <f t="shared" si="16"/>
        <v>0</v>
      </c>
      <c r="N69" s="640">
        <f t="shared" si="16"/>
        <v>0</v>
      </c>
      <c r="O69" s="640">
        <f t="shared" si="16"/>
        <v>0</v>
      </c>
      <c r="P69" s="640">
        <f t="shared" si="16"/>
        <v>0</v>
      </c>
      <c r="Q69" s="640">
        <f t="shared" si="16"/>
        <v>0</v>
      </c>
      <c r="R69" s="640">
        <f t="shared" si="16"/>
        <v>0</v>
      </c>
      <c r="S69" s="640">
        <f t="shared" si="16"/>
        <v>0</v>
      </c>
      <c r="T69" s="640">
        <f t="shared" si="16"/>
        <v>0</v>
      </c>
      <c r="U69" s="640">
        <f t="shared" si="16"/>
        <v>1</v>
      </c>
      <c r="V69" s="640">
        <f t="shared" si="16"/>
        <v>1</v>
      </c>
      <c r="W69" s="640">
        <f t="shared" si="16"/>
        <v>1</v>
      </c>
      <c r="X69" s="640">
        <f t="shared" si="16"/>
        <v>1</v>
      </c>
      <c r="Y69" s="640">
        <f t="shared" si="16"/>
        <v>1</v>
      </c>
      <c r="Z69" s="640">
        <f t="shared" si="16"/>
        <v>1</v>
      </c>
      <c r="AA69" s="640">
        <f t="shared" si="16"/>
        <v>1</v>
      </c>
      <c r="AB69" s="640">
        <f t="shared" si="16"/>
        <v>1</v>
      </c>
    </row>
    <row r="70" spans="2:28" outlineLevel="1">
      <c r="B70" s="22" t="str">
        <f>IF(Vaccine_Selection!$P$16="","",CONCATENATE($B63," - ",$B$66))</f>
        <v/>
      </c>
      <c r="C70" s="640">
        <f t="shared" ref="C70:AB70" si="17">IF(C$66=0,0,ROUND(C63/(C$66*$F$65),0))</f>
        <v>0</v>
      </c>
      <c r="D70" s="640">
        <f t="shared" si="17"/>
        <v>0</v>
      </c>
      <c r="E70" s="640">
        <f t="shared" si="17"/>
        <v>0</v>
      </c>
      <c r="F70" s="640">
        <f t="shared" si="17"/>
        <v>0</v>
      </c>
      <c r="G70" s="640">
        <f t="shared" si="17"/>
        <v>0</v>
      </c>
      <c r="H70" s="640">
        <f t="shared" si="17"/>
        <v>0</v>
      </c>
      <c r="I70" s="640">
        <f t="shared" si="17"/>
        <v>0</v>
      </c>
      <c r="J70" s="640">
        <f t="shared" si="17"/>
        <v>0</v>
      </c>
      <c r="K70" s="640">
        <f t="shared" si="17"/>
        <v>0</v>
      </c>
      <c r="L70" s="640">
        <f t="shared" si="17"/>
        <v>0</v>
      </c>
      <c r="M70" s="640">
        <f t="shared" si="17"/>
        <v>0</v>
      </c>
      <c r="N70" s="640">
        <f t="shared" si="17"/>
        <v>0</v>
      </c>
      <c r="O70" s="640">
        <f t="shared" si="17"/>
        <v>0</v>
      </c>
      <c r="P70" s="640">
        <f t="shared" si="17"/>
        <v>0</v>
      </c>
      <c r="Q70" s="640">
        <f t="shared" si="17"/>
        <v>0</v>
      </c>
      <c r="R70" s="640">
        <f t="shared" si="17"/>
        <v>0</v>
      </c>
      <c r="S70" s="640">
        <f t="shared" si="17"/>
        <v>0</v>
      </c>
      <c r="T70" s="640">
        <f t="shared" si="17"/>
        <v>0</v>
      </c>
      <c r="U70" s="640">
        <f t="shared" si="17"/>
        <v>0</v>
      </c>
      <c r="V70" s="640">
        <f t="shared" si="17"/>
        <v>0</v>
      </c>
      <c r="W70" s="640">
        <f t="shared" si="17"/>
        <v>0</v>
      </c>
      <c r="X70" s="640">
        <f t="shared" si="17"/>
        <v>0</v>
      </c>
      <c r="Y70" s="640">
        <f t="shared" si="17"/>
        <v>0</v>
      </c>
      <c r="Z70" s="640">
        <f t="shared" si="17"/>
        <v>0</v>
      </c>
      <c r="AA70" s="640">
        <f t="shared" si="17"/>
        <v>0</v>
      </c>
      <c r="AB70" s="640">
        <f t="shared" si="17"/>
        <v>0</v>
      </c>
    </row>
    <row r="71" spans="2:28" outlineLevel="1">
      <c r="B71" s="661" t="str">
        <f>IF(Vaccine_Selection!$Q$16="","",CONCATENATE($B64," - ",$B$66))</f>
        <v/>
      </c>
      <c r="C71" s="668">
        <f t="shared" ref="C71:AB71" si="18">IF(C$66=0,0,ROUND(C64/(C$66*$F$65),0))</f>
        <v>0</v>
      </c>
      <c r="D71" s="668">
        <f t="shared" si="18"/>
        <v>0</v>
      </c>
      <c r="E71" s="668">
        <f t="shared" si="18"/>
        <v>0</v>
      </c>
      <c r="F71" s="668">
        <f t="shared" si="18"/>
        <v>0</v>
      </c>
      <c r="G71" s="668">
        <f t="shared" si="18"/>
        <v>0</v>
      </c>
      <c r="H71" s="668">
        <f t="shared" si="18"/>
        <v>0</v>
      </c>
      <c r="I71" s="668">
        <f t="shared" si="18"/>
        <v>0</v>
      </c>
      <c r="J71" s="668">
        <f t="shared" si="18"/>
        <v>0</v>
      </c>
      <c r="K71" s="668">
        <f t="shared" si="18"/>
        <v>0</v>
      </c>
      <c r="L71" s="668">
        <f t="shared" si="18"/>
        <v>0</v>
      </c>
      <c r="M71" s="668">
        <f t="shared" si="18"/>
        <v>0</v>
      </c>
      <c r="N71" s="668">
        <f t="shared" si="18"/>
        <v>0</v>
      </c>
      <c r="O71" s="668">
        <f t="shared" si="18"/>
        <v>0</v>
      </c>
      <c r="P71" s="668">
        <f t="shared" si="18"/>
        <v>0</v>
      </c>
      <c r="Q71" s="668">
        <f t="shared" si="18"/>
        <v>0</v>
      </c>
      <c r="R71" s="668">
        <f t="shared" si="18"/>
        <v>0</v>
      </c>
      <c r="S71" s="668">
        <f t="shared" si="18"/>
        <v>0</v>
      </c>
      <c r="T71" s="668">
        <f t="shared" si="18"/>
        <v>0</v>
      </c>
      <c r="U71" s="668">
        <f t="shared" si="18"/>
        <v>0</v>
      </c>
      <c r="V71" s="668">
        <f t="shared" si="18"/>
        <v>0</v>
      </c>
      <c r="W71" s="668">
        <f t="shared" si="18"/>
        <v>0</v>
      </c>
      <c r="X71" s="668">
        <f t="shared" si="18"/>
        <v>0</v>
      </c>
      <c r="Y71" s="668">
        <f t="shared" si="18"/>
        <v>0</v>
      </c>
      <c r="Z71" s="668">
        <f t="shared" si="18"/>
        <v>0</v>
      </c>
      <c r="AA71" s="668">
        <f t="shared" si="18"/>
        <v>0</v>
      </c>
      <c r="AB71" s="668">
        <f t="shared" si="18"/>
        <v>0</v>
      </c>
    </row>
    <row r="72" spans="2:28" ht="12" outlineLevel="1">
      <c r="B72" s="658" t="str">
        <f>Translation!C42</f>
        <v>Estimate of cold-chain capacity per MaxiStock (litres)</v>
      </c>
      <c r="C72" s="652"/>
      <c r="D72" s="652"/>
      <c r="E72" s="653" t="str">
        <f>Translation!C45</f>
        <v>Select schedule</v>
      </c>
      <c r="F72" s="811" t="s">
        <v>1854</v>
      </c>
      <c r="G72" s="818"/>
      <c r="H72" s="652"/>
      <c r="I72" s="652"/>
      <c r="J72" s="652"/>
      <c r="K72" s="652"/>
      <c r="L72" s="652"/>
      <c r="M72" s="652"/>
      <c r="N72" s="652"/>
      <c r="O72" s="652"/>
      <c r="P72" s="652"/>
      <c r="Q72" s="652"/>
      <c r="R72" s="652"/>
      <c r="S72" s="652"/>
      <c r="T72" s="652"/>
      <c r="U72" s="652"/>
      <c r="V72" s="652"/>
      <c r="W72" s="652"/>
      <c r="X72" s="652"/>
      <c r="Y72" s="652"/>
      <c r="Z72" s="652"/>
      <c r="AA72" s="652"/>
      <c r="AB72" s="652"/>
    </row>
    <row r="73" spans="2:28" outlineLevel="1">
      <c r="B73" s="660" t="str">
        <f>IF(F51="","",CONCATENATE($F$72," @ ",$F51,$D$54," MaxiStock"))</f>
        <v>Current schedule @ 1.5 months MaxiStock</v>
      </c>
      <c r="C73" s="634">
        <f>SUMIF(Schedule,$F$72,Vaccine_Selection!$M$40:$Q$40)*$F51*C$58/12000</f>
        <v>10.044267222222221</v>
      </c>
      <c r="D73" s="634">
        <f>SUMIF(Schedule,$F$72,Vaccine_Selection!$M$40:$Q$40)*$F51*D$58/12000</f>
        <v>10.847808599999999</v>
      </c>
      <c r="E73" s="634">
        <f>SUMIF(Schedule,$F$72,Vaccine_Selection!$M$40:$Q$40)*$F51*E$58/12000</f>
        <v>11.651349977777777</v>
      </c>
      <c r="F73" s="634">
        <f>SUMIF(Schedule,$F$72,Vaccine_Selection!$M$40:$Q$40)*$F51*F$58/12000</f>
        <v>12.454891355555555</v>
      </c>
      <c r="G73" s="634">
        <f>SUMIF(Schedule,$F$72,Vaccine_Selection!$M$40:$Q$40)*$F51*G$58/12000</f>
        <v>13.258432733333333</v>
      </c>
      <c r="H73" s="634">
        <f>SUMIF(Schedule,$F$72,Vaccine_Selection!$M$40:$Q$40)*$F51*H$58/12000</f>
        <v>14.061974111111109</v>
      </c>
      <c r="I73" s="634">
        <f>SUMIF(Schedule,$F$72,Vaccine_Selection!$M$40:$Q$40)*$F51*I$58/12000</f>
        <v>14.865515488888889</v>
      </c>
      <c r="J73" s="634">
        <f>SUMIF(Schedule,$F$72,Vaccine_Selection!$M$40:$Q$40)*$F51*J$58/12000</f>
        <v>15.669056866666667</v>
      </c>
      <c r="K73" s="634">
        <f>SUMIF(Schedule,$F$72,Vaccine_Selection!$M$40:$Q$40)*$F51*K$58/12000</f>
        <v>16.472598244444441</v>
      </c>
      <c r="L73" s="634">
        <f>SUMIF(Schedule,$F$72,Vaccine_Selection!$M$40:$Q$40)*$F51*L$58/12000</f>
        <v>17.276139622222221</v>
      </c>
      <c r="M73" s="634">
        <f>SUMIF(Schedule,$F$72,Vaccine_Selection!$M$40:$Q$40)*$F51*M$58/12000</f>
        <v>18.079681000000001</v>
      </c>
      <c r="N73" s="634">
        <f>SUMIF(Schedule,$F$72,Vaccine_Selection!$M$40:$Q$40)*$F51*N$58/12000</f>
        <v>18.883222377777777</v>
      </c>
      <c r="O73" s="634">
        <f>SUMIF(Schedule,$F$72,Vaccine_Selection!$M$40:$Q$40)*$F51*O$58/12000</f>
        <v>19.686763755555553</v>
      </c>
      <c r="P73" s="634">
        <f>SUMIF(Schedule,$F$72,Vaccine_Selection!$M$40:$Q$40)*$F51*P$58/12000</f>
        <v>20.490305133333333</v>
      </c>
      <c r="Q73" s="634">
        <f>SUMIF(Schedule,$F$72,Vaccine_Selection!$M$40:$Q$40)*$F51*Q$58/12000</f>
        <v>21.293846511111109</v>
      </c>
      <c r="R73" s="634">
        <f>SUMIF(Schedule,$F$72,Vaccine_Selection!$M$40:$Q$40)*$F51*R$58/12000</f>
        <v>22.097387888888885</v>
      </c>
      <c r="S73" s="634">
        <f>SUMIF(Schedule,$F$72,Vaccine_Selection!$M$40:$Q$40)*$F51*S$58/12000</f>
        <v>22.900929266666665</v>
      </c>
      <c r="T73" s="634">
        <f>SUMIF(Schedule,$F$72,Vaccine_Selection!$M$40:$Q$40)*$F51*T$58/12000</f>
        <v>23.704470644444442</v>
      </c>
      <c r="U73" s="634">
        <f>SUMIF(Schedule,$F$72,Vaccine_Selection!$M$40:$Q$40)*$F51*U$58/12000</f>
        <v>24.508012022222221</v>
      </c>
      <c r="V73" s="634">
        <f>SUMIF(Schedule,$F$72,Vaccine_Selection!$M$40:$Q$40)*$F51*V$58/12000</f>
        <v>25.311553400000001</v>
      </c>
      <c r="W73" s="634">
        <f>SUMIF(Schedule,$F$72,Vaccine_Selection!$M$40:$Q$40)*$F51*W$58/12000</f>
        <v>26.115094777777777</v>
      </c>
      <c r="X73" s="634">
        <f>SUMIF(Schedule,$F$72,Vaccine_Selection!$M$40:$Q$40)*$F51*X$58/12000</f>
        <v>26.918636155555554</v>
      </c>
      <c r="Y73" s="634">
        <f>SUMIF(Schedule,$F$72,Vaccine_Selection!$M$40:$Q$40)*$F51*Y$58/12000</f>
        <v>27.72217753333333</v>
      </c>
      <c r="Z73" s="634">
        <f>SUMIF(Schedule,$F$72,Vaccine_Selection!$M$40:$Q$40)*$F51*Z$58/12000</f>
        <v>28.525718911111106</v>
      </c>
      <c r="AA73" s="634">
        <f>SUMIF(Schedule,$F$72,Vaccine_Selection!$M$40:$Q$40)*$F51*AA$58/12000</f>
        <v>29.329260288888886</v>
      </c>
      <c r="AB73" s="634">
        <f>SUMIF(Schedule,$F$72,Vaccine_Selection!$M$40:$Q$40)*$F51*AB$58/12000</f>
        <v>30.132801666666666</v>
      </c>
    </row>
    <row r="74" spans="2:28" outlineLevel="1">
      <c r="B74" s="22" t="str">
        <f>IF(F52="","",CONCATENATE($F$72," @ ",$F52,$D$54," MaxiStock"))</f>
        <v>Current schedule @ 2 months MaxiStock</v>
      </c>
      <c r="C74" s="637">
        <f>SUMIF(Schedule,$F$72,Vaccine_Selection!$M$40:$Q$40)*$F52*C$58/12000</f>
        <v>13.392356296296297</v>
      </c>
      <c r="D74" s="637">
        <f>SUMIF(Schedule,$F$72,Vaccine_Selection!$M$40:$Q$40)*$F52*D$58/12000</f>
        <v>14.463744800000001</v>
      </c>
      <c r="E74" s="637">
        <f>SUMIF(Schedule,$F$72,Vaccine_Selection!$M$40:$Q$40)*$F52*E$58/12000</f>
        <v>15.535133303703704</v>
      </c>
      <c r="F74" s="637">
        <f>SUMIF(Schedule,$F$72,Vaccine_Selection!$M$40:$Q$40)*$F52*F$58/12000</f>
        <v>16.606521807407407</v>
      </c>
      <c r="G74" s="637">
        <f>SUMIF(Schedule,$F$72,Vaccine_Selection!$M$40:$Q$40)*$F52*G$58/12000</f>
        <v>17.677910311111109</v>
      </c>
      <c r="H74" s="637">
        <f>SUMIF(Schedule,$F$72,Vaccine_Selection!$M$40:$Q$40)*$F52*H$58/12000</f>
        <v>18.749298814814814</v>
      </c>
      <c r="I74" s="637">
        <f>SUMIF(Schedule,$F$72,Vaccine_Selection!$M$40:$Q$40)*$F52*I$58/12000</f>
        <v>19.820687318518516</v>
      </c>
      <c r="J74" s="637">
        <f>SUMIF(Schedule,$F$72,Vaccine_Selection!$M$40:$Q$40)*$F52*J$58/12000</f>
        <v>20.892075822222225</v>
      </c>
      <c r="K74" s="637">
        <f>SUMIF(Schedule,$F$72,Vaccine_Selection!$M$40:$Q$40)*$F52*K$58/12000</f>
        <v>21.963464325925926</v>
      </c>
      <c r="L74" s="637">
        <f>SUMIF(Schedule,$F$72,Vaccine_Selection!$M$40:$Q$40)*$F52*L$58/12000</f>
        <v>23.034852829629628</v>
      </c>
      <c r="M74" s="637">
        <f>SUMIF(Schedule,$F$72,Vaccine_Selection!$M$40:$Q$40)*$F52*M$58/12000</f>
        <v>24.106241333333333</v>
      </c>
      <c r="N74" s="637">
        <f>SUMIF(Schedule,$F$72,Vaccine_Selection!$M$40:$Q$40)*$F52*N$58/12000</f>
        <v>25.177629837037035</v>
      </c>
      <c r="O74" s="637">
        <f>SUMIF(Schedule,$F$72,Vaccine_Selection!$M$40:$Q$40)*$F52*O$58/12000</f>
        <v>26.24901834074074</v>
      </c>
      <c r="P74" s="637">
        <f>SUMIF(Schedule,$F$72,Vaccine_Selection!$M$40:$Q$40)*$F52*P$58/12000</f>
        <v>27.320406844444445</v>
      </c>
      <c r="Q74" s="637">
        <f>SUMIF(Schedule,$F$72,Vaccine_Selection!$M$40:$Q$40)*$F52*Q$58/12000</f>
        <v>28.391795348148147</v>
      </c>
      <c r="R74" s="637">
        <f>SUMIF(Schedule,$F$72,Vaccine_Selection!$M$40:$Q$40)*$F52*R$58/12000</f>
        <v>29.463183851851852</v>
      </c>
      <c r="S74" s="637">
        <f>SUMIF(Schedule,$F$72,Vaccine_Selection!$M$40:$Q$40)*$F52*S$58/12000</f>
        <v>30.534572355555554</v>
      </c>
      <c r="T74" s="637">
        <f>SUMIF(Schedule,$F$72,Vaccine_Selection!$M$40:$Q$40)*$F52*T$58/12000</f>
        <v>31.605960859259259</v>
      </c>
      <c r="U74" s="637">
        <f>SUMIF(Schedule,$F$72,Vaccine_Selection!$M$40:$Q$40)*$F52*U$58/12000</f>
        <v>32.677349362962964</v>
      </c>
      <c r="V74" s="637">
        <f>SUMIF(Schedule,$F$72,Vaccine_Selection!$M$40:$Q$40)*$F52*V$58/12000</f>
        <v>33.748737866666666</v>
      </c>
      <c r="W74" s="637">
        <f>SUMIF(Schedule,$F$72,Vaccine_Selection!$M$40:$Q$40)*$F52*W$58/12000</f>
        <v>34.820126370370367</v>
      </c>
      <c r="X74" s="637">
        <f>SUMIF(Schedule,$F$72,Vaccine_Selection!$M$40:$Q$40)*$F52*X$58/12000</f>
        <v>35.891514874074076</v>
      </c>
      <c r="Y74" s="637">
        <f>SUMIF(Schedule,$F$72,Vaccine_Selection!$M$40:$Q$40)*$F52*Y$58/12000</f>
        <v>36.962903377777778</v>
      </c>
      <c r="Z74" s="637">
        <f>SUMIF(Schedule,$F$72,Vaccine_Selection!$M$40:$Q$40)*$F52*Z$58/12000</f>
        <v>38.034291881481479</v>
      </c>
      <c r="AA74" s="637">
        <f>SUMIF(Schedule,$F$72,Vaccine_Selection!$M$40:$Q$40)*$F52*AA$58/12000</f>
        <v>39.105680385185188</v>
      </c>
      <c r="AB74" s="637">
        <f>SUMIF(Schedule,$F$72,Vaccine_Selection!$M$40:$Q$40)*$F52*AB$58/12000</f>
        <v>40.17706888888889</v>
      </c>
    </row>
    <row r="75" spans="2:28" outlineLevel="1">
      <c r="B75" s="22" t="str">
        <f>IF(F53="","",CONCATENATE($F$72," @ ",$F53,$D$54," MaxiStock"))</f>
        <v>Current schedule @ 3 months MaxiStock</v>
      </c>
      <c r="C75" s="637">
        <f>SUMIF(Schedule,$F$72,Vaccine_Selection!$M$40:$Q$40)*$F53*C$58/12000</f>
        <v>20.088534444444441</v>
      </c>
      <c r="D75" s="637">
        <f>SUMIF(Schedule,$F$72,Vaccine_Selection!$M$40:$Q$40)*$F53*D$58/12000</f>
        <v>21.695617199999997</v>
      </c>
      <c r="E75" s="637">
        <f>SUMIF(Schedule,$F$72,Vaccine_Selection!$M$40:$Q$40)*$F53*E$58/12000</f>
        <v>23.302699955555553</v>
      </c>
      <c r="F75" s="637">
        <f>SUMIF(Schedule,$F$72,Vaccine_Selection!$M$40:$Q$40)*$F53*F$58/12000</f>
        <v>24.909782711111109</v>
      </c>
      <c r="G75" s="637">
        <f>SUMIF(Schedule,$F$72,Vaccine_Selection!$M$40:$Q$40)*$F53*G$58/12000</f>
        <v>26.516865466666665</v>
      </c>
      <c r="H75" s="637">
        <f>SUMIF(Schedule,$F$72,Vaccine_Selection!$M$40:$Q$40)*$F53*H$58/12000</f>
        <v>28.123948222222218</v>
      </c>
      <c r="I75" s="637">
        <f>SUMIF(Schedule,$F$72,Vaccine_Selection!$M$40:$Q$40)*$F53*I$58/12000</f>
        <v>29.731030977777777</v>
      </c>
      <c r="J75" s="637">
        <f>SUMIF(Schedule,$F$72,Vaccine_Selection!$M$40:$Q$40)*$F53*J$58/12000</f>
        <v>31.338113733333333</v>
      </c>
      <c r="K75" s="637">
        <f>SUMIF(Schedule,$F$72,Vaccine_Selection!$M$40:$Q$40)*$F53*K$58/12000</f>
        <v>32.945196488888882</v>
      </c>
      <c r="L75" s="637">
        <f>SUMIF(Schedule,$F$72,Vaccine_Selection!$M$40:$Q$40)*$F53*L$58/12000</f>
        <v>34.552279244444442</v>
      </c>
      <c r="M75" s="637">
        <f>SUMIF(Schedule,$F$72,Vaccine_Selection!$M$40:$Q$40)*$F53*M$58/12000</f>
        <v>36.159362000000002</v>
      </c>
      <c r="N75" s="637">
        <f>SUMIF(Schedule,$F$72,Vaccine_Selection!$M$40:$Q$40)*$F53*N$58/12000</f>
        <v>37.766444755555554</v>
      </c>
      <c r="O75" s="637">
        <f>SUMIF(Schedule,$F$72,Vaccine_Selection!$M$40:$Q$40)*$F53*O$58/12000</f>
        <v>39.373527511111106</v>
      </c>
      <c r="P75" s="637">
        <f>SUMIF(Schedule,$F$72,Vaccine_Selection!$M$40:$Q$40)*$F53*P$58/12000</f>
        <v>40.980610266666666</v>
      </c>
      <c r="Q75" s="637">
        <f>SUMIF(Schedule,$F$72,Vaccine_Selection!$M$40:$Q$40)*$F53*Q$58/12000</f>
        <v>42.587693022222219</v>
      </c>
      <c r="R75" s="637">
        <f>SUMIF(Schedule,$F$72,Vaccine_Selection!$M$40:$Q$40)*$F53*R$58/12000</f>
        <v>44.194775777777771</v>
      </c>
      <c r="S75" s="637">
        <f>SUMIF(Schedule,$F$72,Vaccine_Selection!$M$40:$Q$40)*$F53*S$58/12000</f>
        <v>45.801858533333331</v>
      </c>
      <c r="T75" s="637">
        <f>SUMIF(Schedule,$F$72,Vaccine_Selection!$M$40:$Q$40)*$F53*T$58/12000</f>
        <v>47.408941288888883</v>
      </c>
      <c r="U75" s="637">
        <f>SUMIF(Schedule,$F$72,Vaccine_Selection!$M$40:$Q$40)*$F53*U$58/12000</f>
        <v>49.016024044444443</v>
      </c>
      <c r="V75" s="637">
        <f>SUMIF(Schedule,$F$72,Vaccine_Selection!$M$40:$Q$40)*$F53*V$58/12000</f>
        <v>50.623106800000002</v>
      </c>
      <c r="W75" s="637">
        <f>SUMIF(Schedule,$F$72,Vaccine_Selection!$M$40:$Q$40)*$F53*W$58/12000</f>
        <v>52.230189555555555</v>
      </c>
      <c r="X75" s="637">
        <f>SUMIF(Schedule,$F$72,Vaccine_Selection!$M$40:$Q$40)*$F53*X$58/12000</f>
        <v>53.837272311111107</v>
      </c>
      <c r="Y75" s="637">
        <f>SUMIF(Schedule,$F$72,Vaccine_Selection!$M$40:$Q$40)*$F53*Y$58/12000</f>
        <v>55.44435506666666</v>
      </c>
      <c r="Z75" s="637">
        <f>SUMIF(Schedule,$F$72,Vaccine_Selection!$M$40:$Q$40)*$F53*Z$58/12000</f>
        <v>57.051437822222212</v>
      </c>
      <c r="AA75" s="637">
        <f>SUMIF(Schedule,$F$72,Vaccine_Selection!$M$40:$Q$40)*$F53*AA$58/12000</f>
        <v>58.658520577777772</v>
      </c>
      <c r="AB75" s="637">
        <f>SUMIF(Schedule,$F$72,Vaccine_Selection!$M$40:$Q$40)*$F53*AB$58/12000</f>
        <v>60.265603333333331</v>
      </c>
    </row>
    <row r="76" spans="2:28" outlineLevel="1">
      <c r="B76" s="661" t="str">
        <f>IF(F54="","",CONCATENATE($F$72," @ ",$F54,$D$54," MaxiStock"))</f>
        <v/>
      </c>
      <c r="C76" s="639">
        <f>SUMIF(Schedule,$F$72,Vaccine_Selection!$M$40:$Q$40)*$F54*C$58/12000</f>
        <v>0</v>
      </c>
      <c r="D76" s="639">
        <f>SUMIF(Schedule,$F$72,Vaccine_Selection!$M$40:$Q$40)*$F54*D$58/12000</f>
        <v>0</v>
      </c>
      <c r="E76" s="639">
        <f>SUMIF(Schedule,$F$72,Vaccine_Selection!$M$40:$Q$40)*$F54*E$58/12000</f>
        <v>0</v>
      </c>
      <c r="F76" s="639">
        <f>SUMIF(Schedule,$F$72,Vaccine_Selection!$M$40:$Q$40)*$F54*F$58/12000</f>
        <v>0</v>
      </c>
      <c r="G76" s="639">
        <f>SUMIF(Schedule,$F$72,Vaccine_Selection!$M$40:$Q$40)*$F54*G$58/12000</f>
        <v>0</v>
      </c>
      <c r="H76" s="639">
        <f>SUMIF(Schedule,$F$72,Vaccine_Selection!$M$40:$Q$40)*$F54*H$58/12000</f>
        <v>0</v>
      </c>
      <c r="I76" s="639">
        <f>SUMIF(Schedule,$F$72,Vaccine_Selection!$M$40:$Q$40)*$F54*I$58/12000</f>
        <v>0</v>
      </c>
      <c r="J76" s="639">
        <f>SUMIF(Schedule,$F$72,Vaccine_Selection!$M$40:$Q$40)*$F54*J$58/12000</f>
        <v>0</v>
      </c>
      <c r="K76" s="639">
        <f>SUMIF(Schedule,$F$72,Vaccine_Selection!$M$40:$Q$40)*$F54*K$58/12000</f>
        <v>0</v>
      </c>
      <c r="L76" s="639">
        <f>SUMIF(Schedule,$F$72,Vaccine_Selection!$M$40:$Q$40)*$F54*L$58/12000</f>
        <v>0</v>
      </c>
      <c r="M76" s="639">
        <f>SUMIF(Schedule,$F$72,Vaccine_Selection!$M$40:$Q$40)*$F54*M$58/12000</f>
        <v>0</v>
      </c>
      <c r="N76" s="639">
        <f>SUMIF(Schedule,$F$72,Vaccine_Selection!$M$40:$Q$40)*$F54*N$58/12000</f>
        <v>0</v>
      </c>
      <c r="O76" s="639">
        <f>SUMIF(Schedule,$F$72,Vaccine_Selection!$M$40:$Q$40)*$F54*O$58/12000</f>
        <v>0</v>
      </c>
      <c r="P76" s="639">
        <f>SUMIF(Schedule,$F$72,Vaccine_Selection!$M$40:$Q$40)*$F54*P$58/12000</f>
        <v>0</v>
      </c>
      <c r="Q76" s="639">
        <f>SUMIF(Schedule,$F$72,Vaccine_Selection!$M$40:$Q$40)*$F54*Q$58/12000</f>
        <v>0</v>
      </c>
      <c r="R76" s="639">
        <f>SUMIF(Schedule,$F$72,Vaccine_Selection!$M$40:$Q$40)*$F54*R$58/12000</f>
        <v>0</v>
      </c>
      <c r="S76" s="639">
        <f>SUMIF(Schedule,$F$72,Vaccine_Selection!$M$40:$Q$40)*$F54*S$58/12000</f>
        <v>0</v>
      </c>
      <c r="T76" s="639">
        <f>SUMIF(Schedule,$F$72,Vaccine_Selection!$M$40:$Q$40)*$F54*T$58/12000</f>
        <v>0</v>
      </c>
      <c r="U76" s="639">
        <f>SUMIF(Schedule,$F$72,Vaccine_Selection!$M$40:$Q$40)*$F54*U$58/12000</f>
        <v>0</v>
      </c>
      <c r="V76" s="639">
        <f>SUMIF(Schedule,$F$72,Vaccine_Selection!$M$40:$Q$40)*$F54*V$58/12000</f>
        <v>0</v>
      </c>
      <c r="W76" s="639">
        <f>SUMIF(Schedule,$F$72,Vaccine_Selection!$M$40:$Q$40)*$F54*W$58/12000</f>
        <v>0</v>
      </c>
      <c r="X76" s="639">
        <f>SUMIF(Schedule,$F$72,Vaccine_Selection!$M$40:$Q$40)*$F54*X$58/12000</f>
        <v>0</v>
      </c>
      <c r="Y76" s="639">
        <f>SUMIF(Schedule,$F$72,Vaccine_Selection!$M$40:$Q$40)*$F54*Y$58/12000</f>
        <v>0</v>
      </c>
      <c r="Z76" s="639">
        <f>SUMIF(Schedule,$F$72,Vaccine_Selection!$M$40:$Q$40)*$F54*Z$58/12000</f>
        <v>0</v>
      </c>
      <c r="AA76" s="639">
        <f>SUMIF(Schedule,$F$72,Vaccine_Selection!$M$40:$Q$40)*$F54*AA$58/12000</f>
        <v>0</v>
      </c>
      <c r="AB76" s="639">
        <f>SUMIF(Schedule,$F$72,Vaccine_Selection!$M$40:$Q$40)*$F54*AB$58/12000</f>
        <v>0</v>
      </c>
    </row>
    <row r="77" spans="2:28" ht="12" outlineLevel="1">
      <c r="B77" s="658" t="str">
        <f>Translation!C39</f>
        <v>Estimate of equipment requirements per MaxiStock</v>
      </c>
      <c r="C77" s="652"/>
      <c r="D77" s="652"/>
      <c r="E77" s="653" t="str">
        <f>Translation!C40</f>
        <v>Equipment utilization factor (%)</v>
      </c>
      <c r="F77" s="647">
        <v>0.8</v>
      </c>
      <c r="G77" s="652"/>
      <c r="H77" s="652"/>
      <c r="I77" s="652"/>
      <c r="J77" s="652"/>
      <c r="K77" s="652"/>
      <c r="L77" s="652"/>
      <c r="M77" s="652"/>
      <c r="N77" s="652"/>
      <c r="O77" s="652"/>
      <c r="P77" s="652"/>
      <c r="Q77" s="652"/>
      <c r="R77" s="652"/>
      <c r="S77" s="652"/>
      <c r="T77" s="652"/>
      <c r="U77" s="652"/>
      <c r="V77" s="652"/>
      <c r="W77" s="652"/>
      <c r="X77" s="652"/>
      <c r="Y77" s="652"/>
      <c r="Z77" s="652"/>
      <c r="AA77" s="652"/>
      <c r="AB77" s="652"/>
    </row>
    <row r="78" spans="2:28" ht="12" outlineLevel="1">
      <c r="B78" s="644" t="s">
        <v>73</v>
      </c>
      <c r="C78" s="634">
        <f>SUMIF(Eqpt_list,$B78,PQEquipment!$I$6:$I$97)</f>
        <v>103</v>
      </c>
      <c r="D78" s="634">
        <f t="shared" ref="D78:AB78" si="19">C78</f>
        <v>103</v>
      </c>
      <c r="E78" s="634">
        <f t="shared" si="19"/>
        <v>103</v>
      </c>
      <c r="F78" s="634">
        <f t="shared" si="19"/>
        <v>103</v>
      </c>
      <c r="G78" s="634">
        <f t="shared" si="19"/>
        <v>103</v>
      </c>
      <c r="H78" s="634">
        <f t="shared" si="19"/>
        <v>103</v>
      </c>
      <c r="I78" s="634">
        <f t="shared" si="19"/>
        <v>103</v>
      </c>
      <c r="J78" s="634">
        <f t="shared" si="19"/>
        <v>103</v>
      </c>
      <c r="K78" s="634">
        <f t="shared" si="19"/>
        <v>103</v>
      </c>
      <c r="L78" s="634">
        <f t="shared" si="19"/>
        <v>103</v>
      </c>
      <c r="M78" s="634">
        <f t="shared" si="19"/>
        <v>103</v>
      </c>
      <c r="N78" s="634">
        <f t="shared" si="19"/>
        <v>103</v>
      </c>
      <c r="O78" s="634">
        <f t="shared" si="19"/>
        <v>103</v>
      </c>
      <c r="P78" s="634">
        <f t="shared" si="19"/>
        <v>103</v>
      </c>
      <c r="Q78" s="634">
        <f t="shared" si="19"/>
        <v>103</v>
      </c>
      <c r="R78" s="634">
        <f t="shared" si="19"/>
        <v>103</v>
      </c>
      <c r="S78" s="634">
        <f t="shared" si="19"/>
        <v>103</v>
      </c>
      <c r="T78" s="634">
        <f t="shared" si="19"/>
        <v>103</v>
      </c>
      <c r="U78" s="634">
        <f t="shared" si="19"/>
        <v>103</v>
      </c>
      <c r="V78" s="634">
        <f t="shared" si="19"/>
        <v>103</v>
      </c>
      <c r="W78" s="634">
        <f t="shared" si="19"/>
        <v>103</v>
      </c>
      <c r="X78" s="634">
        <f t="shared" si="19"/>
        <v>103</v>
      </c>
      <c r="Y78" s="634">
        <f t="shared" si="19"/>
        <v>103</v>
      </c>
      <c r="Z78" s="634">
        <f t="shared" si="19"/>
        <v>103</v>
      </c>
      <c r="AA78" s="634">
        <f t="shared" si="19"/>
        <v>103</v>
      </c>
      <c r="AB78" s="634">
        <f t="shared" si="19"/>
        <v>103</v>
      </c>
    </row>
    <row r="79" spans="2:28" outlineLevel="1">
      <c r="B79" s="22" t="str">
        <f>IF(F51="","",CONCATENATE(B73," - ",$B$78))</f>
        <v>Current schedule @ 1.5 months MaxiStock - BLF100AC</v>
      </c>
      <c r="C79" s="667">
        <f t="shared" ref="C79:AB79" si="20">IF(C$78=0,0,ROUND(C73/(C$78*$F$77),0))</f>
        <v>0</v>
      </c>
      <c r="D79" s="667">
        <f t="shared" si="20"/>
        <v>0</v>
      </c>
      <c r="E79" s="667">
        <f t="shared" si="20"/>
        <v>0</v>
      </c>
      <c r="F79" s="667">
        <f t="shared" si="20"/>
        <v>0</v>
      </c>
      <c r="G79" s="667">
        <f t="shared" si="20"/>
        <v>0</v>
      </c>
      <c r="H79" s="667">
        <f t="shared" si="20"/>
        <v>0</v>
      </c>
      <c r="I79" s="667">
        <f t="shared" si="20"/>
        <v>0</v>
      </c>
      <c r="J79" s="667">
        <f t="shared" si="20"/>
        <v>0</v>
      </c>
      <c r="K79" s="667">
        <f t="shared" si="20"/>
        <v>0</v>
      </c>
      <c r="L79" s="667">
        <f t="shared" si="20"/>
        <v>0</v>
      </c>
      <c r="M79" s="667">
        <f t="shared" si="20"/>
        <v>0</v>
      </c>
      <c r="N79" s="667">
        <f t="shared" si="20"/>
        <v>0</v>
      </c>
      <c r="O79" s="667">
        <f t="shared" si="20"/>
        <v>0</v>
      </c>
      <c r="P79" s="667">
        <f t="shared" si="20"/>
        <v>0</v>
      </c>
      <c r="Q79" s="667">
        <f t="shared" si="20"/>
        <v>0</v>
      </c>
      <c r="R79" s="667">
        <f t="shared" si="20"/>
        <v>0</v>
      </c>
      <c r="S79" s="667">
        <f t="shared" si="20"/>
        <v>0</v>
      </c>
      <c r="T79" s="667">
        <f t="shared" si="20"/>
        <v>0</v>
      </c>
      <c r="U79" s="667">
        <f t="shared" si="20"/>
        <v>0</v>
      </c>
      <c r="V79" s="667">
        <f t="shared" si="20"/>
        <v>0</v>
      </c>
      <c r="W79" s="667">
        <f t="shared" si="20"/>
        <v>0</v>
      </c>
      <c r="X79" s="667">
        <f t="shared" si="20"/>
        <v>0</v>
      </c>
      <c r="Y79" s="667">
        <f t="shared" si="20"/>
        <v>0</v>
      </c>
      <c r="Z79" s="667">
        <f t="shared" si="20"/>
        <v>0</v>
      </c>
      <c r="AA79" s="667">
        <f t="shared" si="20"/>
        <v>0</v>
      </c>
      <c r="AB79" s="667">
        <f t="shared" si="20"/>
        <v>0</v>
      </c>
    </row>
    <row r="80" spans="2:28" outlineLevel="1">
      <c r="B80" s="22" t="str">
        <f>IF(F52="","",CONCATENATE(B74," - ",$B$78))</f>
        <v>Current schedule @ 2 months MaxiStock - BLF100AC</v>
      </c>
      <c r="C80" s="667">
        <f t="shared" ref="C80:AB80" si="21">IF(C$78=0,0,ROUND(C74/(C$78*$F$77),0))</f>
        <v>0</v>
      </c>
      <c r="D80" s="667">
        <f t="shared" si="21"/>
        <v>0</v>
      </c>
      <c r="E80" s="667">
        <f t="shared" si="21"/>
        <v>0</v>
      </c>
      <c r="F80" s="667">
        <f t="shared" si="21"/>
        <v>0</v>
      </c>
      <c r="G80" s="667">
        <f t="shared" si="21"/>
        <v>0</v>
      </c>
      <c r="H80" s="667">
        <f t="shared" si="21"/>
        <v>0</v>
      </c>
      <c r="I80" s="667">
        <f t="shared" si="21"/>
        <v>0</v>
      </c>
      <c r="J80" s="667">
        <f t="shared" si="21"/>
        <v>0</v>
      </c>
      <c r="K80" s="667">
        <f t="shared" si="21"/>
        <v>0</v>
      </c>
      <c r="L80" s="667">
        <f t="shared" si="21"/>
        <v>0</v>
      </c>
      <c r="M80" s="667">
        <f t="shared" si="21"/>
        <v>0</v>
      </c>
      <c r="N80" s="667">
        <f t="shared" si="21"/>
        <v>0</v>
      </c>
      <c r="O80" s="667">
        <f t="shared" si="21"/>
        <v>0</v>
      </c>
      <c r="P80" s="667">
        <f t="shared" si="21"/>
        <v>0</v>
      </c>
      <c r="Q80" s="667">
        <f t="shared" si="21"/>
        <v>0</v>
      </c>
      <c r="R80" s="667">
        <f t="shared" si="21"/>
        <v>0</v>
      </c>
      <c r="S80" s="667">
        <f t="shared" si="21"/>
        <v>0</v>
      </c>
      <c r="T80" s="667">
        <f t="shared" si="21"/>
        <v>0</v>
      </c>
      <c r="U80" s="667">
        <f t="shared" si="21"/>
        <v>0</v>
      </c>
      <c r="V80" s="667">
        <f t="shared" si="21"/>
        <v>0</v>
      </c>
      <c r="W80" s="667">
        <f t="shared" si="21"/>
        <v>0</v>
      </c>
      <c r="X80" s="667">
        <f t="shared" si="21"/>
        <v>0</v>
      </c>
      <c r="Y80" s="667">
        <f t="shared" si="21"/>
        <v>0</v>
      </c>
      <c r="Z80" s="667">
        <f t="shared" si="21"/>
        <v>0</v>
      </c>
      <c r="AA80" s="667">
        <f t="shared" si="21"/>
        <v>0</v>
      </c>
      <c r="AB80" s="667">
        <f t="shared" si="21"/>
        <v>0</v>
      </c>
    </row>
    <row r="81" spans="2:28" outlineLevel="1">
      <c r="B81" s="22" t="str">
        <f>IF(F53="","",CONCATENATE(B75," - ",$B$78))</f>
        <v>Current schedule @ 3 months MaxiStock - BLF100AC</v>
      </c>
      <c r="C81" s="667">
        <f t="shared" ref="C81:AB81" si="22">IF(C$78=0,0,ROUND(C75/(C$78*$F$77),0))</f>
        <v>0</v>
      </c>
      <c r="D81" s="667">
        <f t="shared" si="22"/>
        <v>0</v>
      </c>
      <c r="E81" s="667">
        <f t="shared" si="22"/>
        <v>0</v>
      </c>
      <c r="F81" s="667">
        <f t="shared" si="22"/>
        <v>0</v>
      </c>
      <c r="G81" s="667">
        <f t="shared" si="22"/>
        <v>0</v>
      </c>
      <c r="H81" s="667">
        <f t="shared" si="22"/>
        <v>0</v>
      </c>
      <c r="I81" s="667">
        <f t="shared" si="22"/>
        <v>0</v>
      </c>
      <c r="J81" s="667">
        <f t="shared" si="22"/>
        <v>0</v>
      </c>
      <c r="K81" s="667">
        <f t="shared" si="22"/>
        <v>0</v>
      </c>
      <c r="L81" s="667">
        <f t="shared" si="22"/>
        <v>0</v>
      </c>
      <c r="M81" s="667">
        <f t="shared" si="22"/>
        <v>0</v>
      </c>
      <c r="N81" s="667">
        <f t="shared" si="22"/>
        <v>0</v>
      </c>
      <c r="O81" s="667">
        <f t="shared" si="22"/>
        <v>0</v>
      </c>
      <c r="P81" s="667">
        <f t="shared" si="22"/>
        <v>0</v>
      </c>
      <c r="Q81" s="667">
        <f t="shared" si="22"/>
        <v>1</v>
      </c>
      <c r="R81" s="667">
        <f t="shared" si="22"/>
        <v>1</v>
      </c>
      <c r="S81" s="667">
        <f t="shared" si="22"/>
        <v>1</v>
      </c>
      <c r="T81" s="667">
        <f t="shared" si="22"/>
        <v>1</v>
      </c>
      <c r="U81" s="667">
        <f t="shared" si="22"/>
        <v>1</v>
      </c>
      <c r="V81" s="667">
        <f t="shared" si="22"/>
        <v>1</v>
      </c>
      <c r="W81" s="667">
        <f t="shared" si="22"/>
        <v>1</v>
      </c>
      <c r="X81" s="667">
        <f t="shared" si="22"/>
        <v>1</v>
      </c>
      <c r="Y81" s="667">
        <f t="shared" si="22"/>
        <v>1</v>
      </c>
      <c r="Z81" s="667">
        <f t="shared" si="22"/>
        <v>1</v>
      </c>
      <c r="AA81" s="667">
        <f t="shared" si="22"/>
        <v>1</v>
      </c>
      <c r="AB81" s="667">
        <f t="shared" si="22"/>
        <v>1</v>
      </c>
    </row>
    <row r="82" spans="2:28" outlineLevel="1">
      <c r="B82" s="661" t="str">
        <f>IF(F54="","",CONCATENATE(B76," - ",$B$78))</f>
        <v/>
      </c>
      <c r="C82" s="668">
        <f t="shared" ref="C82:AB82" si="23">IF(C$78=0,0,ROUND(C76/(C$78*$F$77),0))</f>
        <v>0</v>
      </c>
      <c r="D82" s="668">
        <f t="shared" si="23"/>
        <v>0</v>
      </c>
      <c r="E82" s="668">
        <f t="shared" si="23"/>
        <v>0</v>
      </c>
      <c r="F82" s="668">
        <f t="shared" si="23"/>
        <v>0</v>
      </c>
      <c r="G82" s="668">
        <f t="shared" si="23"/>
        <v>0</v>
      </c>
      <c r="H82" s="668">
        <f t="shared" si="23"/>
        <v>0</v>
      </c>
      <c r="I82" s="668">
        <f t="shared" si="23"/>
        <v>0</v>
      </c>
      <c r="J82" s="668">
        <f t="shared" si="23"/>
        <v>0</v>
      </c>
      <c r="K82" s="668">
        <f t="shared" si="23"/>
        <v>0</v>
      </c>
      <c r="L82" s="668">
        <f t="shared" si="23"/>
        <v>0</v>
      </c>
      <c r="M82" s="668">
        <f t="shared" si="23"/>
        <v>0</v>
      </c>
      <c r="N82" s="668">
        <f t="shared" si="23"/>
        <v>0</v>
      </c>
      <c r="O82" s="668">
        <f t="shared" si="23"/>
        <v>0</v>
      </c>
      <c r="P82" s="668">
        <f t="shared" si="23"/>
        <v>0</v>
      </c>
      <c r="Q82" s="668">
        <f t="shared" si="23"/>
        <v>0</v>
      </c>
      <c r="R82" s="668">
        <f t="shared" si="23"/>
        <v>0</v>
      </c>
      <c r="S82" s="668">
        <f t="shared" si="23"/>
        <v>0</v>
      </c>
      <c r="T82" s="668">
        <f t="shared" si="23"/>
        <v>0</v>
      </c>
      <c r="U82" s="668">
        <f t="shared" si="23"/>
        <v>0</v>
      </c>
      <c r="V82" s="668">
        <f t="shared" si="23"/>
        <v>0</v>
      </c>
      <c r="W82" s="668">
        <f t="shared" si="23"/>
        <v>0</v>
      </c>
      <c r="X82" s="668">
        <f t="shared" si="23"/>
        <v>0</v>
      </c>
      <c r="Y82" s="668">
        <f t="shared" si="23"/>
        <v>0</v>
      </c>
      <c r="Z82" s="668">
        <f t="shared" si="23"/>
        <v>0</v>
      </c>
      <c r="AA82" s="668">
        <f t="shared" si="23"/>
        <v>0</v>
      </c>
      <c r="AB82" s="668">
        <f t="shared" si="23"/>
        <v>0</v>
      </c>
    </row>
    <row r="83" spans="2:28" ht="12" outlineLevel="1">
      <c r="B83" s="658" t="str">
        <f>Translation!C43</f>
        <v>Estimate of net dry storage per schedule (m³)</v>
      </c>
      <c r="C83" s="652"/>
      <c r="D83" s="652"/>
      <c r="E83" s="652"/>
      <c r="F83" s="652"/>
      <c r="G83" s="652"/>
      <c r="H83" s="652"/>
      <c r="I83" s="652"/>
      <c r="J83" s="652"/>
      <c r="K83" s="652"/>
      <c r="L83" s="652"/>
      <c r="M83" s="652"/>
      <c r="N83" s="652"/>
      <c r="O83" s="652"/>
      <c r="P83" s="652"/>
      <c r="Q83" s="652"/>
      <c r="R83" s="652"/>
      <c r="S83" s="652"/>
      <c r="T83" s="652"/>
      <c r="U83" s="652"/>
      <c r="V83" s="652"/>
      <c r="W83" s="652"/>
      <c r="X83" s="652"/>
      <c r="Y83" s="652"/>
      <c r="Z83" s="652"/>
      <c r="AA83" s="652"/>
      <c r="AB83" s="652"/>
    </row>
    <row r="84" spans="2:28" outlineLevel="1">
      <c r="B84" s="660" t="str">
        <f>B60</f>
        <v>Current schedule @ 3 months MaxiStock</v>
      </c>
      <c r="C84" s="663">
        <f>C$58*Volume_Inject!$M$38*$C$54/12000000</f>
        <v>0.28592144125000002</v>
      </c>
      <c r="D84" s="663">
        <f>D$58*Volume_Inject!$M$38*$C$54/12000000</f>
        <v>0.30879515654999995</v>
      </c>
      <c r="E84" s="663">
        <f>E$58*Volume_Inject!$M$38*$C$54/12000000</f>
        <v>0.33166887184999994</v>
      </c>
      <c r="F84" s="663">
        <f>F$58*Volume_Inject!$M$38*$C$54/12000000</f>
        <v>0.35454258714999998</v>
      </c>
      <c r="G84" s="663">
        <f>G$58*Volume_Inject!$M$38*$C$54/12000000</f>
        <v>0.37741630245000002</v>
      </c>
      <c r="H84" s="663">
        <f>H$58*Volume_Inject!$M$38*$C$54/12000000</f>
        <v>0.40029001774999995</v>
      </c>
      <c r="I84" s="663">
        <f>I$58*Volume_Inject!$M$38*$C$54/12000000</f>
        <v>0.42316373304999993</v>
      </c>
      <c r="J84" s="663">
        <f>J$58*Volume_Inject!$M$38*$C$54/12000000</f>
        <v>0.44603744834999998</v>
      </c>
      <c r="K84" s="663">
        <f>K$58*Volume_Inject!$M$38*$C$54/12000000</f>
        <v>0.46891116364999991</v>
      </c>
      <c r="L84" s="663">
        <f>L$58*Volume_Inject!$M$38*$C$54/12000000</f>
        <v>0.49178487894999995</v>
      </c>
      <c r="M84" s="663">
        <f>M$58*Volume_Inject!$M$38*$C$54/12000000</f>
        <v>0.51465859424999993</v>
      </c>
      <c r="N84" s="663">
        <f>N$58*Volume_Inject!$M$38*$C$54/12000000</f>
        <v>0.53753230954999986</v>
      </c>
      <c r="O84" s="663">
        <f>O$58*Volume_Inject!$M$38*$C$54/12000000</f>
        <v>0.56040602484999991</v>
      </c>
      <c r="P84" s="663">
        <f>P$58*Volume_Inject!$M$38*$C$54/12000000</f>
        <v>0.58327974014999995</v>
      </c>
      <c r="Q84" s="663">
        <f>Q$58*Volume_Inject!$M$38*$C$54/12000000</f>
        <v>0.60615345544999988</v>
      </c>
      <c r="R84" s="663">
        <f>R$58*Volume_Inject!$M$38*$C$54/12000000</f>
        <v>0.62902717074999992</v>
      </c>
      <c r="S84" s="663">
        <f>S$58*Volume_Inject!$M$38*$C$54/12000000</f>
        <v>0.65190088604999996</v>
      </c>
      <c r="T84" s="663">
        <f>T$58*Volume_Inject!$M$38*$C$54/12000000</f>
        <v>0.67477460134999989</v>
      </c>
      <c r="U84" s="663">
        <f>U$58*Volume_Inject!$M$38*$C$54/12000000</f>
        <v>0.69764831664999993</v>
      </c>
      <c r="V84" s="663">
        <f>V$58*Volume_Inject!$M$38*$C$54/12000000</f>
        <v>0.72052203194999986</v>
      </c>
      <c r="W84" s="663">
        <f>W$58*Volume_Inject!$M$38*$C$54/12000000</f>
        <v>0.74339574724999991</v>
      </c>
      <c r="X84" s="663">
        <f>X$58*Volume_Inject!$M$38*$C$54/12000000</f>
        <v>0.76626946254999995</v>
      </c>
      <c r="Y84" s="663">
        <f>Y$58*Volume_Inject!$M$38*$C$54/12000000</f>
        <v>0.78914317784999999</v>
      </c>
      <c r="Z84" s="663">
        <f>Z$58*Volume_Inject!$M$38*$C$54/12000000</f>
        <v>0.81201689314999992</v>
      </c>
      <c r="AA84" s="663">
        <f>AA$58*Volume_Inject!$M$38*$C$54/12000000</f>
        <v>0.83489060844999985</v>
      </c>
      <c r="AB84" s="663">
        <f>AB$58*Volume_Inject!$M$38*$C$54/12000000</f>
        <v>0.85776432374999978</v>
      </c>
    </row>
    <row r="85" spans="2:28" outlineLevel="1">
      <c r="B85" s="22" t="str">
        <f>B61</f>
        <v>Current schedule with penta 1d @ 3 months MaxiStock</v>
      </c>
      <c r="C85" s="664">
        <f>C$58*Volume_Inject!$N$38*$C$54/12000000</f>
        <v>0.28592144125000002</v>
      </c>
      <c r="D85" s="664">
        <f>D$58*Volume_Inject!$N$38*$C$54/12000000</f>
        <v>0.30879515654999995</v>
      </c>
      <c r="E85" s="664">
        <f>E$58*Volume_Inject!$N$38*$C$54/12000000</f>
        <v>0.33166887184999994</v>
      </c>
      <c r="F85" s="664">
        <f>F$58*Volume_Inject!$N$38*$C$54/12000000</f>
        <v>0.35454258714999998</v>
      </c>
      <c r="G85" s="664">
        <f>G$58*Volume_Inject!$N$38*$C$54/12000000</f>
        <v>0.37741630245000002</v>
      </c>
      <c r="H85" s="664">
        <f>H$58*Volume_Inject!$N$38*$C$54/12000000</f>
        <v>0.40029001774999995</v>
      </c>
      <c r="I85" s="664">
        <f>I$58*Volume_Inject!$N$38*$C$54/12000000</f>
        <v>0.42316373304999993</v>
      </c>
      <c r="J85" s="664">
        <f>J$58*Volume_Inject!$N$38*$C$54/12000000</f>
        <v>0.44603744834999998</v>
      </c>
      <c r="K85" s="664">
        <f>K$58*Volume_Inject!$N$38*$C$54/12000000</f>
        <v>0.46891116364999991</v>
      </c>
      <c r="L85" s="664">
        <f>L$58*Volume_Inject!$N$38*$C$54/12000000</f>
        <v>0.49178487894999995</v>
      </c>
      <c r="M85" s="664">
        <f>M$58*Volume_Inject!$N$38*$C$54/12000000</f>
        <v>0.51465859424999993</v>
      </c>
      <c r="N85" s="664">
        <f>N$58*Volume_Inject!$N$38*$C$54/12000000</f>
        <v>0.53753230954999986</v>
      </c>
      <c r="O85" s="664">
        <f>O$58*Volume_Inject!$N$38*$C$54/12000000</f>
        <v>0.56040602484999991</v>
      </c>
      <c r="P85" s="664">
        <f>P$58*Volume_Inject!$N$38*$C$54/12000000</f>
        <v>0.58327974014999995</v>
      </c>
      <c r="Q85" s="664">
        <f>Q$58*Volume_Inject!$N$38*$C$54/12000000</f>
        <v>0.60615345544999988</v>
      </c>
      <c r="R85" s="664">
        <f>R$58*Volume_Inject!$N$38*$C$54/12000000</f>
        <v>0.62902717074999992</v>
      </c>
      <c r="S85" s="664">
        <f>S$58*Volume_Inject!$N$38*$C$54/12000000</f>
        <v>0.65190088604999996</v>
      </c>
      <c r="T85" s="664">
        <f>T$58*Volume_Inject!$N$38*$C$54/12000000</f>
        <v>0.67477460134999989</v>
      </c>
      <c r="U85" s="664">
        <f>U$58*Volume_Inject!$N$38*$C$54/12000000</f>
        <v>0.69764831664999993</v>
      </c>
      <c r="V85" s="664">
        <f>V$58*Volume_Inject!$N$38*$C$54/12000000</f>
        <v>0.72052203194999986</v>
      </c>
      <c r="W85" s="664">
        <f>W$58*Volume_Inject!$N$38*$C$54/12000000</f>
        <v>0.74339574724999991</v>
      </c>
      <c r="X85" s="664">
        <f>X$58*Volume_Inject!$N$38*$C$54/12000000</f>
        <v>0.76626946254999995</v>
      </c>
      <c r="Y85" s="664">
        <f>Y$58*Volume_Inject!$N$38*$C$54/12000000</f>
        <v>0.78914317784999999</v>
      </c>
      <c r="Z85" s="664">
        <f>Z$58*Volume_Inject!$N$38*$C$54/12000000</f>
        <v>0.81201689314999992</v>
      </c>
      <c r="AA85" s="664">
        <f>AA$58*Volume_Inject!$N$38*$C$54/12000000</f>
        <v>0.83489060844999985</v>
      </c>
      <c r="AB85" s="664">
        <f>AB$58*Volume_Inject!$N$38*$C$54/12000000</f>
        <v>0.85776432374999978</v>
      </c>
    </row>
    <row r="86" spans="2:28" outlineLevel="1">
      <c r="B86" s="22" t="str">
        <f>B62</f>
        <v>Current schedule with penta CAD @ 3 months MaxiStock</v>
      </c>
      <c r="C86" s="664">
        <f>C$58*Volume_Inject!$O$38*$C$54/12000000</f>
        <v>0.19709644125</v>
      </c>
      <c r="D86" s="664">
        <f>D$58*Volume_Inject!$O$38*$C$54/12000000</f>
        <v>0.21286415654999999</v>
      </c>
      <c r="E86" s="664">
        <f>E$58*Volume_Inject!$O$38*$C$54/12000000</f>
        <v>0.22863187185</v>
      </c>
      <c r="F86" s="664">
        <f>F$58*Volume_Inject!$O$38*$C$54/12000000</f>
        <v>0.24439958714999996</v>
      </c>
      <c r="G86" s="664">
        <f>G$58*Volume_Inject!$O$38*$C$54/12000000</f>
        <v>0.26016730244999997</v>
      </c>
      <c r="H86" s="664">
        <f>H$58*Volume_Inject!$O$38*$C$54/12000000</f>
        <v>0.27593501775000001</v>
      </c>
      <c r="I86" s="664">
        <f>I$58*Volume_Inject!$O$38*$C$54/12000000</f>
        <v>0.29170273305</v>
      </c>
      <c r="J86" s="664">
        <f>J$58*Volume_Inject!$O$38*$C$54/12000000</f>
        <v>0.30747044834999998</v>
      </c>
      <c r="K86" s="664">
        <f>K$58*Volume_Inject!$O$38*$C$54/12000000</f>
        <v>0.32323816365000002</v>
      </c>
      <c r="L86" s="664">
        <f>L$58*Volume_Inject!$O$38*$C$54/12000000</f>
        <v>0.33900587894999995</v>
      </c>
      <c r="M86" s="664">
        <f>M$58*Volume_Inject!$O$38*$C$54/12000000</f>
        <v>0.35477359424999994</v>
      </c>
      <c r="N86" s="664">
        <f>N$58*Volume_Inject!$O$38*$C$54/12000000</f>
        <v>0.37054130954999998</v>
      </c>
      <c r="O86" s="664">
        <f>O$58*Volume_Inject!$O$38*$C$54/12000000</f>
        <v>0.38630902485000002</v>
      </c>
      <c r="P86" s="664">
        <f>P$58*Volume_Inject!$O$38*$C$54/12000000</f>
        <v>0.40207674014999994</v>
      </c>
      <c r="Q86" s="664">
        <f>Q$58*Volume_Inject!$O$38*$C$54/12000000</f>
        <v>0.41784445544999993</v>
      </c>
      <c r="R86" s="664">
        <f>R$58*Volume_Inject!$O$38*$C$54/12000000</f>
        <v>0.43361217074999997</v>
      </c>
      <c r="S86" s="664">
        <f>S$58*Volume_Inject!$O$38*$C$54/12000000</f>
        <v>0.44937988605000001</v>
      </c>
      <c r="T86" s="664">
        <f>T$58*Volume_Inject!$O$38*$C$54/12000000</f>
        <v>0.46514760135</v>
      </c>
      <c r="U86" s="664">
        <f>U$58*Volume_Inject!$O$38*$C$54/12000000</f>
        <v>0.48091531665000004</v>
      </c>
      <c r="V86" s="664">
        <f>V$58*Volume_Inject!$O$38*$C$54/12000000</f>
        <v>0.49668303194999996</v>
      </c>
      <c r="W86" s="664">
        <f>W$58*Volume_Inject!$O$38*$C$54/12000000</f>
        <v>0.51245074724999995</v>
      </c>
      <c r="X86" s="664">
        <f>X$58*Volume_Inject!$O$38*$C$54/12000000</f>
        <v>0.52821846254999993</v>
      </c>
      <c r="Y86" s="664">
        <f>Y$58*Volume_Inject!$O$38*$C$54/12000000</f>
        <v>0.54398617784999992</v>
      </c>
      <c r="Z86" s="664">
        <f>Z$58*Volume_Inject!$O$38*$C$54/12000000</f>
        <v>0.55975389315000001</v>
      </c>
      <c r="AA86" s="664">
        <f>AA$58*Volume_Inject!$O$38*$C$54/12000000</f>
        <v>0.57552160844999989</v>
      </c>
      <c r="AB86" s="664">
        <f>AB$58*Volume_Inject!$O$38*$C$54/12000000</f>
        <v>0.59128932374999998</v>
      </c>
    </row>
    <row r="87" spans="2:28" outlineLevel="1">
      <c r="B87" s="22" t="str">
        <f>B63</f>
        <v/>
      </c>
      <c r="C87" s="664">
        <f>C$58*Volume_Inject!$P$38*$C$54/12000000</f>
        <v>0</v>
      </c>
      <c r="D87" s="664">
        <f>D$58*Volume_Inject!$P$38*$C$54/12000000</f>
        <v>0</v>
      </c>
      <c r="E87" s="664">
        <f>E$58*Volume_Inject!$P$38*$C$54/12000000</f>
        <v>0</v>
      </c>
      <c r="F87" s="664">
        <f>F$58*Volume_Inject!$P$38*$C$54/12000000</f>
        <v>0</v>
      </c>
      <c r="G87" s="664">
        <f>G$58*Volume_Inject!$P$38*$C$54/12000000</f>
        <v>0</v>
      </c>
      <c r="H87" s="664">
        <f>H$58*Volume_Inject!$P$38*$C$54/12000000</f>
        <v>0</v>
      </c>
      <c r="I87" s="664">
        <f>I$58*Volume_Inject!$P$38*$C$54/12000000</f>
        <v>0</v>
      </c>
      <c r="J87" s="664">
        <f>J$58*Volume_Inject!$P$38*$C$54/12000000</f>
        <v>0</v>
      </c>
      <c r="K87" s="664">
        <f>K$58*Volume_Inject!$P$38*$C$54/12000000</f>
        <v>0</v>
      </c>
      <c r="L87" s="664">
        <f>L$58*Volume_Inject!$P$38*$C$54/12000000</f>
        <v>0</v>
      </c>
      <c r="M87" s="664">
        <f>M$58*Volume_Inject!$P$38*$C$54/12000000</f>
        <v>0</v>
      </c>
      <c r="N87" s="664">
        <f>N$58*Volume_Inject!$P$38*$C$54/12000000</f>
        <v>0</v>
      </c>
      <c r="O87" s="664">
        <f>O$58*Volume_Inject!$P$38*$C$54/12000000</f>
        <v>0</v>
      </c>
      <c r="P87" s="664">
        <f>P$58*Volume_Inject!$P$38*$C$54/12000000</f>
        <v>0</v>
      </c>
      <c r="Q87" s="664">
        <f>Q$58*Volume_Inject!$P$38*$C$54/12000000</f>
        <v>0</v>
      </c>
      <c r="R87" s="664">
        <f>R$58*Volume_Inject!$P$38*$C$54/12000000</f>
        <v>0</v>
      </c>
      <c r="S87" s="664">
        <f>S$58*Volume_Inject!$P$38*$C$54/12000000</f>
        <v>0</v>
      </c>
      <c r="T87" s="664">
        <f>T$58*Volume_Inject!$P$38*$C$54/12000000</f>
        <v>0</v>
      </c>
      <c r="U87" s="664">
        <f>U$58*Volume_Inject!$P$38*$C$54/12000000</f>
        <v>0</v>
      </c>
      <c r="V87" s="664">
        <f>V$58*Volume_Inject!$P$38*$C$54/12000000</f>
        <v>0</v>
      </c>
      <c r="W87" s="664">
        <f>W$58*Volume_Inject!$P$38*$C$54/12000000</f>
        <v>0</v>
      </c>
      <c r="X87" s="664">
        <f>X$58*Volume_Inject!$P$38*$C$54/12000000</f>
        <v>0</v>
      </c>
      <c r="Y87" s="664">
        <f>Y$58*Volume_Inject!$P$38*$C$54/12000000</f>
        <v>0</v>
      </c>
      <c r="Z87" s="664">
        <f>Z$58*Volume_Inject!$P$38*$C$54/12000000</f>
        <v>0</v>
      </c>
      <c r="AA87" s="664">
        <f>AA$58*Volume_Inject!$P$38*$C$54/12000000</f>
        <v>0</v>
      </c>
      <c r="AB87" s="664">
        <f>AB$58*Volume_Inject!$P$38*$C$54/12000000</f>
        <v>0</v>
      </c>
    </row>
    <row r="88" spans="2:28" outlineLevel="1">
      <c r="B88" s="661" t="str">
        <f>B64</f>
        <v/>
      </c>
      <c r="C88" s="665">
        <f>C$58*Volume_Inject!$Q$38*$C$54/12000000</f>
        <v>0</v>
      </c>
      <c r="D88" s="665">
        <f>D$58*Volume_Inject!$Q$38*$C$54/12000000</f>
        <v>0</v>
      </c>
      <c r="E88" s="665">
        <f>E$58*Volume_Inject!$Q$38*$C$54/12000000</f>
        <v>0</v>
      </c>
      <c r="F88" s="665">
        <f>F$58*Volume_Inject!$Q$38*$C$54/12000000</f>
        <v>0</v>
      </c>
      <c r="G88" s="665">
        <f>G$58*Volume_Inject!$Q$38*$C$54/12000000</f>
        <v>0</v>
      </c>
      <c r="H88" s="665">
        <f>H$58*Volume_Inject!$Q$38*$C$54/12000000</f>
        <v>0</v>
      </c>
      <c r="I88" s="665">
        <f>I$58*Volume_Inject!$Q$38*$C$54/12000000</f>
        <v>0</v>
      </c>
      <c r="J88" s="665">
        <f>J$58*Volume_Inject!$Q$38*$C$54/12000000</f>
        <v>0</v>
      </c>
      <c r="K88" s="665">
        <f>K$58*Volume_Inject!$Q$38*$C$54/12000000</f>
        <v>0</v>
      </c>
      <c r="L88" s="665">
        <f>L$58*Volume_Inject!$Q$38*$C$54/12000000</f>
        <v>0</v>
      </c>
      <c r="M88" s="665">
        <f>M$58*Volume_Inject!$Q$38*$C$54/12000000</f>
        <v>0</v>
      </c>
      <c r="N88" s="665">
        <f>N$58*Volume_Inject!$Q$38*$C$54/12000000</f>
        <v>0</v>
      </c>
      <c r="O88" s="665">
        <f>O$58*Volume_Inject!$Q$38*$C$54/12000000</f>
        <v>0</v>
      </c>
      <c r="P88" s="665">
        <f>P$58*Volume_Inject!$Q$38*$C$54/12000000</f>
        <v>0</v>
      </c>
      <c r="Q88" s="665">
        <f>Q$58*Volume_Inject!$Q$38*$C$54/12000000</f>
        <v>0</v>
      </c>
      <c r="R88" s="665">
        <f>R$58*Volume_Inject!$Q$38*$C$54/12000000</f>
        <v>0</v>
      </c>
      <c r="S88" s="665">
        <f>S$58*Volume_Inject!$Q$38*$C$54/12000000</f>
        <v>0</v>
      </c>
      <c r="T88" s="665">
        <f>T$58*Volume_Inject!$Q$38*$C$54/12000000</f>
        <v>0</v>
      </c>
      <c r="U88" s="665">
        <f>U$58*Volume_Inject!$Q$38*$C$54/12000000</f>
        <v>0</v>
      </c>
      <c r="V88" s="665">
        <f>V$58*Volume_Inject!$Q$38*$C$54/12000000</f>
        <v>0</v>
      </c>
      <c r="W88" s="665">
        <f>W$58*Volume_Inject!$Q$38*$C$54/12000000</f>
        <v>0</v>
      </c>
      <c r="X88" s="665">
        <f>X$58*Volume_Inject!$Q$38*$C$54/12000000</f>
        <v>0</v>
      </c>
      <c r="Y88" s="665">
        <f>Y$58*Volume_Inject!$Q$38*$C$54/12000000</f>
        <v>0</v>
      </c>
      <c r="Z88" s="665">
        <f>Z$58*Volume_Inject!$Q$38*$C$54/12000000</f>
        <v>0</v>
      </c>
      <c r="AA88" s="665">
        <f>AA$58*Volume_Inject!$Q$38*$C$54/12000000</f>
        <v>0</v>
      </c>
      <c r="AB88" s="665">
        <f>AB$58*Volume_Inject!$Q$38*$C$54/12000000</f>
        <v>0</v>
      </c>
    </row>
    <row r="89" spans="2:28" ht="13.2" outlineLevel="1">
      <c r="B89" s="658" t="str">
        <f>Translation!C44</f>
        <v>Estimate of net dry storage per MaxiStock (m³)</v>
      </c>
      <c r="C89" s="652"/>
      <c r="D89" s="652"/>
      <c r="E89" s="653" t="str">
        <f>Translation!C45</f>
        <v>Select schedule</v>
      </c>
      <c r="F89" s="811" t="s">
        <v>1854</v>
      </c>
      <c r="G89" s="814"/>
      <c r="H89" s="652"/>
      <c r="I89" s="652"/>
      <c r="J89" s="652"/>
      <c r="K89" s="652"/>
      <c r="L89" s="652"/>
      <c r="M89" s="652"/>
      <c r="N89" s="652"/>
      <c r="O89" s="652"/>
      <c r="P89" s="652"/>
      <c r="Q89" s="652"/>
      <c r="R89" s="652"/>
      <c r="S89" s="652"/>
      <c r="T89" s="652"/>
      <c r="U89" s="652"/>
      <c r="V89" s="652"/>
      <c r="W89" s="652"/>
      <c r="X89" s="652"/>
      <c r="Y89" s="652"/>
      <c r="Z89" s="652"/>
      <c r="AA89" s="652"/>
      <c r="AB89" s="652"/>
    </row>
    <row r="90" spans="2:28" outlineLevel="1">
      <c r="B90" s="22" t="str">
        <f>IF(G51="","",CONCATENATE($F$89," @ ",$G51,$D$54,"_",$B$54))</f>
        <v>Current schedule @ 2 months_MaxiStock</v>
      </c>
      <c r="C90" s="664">
        <f>C$58*SUMIF(Volume_Inject!$M$12:$Q$12,$F$89,Volume_Inject!$M$38:$Q$38)*$G51/12000000</f>
        <v>0.19061429416666664</v>
      </c>
      <c r="D90" s="664">
        <f>D$58*SUMIF(Volume_Inject!$M$12:$Q$12,$F$89,Volume_Inject!$M$38:$Q$38)*$G51/12000000</f>
        <v>0.20586343769999996</v>
      </c>
      <c r="E90" s="664">
        <f>E$58*SUMIF(Volume_Inject!$M$12:$Q$12,$F$89,Volume_Inject!$M$38:$Q$38)*$G51/12000000</f>
        <v>0.2211125812333333</v>
      </c>
      <c r="F90" s="664">
        <f>F$58*SUMIF(Volume_Inject!$M$12:$Q$12,$F$89,Volume_Inject!$M$38:$Q$38)*$G51/12000000</f>
        <v>0.23636172476666664</v>
      </c>
      <c r="G90" s="664">
        <f>G$58*SUMIF(Volume_Inject!$M$12:$Q$12,$F$89,Volume_Inject!$M$38:$Q$38)*$G51/12000000</f>
        <v>0.25161086829999996</v>
      </c>
      <c r="H90" s="664">
        <f>H$58*SUMIF(Volume_Inject!$M$12:$Q$12,$F$89,Volume_Inject!$M$38:$Q$38)*$G51/12000000</f>
        <v>0.2668600118333333</v>
      </c>
      <c r="I90" s="664">
        <f>I$58*SUMIF(Volume_Inject!$M$12:$Q$12,$F$89,Volume_Inject!$M$38:$Q$38)*$G51/12000000</f>
        <v>0.28210915536666664</v>
      </c>
      <c r="J90" s="664">
        <f>J$58*SUMIF(Volume_Inject!$M$12:$Q$12,$F$89,Volume_Inject!$M$38:$Q$38)*$G51/12000000</f>
        <v>0.29735829889999998</v>
      </c>
      <c r="K90" s="664">
        <f>K$58*SUMIF(Volume_Inject!$M$12:$Q$12,$F$89,Volume_Inject!$M$38:$Q$38)*$G51/12000000</f>
        <v>0.31260744243333327</v>
      </c>
      <c r="L90" s="664">
        <f>L$58*SUMIF(Volume_Inject!$M$12:$Q$12,$F$89,Volume_Inject!$M$38:$Q$38)*$G51/12000000</f>
        <v>0.32785658596666661</v>
      </c>
      <c r="M90" s="664">
        <f>M$58*SUMIF(Volume_Inject!$M$12:$Q$12,$F$89,Volume_Inject!$M$38:$Q$38)*$G51/12000000</f>
        <v>0.34310572949999996</v>
      </c>
      <c r="N90" s="664">
        <f>N$58*SUMIF(Volume_Inject!$M$12:$Q$12,$F$89,Volume_Inject!$M$38:$Q$38)*$G51/12000000</f>
        <v>0.35835487303333324</v>
      </c>
      <c r="O90" s="664">
        <f>O$58*SUMIF(Volume_Inject!$M$12:$Q$12,$F$89,Volume_Inject!$M$38:$Q$38)*$G51/12000000</f>
        <v>0.37360401656666664</v>
      </c>
      <c r="P90" s="664">
        <f>P$58*SUMIF(Volume_Inject!$M$12:$Q$12,$F$89,Volume_Inject!$M$38:$Q$38)*$G51/12000000</f>
        <v>0.38885316009999998</v>
      </c>
      <c r="Q90" s="664">
        <f>Q$58*SUMIF(Volume_Inject!$M$12:$Q$12,$F$89,Volume_Inject!$M$38:$Q$38)*$G51/12000000</f>
        <v>0.40410230363333327</v>
      </c>
      <c r="R90" s="664">
        <f>R$58*SUMIF(Volume_Inject!$M$12:$Q$12,$F$89,Volume_Inject!$M$38:$Q$38)*$G51/12000000</f>
        <v>0.41935144716666661</v>
      </c>
      <c r="S90" s="664">
        <f>S$58*SUMIF(Volume_Inject!$M$12:$Q$12,$F$89,Volume_Inject!$M$38:$Q$38)*$G51/12000000</f>
        <v>0.43460059069999996</v>
      </c>
      <c r="T90" s="664">
        <f>T$58*SUMIF(Volume_Inject!$M$12:$Q$12,$F$89,Volume_Inject!$M$38:$Q$38)*$G51/12000000</f>
        <v>0.44984973423333324</v>
      </c>
      <c r="U90" s="664">
        <f>U$58*SUMIF(Volume_Inject!$M$12:$Q$12,$F$89,Volume_Inject!$M$38:$Q$38)*$G51/12000000</f>
        <v>0.46509887776666664</v>
      </c>
      <c r="V90" s="664">
        <f>V$58*SUMIF(Volume_Inject!$M$12:$Q$12,$F$89,Volume_Inject!$M$38:$Q$38)*$G51/12000000</f>
        <v>0.48034802129999993</v>
      </c>
      <c r="W90" s="664">
        <f>W$58*SUMIF(Volume_Inject!$M$12:$Q$12,$F$89,Volume_Inject!$M$38:$Q$38)*$G51/12000000</f>
        <v>0.49559716483333327</v>
      </c>
      <c r="X90" s="664">
        <f>X$58*SUMIF(Volume_Inject!$M$12:$Q$12,$F$89,Volume_Inject!$M$38:$Q$38)*$G51/12000000</f>
        <v>0.51084630836666667</v>
      </c>
      <c r="Y90" s="664">
        <f>Y$58*SUMIF(Volume_Inject!$M$12:$Q$12,$F$89,Volume_Inject!$M$38:$Q$38)*$G51/12000000</f>
        <v>0.52609545189999996</v>
      </c>
      <c r="Z90" s="664">
        <f>Z$58*SUMIF(Volume_Inject!$M$12:$Q$12,$F$89,Volume_Inject!$M$38:$Q$38)*$G51/12000000</f>
        <v>0.54134459543333324</v>
      </c>
      <c r="AA90" s="664">
        <f>AA$58*SUMIF(Volume_Inject!$M$12:$Q$12,$F$89,Volume_Inject!$M$38:$Q$38)*$G51/12000000</f>
        <v>0.55659373896666664</v>
      </c>
      <c r="AB90" s="664">
        <f>AB$58*SUMIF(Volume_Inject!$M$12:$Q$12,$F$89,Volume_Inject!$M$38:$Q$38)*$G51/12000000</f>
        <v>0.57184288249999993</v>
      </c>
    </row>
    <row r="91" spans="2:28" outlineLevel="1">
      <c r="B91" s="22" t="str">
        <f>IF(G52="","",CONCATENATE($F$89," @ ",$G52,$D$54,"_",$B$54))</f>
        <v>Current schedule @ 3 months_MaxiStock</v>
      </c>
      <c r="C91" s="664">
        <f>C$58*SUMIF(Volume_Inject!$M$12:$Q$12,$F$89,Volume_Inject!$M$38:$Q$38)*$G52/12000000</f>
        <v>0.28592144125000002</v>
      </c>
      <c r="D91" s="664">
        <f>D$58*SUMIF(Volume_Inject!$M$12:$Q$12,$F$89,Volume_Inject!$M$38:$Q$38)*$G52/12000000</f>
        <v>0.30879515654999995</v>
      </c>
      <c r="E91" s="664">
        <f>E$58*SUMIF(Volume_Inject!$M$12:$Q$12,$F$89,Volume_Inject!$M$38:$Q$38)*$G52/12000000</f>
        <v>0.33166887184999994</v>
      </c>
      <c r="F91" s="664">
        <f>F$58*SUMIF(Volume_Inject!$M$12:$Q$12,$F$89,Volume_Inject!$M$38:$Q$38)*$G52/12000000</f>
        <v>0.35454258714999998</v>
      </c>
      <c r="G91" s="664">
        <f>G$58*SUMIF(Volume_Inject!$M$12:$Q$12,$F$89,Volume_Inject!$M$38:$Q$38)*$G52/12000000</f>
        <v>0.37741630245000002</v>
      </c>
      <c r="H91" s="664">
        <f>H$58*SUMIF(Volume_Inject!$M$12:$Q$12,$F$89,Volume_Inject!$M$38:$Q$38)*$G52/12000000</f>
        <v>0.40029001774999995</v>
      </c>
      <c r="I91" s="664">
        <f>I$58*SUMIF(Volume_Inject!$M$12:$Q$12,$F$89,Volume_Inject!$M$38:$Q$38)*$G52/12000000</f>
        <v>0.42316373304999993</v>
      </c>
      <c r="J91" s="664">
        <f>J$58*SUMIF(Volume_Inject!$M$12:$Q$12,$F$89,Volume_Inject!$M$38:$Q$38)*$G52/12000000</f>
        <v>0.44603744834999998</v>
      </c>
      <c r="K91" s="664">
        <f>K$58*SUMIF(Volume_Inject!$M$12:$Q$12,$F$89,Volume_Inject!$M$38:$Q$38)*$G52/12000000</f>
        <v>0.46891116364999991</v>
      </c>
      <c r="L91" s="664">
        <f>L$58*SUMIF(Volume_Inject!$M$12:$Q$12,$F$89,Volume_Inject!$M$38:$Q$38)*$G52/12000000</f>
        <v>0.49178487894999995</v>
      </c>
      <c r="M91" s="664">
        <f>M$58*SUMIF(Volume_Inject!$M$12:$Q$12,$F$89,Volume_Inject!$M$38:$Q$38)*$G52/12000000</f>
        <v>0.51465859424999993</v>
      </c>
      <c r="N91" s="664">
        <f>N$58*SUMIF(Volume_Inject!$M$12:$Q$12,$F$89,Volume_Inject!$M$38:$Q$38)*$G52/12000000</f>
        <v>0.53753230954999986</v>
      </c>
      <c r="O91" s="664">
        <f>O$58*SUMIF(Volume_Inject!$M$12:$Q$12,$F$89,Volume_Inject!$M$38:$Q$38)*$G52/12000000</f>
        <v>0.56040602484999991</v>
      </c>
      <c r="P91" s="664">
        <f>P$58*SUMIF(Volume_Inject!$M$12:$Q$12,$F$89,Volume_Inject!$M$38:$Q$38)*$G52/12000000</f>
        <v>0.58327974014999995</v>
      </c>
      <c r="Q91" s="664">
        <f>Q$58*SUMIF(Volume_Inject!$M$12:$Q$12,$F$89,Volume_Inject!$M$38:$Q$38)*$G52/12000000</f>
        <v>0.60615345544999988</v>
      </c>
      <c r="R91" s="664">
        <f>R$58*SUMIF(Volume_Inject!$M$12:$Q$12,$F$89,Volume_Inject!$M$38:$Q$38)*$G52/12000000</f>
        <v>0.62902717074999992</v>
      </c>
      <c r="S91" s="664">
        <f>S$58*SUMIF(Volume_Inject!$M$12:$Q$12,$F$89,Volume_Inject!$M$38:$Q$38)*$G52/12000000</f>
        <v>0.65190088604999996</v>
      </c>
      <c r="T91" s="664">
        <f>T$58*SUMIF(Volume_Inject!$M$12:$Q$12,$F$89,Volume_Inject!$M$38:$Q$38)*$G52/12000000</f>
        <v>0.67477460134999989</v>
      </c>
      <c r="U91" s="664">
        <f>U$58*SUMIF(Volume_Inject!$M$12:$Q$12,$F$89,Volume_Inject!$M$38:$Q$38)*$G52/12000000</f>
        <v>0.69764831664999993</v>
      </c>
      <c r="V91" s="664">
        <f>V$58*SUMIF(Volume_Inject!$M$12:$Q$12,$F$89,Volume_Inject!$M$38:$Q$38)*$G52/12000000</f>
        <v>0.72052203194999986</v>
      </c>
      <c r="W91" s="664">
        <f>W$58*SUMIF(Volume_Inject!$M$12:$Q$12,$F$89,Volume_Inject!$M$38:$Q$38)*$G52/12000000</f>
        <v>0.74339574724999991</v>
      </c>
      <c r="X91" s="664">
        <f>X$58*SUMIF(Volume_Inject!$M$12:$Q$12,$F$89,Volume_Inject!$M$38:$Q$38)*$G52/12000000</f>
        <v>0.76626946254999995</v>
      </c>
      <c r="Y91" s="664">
        <f>Y$58*SUMIF(Volume_Inject!$M$12:$Q$12,$F$89,Volume_Inject!$M$38:$Q$38)*$G52/12000000</f>
        <v>0.78914317784999999</v>
      </c>
      <c r="Z91" s="664">
        <f>Z$58*SUMIF(Volume_Inject!$M$12:$Q$12,$F$89,Volume_Inject!$M$38:$Q$38)*$G52/12000000</f>
        <v>0.81201689314999992</v>
      </c>
      <c r="AA91" s="664">
        <f>AA$58*SUMIF(Volume_Inject!$M$12:$Q$12,$F$89,Volume_Inject!$M$38:$Q$38)*$G52/12000000</f>
        <v>0.83489060844999985</v>
      </c>
      <c r="AB91" s="664">
        <f>AB$58*SUMIF(Volume_Inject!$M$12:$Q$12,$F$89,Volume_Inject!$M$38:$Q$38)*$G52/12000000</f>
        <v>0.85776432374999978</v>
      </c>
    </row>
    <row r="92" spans="2:28" outlineLevel="1">
      <c r="B92" s="22" t="str">
        <f>IF(G53="","",CONCATENATE($F$89," @ ",$G53,$D$54,"_",$B$54))</f>
        <v>Current schedule @ 4 months_MaxiStock</v>
      </c>
      <c r="C92" s="664">
        <f>C$58*SUMIF(Volume_Inject!$M$12:$Q$12,$F$89,Volume_Inject!$M$38:$Q$38)*$G53/12000000</f>
        <v>0.38122858833333328</v>
      </c>
      <c r="D92" s="664">
        <f>D$58*SUMIF(Volume_Inject!$M$12:$Q$12,$F$89,Volume_Inject!$M$38:$Q$38)*$G53/12000000</f>
        <v>0.41172687539999991</v>
      </c>
      <c r="E92" s="664">
        <f>E$58*SUMIF(Volume_Inject!$M$12:$Q$12,$F$89,Volume_Inject!$M$38:$Q$38)*$G53/12000000</f>
        <v>0.4422251624666666</v>
      </c>
      <c r="F92" s="664">
        <f>F$58*SUMIF(Volume_Inject!$M$12:$Q$12,$F$89,Volume_Inject!$M$38:$Q$38)*$G53/12000000</f>
        <v>0.47272344953333328</v>
      </c>
      <c r="G92" s="664">
        <f>G$58*SUMIF(Volume_Inject!$M$12:$Q$12,$F$89,Volume_Inject!$M$38:$Q$38)*$G53/12000000</f>
        <v>0.50322173659999991</v>
      </c>
      <c r="H92" s="664">
        <f>H$58*SUMIF(Volume_Inject!$M$12:$Q$12,$F$89,Volume_Inject!$M$38:$Q$38)*$G53/12000000</f>
        <v>0.5337200236666666</v>
      </c>
      <c r="I92" s="664">
        <f>I$58*SUMIF(Volume_Inject!$M$12:$Q$12,$F$89,Volume_Inject!$M$38:$Q$38)*$G53/12000000</f>
        <v>0.56421831073333328</v>
      </c>
      <c r="J92" s="664">
        <f>J$58*SUMIF(Volume_Inject!$M$12:$Q$12,$F$89,Volume_Inject!$M$38:$Q$38)*$G53/12000000</f>
        <v>0.59471659779999997</v>
      </c>
      <c r="K92" s="664">
        <f>K$58*SUMIF(Volume_Inject!$M$12:$Q$12,$F$89,Volume_Inject!$M$38:$Q$38)*$G53/12000000</f>
        <v>0.62521488486666654</v>
      </c>
      <c r="L92" s="664">
        <f>L$58*SUMIF(Volume_Inject!$M$12:$Q$12,$F$89,Volume_Inject!$M$38:$Q$38)*$G53/12000000</f>
        <v>0.65571317193333323</v>
      </c>
      <c r="M92" s="664">
        <f>M$58*SUMIF(Volume_Inject!$M$12:$Q$12,$F$89,Volume_Inject!$M$38:$Q$38)*$G53/12000000</f>
        <v>0.68621145899999991</v>
      </c>
      <c r="N92" s="664">
        <f>N$58*SUMIF(Volume_Inject!$M$12:$Q$12,$F$89,Volume_Inject!$M$38:$Q$38)*$G53/12000000</f>
        <v>0.71670974606666649</v>
      </c>
      <c r="O92" s="664">
        <f>O$58*SUMIF(Volume_Inject!$M$12:$Q$12,$F$89,Volume_Inject!$M$38:$Q$38)*$G53/12000000</f>
        <v>0.74720803313333328</v>
      </c>
      <c r="P92" s="664">
        <f>P$58*SUMIF(Volume_Inject!$M$12:$Q$12,$F$89,Volume_Inject!$M$38:$Q$38)*$G53/12000000</f>
        <v>0.77770632019999997</v>
      </c>
      <c r="Q92" s="664">
        <f>Q$58*SUMIF(Volume_Inject!$M$12:$Q$12,$F$89,Volume_Inject!$M$38:$Q$38)*$G53/12000000</f>
        <v>0.80820460726666654</v>
      </c>
      <c r="R92" s="664">
        <f>R$58*SUMIF(Volume_Inject!$M$12:$Q$12,$F$89,Volume_Inject!$M$38:$Q$38)*$G53/12000000</f>
        <v>0.83870289433333323</v>
      </c>
      <c r="S92" s="664">
        <f>S$58*SUMIF(Volume_Inject!$M$12:$Q$12,$F$89,Volume_Inject!$M$38:$Q$38)*$G53/12000000</f>
        <v>0.86920118139999991</v>
      </c>
      <c r="T92" s="664">
        <f>T$58*SUMIF(Volume_Inject!$M$12:$Q$12,$F$89,Volume_Inject!$M$38:$Q$38)*$G53/12000000</f>
        <v>0.89969946846666649</v>
      </c>
      <c r="U92" s="664">
        <f>U$58*SUMIF(Volume_Inject!$M$12:$Q$12,$F$89,Volume_Inject!$M$38:$Q$38)*$G53/12000000</f>
        <v>0.93019775553333328</v>
      </c>
      <c r="V92" s="664">
        <f>V$58*SUMIF(Volume_Inject!$M$12:$Q$12,$F$89,Volume_Inject!$M$38:$Q$38)*$G53/12000000</f>
        <v>0.96069604259999986</v>
      </c>
      <c r="W92" s="664">
        <f>W$58*SUMIF(Volume_Inject!$M$12:$Q$12,$F$89,Volume_Inject!$M$38:$Q$38)*$G53/12000000</f>
        <v>0.99119432966666654</v>
      </c>
      <c r="X92" s="664">
        <f>X$58*SUMIF(Volume_Inject!$M$12:$Q$12,$F$89,Volume_Inject!$M$38:$Q$38)*$G53/12000000</f>
        <v>1.0216926167333333</v>
      </c>
      <c r="Y92" s="664">
        <f>Y$58*SUMIF(Volume_Inject!$M$12:$Q$12,$F$89,Volume_Inject!$M$38:$Q$38)*$G53/12000000</f>
        <v>1.0521909037999999</v>
      </c>
      <c r="Z92" s="664">
        <f>Z$58*SUMIF(Volume_Inject!$M$12:$Q$12,$F$89,Volume_Inject!$M$38:$Q$38)*$G53/12000000</f>
        <v>1.0826891908666665</v>
      </c>
      <c r="AA92" s="664">
        <f>AA$58*SUMIF(Volume_Inject!$M$12:$Q$12,$F$89,Volume_Inject!$M$38:$Q$38)*$G53/12000000</f>
        <v>1.1131874779333333</v>
      </c>
      <c r="AB92" s="664">
        <f>AB$58*SUMIF(Volume_Inject!$M$12:$Q$12,$F$89,Volume_Inject!$M$38:$Q$38)*$G53/12000000</f>
        <v>1.1436857649999999</v>
      </c>
    </row>
    <row r="93" spans="2:28" outlineLevel="1">
      <c r="B93" s="661" t="str">
        <f>IF(G54="","",CONCATENATE($F$89," @ ",$G54,$D$54,"_",$B$54))</f>
        <v/>
      </c>
      <c r="C93" s="665">
        <f>C$58*SUMIF(Volume_Inject!$M$12:$Q$12,$F$89,Volume_Inject!$M$38:$Q$38)*$G54/12000000</f>
        <v>0</v>
      </c>
      <c r="D93" s="665">
        <f>D$58*SUMIF(Volume_Inject!$M$12:$Q$12,$F$89,Volume_Inject!$M$38:$Q$38)*$G54/12000000</f>
        <v>0</v>
      </c>
      <c r="E93" s="665">
        <f>E$58*SUMIF(Volume_Inject!$M$12:$Q$12,$F$89,Volume_Inject!$M$38:$Q$38)*$G54/12000000</f>
        <v>0</v>
      </c>
      <c r="F93" s="665">
        <f>F$58*SUMIF(Volume_Inject!$M$12:$Q$12,$F$89,Volume_Inject!$M$38:$Q$38)*$G54/12000000</f>
        <v>0</v>
      </c>
      <c r="G93" s="665">
        <f>G$58*SUMIF(Volume_Inject!$M$12:$Q$12,$F$89,Volume_Inject!$M$38:$Q$38)*$G54/12000000</f>
        <v>0</v>
      </c>
      <c r="H93" s="665">
        <f>H$58*SUMIF(Volume_Inject!$M$12:$Q$12,$F$89,Volume_Inject!$M$38:$Q$38)*$G54/12000000</f>
        <v>0</v>
      </c>
      <c r="I93" s="665">
        <f>I$58*SUMIF(Volume_Inject!$M$12:$Q$12,$F$89,Volume_Inject!$M$38:$Q$38)*$G54/12000000</f>
        <v>0</v>
      </c>
      <c r="J93" s="665">
        <f>J$58*SUMIF(Volume_Inject!$M$12:$Q$12,$F$89,Volume_Inject!$M$38:$Q$38)*$G54/12000000</f>
        <v>0</v>
      </c>
      <c r="K93" s="665">
        <f>K$58*SUMIF(Volume_Inject!$M$12:$Q$12,$F$89,Volume_Inject!$M$38:$Q$38)*$G54/12000000</f>
        <v>0</v>
      </c>
      <c r="L93" s="665">
        <f>L$58*SUMIF(Volume_Inject!$M$12:$Q$12,$F$89,Volume_Inject!$M$38:$Q$38)*$G54/12000000</f>
        <v>0</v>
      </c>
      <c r="M93" s="665">
        <f>M$58*SUMIF(Volume_Inject!$M$12:$Q$12,$F$89,Volume_Inject!$M$38:$Q$38)*$G54/12000000</f>
        <v>0</v>
      </c>
      <c r="N93" s="665">
        <f>N$58*SUMIF(Volume_Inject!$M$12:$Q$12,$F$89,Volume_Inject!$M$38:$Q$38)*$G54/12000000</f>
        <v>0</v>
      </c>
      <c r="O93" s="665">
        <f>O$58*SUMIF(Volume_Inject!$M$12:$Q$12,$F$89,Volume_Inject!$M$38:$Q$38)*$G54/12000000</f>
        <v>0</v>
      </c>
      <c r="P93" s="665">
        <f>P$58*SUMIF(Volume_Inject!$M$12:$Q$12,$F$89,Volume_Inject!$M$38:$Q$38)*$G54/12000000</f>
        <v>0</v>
      </c>
      <c r="Q93" s="665">
        <f>Q$58*SUMIF(Volume_Inject!$M$12:$Q$12,$F$89,Volume_Inject!$M$38:$Q$38)*$G54/12000000</f>
        <v>0</v>
      </c>
      <c r="R93" s="665">
        <f>R$58*SUMIF(Volume_Inject!$M$12:$Q$12,$F$89,Volume_Inject!$M$38:$Q$38)*$G54/12000000</f>
        <v>0</v>
      </c>
      <c r="S93" s="665">
        <f>S$58*SUMIF(Volume_Inject!$M$12:$Q$12,$F$89,Volume_Inject!$M$38:$Q$38)*$G54/12000000</f>
        <v>0</v>
      </c>
      <c r="T93" s="665">
        <f>T$58*SUMIF(Volume_Inject!$M$12:$Q$12,$F$89,Volume_Inject!$M$38:$Q$38)*$G54/12000000</f>
        <v>0</v>
      </c>
      <c r="U93" s="665">
        <f>U$58*SUMIF(Volume_Inject!$M$12:$Q$12,$F$89,Volume_Inject!$M$38:$Q$38)*$G54/12000000</f>
        <v>0</v>
      </c>
      <c r="V93" s="665">
        <f>V$58*SUMIF(Volume_Inject!$M$12:$Q$12,$F$89,Volume_Inject!$M$38:$Q$38)*$G54/12000000</f>
        <v>0</v>
      </c>
      <c r="W93" s="665">
        <f>W$58*SUMIF(Volume_Inject!$M$12:$Q$12,$F$89,Volume_Inject!$M$38:$Q$38)*$G54/12000000</f>
        <v>0</v>
      </c>
      <c r="X93" s="665">
        <f>X$58*SUMIF(Volume_Inject!$M$12:$Q$12,$F$89,Volume_Inject!$M$38:$Q$38)*$G54/12000000</f>
        <v>0</v>
      </c>
      <c r="Y93" s="665">
        <f>Y$58*SUMIF(Volume_Inject!$M$12:$Q$12,$F$89,Volume_Inject!$M$38:$Q$38)*$G54/12000000</f>
        <v>0</v>
      </c>
      <c r="Z93" s="665">
        <f>Z$58*SUMIF(Volume_Inject!$M$12:$Q$12,$F$89,Volume_Inject!$M$38:$Q$38)*$G54/12000000</f>
        <v>0</v>
      </c>
      <c r="AA93" s="665">
        <f>AA$58*SUMIF(Volume_Inject!$M$12:$Q$12,$F$89,Volume_Inject!$M$38:$Q$38)*$G54/12000000</f>
        <v>0</v>
      </c>
      <c r="AB93" s="665">
        <f>AB$58*SUMIF(Volume_Inject!$M$12:$Q$12,$F$89,Volume_Inject!$M$38:$Q$38)*$G54/12000000</f>
        <v>0</v>
      </c>
    </row>
    <row r="94" spans="2:28">
      <c r="B94" s="187"/>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8"/>
      <c r="AA94" s="188"/>
      <c r="AB94" s="188"/>
    </row>
    <row r="95" spans="2:28" s="463" customFormat="1" ht="21">
      <c r="B95" s="464" t="str">
        <f>Translation!C56</f>
        <v>Analysis of service delivery level storage</v>
      </c>
      <c r="C95" s="465"/>
      <c r="D95" s="465"/>
      <c r="E95" s="465"/>
      <c r="F95" s="465"/>
      <c r="G95" s="465"/>
      <c r="H95" s="465"/>
      <c r="I95" s="465"/>
      <c r="J95" s="465"/>
      <c r="K95" s="465"/>
      <c r="L95" s="465"/>
      <c r="M95" s="465"/>
      <c r="N95" s="465"/>
      <c r="O95" s="465"/>
      <c r="P95" s="465"/>
      <c r="Q95" s="465"/>
      <c r="R95" s="465"/>
      <c r="S95" s="465"/>
      <c r="T95" s="465"/>
      <c r="U95" s="465"/>
      <c r="V95" s="465"/>
      <c r="W95" s="465"/>
      <c r="X95" s="465"/>
      <c r="Y95" s="465"/>
      <c r="Z95" s="465"/>
      <c r="AA95" s="465"/>
      <c r="AB95" s="465"/>
    </row>
    <row r="96" spans="2:28" ht="12" outlineLevel="1">
      <c r="B96" s="627"/>
      <c r="C96" s="627"/>
      <c r="D96" s="627"/>
      <c r="E96" s="627"/>
      <c r="F96" s="784" t="str">
        <f>F49</f>
        <v>Maximum stock levels (months)</v>
      </c>
      <c r="G96" s="630"/>
      <c r="H96" s="627"/>
      <c r="I96" s="627"/>
      <c r="J96" s="627"/>
      <c r="K96" s="627"/>
      <c r="L96" s="627"/>
      <c r="M96" s="627"/>
      <c r="N96" s="627"/>
      <c r="O96" s="627"/>
      <c r="P96" s="627"/>
      <c r="Q96" s="627"/>
      <c r="R96" s="627"/>
      <c r="S96" s="627"/>
      <c r="T96" s="627"/>
      <c r="U96" s="627"/>
      <c r="V96" s="627"/>
      <c r="W96" s="627"/>
      <c r="X96" s="627"/>
      <c r="Y96" s="627"/>
      <c r="Z96" s="627"/>
      <c r="AA96" s="627"/>
      <c r="AB96" s="627"/>
    </row>
    <row r="97" spans="2:28" outlineLevel="1">
      <c r="B97" s="627"/>
      <c r="C97" s="627"/>
      <c r="D97" s="627"/>
      <c r="E97" s="627"/>
      <c r="F97" s="627" t="str">
        <f>$F$50</f>
        <v>Vaccines</v>
      </c>
      <c r="G97" s="627" t="str">
        <f>$G$50</f>
        <v>Safe injection equipment</v>
      </c>
      <c r="H97" s="627"/>
      <c r="I97" s="627"/>
      <c r="J97" s="627"/>
      <c r="K97" s="627"/>
      <c r="L97" s="627"/>
      <c r="M97" s="627"/>
      <c r="N97" s="627"/>
      <c r="O97" s="627"/>
      <c r="P97" s="627"/>
      <c r="Q97" s="627"/>
      <c r="R97" s="627"/>
      <c r="S97" s="627"/>
      <c r="T97" s="627"/>
      <c r="U97" s="627"/>
      <c r="V97" s="627"/>
      <c r="W97" s="627"/>
      <c r="X97" s="627"/>
      <c r="Y97" s="627"/>
      <c r="Z97" s="627"/>
      <c r="AA97" s="627"/>
      <c r="AB97" s="627"/>
    </row>
    <row r="98" spans="2:28" ht="13.2" outlineLevel="1">
      <c r="B98" s="628" t="str">
        <f>B51</f>
        <v>Analysis per</v>
      </c>
      <c r="C98" s="813" t="str">
        <f>C51</f>
        <v xml:space="preserve">Unit of Population </v>
      </c>
      <c r="D98" s="814"/>
      <c r="E98" s="627"/>
      <c r="F98" s="626">
        <v>1</v>
      </c>
      <c r="G98" s="626">
        <v>2</v>
      </c>
      <c r="H98" s="631"/>
      <c r="I98" s="631"/>
      <c r="J98" s="631"/>
      <c r="K98" s="631"/>
      <c r="L98" s="631"/>
      <c r="M98" s="631"/>
      <c r="N98" s="631"/>
      <c r="O98" s="631"/>
      <c r="P98" s="631"/>
      <c r="Q98" s="631"/>
      <c r="R98" s="631"/>
      <c r="S98" s="631"/>
      <c r="T98" s="631"/>
      <c r="U98" s="631"/>
      <c r="V98" s="631"/>
      <c r="W98" s="631"/>
      <c r="X98" s="631"/>
      <c r="Y98" s="631"/>
      <c r="Z98" s="631"/>
      <c r="AA98" s="631"/>
      <c r="AB98" s="631"/>
    </row>
    <row r="99" spans="2:28" ht="13.2" outlineLevel="1">
      <c r="B99" s="628" t="str">
        <f>B52</f>
        <v>Total population (minimum)</v>
      </c>
      <c r="C99" s="815">
        <v>1000</v>
      </c>
      <c r="D99" s="816">
        <f>D52</f>
        <v>0</v>
      </c>
      <c r="E99" s="627"/>
      <c r="F99" s="625">
        <v>1.5</v>
      </c>
      <c r="G99" s="625">
        <v>3</v>
      </c>
      <c r="H99" s="631"/>
      <c r="I99" s="631"/>
      <c r="J99" s="631"/>
      <c r="K99" s="631"/>
      <c r="L99" s="631"/>
      <c r="M99" s="631"/>
      <c r="N99" s="631"/>
      <c r="O99" s="631"/>
      <c r="P99" s="631"/>
      <c r="Q99" s="631"/>
      <c r="R99" s="631"/>
      <c r="S99" s="631"/>
      <c r="T99" s="631"/>
      <c r="U99" s="631"/>
      <c r="V99" s="631"/>
      <c r="W99" s="631"/>
      <c r="X99" s="631"/>
      <c r="Y99" s="631"/>
      <c r="Z99" s="631"/>
      <c r="AA99" s="631"/>
      <c r="AB99" s="631"/>
    </row>
    <row r="100" spans="2:28" ht="13.2" outlineLevel="1">
      <c r="B100" s="628" t="str">
        <f>B53</f>
        <v>Total population (maximum)</v>
      </c>
      <c r="C100" s="815">
        <v>40000</v>
      </c>
      <c r="D100" s="816">
        <f>D53</f>
        <v>0</v>
      </c>
      <c r="E100" s="627"/>
      <c r="F100" s="625">
        <v>2</v>
      </c>
      <c r="G100" s="625">
        <v>4</v>
      </c>
      <c r="H100" s="631"/>
      <c r="I100" s="631"/>
      <c r="J100" s="631"/>
      <c r="K100" s="631"/>
      <c r="L100" s="631"/>
      <c r="M100" s="631"/>
      <c r="N100" s="631"/>
      <c r="O100" s="631"/>
      <c r="P100" s="631"/>
      <c r="Q100" s="631"/>
      <c r="R100" s="631"/>
      <c r="S100" s="631"/>
      <c r="T100" s="631"/>
      <c r="U100" s="631"/>
      <c r="V100" s="631"/>
      <c r="W100" s="631"/>
      <c r="X100" s="631"/>
      <c r="Y100" s="631"/>
      <c r="Z100" s="631"/>
      <c r="AA100" s="631"/>
      <c r="AB100" s="631"/>
    </row>
    <row r="101" spans="2:28" ht="12" customHeight="1" outlineLevel="1">
      <c r="B101" s="628" t="str">
        <f>B54</f>
        <v>MaxiStock</v>
      </c>
      <c r="C101" s="807">
        <v>2</v>
      </c>
      <c r="D101" s="817" t="str">
        <f>D54</f>
        <v xml:space="preserve"> months</v>
      </c>
      <c r="E101" s="627"/>
      <c r="F101" s="625"/>
      <c r="G101" s="625"/>
      <c r="H101" s="627"/>
      <c r="I101" s="627"/>
      <c r="J101" s="627"/>
      <c r="K101" s="627"/>
      <c r="L101" s="627"/>
      <c r="M101" s="627"/>
      <c r="N101" s="627"/>
      <c r="O101" s="627"/>
      <c r="P101" s="627"/>
      <c r="Q101" s="627"/>
      <c r="R101" s="627"/>
      <c r="S101" s="627"/>
      <c r="T101" s="627"/>
      <c r="U101" s="627"/>
      <c r="V101" s="627"/>
      <c r="W101" s="627"/>
      <c r="X101" s="627"/>
      <c r="Y101" s="627"/>
      <c r="Z101" s="627"/>
      <c r="AA101" s="627"/>
      <c r="AB101" s="627"/>
    </row>
    <row r="102" spans="2:28" hidden="1" outlineLevel="1">
      <c r="B102" s="628"/>
      <c r="C102" s="687">
        <f>(C100-C99)/25</f>
        <v>1560</v>
      </c>
      <c r="D102" s="687">
        <f>IF(C102=0,0,ROUNDUP(C102,-(ROUND(LOG(C102),1))))</f>
        <v>2000</v>
      </c>
      <c r="E102" s="628"/>
      <c r="F102" s="628"/>
      <c r="G102" s="628"/>
      <c r="H102" s="628"/>
      <c r="I102" s="628"/>
      <c r="J102" s="628"/>
      <c r="K102" s="628"/>
      <c r="L102" s="628"/>
      <c r="M102" s="628"/>
      <c r="N102" s="627"/>
      <c r="O102" s="627"/>
      <c r="P102" s="627"/>
      <c r="Q102" s="627"/>
      <c r="R102" s="627"/>
      <c r="S102" s="627"/>
      <c r="T102" s="627"/>
      <c r="U102" s="627"/>
      <c r="V102" s="627"/>
      <c r="W102" s="627"/>
      <c r="X102" s="627"/>
      <c r="Y102" s="627"/>
      <c r="Z102" s="627"/>
      <c r="AA102" s="627"/>
      <c r="AB102" s="627"/>
    </row>
    <row r="103" spans="2:28" s="548" customFormat="1" ht="5.4" outlineLevel="1">
      <c r="B103" s="666"/>
      <c r="C103" s="666"/>
      <c r="D103" s="666"/>
      <c r="E103" s="666"/>
      <c r="F103" s="666"/>
      <c r="G103" s="666"/>
      <c r="H103" s="666"/>
      <c r="I103" s="666"/>
      <c r="J103" s="666"/>
      <c r="K103" s="666"/>
      <c r="L103" s="666"/>
      <c r="M103" s="666"/>
      <c r="N103" s="666"/>
      <c r="O103" s="666"/>
      <c r="P103" s="666"/>
      <c r="Q103" s="666"/>
      <c r="R103" s="666"/>
      <c r="S103" s="666"/>
      <c r="T103" s="666"/>
      <c r="U103" s="666"/>
      <c r="V103" s="666"/>
      <c r="W103" s="666"/>
      <c r="X103" s="666"/>
      <c r="Y103" s="666"/>
      <c r="Z103" s="666"/>
      <c r="AA103" s="666"/>
      <c r="AB103" s="666"/>
    </row>
    <row r="104" spans="2:28" ht="12" outlineLevel="1">
      <c r="B104" s="629" t="str">
        <f>B57</f>
        <v>Vaccine net volume for supply period and cold equipment capacities (litres)</v>
      </c>
      <c r="C104" s="627"/>
      <c r="D104" s="631"/>
      <c r="E104" s="631"/>
      <c r="F104" s="783" t="str">
        <f>IF($C$4=target2,Translation!$C$12,Translation!$C$13)</f>
        <v>Total population</v>
      </c>
      <c r="G104" s="631"/>
      <c r="H104" s="631"/>
      <c r="I104" s="631"/>
      <c r="J104" s="631"/>
      <c r="K104" s="631"/>
      <c r="L104" s="631"/>
      <c r="M104" s="631"/>
      <c r="N104" s="631"/>
      <c r="O104" s="631"/>
      <c r="P104" s="631"/>
      <c r="Q104" s="631"/>
      <c r="R104" s="631"/>
      <c r="S104" s="631"/>
      <c r="T104" s="631"/>
      <c r="U104" s="631"/>
      <c r="V104" s="631"/>
      <c r="W104" s="631"/>
      <c r="X104" s="631"/>
      <c r="Y104" s="631"/>
      <c r="Z104" s="631"/>
      <c r="AA104" s="631"/>
      <c r="AB104" s="631"/>
    </row>
    <row r="105" spans="2:28" ht="12" customHeight="1" outlineLevel="1">
      <c r="B105" s="593" t="str">
        <f>B58</f>
        <v xml:space="preserve">Total population: </v>
      </c>
      <c r="C105" s="594">
        <f>$C$99</f>
        <v>1000</v>
      </c>
      <c r="D105" s="594">
        <f>C105+$D$102</f>
        <v>3000</v>
      </c>
      <c r="E105" s="594">
        <f t="shared" ref="E105:AB105" si="24">D105+$D$102</f>
        <v>5000</v>
      </c>
      <c r="F105" s="594">
        <f t="shared" si="24"/>
        <v>7000</v>
      </c>
      <c r="G105" s="594">
        <f t="shared" si="24"/>
        <v>9000</v>
      </c>
      <c r="H105" s="594">
        <f t="shared" si="24"/>
        <v>11000</v>
      </c>
      <c r="I105" s="594">
        <f t="shared" si="24"/>
        <v>13000</v>
      </c>
      <c r="J105" s="594">
        <f t="shared" si="24"/>
        <v>15000</v>
      </c>
      <c r="K105" s="594">
        <f t="shared" si="24"/>
        <v>17000</v>
      </c>
      <c r="L105" s="594">
        <f t="shared" si="24"/>
        <v>19000</v>
      </c>
      <c r="M105" s="594">
        <f t="shared" si="24"/>
        <v>21000</v>
      </c>
      <c r="N105" s="594">
        <f t="shared" si="24"/>
        <v>23000</v>
      </c>
      <c r="O105" s="594">
        <f t="shared" si="24"/>
        <v>25000</v>
      </c>
      <c r="P105" s="594">
        <f t="shared" si="24"/>
        <v>27000</v>
      </c>
      <c r="Q105" s="594">
        <f t="shared" si="24"/>
        <v>29000</v>
      </c>
      <c r="R105" s="594">
        <f t="shared" si="24"/>
        <v>31000</v>
      </c>
      <c r="S105" s="594">
        <f t="shared" si="24"/>
        <v>33000</v>
      </c>
      <c r="T105" s="594">
        <f t="shared" si="24"/>
        <v>35000</v>
      </c>
      <c r="U105" s="594">
        <f t="shared" si="24"/>
        <v>37000</v>
      </c>
      <c r="V105" s="594">
        <f t="shared" si="24"/>
        <v>39000</v>
      </c>
      <c r="W105" s="594">
        <f t="shared" si="24"/>
        <v>41000</v>
      </c>
      <c r="X105" s="594">
        <f t="shared" si="24"/>
        <v>43000</v>
      </c>
      <c r="Y105" s="594">
        <f t="shared" si="24"/>
        <v>45000</v>
      </c>
      <c r="Z105" s="594">
        <f t="shared" si="24"/>
        <v>47000</v>
      </c>
      <c r="AA105" s="594">
        <f t="shared" si="24"/>
        <v>49000</v>
      </c>
      <c r="AB105" s="594">
        <f t="shared" si="24"/>
        <v>51000</v>
      </c>
    </row>
    <row r="106" spans="2:28" ht="12" outlineLevel="1">
      <c r="B106" s="641" t="str">
        <f>Translation!C29</f>
        <v>Estimate of cold-chain capacity per schedule (litres)</v>
      </c>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c r="AA106" s="186"/>
      <c r="AB106" s="186"/>
    </row>
    <row r="107" spans="2:28" outlineLevel="1">
      <c r="B107" s="633" t="str">
        <f>IF(Vaccine_Selection!$M$16="","",CONCATENATE(Vaccine_Selection!$M$16," @ ",$C$101,$D$101," MaxiStock"))</f>
        <v>Current schedule @ 2 months MaxiStock</v>
      </c>
      <c r="C107" s="634">
        <f>Vaccine_Selection!$M$41*$C$101*C$105/12000</f>
        <v>0.17955278518518519</v>
      </c>
      <c r="D107" s="634">
        <f>Vaccine_Selection!$M$41*$C$101*D$105/12000</f>
        <v>0.53865835555555552</v>
      </c>
      <c r="E107" s="634">
        <f>Vaccine_Selection!$M$41*$C$101*E$105/12000</f>
        <v>0.8977639259259258</v>
      </c>
      <c r="F107" s="634">
        <f>Vaccine_Selection!$M$41*$C$101*F$105/12000</f>
        <v>1.2568694962962963</v>
      </c>
      <c r="G107" s="634">
        <f>Vaccine_Selection!$M$41*$C$101*G$105/12000</f>
        <v>1.6159750666666666</v>
      </c>
      <c r="H107" s="634">
        <f>Vaccine_Selection!$M$41*$C$101*H$105/12000</f>
        <v>1.9750806370370368</v>
      </c>
      <c r="I107" s="634">
        <f>Vaccine_Selection!$M$41*$C$101*I$105/12000</f>
        <v>2.3341862074074071</v>
      </c>
      <c r="J107" s="634">
        <f>Vaccine_Selection!$M$41*$C$101*J$105/12000</f>
        <v>2.6932917777777776</v>
      </c>
      <c r="K107" s="634">
        <f>Vaccine_Selection!$M$41*$C$101*K$105/12000</f>
        <v>3.0523973481481481</v>
      </c>
      <c r="L107" s="634">
        <f>Vaccine_Selection!$M$41*$C$101*L$105/12000</f>
        <v>3.4115029185185182</v>
      </c>
      <c r="M107" s="634">
        <f>Vaccine_Selection!$M$41*$C$101*M$105/12000</f>
        <v>3.7706084888888882</v>
      </c>
      <c r="N107" s="634">
        <f>Vaccine_Selection!$M$41*$C$101*N$105/12000</f>
        <v>4.1297140592592596</v>
      </c>
      <c r="O107" s="634">
        <f>Vaccine_Selection!$M$41*$C$101*O$105/12000</f>
        <v>4.4888196296296297</v>
      </c>
      <c r="P107" s="634">
        <f>Vaccine_Selection!$M$41*$C$101*P$105/12000</f>
        <v>4.8479251999999997</v>
      </c>
      <c r="Q107" s="634">
        <f>Vaccine_Selection!$M$41*$C$101*Q$105/12000</f>
        <v>5.2070307703703698</v>
      </c>
      <c r="R107" s="634">
        <f>Vaccine_Selection!$M$41*$C$101*R$105/12000</f>
        <v>5.5661363407407407</v>
      </c>
      <c r="S107" s="634">
        <f>Vaccine_Selection!$M$41*$C$101*S$105/12000</f>
        <v>5.9252419111111108</v>
      </c>
      <c r="T107" s="634">
        <f>Vaccine_Selection!$M$41*$C$101*T$105/12000</f>
        <v>6.2843474814814808</v>
      </c>
      <c r="U107" s="634">
        <f>Vaccine_Selection!$M$41*$C$101*U$105/12000</f>
        <v>6.6434530518518518</v>
      </c>
      <c r="V107" s="634">
        <f>Vaccine_Selection!$M$41*$C$101*V$105/12000</f>
        <v>7.0025586222222218</v>
      </c>
      <c r="W107" s="634">
        <f>Vaccine_Selection!$M$41*$C$101*W$105/12000</f>
        <v>7.3616641925925919</v>
      </c>
      <c r="X107" s="634">
        <f>Vaccine_Selection!$M$41*$C$101*X$105/12000</f>
        <v>7.7207697629629619</v>
      </c>
      <c r="Y107" s="634">
        <f>Vaccine_Selection!$M$41*$C$101*Y$105/12000</f>
        <v>8.0798753333333337</v>
      </c>
      <c r="Z107" s="634">
        <f>Vaccine_Selection!$M$41*$C$101*Z$105/12000</f>
        <v>8.4389809037037029</v>
      </c>
      <c r="AA107" s="634">
        <f>Vaccine_Selection!$M$41*$C$101*AA$105/12000</f>
        <v>8.7980864740740738</v>
      </c>
      <c r="AB107" s="634">
        <f>Vaccine_Selection!$M$41*$C$101*AB$105/12000</f>
        <v>9.1571920444444448</v>
      </c>
    </row>
    <row r="108" spans="2:28" outlineLevel="1">
      <c r="B108" s="633" t="str">
        <f>IF(Vaccine_Selection!$N$16="","",CONCATENATE(Vaccine_Selection!$N$16," @ ",$C$101,$D$101," MaxiStock"))</f>
        <v>Current schedule with penta 1d @ 2 months MaxiStock</v>
      </c>
      <c r="C108" s="634">
        <f>Vaccine_Selection!$N$41*$C$101*C$105/12000</f>
        <v>0.31135785185185183</v>
      </c>
      <c r="D108" s="634">
        <f>Vaccine_Selection!$N$41*$C$101*D$105/12000</f>
        <v>0.93407355555555549</v>
      </c>
      <c r="E108" s="634">
        <f>Vaccine_Selection!$N$41*$C$101*E$105/12000</f>
        <v>1.5567892592592592</v>
      </c>
      <c r="F108" s="634">
        <f>Vaccine_Selection!$N$41*$C$101*F$105/12000</f>
        <v>2.1795049629629628</v>
      </c>
      <c r="G108" s="634">
        <f>Vaccine_Selection!$N$41*$C$101*G$105/12000</f>
        <v>2.8022206666666669</v>
      </c>
      <c r="H108" s="634">
        <f>Vaccine_Selection!$N$41*$C$101*H$105/12000</f>
        <v>3.4249363703703701</v>
      </c>
      <c r="I108" s="634">
        <f>Vaccine_Selection!$N$41*$C$101*I$105/12000</f>
        <v>4.0476520740740733</v>
      </c>
      <c r="J108" s="634">
        <f>Vaccine_Selection!$N$41*$C$101*J$105/12000</f>
        <v>4.6703677777777779</v>
      </c>
      <c r="K108" s="634">
        <f>Vaccine_Selection!$N$41*$C$101*K$105/12000</f>
        <v>5.2930834814814816</v>
      </c>
      <c r="L108" s="634">
        <f>Vaccine_Selection!$N$41*$C$101*L$105/12000</f>
        <v>5.9157991851851852</v>
      </c>
      <c r="M108" s="634">
        <f>Vaccine_Selection!$N$41*$C$101*M$105/12000</f>
        <v>6.538514888888888</v>
      </c>
      <c r="N108" s="634">
        <f>Vaccine_Selection!$N$41*$C$101*N$105/12000</f>
        <v>7.1612305925925925</v>
      </c>
      <c r="O108" s="634">
        <f>Vaccine_Selection!$N$41*$C$101*O$105/12000</f>
        <v>7.7839462962962962</v>
      </c>
      <c r="P108" s="634">
        <f>Vaccine_Selection!$N$41*$C$101*P$105/12000</f>
        <v>8.406661999999999</v>
      </c>
      <c r="Q108" s="634">
        <f>Vaccine_Selection!$N$41*$C$101*Q$105/12000</f>
        <v>9.0293777037037035</v>
      </c>
      <c r="R108" s="634">
        <f>Vaccine_Selection!$N$41*$C$101*R$105/12000</f>
        <v>9.6520934074074063</v>
      </c>
      <c r="S108" s="634">
        <f>Vaccine_Selection!$N$41*$C$101*S$105/12000</f>
        <v>10.274809111111109</v>
      </c>
      <c r="T108" s="634">
        <f>Vaccine_Selection!$N$41*$C$101*T$105/12000</f>
        <v>10.897524814814814</v>
      </c>
      <c r="U108" s="634">
        <f>Vaccine_Selection!$N$41*$C$101*U$105/12000</f>
        <v>11.520240518518518</v>
      </c>
      <c r="V108" s="634">
        <f>Vaccine_Selection!$N$41*$C$101*V$105/12000</f>
        <v>12.142956222222221</v>
      </c>
      <c r="W108" s="634">
        <f>Vaccine_Selection!$N$41*$C$101*W$105/12000</f>
        <v>12.765671925925925</v>
      </c>
      <c r="X108" s="634">
        <f>Vaccine_Selection!$N$41*$C$101*X$105/12000</f>
        <v>13.38838762962963</v>
      </c>
      <c r="Y108" s="634">
        <f>Vaccine_Selection!$N$41*$C$101*Y$105/12000</f>
        <v>14.011103333333333</v>
      </c>
      <c r="Z108" s="634">
        <f>Vaccine_Selection!$N$41*$C$101*Z$105/12000</f>
        <v>14.633819037037036</v>
      </c>
      <c r="AA108" s="634">
        <f>Vaccine_Selection!$N$41*$C$101*AA$105/12000</f>
        <v>15.256534740740738</v>
      </c>
      <c r="AB108" s="634">
        <f>Vaccine_Selection!$N$41*$C$101*AB$105/12000</f>
        <v>15.879250444444445</v>
      </c>
    </row>
    <row r="109" spans="2:28" outlineLevel="1">
      <c r="B109" s="633" t="str">
        <f>IF(Vaccine_Selection!$O$16="","",CONCATENATE(Vaccine_Selection!$O$16," @ ",$C$101,$D$101," MaxiStock"))</f>
        <v>Current schedule with penta CAD @ 2 months MaxiStock</v>
      </c>
      <c r="C109" s="634">
        <f>Vaccine_Selection!$O$41*$C$101*C$105/12000</f>
        <v>0.26471945185185181</v>
      </c>
      <c r="D109" s="634">
        <f>Vaccine_Selection!$O$41*$C$101*D$105/12000</f>
        <v>0.79415835555555547</v>
      </c>
      <c r="E109" s="634">
        <f>Vaccine_Selection!$O$41*$C$101*E$105/12000</f>
        <v>1.3235972592592591</v>
      </c>
      <c r="F109" s="634">
        <f>Vaccine_Selection!$O$41*$C$101*F$105/12000</f>
        <v>1.8530361629629628</v>
      </c>
      <c r="G109" s="634">
        <f>Vaccine_Selection!$O$41*$C$101*G$105/12000</f>
        <v>2.3824750666666668</v>
      </c>
      <c r="H109" s="634">
        <f>Vaccine_Selection!$O$41*$C$101*H$105/12000</f>
        <v>2.91191397037037</v>
      </c>
      <c r="I109" s="634">
        <f>Vaccine_Selection!$O$41*$C$101*I$105/12000</f>
        <v>3.4413528740740738</v>
      </c>
      <c r="J109" s="634">
        <f>Vaccine_Selection!$O$41*$C$101*J$105/12000</f>
        <v>3.970791777777777</v>
      </c>
      <c r="K109" s="634">
        <f>Vaccine_Selection!$O$41*$C$101*K$105/12000</f>
        <v>4.5002306814814803</v>
      </c>
      <c r="L109" s="634">
        <f>Vaccine_Selection!$O$41*$C$101*L$105/12000</f>
        <v>5.0296695851851849</v>
      </c>
      <c r="M109" s="634">
        <f>Vaccine_Selection!$O$41*$C$101*M$105/12000</f>
        <v>5.5591084888888886</v>
      </c>
      <c r="N109" s="634">
        <f>Vaccine_Selection!$O$41*$C$101*N$105/12000</f>
        <v>6.0885473925925924</v>
      </c>
      <c r="O109" s="634">
        <f>Vaccine_Selection!$O$41*$C$101*O$105/12000</f>
        <v>6.6179862962962952</v>
      </c>
      <c r="P109" s="634">
        <f>Vaccine_Selection!$O$41*$C$101*P$105/12000</f>
        <v>7.1474251999999989</v>
      </c>
      <c r="Q109" s="634">
        <f>Vaccine_Selection!$O$41*$C$101*Q$105/12000</f>
        <v>7.6768641037037026</v>
      </c>
      <c r="R109" s="634">
        <f>Vaccine_Selection!$O$41*$C$101*R$105/12000</f>
        <v>8.2063030074074064</v>
      </c>
      <c r="S109" s="634">
        <f>Vaccine_Selection!$O$41*$C$101*S$105/12000</f>
        <v>8.7357419111111092</v>
      </c>
      <c r="T109" s="634">
        <f>Vaccine_Selection!$O$41*$C$101*T$105/12000</f>
        <v>9.2651808148148138</v>
      </c>
      <c r="U109" s="634">
        <f>Vaccine_Selection!$O$41*$C$101*U$105/12000</f>
        <v>9.7946197185185184</v>
      </c>
      <c r="V109" s="634">
        <f>Vaccine_Selection!$O$41*$C$101*V$105/12000</f>
        <v>10.324058622222221</v>
      </c>
      <c r="W109" s="634">
        <f>Vaccine_Selection!$O$41*$C$101*W$105/12000</f>
        <v>10.853497525925926</v>
      </c>
      <c r="X109" s="634">
        <f>Vaccine_Selection!$O$41*$C$101*X$105/12000</f>
        <v>11.382936429629629</v>
      </c>
      <c r="Y109" s="634">
        <f>Vaccine_Selection!$O$41*$C$101*Y$105/12000</f>
        <v>11.912375333333332</v>
      </c>
      <c r="Z109" s="634">
        <f>Vaccine_Selection!$O$41*$C$101*Z$105/12000</f>
        <v>12.441814237037036</v>
      </c>
      <c r="AA109" s="634">
        <f>Vaccine_Selection!$O$41*$C$101*AA$105/12000</f>
        <v>12.971253140740739</v>
      </c>
      <c r="AB109" s="634">
        <f>Vaccine_Selection!$O$41*$C$101*AB$105/12000</f>
        <v>13.500692044444444</v>
      </c>
    </row>
    <row r="110" spans="2:28" outlineLevel="1">
      <c r="B110" s="633" t="str">
        <f>IF(Vaccine_Selection!$P$16="","",CONCATENATE(Vaccine_Selection!$P$16," @ ",$C$101,$D$101," MaxiStock"))</f>
        <v/>
      </c>
      <c r="C110" s="634">
        <f>Vaccine_Selection!$P$41*$C$101*C$105/12000</f>
        <v>0</v>
      </c>
      <c r="D110" s="634">
        <f>Vaccine_Selection!$P$41*$C$101*D$105/12000</f>
        <v>0</v>
      </c>
      <c r="E110" s="634">
        <f>Vaccine_Selection!$P$41*$C$101*E$105/12000</f>
        <v>0</v>
      </c>
      <c r="F110" s="634">
        <f>Vaccine_Selection!$P$41*$C$101*F$105/12000</f>
        <v>0</v>
      </c>
      <c r="G110" s="634">
        <f>Vaccine_Selection!$P$41*$C$101*G$105/12000</f>
        <v>0</v>
      </c>
      <c r="H110" s="634">
        <f>Vaccine_Selection!$P$41*$C$101*H$105/12000</f>
        <v>0</v>
      </c>
      <c r="I110" s="634">
        <f>Vaccine_Selection!$P$41*$C$101*I$105/12000</f>
        <v>0</v>
      </c>
      <c r="J110" s="634">
        <f>Vaccine_Selection!$P$41*$C$101*J$105/12000</f>
        <v>0</v>
      </c>
      <c r="K110" s="634">
        <f>Vaccine_Selection!$P$41*$C$101*K$105/12000</f>
        <v>0</v>
      </c>
      <c r="L110" s="634">
        <f>Vaccine_Selection!$P$41*$C$101*L$105/12000</f>
        <v>0</v>
      </c>
      <c r="M110" s="634">
        <f>Vaccine_Selection!$P$41*$C$101*M$105/12000</f>
        <v>0</v>
      </c>
      <c r="N110" s="634">
        <f>Vaccine_Selection!$P$41*$C$101*N$105/12000</f>
        <v>0</v>
      </c>
      <c r="O110" s="634">
        <f>Vaccine_Selection!$P$41*$C$101*O$105/12000</f>
        <v>0</v>
      </c>
      <c r="P110" s="634">
        <f>Vaccine_Selection!$P$41*$C$101*P$105/12000</f>
        <v>0</v>
      </c>
      <c r="Q110" s="634">
        <f>Vaccine_Selection!$P$41*$C$101*Q$105/12000</f>
        <v>0</v>
      </c>
      <c r="R110" s="634">
        <f>Vaccine_Selection!$P$41*$C$101*R$105/12000</f>
        <v>0</v>
      </c>
      <c r="S110" s="634">
        <f>Vaccine_Selection!$P$41*$C$101*S$105/12000</f>
        <v>0</v>
      </c>
      <c r="T110" s="634">
        <f>Vaccine_Selection!$P$41*$C$101*T$105/12000</f>
        <v>0</v>
      </c>
      <c r="U110" s="634">
        <f>Vaccine_Selection!$P$41*$C$101*U$105/12000</f>
        <v>0</v>
      </c>
      <c r="V110" s="634">
        <f>Vaccine_Selection!$P$41*$C$101*V$105/12000</f>
        <v>0</v>
      </c>
      <c r="W110" s="634">
        <f>Vaccine_Selection!$P$41*$C$101*W$105/12000</f>
        <v>0</v>
      </c>
      <c r="X110" s="634">
        <f>Vaccine_Selection!$P$41*$C$101*X$105/12000</f>
        <v>0</v>
      </c>
      <c r="Y110" s="634">
        <f>Vaccine_Selection!$P$41*$C$101*Y$105/12000</f>
        <v>0</v>
      </c>
      <c r="Z110" s="634">
        <f>Vaccine_Selection!$P$41*$C$101*Z$105/12000</f>
        <v>0</v>
      </c>
      <c r="AA110" s="634">
        <f>Vaccine_Selection!$P$41*$C$101*AA$105/12000</f>
        <v>0</v>
      </c>
      <c r="AB110" s="634">
        <f>Vaccine_Selection!$P$41*$C$101*AB$105/12000</f>
        <v>0</v>
      </c>
    </row>
    <row r="111" spans="2:28" outlineLevel="1">
      <c r="B111" s="657" t="str">
        <f>IF(Vaccine_Selection!$Q$16="","",CONCATENATE(Vaccine_Selection!$Q$16," @ ",$C$101,$D$101," MaxiStock"))</f>
        <v/>
      </c>
      <c r="C111" s="642">
        <f>Vaccine_Selection!$Q$41*$C$101*C$105/12000</f>
        <v>0</v>
      </c>
      <c r="D111" s="642">
        <f>Vaccine_Selection!$Q$41*$C$101*D$105/12000</f>
        <v>0</v>
      </c>
      <c r="E111" s="642">
        <f>Vaccine_Selection!$Q$41*$C$101*E$105/12000</f>
        <v>0</v>
      </c>
      <c r="F111" s="642">
        <f>Vaccine_Selection!$Q$41*$C$101*F$105/12000</f>
        <v>0</v>
      </c>
      <c r="G111" s="642">
        <f>Vaccine_Selection!$Q$41*$C$101*G$105/12000</f>
        <v>0</v>
      </c>
      <c r="H111" s="642">
        <f>Vaccine_Selection!$Q$41*$C$101*H$105/12000</f>
        <v>0</v>
      </c>
      <c r="I111" s="642">
        <f>Vaccine_Selection!$Q$41*$C$101*I$105/12000</f>
        <v>0</v>
      </c>
      <c r="J111" s="642">
        <f>Vaccine_Selection!$Q$41*$C$101*J$105/12000</f>
        <v>0</v>
      </c>
      <c r="K111" s="642">
        <f>Vaccine_Selection!$Q$41*$C$101*K$105/12000</f>
        <v>0</v>
      </c>
      <c r="L111" s="642">
        <f>Vaccine_Selection!$Q$41*$C$101*L$105/12000</f>
        <v>0</v>
      </c>
      <c r="M111" s="642">
        <f>Vaccine_Selection!$Q$41*$C$101*M$105/12000</f>
        <v>0</v>
      </c>
      <c r="N111" s="642">
        <f>Vaccine_Selection!$Q$41*$C$101*N$105/12000</f>
        <v>0</v>
      </c>
      <c r="O111" s="642">
        <f>Vaccine_Selection!$Q$41*$C$101*O$105/12000</f>
        <v>0</v>
      </c>
      <c r="P111" s="642">
        <f>Vaccine_Selection!$Q$41*$C$101*P$105/12000</f>
        <v>0</v>
      </c>
      <c r="Q111" s="642">
        <f>Vaccine_Selection!$Q$41*$C$101*Q$105/12000</f>
        <v>0</v>
      </c>
      <c r="R111" s="642">
        <f>Vaccine_Selection!$Q$41*$C$101*R$105/12000</f>
        <v>0</v>
      </c>
      <c r="S111" s="642">
        <f>Vaccine_Selection!$Q$41*$C$101*S$105/12000</f>
        <v>0</v>
      </c>
      <c r="T111" s="642">
        <f>Vaccine_Selection!$Q$41*$C$101*T$105/12000</f>
        <v>0</v>
      </c>
      <c r="U111" s="642">
        <f>Vaccine_Selection!$Q$41*$C$101*U$105/12000</f>
        <v>0</v>
      </c>
      <c r="V111" s="642">
        <f>Vaccine_Selection!$Q$41*$C$101*V$105/12000</f>
        <v>0</v>
      </c>
      <c r="W111" s="642">
        <f>Vaccine_Selection!$Q$41*$C$101*W$105/12000</f>
        <v>0</v>
      </c>
      <c r="X111" s="642">
        <f>Vaccine_Selection!$Q$41*$C$101*X$105/12000</f>
        <v>0</v>
      </c>
      <c r="Y111" s="642">
        <f>Vaccine_Selection!$Q$41*$C$101*Y$105/12000</f>
        <v>0</v>
      </c>
      <c r="Z111" s="642">
        <f>Vaccine_Selection!$Q$41*$C$101*Z$105/12000</f>
        <v>0</v>
      </c>
      <c r="AA111" s="642">
        <f>Vaccine_Selection!$Q$41*$C$101*AA$105/12000</f>
        <v>0</v>
      </c>
      <c r="AB111" s="642">
        <f>Vaccine_Selection!$Q$41*$C$101*AB$105/12000</f>
        <v>0</v>
      </c>
    </row>
    <row r="112" spans="2:28" ht="12" outlineLevel="1">
      <c r="B112" s="658" t="str">
        <f>Translation!C38</f>
        <v>Estimate of equipment requirements per schedule</v>
      </c>
      <c r="C112" s="652"/>
      <c r="D112" s="652"/>
      <c r="E112" s="653" t="str">
        <f>Translation!C40</f>
        <v>Equipment utilization factor (%)</v>
      </c>
      <c r="F112" s="655">
        <v>0.8</v>
      </c>
      <c r="G112" s="652"/>
      <c r="H112" s="652"/>
      <c r="I112" s="652"/>
      <c r="J112" s="652"/>
      <c r="K112" s="652"/>
      <c r="L112" s="652"/>
      <c r="M112" s="652"/>
      <c r="N112" s="652"/>
      <c r="O112" s="652"/>
      <c r="P112" s="652"/>
      <c r="Q112" s="652"/>
      <c r="R112" s="652"/>
      <c r="S112" s="652"/>
      <c r="T112" s="652"/>
      <c r="U112" s="652"/>
      <c r="V112" s="652"/>
      <c r="W112" s="652"/>
      <c r="X112" s="652"/>
      <c r="Y112" s="652"/>
      <c r="Z112" s="652"/>
      <c r="AA112" s="652"/>
      <c r="AB112" s="652"/>
    </row>
    <row r="113" spans="2:28" ht="12" outlineLevel="1">
      <c r="B113" s="662" t="s">
        <v>1378</v>
      </c>
      <c r="C113" s="634">
        <f>SUMIF(Eqpt_list,$B113,PQEquipment!$I$6:$I$97)</f>
        <v>20</v>
      </c>
      <c r="D113" s="634">
        <f t="shared" ref="D113:AB113" si="25">C113</f>
        <v>20</v>
      </c>
      <c r="E113" s="634">
        <f t="shared" si="25"/>
        <v>20</v>
      </c>
      <c r="F113" s="634">
        <f t="shared" si="25"/>
        <v>20</v>
      </c>
      <c r="G113" s="634">
        <f t="shared" si="25"/>
        <v>20</v>
      </c>
      <c r="H113" s="634">
        <f t="shared" si="25"/>
        <v>20</v>
      </c>
      <c r="I113" s="634">
        <f t="shared" si="25"/>
        <v>20</v>
      </c>
      <c r="J113" s="634">
        <f t="shared" si="25"/>
        <v>20</v>
      </c>
      <c r="K113" s="634">
        <f t="shared" si="25"/>
        <v>20</v>
      </c>
      <c r="L113" s="634">
        <f t="shared" si="25"/>
        <v>20</v>
      </c>
      <c r="M113" s="634">
        <f t="shared" si="25"/>
        <v>20</v>
      </c>
      <c r="N113" s="634">
        <f t="shared" si="25"/>
        <v>20</v>
      </c>
      <c r="O113" s="634">
        <f t="shared" si="25"/>
        <v>20</v>
      </c>
      <c r="P113" s="634">
        <f t="shared" si="25"/>
        <v>20</v>
      </c>
      <c r="Q113" s="634">
        <f t="shared" si="25"/>
        <v>20</v>
      </c>
      <c r="R113" s="634">
        <f t="shared" si="25"/>
        <v>20</v>
      </c>
      <c r="S113" s="634">
        <f t="shared" si="25"/>
        <v>20</v>
      </c>
      <c r="T113" s="634">
        <f t="shared" si="25"/>
        <v>20</v>
      </c>
      <c r="U113" s="634">
        <f t="shared" si="25"/>
        <v>20</v>
      </c>
      <c r="V113" s="634">
        <f t="shared" si="25"/>
        <v>20</v>
      </c>
      <c r="W113" s="634">
        <f t="shared" si="25"/>
        <v>20</v>
      </c>
      <c r="X113" s="634">
        <f t="shared" si="25"/>
        <v>20</v>
      </c>
      <c r="Y113" s="634">
        <f t="shared" si="25"/>
        <v>20</v>
      </c>
      <c r="Z113" s="634">
        <f t="shared" si="25"/>
        <v>20</v>
      </c>
      <c r="AA113" s="634">
        <f t="shared" si="25"/>
        <v>20</v>
      </c>
      <c r="AB113" s="634">
        <f t="shared" si="25"/>
        <v>20</v>
      </c>
    </row>
    <row r="114" spans="2:28" outlineLevel="1">
      <c r="B114" s="660" t="str">
        <f>IF(Vaccine_Selection!$M$16="","",CONCATENATE($B107," - ",$B$113))</f>
        <v>Current schedule @ 2 months MaxiStock - MK 074</v>
      </c>
      <c r="C114" s="640">
        <f t="shared" ref="C114:AB114" si="26">IF(C$113=0,0,ROUND(C107/(C$113*$F$112),0))</f>
        <v>0</v>
      </c>
      <c r="D114" s="640">
        <f t="shared" si="26"/>
        <v>0</v>
      </c>
      <c r="E114" s="640">
        <f t="shared" si="26"/>
        <v>0</v>
      </c>
      <c r="F114" s="640">
        <f t="shared" si="26"/>
        <v>0</v>
      </c>
      <c r="G114" s="640">
        <f t="shared" si="26"/>
        <v>0</v>
      </c>
      <c r="H114" s="640">
        <f t="shared" si="26"/>
        <v>0</v>
      </c>
      <c r="I114" s="640">
        <f t="shared" si="26"/>
        <v>0</v>
      </c>
      <c r="J114" s="640">
        <f t="shared" si="26"/>
        <v>0</v>
      </c>
      <c r="K114" s="640">
        <f t="shared" si="26"/>
        <v>0</v>
      </c>
      <c r="L114" s="640">
        <f t="shared" si="26"/>
        <v>0</v>
      </c>
      <c r="M114" s="640">
        <f t="shared" si="26"/>
        <v>0</v>
      </c>
      <c r="N114" s="640">
        <f t="shared" si="26"/>
        <v>0</v>
      </c>
      <c r="O114" s="640">
        <f t="shared" si="26"/>
        <v>0</v>
      </c>
      <c r="P114" s="640">
        <f t="shared" si="26"/>
        <v>0</v>
      </c>
      <c r="Q114" s="640">
        <f t="shared" si="26"/>
        <v>0</v>
      </c>
      <c r="R114" s="640">
        <f t="shared" si="26"/>
        <v>0</v>
      </c>
      <c r="S114" s="640">
        <f t="shared" si="26"/>
        <v>0</v>
      </c>
      <c r="T114" s="640">
        <f t="shared" si="26"/>
        <v>0</v>
      </c>
      <c r="U114" s="640">
        <f t="shared" si="26"/>
        <v>0</v>
      </c>
      <c r="V114" s="640">
        <f t="shared" si="26"/>
        <v>0</v>
      </c>
      <c r="W114" s="640">
        <f t="shared" si="26"/>
        <v>0</v>
      </c>
      <c r="X114" s="640">
        <f t="shared" si="26"/>
        <v>0</v>
      </c>
      <c r="Y114" s="640">
        <f t="shared" si="26"/>
        <v>1</v>
      </c>
      <c r="Z114" s="640">
        <f t="shared" si="26"/>
        <v>1</v>
      </c>
      <c r="AA114" s="640">
        <f t="shared" si="26"/>
        <v>1</v>
      </c>
      <c r="AB114" s="640">
        <f t="shared" si="26"/>
        <v>1</v>
      </c>
    </row>
    <row r="115" spans="2:28" outlineLevel="1">
      <c r="B115" s="22" t="str">
        <f>IF(Vaccine_Selection!$N$16="","",CONCATENATE($B108," - ",$B$113))</f>
        <v>Current schedule with penta 1d @ 2 months MaxiStock - MK 074</v>
      </c>
      <c r="C115" s="667">
        <f t="shared" ref="C115:AB115" si="27">IF(C$113=0,0,ROUND(C108/(C$113*$F$112),0))</f>
        <v>0</v>
      </c>
      <c r="D115" s="667">
        <f t="shared" si="27"/>
        <v>0</v>
      </c>
      <c r="E115" s="667">
        <f t="shared" si="27"/>
        <v>0</v>
      </c>
      <c r="F115" s="667">
        <f t="shared" si="27"/>
        <v>0</v>
      </c>
      <c r="G115" s="667">
        <f t="shared" si="27"/>
        <v>0</v>
      </c>
      <c r="H115" s="667">
        <f t="shared" si="27"/>
        <v>0</v>
      </c>
      <c r="I115" s="667">
        <f t="shared" si="27"/>
        <v>0</v>
      </c>
      <c r="J115" s="667">
        <f t="shared" si="27"/>
        <v>0</v>
      </c>
      <c r="K115" s="667">
        <f t="shared" si="27"/>
        <v>0</v>
      </c>
      <c r="L115" s="667">
        <f t="shared" si="27"/>
        <v>0</v>
      </c>
      <c r="M115" s="667">
        <f t="shared" si="27"/>
        <v>0</v>
      </c>
      <c r="N115" s="667">
        <f t="shared" si="27"/>
        <v>0</v>
      </c>
      <c r="O115" s="667">
        <f t="shared" si="27"/>
        <v>0</v>
      </c>
      <c r="P115" s="667">
        <f t="shared" si="27"/>
        <v>1</v>
      </c>
      <c r="Q115" s="667">
        <f t="shared" si="27"/>
        <v>1</v>
      </c>
      <c r="R115" s="667">
        <f t="shared" si="27"/>
        <v>1</v>
      </c>
      <c r="S115" s="667">
        <f t="shared" si="27"/>
        <v>1</v>
      </c>
      <c r="T115" s="667">
        <f t="shared" si="27"/>
        <v>1</v>
      </c>
      <c r="U115" s="667">
        <f t="shared" si="27"/>
        <v>1</v>
      </c>
      <c r="V115" s="667">
        <f t="shared" si="27"/>
        <v>1</v>
      </c>
      <c r="W115" s="667">
        <f t="shared" si="27"/>
        <v>1</v>
      </c>
      <c r="X115" s="667">
        <f t="shared" si="27"/>
        <v>1</v>
      </c>
      <c r="Y115" s="667">
        <f t="shared" si="27"/>
        <v>1</v>
      </c>
      <c r="Z115" s="667">
        <f t="shared" si="27"/>
        <v>1</v>
      </c>
      <c r="AA115" s="667">
        <f t="shared" si="27"/>
        <v>1</v>
      </c>
      <c r="AB115" s="667">
        <f t="shared" si="27"/>
        <v>1</v>
      </c>
    </row>
    <row r="116" spans="2:28" outlineLevel="1">
      <c r="B116" s="22" t="str">
        <f>IF(Vaccine_Selection!$O$16="","",CONCATENATE($B109," - ",$B$113))</f>
        <v>Current schedule with penta CAD @ 2 months MaxiStock - MK 074</v>
      </c>
      <c r="C116" s="640">
        <f t="shared" ref="C116:AB116" si="28">IF(C$113=0,0,ROUND(C109/(C$113*$F$112),0))</f>
        <v>0</v>
      </c>
      <c r="D116" s="640">
        <f t="shared" si="28"/>
        <v>0</v>
      </c>
      <c r="E116" s="640">
        <f t="shared" si="28"/>
        <v>0</v>
      </c>
      <c r="F116" s="640">
        <f t="shared" si="28"/>
        <v>0</v>
      </c>
      <c r="G116" s="640">
        <f t="shared" si="28"/>
        <v>0</v>
      </c>
      <c r="H116" s="640">
        <f t="shared" si="28"/>
        <v>0</v>
      </c>
      <c r="I116" s="640">
        <f t="shared" si="28"/>
        <v>0</v>
      </c>
      <c r="J116" s="640">
        <f t="shared" si="28"/>
        <v>0</v>
      </c>
      <c r="K116" s="640">
        <f t="shared" si="28"/>
        <v>0</v>
      </c>
      <c r="L116" s="640">
        <f t="shared" si="28"/>
        <v>0</v>
      </c>
      <c r="M116" s="640">
        <f t="shared" si="28"/>
        <v>0</v>
      </c>
      <c r="N116" s="640">
        <f t="shared" si="28"/>
        <v>0</v>
      </c>
      <c r="O116" s="640">
        <f t="shared" si="28"/>
        <v>0</v>
      </c>
      <c r="P116" s="640">
        <f t="shared" si="28"/>
        <v>0</v>
      </c>
      <c r="Q116" s="640">
        <f t="shared" si="28"/>
        <v>0</v>
      </c>
      <c r="R116" s="640">
        <f t="shared" si="28"/>
        <v>1</v>
      </c>
      <c r="S116" s="640">
        <f t="shared" si="28"/>
        <v>1</v>
      </c>
      <c r="T116" s="640">
        <f t="shared" si="28"/>
        <v>1</v>
      </c>
      <c r="U116" s="640">
        <f t="shared" si="28"/>
        <v>1</v>
      </c>
      <c r="V116" s="640">
        <f t="shared" si="28"/>
        <v>1</v>
      </c>
      <c r="W116" s="640">
        <f t="shared" si="28"/>
        <v>1</v>
      </c>
      <c r="X116" s="640">
        <f t="shared" si="28"/>
        <v>1</v>
      </c>
      <c r="Y116" s="640">
        <f t="shared" si="28"/>
        <v>1</v>
      </c>
      <c r="Z116" s="640">
        <f t="shared" si="28"/>
        <v>1</v>
      </c>
      <c r="AA116" s="640">
        <f t="shared" si="28"/>
        <v>1</v>
      </c>
      <c r="AB116" s="640">
        <f t="shared" si="28"/>
        <v>1</v>
      </c>
    </row>
    <row r="117" spans="2:28" outlineLevel="1">
      <c r="B117" s="22" t="str">
        <f>IF(Vaccine_Selection!$P$16="","",CONCATENATE($B110," - ",$B$113))</f>
        <v/>
      </c>
      <c r="C117" s="640">
        <f t="shared" ref="C117:AB117" si="29">IF(C$113=0,0,ROUND(C110/(C$113*$F$112),0))</f>
        <v>0</v>
      </c>
      <c r="D117" s="640">
        <f t="shared" si="29"/>
        <v>0</v>
      </c>
      <c r="E117" s="640">
        <f t="shared" si="29"/>
        <v>0</v>
      </c>
      <c r="F117" s="640">
        <f t="shared" si="29"/>
        <v>0</v>
      </c>
      <c r="G117" s="640">
        <f t="shared" si="29"/>
        <v>0</v>
      </c>
      <c r="H117" s="640">
        <f t="shared" si="29"/>
        <v>0</v>
      </c>
      <c r="I117" s="640">
        <f t="shared" si="29"/>
        <v>0</v>
      </c>
      <c r="J117" s="640">
        <f t="shared" si="29"/>
        <v>0</v>
      </c>
      <c r="K117" s="640">
        <f t="shared" si="29"/>
        <v>0</v>
      </c>
      <c r="L117" s="640">
        <f t="shared" si="29"/>
        <v>0</v>
      </c>
      <c r="M117" s="640">
        <f t="shared" si="29"/>
        <v>0</v>
      </c>
      <c r="N117" s="640">
        <f t="shared" si="29"/>
        <v>0</v>
      </c>
      <c r="O117" s="640">
        <f t="shared" si="29"/>
        <v>0</v>
      </c>
      <c r="P117" s="640">
        <f t="shared" si="29"/>
        <v>0</v>
      </c>
      <c r="Q117" s="640">
        <f t="shared" si="29"/>
        <v>0</v>
      </c>
      <c r="R117" s="640">
        <f t="shared" si="29"/>
        <v>0</v>
      </c>
      <c r="S117" s="640">
        <f t="shared" si="29"/>
        <v>0</v>
      </c>
      <c r="T117" s="640">
        <f t="shared" si="29"/>
        <v>0</v>
      </c>
      <c r="U117" s="640">
        <f t="shared" si="29"/>
        <v>0</v>
      </c>
      <c r="V117" s="640">
        <f t="shared" si="29"/>
        <v>0</v>
      </c>
      <c r="W117" s="640">
        <f t="shared" si="29"/>
        <v>0</v>
      </c>
      <c r="X117" s="640">
        <f t="shared" si="29"/>
        <v>0</v>
      </c>
      <c r="Y117" s="640">
        <f t="shared" si="29"/>
        <v>0</v>
      </c>
      <c r="Z117" s="640">
        <f t="shared" si="29"/>
        <v>0</v>
      </c>
      <c r="AA117" s="640">
        <f t="shared" si="29"/>
        <v>0</v>
      </c>
      <c r="AB117" s="640">
        <f t="shared" si="29"/>
        <v>0</v>
      </c>
    </row>
    <row r="118" spans="2:28" outlineLevel="1">
      <c r="B118" s="661" t="str">
        <f>IF(Vaccine_Selection!$Q$16="","",CONCATENATE($B111," - ",$B$113))</f>
        <v/>
      </c>
      <c r="C118" s="670">
        <f t="shared" ref="C118:AB118" si="30">IF(C$113=0,0,ROUND(C111/(C$113*$F$112),0))</f>
        <v>0</v>
      </c>
      <c r="D118" s="670">
        <f t="shared" si="30"/>
        <v>0</v>
      </c>
      <c r="E118" s="670">
        <f t="shared" si="30"/>
        <v>0</v>
      </c>
      <c r="F118" s="670">
        <f t="shared" si="30"/>
        <v>0</v>
      </c>
      <c r="G118" s="670">
        <f t="shared" si="30"/>
        <v>0</v>
      </c>
      <c r="H118" s="670">
        <f t="shared" si="30"/>
        <v>0</v>
      </c>
      <c r="I118" s="670">
        <f t="shared" si="30"/>
        <v>0</v>
      </c>
      <c r="J118" s="670">
        <f t="shared" si="30"/>
        <v>0</v>
      </c>
      <c r="K118" s="670">
        <f t="shared" si="30"/>
        <v>0</v>
      </c>
      <c r="L118" s="670">
        <f t="shared" si="30"/>
        <v>0</v>
      </c>
      <c r="M118" s="670">
        <f t="shared" si="30"/>
        <v>0</v>
      </c>
      <c r="N118" s="670">
        <f t="shared" si="30"/>
        <v>0</v>
      </c>
      <c r="O118" s="670">
        <f t="shared" si="30"/>
        <v>0</v>
      </c>
      <c r="P118" s="670">
        <f t="shared" si="30"/>
        <v>0</v>
      </c>
      <c r="Q118" s="670">
        <f t="shared" si="30"/>
        <v>0</v>
      </c>
      <c r="R118" s="670">
        <f t="shared" si="30"/>
        <v>0</v>
      </c>
      <c r="S118" s="670">
        <f t="shared" si="30"/>
        <v>0</v>
      </c>
      <c r="T118" s="670">
        <f t="shared" si="30"/>
        <v>0</v>
      </c>
      <c r="U118" s="670">
        <f t="shared" si="30"/>
        <v>0</v>
      </c>
      <c r="V118" s="670">
        <f t="shared" si="30"/>
        <v>0</v>
      </c>
      <c r="W118" s="670">
        <f t="shared" si="30"/>
        <v>0</v>
      </c>
      <c r="X118" s="670">
        <f t="shared" si="30"/>
        <v>0</v>
      </c>
      <c r="Y118" s="670">
        <f t="shared" si="30"/>
        <v>0</v>
      </c>
      <c r="Z118" s="670">
        <f t="shared" si="30"/>
        <v>0</v>
      </c>
      <c r="AA118" s="670">
        <f t="shared" si="30"/>
        <v>0</v>
      </c>
      <c r="AB118" s="670">
        <f t="shared" si="30"/>
        <v>0</v>
      </c>
    </row>
    <row r="119" spans="2:28" ht="13.2" outlineLevel="1">
      <c r="B119" s="658" t="str">
        <f>Translation!C42</f>
        <v>Estimate of cold-chain capacity per MaxiStock (litres)</v>
      </c>
      <c r="C119" s="652"/>
      <c r="D119" s="652"/>
      <c r="E119" s="653" t="str">
        <f>Translation!C45</f>
        <v>Select schedule</v>
      </c>
      <c r="F119" s="811" t="s">
        <v>1854</v>
      </c>
      <c r="G119" s="810"/>
      <c r="H119" s="652"/>
      <c r="I119" s="652"/>
      <c r="J119" s="652"/>
      <c r="K119" s="652"/>
      <c r="L119" s="652"/>
      <c r="M119" s="652"/>
      <c r="N119" s="652"/>
      <c r="O119" s="652"/>
      <c r="P119" s="652"/>
      <c r="Q119" s="652"/>
      <c r="R119" s="652"/>
      <c r="S119" s="652"/>
      <c r="T119" s="652"/>
      <c r="U119" s="652"/>
      <c r="V119" s="652"/>
      <c r="W119" s="652"/>
      <c r="X119" s="652"/>
      <c r="Y119" s="652"/>
      <c r="Z119" s="652"/>
      <c r="AA119" s="652"/>
      <c r="AB119" s="652"/>
    </row>
    <row r="120" spans="2:28" outlineLevel="1">
      <c r="B120" s="22" t="str">
        <f>IF(F98="","",CONCATENATE($F$72," @ ",$F98,$D$54," MaxiStock"))</f>
        <v>Current schedule @ 1 months MaxiStock</v>
      </c>
      <c r="C120" s="637">
        <f>SUMIF(Schedule,$F$119,Vaccine_Selection!$M$41:$Q$41)*$F98*C$105/12000</f>
        <v>8.9776392592592597E-2</v>
      </c>
      <c r="D120" s="637">
        <f>SUMIF(Schedule,$F$119,Vaccine_Selection!$M$41:$Q$41)*$F98*D$105/12000</f>
        <v>0.26932917777777776</v>
      </c>
      <c r="E120" s="637">
        <f>SUMIF(Schedule,$F$119,Vaccine_Selection!$M$41:$Q$41)*$F98*E$105/12000</f>
        <v>0.4488819629629629</v>
      </c>
      <c r="F120" s="637">
        <f>SUMIF(Schedule,$F$119,Vaccine_Selection!$M$41:$Q$41)*$F98*F$105/12000</f>
        <v>0.62843474814814815</v>
      </c>
      <c r="G120" s="637">
        <f>SUMIF(Schedule,$F$119,Vaccine_Selection!$M$41:$Q$41)*$F98*G$105/12000</f>
        <v>0.80798753333333329</v>
      </c>
      <c r="H120" s="637">
        <f>SUMIF(Schedule,$F$119,Vaccine_Selection!$M$41:$Q$41)*$F98*H$105/12000</f>
        <v>0.98754031851851842</v>
      </c>
      <c r="I120" s="637">
        <f>SUMIF(Schedule,$F$119,Vaccine_Selection!$M$41:$Q$41)*$F98*I$105/12000</f>
        <v>1.1670931037037036</v>
      </c>
      <c r="J120" s="637">
        <f>SUMIF(Schedule,$F$119,Vaccine_Selection!$M$41:$Q$41)*$F98*J$105/12000</f>
        <v>1.3466458888888888</v>
      </c>
      <c r="K120" s="637">
        <f>SUMIF(Schedule,$F$119,Vaccine_Selection!$M$41:$Q$41)*$F98*K$105/12000</f>
        <v>1.5261986740740741</v>
      </c>
      <c r="L120" s="637">
        <f>SUMIF(Schedule,$F$119,Vaccine_Selection!$M$41:$Q$41)*$F98*L$105/12000</f>
        <v>1.7057514592592591</v>
      </c>
      <c r="M120" s="637">
        <f>SUMIF(Schedule,$F$119,Vaccine_Selection!$M$41:$Q$41)*$F98*M$105/12000</f>
        <v>1.8853042444444441</v>
      </c>
      <c r="N120" s="637">
        <f>SUMIF(Schedule,$F$119,Vaccine_Selection!$M$41:$Q$41)*$F98*N$105/12000</f>
        <v>2.0648570296296298</v>
      </c>
      <c r="O120" s="637">
        <f>SUMIF(Schedule,$F$119,Vaccine_Selection!$M$41:$Q$41)*$F98*O$105/12000</f>
        <v>2.2444098148148148</v>
      </c>
      <c r="P120" s="637">
        <f>SUMIF(Schedule,$F$119,Vaccine_Selection!$M$41:$Q$41)*$F98*P$105/12000</f>
        <v>2.4239625999999999</v>
      </c>
      <c r="Q120" s="637">
        <f>SUMIF(Schedule,$F$119,Vaccine_Selection!$M$41:$Q$41)*$F98*Q$105/12000</f>
        <v>2.6035153851851849</v>
      </c>
      <c r="R120" s="637">
        <f>SUMIF(Schedule,$F$119,Vaccine_Selection!$M$41:$Q$41)*$F98*R$105/12000</f>
        <v>2.7830681703703704</v>
      </c>
      <c r="S120" s="637">
        <f>SUMIF(Schedule,$F$119,Vaccine_Selection!$M$41:$Q$41)*$F98*S$105/12000</f>
        <v>2.9626209555555554</v>
      </c>
      <c r="T120" s="637">
        <f>SUMIF(Schedule,$F$119,Vaccine_Selection!$M$41:$Q$41)*$F98*T$105/12000</f>
        <v>3.1421737407407404</v>
      </c>
      <c r="U120" s="637">
        <f>SUMIF(Schedule,$F$119,Vaccine_Selection!$M$41:$Q$41)*$F98*U$105/12000</f>
        <v>3.3217265259259259</v>
      </c>
      <c r="V120" s="637">
        <f>SUMIF(Schedule,$F$119,Vaccine_Selection!$M$41:$Q$41)*$F98*V$105/12000</f>
        <v>3.5012793111111109</v>
      </c>
      <c r="W120" s="637">
        <f>SUMIF(Schedule,$F$119,Vaccine_Selection!$M$41:$Q$41)*$F98*W$105/12000</f>
        <v>3.6808320962962959</v>
      </c>
      <c r="X120" s="637">
        <f>SUMIF(Schedule,$F$119,Vaccine_Selection!$M$41:$Q$41)*$F98*X$105/12000</f>
        <v>3.860384881481481</v>
      </c>
      <c r="Y120" s="637">
        <f>SUMIF(Schedule,$F$119,Vaccine_Selection!$M$41:$Q$41)*$F98*Y$105/12000</f>
        <v>4.0399376666666669</v>
      </c>
      <c r="Z120" s="637">
        <f>SUMIF(Schedule,$F$119,Vaccine_Selection!$M$41:$Q$41)*$F98*Z$105/12000</f>
        <v>4.2194904518518515</v>
      </c>
      <c r="AA120" s="637">
        <f>SUMIF(Schedule,$F$119,Vaccine_Selection!$M$41:$Q$41)*$F98*AA$105/12000</f>
        <v>4.3990432370370369</v>
      </c>
      <c r="AB120" s="637">
        <f>SUMIF(Schedule,$F$119,Vaccine_Selection!$M$41:$Q$41)*$F98*AB$105/12000</f>
        <v>4.5785960222222224</v>
      </c>
    </row>
    <row r="121" spans="2:28" outlineLevel="1">
      <c r="B121" s="22" t="str">
        <f>IF(F99="","",CONCATENATE($F$72," @ ",$F99,$D$54," MaxiStock"))</f>
        <v>Current schedule @ 1.5 months MaxiStock</v>
      </c>
      <c r="C121" s="637">
        <f>SUMIF(Schedule,$F$119,Vaccine_Selection!$M$41:$Q$41)*$F99*C$105/12000</f>
        <v>0.13466458888888888</v>
      </c>
      <c r="D121" s="637">
        <f>SUMIF(Schedule,$F$119,Vaccine_Selection!$M$41:$Q$41)*$F99*D$105/12000</f>
        <v>0.40399376666666664</v>
      </c>
      <c r="E121" s="637">
        <f>SUMIF(Schedule,$F$119,Vaccine_Selection!$M$41:$Q$41)*$F99*E$105/12000</f>
        <v>0.6733229444444444</v>
      </c>
      <c r="F121" s="637">
        <f>SUMIF(Schedule,$F$119,Vaccine_Selection!$M$41:$Q$41)*$F99*F$105/12000</f>
        <v>0.94265212222222206</v>
      </c>
      <c r="G121" s="637">
        <f>SUMIF(Schedule,$F$119,Vaccine_Selection!$M$41:$Q$41)*$F99*G$105/12000</f>
        <v>1.2119812999999999</v>
      </c>
      <c r="H121" s="637">
        <f>SUMIF(Schedule,$F$119,Vaccine_Selection!$M$41:$Q$41)*$F99*H$105/12000</f>
        <v>1.4813104777777777</v>
      </c>
      <c r="I121" s="637">
        <f>SUMIF(Schedule,$F$119,Vaccine_Selection!$M$41:$Q$41)*$F99*I$105/12000</f>
        <v>1.7506396555555555</v>
      </c>
      <c r="J121" s="637">
        <f>SUMIF(Schedule,$F$119,Vaccine_Selection!$M$41:$Q$41)*$F99*J$105/12000</f>
        <v>2.0199688333333334</v>
      </c>
      <c r="K121" s="637">
        <f>SUMIF(Schedule,$F$119,Vaccine_Selection!$M$41:$Q$41)*$F99*K$105/12000</f>
        <v>2.2892980111111112</v>
      </c>
      <c r="L121" s="637">
        <f>SUMIF(Schedule,$F$119,Vaccine_Selection!$M$41:$Q$41)*$F99*L$105/12000</f>
        <v>2.5586271888888885</v>
      </c>
      <c r="M121" s="637">
        <f>SUMIF(Schedule,$F$119,Vaccine_Selection!$M$41:$Q$41)*$F99*M$105/12000</f>
        <v>2.8279563666666667</v>
      </c>
      <c r="N121" s="637">
        <f>SUMIF(Schedule,$F$119,Vaccine_Selection!$M$41:$Q$41)*$F99*N$105/12000</f>
        <v>3.0972855444444445</v>
      </c>
      <c r="O121" s="637">
        <f>SUMIF(Schedule,$F$119,Vaccine_Selection!$M$41:$Q$41)*$F99*O$105/12000</f>
        <v>3.3666147222222218</v>
      </c>
      <c r="P121" s="637">
        <f>SUMIF(Schedule,$F$119,Vaccine_Selection!$M$41:$Q$41)*$F99*P$105/12000</f>
        <v>3.6359438999999996</v>
      </c>
      <c r="Q121" s="637">
        <f>SUMIF(Schedule,$F$119,Vaccine_Selection!$M$41:$Q$41)*$F99*Q$105/12000</f>
        <v>3.9052730777777773</v>
      </c>
      <c r="R121" s="637">
        <f>SUMIF(Schedule,$F$119,Vaccine_Selection!$M$41:$Q$41)*$F99*R$105/12000</f>
        <v>4.1746022555555555</v>
      </c>
      <c r="S121" s="637">
        <f>SUMIF(Schedule,$F$119,Vaccine_Selection!$M$41:$Q$41)*$F99*S$105/12000</f>
        <v>4.4439314333333328</v>
      </c>
      <c r="T121" s="637">
        <f>SUMIF(Schedule,$F$119,Vaccine_Selection!$M$41:$Q$41)*$F99*T$105/12000</f>
        <v>4.7132606111111111</v>
      </c>
      <c r="U121" s="637">
        <f>SUMIF(Schedule,$F$119,Vaccine_Selection!$M$41:$Q$41)*$F99*U$105/12000</f>
        <v>4.9825897888888884</v>
      </c>
      <c r="V121" s="637">
        <f>SUMIF(Schedule,$F$119,Vaccine_Selection!$M$41:$Q$41)*$F99*V$105/12000</f>
        <v>5.2519189666666666</v>
      </c>
      <c r="W121" s="637">
        <f>SUMIF(Schedule,$F$119,Vaccine_Selection!$M$41:$Q$41)*$F99*W$105/12000</f>
        <v>5.5212481444444448</v>
      </c>
      <c r="X121" s="637">
        <f>SUMIF(Schedule,$F$119,Vaccine_Selection!$M$41:$Q$41)*$F99*X$105/12000</f>
        <v>5.7905773222222221</v>
      </c>
      <c r="Y121" s="637">
        <f>SUMIF(Schedule,$F$119,Vaccine_Selection!$M$41:$Q$41)*$F99*Y$105/12000</f>
        <v>6.0599064999999994</v>
      </c>
      <c r="Z121" s="637">
        <f>SUMIF(Schedule,$F$119,Vaccine_Selection!$M$41:$Q$41)*$F99*Z$105/12000</f>
        <v>6.3292356777777776</v>
      </c>
      <c r="AA121" s="637">
        <f>SUMIF(Schedule,$F$119,Vaccine_Selection!$M$41:$Q$41)*$F99*AA$105/12000</f>
        <v>6.5985648555555549</v>
      </c>
      <c r="AB121" s="637">
        <f>SUMIF(Schedule,$F$119,Vaccine_Selection!$M$41:$Q$41)*$F99*AB$105/12000</f>
        <v>6.8678940333333331</v>
      </c>
    </row>
    <row r="122" spans="2:28" outlineLevel="1">
      <c r="B122" s="22" t="str">
        <f>IF(F100="","",CONCATENATE($F$72," @ ",$F100,$D$54," MaxiStock"))</f>
        <v>Current schedule @ 2 months MaxiStock</v>
      </c>
      <c r="C122" s="637">
        <f>SUMIF(Schedule,$F$119,Vaccine_Selection!$M$41:$Q$41)*$F100*C$105/12000</f>
        <v>0.17955278518518519</v>
      </c>
      <c r="D122" s="637">
        <f>SUMIF(Schedule,$F$119,Vaccine_Selection!$M$41:$Q$41)*$F100*D$105/12000</f>
        <v>0.53865835555555552</v>
      </c>
      <c r="E122" s="637">
        <f>SUMIF(Schedule,$F$119,Vaccine_Selection!$M$41:$Q$41)*$F100*E$105/12000</f>
        <v>0.8977639259259258</v>
      </c>
      <c r="F122" s="637">
        <f>SUMIF(Schedule,$F$119,Vaccine_Selection!$M$41:$Q$41)*$F100*F$105/12000</f>
        <v>1.2568694962962963</v>
      </c>
      <c r="G122" s="637">
        <f>SUMIF(Schedule,$F$119,Vaccine_Selection!$M$41:$Q$41)*$F100*G$105/12000</f>
        <v>1.6159750666666666</v>
      </c>
      <c r="H122" s="637">
        <f>SUMIF(Schedule,$F$119,Vaccine_Selection!$M$41:$Q$41)*$F100*H$105/12000</f>
        <v>1.9750806370370368</v>
      </c>
      <c r="I122" s="637">
        <f>SUMIF(Schedule,$F$119,Vaccine_Selection!$M$41:$Q$41)*$F100*I$105/12000</f>
        <v>2.3341862074074071</v>
      </c>
      <c r="J122" s="637">
        <f>SUMIF(Schedule,$F$119,Vaccine_Selection!$M$41:$Q$41)*$F100*J$105/12000</f>
        <v>2.6932917777777776</v>
      </c>
      <c r="K122" s="637">
        <f>SUMIF(Schedule,$F$119,Vaccine_Selection!$M$41:$Q$41)*$F100*K$105/12000</f>
        <v>3.0523973481481481</v>
      </c>
      <c r="L122" s="637">
        <f>SUMIF(Schedule,$F$119,Vaccine_Selection!$M$41:$Q$41)*$F100*L$105/12000</f>
        <v>3.4115029185185182</v>
      </c>
      <c r="M122" s="637">
        <f>SUMIF(Schedule,$F$119,Vaccine_Selection!$M$41:$Q$41)*$F100*M$105/12000</f>
        <v>3.7706084888888882</v>
      </c>
      <c r="N122" s="637">
        <f>SUMIF(Schedule,$F$119,Vaccine_Selection!$M$41:$Q$41)*$F100*N$105/12000</f>
        <v>4.1297140592592596</v>
      </c>
      <c r="O122" s="637">
        <f>SUMIF(Schedule,$F$119,Vaccine_Selection!$M$41:$Q$41)*$F100*O$105/12000</f>
        <v>4.4888196296296297</v>
      </c>
      <c r="P122" s="637">
        <f>SUMIF(Schedule,$F$119,Vaccine_Selection!$M$41:$Q$41)*$F100*P$105/12000</f>
        <v>4.8479251999999997</v>
      </c>
      <c r="Q122" s="637">
        <f>SUMIF(Schedule,$F$119,Vaccine_Selection!$M$41:$Q$41)*$F100*Q$105/12000</f>
        <v>5.2070307703703698</v>
      </c>
      <c r="R122" s="637">
        <f>SUMIF(Schedule,$F$119,Vaccine_Selection!$M$41:$Q$41)*$F100*R$105/12000</f>
        <v>5.5661363407407407</v>
      </c>
      <c r="S122" s="637">
        <f>SUMIF(Schedule,$F$119,Vaccine_Selection!$M$41:$Q$41)*$F100*S$105/12000</f>
        <v>5.9252419111111108</v>
      </c>
      <c r="T122" s="637">
        <f>SUMIF(Schedule,$F$119,Vaccine_Selection!$M$41:$Q$41)*$F100*T$105/12000</f>
        <v>6.2843474814814808</v>
      </c>
      <c r="U122" s="637">
        <f>SUMIF(Schedule,$F$119,Vaccine_Selection!$M$41:$Q$41)*$F100*U$105/12000</f>
        <v>6.6434530518518518</v>
      </c>
      <c r="V122" s="637">
        <f>SUMIF(Schedule,$F$119,Vaccine_Selection!$M$41:$Q$41)*$F100*V$105/12000</f>
        <v>7.0025586222222218</v>
      </c>
      <c r="W122" s="637">
        <f>SUMIF(Schedule,$F$119,Vaccine_Selection!$M$41:$Q$41)*$F100*W$105/12000</f>
        <v>7.3616641925925919</v>
      </c>
      <c r="X122" s="637">
        <f>SUMIF(Schedule,$F$119,Vaccine_Selection!$M$41:$Q$41)*$F100*X$105/12000</f>
        <v>7.7207697629629619</v>
      </c>
      <c r="Y122" s="637">
        <f>SUMIF(Schedule,$F$119,Vaccine_Selection!$M$41:$Q$41)*$F100*Y$105/12000</f>
        <v>8.0798753333333337</v>
      </c>
      <c r="Z122" s="637">
        <f>SUMIF(Schedule,$F$119,Vaccine_Selection!$M$41:$Q$41)*$F100*Z$105/12000</f>
        <v>8.4389809037037029</v>
      </c>
      <c r="AA122" s="637">
        <f>SUMIF(Schedule,$F$119,Vaccine_Selection!$M$41:$Q$41)*$F100*AA$105/12000</f>
        <v>8.7980864740740738</v>
      </c>
      <c r="AB122" s="637">
        <f>SUMIF(Schedule,$F$119,Vaccine_Selection!$M$41:$Q$41)*$F100*AB$105/12000</f>
        <v>9.1571920444444448</v>
      </c>
    </row>
    <row r="123" spans="2:28" outlineLevel="1">
      <c r="B123" s="661" t="str">
        <f>IF(F101="","",CONCATENATE($F$72," @ ",$F101,$D$54," MaxiStock"))</f>
        <v/>
      </c>
      <c r="C123" s="639">
        <f>SUMIF(Schedule,$F$119,Vaccine_Selection!$M$41:$Q$41)*$F101*C$105/12000</f>
        <v>0</v>
      </c>
      <c r="D123" s="639">
        <f>SUMIF(Schedule,$F$119,Vaccine_Selection!$M$41:$Q$41)*$F101*D$105/12000</f>
        <v>0</v>
      </c>
      <c r="E123" s="639">
        <f>SUMIF(Schedule,$F$119,Vaccine_Selection!$M$41:$Q$41)*$F101*E$105/12000</f>
        <v>0</v>
      </c>
      <c r="F123" s="639">
        <f>SUMIF(Schedule,$F$119,Vaccine_Selection!$M$41:$Q$41)*$F101*F$105/12000</f>
        <v>0</v>
      </c>
      <c r="G123" s="639">
        <f>SUMIF(Schedule,$F$119,Vaccine_Selection!$M$41:$Q$41)*$F101*G$105/12000</f>
        <v>0</v>
      </c>
      <c r="H123" s="639">
        <f>SUMIF(Schedule,$F$119,Vaccine_Selection!$M$41:$Q$41)*$F101*H$105/12000</f>
        <v>0</v>
      </c>
      <c r="I123" s="639">
        <f>SUMIF(Schedule,$F$119,Vaccine_Selection!$M$41:$Q$41)*$F101*I$105/12000</f>
        <v>0</v>
      </c>
      <c r="J123" s="639">
        <f>SUMIF(Schedule,$F$119,Vaccine_Selection!$M$41:$Q$41)*$F101*J$105/12000</f>
        <v>0</v>
      </c>
      <c r="K123" s="639">
        <f>SUMIF(Schedule,$F$119,Vaccine_Selection!$M$41:$Q$41)*$F101*K$105/12000</f>
        <v>0</v>
      </c>
      <c r="L123" s="639">
        <f>SUMIF(Schedule,$F$119,Vaccine_Selection!$M$41:$Q$41)*$F101*L$105/12000</f>
        <v>0</v>
      </c>
      <c r="M123" s="639">
        <f>SUMIF(Schedule,$F$119,Vaccine_Selection!$M$41:$Q$41)*$F101*M$105/12000</f>
        <v>0</v>
      </c>
      <c r="N123" s="639">
        <f>SUMIF(Schedule,$F$119,Vaccine_Selection!$M$41:$Q$41)*$F101*N$105/12000</f>
        <v>0</v>
      </c>
      <c r="O123" s="639">
        <f>SUMIF(Schedule,$F$119,Vaccine_Selection!$M$41:$Q$41)*$F101*O$105/12000</f>
        <v>0</v>
      </c>
      <c r="P123" s="639">
        <f>SUMIF(Schedule,$F$119,Vaccine_Selection!$M$41:$Q$41)*$F101*P$105/12000</f>
        <v>0</v>
      </c>
      <c r="Q123" s="639">
        <f>SUMIF(Schedule,$F$119,Vaccine_Selection!$M$41:$Q$41)*$F101*Q$105/12000</f>
        <v>0</v>
      </c>
      <c r="R123" s="639">
        <f>SUMIF(Schedule,$F$119,Vaccine_Selection!$M$41:$Q$41)*$F101*R$105/12000</f>
        <v>0</v>
      </c>
      <c r="S123" s="639">
        <f>SUMIF(Schedule,$F$119,Vaccine_Selection!$M$41:$Q$41)*$F101*S$105/12000</f>
        <v>0</v>
      </c>
      <c r="T123" s="639">
        <f>SUMIF(Schedule,$F$119,Vaccine_Selection!$M$41:$Q$41)*$F101*T$105/12000</f>
        <v>0</v>
      </c>
      <c r="U123" s="639">
        <f>SUMIF(Schedule,$F$119,Vaccine_Selection!$M$41:$Q$41)*$F101*U$105/12000</f>
        <v>0</v>
      </c>
      <c r="V123" s="639">
        <f>SUMIF(Schedule,$F$119,Vaccine_Selection!$M$41:$Q$41)*$F101*V$105/12000</f>
        <v>0</v>
      </c>
      <c r="W123" s="639">
        <f>SUMIF(Schedule,$F$119,Vaccine_Selection!$M$41:$Q$41)*$F101*W$105/12000</f>
        <v>0</v>
      </c>
      <c r="X123" s="639">
        <f>SUMIF(Schedule,$F$119,Vaccine_Selection!$M$41:$Q$41)*$F101*X$105/12000</f>
        <v>0</v>
      </c>
      <c r="Y123" s="639">
        <f>SUMIF(Schedule,$F$119,Vaccine_Selection!$M$41:$Q$41)*$F101*Y$105/12000</f>
        <v>0</v>
      </c>
      <c r="Z123" s="639">
        <f>SUMIF(Schedule,$F$119,Vaccine_Selection!$M$41:$Q$41)*$F101*Z$105/12000</f>
        <v>0</v>
      </c>
      <c r="AA123" s="639">
        <f>SUMIF(Schedule,$F$119,Vaccine_Selection!$M$41:$Q$41)*$F101*AA$105/12000</f>
        <v>0</v>
      </c>
      <c r="AB123" s="639">
        <f>SUMIF(Schedule,$F$119,Vaccine_Selection!$M$41:$Q$41)*$F101*AB$105/12000</f>
        <v>0</v>
      </c>
    </row>
    <row r="124" spans="2:28" ht="12" outlineLevel="1">
      <c r="B124" s="658" t="str">
        <f>Translation!C39</f>
        <v>Estimate of equipment requirements per MaxiStock</v>
      </c>
      <c r="C124" s="652"/>
      <c r="D124" s="652"/>
      <c r="E124" s="653" t="str">
        <f>Translation!C40</f>
        <v>Equipment utilization factor (%)</v>
      </c>
      <c r="F124" s="647">
        <v>0.8</v>
      </c>
      <c r="G124" s="652"/>
      <c r="H124" s="652"/>
      <c r="I124" s="652"/>
      <c r="J124" s="652"/>
      <c r="K124" s="652"/>
      <c r="L124" s="652"/>
      <c r="M124" s="652"/>
      <c r="N124" s="652"/>
      <c r="O124" s="652"/>
      <c r="P124" s="652"/>
      <c r="Q124" s="652"/>
      <c r="R124" s="652"/>
      <c r="S124" s="652"/>
      <c r="T124" s="652"/>
      <c r="U124" s="652"/>
      <c r="V124" s="652"/>
      <c r="W124" s="652"/>
      <c r="X124" s="652"/>
      <c r="Y124" s="652"/>
      <c r="Z124" s="652"/>
      <c r="AA124" s="652"/>
      <c r="AB124" s="652"/>
    </row>
    <row r="125" spans="2:28" ht="12" outlineLevel="1">
      <c r="B125" s="662" t="s">
        <v>469</v>
      </c>
      <c r="C125" s="634">
        <f>SUMIF(Eqpt_list,$B125,PQEquipment!$I$6:$I$97)</f>
        <v>19.5</v>
      </c>
      <c r="D125" s="634">
        <f t="shared" ref="D125:AB125" si="31">C125</f>
        <v>19.5</v>
      </c>
      <c r="E125" s="634">
        <f t="shared" si="31"/>
        <v>19.5</v>
      </c>
      <c r="F125" s="634">
        <f t="shared" si="31"/>
        <v>19.5</v>
      </c>
      <c r="G125" s="634">
        <f t="shared" si="31"/>
        <v>19.5</v>
      </c>
      <c r="H125" s="634">
        <f t="shared" si="31"/>
        <v>19.5</v>
      </c>
      <c r="I125" s="634">
        <f t="shared" si="31"/>
        <v>19.5</v>
      </c>
      <c r="J125" s="634">
        <f t="shared" si="31"/>
        <v>19.5</v>
      </c>
      <c r="K125" s="634">
        <f t="shared" si="31"/>
        <v>19.5</v>
      </c>
      <c r="L125" s="634">
        <f t="shared" si="31"/>
        <v>19.5</v>
      </c>
      <c r="M125" s="634">
        <f t="shared" si="31"/>
        <v>19.5</v>
      </c>
      <c r="N125" s="634">
        <f t="shared" si="31"/>
        <v>19.5</v>
      </c>
      <c r="O125" s="634">
        <f t="shared" si="31"/>
        <v>19.5</v>
      </c>
      <c r="P125" s="634">
        <f t="shared" si="31"/>
        <v>19.5</v>
      </c>
      <c r="Q125" s="634">
        <f t="shared" si="31"/>
        <v>19.5</v>
      </c>
      <c r="R125" s="634">
        <f t="shared" si="31"/>
        <v>19.5</v>
      </c>
      <c r="S125" s="634">
        <f t="shared" si="31"/>
        <v>19.5</v>
      </c>
      <c r="T125" s="634">
        <f t="shared" si="31"/>
        <v>19.5</v>
      </c>
      <c r="U125" s="634">
        <f t="shared" si="31"/>
        <v>19.5</v>
      </c>
      <c r="V125" s="634">
        <f t="shared" si="31"/>
        <v>19.5</v>
      </c>
      <c r="W125" s="634">
        <f t="shared" si="31"/>
        <v>19.5</v>
      </c>
      <c r="X125" s="634">
        <f t="shared" si="31"/>
        <v>19.5</v>
      </c>
      <c r="Y125" s="634">
        <f t="shared" si="31"/>
        <v>19.5</v>
      </c>
      <c r="Z125" s="634">
        <f t="shared" si="31"/>
        <v>19.5</v>
      </c>
      <c r="AA125" s="634">
        <f t="shared" si="31"/>
        <v>19.5</v>
      </c>
      <c r="AB125" s="634">
        <f t="shared" si="31"/>
        <v>19.5</v>
      </c>
    </row>
    <row r="126" spans="2:28" outlineLevel="1">
      <c r="B126" s="660" t="str">
        <f>IF(F98="","",CONCATENATE(B120," - ",$B$125))</f>
        <v>Current schedule @ 1 months MaxiStock - MKS044</v>
      </c>
      <c r="C126" s="667">
        <f t="shared" ref="C126:AB126" si="32">IF(C$125=0,0,ROUND(C120/(C$125*$F$124),0))</f>
        <v>0</v>
      </c>
      <c r="D126" s="667">
        <f t="shared" si="32"/>
        <v>0</v>
      </c>
      <c r="E126" s="667">
        <f t="shared" si="32"/>
        <v>0</v>
      </c>
      <c r="F126" s="667">
        <f t="shared" si="32"/>
        <v>0</v>
      </c>
      <c r="G126" s="667">
        <f t="shared" si="32"/>
        <v>0</v>
      </c>
      <c r="H126" s="667">
        <f t="shared" si="32"/>
        <v>0</v>
      </c>
      <c r="I126" s="667">
        <f t="shared" si="32"/>
        <v>0</v>
      </c>
      <c r="J126" s="667">
        <f t="shared" si="32"/>
        <v>0</v>
      </c>
      <c r="K126" s="667">
        <f t="shared" si="32"/>
        <v>0</v>
      </c>
      <c r="L126" s="667">
        <f t="shared" si="32"/>
        <v>0</v>
      </c>
      <c r="M126" s="667">
        <f t="shared" si="32"/>
        <v>0</v>
      </c>
      <c r="N126" s="667">
        <f t="shared" si="32"/>
        <v>0</v>
      </c>
      <c r="O126" s="667">
        <f t="shared" si="32"/>
        <v>0</v>
      </c>
      <c r="P126" s="667">
        <f t="shared" si="32"/>
        <v>0</v>
      </c>
      <c r="Q126" s="667">
        <f t="shared" si="32"/>
        <v>0</v>
      </c>
      <c r="R126" s="667">
        <f t="shared" si="32"/>
        <v>0</v>
      </c>
      <c r="S126" s="667">
        <f t="shared" si="32"/>
        <v>0</v>
      </c>
      <c r="T126" s="667">
        <f t="shared" si="32"/>
        <v>0</v>
      </c>
      <c r="U126" s="667">
        <f t="shared" si="32"/>
        <v>0</v>
      </c>
      <c r="V126" s="667">
        <f t="shared" si="32"/>
        <v>0</v>
      </c>
      <c r="W126" s="667">
        <f t="shared" si="32"/>
        <v>0</v>
      </c>
      <c r="X126" s="667">
        <f t="shared" si="32"/>
        <v>0</v>
      </c>
      <c r="Y126" s="667">
        <f t="shared" si="32"/>
        <v>0</v>
      </c>
      <c r="Z126" s="667">
        <f t="shared" si="32"/>
        <v>0</v>
      </c>
      <c r="AA126" s="667">
        <f t="shared" si="32"/>
        <v>0</v>
      </c>
      <c r="AB126" s="667">
        <f t="shared" si="32"/>
        <v>0</v>
      </c>
    </row>
    <row r="127" spans="2:28" outlineLevel="1">
      <c r="B127" s="660" t="str">
        <f>IF(F99="","",CONCATENATE(B121," - ",$B$125))</f>
        <v>Current schedule @ 1.5 months MaxiStock - MKS044</v>
      </c>
      <c r="C127" s="667">
        <f t="shared" ref="C127:AB127" si="33">IF(C$125=0,0,ROUND(C121/(C$125*$F$124),0))</f>
        <v>0</v>
      </c>
      <c r="D127" s="667">
        <f t="shared" si="33"/>
        <v>0</v>
      </c>
      <c r="E127" s="667">
        <f t="shared" si="33"/>
        <v>0</v>
      </c>
      <c r="F127" s="667">
        <f t="shared" si="33"/>
        <v>0</v>
      </c>
      <c r="G127" s="667">
        <f t="shared" si="33"/>
        <v>0</v>
      </c>
      <c r="H127" s="667">
        <f t="shared" si="33"/>
        <v>0</v>
      </c>
      <c r="I127" s="667">
        <f t="shared" si="33"/>
        <v>0</v>
      </c>
      <c r="J127" s="667">
        <f t="shared" si="33"/>
        <v>0</v>
      </c>
      <c r="K127" s="667">
        <f t="shared" si="33"/>
        <v>0</v>
      </c>
      <c r="L127" s="667">
        <f t="shared" si="33"/>
        <v>0</v>
      </c>
      <c r="M127" s="667">
        <f t="shared" si="33"/>
        <v>0</v>
      </c>
      <c r="N127" s="667">
        <f t="shared" si="33"/>
        <v>0</v>
      </c>
      <c r="O127" s="667">
        <f t="shared" si="33"/>
        <v>0</v>
      </c>
      <c r="P127" s="667">
        <f t="shared" si="33"/>
        <v>0</v>
      </c>
      <c r="Q127" s="667">
        <f t="shared" si="33"/>
        <v>0</v>
      </c>
      <c r="R127" s="667">
        <f t="shared" si="33"/>
        <v>0</v>
      </c>
      <c r="S127" s="667">
        <f t="shared" si="33"/>
        <v>0</v>
      </c>
      <c r="T127" s="667">
        <f t="shared" si="33"/>
        <v>0</v>
      </c>
      <c r="U127" s="667">
        <f t="shared" si="33"/>
        <v>0</v>
      </c>
      <c r="V127" s="667">
        <f t="shared" si="33"/>
        <v>0</v>
      </c>
      <c r="W127" s="667">
        <f t="shared" si="33"/>
        <v>0</v>
      </c>
      <c r="X127" s="667">
        <f t="shared" si="33"/>
        <v>0</v>
      </c>
      <c r="Y127" s="667">
        <f t="shared" si="33"/>
        <v>0</v>
      </c>
      <c r="Z127" s="667">
        <f t="shared" si="33"/>
        <v>0</v>
      </c>
      <c r="AA127" s="667">
        <f t="shared" si="33"/>
        <v>0</v>
      </c>
      <c r="AB127" s="667">
        <f t="shared" si="33"/>
        <v>0</v>
      </c>
    </row>
    <row r="128" spans="2:28" outlineLevel="1">
      <c r="B128" s="660" t="str">
        <f>IF(F100="","",CONCATENATE(B122," - ",$B$125))</f>
        <v>Current schedule @ 2 months MaxiStock - MKS044</v>
      </c>
      <c r="C128" s="667">
        <f t="shared" ref="C128:AB128" si="34">IF(C$125=0,0,ROUND(C122/(C$125*$F$124),0))</f>
        <v>0</v>
      </c>
      <c r="D128" s="667">
        <f t="shared" si="34"/>
        <v>0</v>
      </c>
      <c r="E128" s="667">
        <f t="shared" si="34"/>
        <v>0</v>
      </c>
      <c r="F128" s="667">
        <f t="shared" si="34"/>
        <v>0</v>
      </c>
      <c r="G128" s="667">
        <f t="shared" si="34"/>
        <v>0</v>
      </c>
      <c r="H128" s="667">
        <f t="shared" si="34"/>
        <v>0</v>
      </c>
      <c r="I128" s="667">
        <f t="shared" si="34"/>
        <v>0</v>
      </c>
      <c r="J128" s="667">
        <f t="shared" si="34"/>
        <v>0</v>
      </c>
      <c r="K128" s="667">
        <f t="shared" si="34"/>
        <v>0</v>
      </c>
      <c r="L128" s="667">
        <f t="shared" si="34"/>
        <v>0</v>
      </c>
      <c r="M128" s="667">
        <f t="shared" si="34"/>
        <v>0</v>
      </c>
      <c r="N128" s="667">
        <f t="shared" si="34"/>
        <v>0</v>
      </c>
      <c r="O128" s="667">
        <f t="shared" si="34"/>
        <v>0</v>
      </c>
      <c r="P128" s="667">
        <f t="shared" si="34"/>
        <v>0</v>
      </c>
      <c r="Q128" s="667">
        <f t="shared" si="34"/>
        <v>0</v>
      </c>
      <c r="R128" s="667">
        <f t="shared" si="34"/>
        <v>0</v>
      </c>
      <c r="S128" s="667">
        <f t="shared" si="34"/>
        <v>0</v>
      </c>
      <c r="T128" s="667">
        <f t="shared" si="34"/>
        <v>0</v>
      </c>
      <c r="U128" s="667">
        <f t="shared" si="34"/>
        <v>0</v>
      </c>
      <c r="V128" s="667">
        <f t="shared" si="34"/>
        <v>0</v>
      </c>
      <c r="W128" s="667">
        <f t="shared" si="34"/>
        <v>0</v>
      </c>
      <c r="X128" s="667">
        <f t="shared" si="34"/>
        <v>0</v>
      </c>
      <c r="Y128" s="667">
        <f t="shared" si="34"/>
        <v>1</v>
      </c>
      <c r="Z128" s="667">
        <f t="shared" si="34"/>
        <v>1</v>
      </c>
      <c r="AA128" s="667">
        <f t="shared" si="34"/>
        <v>1</v>
      </c>
      <c r="AB128" s="667">
        <f t="shared" si="34"/>
        <v>1</v>
      </c>
    </row>
    <row r="129" spans="2:28" outlineLevel="1">
      <c r="B129" s="660" t="str">
        <f>IF(F101="","",CONCATENATE(B123," - ",$B$125))</f>
        <v/>
      </c>
      <c r="C129" s="668">
        <f t="shared" ref="C129:AB129" si="35">IF(C$125=0,0,ROUND(C123/(C$125*$F$124),0))</f>
        <v>0</v>
      </c>
      <c r="D129" s="668">
        <f t="shared" si="35"/>
        <v>0</v>
      </c>
      <c r="E129" s="668">
        <f t="shared" si="35"/>
        <v>0</v>
      </c>
      <c r="F129" s="668">
        <f t="shared" si="35"/>
        <v>0</v>
      </c>
      <c r="G129" s="668">
        <f t="shared" si="35"/>
        <v>0</v>
      </c>
      <c r="H129" s="668">
        <f t="shared" si="35"/>
        <v>0</v>
      </c>
      <c r="I129" s="668">
        <f t="shared" si="35"/>
        <v>0</v>
      </c>
      <c r="J129" s="668">
        <f t="shared" si="35"/>
        <v>0</v>
      </c>
      <c r="K129" s="668">
        <f t="shared" si="35"/>
        <v>0</v>
      </c>
      <c r="L129" s="668">
        <f t="shared" si="35"/>
        <v>0</v>
      </c>
      <c r="M129" s="668">
        <f t="shared" si="35"/>
        <v>0</v>
      </c>
      <c r="N129" s="668">
        <f t="shared" si="35"/>
        <v>0</v>
      </c>
      <c r="O129" s="668">
        <f t="shared" si="35"/>
        <v>0</v>
      </c>
      <c r="P129" s="668">
        <f t="shared" si="35"/>
        <v>0</v>
      </c>
      <c r="Q129" s="668">
        <f t="shared" si="35"/>
        <v>0</v>
      </c>
      <c r="R129" s="668">
        <f t="shared" si="35"/>
        <v>0</v>
      </c>
      <c r="S129" s="668">
        <f t="shared" si="35"/>
        <v>0</v>
      </c>
      <c r="T129" s="668">
        <f t="shared" si="35"/>
        <v>0</v>
      </c>
      <c r="U129" s="668">
        <f t="shared" si="35"/>
        <v>0</v>
      </c>
      <c r="V129" s="668">
        <f t="shared" si="35"/>
        <v>0</v>
      </c>
      <c r="W129" s="668">
        <f t="shared" si="35"/>
        <v>0</v>
      </c>
      <c r="X129" s="668">
        <f t="shared" si="35"/>
        <v>0</v>
      </c>
      <c r="Y129" s="668">
        <f t="shared" si="35"/>
        <v>0</v>
      </c>
      <c r="Z129" s="668">
        <f t="shared" si="35"/>
        <v>0</v>
      </c>
      <c r="AA129" s="668">
        <f t="shared" si="35"/>
        <v>0</v>
      </c>
      <c r="AB129" s="668">
        <f t="shared" si="35"/>
        <v>0</v>
      </c>
    </row>
    <row r="130" spans="2:28" ht="12" outlineLevel="1">
      <c r="B130" s="658" t="str">
        <f>Translation!C43</f>
        <v>Estimate of net dry storage per schedule (m³)</v>
      </c>
      <c r="C130" s="652"/>
      <c r="D130" s="652"/>
      <c r="E130" s="652"/>
      <c r="F130" s="652"/>
      <c r="G130" s="652"/>
      <c r="H130" s="652"/>
      <c r="I130" s="652"/>
      <c r="J130" s="652"/>
      <c r="K130" s="652"/>
      <c r="L130" s="652"/>
      <c r="M130" s="652"/>
      <c r="N130" s="652"/>
      <c r="O130" s="652"/>
      <c r="P130" s="652"/>
      <c r="Q130" s="652"/>
      <c r="R130" s="652"/>
      <c r="S130" s="652"/>
      <c r="T130" s="652"/>
      <c r="U130" s="652"/>
      <c r="V130" s="652"/>
      <c r="W130" s="652"/>
      <c r="X130" s="652"/>
      <c r="Y130" s="652"/>
      <c r="Z130" s="652"/>
      <c r="AA130" s="652"/>
      <c r="AB130" s="652"/>
    </row>
    <row r="131" spans="2:28" outlineLevel="1">
      <c r="B131" s="22" t="str">
        <f>B107</f>
        <v>Current schedule @ 2 months MaxiStock</v>
      </c>
      <c r="C131" s="664">
        <f>C$105*Volume_Inject!$M$38*$C$101/12000000</f>
        <v>1.9061429416666663E-3</v>
      </c>
      <c r="D131" s="664">
        <f>D$105*Volume_Inject!$M$38*$C$101/12000000</f>
        <v>5.7184288249999991E-3</v>
      </c>
      <c r="E131" s="664">
        <f>E$105*Volume_Inject!$M$38*$C$101/12000000</f>
        <v>9.5307147083333321E-3</v>
      </c>
      <c r="F131" s="664">
        <f>F$105*Volume_Inject!$M$38*$C$101/12000000</f>
        <v>1.3343000591666666E-2</v>
      </c>
      <c r="G131" s="664">
        <f>G$105*Volume_Inject!$M$38*$C$101/12000000</f>
        <v>1.7155286475E-2</v>
      </c>
      <c r="H131" s="664">
        <f>H$105*Volume_Inject!$M$38*$C$101/12000000</f>
        <v>2.0967572358333332E-2</v>
      </c>
      <c r="I131" s="664">
        <f>I$105*Volume_Inject!$M$38*$C$101/12000000</f>
        <v>2.4779858241666661E-2</v>
      </c>
      <c r="J131" s="664">
        <f>J$105*Volume_Inject!$M$38*$C$101/12000000</f>
        <v>2.8592144124999996E-2</v>
      </c>
      <c r="K131" s="664">
        <f>K$105*Volume_Inject!$M$38*$C$101/12000000</f>
        <v>3.2404430008333332E-2</v>
      </c>
      <c r="L131" s="664">
        <f>L$105*Volume_Inject!$M$38*$C$101/12000000</f>
        <v>3.6216715891666661E-2</v>
      </c>
      <c r="M131" s="664">
        <f>M$105*Volume_Inject!$M$38*$C$101/12000000</f>
        <v>4.0029001774999996E-2</v>
      </c>
      <c r="N131" s="664">
        <f>N$105*Volume_Inject!$M$38*$C$101/12000000</f>
        <v>4.3841287658333332E-2</v>
      </c>
      <c r="O131" s="664">
        <f>O$105*Volume_Inject!$M$38*$C$101/12000000</f>
        <v>4.7653573541666661E-2</v>
      </c>
      <c r="P131" s="664">
        <f>P$105*Volume_Inject!$M$38*$C$101/12000000</f>
        <v>5.1465859424999989E-2</v>
      </c>
      <c r="Q131" s="664">
        <f>Q$105*Volume_Inject!$M$38*$C$101/12000000</f>
        <v>5.5278145308333325E-2</v>
      </c>
      <c r="R131" s="664">
        <f>R$105*Volume_Inject!$M$38*$C$101/12000000</f>
        <v>5.9090431191666661E-2</v>
      </c>
      <c r="S131" s="664">
        <f>S$105*Volume_Inject!$M$38*$C$101/12000000</f>
        <v>6.2902717074999989E-2</v>
      </c>
      <c r="T131" s="664">
        <f>T$105*Volume_Inject!$M$38*$C$101/12000000</f>
        <v>6.6715002958333325E-2</v>
      </c>
      <c r="U131" s="664">
        <f>U$105*Volume_Inject!$M$38*$C$101/12000000</f>
        <v>7.052728884166666E-2</v>
      </c>
      <c r="V131" s="664">
        <f>V$105*Volume_Inject!$M$38*$C$101/12000000</f>
        <v>7.4339574724999996E-2</v>
      </c>
      <c r="W131" s="664">
        <f>W$105*Volume_Inject!$M$38*$C$101/12000000</f>
        <v>7.8151860608333318E-2</v>
      </c>
      <c r="X131" s="664">
        <f>X$105*Volume_Inject!$M$38*$C$101/12000000</f>
        <v>8.1964146491666653E-2</v>
      </c>
      <c r="Y131" s="664">
        <f>Y$105*Volume_Inject!$M$38*$C$101/12000000</f>
        <v>8.5776432374999989E-2</v>
      </c>
      <c r="Z131" s="664">
        <f>Z$105*Volume_Inject!$M$38*$C$101/12000000</f>
        <v>8.9588718258333311E-2</v>
      </c>
      <c r="AA131" s="664">
        <f>AA$105*Volume_Inject!$M$38*$C$101/12000000</f>
        <v>9.340100414166666E-2</v>
      </c>
      <c r="AB131" s="664">
        <f>AB$105*Volume_Inject!$M$38*$C$101/12000000</f>
        <v>9.7213290024999996E-2</v>
      </c>
    </row>
    <row r="132" spans="2:28" outlineLevel="1">
      <c r="B132" s="22" t="str">
        <f>B108</f>
        <v>Current schedule with penta 1d @ 2 months MaxiStock</v>
      </c>
      <c r="C132" s="664">
        <f>C$105*Volume_Inject!$N$38*$C$101/12000000</f>
        <v>1.9061429416666663E-3</v>
      </c>
      <c r="D132" s="664">
        <f>D$105*Volume_Inject!$N$38*$C$101/12000000</f>
        <v>5.7184288249999991E-3</v>
      </c>
      <c r="E132" s="664">
        <f>E$105*Volume_Inject!$N$38*$C$101/12000000</f>
        <v>9.5307147083333321E-3</v>
      </c>
      <c r="F132" s="664">
        <f>F$105*Volume_Inject!$N$38*$C$101/12000000</f>
        <v>1.3343000591666666E-2</v>
      </c>
      <c r="G132" s="664">
        <f>G$105*Volume_Inject!$N$38*$C$101/12000000</f>
        <v>1.7155286475E-2</v>
      </c>
      <c r="H132" s="664">
        <f>H$105*Volume_Inject!$N$38*$C$101/12000000</f>
        <v>2.0967572358333332E-2</v>
      </c>
      <c r="I132" s="664">
        <f>I$105*Volume_Inject!$N$38*$C$101/12000000</f>
        <v>2.4779858241666661E-2</v>
      </c>
      <c r="J132" s="664">
        <f>J$105*Volume_Inject!$N$38*$C$101/12000000</f>
        <v>2.8592144124999996E-2</v>
      </c>
      <c r="K132" s="664">
        <f>K$105*Volume_Inject!$N$38*$C$101/12000000</f>
        <v>3.2404430008333332E-2</v>
      </c>
      <c r="L132" s="664">
        <f>L$105*Volume_Inject!$N$38*$C$101/12000000</f>
        <v>3.6216715891666661E-2</v>
      </c>
      <c r="M132" s="664">
        <f>M$105*Volume_Inject!$N$38*$C$101/12000000</f>
        <v>4.0029001774999996E-2</v>
      </c>
      <c r="N132" s="664">
        <f>N$105*Volume_Inject!$N$38*$C$101/12000000</f>
        <v>4.3841287658333332E-2</v>
      </c>
      <c r="O132" s="664">
        <f>O$105*Volume_Inject!$N$38*$C$101/12000000</f>
        <v>4.7653573541666661E-2</v>
      </c>
      <c r="P132" s="664">
        <f>P$105*Volume_Inject!$N$38*$C$101/12000000</f>
        <v>5.1465859424999989E-2</v>
      </c>
      <c r="Q132" s="664">
        <f>Q$105*Volume_Inject!$N$38*$C$101/12000000</f>
        <v>5.5278145308333325E-2</v>
      </c>
      <c r="R132" s="664">
        <f>R$105*Volume_Inject!$N$38*$C$101/12000000</f>
        <v>5.9090431191666661E-2</v>
      </c>
      <c r="S132" s="664">
        <f>S$105*Volume_Inject!$N$38*$C$101/12000000</f>
        <v>6.2902717074999989E-2</v>
      </c>
      <c r="T132" s="664">
        <f>T$105*Volume_Inject!$N$38*$C$101/12000000</f>
        <v>6.6715002958333325E-2</v>
      </c>
      <c r="U132" s="664">
        <f>U$105*Volume_Inject!$N$38*$C$101/12000000</f>
        <v>7.052728884166666E-2</v>
      </c>
      <c r="V132" s="664">
        <f>V$105*Volume_Inject!$N$38*$C$101/12000000</f>
        <v>7.4339574724999996E-2</v>
      </c>
      <c r="W132" s="664">
        <f>W$105*Volume_Inject!$N$38*$C$101/12000000</f>
        <v>7.8151860608333318E-2</v>
      </c>
      <c r="X132" s="664">
        <f>X$105*Volume_Inject!$N$38*$C$101/12000000</f>
        <v>8.1964146491666653E-2</v>
      </c>
      <c r="Y132" s="664">
        <f>Y$105*Volume_Inject!$N$38*$C$101/12000000</f>
        <v>8.5776432374999989E-2</v>
      </c>
      <c r="Z132" s="664">
        <f>Z$105*Volume_Inject!$N$38*$C$101/12000000</f>
        <v>8.9588718258333311E-2</v>
      </c>
      <c r="AA132" s="664">
        <f>AA$105*Volume_Inject!$N$38*$C$101/12000000</f>
        <v>9.340100414166666E-2</v>
      </c>
      <c r="AB132" s="664">
        <f>AB$105*Volume_Inject!$N$38*$C$101/12000000</f>
        <v>9.7213290024999996E-2</v>
      </c>
    </row>
    <row r="133" spans="2:28" outlineLevel="1">
      <c r="B133" s="22" t="str">
        <f>B109</f>
        <v>Current schedule with penta CAD @ 2 months MaxiStock</v>
      </c>
      <c r="C133" s="664">
        <f>C$105*Volume_Inject!$O$38*$C$101/12000000</f>
        <v>1.3139762749999999E-3</v>
      </c>
      <c r="D133" s="664">
        <f>D$105*Volume_Inject!$O$38*$C$101/12000000</f>
        <v>3.9419288249999997E-3</v>
      </c>
      <c r="E133" s="664">
        <f>E$105*Volume_Inject!$O$38*$C$101/12000000</f>
        <v>6.5698813749999994E-3</v>
      </c>
      <c r="F133" s="664">
        <f>F$105*Volume_Inject!$O$38*$C$101/12000000</f>
        <v>9.1978339249999992E-3</v>
      </c>
      <c r="G133" s="664">
        <f>G$105*Volume_Inject!$O$38*$C$101/12000000</f>
        <v>1.1825786474999999E-2</v>
      </c>
      <c r="H133" s="664">
        <f>H$105*Volume_Inject!$O$38*$C$101/12000000</f>
        <v>1.4453739025000001E-2</v>
      </c>
      <c r="I133" s="664">
        <f>I$105*Volume_Inject!$O$38*$C$101/12000000</f>
        <v>1.7081691574999999E-2</v>
      </c>
      <c r="J133" s="664">
        <f>J$105*Volume_Inject!$O$38*$C$101/12000000</f>
        <v>1.9709644124999998E-2</v>
      </c>
      <c r="K133" s="664">
        <f>K$105*Volume_Inject!$O$38*$C$101/12000000</f>
        <v>2.2337596674999998E-2</v>
      </c>
      <c r="L133" s="664">
        <f>L$105*Volume_Inject!$O$38*$C$101/12000000</f>
        <v>2.4965549225000001E-2</v>
      </c>
      <c r="M133" s="664">
        <f>M$105*Volume_Inject!$O$38*$C$101/12000000</f>
        <v>2.7593501774999998E-2</v>
      </c>
      <c r="N133" s="664">
        <f>N$105*Volume_Inject!$O$38*$C$101/12000000</f>
        <v>3.0221454324999997E-2</v>
      </c>
      <c r="O133" s="664">
        <f>O$105*Volume_Inject!$O$38*$C$101/12000000</f>
        <v>3.2849406874999994E-2</v>
      </c>
      <c r="P133" s="664">
        <f>P$105*Volume_Inject!$O$38*$C$101/12000000</f>
        <v>3.5477359425E-2</v>
      </c>
      <c r="Q133" s="664">
        <f>Q$105*Volume_Inject!$O$38*$C$101/12000000</f>
        <v>3.8105311975E-2</v>
      </c>
      <c r="R133" s="664">
        <f>R$105*Volume_Inject!$O$38*$C$101/12000000</f>
        <v>4.0733264524999993E-2</v>
      </c>
      <c r="S133" s="664">
        <f>S$105*Volume_Inject!$O$38*$C$101/12000000</f>
        <v>4.3361217075E-2</v>
      </c>
      <c r="T133" s="664">
        <f>T$105*Volume_Inject!$O$38*$C$101/12000000</f>
        <v>4.5989169625E-2</v>
      </c>
      <c r="U133" s="664">
        <f>U$105*Volume_Inject!$O$38*$C$101/12000000</f>
        <v>4.8617122174999999E-2</v>
      </c>
      <c r="V133" s="664">
        <f>V$105*Volume_Inject!$O$38*$C$101/12000000</f>
        <v>5.1245074724999992E-2</v>
      </c>
      <c r="W133" s="664">
        <f>W$105*Volume_Inject!$O$38*$C$101/12000000</f>
        <v>5.3873027274999999E-2</v>
      </c>
      <c r="X133" s="664">
        <f>X$105*Volume_Inject!$O$38*$C$101/12000000</f>
        <v>5.6500979824999999E-2</v>
      </c>
      <c r="Y133" s="664">
        <f>Y$105*Volume_Inject!$O$38*$C$101/12000000</f>
        <v>5.9128932374999991E-2</v>
      </c>
      <c r="Z133" s="664">
        <f>Z$105*Volume_Inject!$O$38*$C$101/12000000</f>
        <v>6.1756884924999991E-2</v>
      </c>
      <c r="AA133" s="664">
        <f>AA$105*Volume_Inject!$O$38*$C$101/12000000</f>
        <v>6.4384837474999998E-2</v>
      </c>
      <c r="AB133" s="664">
        <f>AB$105*Volume_Inject!$O$38*$C$101/12000000</f>
        <v>6.7012790024999991E-2</v>
      </c>
    </row>
    <row r="134" spans="2:28" outlineLevel="1">
      <c r="B134" s="22" t="str">
        <f>B110</f>
        <v/>
      </c>
      <c r="C134" s="664">
        <f>C$105*Volume_Inject!$P$38*$C$101/12000000</f>
        <v>0</v>
      </c>
      <c r="D134" s="664">
        <f>D$105*Volume_Inject!$P$38*$C$101/12000000</f>
        <v>0</v>
      </c>
      <c r="E134" s="664">
        <f>E$105*Volume_Inject!$P$38*$C$101/12000000</f>
        <v>0</v>
      </c>
      <c r="F134" s="664">
        <f>F$105*Volume_Inject!$P$38*$C$101/12000000</f>
        <v>0</v>
      </c>
      <c r="G134" s="664">
        <f>G$105*Volume_Inject!$P$38*$C$101/12000000</f>
        <v>0</v>
      </c>
      <c r="H134" s="664">
        <f>H$105*Volume_Inject!$P$38*$C$101/12000000</f>
        <v>0</v>
      </c>
      <c r="I134" s="664">
        <f>I$105*Volume_Inject!$P$38*$C$101/12000000</f>
        <v>0</v>
      </c>
      <c r="J134" s="664">
        <f>J$105*Volume_Inject!$P$38*$C$101/12000000</f>
        <v>0</v>
      </c>
      <c r="K134" s="664">
        <f>K$105*Volume_Inject!$P$38*$C$101/12000000</f>
        <v>0</v>
      </c>
      <c r="L134" s="664">
        <f>L$105*Volume_Inject!$P$38*$C$101/12000000</f>
        <v>0</v>
      </c>
      <c r="M134" s="664">
        <f>M$105*Volume_Inject!$P$38*$C$101/12000000</f>
        <v>0</v>
      </c>
      <c r="N134" s="664">
        <f>N$105*Volume_Inject!$P$38*$C$101/12000000</f>
        <v>0</v>
      </c>
      <c r="O134" s="664">
        <f>O$105*Volume_Inject!$P$38*$C$101/12000000</f>
        <v>0</v>
      </c>
      <c r="P134" s="664">
        <f>P$105*Volume_Inject!$P$38*$C$101/12000000</f>
        <v>0</v>
      </c>
      <c r="Q134" s="664">
        <f>Q$105*Volume_Inject!$P$38*$C$101/12000000</f>
        <v>0</v>
      </c>
      <c r="R134" s="664">
        <f>R$105*Volume_Inject!$P$38*$C$101/12000000</f>
        <v>0</v>
      </c>
      <c r="S134" s="664">
        <f>S$105*Volume_Inject!$P$38*$C$101/12000000</f>
        <v>0</v>
      </c>
      <c r="T134" s="664">
        <f>T$105*Volume_Inject!$P$38*$C$101/12000000</f>
        <v>0</v>
      </c>
      <c r="U134" s="664">
        <f>U$105*Volume_Inject!$P$38*$C$101/12000000</f>
        <v>0</v>
      </c>
      <c r="V134" s="664">
        <f>V$105*Volume_Inject!$P$38*$C$101/12000000</f>
        <v>0</v>
      </c>
      <c r="W134" s="664">
        <f>W$105*Volume_Inject!$P$38*$C$101/12000000</f>
        <v>0</v>
      </c>
      <c r="X134" s="664">
        <f>X$105*Volume_Inject!$P$38*$C$101/12000000</f>
        <v>0</v>
      </c>
      <c r="Y134" s="664">
        <f>Y$105*Volume_Inject!$P$38*$C$101/12000000</f>
        <v>0</v>
      </c>
      <c r="Z134" s="664">
        <f>Z$105*Volume_Inject!$P$38*$C$101/12000000</f>
        <v>0</v>
      </c>
      <c r="AA134" s="664">
        <f>AA$105*Volume_Inject!$P$38*$C$101/12000000</f>
        <v>0</v>
      </c>
      <c r="AB134" s="664">
        <f>AB$105*Volume_Inject!$P$38*$C$101/12000000</f>
        <v>0</v>
      </c>
    </row>
    <row r="135" spans="2:28" outlineLevel="1">
      <c r="B135" s="661" t="str">
        <f>B111</f>
        <v/>
      </c>
      <c r="C135" s="665">
        <f>C$105*Volume_Inject!$Q$38*$C$101/12000000</f>
        <v>0</v>
      </c>
      <c r="D135" s="665">
        <f>D$105*Volume_Inject!$Q$38*$C$101/12000000</f>
        <v>0</v>
      </c>
      <c r="E135" s="665">
        <f>E$105*Volume_Inject!$Q$38*$C$101/12000000</f>
        <v>0</v>
      </c>
      <c r="F135" s="665">
        <f>F$105*Volume_Inject!$Q$38*$C$101/12000000</f>
        <v>0</v>
      </c>
      <c r="G135" s="665">
        <f>G$105*Volume_Inject!$Q$38*$C$101/12000000</f>
        <v>0</v>
      </c>
      <c r="H135" s="665">
        <f>H$105*Volume_Inject!$Q$38*$C$101/12000000</f>
        <v>0</v>
      </c>
      <c r="I135" s="665">
        <f>I$105*Volume_Inject!$Q$38*$C$101/12000000</f>
        <v>0</v>
      </c>
      <c r="J135" s="665">
        <f>J$105*Volume_Inject!$Q$38*$C$101/12000000</f>
        <v>0</v>
      </c>
      <c r="K135" s="665">
        <f>K$105*Volume_Inject!$Q$38*$C$101/12000000</f>
        <v>0</v>
      </c>
      <c r="L135" s="665">
        <f>L$105*Volume_Inject!$Q$38*$C$101/12000000</f>
        <v>0</v>
      </c>
      <c r="M135" s="665">
        <f>M$105*Volume_Inject!$Q$38*$C$101/12000000</f>
        <v>0</v>
      </c>
      <c r="N135" s="665">
        <f>N$105*Volume_Inject!$Q$38*$C$101/12000000</f>
        <v>0</v>
      </c>
      <c r="O135" s="665">
        <f>O$105*Volume_Inject!$Q$38*$C$101/12000000</f>
        <v>0</v>
      </c>
      <c r="P135" s="665">
        <f>P$105*Volume_Inject!$Q$38*$C$101/12000000</f>
        <v>0</v>
      </c>
      <c r="Q135" s="665">
        <f>Q$105*Volume_Inject!$Q$38*$C$101/12000000</f>
        <v>0</v>
      </c>
      <c r="R135" s="665">
        <f>R$105*Volume_Inject!$Q$38*$C$101/12000000</f>
        <v>0</v>
      </c>
      <c r="S135" s="665">
        <f>S$105*Volume_Inject!$Q$38*$C$101/12000000</f>
        <v>0</v>
      </c>
      <c r="T135" s="665">
        <f>T$105*Volume_Inject!$Q$38*$C$101/12000000</f>
        <v>0</v>
      </c>
      <c r="U135" s="665">
        <f>U$105*Volume_Inject!$Q$38*$C$101/12000000</f>
        <v>0</v>
      </c>
      <c r="V135" s="665">
        <f>V$105*Volume_Inject!$Q$38*$C$101/12000000</f>
        <v>0</v>
      </c>
      <c r="W135" s="665">
        <f>W$105*Volume_Inject!$Q$38*$C$101/12000000</f>
        <v>0</v>
      </c>
      <c r="X135" s="665">
        <f>X$105*Volume_Inject!$Q$38*$C$101/12000000</f>
        <v>0</v>
      </c>
      <c r="Y135" s="665">
        <f>Y$105*Volume_Inject!$Q$38*$C$101/12000000</f>
        <v>0</v>
      </c>
      <c r="Z135" s="665">
        <f>Z$105*Volume_Inject!$Q$38*$C$101/12000000</f>
        <v>0</v>
      </c>
      <c r="AA135" s="665">
        <f>AA$105*Volume_Inject!$Q$38*$C$101/12000000</f>
        <v>0</v>
      </c>
      <c r="AB135" s="665">
        <f>AB$105*Volume_Inject!$Q$38*$C$101/12000000</f>
        <v>0</v>
      </c>
    </row>
    <row r="136" spans="2:28" ht="13.2" outlineLevel="1">
      <c r="B136" s="658" t="str">
        <f>Translation!C44</f>
        <v>Estimate of net dry storage per MaxiStock (m³)</v>
      </c>
      <c r="C136" s="652"/>
      <c r="D136" s="652"/>
      <c r="E136" s="653" t="str">
        <f>Translation!C45</f>
        <v>Select schedule</v>
      </c>
      <c r="F136" s="811" t="s">
        <v>1854</v>
      </c>
      <c r="G136" s="810"/>
      <c r="H136" s="652"/>
      <c r="I136" s="652"/>
      <c r="J136" s="652"/>
      <c r="K136" s="652"/>
      <c r="L136" s="652"/>
      <c r="M136" s="652"/>
      <c r="N136" s="652"/>
      <c r="O136" s="652"/>
      <c r="P136" s="652"/>
      <c r="Q136" s="652"/>
      <c r="R136" s="652"/>
      <c r="S136" s="652"/>
      <c r="T136" s="652"/>
      <c r="U136" s="652"/>
      <c r="V136" s="652"/>
      <c r="W136" s="652"/>
      <c r="X136" s="652"/>
      <c r="Y136" s="652"/>
      <c r="Z136" s="652"/>
      <c r="AA136" s="652"/>
      <c r="AB136" s="652"/>
    </row>
    <row r="137" spans="2:28" outlineLevel="1">
      <c r="B137" s="22" t="str">
        <f>IF(G98="","",CONCATENATE($F$136," @ ",$G98,$D$101," ",$B$101))</f>
        <v>Current schedule @ 2 months MaxiStock</v>
      </c>
      <c r="C137" s="664">
        <f>C$105*SUMIF(Volume_Inject!$M$12:$Q$12,$F$136,Volume_Inject!$M$38:$Q$38)*$G98/12000000</f>
        <v>1.9061429416666663E-3</v>
      </c>
      <c r="D137" s="664">
        <f>D$105*SUMIF(Volume_Inject!$M$12:$Q$12,$F$42,Volume_Inject!$M$38:$Q$38)*$G98/12000000</f>
        <v>5.7184288249999991E-3</v>
      </c>
      <c r="E137" s="664">
        <f>E$105*SUMIF(Volume_Inject!$M$12:$Q$12,$F$42,Volume_Inject!$M$38:$Q$38)*$G98/12000000</f>
        <v>9.5307147083333321E-3</v>
      </c>
      <c r="F137" s="663">
        <f>F$105*SUMIF(Volume_Inject!$M$12:$Q$12,$F$42,Volume_Inject!$M$38:$Q$38)*$G98/12000000</f>
        <v>1.3343000591666666E-2</v>
      </c>
      <c r="G137" s="663">
        <f>G$105*SUMIF(Volume_Inject!$M$12:$Q$12,$F$42,Volume_Inject!$M$38:$Q$38)*$G98/12000000</f>
        <v>1.7155286475E-2</v>
      </c>
      <c r="H137" s="664">
        <f>H$105*SUMIF(Volume_Inject!$M$12:$Q$12,$F$42,Volume_Inject!$M$38:$Q$38)*$G98/12000000</f>
        <v>2.0967572358333332E-2</v>
      </c>
      <c r="I137" s="664">
        <f>I$105*SUMIF(Volume_Inject!$M$12:$Q$12,$F$42,Volume_Inject!$M$38:$Q$38)*$G98/12000000</f>
        <v>2.4779858241666661E-2</v>
      </c>
      <c r="J137" s="664">
        <f>J$105*SUMIF(Volume_Inject!$M$12:$Q$12,$F$42,Volume_Inject!$M$38:$Q$38)*$G98/12000000</f>
        <v>2.8592144124999996E-2</v>
      </c>
      <c r="K137" s="664">
        <f>K$105*SUMIF(Volume_Inject!$M$12:$Q$12,$F$42,Volume_Inject!$M$38:$Q$38)*$G98/12000000</f>
        <v>3.2404430008333332E-2</v>
      </c>
      <c r="L137" s="664">
        <f>L$105*SUMIF(Volume_Inject!$M$12:$Q$12,$F$42,Volume_Inject!$M$38:$Q$38)*$G98/12000000</f>
        <v>3.6216715891666661E-2</v>
      </c>
      <c r="M137" s="664">
        <f>M$105*SUMIF(Volume_Inject!$M$12:$Q$12,$F$42,Volume_Inject!$M$38:$Q$38)*$G98/12000000</f>
        <v>4.0029001774999996E-2</v>
      </c>
      <c r="N137" s="664">
        <f>N$105*SUMIF(Volume_Inject!$M$12:$Q$12,$F$42,Volume_Inject!$M$38:$Q$38)*$G98/12000000</f>
        <v>4.3841287658333332E-2</v>
      </c>
      <c r="O137" s="664">
        <f>O$105*SUMIF(Volume_Inject!$M$12:$Q$12,$F$42,Volume_Inject!$M$38:$Q$38)*$G98/12000000</f>
        <v>4.7653573541666661E-2</v>
      </c>
      <c r="P137" s="664">
        <f>P$105*SUMIF(Volume_Inject!$M$12:$Q$12,$F$42,Volume_Inject!$M$38:$Q$38)*$G98/12000000</f>
        <v>5.1465859424999989E-2</v>
      </c>
      <c r="Q137" s="664">
        <f>Q$105*SUMIF(Volume_Inject!$M$12:$Q$12,$F$42,Volume_Inject!$M$38:$Q$38)*$G98/12000000</f>
        <v>5.5278145308333325E-2</v>
      </c>
      <c r="R137" s="664">
        <f>R$105*SUMIF(Volume_Inject!$M$12:$Q$12,$F$42,Volume_Inject!$M$38:$Q$38)*$G98/12000000</f>
        <v>5.9090431191666661E-2</v>
      </c>
      <c r="S137" s="664">
        <f>S$105*SUMIF(Volume_Inject!$M$12:$Q$12,$F$42,Volume_Inject!$M$38:$Q$38)*$G98/12000000</f>
        <v>6.2902717074999989E-2</v>
      </c>
      <c r="T137" s="664">
        <f>T$105*SUMIF(Volume_Inject!$M$12:$Q$12,$F$42,Volume_Inject!$M$38:$Q$38)*$G98/12000000</f>
        <v>6.6715002958333325E-2</v>
      </c>
      <c r="U137" s="664">
        <f>U$105*SUMIF(Volume_Inject!$M$12:$Q$12,$F$42,Volume_Inject!$M$38:$Q$38)*$G98/12000000</f>
        <v>7.052728884166666E-2</v>
      </c>
      <c r="V137" s="664">
        <f>V$105*SUMIF(Volume_Inject!$M$12:$Q$12,$F$42,Volume_Inject!$M$38:$Q$38)*$G98/12000000</f>
        <v>7.4339574724999996E-2</v>
      </c>
      <c r="W137" s="664">
        <f>W$105*SUMIF(Volume_Inject!$M$12:$Q$12,$F$42,Volume_Inject!$M$38:$Q$38)*$G98/12000000</f>
        <v>7.8151860608333318E-2</v>
      </c>
      <c r="X137" s="664">
        <f>X$105*SUMIF(Volume_Inject!$M$12:$Q$12,$F$42,Volume_Inject!$M$38:$Q$38)*$G98/12000000</f>
        <v>8.1964146491666653E-2</v>
      </c>
      <c r="Y137" s="664">
        <f>Y$105*SUMIF(Volume_Inject!$M$12:$Q$12,$F$42,Volume_Inject!$M$38:$Q$38)*$G98/12000000</f>
        <v>8.5776432374999989E-2</v>
      </c>
      <c r="Z137" s="664">
        <f>Z$105*SUMIF(Volume_Inject!$M$12:$Q$12,$F$42,Volume_Inject!$M$38:$Q$38)*$G98/12000000</f>
        <v>8.9588718258333311E-2</v>
      </c>
      <c r="AA137" s="664">
        <f>AA$105*SUMIF(Volume_Inject!$M$12:$Q$12,$F$42,Volume_Inject!$M$38:$Q$38)*$G98/12000000</f>
        <v>9.340100414166666E-2</v>
      </c>
      <c r="AB137" s="664">
        <f>AB$105*SUMIF(Volume_Inject!$M$12:$Q$12,$F$42,Volume_Inject!$M$38:$Q$38)*$G98/12000000</f>
        <v>9.7213290024999996E-2</v>
      </c>
    </row>
    <row r="138" spans="2:28" outlineLevel="1">
      <c r="B138" s="22" t="str">
        <f>IF(G99="","",CONCATENATE($F$136," @ ",$G99,$D$101," ",$B$101))</f>
        <v>Current schedule @ 3 months MaxiStock</v>
      </c>
      <c r="C138" s="664">
        <f>C$105*SUMIF(Volume_Inject!$M$12:$Q$12,$F$42,Volume_Inject!$M$38:$Q$38)*$G99/12000000</f>
        <v>2.8592144124999995E-3</v>
      </c>
      <c r="D138" s="664">
        <f>D$105*SUMIF(Volume_Inject!$M$12:$Q$12,$F$42,Volume_Inject!$M$38:$Q$38)*$G99/12000000</f>
        <v>8.5776432374999982E-3</v>
      </c>
      <c r="E138" s="664">
        <f>E$105*SUMIF(Volume_Inject!$M$12:$Q$12,$F$42,Volume_Inject!$M$38:$Q$38)*$G99/12000000</f>
        <v>1.4296072062499998E-2</v>
      </c>
      <c r="F138" s="664">
        <f>F$105*SUMIF(Volume_Inject!$M$12:$Q$12,$F$42,Volume_Inject!$M$38:$Q$38)*$G99/12000000</f>
        <v>2.0014500887499998E-2</v>
      </c>
      <c r="G138" s="664">
        <f>G$105*SUMIF(Volume_Inject!$M$12:$Q$12,$F$42,Volume_Inject!$M$38:$Q$38)*$G99/12000000</f>
        <v>2.5732929712499995E-2</v>
      </c>
      <c r="H138" s="664">
        <f>H$105*SUMIF(Volume_Inject!$M$12:$Q$12,$F$42,Volume_Inject!$M$38:$Q$38)*$G99/12000000</f>
        <v>3.1451358537499995E-2</v>
      </c>
      <c r="I138" s="664">
        <f>I$105*SUMIF(Volume_Inject!$M$12:$Q$12,$F$42,Volume_Inject!$M$38:$Q$38)*$G99/12000000</f>
        <v>3.7169787362499991E-2</v>
      </c>
      <c r="J138" s="664">
        <f>J$105*SUMIF(Volume_Inject!$M$12:$Q$12,$F$42,Volume_Inject!$M$38:$Q$38)*$G99/12000000</f>
        <v>4.2888216187499995E-2</v>
      </c>
      <c r="K138" s="664">
        <f>K$105*SUMIF(Volume_Inject!$M$12:$Q$12,$F$42,Volume_Inject!$M$38:$Q$38)*$G99/12000000</f>
        <v>4.8606645012499998E-2</v>
      </c>
      <c r="L138" s="664">
        <f>L$105*SUMIF(Volume_Inject!$M$12:$Q$12,$F$42,Volume_Inject!$M$38:$Q$38)*$G99/12000000</f>
        <v>5.4325073837499988E-2</v>
      </c>
      <c r="M138" s="664">
        <f>M$105*SUMIF(Volume_Inject!$M$12:$Q$12,$F$42,Volume_Inject!$M$38:$Q$38)*$G99/12000000</f>
        <v>6.0043502662499998E-2</v>
      </c>
      <c r="N138" s="664">
        <f>N$105*SUMIF(Volume_Inject!$M$12:$Q$12,$F$42,Volume_Inject!$M$38:$Q$38)*$G99/12000000</f>
        <v>6.5761931487499994E-2</v>
      </c>
      <c r="O138" s="664">
        <f>O$105*SUMIF(Volume_Inject!$M$12:$Q$12,$F$42,Volume_Inject!$M$38:$Q$38)*$G99/12000000</f>
        <v>7.1480360312500005E-2</v>
      </c>
      <c r="P138" s="664">
        <f>P$105*SUMIF(Volume_Inject!$M$12:$Q$12,$F$42,Volume_Inject!$M$38:$Q$38)*$G99/12000000</f>
        <v>7.7198789137499987E-2</v>
      </c>
      <c r="Q138" s="664">
        <f>Q$105*SUMIF(Volume_Inject!$M$12:$Q$12,$F$42,Volume_Inject!$M$38:$Q$38)*$G99/12000000</f>
        <v>8.2917217962499984E-2</v>
      </c>
      <c r="R138" s="664">
        <f>R$105*SUMIF(Volume_Inject!$M$12:$Q$12,$F$42,Volume_Inject!$M$38:$Q$38)*$G99/12000000</f>
        <v>8.8635646787499994E-2</v>
      </c>
      <c r="S138" s="664">
        <f>S$105*SUMIF(Volume_Inject!$M$12:$Q$12,$F$42,Volume_Inject!$M$38:$Q$38)*$G99/12000000</f>
        <v>9.4354075612500005E-2</v>
      </c>
      <c r="T138" s="664">
        <f>T$105*SUMIF(Volume_Inject!$M$12:$Q$12,$F$42,Volume_Inject!$M$38:$Q$38)*$G99/12000000</f>
        <v>0.10007250443749999</v>
      </c>
      <c r="U138" s="664">
        <f>U$105*SUMIF(Volume_Inject!$M$12:$Q$12,$F$42,Volume_Inject!$M$38:$Q$38)*$G99/12000000</f>
        <v>0.10579093326249998</v>
      </c>
      <c r="V138" s="664">
        <f>V$105*SUMIF(Volume_Inject!$M$12:$Q$12,$F$42,Volume_Inject!$M$38:$Q$38)*$G99/12000000</f>
        <v>0.11150936208749999</v>
      </c>
      <c r="W138" s="664">
        <f>W$105*SUMIF(Volume_Inject!$M$12:$Q$12,$F$42,Volume_Inject!$M$38:$Q$38)*$G99/12000000</f>
        <v>0.11722779091249998</v>
      </c>
      <c r="X138" s="664">
        <f>X$105*SUMIF(Volume_Inject!$M$12:$Q$12,$F$42,Volume_Inject!$M$38:$Q$38)*$G99/12000000</f>
        <v>0.12294621973749999</v>
      </c>
      <c r="Y138" s="664">
        <f>Y$105*SUMIF(Volume_Inject!$M$12:$Q$12,$F$42,Volume_Inject!$M$38:$Q$38)*$G99/12000000</f>
        <v>0.12866464856249998</v>
      </c>
      <c r="Z138" s="664">
        <f>Z$105*SUMIF(Volume_Inject!$M$12:$Q$12,$F$42,Volume_Inject!$M$38:$Q$38)*$G99/12000000</f>
        <v>0.13438307738749997</v>
      </c>
      <c r="AA138" s="664">
        <f>AA$105*SUMIF(Volume_Inject!$M$12:$Q$12,$F$42,Volume_Inject!$M$38:$Q$38)*$G99/12000000</f>
        <v>0.14010150621249998</v>
      </c>
      <c r="AB138" s="664">
        <f>AB$105*SUMIF(Volume_Inject!$M$12:$Q$12,$F$42,Volume_Inject!$M$38:$Q$38)*$G99/12000000</f>
        <v>0.14581993503749999</v>
      </c>
    </row>
    <row r="139" spans="2:28" outlineLevel="1">
      <c r="B139" s="22" t="str">
        <f>IF(G100="","",CONCATENATE($F$136," @ ",$G100,$D$101," ",$B$101))</f>
        <v>Current schedule @ 4 months MaxiStock</v>
      </c>
      <c r="C139" s="664">
        <f>C$105*SUMIF(Volume_Inject!$M$12:$Q$12,$F$42,Volume_Inject!$M$38:$Q$38)*$G100/12000000</f>
        <v>3.8122858833333326E-3</v>
      </c>
      <c r="D139" s="664">
        <f>D$105*SUMIF(Volume_Inject!$M$12:$Q$12,$F$42,Volume_Inject!$M$38:$Q$38)*$G100/12000000</f>
        <v>1.1436857649999998E-2</v>
      </c>
      <c r="E139" s="664">
        <f>E$105*SUMIF(Volume_Inject!$M$12:$Q$12,$F$42,Volume_Inject!$M$38:$Q$38)*$G100/12000000</f>
        <v>1.9061429416666664E-2</v>
      </c>
      <c r="F139" s="664">
        <f>F$105*SUMIF(Volume_Inject!$M$12:$Q$12,$F$42,Volume_Inject!$M$38:$Q$38)*$G100/12000000</f>
        <v>2.6686001183333332E-2</v>
      </c>
      <c r="G139" s="664">
        <f>G$105*SUMIF(Volume_Inject!$M$12:$Q$12,$F$42,Volume_Inject!$M$38:$Q$38)*$G100/12000000</f>
        <v>3.431057295E-2</v>
      </c>
      <c r="H139" s="664">
        <f>H$105*SUMIF(Volume_Inject!$M$12:$Q$12,$F$42,Volume_Inject!$M$38:$Q$38)*$G100/12000000</f>
        <v>4.1935144716666664E-2</v>
      </c>
      <c r="I139" s="664">
        <f>I$105*SUMIF(Volume_Inject!$M$12:$Q$12,$F$42,Volume_Inject!$M$38:$Q$38)*$G100/12000000</f>
        <v>4.9559716483333321E-2</v>
      </c>
      <c r="J139" s="664">
        <f>J$105*SUMIF(Volume_Inject!$M$12:$Q$12,$F$42,Volume_Inject!$M$38:$Q$38)*$G100/12000000</f>
        <v>5.7184288249999993E-2</v>
      </c>
      <c r="K139" s="664">
        <f>K$105*SUMIF(Volume_Inject!$M$12:$Q$12,$F$42,Volume_Inject!$M$38:$Q$38)*$G100/12000000</f>
        <v>6.4808860016666664E-2</v>
      </c>
      <c r="L139" s="664">
        <f>L$105*SUMIF(Volume_Inject!$M$12:$Q$12,$F$42,Volume_Inject!$M$38:$Q$38)*$G100/12000000</f>
        <v>7.2433431783333321E-2</v>
      </c>
      <c r="M139" s="664">
        <f>M$105*SUMIF(Volume_Inject!$M$12:$Q$12,$F$42,Volume_Inject!$M$38:$Q$38)*$G100/12000000</f>
        <v>8.0058003549999993E-2</v>
      </c>
      <c r="N139" s="664">
        <f>N$105*SUMIF(Volume_Inject!$M$12:$Q$12,$F$42,Volume_Inject!$M$38:$Q$38)*$G100/12000000</f>
        <v>8.7682575316666664E-2</v>
      </c>
      <c r="O139" s="664">
        <f>O$105*SUMIF(Volume_Inject!$M$12:$Q$12,$F$42,Volume_Inject!$M$38:$Q$38)*$G100/12000000</f>
        <v>9.5307147083333321E-2</v>
      </c>
      <c r="P139" s="664">
        <f>P$105*SUMIF(Volume_Inject!$M$12:$Q$12,$F$42,Volume_Inject!$M$38:$Q$38)*$G100/12000000</f>
        <v>0.10293171884999998</v>
      </c>
      <c r="Q139" s="664">
        <f>Q$105*SUMIF(Volume_Inject!$M$12:$Q$12,$F$42,Volume_Inject!$M$38:$Q$38)*$G100/12000000</f>
        <v>0.11055629061666665</v>
      </c>
      <c r="R139" s="664">
        <f>R$105*SUMIF(Volume_Inject!$M$12:$Q$12,$F$42,Volume_Inject!$M$38:$Q$38)*$G100/12000000</f>
        <v>0.11818086238333332</v>
      </c>
      <c r="S139" s="664">
        <f>S$105*SUMIF(Volume_Inject!$M$12:$Q$12,$F$42,Volume_Inject!$M$38:$Q$38)*$G100/12000000</f>
        <v>0.12580543414999998</v>
      </c>
      <c r="T139" s="664">
        <f>T$105*SUMIF(Volume_Inject!$M$12:$Q$12,$F$42,Volume_Inject!$M$38:$Q$38)*$G100/12000000</f>
        <v>0.13343000591666665</v>
      </c>
      <c r="U139" s="664">
        <f>U$105*SUMIF(Volume_Inject!$M$12:$Q$12,$F$42,Volume_Inject!$M$38:$Q$38)*$G100/12000000</f>
        <v>0.14105457768333332</v>
      </c>
      <c r="V139" s="664">
        <f>V$105*SUMIF(Volume_Inject!$M$12:$Q$12,$F$42,Volume_Inject!$M$38:$Q$38)*$G100/12000000</f>
        <v>0.14867914944999999</v>
      </c>
      <c r="W139" s="664">
        <f>W$105*SUMIF(Volume_Inject!$M$12:$Q$12,$F$42,Volume_Inject!$M$38:$Q$38)*$G100/12000000</f>
        <v>0.15630372121666664</v>
      </c>
      <c r="X139" s="664">
        <f>X$105*SUMIF(Volume_Inject!$M$12:$Q$12,$F$42,Volume_Inject!$M$38:$Q$38)*$G100/12000000</f>
        <v>0.16392829298333331</v>
      </c>
      <c r="Y139" s="664">
        <f>Y$105*SUMIF(Volume_Inject!$M$12:$Q$12,$F$42,Volume_Inject!$M$38:$Q$38)*$G100/12000000</f>
        <v>0.17155286474999998</v>
      </c>
      <c r="Z139" s="664">
        <f>Z$105*SUMIF(Volume_Inject!$M$12:$Q$12,$F$42,Volume_Inject!$M$38:$Q$38)*$G100/12000000</f>
        <v>0.17917743651666662</v>
      </c>
      <c r="AA139" s="664">
        <f>AA$105*SUMIF(Volume_Inject!$M$12:$Q$12,$F$42,Volume_Inject!$M$38:$Q$38)*$G100/12000000</f>
        <v>0.18680200828333332</v>
      </c>
      <c r="AB139" s="664">
        <f>AB$105*SUMIF(Volume_Inject!$M$12:$Q$12,$F$42,Volume_Inject!$M$38:$Q$38)*$G100/12000000</f>
        <v>0.19442658004999999</v>
      </c>
    </row>
    <row r="140" spans="2:28" outlineLevel="1">
      <c r="B140" s="661" t="str">
        <f>IF(G101="","",CONCATENATE($F$136," @ ",$G101,$D$101," ",$B$101))</f>
        <v/>
      </c>
      <c r="C140" s="665">
        <f>C$105*SUMIF(Volume_Inject!$M$12:$Q$12,$F$42,Volume_Inject!$M$38:$Q$38)*$G101/12000000</f>
        <v>0</v>
      </c>
      <c r="D140" s="665">
        <f>D$105*SUMIF(Volume_Inject!$M$12:$Q$12,$F$42,Volume_Inject!$M$38:$Q$38)*$G101/12000000</f>
        <v>0</v>
      </c>
      <c r="E140" s="665">
        <f>E$105*SUMIF(Volume_Inject!$M$12:$Q$12,$F$42,Volume_Inject!$M$38:$Q$38)*$G101/12000000</f>
        <v>0</v>
      </c>
      <c r="F140" s="665">
        <f>F$105*SUMIF(Volume_Inject!$M$12:$Q$12,$F$42,Volume_Inject!$M$38:$Q$38)*$G101/12000000</f>
        <v>0</v>
      </c>
      <c r="G140" s="665">
        <f>G$105*SUMIF(Volume_Inject!$M$12:$Q$12,$F$42,Volume_Inject!$M$38:$Q$38)*$G101/12000000</f>
        <v>0</v>
      </c>
      <c r="H140" s="665">
        <f>H$105*SUMIF(Volume_Inject!$M$12:$Q$12,$F$42,Volume_Inject!$M$38:$Q$38)*$G101/12000000</f>
        <v>0</v>
      </c>
      <c r="I140" s="665">
        <f>I$105*SUMIF(Volume_Inject!$M$12:$Q$12,$F$42,Volume_Inject!$M$38:$Q$38)*$G101/12000000</f>
        <v>0</v>
      </c>
      <c r="J140" s="665">
        <f>J$105*SUMIF(Volume_Inject!$M$12:$Q$12,$F$42,Volume_Inject!$M$38:$Q$38)*$G101/12000000</f>
        <v>0</v>
      </c>
      <c r="K140" s="665">
        <f>K$105*SUMIF(Volume_Inject!$M$12:$Q$12,$F$42,Volume_Inject!$M$38:$Q$38)*$G101/12000000</f>
        <v>0</v>
      </c>
      <c r="L140" s="665">
        <f>L$105*SUMIF(Volume_Inject!$M$12:$Q$12,$F$42,Volume_Inject!$M$38:$Q$38)*$G101/12000000</f>
        <v>0</v>
      </c>
      <c r="M140" s="665">
        <f>M$105*SUMIF(Volume_Inject!$M$12:$Q$12,$F$42,Volume_Inject!$M$38:$Q$38)*$G101/12000000</f>
        <v>0</v>
      </c>
      <c r="N140" s="665">
        <f>N$105*SUMIF(Volume_Inject!$M$12:$Q$12,$F$42,Volume_Inject!$M$38:$Q$38)*$G101/12000000</f>
        <v>0</v>
      </c>
      <c r="O140" s="665">
        <f>O$105*SUMIF(Volume_Inject!$M$12:$Q$12,$F$42,Volume_Inject!$M$38:$Q$38)*$G101/12000000</f>
        <v>0</v>
      </c>
      <c r="P140" s="665">
        <f>P$105*SUMIF(Volume_Inject!$M$12:$Q$12,$F$42,Volume_Inject!$M$38:$Q$38)*$G101/12000000</f>
        <v>0</v>
      </c>
      <c r="Q140" s="665">
        <f>Q$105*SUMIF(Volume_Inject!$M$12:$Q$12,$F$42,Volume_Inject!$M$38:$Q$38)*$G101/12000000</f>
        <v>0</v>
      </c>
      <c r="R140" s="665">
        <f>R$105*SUMIF(Volume_Inject!$M$12:$Q$12,$F$42,Volume_Inject!$M$38:$Q$38)*$G101/12000000</f>
        <v>0</v>
      </c>
      <c r="S140" s="665">
        <f>S$105*SUMIF(Volume_Inject!$M$12:$Q$12,$F$42,Volume_Inject!$M$38:$Q$38)*$G101/12000000</f>
        <v>0</v>
      </c>
      <c r="T140" s="665">
        <f>T$105*SUMIF(Volume_Inject!$M$12:$Q$12,$F$42,Volume_Inject!$M$38:$Q$38)*$G101/12000000</f>
        <v>0</v>
      </c>
      <c r="U140" s="665">
        <f>U$105*SUMIF(Volume_Inject!$M$12:$Q$12,$F$42,Volume_Inject!$M$38:$Q$38)*$G101/12000000</f>
        <v>0</v>
      </c>
      <c r="V140" s="665">
        <f>V$105*SUMIF(Volume_Inject!$M$12:$Q$12,$F$42,Volume_Inject!$M$38:$Q$38)*$G101/12000000</f>
        <v>0</v>
      </c>
      <c r="W140" s="665">
        <f>W$105*SUMIF(Volume_Inject!$M$12:$Q$12,$F$42,Volume_Inject!$M$38:$Q$38)*$G101/12000000</f>
        <v>0</v>
      </c>
      <c r="X140" s="665">
        <f>X$105*SUMIF(Volume_Inject!$M$12:$Q$12,$F$42,Volume_Inject!$M$38:$Q$38)*$G101/12000000</f>
        <v>0</v>
      </c>
      <c r="Y140" s="665">
        <f>Y$105*SUMIF(Volume_Inject!$M$12:$Q$12,$F$42,Volume_Inject!$M$38:$Q$38)*$G101/12000000</f>
        <v>0</v>
      </c>
      <c r="Z140" s="665">
        <f>Z$105*SUMIF(Volume_Inject!$M$12:$Q$12,$F$42,Volume_Inject!$M$38:$Q$38)*$G101/12000000</f>
        <v>0</v>
      </c>
      <c r="AA140" s="665">
        <f>AA$105*SUMIF(Volume_Inject!$M$12:$Q$12,$F$42,Volume_Inject!$M$38:$Q$38)*$G101/12000000</f>
        <v>0</v>
      </c>
      <c r="AB140" s="665">
        <f>AB$105*SUMIF(Volume_Inject!$M$12:$Q$12,$F$42,Volume_Inject!$M$38:$Q$38)*$G101/12000000</f>
        <v>0</v>
      </c>
    </row>
    <row r="141" spans="2:28">
      <c r="B141" s="187"/>
      <c r="C141" s="188"/>
      <c r="D141" s="188"/>
      <c r="E141" s="188"/>
      <c r="F141" s="188"/>
      <c r="G141" s="188"/>
      <c r="H141" s="188"/>
      <c r="I141" s="188"/>
      <c r="J141" s="188"/>
      <c r="K141" s="188"/>
      <c r="L141" s="188"/>
      <c r="M141" s="188"/>
      <c r="N141" s="188"/>
      <c r="O141" s="188"/>
      <c r="P141" s="188"/>
      <c r="Q141" s="188"/>
      <c r="R141" s="188"/>
      <c r="S141" s="188"/>
      <c r="T141" s="188"/>
      <c r="U141" s="188"/>
      <c r="V141" s="188"/>
      <c r="W141" s="188"/>
      <c r="X141" s="188"/>
      <c r="Y141" s="188"/>
      <c r="Z141" s="188"/>
      <c r="AA141" s="188"/>
      <c r="AB141" s="188"/>
    </row>
    <row r="142" spans="2:28" s="463" customFormat="1" ht="21">
      <c r="B142" s="464" t="str">
        <f>Translation!C66</f>
        <v>Analysis of transport and in-country distribution</v>
      </c>
      <c r="C142" s="465"/>
      <c r="D142" s="465"/>
      <c r="E142" s="465"/>
      <c r="F142" s="465"/>
      <c r="G142" s="465"/>
      <c r="H142" s="465"/>
      <c r="I142" s="465"/>
      <c r="J142" s="465"/>
      <c r="K142" s="465"/>
      <c r="L142" s="465"/>
      <c r="M142" s="465"/>
      <c r="N142" s="465"/>
      <c r="O142" s="465"/>
      <c r="P142" s="465"/>
      <c r="Q142" s="465"/>
      <c r="R142" s="465"/>
      <c r="S142" s="465"/>
      <c r="T142" s="465"/>
      <c r="U142" s="465"/>
      <c r="V142" s="465"/>
      <c r="W142" s="465"/>
      <c r="X142" s="465"/>
      <c r="Y142" s="465"/>
      <c r="Z142" s="465"/>
      <c r="AA142" s="465"/>
      <c r="AB142" s="465"/>
    </row>
    <row r="143" spans="2:28" ht="12" outlineLevel="1">
      <c r="B143" s="632"/>
      <c r="C143" s="631"/>
      <c r="D143" s="627"/>
      <c r="E143" s="627"/>
      <c r="F143" s="679" t="str">
        <f>B148</f>
        <v>shipments per year</v>
      </c>
      <c r="G143" s="674"/>
      <c r="H143" s="627"/>
      <c r="I143" s="627"/>
      <c r="J143" s="627"/>
      <c r="K143" s="627"/>
      <c r="L143" s="627"/>
      <c r="M143" s="627"/>
      <c r="N143" s="627"/>
      <c r="O143" s="627"/>
      <c r="P143" s="627"/>
      <c r="Q143" s="627"/>
      <c r="R143" s="627"/>
      <c r="S143" s="627"/>
      <c r="T143" s="627"/>
      <c r="U143" s="627"/>
      <c r="V143" s="627"/>
      <c r="W143" s="627"/>
      <c r="X143" s="627"/>
      <c r="Y143" s="627"/>
      <c r="Z143" s="627"/>
      <c r="AA143" s="627"/>
      <c r="AB143" s="627"/>
    </row>
    <row r="144" spans="2:28" outlineLevel="1">
      <c r="B144" s="632"/>
      <c r="C144" s="631"/>
      <c r="D144" s="627"/>
      <c r="E144" s="627"/>
      <c r="F144" s="627" t="str">
        <f>$F$50</f>
        <v>Vaccines</v>
      </c>
      <c r="G144" s="627" t="str">
        <f>$G$50</f>
        <v>Safe injection equipment</v>
      </c>
      <c r="H144" s="627"/>
      <c r="I144" s="627"/>
      <c r="J144" s="627"/>
      <c r="K144" s="627"/>
      <c r="L144" s="627"/>
      <c r="M144" s="627"/>
      <c r="N144" s="627"/>
      <c r="O144" s="627"/>
      <c r="P144" s="627"/>
      <c r="Q144" s="627"/>
      <c r="R144" s="627"/>
      <c r="S144" s="627"/>
      <c r="T144" s="627"/>
      <c r="U144" s="627"/>
      <c r="V144" s="627"/>
      <c r="W144" s="627"/>
      <c r="X144" s="627"/>
      <c r="Y144" s="627"/>
      <c r="Z144" s="627"/>
      <c r="AA144" s="627"/>
      <c r="AB144" s="627"/>
    </row>
    <row r="145" spans="2:28" ht="13.2" outlineLevel="1">
      <c r="B145" s="628" t="str">
        <f>B51</f>
        <v>Analysis per</v>
      </c>
      <c r="C145" s="824" t="str">
        <f>C51</f>
        <v xml:space="preserve">Unit of Population </v>
      </c>
      <c r="D145" s="825"/>
      <c r="E145" s="627"/>
      <c r="F145" s="626">
        <v>4</v>
      </c>
      <c r="G145" s="626">
        <v>4</v>
      </c>
      <c r="H145" s="627"/>
      <c r="I145" s="627"/>
      <c r="J145" s="627"/>
      <c r="K145" s="627"/>
      <c r="L145" s="627"/>
      <c r="M145" s="627"/>
      <c r="N145" s="627"/>
      <c r="O145" s="627"/>
      <c r="P145" s="627"/>
      <c r="Q145" s="627"/>
      <c r="R145" s="627"/>
      <c r="S145" s="627"/>
      <c r="T145" s="627"/>
      <c r="U145" s="627"/>
      <c r="V145" s="627"/>
      <c r="W145" s="627"/>
      <c r="X145" s="627"/>
      <c r="Y145" s="627"/>
      <c r="Z145" s="627"/>
      <c r="AA145" s="627"/>
      <c r="AB145" s="627"/>
    </row>
    <row r="146" spans="2:28" ht="13.2" outlineLevel="1">
      <c r="B146" s="628" t="str">
        <f>B52</f>
        <v>Total population (minimum)</v>
      </c>
      <c r="C146" s="815">
        <v>1000</v>
      </c>
      <c r="D146" s="816">
        <f>D98</f>
        <v>0</v>
      </c>
      <c r="E146" s="627"/>
      <c r="F146" s="625">
        <v>6</v>
      </c>
      <c r="G146" s="625">
        <v>6</v>
      </c>
      <c r="H146" s="627"/>
      <c r="I146" s="627"/>
      <c r="J146" s="627"/>
      <c r="K146" s="627"/>
      <c r="L146" s="627"/>
      <c r="M146" s="627"/>
      <c r="N146" s="627"/>
      <c r="O146" s="627"/>
      <c r="P146" s="627"/>
      <c r="Q146" s="627"/>
      <c r="R146" s="627"/>
      <c r="S146" s="627"/>
      <c r="T146" s="627"/>
      <c r="U146" s="627"/>
      <c r="V146" s="627"/>
      <c r="W146" s="627"/>
      <c r="X146" s="627"/>
      <c r="Y146" s="627"/>
      <c r="Z146" s="627"/>
      <c r="AA146" s="627"/>
      <c r="AB146" s="627"/>
    </row>
    <row r="147" spans="2:28" ht="13.2" outlineLevel="1">
      <c r="B147" s="628" t="str">
        <f>B53</f>
        <v>Total population (maximum)</v>
      </c>
      <c r="C147" s="815">
        <v>20000</v>
      </c>
      <c r="D147" s="816">
        <f>D99</f>
        <v>0</v>
      </c>
      <c r="E147" s="627"/>
      <c r="F147" s="625">
        <v>12</v>
      </c>
      <c r="G147" s="625">
        <v>12</v>
      </c>
      <c r="H147" s="627"/>
      <c r="I147" s="627"/>
      <c r="J147" s="627"/>
      <c r="K147" s="627"/>
      <c r="L147" s="627"/>
      <c r="M147" s="627"/>
      <c r="N147" s="627"/>
      <c r="O147" s="627"/>
      <c r="P147" s="627"/>
      <c r="Q147" s="627"/>
      <c r="R147" s="627"/>
      <c r="S147" s="627"/>
      <c r="T147" s="627"/>
      <c r="U147" s="627"/>
      <c r="V147" s="627"/>
      <c r="W147" s="627"/>
      <c r="X147" s="627"/>
      <c r="Y147" s="627"/>
      <c r="Z147" s="627"/>
      <c r="AA147" s="627"/>
      <c r="AB147" s="627"/>
    </row>
    <row r="148" spans="2:28" ht="12" customHeight="1" outlineLevel="1">
      <c r="B148" s="610" t="str">
        <f>Translation!C67</f>
        <v>shipments per year</v>
      </c>
      <c r="C148" s="826">
        <v>6</v>
      </c>
      <c r="D148" s="827"/>
      <c r="E148" s="627"/>
      <c r="F148" s="625"/>
      <c r="G148" s="625"/>
      <c r="H148" s="627"/>
      <c r="I148" s="627"/>
      <c r="J148" s="627"/>
      <c r="K148" s="627"/>
      <c r="L148" s="627"/>
      <c r="M148" s="627"/>
      <c r="N148" s="627"/>
      <c r="O148" s="627"/>
      <c r="P148" s="627"/>
      <c r="Q148" s="627"/>
      <c r="R148" s="627"/>
      <c r="S148" s="627"/>
      <c r="T148" s="627"/>
      <c r="U148" s="627"/>
      <c r="V148" s="627"/>
      <c r="W148" s="627"/>
      <c r="X148" s="627"/>
      <c r="Y148" s="627"/>
      <c r="Z148" s="627"/>
      <c r="AA148" s="627"/>
      <c r="AB148" s="627"/>
    </row>
    <row r="149" spans="2:28" hidden="1" outlineLevel="1">
      <c r="B149" s="628"/>
      <c r="C149" s="687">
        <f>(C147-C146)/25</f>
        <v>760</v>
      </c>
      <c r="D149" s="687">
        <f>IF(C149=0,0,ROUNDUP(C149,-(ROUND(LOG(C149),1))))</f>
        <v>800</v>
      </c>
      <c r="E149" s="628"/>
      <c r="F149" s="628"/>
      <c r="G149" s="628"/>
      <c r="H149" s="628"/>
      <c r="I149" s="628"/>
      <c r="J149" s="628"/>
      <c r="K149" s="628"/>
      <c r="L149" s="628"/>
      <c r="M149" s="628"/>
      <c r="N149" s="627"/>
      <c r="O149" s="627"/>
      <c r="P149" s="627"/>
      <c r="Q149" s="627"/>
      <c r="R149" s="627"/>
      <c r="S149" s="627"/>
      <c r="T149" s="627"/>
      <c r="U149" s="627"/>
      <c r="V149" s="627"/>
      <c r="W149" s="627"/>
      <c r="X149" s="627"/>
      <c r="Y149" s="627"/>
      <c r="Z149" s="627"/>
      <c r="AA149" s="627"/>
      <c r="AB149" s="627"/>
    </row>
    <row r="150" spans="2:28" s="548" customFormat="1" ht="5.4" outlineLevel="1">
      <c r="B150" s="666"/>
      <c r="C150" s="666"/>
      <c r="D150" s="666"/>
      <c r="E150" s="666"/>
      <c r="F150" s="666"/>
      <c r="G150" s="666"/>
      <c r="H150" s="666"/>
      <c r="I150" s="666"/>
      <c r="J150" s="666"/>
      <c r="K150" s="666"/>
      <c r="L150" s="666"/>
      <c r="M150" s="666"/>
      <c r="N150" s="666"/>
      <c r="O150" s="666"/>
      <c r="P150" s="666"/>
      <c r="Q150" s="666"/>
      <c r="R150" s="666"/>
      <c r="S150" s="666"/>
      <c r="T150" s="666"/>
      <c r="U150" s="666"/>
      <c r="V150" s="666"/>
      <c r="W150" s="666"/>
      <c r="X150" s="666"/>
      <c r="Y150" s="666"/>
      <c r="Z150" s="666"/>
      <c r="AA150" s="666"/>
      <c r="AB150" s="666"/>
    </row>
    <row r="151" spans="2:28" ht="12" outlineLevel="1">
      <c r="B151" s="629" t="str">
        <f>Translation!C69</f>
        <v>Transport estimate per delivery</v>
      </c>
      <c r="C151" s="627"/>
      <c r="D151" s="631"/>
      <c r="E151" s="631"/>
      <c r="F151" s="783" t="str">
        <f>IF($C$4=target2,Translation!$C$12,Translation!$C$13)</f>
        <v>Total population</v>
      </c>
      <c r="G151" s="631"/>
      <c r="H151" s="631"/>
      <c r="I151" s="631"/>
      <c r="J151" s="631"/>
      <c r="K151" s="631"/>
      <c r="L151" s="631"/>
      <c r="M151" s="631"/>
      <c r="N151" s="631"/>
      <c r="O151" s="631"/>
      <c r="P151" s="631"/>
      <c r="Q151" s="631"/>
      <c r="R151" s="631"/>
      <c r="S151" s="631"/>
      <c r="T151" s="631"/>
      <c r="U151" s="631"/>
      <c r="V151" s="631"/>
      <c r="W151" s="631"/>
      <c r="X151" s="631"/>
      <c r="Y151" s="631"/>
      <c r="Z151" s="631"/>
      <c r="AA151" s="631"/>
      <c r="AB151" s="631"/>
    </row>
    <row r="152" spans="2:28" ht="12" customHeight="1" outlineLevel="1">
      <c r="B152" s="593" t="str">
        <f>B11</f>
        <v xml:space="preserve">Total population: </v>
      </c>
      <c r="C152" s="594">
        <f>C146</f>
        <v>1000</v>
      </c>
      <c r="D152" s="594">
        <f>C152+$D$149</f>
        <v>1800</v>
      </c>
      <c r="E152" s="594">
        <f t="shared" ref="E152:AB152" si="36">D152+$D$149</f>
        <v>2600</v>
      </c>
      <c r="F152" s="594">
        <f t="shared" si="36"/>
        <v>3400</v>
      </c>
      <c r="G152" s="594">
        <f t="shared" si="36"/>
        <v>4200</v>
      </c>
      <c r="H152" s="594">
        <f t="shared" si="36"/>
        <v>5000</v>
      </c>
      <c r="I152" s="594">
        <f t="shared" si="36"/>
        <v>5800</v>
      </c>
      <c r="J152" s="594">
        <f t="shared" si="36"/>
        <v>6600</v>
      </c>
      <c r="K152" s="594">
        <f t="shared" si="36"/>
        <v>7400</v>
      </c>
      <c r="L152" s="594">
        <f t="shared" si="36"/>
        <v>8200</v>
      </c>
      <c r="M152" s="594">
        <f t="shared" si="36"/>
        <v>9000</v>
      </c>
      <c r="N152" s="594">
        <f t="shared" si="36"/>
        <v>9800</v>
      </c>
      <c r="O152" s="594">
        <f t="shared" si="36"/>
        <v>10600</v>
      </c>
      <c r="P152" s="594">
        <f t="shared" si="36"/>
        <v>11400</v>
      </c>
      <c r="Q152" s="594">
        <f t="shared" si="36"/>
        <v>12200</v>
      </c>
      <c r="R152" s="594">
        <f t="shared" si="36"/>
        <v>13000</v>
      </c>
      <c r="S152" s="594">
        <f t="shared" si="36"/>
        <v>13800</v>
      </c>
      <c r="T152" s="594">
        <f t="shared" si="36"/>
        <v>14600</v>
      </c>
      <c r="U152" s="594">
        <f t="shared" si="36"/>
        <v>15400</v>
      </c>
      <c r="V152" s="594">
        <f t="shared" si="36"/>
        <v>16200</v>
      </c>
      <c r="W152" s="594">
        <f t="shared" si="36"/>
        <v>17000</v>
      </c>
      <c r="X152" s="594">
        <f t="shared" si="36"/>
        <v>17800</v>
      </c>
      <c r="Y152" s="594">
        <f t="shared" si="36"/>
        <v>18600</v>
      </c>
      <c r="Z152" s="594">
        <f t="shared" si="36"/>
        <v>19400</v>
      </c>
      <c r="AA152" s="594">
        <f t="shared" si="36"/>
        <v>20200</v>
      </c>
      <c r="AB152" s="594">
        <f t="shared" si="36"/>
        <v>21000</v>
      </c>
    </row>
    <row r="153" spans="2:28" ht="12" outlineLevel="1">
      <c r="B153" s="658" t="str">
        <f>Translation!C70</f>
        <v>Total volume of vaccines per delivery (litres)</v>
      </c>
      <c r="C153" s="652"/>
      <c r="D153" s="652"/>
      <c r="E153" s="652"/>
      <c r="F153" s="652"/>
      <c r="G153" s="652"/>
      <c r="H153" s="652"/>
      <c r="I153" s="652"/>
      <c r="J153" s="652"/>
      <c r="K153" s="652"/>
      <c r="L153" s="652"/>
      <c r="M153" s="652"/>
      <c r="N153" s="652"/>
      <c r="O153" s="652"/>
      <c r="P153" s="652"/>
      <c r="Q153" s="652"/>
      <c r="R153" s="652"/>
      <c r="S153" s="652"/>
      <c r="T153" s="652"/>
      <c r="U153" s="652"/>
      <c r="V153" s="652"/>
      <c r="W153" s="652"/>
      <c r="X153" s="652"/>
      <c r="Y153" s="652"/>
      <c r="Z153" s="652"/>
      <c r="AA153" s="652"/>
      <c r="AB153" s="652"/>
    </row>
    <row r="154" spans="2:28" outlineLevel="1">
      <c r="B154" s="633" t="str">
        <f>IF(Vaccine_Selection!$M$16="","",CONCATENATE(Vaccine_Selection!M$16," @ ",$C$148," ",$B$148," ",$D$148))</f>
        <v xml:space="preserve">Current schedule @ 6 shipments per year </v>
      </c>
      <c r="C154" s="634">
        <f>Vaccine_Selection!$M$40*C$152/$C$148/1000</f>
        <v>0.13392356296296296</v>
      </c>
      <c r="D154" s="634">
        <f>Vaccine_Selection!$M$40*D$152/$C$148/1000</f>
        <v>0.24106241333333334</v>
      </c>
      <c r="E154" s="634">
        <f>Vaccine_Selection!$M$40*E$152/$C$148/1000</f>
        <v>0.34820126370370369</v>
      </c>
      <c r="F154" s="634">
        <f>Vaccine_Selection!$M$40*F$152/$C$148/1000</f>
        <v>0.4553401140740741</v>
      </c>
      <c r="G154" s="634">
        <f>Vaccine_Selection!$M$40*G$152/$C$148/1000</f>
        <v>0.56247896444444434</v>
      </c>
      <c r="H154" s="634">
        <f>Vaccine_Selection!$M$40*H$152/$C$148/1000</f>
        <v>0.66961781481481475</v>
      </c>
      <c r="I154" s="634">
        <f>Vaccine_Selection!$M$40*I$152/$C$148/1000</f>
        <v>0.77675666518518516</v>
      </c>
      <c r="J154" s="634">
        <f>Vaccine_Selection!$M$40*J$152/$C$148/1000</f>
        <v>0.88389551555555557</v>
      </c>
      <c r="K154" s="634">
        <f>Vaccine_Selection!$M$40*K$152/$C$148/1000</f>
        <v>0.99103436592592598</v>
      </c>
      <c r="L154" s="634">
        <f>Vaccine_Selection!$M$40*L$152/$C$148/1000</f>
        <v>1.0981732162962965</v>
      </c>
      <c r="M154" s="634">
        <f>Vaccine_Selection!$M$40*M$152/$C$148/1000</f>
        <v>1.2053120666666666</v>
      </c>
      <c r="N154" s="634">
        <f>Vaccine_Selection!$M$40*N$152/$C$148/1000</f>
        <v>1.3124509170370371</v>
      </c>
      <c r="O154" s="634">
        <f>Vaccine_Selection!$M$40*O$152/$C$148/1000</f>
        <v>1.4195897674074074</v>
      </c>
      <c r="P154" s="634">
        <f>Vaccine_Selection!$M$40*P$152/$C$148/1000</f>
        <v>1.5267286177777779</v>
      </c>
      <c r="Q154" s="634">
        <f>Vaccine_Selection!$M$40*Q$152/$C$148/1000</f>
        <v>1.6338674681481482</v>
      </c>
      <c r="R154" s="634">
        <f>Vaccine_Selection!$M$40*R$152/$C$148/1000</f>
        <v>1.7410063185185183</v>
      </c>
      <c r="S154" s="634">
        <f>Vaccine_Selection!$M$40*S$152/$C$148/1000</f>
        <v>1.848145168888889</v>
      </c>
      <c r="T154" s="634">
        <f>Vaccine_Selection!$M$40*T$152/$C$148/1000</f>
        <v>1.9552840192592593</v>
      </c>
      <c r="U154" s="634">
        <f>Vaccine_Selection!$M$40*U$152/$C$148/1000</f>
        <v>2.0624228696296294</v>
      </c>
      <c r="V154" s="634">
        <f>Vaccine_Selection!$M$40*V$152/$C$148/1000</f>
        <v>2.1695617200000004</v>
      </c>
      <c r="W154" s="634">
        <f>Vaccine_Selection!$M$40*W$152/$C$148/1000</f>
        <v>2.2767005703703704</v>
      </c>
      <c r="X154" s="634">
        <f>Vaccine_Selection!$M$40*X$152/$C$148/1000</f>
        <v>2.3838394207407405</v>
      </c>
      <c r="Y154" s="634">
        <f>Vaccine_Selection!$M$40*Y$152/$C$148/1000</f>
        <v>2.490978271111111</v>
      </c>
      <c r="Z154" s="634">
        <f>Vaccine_Selection!$M$40*Z$152/$C$148/1000</f>
        <v>2.5981171214814816</v>
      </c>
      <c r="AA154" s="634">
        <f>Vaccine_Selection!$M$40*AA$152/$C$148/1000</f>
        <v>2.7052559718518521</v>
      </c>
      <c r="AB154" s="634">
        <f>Vaccine_Selection!$M$40*AB$152/$C$148/1000</f>
        <v>2.8123948222222226</v>
      </c>
    </row>
    <row r="155" spans="2:28" outlineLevel="1">
      <c r="B155" s="635" t="str">
        <f>IF(Vaccine_Selection!$N$16="","",CONCATENATE(Vaccine_Selection!N$16," @ ",$C$148," ",$B$148," ",$D$148))</f>
        <v xml:space="preserve">Current schedule with penta 1d @ 6 shipments per year </v>
      </c>
      <c r="C155" s="637">
        <f>Vaccine_Selection!$N$40*C$152/$C$148/1000</f>
        <v>0.26572862962962962</v>
      </c>
      <c r="D155" s="637">
        <f>Vaccine_Selection!$N$40*D$152/$C$148/1000</f>
        <v>0.47831153333333332</v>
      </c>
      <c r="E155" s="637">
        <f>Vaccine_Selection!$N$40*E$152/$C$148/1000</f>
        <v>0.6908944370370369</v>
      </c>
      <c r="F155" s="637">
        <f>Vaccine_Selection!$N$40*F$152/$C$148/1000</f>
        <v>0.90347734074074071</v>
      </c>
      <c r="G155" s="637">
        <f>Vaccine_Selection!$N$40*G$152/$C$148/1000</f>
        <v>1.1160602444444443</v>
      </c>
      <c r="H155" s="637">
        <f>Vaccine_Selection!$N$40*H$152/$C$148/1000</f>
        <v>1.3286431481481482</v>
      </c>
      <c r="I155" s="637">
        <f>Vaccine_Selection!$N$40*I$152/$C$148/1000</f>
        <v>1.5412260518518517</v>
      </c>
      <c r="J155" s="637">
        <f>Vaccine_Selection!$N$40*J$152/$C$148/1000</f>
        <v>1.7538089555555554</v>
      </c>
      <c r="K155" s="637">
        <f>Vaccine_Selection!$N$40*K$152/$C$148/1000</f>
        <v>1.9663918592592593</v>
      </c>
      <c r="L155" s="637">
        <f>Vaccine_Selection!$N$40*L$152/$C$148/1000</f>
        <v>2.1789747629629628</v>
      </c>
      <c r="M155" s="637">
        <f>Vaccine_Selection!$N$40*M$152/$C$148/1000</f>
        <v>2.3915576666666665</v>
      </c>
      <c r="N155" s="637">
        <f>Vaccine_Selection!$N$40*N$152/$C$148/1000</f>
        <v>2.6041405703703702</v>
      </c>
      <c r="O155" s="637">
        <f>Vaccine_Selection!$N$40*O$152/$C$148/1000</f>
        <v>2.8167234740740739</v>
      </c>
      <c r="P155" s="637">
        <f>Vaccine_Selection!$N$40*P$152/$C$148/1000</f>
        <v>3.0293063777777776</v>
      </c>
      <c r="Q155" s="637">
        <f>Vaccine_Selection!$N$40*Q$152/$C$148/1000</f>
        <v>3.2418892814814813</v>
      </c>
      <c r="R155" s="637">
        <f>Vaccine_Selection!$N$40*R$152/$C$148/1000</f>
        <v>3.454472185185185</v>
      </c>
      <c r="S155" s="637">
        <f>Vaccine_Selection!$N$40*S$152/$C$148/1000</f>
        <v>3.6670550888888886</v>
      </c>
      <c r="T155" s="637">
        <f>Vaccine_Selection!$N$40*T$152/$C$148/1000</f>
        <v>3.8796379925925928</v>
      </c>
      <c r="U155" s="637">
        <f>Vaccine_Selection!$N$40*U$152/$C$148/1000</f>
        <v>4.092220896296296</v>
      </c>
      <c r="V155" s="637">
        <f>Vaccine_Selection!$N$40*V$152/$C$148/1000</f>
        <v>4.3048037999999993</v>
      </c>
      <c r="W155" s="637">
        <f>Vaccine_Selection!$N$40*W$152/$C$148/1000</f>
        <v>4.5173867037037034</v>
      </c>
      <c r="X155" s="637">
        <f>Vaccine_Selection!$N$40*X$152/$C$148/1000</f>
        <v>4.7299696074074076</v>
      </c>
      <c r="Y155" s="637">
        <f>Vaccine_Selection!$N$40*Y$152/$C$148/1000</f>
        <v>4.9425525111111108</v>
      </c>
      <c r="Z155" s="637">
        <f>Vaccine_Selection!$N$40*Z$152/$C$148/1000</f>
        <v>5.155135414814815</v>
      </c>
      <c r="AA155" s="637">
        <f>Vaccine_Selection!$N$40*AA$152/$C$148/1000</f>
        <v>5.3677183185185182</v>
      </c>
      <c r="AB155" s="637">
        <f>Vaccine_Selection!$N$40*AB$152/$C$148/1000</f>
        <v>5.5803012222222215</v>
      </c>
    </row>
    <row r="156" spans="2:28" outlineLevel="1">
      <c r="B156" s="635" t="str">
        <f>IF(Vaccine_Selection!$O$16="","",CONCATENATE(Vaccine_Selection!O$16," @ ",$C$148," ",$B$148," ",$D$148))</f>
        <v xml:space="preserve">Current schedule with penta CAD @ 6 shipments per year </v>
      </c>
      <c r="C156" s="637">
        <f>Vaccine_Selection!$O$40*C$152/$C$148/1000</f>
        <v>0.2190902296296296</v>
      </c>
      <c r="D156" s="637">
        <f>Vaccine_Selection!$O$40*D$152/$C$148/1000</f>
        <v>0.39436241333333327</v>
      </c>
      <c r="E156" s="637">
        <f>Vaccine_Selection!$O$40*E$152/$C$148/1000</f>
        <v>0.569634597037037</v>
      </c>
      <c r="F156" s="637">
        <f>Vaccine_Selection!$O$40*F$152/$C$148/1000</f>
        <v>0.74490678074074057</v>
      </c>
      <c r="G156" s="637">
        <f>Vaccine_Selection!$O$40*G$152/$C$148/1000</f>
        <v>0.92017896444444436</v>
      </c>
      <c r="H156" s="637">
        <f>Vaccine_Selection!$O$40*H$152/$C$148/1000</f>
        <v>1.0954511481481479</v>
      </c>
      <c r="I156" s="637">
        <f>Vaccine_Selection!$O$40*I$152/$C$148/1000</f>
        <v>1.2707233318518518</v>
      </c>
      <c r="J156" s="637">
        <f>Vaccine_Selection!$O$40*J$152/$C$148/1000</f>
        <v>1.4459955155555553</v>
      </c>
      <c r="K156" s="637">
        <f>Vaccine_Selection!$O$40*K$152/$C$148/1000</f>
        <v>1.621267699259259</v>
      </c>
      <c r="L156" s="637">
        <f>Vaccine_Selection!$O$40*L$152/$C$148/1000</f>
        <v>1.7965398829629629</v>
      </c>
      <c r="M156" s="637">
        <f>Vaccine_Selection!$O$40*M$152/$C$148/1000</f>
        <v>1.9718120666666663</v>
      </c>
      <c r="N156" s="637">
        <f>Vaccine_Selection!$O$40*N$152/$C$148/1000</f>
        <v>2.1470842503703702</v>
      </c>
      <c r="O156" s="637">
        <f>Vaccine_Selection!$O$40*O$152/$C$148/1000</f>
        <v>2.3223564340740741</v>
      </c>
      <c r="P156" s="637">
        <f>Vaccine_Selection!$O$40*P$152/$C$148/1000</f>
        <v>2.497628617777778</v>
      </c>
      <c r="Q156" s="637">
        <f>Vaccine_Selection!$O$40*Q$152/$C$148/1000</f>
        <v>2.6729008014814815</v>
      </c>
      <c r="R156" s="637">
        <f>Vaccine_Selection!$O$40*R$152/$C$148/1000</f>
        <v>2.8481729851851849</v>
      </c>
      <c r="S156" s="637">
        <f>Vaccine_Selection!$O$40*S$152/$C$148/1000</f>
        <v>3.0234451688888888</v>
      </c>
      <c r="T156" s="637">
        <f>Vaccine_Selection!$O$40*T$152/$C$148/1000</f>
        <v>3.1987173525925923</v>
      </c>
      <c r="U156" s="637">
        <f>Vaccine_Selection!$O$40*U$152/$C$148/1000</f>
        <v>3.3739895362962962</v>
      </c>
      <c r="V156" s="637">
        <f>Vaccine_Selection!$O$40*V$152/$C$148/1000</f>
        <v>3.5492617200000001</v>
      </c>
      <c r="W156" s="637">
        <f>Vaccine_Selection!$O$40*W$152/$C$148/1000</f>
        <v>3.7245339037037035</v>
      </c>
      <c r="X156" s="637">
        <f>Vaccine_Selection!$O$40*X$152/$C$148/1000</f>
        <v>3.899806087407407</v>
      </c>
      <c r="Y156" s="637">
        <f>Vaccine_Selection!$O$40*Y$152/$C$148/1000</f>
        <v>4.0750782711111109</v>
      </c>
      <c r="Z156" s="637">
        <f>Vaccine_Selection!$O$40*Z$152/$C$148/1000</f>
        <v>4.2503504548148152</v>
      </c>
      <c r="AA156" s="637">
        <f>Vaccine_Selection!$O$40*AA$152/$C$148/1000</f>
        <v>4.4256226385185178</v>
      </c>
      <c r="AB156" s="637">
        <f>Vaccine_Selection!$O$40*AB$152/$C$148/1000</f>
        <v>4.6008948222222212</v>
      </c>
    </row>
    <row r="157" spans="2:28" outlineLevel="1">
      <c r="B157" s="635" t="str">
        <f>IF(Vaccine_Selection!$P$16="","",CONCATENATE(Vaccine_Selection!P$16," @ ",$C$148," ",$B$148," ",$D$148))</f>
        <v/>
      </c>
      <c r="C157" s="637">
        <f>Vaccine_Selection!$P$40*C$152/$C$148/1000</f>
        <v>0</v>
      </c>
      <c r="D157" s="637">
        <f>Vaccine_Selection!$P$40*D$152/$C$148/1000</f>
        <v>0</v>
      </c>
      <c r="E157" s="637">
        <f>Vaccine_Selection!$P$40*E$152/$C$148/1000</f>
        <v>0</v>
      </c>
      <c r="F157" s="637">
        <f>Vaccine_Selection!$P$40*F$152/$C$148/1000</f>
        <v>0</v>
      </c>
      <c r="G157" s="637">
        <f>Vaccine_Selection!$P$40*G$152/$C$148/1000</f>
        <v>0</v>
      </c>
      <c r="H157" s="637">
        <f>Vaccine_Selection!$P$40*H$152/$C$148/1000</f>
        <v>0</v>
      </c>
      <c r="I157" s="637">
        <f>Vaccine_Selection!$P$40*I$152/$C$148/1000</f>
        <v>0</v>
      </c>
      <c r="J157" s="637">
        <f>Vaccine_Selection!$P$40*J$152/$C$148/1000</f>
        <v>0</v>
      </c>
      <c r="K157" s="637">
        <f>Vaccine_Selection!$P$40*K$152/$C$148/1000</f>
        <v>0</v>
      </c>
      <c r="L157" s="637">
        <f>Vaccine_Selection!$P$40*L$152/$C$148/1000</f>
        <v>0</v>
      </c>
      <c r="M157" s="637">
        <f>Vaccine_Selection!$P$40*M$152/$C$148/1000</f>
        <v>0</v>
      </c>
      <c r="N157" s="637">
        <f>Vaccine_Selection!$P$40*N$152/$C$148/1000</f>
        <v>0</v>
      </c>
      <c r="O157" s="637">
        <f>Vaccine_Selection!$P$40*O$152/$C$148/1000</f>
        <v>0</v>
      </c>
      <c r="P157" s="637">
        <f>Vaccine_Selection!$P$40*P$152/$C$148/1000</f>
        <v>0</v>
      </c>
      <c r="Q157" s="637">
        <f>Vaccine_Selection!$P$40*Q$152/$C$148/1000</f>
        <v>0</v>
      </c>
      <c r="R157" s="637">
        <f>Vaccine_Selection!$P$40*R$152/$C$148/1000</f>
        <v>0</v>
      </c>
      <c r="S157" s="637">
        <f>Vaccine_Selection!$P$40*S$152/$C$148/1000</f>
        <v>0</v>
      </c>
      <c r="T157" s="637">
        <f>Vaccine_Selection!$P$40*T$152/$C$148/1000</f>
        <v>0</v>
      </c>
      <c r="U157" s="637">
        <f>Vaccine_Selection!$P$40*U$152/$C$148/1000</f>
        <v>0</v>
      </c>
      <c r="V157" s="637">
        <f>Vaccine_Selection!$P$40*V$152/$C$148/1000</f>
        <v>0</v>
      </c>
      <c r="W157" s="637">
        <f>Vaccine_Selection!$P$40*W$152/$C$148/1000</f>
        <v>0</v>
      </c>
      <c r="X157" s="637">
        <f>Vaccine_Selection!$P$40*X$152/$C$148/1000</f>
        <v>0</v>
      </c>
      <c r="Y157" s="637">
        <f>Vaccine_Selection!$P$40*Y$152/$C$148/1000</f>
        <v>0</v>
      </c>
      <c r="Z157" s="637">
        <f>Vaccine_Selection!$P$40*Z$152/$C$148/1000</f>
        <v>0</v>
      </c>
      <c r="AA157" s="637">
        <f>Vaccine_Selection!$P$40*AA$152/$C$148/1000</f>
        <v>0</v>
      </c>
      <c r="AB157" s="637">
        <f>Vaccine_Selection!$P$40*AB$152/$C$148/1000</f>
        <v>0</v>
      </c>
    </row>
    <row r="158" spans="2:28" outlineLevel="1">
      <c r="B158" s="671" t="str">
        <f>IF(Vaccine_Selection!$Q$16="","",CONCATENATE(Vaccine_Selection!Q$16," @ ",$C$148," ",$B$148," ",$D$148))</f>
        <v/>
      </c>
      <c r="C158" s="639">
        <f>Vaccine_Selection!$Q$40*C$152/$C$148/1000</f>
        <v>0</v>
      </c>
      <c r="D158" s="639">
        <f>Vaccine_Selection!$Q$40*D$152/$C$148/1000</f>
        <v>0</v>
      </c>
      <c r="E158" s="639">
        <f>Vaccine_Selection!$Q$40*E$152/$C$148/1000</f>
        <v>0</v>
      </c>
      <c r="F158" s="639">
        <f>Vaccine_Selection!$Q$40*F$152/$C$148/1000</f>
        <v>0</v>
      </c>
      <c r="G158" s="639">
        <f>Vaccine_Selection!$Q$40*G$152/$C$148/1000</f>
        <v>0</v>
      </c>
      <c r="H158" s="639">
        <f>Vaccine_Selection!$Q$40*H$152/$C$148/1000</f>
        <v>0</v>
      </c>
      <c r="I158" s="639">
        <f>Vaccine_Selection!$Q$40*I$152/$C$148/1000</f>
        <v>0</v>
      </c>
      <c r="J158" s="639">
        <f>Vaccine_Selection!$Q$40*J$152/$C$148/1000</f>
        <v>0</v>
      </c>
      <c r="K158" s="639">
        <f>Vaccine_Selection!$Q$40*K$152/$C$148/1000</f>
        <v>0</v>
      </c>
      <c r="L158" s="639">
        <f>Vaccine_Selection!$Q$40*L$152/$C$148/1000</f>
        <v>0</v>
      </c>
      <c r="M158" s="639">
        <f>Vaccine_Selection!$Q$40*M$152/$C$148/1000</f>
        <v>0</v>
      </c>
      <c r="N158" s="639">
        <f>Vaccine_Selection!$Q$40*N$152/$C$148/1000</f>
        <v>0</v>
      </c>
      <c r="O158" s="639">
        <f>Vaccine_Selection!$Q$40*O$152/$C$148/1000</f>
        <v>0</v>
      </c>
      <c r="P158" s="639">
        <f>Vaccine_Selection!$Q$40*P$152/$C$148/1000</f>
        <v>0</v>
      </c>
      <c r="Q158" s="639">
        <f>Vaccine_Selection!$Q$40*Q$152/$C$148/1000</f>
        <v>0</v>
      </c>
      <c r="R158" s="639">
        <f>Vaccine_Selection!$Q$40*R$152/$C$148/1000</f>
        <v>0</v>
      </c>
      <c r="S158" s="639">
        <f>Vaccine_Selection!$Q$40*S$152/$C$148/1000</f>
        <v>0</v>
      </c>
      <c r="T158" s="639">
        <f>Vaccine_Selection!$Q$40*T$152/$C$148/1000</f>
        <v>0</v>
      </c>
      <c r="U158" s="639">
        <f>Vaccine_Selection!$Q$40*U$152/$C$148/1000</f>
        <v>0</v>
      </c>
      <c r="V158" s="639">
        <f>Vaccine_Selection!$Q$40*V$152/$C$148/1000</f>
        <v>0</v>
      </c>
      <c r="W158" s="639">
        <f>Vaccine_Selection!$Q$40*W$152/$C$148/1000</f>
        <v>0</v>
      </c>
      <c r="X158" s="639">
        <f>Vaccine_Selection!$Q$40*X$152/$C$148/1000</f>
        <v>0</v>
      </c>
      <c r="Y158" s="639">
        <f>Vaccine_Selection!$Q$40*Y$152/$C$148/1000</f>
        <v>0</v>
      </c>
      <c r="Z158" s="639">
        <f>Vaccine_Selection!$Q$40*Z$152/$C$148/1000</f>
        <v>0</v>
      </c>
      <c r="AA158" s="639">
        <f>Vaccine_Selection!$Q$40*AA$152/$C$148/1000</f>
        <v>0</v>
      </c>
      <c r="AB158" s="639">
        <f>Vaccine_Selection!$Q$40*AB$152/$C$148/1000</f>
        <v>0</v>
      </c>
    </row>
    <row r="159" spans="2:28" ht="12" outlineLevel="1">
      <c r="B159" s="658" t="str">
        <f>Translation!C71</f>
        <v>Estimate of number of passive containers required</v>
      </c>
      <c r="C159" s="652"/>
      <c r="D159" s="652"/>
      <c r="E159" s="652"/>
      <c r="F159" s="652"/>
      <c r="G159" s="652"/>
      <c r="H159" s="652"/>
      <c r="I159" s="652"/>
      <c r="J159" s="652"/>
      <c r="K159" s="652"/>
      <c r="L159" s="652"/>
      <c r="M159" s="652"/>
      <c r="N159" s="652"/>
      <c r="O159" s="652"/>
      <c r="P159" s="652"/>
      <c r="Q159" s="652"/>
      <c r="R159" s="652"/>
      <c r="S159" s="652"/>
      <c r="T159" s="652"/>
      <c r="U159" s="652"/>
      <c r="V159" s="652"/>
      <c r="W159" s="652"/>
      <c r="X159" s="652"/>
      <c r="Y159" s="652"/>
      <c r="Z159" s="652"/>
      <c r="AA159" s="652"/>
      <c r="AB159" s="652"/>
    </row>
    <row r="160" spans="2:28" ht="12" outlineLevel="1">
      <c r="B160" s="662" t="s">
        <v>674</v>
      </c>
      <c r="C160" s="663">
        <f>SUMIF(Passive_contain,$B$160,Supplies!$D$64:$D$71)</f>
        <v>20</v>
      </c>
      <c r="D160" s="663">
        <f t="shared" ref="D160:AB160" si="37">C160</f>
        <v>20</v>
      </c>
      <c r="E160" s="663">
        <f t="shared" si="37"/>
        <v>20</v>
      </c>
      <c r="F160" s="663">
        <f t="shared" si="37"/>
        <v>20</v>
      </c>
      <c r="G160" s="663">
        <f t="shared" si="37"/>
        <v>20</v>
      </c>
      <c r="H160" s="663">
        <f t="shared" si="37"/>
        <v>20</v>
      </c>
      <c r="I160" s="663">
        <f t="shared" si="37"/>
        <v>20</v>
      </c>
      <c r="J160" s="663">
        <f t="shared" si="37"/>
        <v>20</v>
      </c>
      <c r="K160" s="663">
        <f t="shared" si="37"/>
        <v>20</v>
      </c>
      <c r="L160" s="663">
        <f t="shared" si="37"/>
        <v>20</v>
      </c>
      <c r="M160" s="663">
        <f t="shared" si="37"/>
        <v>20</v>
      </c>
      <c r="N160" s="663">
        <f t="shared" si="37"/>
        <v>20</v>
      </c>
      <c r="O160" s="663">
        <f t="shared" si="37"/>
        <v>20</v>
      </c>
      <c r="P160" s="663">
        <f t="shared" si="37"/>
        <v>20</v>
      </c>
      <c r="Q160" s="663">
        <f t="shared" si="37"/>
        <v>20</v>
      </c>
      <c r="R160" s="663">
        <f t="shared" si="37"/>
        <v>20</v>
      </c>
      <c r="S160" s="663">
        <f t="shared" si="37"/>
        <v>20</v>
      </c>
      <c r="T160" s="663">
        <f t="shared" si="37"/>
        <v>20</v>
      </c>
      <c r="U160" s="663">
        <f t="shared" si="37"/>
        <v>20</v>
      </c>
      <c r="V160" s="663">
        <f t="shared" si="37"/>
        <v>20</v>
      </c>
      <c r="W160" s="663">
        <f t="shared" si="37"/>
        <v>20</v>
      </c>
      <c r="X160" s="663">
        <f t="shared" si="37"/>
        <v>20</v>
      </c>
      <c r="Y160" s="663">
        <f t="shared" si="37"/>
        <v>20</v>
      </c>
      <c r="Z160" s="663">
        <f t="shared" si="37"/>
        <v>20</v>
      </c>
      <c r="AA160" s="663">
        <f t="shared" si="37"/>
        <v>20</v>
      </c>
      <c r="AB160" s="663">
        <f t="shared" si="37"/>
        <v>20</v>
      </c>
    </row>
    <row r="161" spans="2:28" outlineLevel="1">
      <c r="B161" s="660" t="str">
        <f>IF(Vaccine_Selection!$M$16="","",CONCATENATE(B154," - ",Abacus_Tables!$B$160))</f>
        <v>Current schedule @ 6 shipments per year  - CB_large</v>
      </c>
      <c r="C161" s="667">
        <f t="shared" ref="C161:AB161" si="38">ROUND(C154/C$160,0)</f>
        <v>0</v>
      </c>
      <c r="D161" s="667">
        <f t="shared" si="38"/>
        <v>0</v>
      </c>
      <c r="E161" s="667">
        <f t="shared" si="38"/>
        <v>0</v>
      </c>
      <c r="F161" s="667">
        <f t="shared" si="38"/>
        <v>0</v>
      </c>
      <c r="G161" s="667">
        <f t="shared" si="38"/>
        <v>0</v>
      </c>
      <c r="H161" s="667">
        <f t="shared" si="38"/>
        <v>0</v>
      </c>
      <c r="I161" s="667">
        <f t="shared" si="38"/>
        <v>0</v>
      </c>
      <c r="J161" s="667">
        <f t="shared" si="38"/>
        <v>0</v>
      </c>
      <c r="K161" s="667">
        <f t="shared" si="38"/>
        <v>0</v>
      </c>
      <c r="L161" s="667">
        <f t="shared" si="38"/>
        <v>0</v>
      </c>
      <c r="M161" s="667">
        <f t="shared" si="38"/>
        <v>0</v>
      </c>
      <c r="N161" s="667">
        <f t="shared" si="38"/>
        <v>0</v>
      </c>
      <c r="O161" s="667">
        <f t="shared" si="38"/>
        <v>0</v>
      </c>
      <c r="P161" s="667">
        <f t="shared" si="38"/>
        <v>0</v>
      </c>
      <c r="Q161" s="667">
        <f t="shared" si="38"/>
        <v>0</v>
      </c>
      <c r="R161" s="667">
        <f t="shared" si="38"/>
        <v>0</v>
      </c>
      <c r="S161" s="667">
        <f t="shared" si="38"/>
        <v>0</v>
      </c>
      <c r="T161" s="667">
        <f t="shared" si="38"/>
        <v>0</v>
      </c>
      <c r="U161" s="667">
        <f t="shared" si="38"/>
        <v>0</v>
      </c>
      <c r="V161" s="667">
        <f t="shared" si="38"/>
        <v>0</v>
      </c>
      <c r="W161" s="667">
        <f t="shared" si="38"/>
        <v>0</v>
      </c>
      <c r="X161" s="667">
        <f t="shared" si="38"/>
        <v>0</v>
      </c>
      <c r="Y161" s="667">
        <f t="shared" si="38"/>
        <v>0</v>
      </c>
      <c r="Z161" s="667">
        <f t="shared" si="38"/>
        <v>0</v>
      </c>
      <c r="AA161" s="667">
        <f t="shared" si="38"/>
        <v>0</v>
      </c>
      <c r="AB161" s="667">
        <f t="shared" si="38"/>
        <v>0</v>
      </c>
    </row>
    <row r="162" spans="2:28" outlineLevel="1">
      <c r="B162" s="660" t="str">
        <f>IF(Vaccine_Selection!$N$16="","",CONCATENATE(B155," - ",Abacus_Tables!$B$160))</f>
        <v>Current schedule with penta 1d @ 6 shipments per year  - CB_large</v>
      </c>
      <c r="C162" s="667">
        <f>ROUND(C155/C$160,0)</f>
        <v>0</v>
      </c>
      <c r="D162" s="667">
        <f t="shared" ref="D162:R162" si="39">ROUND(D155/D$160,0)</f>
        <v>0</v>
      </c>
      <c r="E162" s="667">
        <f t="shared" si="39"/>
        <v>0</v>
      </c>
      <c r="F162" s="667">
        <f t="shared" si="39"/>
        <v>0</v>
      </c>
      <c r="G162" s="667">
        <f t="shared" si="39"/>
        <v>0</v>
      </c>
      <c r="H162" s="667">
        <f t="shared" si="39"/>
        <v>0</v>
      </c>
      <c r="I162" s="667">
        <f t="shared" si="39"/>
        <v>0</v>
      </c>
      <c r="J162" s="667">
        <f t="shared" si="39"/>
        <v>0</v>
      </c>
      <c r="K162" s="667">
        <f t="shared" si="39"/>
        <v>0</v>
      </c>
      <c r="L162" s="667">
        <f t="shared" si="39"/>
        <v>0</v>
      </c>
      <c r="M162" s="667">
        <f t="shared" si="39"/>
        <v>0</v>
      </c>
      <c r="N162" s="667">
        <f t="shared" si="39"/>
        <v>0</v>
      </c>
      <c r="O162" s="667">
        <f t="shared" si="39"/>
        <v>0</v>
      </c>
      <c r="P162" s="667">
        <f t="shared" si="39"/>
        <v>0</v>
      </c>
      <c r="Q162" s="667">
        <f t="shared" si="39"/>
        <v>0</v>
      </c>
      <c r="R162" s="667">
        <f t="shared" si="39"/>
        <v>0</v>
      </c>
      <c r="S162" s="667">
        <f t="shared" ref="S162:AB162" si="40">ROUND(S155/S$160,0)</f>
        <v>0</v>
      </c>
      <c r="T162" s="667">
        <f t="shared" si="40"/>
        <v>0</v>
      </c>
      <c r="U162" s="667">
        <f t="shared" si="40"/>
        <v>0</v>
      </c>
      <c r="V162" s="667">
        <f t="shared" si="40"/>
        <v>0</v>
      </c>
      <c r="W162" s="667">
        <f t="shared" si="40"/>
        <v>0</v>
      </c>
      <c r="X162" s="667">
        <f t="shared" si="40"/>
        <v>0</v>
      </c>
      <c r="Y162" s="667">
        <f t="shared" si="40"/>
        <v>0</v>
      </c>
      <c r="Z162" s="667">
        <f t="shared" si="40"/>
        <v>0</v>
      </c>
      <c r="AA162" s="667">
        <f t="shared" si="40"/>
        <v>0</v>
      </c>
      <c r="AB162" s="667">
        <f t="shared" si="40"/>
        <v>0</v>
      </c>
    </row>
    <row r="163" spans="2:28" outlineLevel="1">
      <c r="B163" s="660" t="str">
        <f>IF(Vaccine_Selection!$O$16="","",CONCATENATE(B156," - ",Abacus_Tables!$B$160))</f>
        <v>Current schedule with penta CAD @ 6 shipments per year  - CB_large</v>
      </c>
      <c r="C163" s="667">
        <f>ROUND(C156/C$160,0)</f>
        <v>0</v>
      </c>
      <c r="D163" s="667">
        <f t="shared" ref="D163:R163" si="41">ROUND(D156/D$160,0)</f>
        <v>0</v>
      </c>
      <c r="E163" s="667">
        <f t="shared" si="41"/>
        <v>0</v>
      </c>
      <c r="F163" s="667">
        <f t="shared" si="41"/>
        <v>0</v>
      </c>
      <c r="G163" s="667">
        <f t="shared" si="41"/>
        <v>0</v>
      </c>
      <c r="H163" s="667">
        <f t="shared" si="41"/>
        <v>0</v>
      </c>
      <c r="I163" s="667">
        <f t="shared" si="41"/>
        <v>0</v>
      </c>
      <c r="J163" s="667">
        <f t="shared" si="41"/>
        <v>0</v>
      </c>
      <c r="K163" s="667">
        <f t="shared" si="41"/>
        <v>0</v>
      </c>
      <c r="L163" s="667">
        <f t="shared" si="41"/>
        <v>0</v>
      </c>
      <c r="M163" s="667">
        <f t="shared" si="41"/>
        <v>0</v>
      </c>
      <c r="N163" s="667">
        <f t="shared" si="41"/>
        <v>0</v>
      </c>
      <c r="O163" s="667">
        <f t="shared" si="41"/>
        <v>0</v>
      </c>
      <c r="P163" s="667">
        <f t="shared" si="41"/>
        <v>0</v>
      </c>
      <c r="Q163" s="667">
        <f t="shared" si="41"/>
        <v>0</v>
      </c>
      <c r="R163" s="667">
        <f t="shared" si="41"/>
        <v>0</v>
      </c>
      <c r="S163" s="667">
        <f t="shared" ref="S163:AB163" si="42">ROUND(S156/S$160,0)</f>
        <v>0</v>
      </c>
      <c r="T163" s="667">
        <f t="shared" si="42"/>
        <v>0</v>
      </c>
      <c r="U163" s="667">
        <f t="shared" si="42"/>
        <v>0</v>
      </c>
      <c r="V163" s="667">
        <f t="shared" si="42"/>
        <v>0</v>
      </c>
      <c r="W163" s="667">
        <f t="shared" si="42"/>
        <v>0</v>
      </c>
      <c r="X163" s="667">
        <f t="shared" si="42"/>
        <v>0</v>
      </c>
      <c r="Y163" s="667">
        <f t="shared" si="42"/>
        <v>0</v>
      </c>
      <c r="Z163" s="667">
        <f t="shared" si="42"/>
        <v>0</v>
      </c>
      <c r="AA163" s="667">
        <f t="shared" si="42"/>
        <v>0</v>
      </c>
      <c r="AB163" s="667">
        <f t="shared" si="42"/>
        <v>0</v>
      </c>
    </row>
    <row r="164" spans="2:28" outlineLevel="1">
      <c r="B164" s="660" t="str">
        <f>IF(Vaccine_Selection!$P$16="","",CONCATENATE(B157," - ",Abacus_Tables!$B$160))</f>
        <v/>
      </c>
      <c r="C164" s="667">
        <f>ROUND(C157/C$160,0)</f>
        <v>0</v>
      </c>
      <c r="D164" s="667">
        <f t="shared" ref="D164:R164" si="43">ROUND(D157/D$160,0)</f>
        <v>0</v>
      </c>
      <c r="E164" s="667">
        <f t="shared" si="43"/>
        <v>0</v>
      </c>
      <c r="F164" s="667">
        <f t="shared" si="43"/>
        <v>0</v>
      </c>
      <c r="G164" s="667">
        <f t="shared" si="43"/>
        <v>0</v>
      </c>
      <c r="H164" s="667">
        <f t="shared" si="43"/>
        <v>0</v>
      </c>
      <c r="I164" s="667">
        <f t="shared" si="43"/>
        <v>0</v>
      </c>
      <c r="J164" s="667">
        <f t="shared" si="43"/>
        <v>0</v>
      </c>
      <c r="K164" s="667">
        <f t="shared" si="43"/>
        <v>0</v>
      </c>
      <c r="L164" s="667">
        <f t="shared" si="43"/>
        <v>0</v>
      </c>
      <c r="M164" s="667">
        <f t="shared" si="43"/>
        <v>0</v>
      </c>
      <c r="N164" s="667">
        <f t="shared" si="43"/>
        <v>0</v>
      </c>
      <c r="O164" s="667">
        <f t="shared" si="43"/>
        <v>0</v>
      </c>
      <c r="P164" s="667">
        <f t="shared" si="43"/>
        <v>0</v>
      </c>
      <c r="Q164" s="667">
        <f t="shared" si="43"/>
        <v>0</v>
      </c>
      <c r="R164" s="667">
        <f t="shared" si="43"/>
        <v>0</v>
      </c>
      <c r="S164" s="667">
        <f t="shared" ref="S164:AB164" si="44">ROUND(S157/S$160,0)</f>
        <v>0</v>
      </c>
      <c r="T164" s="667">
        <f t="shared" si="44"/>
        <v>0</v>
      </c>
      <c r="U164" s="667">
        <f t="shared" si="44"/>
        <v>0</v>
      </c>
      <c r="V164" s="667">
        <f t="shared" si="44"/>
        <v>0</v>
      </c>
      <c r="W164" s="667">
        <f t="shared" si="44"/>
        <v>0</v>
      </c>
      <c r="X164" s="667">
        <f t="shared" si="44"/>
        <v>0</v>
      </c>
      <c r="Y164" s="667">
        <f t="shared" si="44"/>
        <v>0</v>
      </c>
      <c r="Z164" s="667">
        <f t="shared" si="44"/>
        <v>0</v>
      </c>
      <c r="AA164" s="667">
        <f t="shared" si="44"/>
        <v>0</v>
      </c>
      <c r="AB164" s="667">
        <f t="shared" si="44"/>
        <v>0</v>
      </c>
    </row>
    <row r="165" spans="2:28" outlineLevel="1">
      <c r="B165" s="660" t="str">
        <f>IF(Vaccine_Selection!$Q$16="","",CONCATENATE(B158," - ",Abacus_Tables!$B$160))</f>
        <v/>
      </c>
      <c r="C165" s="668">
        <f>ROUND(C158/C$160,0)</f>
        <v>0</v>
      </c>
      <c r="D165" s="668">
        <f t="shared" ref="D165:R165" si="45">ROUND(D158/D$160,0)</f>
        <v>0</v>
      </c>
      <c r="E165" s="668">
        <f t="shared" si="45"/>
        <v>0</v>
      </c>
      <c r="F165" s="668">
        <f t="shared" si="45"/>
        <v>0</v>
      </c>
      <c r="G165" s="668">
        <f t="shared" si="45"/>
        <v>0</v>
      </c>
      <c r="H165" s="668">
        <f t="shared" si="45"/>
        <v>0</v>
      </c>
      <c r="I165" s="668">
        <f t="shared" si="45"/>
        <v>0</v>
      </c>
      <c r="J165" s="668">
        <f t="shared" si="45"/>
        <v>0</v>
      </c>
      <c r="K165" s="668">
        <f t="shared" si="45"/>
        <v>0</v>
      </c>
      <c r="L165" s="668">
        <f t="shared" si="45"/>
        <v>0</v>
      </c>
      <c r="M165" s="668">
        <f t="shared" si="45"/>
        <v>0</v>
      </c>
      <c r="N165" s="668">
        <f t="shared" si="45"/>
        <v>0</v>
      </c>
      <c r="O165" s="668">
        <f t="shared" si="45"/>
        <v>0</v>
      </c>
      <c r="P165" s="668">
        <f t="shared" si="45"/>
        <v>0</v>
      </c>
      <c r="Q165" s="668">
        <f t="shared" si="45"/>
        <v>0</v>
      </c>
      <c r="R165" s="668">
        <f t="shared" si="45"/>
        <v>0</v>
      </c>
      <c r="S165" s="668">
        <f t="shared" ref="S165:AB165" si="46">ROUND(S158/S$160,0)</f>
        <v>0</v>
      </c>
      <c r="T165" s="668">
        <f t="shared" si="46"/>
        <v>0</v>
      </c>
      <c r="U165" s="668">
        <f t="shared" si="46"/>
        <v>0</v>
      </c>
      <c r="V165" s="668">
        <f t="shared" si="46"/>
        <v>0</v>
      </c>
      <c r="W165" s="668">
        <f t="shared" si="46"/>
        <v>0</v>
      </c>
      <c r="X165" s="668">
        <f t="shared" si="46"/>
        <v>0</v>
      </c>
      <c r="Y165" s="668">
        <f t="shared" si="46"/>
        <v>0</v>
      </c>
      <c r="Z165" s="668">
        <f t="shared" si="46"/>
        <v>0</v>
      </c>
      <c r="AA165" s="668">
        <f t="shared" si="46"/>
        <v>0</v>
      </c>
      <c r="AB165" s="668">
        <f t="shared" si="46"/>
        <v>0</v>
      </c>
    </row>
    <row r="166" spans="2:28" ht="12" outlineLevel="1">
      <c r="B166" s="658" t="str">
        <f>Translation!C72</f>
        <v>Total volume of safe injection equipment per delivery (m³)</v>
      </c>
      <c r="C166" s="652"/>
      <c r="D166" s="652"/>
      <c r="E166" s="652"/>
      <c r="F166" s="652"/>
      <c r="G166" s="652"/>
      <c r="H166" s="652"/>
      <c r="I166" s="652"/>
      <c r="J166" s="652"/>
      <c r="K166" s="652"/>
      <c r="L166" s="652"/>
      <c r="M166" s="652"/>
      <c r="N166" s="652"/>
      <c r="O166" s="652"/>
      <c r="P166" s="652"/>
      <c r="Q166" s="652"/>
      <c r="R166" s="652"/>
      <c r="S166" s="652"/>
      <c r="T166" s="652"/>
      <c r="U166" s="652"/>
      <c r="V166" s="652"/>
      <c r="W166" s="652"/>
      <c r="X166" s="652"/>
      <c r="Y166" s="652"/>
      <c r="Z166" s="652"/>
      <c r="AA166" s="652"/>
      <c r="AB166" s="652"/>
    </row>
    <row r="167" spans="2:28" outlineLevel="1">
      <c r="B167" s="635" t="str">
        <f>B154</f>
        <v xml:space="preserve">Current schedule @ 6 shipments per year </v>
      </c>
      <c r="C167" s="664">
        <f>Volume_Inject!$M$38/1000000*C$152/$C$148</f>
        <v>1.9061429416666663E-3</v>
      </c>
      <c r="D167" s="664">
        <f>Volume_Inject!$M$38/1000000*D$152/$C$148</f>
        <v>3.4310572949999996E-3</v>
      </c>
      <c r="E167" s="664">
        <f>Volume_Inject!$M$38/1000000*E$152/$C$148</f>
        <v>4.9559716483333323E-3</v>
      </c>
      <c r="F167" s="664">
        <f>Volume_Inject!$M$38/1000000*F$152/$C$148</f>
        <v>6.4808860016666659E-3</v>
      </c>
      <c r="G167" s="664">
        <f>Volume_Inject!$M$38/1000000*G$152/$C$148</f>
        <v>8.0058003549999986E-3</v>
      </c>
      <c r="H167" s="664">
        <f>Volume_Inject!$M$38/1000000*H$152/$C$148</f>
        <v>9.5307147083333321E-3</v>
      </c>
      <c r="I167" s="664">
        <f>Volume_Inject!$M$38/1000000*I$152/$C$148</f>
        <v>1.1055629061666664E-2</v>
      </c>
      <c r="J167" s="664">
        <f>Volume_Inject!$M$38/1000000*J$152/$C$148</f>
        <v>1.2580543414999999E-2</v>
      </c>
      <c r="K167" s="664">
        <f>Volume_Inject!$M$38/1000000*K$152/$C$148</f>
        <v>1.4105457768333331E-2</v>
      </c>
      <c r="L167" s="664">
        <f>Volume_Inject!$M$38/1000000*L$152/$C$148</f>
        <v>1.5630372121666663E-2</v>
      </c>
      <c r="M167" s="664">
        <f>Volume_Inject!$M$38/1000000*M$152/$C$148</f>
        <v>1.7155286474999996E-2</v>
      </c>
      <c r="N167" s="664">
        <f>Volume_Inject!$M$38/1000000*N$152/$C$148</f>
        <v>1.868020082833333E-2</v>
      </c>
      <c r="O167" s="664">
        <f>Volume_Inject!$M$38/1000000*O$152/$C$148</f>
        <v>2.0205115181666664E-2</v>
      </c>
      <c r="P167" s="664">
        <f>Volume_Inject!$M$38/1000000*P$152/$C$148</f>
        <v>2.1730029534999997E-2</v>
      </c>
      <c r="Q167" s="664">
        <f>Volume_Inject!$M$38/1000000*Q$152/$C$148</f>
        <v>2.3254943888333327E-2</v>
      </c>
      <c r="R167" s="664">
        <f>Volume_Inject!$M$38/1000000*R$152/$C$148</f>
        <v>2.4779858241666664E-2</v>
      </c>
      <c r="S167" s="664">
        <f>Volume_Inject!$M$38/1000000*S$152/$C$148</f>
        <v>2.6304772594999998E-2</v>
      </c>
      <c r="T167" s="664">
        <f>Volume_Inject!$M$38/1000000*T$152/$C$148</f>
        <v>2.7829686948333331E-2</v>
      </c>
      <c r="U167" s="664">
        <f>Volume_Inject!$M$38/1000000*U$152/$C$148</f>
        <v>2.9354601301666661E-2</v>
      </c>
      <c r="V167" s="664">
        <f>Volume_Inject!$M$38/1000000*V$152/$C$148</f>
        <v>3.0879515654999995E-2</v>
      </c>
      <c r="W167" s="664">
        <f>Volume_Inject!$M$38/1000000*W$152/$C$148</f>
        <v>3.2404430008333325E-2</v>
      </c>
      <c r="X167" s="664">
        <f>Volume_Inject!$M$38/1000000*X$152/$C$148</f>
        <v>3.3929344361666662E-2</v>
      </c>
      <c r="Y167" s="664">
        <f>Volume_Inject!$M$38/1000000*Y$152/$C$148</f>
        <v>3.5454258714999999E-2</v>
      </c>
      <c r="Z167" s="664">
        <f>Volume_Inject!$M$38/1000000*Z$152/$C$148</f>
        <v>3.6979173068333329E-2</v>
      </c>
      <c r="AA167" s="664">
        <f>Volume_Inject!$M$38/1000000*AA$152/$C$148</f>
        <v>3.8504087421666659E-2</v>
      </c>
      <c r="AB167" s="664">
        <f>Volume_Inject!$M$38/1000000*AB$152/$C$148</f>
        <v>4.0029001774999996E-2</v>
      </c>
    </row>
    <row r="168" spans="2:28" outlineLevel="1">
      <c r="B168" s="635" t="str">
        <f>B155</f>
        <v xml:space="preserve">Current schedule with penta 1d @ 6 shipments per year </v>
      </c>
      <c r="C168" s="664">
        <f>Volume_Inject!$N$38/1000000*C$152/$C$148</f>
        <v>1.9061429416666663E-3</v>
      </c>
      <c r="D168" s="664">
        <f>Volume_Inject!$N$38/1000000*D$152/$C$148</f>
        <v>3.4310572949999996E-3</v>
      </c>
      <c r="E168" s="664">
        <f>Volume_Inject!$N$38/1000000*E$152/$C$148</f>
        <v>4.9559716483333323E-3</v>
      </c>
      <c r="F168" s="664">
        <f>Volume_Inject!$N$38/1000000*F$152/$C$148</f>
        <v>6.4808860016666659E-3</v>
      </c>
      <c r="G168" s="664">
        <f>Volume_Inject!$N$38/1000000*G$152/$C$148</f>
        <v>8.0058003549999986E-3</v>
      </c>
      <c r="H168" s="664">
        <f>Volume_Inject!$N$38/1000000*H$152/$C$148</f>
        <v>9.5307147083333321E-3</v>
      </c>
      <c r="I168" s="664">
        <f>Volume_Inject!$N$38/1000000*I$152/$C$148</f>
        <v>1.1055629061666664E-2</v>
      </c>
      <c r="J168" s="664">
        <f>Volume_Inject!$N$38/1000000*J$152/$C$148</f>
        <v>1.2580543414999999E-2</v>
      </c>
      <c r="K168" s="664">
        <f>Volume_Inject!$N$38/1000000*K$152/$C$148</f>
        <v>1.4105457768333331E-2</v>
      </c>
      <c r="L168" s="664">
        <f>Volume_Inject!$N$38/1000000*L$152/$C$148</f>
        <v>1.5630372121666663E-2</v>
      </c>
      <c r="M168" s="664">
        <f>Volume_Inject!$N$38/1000000*M$152/$C$148</f>
        <v>1.7155286474999996E-2</v>
      </c>
      <c r="N168" s="664">
        <f>Volume_Inject!$N$38/1000000*N$152/$C$148</f>
        <v>1.868020082833333E-2</v>
      </c>
      <c r="O168" s="664">
        <f>Volume_Inject!$N$38/1000000*O$152/$C$148</f>
        <v>2.0205115181666664E-2</v>
      </c>
      <c r="P168" s="664">
        <f>Volume_Inject!$N$38/1000000*P$152/$C$148</f>
        <v>2.1730029534999997E-2</v>
      </c>
      <c r="Q168" s="664">
        <f>Volume_Inject!$N$38/1000000*Q$152/$C$148</f>
        <v>2.3254943888333327E-2</v>
      </c>
      <c r="R168" s="664">
        <f>Volume_Inject!$N$38/1000000*R$152/$C$148</f>
        <v>2.4779858241666664E-2</v>
      </c>
      <c r="S168" s="664">
        <f>Volume_Inject!$N$38/1000000*S$152/$C$148</f>
        <v>2.6304772594999998E-2</v>
      </c>
      <c r="T168" s="664">
        <f>Volume_Inject!$N$38/1000000*T$152/$C$148</f>
        <v>2.7829686948333331E-2</v>
      </c>
      <c r="U168" s="664">
        <f>Volume_Inject!$N$38/1000000*U$152/$C$148</f>
        <v>2.9354601301666661E-2</v>
      </c>
      <c r="V168" s="664">
        <f>Volume_Inject!$N$38/1000000*V$152/$C$148</f>
        <v>3.0879515654999995E-2</v>
      </c>
      <c r="W168" s="664">
        <f>Volume_Inject!$N$38/1000000*W$152/$C$148</f>
        <v>3.2404430008333325E-2</v>
      </c>
      <c r="X168" s="664">
        <f>Volume_Inject!$N$38/1000000*X$152/$C$148</f>
        <v>3.3929344361666662E-2</v>
      </c>
      <c r="Y168" s="664">
        <f>Volume_Inject!$N$38/1000000*Y$152/$C$148</f>
        <v>3.5454258714999999E-2</v>
      </c>
      <c r="Z168" s="664">
        <f>Volume_Inject!$N$38/1000000*Z$152/$C$148</f>
        <v>3.6979173068333329E-2</v>
      </c>
      <c r="AA168" s="664">
        <f>Volume_Inject!$N$38/1000000*AA$152/$C$148</f>
        <v>3.8504087421666659E-2</v>
      </c>
      <c r="AB168" s="664">
        <f>Volume_Inject!$N$38/1000000*AB$152/$C$148</f>
        <v>4.0029001774999996E-2</v>
      </c>
    </row>
    <row r="169" spans="2:28" outlineLevel="1">
      <c r="B169" s="635" t="str">
        <f>B156</f>
        <v xml:space="preserve">Current schedule with penta CAD @ 6 shipments per year </v>
      </c>
      <c r="C169" s="664">
        <f>Volume_Inject!$O$38/1000000*C$152/$C$148</f>
        <v>1.3139762749999999E-3</v>
      </c>
      <c r="D169" s="664">
        <f>Volume_Inject!$O$38/1000000*D$152/$C$148</f>
        <v>2.3651572949999994E-3</v>
      </c>
      <c r="E169" s="664">
        <f>Volume_Inject!$O$38/1000000*E$152/$C$148</f>
        <v>3.4163383149999993E-3</v>
      </c>
      <c r="F169" s="664">
        <f>Volume_Inject!$O$38/1000000*F$152/$C$148</f>
        <v>4.4675193349999988E-3</v>
      </c>
      <c r="G169" s="664">
        <f>Volume_Inject!$O$38/1000000*G$152/$C$148</f>
        <v>5.5187003549999995E-3</v>
      </c>
      <c r="H169" s="664">
        <f>Volume_Inject!$O$38/1000000*H$152/$C$148</f>
        <v>6.5698813749999994E-3</v>
      </c>
      <c r="I169" s="664">
        <f>Volume_Inject!$O$38/1000000*I$152/$C$148</f>
        <v>7.6210623949999985E-3</v>
      </c>
      <c r="J169" s="664">
        <f>Volume_Inject!$O$38/1000000*J$152/$C$148</f>
        <v>8.6722434149999975E-3</v>
      </c>
      <c r="K169" s="664">
        <f>Volume_Inject!$O$38/1000000*K$152/$C$148</f>
        <v>9.7234244349999974E-3</v>
      </c>
      <c r="L169" s="664">
        <f>Volume_Inject!$O$38/1000000*L$152/$C$148</f>
        <v>1.0774605454999997E-2</v>
      </c>
      <c r="M169" s="664">
        <f>Volume_Inject!$O$38/1000000*M$152/$C$148</f>
        <v>1.1825786474999997E-2</v>
      </c>
      <c r="N169" s="664">
        <f>Volume_Inject!$O$38/1000000*N$152/$C$148</f>
        <v>1.2876967494999997E-2</v>
      </c>
      <c r="O169" s="664">
        <f>Volume_Inject!$O$38/1000000*O$152/$C$148</f>
        <v>1.3928148514999997E-2</v>
      </c>
      <c r="P169" s="664">
        <f>Volume_Inject!$O$38/1000000*P$152/$C$148</f>
        <v>1.4979329534999997E-2</v>
      </c>
      <c r="Q169" s="664">
        <f>Volume_Inject!$O$38/1000000*Q$152/$C$148</f>
        <v>1.6030510554999999E-2</v>
      </c>
      <c r="R169" s="664">
        <f>Volume_Inject!$O$38/1000000*R$152/$C$148</f>
        <v>1.7081691574999999E-2</v>
      </c>
      <c r="S169" s="664">
        <f>Volume_Inject!$O$38/1000000*S$152/$C$148</f>
        <v>1.8132872594999998E-2</v>
      </c>
      <c r="T169" s="664">
        <f>Volume_Inject!$O$38/1000000*T$152/$C$148</f>
        <v>1.9184053614999998E-2</v>
      </c>
      <c r="U169" s="664">
        <f>Volume_Inject!$O$38/1000000*U$152/$C$148</f>
        <v>2.0235234634999998E-2</v>
      </c>
      <c r="V169" s="664">
        <f>Volume_Inject!$O$38/1000000*V$152/$C$148</f>
        <v>2.1286415654999998E-2</v>
      </c>
      <c r="W169" s="664">
        <f>Volume_Inject!$O$38/1000000*W$152/$C$148</f>
        <v>2.2337596674999998E-2</v>
      </c>
      <c r="X169" s="664">
        <f>Volume_Inject!$O$38/1000000*X$152/$C$148</f>
        <v>2.3388777694999998E-2</v>
      </c>
      <c r="Y169" s="664">
        <f>Volume_Inject!$O$38/1000000*Y$152/$C$148</f>
        <v>2.4439958714999998E-2</v>
      </c>
      <c r="Z169" s="664">
        <f>Volume_Inject!$O$38/1000000*Z$152/$C$148</f>
        <v>2.5491139734999998E-2</v>
      </c>
      <c r="AA169" s="664">
        <f>Volume_Inject!$O$38/1000000*AA$152/$C$148</f>
        <v>2.6542320754999998E-2</v>
      </c>
      <c r="AB169" s="664">
        <f>Volume_Inject!$O$38/1000000*AB$152/$C$148</f>
        <v>2.7593501774999998E-2</v>
      </c>
    </row>
    <row r="170" spans="2:28" outlineLevel="1">
      <c r="B170" s="635" t="str">
        <f>B157</f>
        <v/>
      </c>
      <c r="C170" s="664">
        <f>Volume_Inject!$P$38/1000000*C$152/$C$148</f>
        <v>0</v>
      </c>
      <c r="D170" s="664">
        <f>Volume_Inject!$P$38/1000000*D$152/$C$148</f>
        <v>0</v>
      </c>
      <c r="E170" s="664">
        <f>Volume_Inject!$P$38/1000000*E$152/$C$148</f>
        <v>0</v>
      </c>
      <c r="F170" s="664">
        <f>Volume_Inject!$P$38/1000000*F$152/$C$148</f>
        <v>0</v>
      </c>
      <c r="G170" s="664">
        <f>Volume_Inject!$P$38/1000000*G$152/$C$148</f>
        <v>0</v>
      </c>
      <c r="H170" s="664">
        <f>Volume_Inject!$P$38/1000000*H$152/$C$148</f>
        <v>0</v>
      </c>
      <c r="I170" s="664">
        <f>Volume_Inject!$P$38/1000000*I$152/$C$148</f>
        <v>0</v>
      </c>
      <c r="J170" s="664">
        <f>Volume_Inject!$P$38/1000000*J$152/$C$148</f>
        <v>0</v>
      </c>
      <c r="K170" s="664">
        <f>Volume_Inject!$P$38/1000000*K$152/$C$148</f>
        <v>0</v>
      </c>
      <c r="L170" s="664">
        <f>Volume_Inject!$P$38/1000000*L$152/$C$148</f>
        <v>0</v>
      </c>
      <c r="M170" s="664">
        <f>Volume_Inject!$P$38/1000000*M$152/$C$148</f>
        <v>0</v>
      </c>
      <c r="N170" s="664">
        <f>Volume_Inject!$P$38/1000000*N$152/$C$148</f>
        <v>0</v>
      </c>
      <c r="O170" s="664">
        <f>Volume_Inject!$P$38/1000000*O$152/$C$148</f>
        <v>0</v>
      </c>
      <c r="P170" s="664">
        <f>Volume_Inject!$P$38/1000000*P$152/$C$148</f>
        <v>0</v>
      </c>
      <c r="Q170" s="664">
        <f>Volume_Inject!$P$38/1000000*Q$152/$C$148</f>
        <v>0</v>
      </c>
      <c r="R170" s="664">
        <f>Volume_Inject!$P$38/1000000*R$152/$C$148</f>
        <v>0</v>
      </c>
      <c r="S170" s="664">
        <f>Volume_Inject!$P$38/1000000*S$152/$C$148</f>
        <v>0</v>
      </c>
      <c r="T170" s="664">
        <f>Volume_Inject!$P$38/1000000*T$152/$C$148</f>
        <v>0</v>
      </c>
      <c r="U170" s="664">
        <f>Volume_Inject!$P$38/1000000*U$152/$C$148</f>
        <v>0</v>
      </c>
      <c r="V170" s="664">
        <f>Volume_Inject!$P$38/1000000*V$152/$C$148</f>
        <v>0</v>
      </c>
      <c r="W170" s="664">
        <f>Volume_Inject!$P$38/1000000*W$152/$C$148</f>
        <v>0</v>
      </c>
      <c r="X170" s="664">
        <f>Volume_Inject!$P$38/1000000*X$152/$C$148</f>
        <v>0</v>
      </c>
      <c r="Y170" s="664">
        <f>Volume_Inject!$P$38/1000000*Y$152/$C$148</f>
        <v>0</v>
      </c>
      <c r="Z170" s="664">
        <f>Volume_Inject!$P$38/1000000*Z$152/$C$148</f>
        <v>0</v>
      </c>
      <c r="AA170" s="664">
        <f>Volume_Inject!$P$38/1000000*AA$152/$C$148</f>
        <v>0</v>
      </c>
      <c r="AB170" s="664">
        <f>Volume_Inject!$P$38/1000000*AB$152/$C$148</f>
        <v>0</v>
      </c>
    </row>
    <row r="171" spans="2:28" outlineLevel="1">
      <c r="B171" s="648" t="str">
        <f>B158</f>
        <v/>
      </c>
      <c r="C171" s="664">
        <f>Volume_Inject!$Q$38/1000000*C$152/$C$148</f>
        <v>0</v>
      </c>
      <c r="D171" s="664">
        <f>Volume_Inject!$Q$38/1000000*D$152/$C$148</f>
        <v>0</v>
      </c>
      <c r="E171" s="664">
        <f>Volume_Inject!$Q$38/1000000*E$152/$C$148</f>
        <v>0</v>
      </c>
      <c r="F171" s="664">
        <f>Volume_Inject!$Q$38/1000000*F$152/$C$148</f>
        <v>0</v>
      </c>
      <c r="G171" s="664">
        <f>Volume_Inject!$Q$38/1000000*G$152/$C$148</f>
        <v>0</v>
      </c>
      <c r="H171" s="664">
        <f>Volume_Inject!$Q$38/1000000*H$152/$C$148</f>
        <v>0</v>
      </c>
      <c r="I171" s="664">
        <f>Volume_Inject!$Q$38/1000000*I$152/$C$148</f>
        <v>0</v>
      </c>
      <c r="J171" s="664">
        <f>Volume_Inject!$Q$38/1000000*J$152/$C$148</f>
        <v>0</v>
      </c>
      <c r="K171" s="664">
        <f>Volume_Inject!$Q$38/1000000*K$152/$C$148</f>
        <v>0</v>
      </c>
      <c r="L171" s="664">
        <f>Volume_Inject!$Q$38/1000000*L$152/$C$148</f>
        <v>0</v>
      </c>
      <c r="M171" s="664">
        <f>Volume_Inject!$Q$38/1000000*M$152/$C$148</f>
        <v>0</v>
      </c>
      <c r="N171" s="664">
        <f>Volume_Inject!$Q$38/1000000*N$152/$C$148</f>
        <v>0</v>
      </c>
      <c r="O171" s="664">
        <f>Volume_Inject!$Q$38/1000000*O$152/$C$148</f>
        <v>0</v>
      </c>
      <c r="P171" s="664">
        <f>Volume_Inject!$Q$38/1000000*P$152/$C$148</f>
        <v>0</v>
      </c>
      <c r="Q171" s="664">
        <f>Volume_Inject!$Q$38/1000000*Q$152/$C$148</f>
        <v>0</v>
      </c>
      <c r="R171" s="664">
        <f>Volume_Inject!$Q$38/1000000*R$152/$C$148</f>
        <v>0</v>
      </c>
      <c r="S171" s="664">
        <f>Volume_Inject!$Q$38/1000000*S$152/$C$148</f>
        <v>0</v>
      </c>
      <c r="T171" s="664">
        <f>Volume_Inject!$Q$38/1000000*T$152/$C$148</f>
        <v>0</v>
      </c>
      <c r="U171" s="664">
        <f>Volume_Inject!$Q$38/1000000*U$152/$C$148</f>
        <v>0</v>
      </c>
      <c r="V171" s="664">
        <f>Volume_Inject!$Q$38/1000000*V$152/$C$148</f>
        <v>0</v>
      </c>
      <c r="W171" s="664">
        <f>Volume_Inject!$Q$38/1000000*W$152/$C$148</f>
        <v>0</v>
      </c>
      <c r="X171" s="664">
        <f>Volume_Inject!$Q$38/1000000*X$152/$C$148</f>
        <v>0</v>
      </c>
      <c r="Y171" s="664">
        <f>Volume_Inject!$Q$38/1000000*Y$152/$C$148</f>
        <v>0</v>
      </c>
      <c r="Z171" s="664">
        <f>Volume_Inject!$Q$38/1000000*Z$152/$C$148</f>
        <v>0</v>
      </c>
      <c r="AA171" s="664">
        <f>Volume_Inject!$Q$38/1000000*AA$152/$C$148</f>
        <v>0</v>
      </c>
      <c r="AB171" s="664">
        <f>Volume_Inject!$Q$38/1000000*AB$152/$C$148</f>
        <v>0</v>
      </c>
    </row>
    <row r="172" spans="2:28" ht="13.2" outlineLevel="1">
      <c r="B172" s="658" t="str">
        <f>B153</f>
        <v>Total volume of vaccines per delivery (litres)</v>
      </c>
      <c r="C172" s="652"/>
      <c r="D172" s="652"/>
      <c r="E172" s="653" t="str">
        <f>Translation!C45</f>
        <v>Select schedule</v>
      </c>
      <c r="F172" s="811" t="s">
        <v>1854</v>
      </c>
      <c r="G172" s="810"/>
      <c r="H172" s="652"/>
      <c r="I172" s="652"/>
      <c r="J172" s="652"/>
      <c r="K172" s="652"/>
      <c r="L172" s="652"/>
      <c r="M172" s="652"/>
      <c r="N172" s="652"/>
      <c r="O172" s="652"/>
      <c r="P172" s="652"/>
      <c r="Q172" s="652"/>
      <c r="R172" s="652"/>
      <c r="S172" s="652"/>
      <c r="T172" s="652"/>
      <c r="U172" s="652"/>
      <c r="V172" s="652"/>
      <c r="W172" s="652"/>
      <c r="X172" s="652"/>
      <c r="Y172" s="652"/>
      <c r="Z172" s="652"/>
      <c r="AA172" s="652"/>
      <c r="AB172" s="652"/>
    </row>
    <row r="173" spans="2:28" outlineLevel="1">
      <c r="B173" s="660" t="str">
        <f>IF(F145="","",CONCATENATE($F$172," @ ",$F145," ",$F$143," ",$D$148))</f>
        <v xml:space="preserve">Current schedule @ 4 shipments per year </v>
      </c>
      <c r="C173" s="637">
        <f>IF($F145=0,0,SUMIF(Schedule,$F$172,Vaccine_Selection!$M$40:$Q$40)*C$152/$F145/1000)</f>
        <v>0.20088534444444445</v>
      </c>
      <c r="D173" s="637">
        <f>IF($F145=0,0,SUMIF(Schedule,$F$172,Vaccine_Selection!$M$40:$Q$40)*D$152/$F145/1000)</f>
        <v>0.36159362</v>
      </c>
      <c r="E173" s="637">
        <f>IF($F145=0,0,SUMIF(Schedule,$F$172,Vaccine_Selection!$M$40:$Q$40)*E$152/$F145/1000)</f>
        <v>0.52230189555555562</v>
      </c>
      <c r="F173" s="637">
        <f>IF($F145=0,0,SUMIF(Schedule,$F$172,Vaccine_Selection!$M$40:$Q$40)*F$152/$F145/1000)</f>
        <v>0.68301017111111118</v>
      </c>
      <c r="G173" s="637">
        <f>IF($F145=0,0,SUMIF(Schedule,$F$172,Vaccine_Selection!$M$40:$Q$40)*G$152/$F145/1000)</f>
        <v>0.84371844666666662</v>
      </c>
      <c r="H173" s="637">
        <f>IF($F145=0,0,SUMIF(Schedule,$F$172,Vaccine_Selection!$M$40:$Q$40)*H$152/$F145/1000)</f>
        <v>1.0044267222222223</v>
      </c>
      <c r="I173" s="637">
        <f>IF($F145=0,0,SUMIF(Schedule,$F$172,Vaccine_Selection!$M$40:$Q$40)*I$152/$F145/1000)</f>
        <v>1.1651349977777776</v>
      </c>
      <c r="J173" s="637">
        <f>IF($F145=0,0,SUMIF(Schedule,$F$172,Vaccine_Selection!$M$40:$Q$40)*J$152/$F145/1000)</f>
        <v>1.3258432733333334</v>
      </c>
      <c r="K173" s="637">
        <f>IF($F145=0,0,SUMIF(Schedule,$F$172,Vaccine_Selection!$M$40:$Q$40)*K$152/$F145/1000)</f>
        <v>1.486551548888889</v>
      </c>
      <c r="L173" s="637">
        <f>IF($F145=0,0,SUMIF(Schedule,$F$172,Vaccine_Selection!$M$40:$Q$40)*L$152/$F145/1000)</f>
        <v>1.6472598244444445</v>
      </c>
      <c r="M173" s="637">
        <f>IF($F145=0,0,SUMIF(Schedule,$F$172,Vaccine_Selection!$M$40:$Q$40)*M$152/$F145/1000)</f>
        <v>1.8079681000000001</v>
      </c>
      <c r="N173" s="637">
        <f>IF($F145=0,0,SUMIF(Schedule,$F$172,Vaccine_Selection!$M$40:$Q$40)*N$152/$F145/1000)</f>
        <v>1.9686763755555554</v>
      </c>
      <c r="O173" s="637">
        <f>IF($F145=0,0,SUMIF(Schedule,$F$172,Vaccine_Selection!$M$40:$Q$40)*O$152/$F145/1000)</f>
        <v>2.1293846511111112</v>
      </c>
      <c r="P173" s="637">
        <f>IF($F145=0,0,SUMIF(Schedule,$F$172,Vaccine_Selection!$M$40:$Q$40)*P$152/$F145/1000)</f>
        <v>2.2900929266666665</v>
      </c>
      <c r="Q173" s="637">
        <f>IF($F145=0,0,SUMIF(Schedule,$F$172,Vaccine_Selection!$M$40:$Q$40)*Q$152/$F145/1000)</f>
        <v>2.4508012022222223</v>
      </c>
      <c r="R173" s="637">
        <f>IF($F145=0,0,SUMIF(Schedule,$F$172,Vaccine_Selection!$M$40:$Q$40)*R$152/$F145/1000)</f>
        <v>2.6115094777777776</v>
      </c>
      <c r="S173" s="637">
        <f>IF($F145=0,0,SUMIF(Schedule,$F$172,Vaccine_Selection!$M$40:$Q$40)*S$152/$F145/1000)</f>
        <v>2.7722177533333334</v>
      </c>
      <c r="T173" s="637">
        <f>IF($F145=0,0,SUMIF(Schedule,$F$172,Vaccine_Selection!$M$40:$Q$40)*T$152/$F145/1000)</f>
        <v>2.9329260288888892</v>
      </c>
      <c r="U173" s="637">
        <f>IF($F145=0,0,SUMIF(Schedule,$F$172,Vaccine_Selection!$M$40:$Q$40)*U$152/$F145/1000)</f>
        <v>3.0936343044444441</v>
      </c>
      <c r="V173" s="637">
        <f>IF($F145=0,0,SUMIF(Schedule,$F$172,Vaccine_Selection!$M$40:$Q$40)*V$152/$F145/1000)</f>
        <v>3.2543425799999999</v>
      </c>
      <c r="W173" s="637">
        <f>IF($F145=0,0,SUMIF(Schedule,$F$172,Vaccine_Selection!$M$40:$Q$40)*W$152/$F145/1000)</f>
        <v>3.4150508555555557</v>
      </c>
      <c r="X173" s="637">
        <f>IF($F145=0,0,SUMIF(Schedule,$F$172,Vaccine_Selection!$M$40:$Q$40)*X$152/$F145/1000)</f>
        <v>3.575759131111111</v>
      </c>
      <c r="Y173" s="637">
        <f>IF($F145=0,0,SUMIF(Schedule,$F$172,Vaccine_Selection!$M$40:$Q$40)*Y$152/$F145/1000)</f>
        <v>3.7364674066666668</v>
      </c>
      <c r="Z173" s="637">
        <f>IF($F145=0,0,SUMIF(Schedule,$F$172,Vaccine_Selection!$M$40:$Q$40)*Z$152/$F145/1000)</f>
        <v>3.8971756822222225</v>
      </c>
      <c r="AA173" s="637">
        <f>IF($F145=0,0,SUMIF(Schedule,$F$172,Vaccine_Selection!$M$40:$Q$40)*AA$152/$F145/1000)</f>
        <v>4.0578839577777783</v>
      </c>
      <c r="AB173" s="637">
        <f>IF($F145=0,0,SUMIF(Schedule,$F$172,Vaccine_Selection!$M$40:$Q$40)*AB$152/$F145/1000)</f>
        <v>4.2185922333333341</v>
      </c>
    </row>
    <row r="174" spans="2:28" outlineLevel="1">
      <c r="B174" s="660" t="str">
        <f>IF(F146="","",CONCATENATE($F$172," @ ",$F146," ",$F$143," ",$D$148))</f>
        <v xml:space="preserve">Current schedule @ 6 shipments per year </v>
      </c>
      <c r="C174" s="637">
        <f>IF($F146=0,0,SUMIF(Schedule,$F$172,Vaccine_Selection!$M$40:$Q$40)*C$152/$F146/1000)</f>
        <v>0.13392356296296296</v>
      </c>
      <c r="D174" s="637">
        <f>IF($F146=0,0,SUMIF(Schedule,$F$172,Vaccine_Selection!$M$40:$Q$40)*D$152/$F146/1000)</f>
        <v>0.24106241333333334</v>
      </c>
      <c r="E174" s="637">
        <f>IF($F146=0,0,SUMIF(Schedule,$F$172,Vaccine_Selection!$M$40:$Q$40)*E$152/$F146/1000)</f>
        <v>0.34820126370370369</v>
      </c>
      <c r="F174" s="637">
        <f>IF($F146=0,0,SUMIF(Schedule,$F$172,Vaccine_Selection!$M$40:$Q$40)*F$152/$F146/1000)</f>
        <v>0.4553401140740741</v>
      </c>
      <c r="G174" s="637">
        <f>IF($F146=0,0,SUMIF(Schedule,$F$172,Vaccine_Selection!$M$40:$Q$40)*G$152/$F146/1000)</f>
        <v>0.56247896444444434</v>
      </c>
      <c r="H174" s="637">
        <f>IF($F146=0,0,SUMIF(Schedule,$F$172,Vaccine_Selection!$M$40:$Q$40)*H$152/$F146/1000)</f>
        <v>0.66961781481481475</v>
      </c>
      <c r="I174" s="637">
        <f>IF($F146=0,0,SUMIF(Schedule,$F$172,Vaccine_Selection!$M$40:$Q$40)*I$152/$F146/1000)</f>
        <v>0.77675666518518516</v>
      </c>
      <c r="J174" s="637">
        <f>IF($F146=0,0,SUMIF(Schedule,$F$172,Vaccine_Selection!$M$40:$Q$40)*J$152/$F146/1000)</f>
        <v>0.88389551555555557</v>
      </c>
      <c r="K174" s="637">
        <f>IF($F146=0,0,SUMIF(Schedule,$F$172,Vaccine_Selection!$M$40:$Q$40)*K$152/$F146/1000)</f>
        <v>0.99103436592592598</v>
      </c>
      <c r="L174" s="637">
        <f>IF($F146=0,0,SUMIF(Schedule,$F$172,Vaccine_Selection!$M$40:$Q$40)*L$152/$F146/1000)</f>
        <v>1.0981732162962965</v>
      </c>
      <c r="M174" s="637">
        <f>IF($F146=0,0,SUMIF(Schedule,$F$172,Vaccine_Selection!$M$40:$Q$40)*M$152/$F146/1000)</f>
        <v>1.2053120666666666</v>
      </c>
      <c r="N174" s="637">
        <f>IF($F146=0,0,SUMIF(Schedule,$F$172,Vaccine_Selection!$M$40:$Q$40)*N$152/$F146/1000)</f>
        <v>1.3124509170370371</v>
      </c>
      <c r="O174" s="637">
        <f>IF($F146=0,0,SUMIF(Schedule,$F$172,Vaccine_Selection!$M$40:$Q$40)*O$152/$F146/1000)</f>
        <v>1.4195897674074074</v>
      </c>
      <c r="P174" s="637">
        <f>IF($F146=0,0,SUMIF(Schedule,$F$172,Vaccine_Selection!$M$40:$Q$40)*P$152/$F146/1000)</f>
        <v>1.5267286177777779</v>
      </c>
      <c r="Q174" s="637">
        <f>IF($F146=0,0,SUMIF(Schedule,$F$172,Vaccine_Selection!$M$40:$Q$40)*Q$152/$F146/1000)</f>
        <v>1.6338674681481482</v>
      </c>
      <c r="R174" s="637">
        <f>IF($F146=0,0,SUMIF(Schedule,$F$172,Vaccine_Selection!$M$40:$Q$40)*R$152/$F146/1000)</f>
        <v>1.7410063185185183</v>
      </c>
      <c r="S174" s="637">
        <f>IF($F146=0,0,SUMIF(Schedule,$F$172,Vaccine_Selection!$M$40:$Q$40)*S$152/$F146/1000)</f>
        <v>1.848145168888889</v>
      </c>
      <c r="T174" s="637">
        <f>IF($F146=0,0,SUMIF(Schedule,$F$172,Vaccine_Selection!$M$40:$Q$40)*T$152/$F146/1000)</f>
        <v>1.9552840192592593</v>
      </c>
      <c r="U174" s="637">
        <f>IF($F146=0,0,SUMIF(Schedule,$F$172,Vaccine_Selection!$M$40:$Q$40)*U$152/$F146/1000)</f>
        <v>2.0624228696296294</v>
      </c>
      <c r="V174" s="637">
        <f>IF($F146=0,0,SUMIF(Schedule,$F$172,Vaccine_Selection!$M$40:$Q$40)*V$152/$F146/1000)</f>
        <v>2.1695617200000004</v>
      </c>
      <c r="W174" s="637">
        <f>IF($F146=0,0,SUMIF(Schedule,$F$172,Vaccine_Selection!$M$40:$Q$40)*W$152/$F146/1000)</f>
        <v>2.2767005703703704</v>
      </c>
      <c r="X174" s="637">
        <f>IF($F146=0,0,SUMIF(Schedule,$F$172,Vaccine_Selection!$M$40:$Q$40)*X$152/$F146/1000)</f>
        <v>2.3838394207407405</v>
      </c>
      <c r="Y174" s="637">
        <f>IF($F146=0,0,SUMIF(Schedule,$F$172,Vaccine_Selection!$M$40:$Q$40)*Y$152/$F146/1000)</f>
        <v>2.490978271111111</v>
      </c>
      <c r="Z174" s="637">
        <f>IF($F146=0,0,SUMIF(Schedule,$F$172,Vaccine_Selection!$M$40:$Q$40)*Z$152/$F146/1000)</f>
        <v>2.5981171214814816</v>
      </c>
      <c r="AA174" s="637">
        <f>IF($F146=0,0,SUMIF(Schedule,$F$172,Vaccine_Selection!$M$40:$Q$40)*AA$152/$F146/1000)</f>
        <v>2.7052559718518521</v>
      </c>
      <c r="AB174" s="637">
        <f>IF($F146=0,0,SUMIF(Schedule,$F$172,Vaccine_Selection!$M$40:$Q$40)*AB$152/$F146/1000)</f>
        <v>2.8123948222222226</v>
      </c>
    </row>
    <row r="175" spans="2:28" outlineLevel="1">
      <c r="B175" s="660" t="str">
        <f>IF(F147="","",CONCATENATE($F$172," @ ",$F147," ",$F$143," ",$D$148))</f>
        <v xml:space="preserve">Current schedule @ 12 shipments per year </v>
      </c>
      <c r="C175" s="637">
        <f>IF($F147=0,0,SUMIF(Schedule,$F$172,Vaccine_Selection!$M$40:$Q$40)*C$152/$F147/1000)</f>
        <v>6.6961781481481478E-2</v>
      </c>
      <c r="D175" s="637">
        <f>IF($F147=0,0,SUMIF(Schedule,$F$172,Vaccine_Selection!$M$40:$Q$40)*D$152/$F147/1000)</f>
        <v>0.12053120666666667</v>
      </c>
      <c r="E175" s="637">
        <f>IF($F147=0,0,SUMIF(Schedule,$F$172,Vaccine_Selection!$M$40:$Q$40)*E$152/$F147/1000)</f>
        <v>0.17410063185185184</v>
      </c>
      <c r="F175" s="637">
        <f>IF($F147=0,0,SUMIF(Schedule,$F$172,Vaccine_Selection!$M$40:$Q$40)*F$152/$F147/1000)</f>
        <v>0.22767005703703705</v>
      </c>
      <c r="G175" s="637">
        <f>IF($F147=0,0,SUMIF(Schedule,$F$172,Vaccine_Selection!$M$40:$Q$40)*G$152/$F147/1000)</f>
        <v>0.28123948222222217</v>
      </c>
      <c r="H175" s="637">
        <f>IF($F147=0,0,SUMIF(Schedule,$F$172,Vaccine_Selection!$M$40:$Q$40)*H$152/$F147/1000)</f>
        <v>0.33480890740740737</v>
      </c>
      <c r="I175" s="637">
        <f>IF($F147=0,0,SUMIF(Schedule,$F$172,Vaccine_Selection!$M$40:$Q$40)*I$152/$F147/1000)</f>
        <v>0.38837833259259258</v>
      </c>
      <c r="J175" s="637">
        <f>IF($F147=0,0,SUMIF(Schedule,$F$172,Vaccine_Selection!$M$40:$Q$40)*J$152/$F147/1000)</f>
        <v>0.44194775777777778</v>
      </c>
      <c r="K175" s="637">
        <f>IF($F147=0,0,SUMIF(Schedule,$F$172,Vaccine_Selection!$M$40:$Q$40)*K$152/$F147/1000)</f>
        <v>0.49551718296296299</v>
      </c>
      <c r="L175" s="637">
        <f>IF($F147=0,0,SUMIF(Schedule,$F$172,Vaccine_Selection!$M$40:$Q$40)*L$152/$F147/1000)</f>
        <v>0.54908660814814825</v>
      </c>
      <c r="M175" s="637">
        <f>IF($F147=0,0,SUMIF(Schedule,$F$172,Vaccine_Selection!$M$40:$Q$40)*M$152/$F147/1000)</f>
        <v>0.60265603333333329</v>
      </c>
      <c r="N175" s="637">
        <f>IF($F147=0,0,SUMIF(Schedule,$F$172,Vaccine_Selection!$M$40:$Q$40)*N$152/$F147/1000)</f>
        <v>0.65622545851851855</v>
      </c>
      <c r="O175" s="637">
        <f>IF($F147=0,0,SUMIF(Schedule,$F$172,Vaccine_Selection!$M$40:$Q$40)*O$152/$F147/1000)</f>
        <v>0.70979488370370369</v>
      </c>
      <c r="P175" s="637">
        <f>IF($F147=0,0,SUMIF(Schedule,$F$172,Vaccine_Selection!$M$40:$Q$40)*P$152/$F147/1000)</f>
        <v>0.76336430888888895</v>
      </c>
      <c r="Q175" s="637">
        <f>IF($F147=0,0,SUMIF(Schedule,$F$172,Vaccine_Selection!$M$40:$Q$40)*Q$152/$F147/1000)</f>
        <v>0.8169337340740741</v>
      </c>
      <c r="R175" s="637">
        <f>IF($F147=0,0,SUMIF(Schedule,$F$172,Vaccine_Selection!$M$40:$Q$40)*R$152/$F147/1000)</f>
        <v>0.87050315925925914</v>
      </c>
      <c r="S175" s="637">
        <f>IF($F147=0,0,SUMIF(Schedule,$F$172,Vaccine_Selection!$M$40:$Q$40)*S$152/$F147/1000)</f>
        <v>0.92407258444444451</v>
      </c>
      <c r="T175" s="637">
        <f>IF($F147=0,0,SUMIF(Schedule,$F$172,Vaccine_Selection!$M$40:$Q$40)*T$152/$F147/1000)</f>
        <v>0.97764200962962966</v>
      </c>
      <c r="U175" s="637">
        <f>IF($F147=0,0,SUMIF(Schedule,$F$172,Vaccine_Selection!$M$40:$Q$40)*U$152/$F147/1000)</f>
        <v>1.0312114348148147</v>
      </c>
      <c r="V175" s="637">
        <f>IF($F147=0,0,SUMIF(Schedule,$F$172,Vaccine_Selection!$M$40:$Q$40)*V$152/$F147/1000)</f>
        <v>1.0847808600000002</v>
      </c>
      <c r="W175" s="637">
        <f>IF($F147=0,0,SUMIF(Schedule,$F$172,Vaccine_Selection!$M$40:$Q$40)*W$152/$F147/1000)</f>
        <v>1.1383502851851852</v>
      </c>
      <c r="X175" s="637">
        <f>IF($F147=0,0,SUMIF(Schedule,$F$172,Vaccine_Selection!$M$40:$Q$40)*X$152/$F147/1000)</f>
        <v>1.1919197103703703</v>
      </c>
      <c r="Y175" s="637">
        <f>IF($F147=0,0,SUMIF(Schedule,$F$172,Vaccine_Selection!$M$40:$Q$40)*Y$152/$F147/1000)</f>
        <v>1.2454891355555555</v>
      </c>
      <c r="Z175" s="637">
        <f>IF($F147=0,0,SUMIF(Schedule,$F$172,Vaccine_Selection!$M$40:$Q$40)*Z$152/$F147/1000)</f>
        <v>1.2990585607407408</v>
      </c>
      <c r="AA175" s="637">
        <f>IF($F147=0,0,SUMIF(Schedule,$F$172,Vaccine_Selection!$M$40:$Q$40)*AA$152/$F147/1000)</f>
        <v>1.352627985925926</v>
      </c>
      <c r="AB175" s="637">
        <f>IF($F147=0,0,SUMIF(Schedule,$F$172,Vaccine_Selection!$M$40:$Q$40)*AB$152/$F147/1000)</f>
        <v>1.4061974111111113</v>
      </c>
    </row>
    <row r="176" spans="2:28" outlineLevel="1">
      <c r="B176" s="660" t="str">
        <f>IF(F148="","",CONCATENATE($F$172," @ ",$F148," ",$F$143," ",$D$148))</f>
        <v/>
      </c>
      <c r="C176" s="637">
        <f>IF($F148=0,0,SUMIF(Schedule,$F$172,Vaccine_Selection!$M$40:$Q$40)*C$152/$F148/1000)</f>
        <v>0</v>
      </c>
      <c r="D176" s="637">
        <f>IF($F148=0,0,SUMIF(Schedule,$F$172,Vaccine_Selection!$M$40:$Q$40)*D$152/$F148/1000)</f>
        <v>0</v>
      </c>
      <c r="E176" s="637">
        <f>IF($F148=0,0,SUMIF(Schedule,$F$172,Vaccine_Selection!$M$40:$Q$40)*E$152/$F148/1000)</f>
        <v>0</v>
      </c>
      <c r="F176" s="637">
        <f>IF($F148=0,0,SUMIF(Schedule,$F$172,Vaccine_Selection!$M$40:$Q$40)*F$152/$F148/1000)</f>
        <v>0</v>
      </c>
      <c r="G176" s="637">
        <f>IF($F148=0,0,SUMIF(Schedule,$F$172,Vaccine_Selection!$M$40:$Q$40)*G$152/$F148/1000)</f>
        <v>0</v>
      </c>
      <c r="H176" s="637">
        <f>IF($F148=0,0,SUMIF(Schedule,$F$172,Vaccine_Selection!$M$40:$Q$40)*H$152/$F148/1000)</f>
        <v>0</v>
      </c>
      <c r="I176" s="637">
        <f>IF($F148=0,0,SUMIF(Schedule,$F$172,Vaccine_Selection!$M$40:$Q$40)*I$152/$F148/1000)</f>
        <v>0</v>
      </c>
      <c r="J176" s="637">
        <f>IF($F148=0,0,SUMIF(Schedule,$F$172,Vaccine_Selection!$M$40:$Q$40)*J$152/$F148/1000)</f>
        <v>0</v>
      </c>
      <c r="K176" s="637">
        <f>IF($F148=0,0,SUMIF(Schedule,$F$172,Vaccine_Selection!$M$40:$Q$40)*K$152/$F148/1000)</f>
        <v>0</v>
      </c>
      <c r="L176" s="637">
        <f>IF($F148=0,0,SUMIF(Schedule,$F$172,Vaccine_Selection!$M$40:$Q$40)*L$152/$F148/1000)</f>
        <v>0</v>
      </c>
      <c r="M176" s="637">
        <f>IF($F148=0,0,SUMIF(Schedule,$F$172,Vaccine_Selection!$M$40:$Q$40)*M$152/$F148/1000)</f>
        <v>0</v>
      </c>
      <c r="N176" s="637">
        <f>IF($F148=0,0,SUMIF(Schedule,$F$172,Vaccine_Selection!$M$40:$Q$40)*N$152/$F148/1000)</f>
        <v>0</v>
      </c>
      <c r="O176" s="637">
        <f>IF($F148=0,0,SUMIF(Schedule,$F$172,Vaccine_Selection!$M$40:$Q$40)*O$152/$F148/1000)</f>
        <v>0</v>
      </c>
      <c r="P176" s="637">
        <f>IF($F148=0,0,SUMIF(Schedule,$F$172,Vaccine_Selection!$M$40:$Q$40)*P$152/$F148/1000)</f>
        <v>0</v>
      </c>
      <c r="Q176" s="637">
        <f>IF($F148=0,0,SUMIF(Schedule,$F$172,Vaccine_Selection!$M$40:$Q$40)*Q$152/$F148/1000)</f>
        <v>0</v>
      </c>
      <c r="R176" s="637">
        <f>IF($F148=0,0,SUMIF(Schedule,$F$172,Vaccine_Selection!$M$40:$Q$40)*R$152/$F148/1000)</f>
        <v>0</v>
      </c>
      <c r="S176" s="637">
        <f>IF($F148=0,0,SUMIF(Schedule,$F$172,Vaccine_Selection!$M$40:$Q$40)*S$152/$F148/1000)</f>
        <v>0</v>
      </c>
      <c r="T176" s="637">
        <f>IF($F148=0,0,SUMIF(Schedule,$F$172,Vaccine_Selection!$M$40:$Q$40)*T$152/$F148/1000)</f>
        <v>0</v>
      </c>
      <c r="U176" s="637">
        <f>IF($F148=0,0,SUMIF(Schedule,$F$172,Vaccine_Selection!$M$40:$Q$40)*U$152/$F148/1000)</f>
        <v>0</v>
      </c>
      <c r="V176" s="637">
        <f>IF($F148=0,0,SUMIF(Schedule,$F$172,Vaccine_Selection!$M$40:$Q$40)*V$152/$F148/1000)</f>
        <v>0</v>
      </c>
      <c r="W176" s="637">
        <f>IF($F148=0,0,SUMIF(Schedule,$F$172,Vaccine_Selection!$M$40:$Q$40)*W$152/$F148/1000)</f>
        <v>0</v>
      </c>
      <c r="X176" s="637">
        <f>IF($F148=0,0,SUMIF(Schedule,$F$172,Vaccine_Selection!$M$40:$Q$40)*X$152/$F148/1000)</f>
        <v>0</v>
      </c>
      <c r="Y176" s="637">
        <f>IF($F148=0,0,SUMIF(Schedule,$F$172,Vaccine_Selection!$M$40:$Q$40)*Y$152/$F148/1000)</f>
        <v>0</v>
      </c>
      <c r="Z176" s="637">
        <f>IF($F148=0,0,SUMIF(Schedule,$F$172,Vaccine_Selection!$M$40:$Q$40)*Z$152/$F148/1000)</f>
        <v>0</v>
      </c>
      <c r="AA176" s="637">
        <f>IF($F148=0,0,SUMIF(Schedule,$F$172,Vaccine_Selection!$M$40:$Q$40)*AA$152/$F148/1000)</f>
        <v>0</v>
      </c>
      <c r="AB176" s="637">
        <f>IF($F148=0,0,SUMIF(Schedule,$F$172,Vaccine_Selection!$M$40:$Q$40)*AB$152/$F148/1000)</f>
        <v>0</v>
      </c>
    </row>
    <row r="177" spans="2:28" ht="12" outlineLevel="1">
      <c r="B177" s="658" t="str">
        <f>B159</f>
        <v>Estimate of number of passive containers required</v>
      </c>
      <c r="C177" s="652"/>
      <c r="D177" s="652"/>
      <c r="E177" s="652"/>
      <c r="F177" s="652"/>
      <c r="G177" s="652"/>
      <c r="H177" s="652"/>
      <c r="I177" s="652"/>
      <c r="J177" s="652"/>
      <c r="K177" s="652"/>
      <c r="L177" s="652"/>
      <c r="M177" s="652"/>
      <c r="N177" s="652"/>
      <c r="O177" s="652"/>
      <c r="P177" s="652"/>
      <c r="Q177" s="652"/>
      <c r="R177" s="652"/>
      <c r="S177" s="652"/>
      <c r="T177" s="652"/>
      <c r="U177" s="652"/>
      <c r="V177" s="652"/>
      <c r="W177" s="652"/>
      <c r="X177" s="652"/>
      <c r="Y177" s="652"/>
      <c r="Z177" s="652"/>
      <c r="AA177" s="652"/>
      <c r="AB177" s="652"/>
    </row>
    <row r="178" spans="2:28" ht="12" outlineLevel="1">
      <c r="B178" s="662" t="s">
        <v>674</v>
      </c>
      <c r="C178" s="663">
        <f>SUMIF(Passive_contain,$B$178,Supplies!$D$64:$D$71)</f>
        <v>20</v>
      </c>
      <c r="D178" s="663">
        <f t="shared" ref="D178:AB178" si="47">C178</f>
        <v>20</v>
      </c>
      <c r="E178" s="663">
        <f t="shared" si="47"/>
        <v>20</v>
      </c>
      <c r="F178" s="663">
        <f t="shared" si="47"/>
        <v>20</v>
      </c>
      <c r="G178" s="663">
        <f t="shared" si="47"/>
        <v>20</v>
      </c>
      <c r="H178" s="663">
        <f t="shared" si="47"/>
        <v>20</v>
      </c>
      <c r="I178" s="663">
        <f t="shared" si="47"/>
        <v>20</v>
      </c>
      <c r="J178" s="663">
        <f t="shared" si="47"/>
        <v>20</v>
      </c>
      <c r="K178" s="663">
        <f t="shared" si="47"/>
        <v>20</v>
      </c>
      <c r="L178" s="663">
        <f t="shared" si="47"/>
        <v>20</v>
      </c>
      <c r="M178" s="663">
        <f t="shared" si="47"/>
        <v>20</v>
      </c>
      <c r="N178" s="663">
        <f t="shared" si="47"/>
        <v>20</v>
      </c>
      <c r="O178" s="663">
        <f t="shared" si="47"/>
        <v>20</v>
      </c>
      <c r="P178" s="663">
        <f t="shared" si="47"/>
        <v>20</v>
      </c>
      <c r="Q178" s="663">
        <f t="shared" si="47"/>
        <v>20</v>
      </c>
      <c r="R178" s="663">
        <f t="shared" si="47"/>
        <v>20</v>
      </c>
      <c r="S178" s="663">
        <f t="shared" si="47"/>
        <v>20</v>
      </c>
      <c r="T178" s="663">
        <f t="shared" si="47"/>
        <v>20</v>
      </c>
      <c r="U178" s="663">
        <f t="shared" si="47"/>
        <v>20</v>
      </c>
      <c r="V178" s="663">
        <f t="shared" si="47"/>
        <v>20</v>
      </c>
      <c r="W178" s="663">
        <f t="shared" si="47"/>
        <v>20</v>
      </c>
      <c r="X178" s="663">
        <f t="shared" si="47"/>
        <v>20</v>
      </c>
      <c r="Y178" s="663">
        <f t="shared" si="47"/>
        <v>20</v>
      </c>
      <c r="Z178" s="663">
        <f t="shared" si="47"/>
        <v>20</v>
      </c>
      <c r="AA178" s="663">
        <f t="shared" si="47"/>
        <v>20</v>
      </c>
      <c r="AB178" s="663">
        <f t="shared" si="47"/>
        <v>20</v>
      </c>
    </row>
    <row r="179" spans="2:28" outlineLevel="1">
      <c r="B179" s="660" t="str">
        <f>IF(F145="","",CONCATENATE(B173," - ",$B$178))</f>
        <v>Current schedule @ 4 shipments per year  - CB_large</v>
      </c>
      <c r="C179" s="667">
        <f t="shared" ref="C179:AB179" si="48">ROUND(C173/C$178,0)</f>
        <v>0</v>
      </c>
      <c r="D179" s="667">
        <f t="shared" si="48"/>
        <v>0</v>
      </c>
      <c r="E179" s="667">
        <f t="shared" si="48"/>
        <v>0</v>
      </c>
      <c r="F179" s="667">
        <f t="shared" si="48"/>
        <v>0</v>
      </c>
      <c r="G179" s="667">
        <f t="shared" si="48"/>
        <v>0</v>
      </c>
      <c r="H179" s="667">
        <f t="shared" si="48"/>
        <v>0</v>
      </c>
      <c r="I179" s="667">
        <f t="shared" si="48"/>
        <v>0</v>
      </c>
      <c r="J179" s="667">
        <f t="shared" si="48"/>
        <v>0</v>
      </c>
      <c r="K179" s="667">
        <f t="shared" si="48"/>
        <v>0</v>
      </c>
      <c r="L179" s="667">
        <f t="shared" si="48"/>
        <v>0</v>
      </c>
      <c r="M179" s="667">
        <f t="shared" si="48"/>
        <v>0</v>
      </c>
      <c r="N179" s="667">
        <f t="shared" si="48"/>
        <v>0</v>
      </c>
      <c r="O179" s="667">
        <f t="shared" si="48"/>
        <v>0</v>
      </c>
      <c r="P179" s="667">
        <f t="shared" si="48"/>
        <v>0</v>
      </c>
      <c r="Q179" s="667">
        <f t="shared" si="48"/>
        <v>0</v>
      </c>
      <c r="R179" s="667">
        <f t="shared" si="48"/>
        <v>0</v>
      </c>
      <c r="S179" s="667">
        <f t="shared" si="48"/>
        <v>0</v>
      </c>
      <c r="T179" s="667">
        <f t="shared" si="48"/>
        <v>0</v>
      </c>
      <c r="U179" s="667">
        <f t="shared" si="48"/>
        <v>0</v>
      </c>
      <c r="V179" s="667">
        <f t="shared" si="48"/>
        <v>0</v>
      </c>
      <c r="W179" s="667">
        <f t="shared" si="48"/>
        <v>0</v>
      </c>
      <c r="X179" s="667">
        <f t="shared" si="48"/>
        <v>0</v>
      </c>
      <c r="Y179" s="667">
        <f t="shared" si="48"/>
        <v>0</v>
      </c>
      <c r="Z179" s="667">
        <f t="shared" si="48"/>
        <v>0</v>
      </c>
      <c r="AA179" s="667">
        <f t="shared" si="48"/>
        <v>0</v>
      </c>
      <c r="AB179" s="667">
        <f t="shared" si="48"/>
        <v>0</v>
      </c>
    </row>
    <row r="180" spans="2:28" outlineLevel="1">
      <c r="B180" s="660" t="str">
        <f>IF(F146="","",CONCATENATE(B174," - ",$B$178))</f>
        <v>Current schedule @ 6 shipments per year  - CB_large</v>
      </c>
      <c r="C180" s="667">
        <f>ROUND(C174/C$178,0)</f>
        <v>0</v>
      </c>
      <c r="D180" s="667">
        <f t="shared" ref="D180:R180" si="49">ROUND(D174/D$178,0)</f>
        <v>0</v>
      </c>
      <c r="E180" s="667">
        <f t="shared" si="49"/>
        <v>0</v>
      </c>
      <c r="F180" s="667">
        <f t="shared" si="49"/>
        <v>0</v>
      </c>
      <c r="G180" s="667">
        <f t="shared" si="49"/>
        <v>0</v>
      </c>
      <c r="H180" s="667">
        <f t="shared" si="49"/>
        <v>0</v>
      </c>
      <c r="I180" s="667">
        <f t="shared" si="49"/>
        <v>0</v>
      </c>
      <c r="J180" s="667">
        <f t="shared" si="49"/>
        <v>0</v>
      </c>
      <c r="K180" s="667">
        <f t="shared" si="49"/>
        <v>0</v>
      </c>
      <c r="L180" s="667">
        <f t="shared" si="49"/>
        <v>0</v>
      </c>
      <c r="M180" s="667">
        <f t="shared" si="49"/>
        <v>0</v>
      </c>
      <c r="N180" s="667">
        <f t="shared" si="49"/>
        <v>0</v>
      </c>
      <c r="O180" s="667">
        <f t="shared" si="49"/>
        <v>0</v>
      </c>
      <c r="P180" s="667">
        <f t="shared" si="49"/>
        <v>0</v>
      </c>
      <c r="Q180" s="667">
        <f t="shared" si="49"/>
        <v>0</v>
      </c>
      <c r="R180" s="667">
        <f t="shared" si="49"/>
        <v>0</v>
      </c>
      <c r="S180" s="667">
        <f t="shared" ref="S180:AB180" si="50">ROUND(S174/S$178,0)</f>
        <v>0</v>
      </c>
      <c r="T180" s="667">
        <f t="shared" si="50"/>
        <v>0</v>
      </c>
      <c r="U180" s="667">
        <f t="shared" si="50"/>
        <v>0</v>
      </c>
      <c r="V180" s="667">
        <f t="shared" si="50"/>
        <v>0</v>
      </c>
      <c r="W180" s="667">
        <f t="shared" si="50"/>
        <v>0</v>
      </c>
      <c r="X180" s="667">
        <f t="shared" si="50"/>
        <v>0</v>
      </c>
      <c r="Y180" s="667">
        <f t="shared" si="50"/>
        <v>0</v>
      </c>
      <c r="Z180" s="667">
        <f t="shared" si="50"/>
        <v>0</v>
      </c>
      <c r="AA180" s="667">
        <f t="shared" si="50"/>
        <v>0</v>
      </c>
      <c r="AB180" s="667">
        <f t="shared" si="50"/>
        <v>0</v>
      </c>
    </row>
    <row r="181" spans="2:28" outlineLevel="1">
      <c r="B181" s="660" t="str">
        <f>IF(F147="","",CONCATENATE(B175," - ",$B$178))</f>
        <v>Current schedule @ 12 shipments per year  - CB_large</v>
      </c>
      <c r="C181" s="667">
        <f>ROUND(C175/C$178,0)</f>
        <v>0</v>
      </c>
      <c r="D181" s="667">
        <f t="shared" ref="D181:R181" si="51">ROUND(D175/D$178,0)</f>
        <v>0</v>
      </c>
      <c r="E181" s="667">
        <f t="shared" si="51"/>
        <v>0</v>
      </c>
      <c r="F181" s="667">
        <f t="shared" si="51"/>
        <v>0</v>
      </c>
      <c r="G181" s="667">
        <f t="shared" si="51"/>
        <v>0</v>
      </c>
      <c r="H181" s="667">
        <f t="shared" si="51"/>
        <v>0</v>
      </c>
      <c r="I181" s="667">
        <f t="shared" si="51"/>
        <v>0</v>
      </c>
      <c r="J181" s="667">
        <f t="shared" si="51"/>
        <v>0</v>
      </c>
      <c r="K181" s="667">
        <f t="shared" si="51"/>
        <v>0</v>
      </c>
      <c r="L181" s="667">
        <f t="shared" si="51"/>
        <v>0</v>
      </c>
      <c r="M181" s="667">
        <f t="shared" si="51"/>
        <v>0</v>
      </c>
      <c r="N181" s="667">
        <f t="shared" si="51"/>
        <v>0</v>
      </c>
      <c r="O181" s="667">
        <f t="shared" si="51"/>
        <v>0</v>
      </c>
      <c r="P181" s="667">
        <f t="shared" si="51"/>
        <v>0</v>
      </c>
      <c r="Q181" s="667">
        <f t="shared" si="51"/>
        <v>0</v>
      </c>
      <c r="R181" s="667">
        <f t="shared" si="51"/>
        <v>0</v>
      </c>
      <c r="S181" s="667">
        <f t="shared" ref="S181:AB181" si="52">ROUND(S175/S$178,0)</f>
        <v>0</v>
      </c>
      <c r="T181" s="667">
        <f t="shared" si="52"/>
        <v>0</v>
      </c>
      <c r="U181" s="667">
        <f t="shared" si="52"/>
        <v>0</v>
      </c>
      <c r="V181" s="667">
        <f t="shared" si="52"/>
        <v>0</v>
      </c>
      <c r="W181" s="667">
        <f t="shared" si="52"/>
        <v>0</v>
      </c>
      <c r="X181" s="667">
        <f t="shared" si="52"/>
        <v>0</v>
      </c>
      <c r="Y181" s="667">
        <f t="shared" si="52"/>
        <v>0</v>
      </c>
      <c r="Z181" s="667">
        <f t="shared" si="52"/>
        <v>0</v>
      </c>
      <c r="AA181" s="667">
        <f t="shared" si="52"/>
        <v>0</v>
      </c>
      <c r="AB181" s="667">
        <f t="shared" si="52"/>
        <v>0</v>
      </c>
    </row>
    <row r="182" spans="2:28" outlineLevel="1">
      <c r="B182" s="660" t="str">
        <f>IF(F148="","",CONCATENATE(B176," - ",$B$178))</f>
        <v/>
      </c>
      <c r="C182" s="668">
        <f>ROUND(C176/C$178,0)</f>
        <v>0</v>
      </c>
      <c r="D182" s="668">
        <f t="shared" ref="D182:R182" si="53">ROUND(D176/D$178,0)</f>
        <v>0</v>
      </c>
      <c r="E182" s="668">
        <f t="shared" si="53"/>
        <v>0</v>
      </c>
      <c r="F182" s="668">
        <f t="shared" si="53"/>
        <v>0</v>
      </c>
      <c r="G182" s="668">
        <f t="shared" si="53"/>
        <v>0</v>
      </c>
      <c r="H182" s="668">
        <f t="shared" si="53"/>
        <v>0</v>
      </c>
      <c r="I182" s="668">
        <f t="shared" si="53"/>
        <v>0</v>
      </c>
      <c r="J182" s="668">
        <f t="shared" si="53"/>
        <v>0</v>
      </c>
      <c r="K182" s="668">
        <f t="shared" si="53"/>
        <v>0</v>
      </c>
      <c r="L182" s="668">
        <f t="shared" si="53"/>
        <v>0</v>
      </c>
      <c r="M182" s="668">
        <f t="shared" si="53"/>
        <v>0</v>
      </c>
      <c r="N182" s="668">
        <f t="shared" si="53"/>
        <v>0</v>
      </c>
      <c r="O182" s="668">
        <f t="shared" si="53"/>
        <v>0</v>
      </c>
      <c r="P182" s="668">
        <f t="shared" si="53"/>
        <v>0</v>
      </c>
      <c r="Q182" s="668">
        <f t="shared" si="53"/>
        <v>0</v>
      </c>
      <c r="R182" s="668">
        <f t="shared" si="53"/>
        <v>0</v>
      </c>
      <c r="S182" s="668">
        <f t="shared" ref="S182:AB182" si="54">ROUND(S176/S$178,0)</f>
        <v>0</v>
      </c>
      <c r="T182" s="668">
        <f t="shared" si="54"/>
        <v>0</v>
      </c>
      <c r="U182" s="668">
        <f t="shared" si="54"/>
        <v>0</v>
      </c>
      <c r="V182" s="668">
        <f t="shared" si="54"/>
        <v>0</v>
      </c>
      <c r="W182" s="668">
        <f t="shared" si="54"/>
        <v>0</v>
      </c>
      <c r="X182" s="668">
        <f t="shared" si="54"/>
        <v>0</v>
      </c>
      <c r="Y182" s="668">
        <f t="shared" si="54"/>
        <v>0</v>
      </c>
      <c r="Z182" s="668">
        <f t="shared" si="54"/>
        <v>0</v>
      </c>
      <c r="AA182" s="668">
        <f t="shared" si="54"/>
        <v>0</v>
      </c>
      <c r="AB182" s="668">
        <f t="shared" si="54"/>
        <v>0</v>
      </c>
    </row>
    <row r="183" spans="2:28" ht="12" outlineLevel="1">
      <c r="B183" s="658" t="str">
        <f>B166</f>
        <v>Total volume of safe injection equipment per delivery (m³)</v>
      </c>
      <c r="C183" s="652"/>
      <c r="D183" s="652"/>
      <c r="E183" s="652"/>
      <c r="F183" s="652"/>
      <c r="G183" s="652"/>
      <c r="H183" s="652"/>
      <c r="I183" s="652"/>
      <c r="J183" s="652"/>
      <c r="K183" s="652"/>
      <c r="L183" s="652"/>
      <c r="M183" s="652"/>
      <c r="N183" s="652"/>
      <c r="O183" s="652"/>
      <c r="P183" s="652"/>
      <c r="Q183" s="652"/>
      <c r="R183" s="652"/>
      <c r="S183" s="652"/>
      <c r="T183" s="652"/>
      <c r="U183" s="652"/>
      <c r="V183" s="652"/>
      <c r="W183" s="652"/>
      <c r="X183" s="652"/>
      <c r="Y183" s="652"/>
      <c r="Z183" s="652"/>
      <c r="AA183" s="652"/>
      <c r="AB183" s="652"/>
    </row>
    <row r="184" spans="2:28" outlineLevel="1">
      <c r="B184" s="635" t="str">
        <f>B173</f>
        <v xml:space="preserve">Current schedule @ 4 shipments per year </v>
      </c>
      <c r="C184" s="664">
        <f>IF($F145=0,0,Volume_Inject!$M$38/1000000*C$152/$G145)</f>
        <v>2.8592144124999995E-3</v>
      </c>
      <c r="D184" s="664">
        <f>IF($F145=0,0,Volume_Inject!$M$38/1000000*D$152/$G145)</f>
        <v>5.1465859424999994E-3</v>
      </c>
      <c r="E184" s="664">
        <f>IF($F145=0,0,Volume_Inject!$M$38/1000000*E$152/$G145)</f>
        <v>7.4339574724999989E-3</v>
      </c>
      <c r="F184" s="664">
        <f>IF($F145=0,0,Volume_Inject!$M$38/1000000*F$152/$G145)</f>
        <v>9.7213290024999992E-3</v>
      </c>
      <c r="G184" s="664">
        <f>IF($F145=0,0,Volume_Inject!$M$38/1000000*G$152/$G145)</f>
        <v>1.2008700532499998E-2</v>
      </c>
      <c r="H184" s="664">
        <f>IF($F145=0,0,Volume_Inject!$M$38/1000000*H$152/$G145)</f>
        <v>1.4296072062499998E-2</v>
      </c>
      <c r="I184" s="664">
        <f>IF($F145=0,0,Volume_Inject!$M$38/1000000*I$152/$G145)</f>
        <v>1.6583443592499997E-2</v>
      </c>
      <c r="J184" s="664">
        <f>IF($F145=0,0,Volume_Inject!$M$38/1000000*J$152/$G145)</f>
        <v>1.8870815122499999E-2</v>
      </c>
      <c r="K184" s="664">
        <f>IF($F145=0,0,Volume_Inject!$M$38/1000000*K$152/$G145)</f>
        <v>2.1158186652499997E-2</v>
      </c>
      <c r="L184" s="664">
        <f>IF($F145=0,0,Volume_Inject!$M$38/1000000*L$152/$G145)</f>
        <v>2.3445558182499996E-2</v>
      </c>
      <c r="M184" s="664">
        <f>IF($F145=0,0,Volume_Inject!$M$38/1000000*M$152/$G145)</f>
        <v>2.5732929712499995E-2</v>
      </c>
      <c r="N184" s="664">
        <f>IF($F145=0,0,Volume_Inject!$M$38/1000000*N$152/$G145)</f>
        <v>2.8020301242499997E-2</v>
      </c>
      <c r="O184" s="664">
        <f>IF($F145=0,0,Volume_Inject!$M$38/1000000*O$152/$G145)</f>
        <v>3.0307672772499995E-2</v>
      </c>
      <c r="P184" s="664">
        <f>IF($F145=0,0,Volume_Inject!$M$38/1000000*P$152/$G145)</f>
        <v>3.2595044302499994E-2</v>
      </c>
      <c r="Q184" s="664">
        <f>IF($F145=0,0,Volume_Inject!$M$38/1000000*Q$152/$G145)</f>
        <v>3.4882415832499993E-2</v>
      </c>
      <c r="R184" s="664">
        <f>IF($F145=0,0,Volume_Inject!$M$38/1000000*R$152/$G145)</f>
        <v>3.7169787362499998E-2</v>
      </c>
      <c r="S184" s="664">
        <f>IF($F145=0,0,Volume_Inject!$M$38/1000000*S$152/$G145)</f>
        <v>3.9457158892499997E-2</v>
      </c>
      <c r="T184" s="664">
        <f>IF($F145=0,0,Volume_Inject!$M$38/1000000*T$152/$G145)</f>
        <v>4.1744530422499995E-2</v>
      </c>
      <c r="U184" s="664">
        <f>IF($F145=0,0,Volume_Inject!$M$38/1000000*U$152/$G145)</f>
        <v>4.4031901952499994E-2</v>
      </c>
      <c r="V184" s="664">
        <f>IF($F145=0,0,Volume_Inject!$M$38/1000000*V$152/$G145)</f>
        <v>4.6319273482499992E-2</v>
      </c>
      <c r="W184" s="664">
        <f>IF($F145=0,0,Volume_Inject!$M$38/1000000*W$152/$G145)</f>
        <v>4.8606645012499991E-2</v>
      </c>
      <c r="X184" s="664">
        <f>IF($F145=0,0,Volume_Inject!$M$38/1000000*X$152/$G145)</f>
        <v>5.089401654249999E-2</v>
      </c>
      <c r="Y184" s="664">
        <f>IF($F145=0,0,Volume_Inject!$M$38/1000000*Y$152/$G145)</f>
        <v>5.3181388072499995E-2</v>
      </c>
      <c r="Z184" s="664">
        <f>IF($F145=0,0,Volume_Inject!$M$38/1000000*Z$152/$G145)</f>
        <v>5.5468759602499994E-2</v>
      </c>
      <c r="AA184" s="664">
        <f>IF($F145=0,0,Volume_Inject!$M$38/1000000*AA$152/$G145)</f>
        <v>5.7756131132499992E-2</v>
      </c>
      <c r="AB184" s="664">
        <f>IF($F145=0,0,Volume_Inject!$M$38/1000000*AB$152/$G145)</f>
        <v>6.0043502662499991E-2</v>
      </c>
    </row>
    <row r="185" spans="2:28" outlineLevel="1">
      <c r="B185" s="635" t="str">
        <f>B174</f>
        <v xml:space="preserve">Current schedule @ 6 shipments per year </v>
      </c>
      <c r="C185" s="664">
        <f>IF($F146=0,0,Volume_Inject!$N$38/1000000*C$152/$G146)</f>
        <v>1.9061429416666663E-3</v>
      </c>
      <c r="D185" s="664">
        <f>IF($F146=0,0,Volume_Inject!$N$38/1000000*D$152/$G146)</f>
        <v>3.4310572949999996E-3</v>
      </c>
      <c r="E185" s="664">
        <f>IF($F146=0,0,Volume_Inject!$N$38/1000000*E$152/$G146)</f>
        <v>4.9559716483333323E-3</v>
      </c>
      <c r="F185" s="664">
        <f>IF($F146=0,0,Volume_Inject!$N$38/1000000*F$152/$G146)</f>
        <v>6.4808860016666659E-3</v>
      </c>
      <c r="G185" s="664">
        <f>IF($F146=0,0,Volume_Inject!$N$38/1000000*G$152/$G146)</f>
        <v>8.0058003549999986E-3</v>
      </c>
      <c r="H185" s="664">
        <f>IF($F146=0,0,Volume_Inject!$N$38/1000000*H$152/$G146)</f>
        <v>9.5307147083333321E-3</v>
      </c>
      <c r="I185" s="664">
        <f>IF($F146=0,0,Volume_Inject!$N$38/1000000*I$152/$G146)</f>
        <v>1.1055629061666664E-2</v>
      </c>
      <c r="J185" s="664">
        <f>IF($F146=0,0,Volume_Inject!$N$38/1000000*J$152/$G146)</f>
        <v>1.2580543414999999E-2</v>
      </c>
      <c r="K185" s="664">
        <f>IF($F146=0,0,Volume_Inject!$N$38/1000000*K$152/$G146)</f>
        <v>1.4105457768333331E-2</v>
      </c>
      <c r="L185" s="664">
        <f>IF($F146=0,0,Volume_Inject!$N$38/1000000*L$152/$G146)</f>
        <v>1.5630372121666663E-2</v>
      </c>
      <c r="M185" s="664">
        <f>IF($F146=0,0,Volume_Inject!$N$38/1000000*M$152/$G146)</f>
        <v>1.7155286474999996E-2</v>
      </c>
      <c r="N185" s="664">
        <f>IF($F146=0,0,Volume_Inject!$N$38/1000000*N$152/$G146)</f>
        <v>1.868020082833333E-2</v>
      </c>
      <c r="O185" s="664">
        <f>IF($F146=0,0,Volume_Inject!$N$38/1000000*O$152/$G146)</f>
        <v>2.0205115181666664E-2</v>
      </c>
      <c r="P185" s="664">
        <f>IF($F146=0,0,Volume_Inject!$N$38/1000000*P$152/$G146)</f>
        <v>2.1730029534999997E-2</v>
      </c>
      <c r="Q185" s="664">
        <f>IF($F146=0,0,Volume_Inject!$N$38/1000000*Q$152/$G146)</f>
        <v>2.3254943888333327E-2</v>
      </c>
      <c r="R185" s="664">
        <f>IF($F146=0,0,Volume_Inject!$N$38/1000000*R$152/$G146)</f>
        <v>2.4779858241666664E-2</v>
      </c>
      <c r="S185" s="664">
        <f>IF($F146=0,0,Volume_Inject!$N$38/1000000*S$152/$G146)</f>
        <v>2.6304772594999998E-2</v>
      </c>
      <c r="T185" s="664">
        <f>IF($F146=0,0,Volume_Inject!$N$38/1000000*T$152/$G146)</f>
        <v>2.7829686948333331E-2</v>
      </c>
      <c r="U185" s="664">
        <f>IF($F146=0,0,Volume_Inject!$N$38/1000000*U$152/$G146)</f>
        <v>2.9354601301666661E-2</v>
      </c>
      <c r="V185" s="664">
        <f>IF($F146=0,0,Volume_Inject!$N$38/1000000*V$152/$G146)</f>
        <v>3.0879515654999995E-2</v>
      </c>
      <c r="W185" s="664">
        <f>IF($F146=0,0,Volume_Inject!$N$38/1000000*W$152/$G146)</f>
        <v>3.2404430008333325E-2</v>
      </c>
      <c r="X185" s="664">
        <f>IF($F146=0,0,Volume_Inject!$N$38/1000000*X$152/$G146)</f>
        <v>3.3929344361666662E-2</v>
      </c>
      <c r="Y185" s="664">
        <f>IF($F146=0,0,Volume_Inject!$N$38/1000000*Y$152/$G146)</f>
        <v>3.5454258714999999E-2</v>
      </c>
      <c r="Z185" s="664">
        <f>IF($F146=0,0,Volume_Inject!$N$38/1000000*Z$152/$G146)</f>
        <v>3.6979173068333329E-2</v>
      </c>
      <c r="AA185" s="664">
        <f>IF($F146=0,0,Volume_Inject!$N$38/1000000*AA$152/$G146)</f>
        <v>3.8504087421666659E-2</v>
      </c>
      <c r="AB185" s="664">
        <f>IF($F146=0,0,Volume_Inject!$N$38/1000000*AB$152/$G146)</f>
        <v>4.0029001774999996E-2</v>
      </c>
    </row>
    <row r="186" spans="2:28" outlineLevel="1">
      <c r="B186" s="635" t="str">
        <f>B175</f>
        <v xml:space="preserve">Current schedule @ 12 shipments per year </v>
      </c>
      <c r="C186" s="664">
        <f>IF($F147=0,0,Volume_Inject!$O$38/1000000*C$152/$G147)</f>
        <v>6.5698813749999994E-4</v>
      </c>
      <c r="D186" s="664">
        <f>IF($F147=0,0,Volume_Inject!$O$38/1000000*D$152/$G147)</f>
        <v>1.1825786474999997E-3</v>
      </c>
      <c r="E186" s="664">
        <f>IF($F147=0,0,Volume_Inject!$O$38/1000000*E$152/$G147)</f>
        <v>1.7081691574999996E-3</v>
      </c>
      <c r="F186" s="664">
        <f>IF($F147=0,0,Volume_Inject!$O$38/1000000*F$152/$G147)</f>
        <v>2.2337596674999994E-3</v>
      </c>
      <c r="G186" s="664">
        <f>IF($F147=0,0,Volume_Inject!$O$38/1000000*G$152/$G147)</f>
        <v>2.7593501774999998E-3</v>
      </c>
      <c r="H186" s="664">
        <f>IF($F147=0,0,Volume_Inject!$O$38/1000000*H$152/$G147)</f>
        <v>3.2849406874999997E-3</v>
      </c>
      <c r="I186" s="664">
        <f>IF($F147=0,0,Volume_Inject!$O$38/1000000*I$152/$G147)</f>
        <v>3.8105311974999992E-3</v>
      </c>
      <c r="J186" s="664">
        <f>IF($F147=0,0,Volume_Inject!$O$38/1000000*J$152/$G147)</f>
        <v>4.3361217074999988E-3</v>
      </c>
      <c r="K186" s="664">
        <f>IF($F147=0,0,Volume_Inject!$O$38/1000000*K$152/$G147)</f>
        <v>4.8617122174999987E-3</v>
      </c>
      <c r="L186" s="664">
        <f>IF($F147=0,0,Volume_Inject!$O$38/1000000*L$152/$G147)</f>
        <v>5.3873027274999987E-3</v>
      </c>
      <c r="M186" s="664">
        <f>IF($F147=0,0,Volume_Inject!$O$38/1000000*M$152/$G147)</f>
        <v>5.9128932374999986E-3</v>
      </c>
      <c r="N186" s="664">
        <f>IF($F147=0,0,Volume_Inject!$O$38/1000000*N$152/$G147)</f>
        <v>6.4384837474999986E-3</v>
      </c>
      <c r="O186" s="664">
        <f>IF($F147=0,0,Volume_Inject!$O$38/1000000*O$152/$G147)</f>
        <v>6.9640742574999985E-3</v>
      </c>
      <c r="P186" s="664">
        <f>IF($F147=0,0,Volume_Inject!$O$38/1000000*P$152/$G147)</f>
        <v>7.4896647674999985E-3</v>
      </c>
      <c r="Q186" s="664">
        <f>IF($F147=0,0,Volume_Inject!$O$38/1000000*Q$152/$G147)</f>
        <v>8.0152552774999993E-3</v>
      </c>
      <c r="R186" s="664">
        <f>IF($F147=0,0,Volume_Inject!$O$38/1000000*R$152/$G147)</f>
        <v>8.5408457874999993E-3</v>
      </c>
      <c r="S186" s="664">
        <f>IF($F147=0,0,Volume_Inject!$O$38/1000000*S$152/$G147)</f>
        <v>9.0664362974999992E-3</v>
      </c>
      <c r="T186" s="664">
        <f>IF($F147=0,0,Volume_Inject!$O$38/1000000*T$152/$G147)</f>
        <v>9.5920268074999992E-3</v>
      </c>
      <c r="U186" s="664">
        <f>IF($F147=0,0,Volume_Inject!$O$38/1000000*U$152/$G147)</f>
        <v>1.0117617317499999E-2</v>
      </c>
      <c r="V186" s="664">
        <f>IF($F147=0,0,Volume_Inject!$O$38/1000000*V$152/$G147)</f>
        <v>1.0643207827499999E-2</v>
      </c>
      <c r="W186" s="664">
        <f>IF($F147=0,0,Volume_Inject!$O$38/1000000*W$152/$G147)</f>
        <v>1.1168798337499999E-2</v>
      </c>
      <c r="X186" s="664">
        <f>IF($F147=0,0,Volume_Inject!$O$38/1000000*X$152/$G147)</f>
        <v>1.1694388847499999E-2</v>
      </c>
      <c r="Y186" s="664">
        <f>IF($F147=0,0,Volume_Inject!$O$38/1000000*Y$152/$G147)</f>
        <v>1.2219979357499999E-2</v>
      </c>
      <c r="Z186" s="664">
        <f>IF($F147=0,0,Volume_Inject!$O$38/1000000*Z$152/$G147)</f>
        <v>1.2745569867499999E-2</v>
      </c>
      <c r="AA186" s="664">
        <f>IF($F147=0,0,Volume_Inject!$O$38/1000000*AA$152/$G147)</f>
        <v>1.3271160377499999E-2</v>
      </c>
      <c r="AB186" s="664">
        <f>IF($F147=0,0,Volume_Inject!$O$38/1000000*AB$152/$G147)</f>
        <v>1.3796750887499999E-2</v>
      </c>
    </row>
    <row r="187" spans="2:28" outlineLevel="1">
      <c r="B187" s="635" t="str">
        <f>B176</f>
        <v/>
      </c>
      <c r="C187" s="664">
        <f>IF($F148=0,0,Volume_Inject!$P$38/1000000*C$152/$G148)</f>
        <v>0</v>
      </c>
      <c r="D187" s="664">
        <f>IF($F148=0,0,Volume_Inject!$P$38/1000000*D$152/$G148)</f>
        <v>0</v>
      </c>
      <c r="E187" s="664">
        <f>IF($F148=0,0,Volume_Inject!$P$38/1000000*E$152/$G148)</f>
        <v>0</v>
      </c>
      <c r="F187" s="664">
        <f>IF($F148=0,0,Volume_Inject!$P$38/1000000*F$152/$G148)</f>
        <v>0</v>
      </c>
      <c r="G187" s="664">
        <f>IF($F148=0,0,Volume_Inject!$P$38/1000000*G$152/$G148)</f>
        <v>0</v>
      </c>
      <c r="H187" s="664">
        <f>IF($F148=0,0,Volume_Inject!$P$38/1000000*H$152/$G148)</f>
        <v>0</v>
      </c>
      <c r="I187" s="664">
        <f>IF($F148=0,0,Volume_Inject!$P$38/1000000*I$152/$G148)</f>
        <v>0</v>
      </c>
      <c r="J187" s="664">
        <f>IF($F148=0,0,Volume_Inject!$P$38/1000000*J$152/$G148)</f>
        <v>0</v>
      </c>
      <c r="K187" s="664">
        <f>IF($F148=0,0,Volume_Inject!$P$38/1000000*K$152/$G148)</f>
        <v>0</v>
      </c>
      <c r="L187" s="664">
        <f>IF($F148=0,0,Volume_Inject!$P$38/1000000*L$152/$G148)</f>
        <v>0</v>
      </c>
      <c r="M187" s="664">
        <f>IF($F148=0,0,Volume_Inject!$P$38/1000000*M$152/$G148)</f>
        <v>0</v>
      </c>
      <c r="N187" s="664">
        <f>IF($F148=0,0,Volume_Inject!$P$38/1000000*N$152/$G148)</f>
        <v>0</v>
      </c>
      <c r="O187" s="664">
        <f>IF($F148=0,0,Volume_Inject!$P$38/1000000*O$152/$G148)</f>
        <v>0</v>
      </c>
      <c r="P187" s="664">
        <f>IF($F148=0,0,Volume_Inject!$P$38/1000000*P$152/$G148)</f>
        <v>0</v>
      </c>
      <c r="Q187" s="664">
        <f>IF($F148=0,0,Volume_Inject!$P$38/1000000*Q$152/$G148)</f>
        <v>0</v>
      </c>
      <c r="R187" s="664">
        <f>IF($F148=0,0,Volume_Inject!$P$38/1000000*R$152/$G148)</f>
        <v>0</v>
      </c>
      <c r="S187" s="664">
        <f>IF($F148=0,0,Volume_Inject!$P$38/1000000*S$152/$G148)</f>
        <v>0</v>
      </c>
      <c r="T187" s="664">
        <f>IF($F148=0,0,Volume_Inject!$P$38/1000000*T$152/$G148)</f>
        <v>0</v>
      </c>
      <c r="U187" s="664">
        <f>IF($F148=0,0,Volume_Inject!$P$38/1000000*U$152/$G148)</f>
        <v>0</v>
      </c>
      <c r="V187" s="664">
        <f>IF($F148=0,0,Volume_Inject!$P$38/1000000*V$152/$G148)</f>
        <v>0</v>
      </c>
      <c r="W187" s="664">
        <f>IF($F148=0,0,Volume_Inject!$P$38/1000000*W$152/$G148)</f>
        <v>0</v>
      </c>
      <c r="X187" s="664">
        <f>IF($F148=0,0,Volume_Inject!$P$38/1000000*X$152/$G148)</f>
        <v>0</v>
      </c>
      <c r="Y187" s="664">
        <f>IF($F148=0,0,Volume_Inject!$P$38/1000000*Y$152/$G148)</f>
        <v>0</v>
      </c>
      <c r="Z187" s="664">
        <f>IF($F148=0,0,Volume_Inject!$P$38/1000000*Z$152/$G148)</f>
        <v>0</v>
      </c>
      <c r="AA187" s="664">
        <f>IF($F148=0,0,Volume_Inject!$P$38/1000000*AA$152/$G148)</f>
        <v>0</v>
      </c>
      <c r="AB187" s="664">
        <f>IF($F148=0,0,Volume_Inject!$P$38/1000000*AB$152/$G148)</f>
        <v>0</v>
      </c>
    </row>
    <row r="188" spans="2:28">
      <c r="B188" s="187"/>
      <c r="C188" s="188"/>
      <c r="D188" s="188"/>
      <c r="E188" s="188"/>
      <c r="F188" s="188"/>
      <c r="G188" s="188"/>
      <c r="H188" s="188"/>
      <c r="I188" s="188"/>
      <c r="J188" s="188"/>
      <c r="K188" s="188"/>
      <c r="L188" s="188"/>
      <c r="M188" s="188"/>
      <c r="N188" s="188"/>
      <c r="O188" s="188"/>
      <c r="P188" s="188"/>
      <c r="Q188" s="188"/>
      <c r="R188" s="188"/>
      <c r="S188" s="188"/>
      <c r="T188" s="188"/>
      <c r="U188" s="188"/>
      <c r="V188" s="188"/>
      <c r="W188" s="188"/>
      <c r="X188" s="188"/>
      <c r="Y188" s="188"/>
      <c r="Z188" s="188"/>
      <c r="AA188" s="188"/>
      <c r="AB188" s="188"/>
    </row>
    <row r="189" spans="2:28" s="463" customFormat="1" ht="21">
      <c r="B189" s="464" t="str">
        <f>Translation!C73</f>
        <v>Analysis of cold chain cost</v>
      </c>
      <c r="C189" s="465"/>
      <c r="D189" s="465"/>
      <c r="E189" s="465"/>
      <c r="F189" s="465"/>
      <c r="G189" s="465"/>
      <c r="H189" s="465"/>
      <c r="I189" s="465"/>
      <c r="J189" s="465"/>
      <c r="K189" s="465"/>
      <c r="L189" s="465"/>
      <c r="M189" s="465"/>
      <c r="N189" s="465"/>
      <c r="O189" s="465"/>
      <c r="P189" s="465"/>
      <c r="Q189" s="465"/>
      <c r="R189" s="465"/>
      <c r="S189" s="465"/>
      <c r="T189" s="465"/>
      <c r="U189" s="465"/>
      <c r="V189" s="465"/>
      <c r="W189" s="465"/>
      <c r="X189" s="465"/>
      <c r="Y189" s="465"/>
      <c r="Z189" s="465"/>
      <c r="AA189" s="465"/>
      <c r="AB189" s="465"/>
    </row>
    <row r="190" spans="2:28" outlineLevel="1">
      <c r="B190" s="632"/>
      <c r="C190" s="631"/>
      <c r="D190" s="631"/>
      <c r="E190" s="627"/>
      <c r="F190" s="674" t="str">
        <f>F2</f>
        <v>Maximum stock levels (months)</v>
      </c>
      <c r="G190" s="686"/>
      <c r="H190" s="631"/>
      <c r="I190" s="631"/>
      <c r="J190" s="631"/>
      <c r="K190" s="631"/>
      <c r="L190" s="631"/>
      <c r="M190" s="631"/>
      <c r="N190" s="631"/>
      <c r="O190" s="631"/>
      <c r="P190" s="631"/>
      <c r="Q190" s="631"/>
      <c r="R190" s="631"/>
      <c r="S190" s="631"/>
      <c r="T190" s="631"/>
      <c r="U190" s="631"/>
      <c r="V190" s="631"/>
      <c r="W190" s="631"/>
      <c r="X190" s="631"/>
      <c r="Y190" s="631"/>
      <c r="Z190" s="631"/>
      <c r="AA190" s="631"/>
      <c r="AB190" s="631"/>
    </row>
    <row r="191" spans="2:28" ht="13.2" outlineLevel="1">
      <c r="B191" s="628" t="str">
        <f t="shared" ref="B191:C194" si="55">B4</f>
        <v>Analysis per</v>
      </c>
      <c r="C191" s="828" t="str">
        <f t="shared" si="55"/>
        <v xml:space="preserve">Unit of Population </v>
      </c>
      <c r="D191" s="823"/>
      <c r="E191" s="627"/>
      <c r="F191" s="829">
        <f>F4</f>
        <v>4</v>
      </c>
      <c r="G191" s="830"/>
      <c r="H191" s="631"/>
      <c r="I191" s="631"/>
      <c r="J191" s="631"/>
      <c r="K191" s="631"/>
      <c r="L191" s="631"/>
      <c r="M191" s="631"/>
      <c r="N191" s="631"/>
      <c r="O191" s="631"/>
      <c r="P191" s="631"/>
      <c r="Q191" s="631"/>
      <c r="R191" s="631"/>
      <c r="S191" s="631"/>
      <c r="T191" s="631"/>
      <c r="U191" s="631"/>
      <c r="V191" s="631"/>
      <c r="W191" s="631"/>
      <c r="X191" s="631"/>
      <c r="Y191" s="631"/>
      <c r="Z191" s="631"/>
      <c r="AA191" s="631"/>
      <c r="AB191" s="631"/>
    </row>
    <row r="192" spans="2:28" ht="13.2" outlineLevel="1">
      <c r="B192" s="628" t="str">
        <f t="shared" si="55"/>
        <v>Total population (minimum)</v>
      </c>
      <c r="C192" s="820">
        <f t="shared" si="55"/>
        <v>500000</v>
      </c>
      <c r="D192" s="821"/>
      <c r="E192" s="627"/>
      <c r="F192" s="829">
        <f>F5</f>
        <v>6</v>
      </c>
      <c r="G192" s="830"/>
      <c r="H192" s="631"/>
      <c r="I192" s="631"/>
      <c r="J192" s="631"/>
      <c r="K192" s="631"/>
      <c r="L192" s="631"/>
      <c r="M192" s="631"/>
      <c r="N192" s="631"/>
      <c r="O192" s="631"/>
      <c r="P192" s="631"/>
      <c r="Q192" s="631"/>
      <c r="R192" s="631"/>
      <c r="S192" s="631"/>
      <c r="T192" s="631"/>
      <c r="U192" s="631"/>
      <c r="V192" s="631"/>
      <c r="W192" s="631"/>
      <c r="X192" s="631"/>
      <c r="Y192" s="631"/>
      <c r="Z192" s="631"/>
      <c r="AA192" s="631"/>
      <c r="AB192" s="631"/>
    </row>
    <row r="193" spans="2:28" ht="13.2" outlineLevel="1">
      <c r="B193" s="628" t="str">
        <f t="shared" si="55"/>
        <v>Total population (maximum)</v>
      </c>
      <c r="C193" s="820">
        <f t="shared" si="55"/>
        <v>10000000</v>
      </c>
      <c r="D193" s="821"/>
      <c r="E193" s="627"/>
      <c r="F193" s="829">
        <f>F6</f>
        <v>9</v>
      </c>
      <c r="G193" s="830"/>
      <c r="H193" s="631"/>
      <c r="I193" s="631"/>
      <c r="J193" s="631"/>
      <c r="K193" s="631"/>
      <c r="L193" s="631"/>
      <c r="M193" s="631"/>
      <c r="N193" s="631"/>
      <c r="O193" s="631"/>
      <c r="P193" s="631"/>
      <c r="Q193" s="631"/>
      <c r="R193" s="631"/>
      <c r="S193" s="631"/>
      <c r="T193" s="631"/>
      <c r="U193" s="631"/>
      <c r="V193" s="631"/>
      <c r="W193" s="631"/>
      <c r="X193" s="631"/>
      <c r="Y193" s="631"/>
      <c r="Z193" s="631"/>
      <c r="AA193" s="631"/>
      <c r="AB193" s="631"/>
    </row>
    <row r="194" spans="2:28" ht="10.5" customHeight="1" outlineLevel="1">
      <c r="B194" s="628" t="str">
        <f t="shared" si="55"/>
        <v>MaxiStock</v>
      </c>
      <c r="C194" s="822" t="str">
        <f t="shared" si="55"/>
        <v>per individual vaccine</v>
      </c>
      <c r="D194" s="823"/>
      <c r="E194" s="627"/>
      <c r="F194" s="829" t="str">
        <f>F7</f>
        <v>par vaccin individuel</v>
      </c>
      <c r="G194" s="831"/>
      <c r="H194" s="627"/>
      <c r="I194" s="627"/>
      <c r="J194" s="627"/>
      <c r="K194" s="627"/>
      <c r="L194" s="627"/>
      <c r="M194" s="627"/>
      <c r="N194" s="627"/>
      <c r="O194" s="627"/>
      <c r="P194" s="627"/>
      <c r="Q194" s="627"/>
      <c r="R194" s="627"/>
      <c r="S194" s="627"/>
      <c r="T194" s="627"/>
      <c r="U194" s="627"/>
      <c r="V194" s="627"/>
      <c r="W194" s="627"/>
      <c r="X194" s="627"/>
      <c r="Y194" s="627"/>
      <c r="Z194" s="627"/>
      <c r="AA194" s="627"/>
      <c r="AB194" s="627"/>
    </row>
    <row r="195" spans="2:28" hidden="1" outlineLevel="1">
      <c r="B195" s="628"/>
      <c r="C195" s="687">
        <f>(C193-C192)/25</f>
        <v>380000</v>
      </c>
      <c r="D195" s="687">
        <f>IF(C195=0,0,ROUNDUP(C195,-(ROUND(LOG(C195),1))))</f>
        <v>400000</v>
      </c>
      <c r="E195" s="628"/>
      <c r="F195" s="628"/>
      <c r="G195" s="628"/>
      <c r="H195" s="628"/>
      <c r="I195" s="628"/>
      <c r="J195" s="628"/>
      <c r="K195" s="628"/>
      <c r="L195" s="628"/>
      <c r="M195" s="628"/>
      <c r="N195" s="627"/>
      <c r="O195" s="627"/>
      <c r="P195" s="627"/>
      <c r="Q195" s="627"/>
      <c r="R195" s="627"/>
      <c r="S195" s="627"/>
      <c r="T195" s="627"/>
      <c r="U195" s="627"/>
      <c r="V195" s="627"/>
      <c r="W195" s="627"/>
      <c r="X195" s="627"/>
      <c r="Y195" s="627"/>
      <c r="Z195" s="627"/>
      <c r="AA195" s="627"/>
      <c r="AB195" s="627"/>
    </row>
    <row r="196" spans="2:28" s="548" customFormat="1" outlineLevel="1">
      <c r="B196" s="666"/>
      <c r="C196" s="627"/>
      <c r="D196" s="631"/>
      <c r="E196" s="666"/>
      <c r="F196" s="783" t="str">
        <f>IF($C$4=target2,Translation!$C$12,Translation!$C$13)</f>
        <v>Total population</v>
      </c>
      <c r="G196" s="666"/>
      <c r="H196" s="666"/>
      <c r="I196" s="666"/>
      <c r="J196" s="666"/>
      <c r="K196" s="666"/>
      <c r="L196" s="666"/>
      <c r="M196" s="666"/>
      <c r="N196" s="666"/>
      <c r="O196" s="666"/>
      <c r="P196" s="666"/>
      <c r="Q196" s="666"/>
      <c r="R196" s="666"/>
      <c r="S196" s="666"/>
      <c r="T196" s="666"/>
      <c r="U196" s="666"/>
      <c r="V196" s="666"/>
      <c r="W196" s="666"/>
      <c r="X196" s="666"/>
      <c r="Y196" s="666"/>
      <c r="Z196" s="666"/>
      <c r="AA196" s="666"/>
      <c r="AB196" s="666"/>
    </row>
    <row r="197" spans="2:28" ht="12" customHeight="1" outlineLevel="1">
      <c r="B197" s="593" t="str">
        <f>B11</f>
        <v xml:space="preserve">Total population: </v>
      </c>
      <c r="C197" s="594">
        <f>C192</f>
        <v>500000</v>
      </c>
      <c r="D197" s="594">
        <f>C197+$D$195</f>
        <v>900000</v>
      </c>
      <c r="E197" s="594">
        <f t="shared" ref="E197:AB197" si="56">D197+$D$195</f>
        <v>1300000</v>
      </c>
      <c r="F197" s="594">
        <f t="shared" si="56"/>
        <v>1700000</v>
      </c>
      <c r="G197" s="594">
        <f t="shared" si="56"/>
        <v>2100000</v>
      </c>
      <c r="H197" s="594">
        <f t="shared" si="56"/>
        <v>2500000</v>
      </c>
      <c r="I197" s="594">
        <f t="shared" si="56"/>
        <v>2900000</v>
      </c>
      <c r="J197" s="594">
        <f t="shared" si="56"/>
        <v>3300000</v>
      </c>
      <c r="K197" s="594">
        <f t="shared" si="56"/>
        <v>3700000</v>
      </c>
      <c r="L197" s="594">
        <f t="shared" si="56"/>
        <v>4100000</v>
      </c>
      <c r="M197" s="594">
        <f t="shared" si="56"/>
        <v>4500000</v>
      </c>
      <c r="N197" s="594">
        <f t="shared" si="56"/>
        <v>4900000</v>
      </c>
      <c r="O197" s="594">
        <f t="shared" si="56"/>
        <v>5300000</v>
      </c>
      <c r="P197" s="594">
        <f t="shared" si="56"/>
        <v>5700000</v>
      </c>
      <c r="Q197" s="594">
        <f t="shared" si="56"/>
        <v>6100000</v>
      </c>
      <c r="R197" s="594">
        <f t="shared" si="56"/>
        <v>6500000</v>
      </c>
      <c r="S197" s="594">
        <f t="shared" si="56"/>
        <v>6900000</v>
      </c>
      <c r="T197" s="594">
        <f t="shared" si="56"/>
        <v>7300000</v>
      </c>
      <c r="U197" s="594">
        <f t="shared" si="56"/>
        <v>7700000</v>
      </c>
      <c r="V197" s="594">
        <f t="shared" si="56"/>
        <v>8100000</v>
      </c>
      <c r="W197" s="594">
        <f t="shared" si="56"/>
        <v>8500000</v>
      </c>
      <c r="X197" s="594">
        <f t="shared" si="56"/>
        <v>8900000</v>
      </c>
      <c r="Y197" s="594">
        <f t="shared" si="56"/>
        <v>9300000</v>
      </c>
      <c r="Z197" s="594">
        <f t="shared" si="56"/>
        <v>9700000</v>
      </c>
      <c r="AA197" s="594">
        <f t="shared" si="56"/>
        <v>10100000</v>
      </c>
      <c r="AB197" s="594">
        <f t="shared" si="56"/>
        <v>10500000</v>
      </c>
    </row>
    <row r="198" spans="2:28" ht="12" outlineLevel="1">
      <c r="B198" s="658" t="str">
        <f>Translation!C74</f>
        <v>Total estimated cold-chain purchase cost, $</v>
      </c>
      <c r="C198" s="652"/>
      <c r="D198" s="652"/>
      <c r="E198" s="652"/>
      <c r="F198" s="652"/>
      <c r="G198" s="652"/>
      <c r="H198" s="652"/>
      <c r="I198" s="652"/>
      <c r="J198" s="652"/>
      <c r="K198" s="652"/>
      <c r="L198" s="652"/>
      <c r="M198" s="652"/>
      <c r="N198" s="652"/>
      <c r="O198" s="652"/>
      <c r="P198" s="652"/>
      <c r="Q198" s="652"/>
      <c r="R198" s="652"/>
      <c r="S198" s="652"/>
      <c r="T198" s="652"/>
      <c r="U198" s="652"/>
      <c r="V198" s="652"/>
      <c r="W198" s="652"/>
      <c r="X198" s="652"/>
      <c r="Y198" s="652"/>
      <c r="Z198" s="652"/>
      <c r="AA198" s="652"/>
      <c r="AB198" s="652"/>
    </row>
    <row r="199" spans="2:28" outlineLevel="1">
      <c r="B199" s="635" t="str">
        <f>B13</f>
        <v>Current schedule @ per individual vaccine months-MaxiStock</v>
      </c>
      <c r="C199" s="672">
        <f t="shared" ref="C199:AB199" si="57">$L$6*(C13*$N$5/1000)^3+$M$6*(C13*$N$5/1000)^2+$N$6*(C13*$N$5/1000)</f>
        <v>1152.8897287281932</v>
      </c>
      <c r="D199" s="672">
        <f t="shared" si="57"/>
        <v>2071.2005376791394</v>
      </c>
      <c r="E199" s="672">
        <f t="shared" si="57"/>
        <v>2985.9713647717977</v>
      </c>
      <c r="F199" s="672">
        <f t="shared" si="57"/>
        <v>3897.2173849321439</v>
      </c>
      <c r="G199" s="672">
        <f t="shared" si="57"/>
        <v>4804.9537730861575</v>
      </c>
      <c r="H199" s="672">
        <f t="shared" si="57"/>
        <v>5709.1957041598143</v>
      </c>
      <c r="I199" s="672">
        <f t="shared" si="57"/>
        <v>6609.9583530790915</v>
      </c>
      <c r="J199" s="672">
        <f t="shared" si="57"/>
        <v>7507.2568947699683</v>
      </c>
      <c r="K199" s="672">
        <f t="shared" si="57"/>
        <v>8401.106504158417</v>
      </c>
      <c r="L199" s="672">
        <f t="shared" si="57"/>
        <v>9291.5223561704206</v>
      </c>
      <c r="M199" s="672">
        <f t="shared" si="57"/>
        <v>10178.519625731951</v>
      </c>
      <c r="N199" s="672">
        <f t="shared" si="57"/>
        <v>11062.113487768993</v>
      </c>
      <c r="O199" s="672">
        <f t="shared" si="57"/>
        <v>11942.319117207515</v>
      </c>
      <c r="P199" s="672">
        <f t="shared" si="57"/>
        <v>12819.151688973494</v>
      </c>
      <c r="Q199" s="672">
        <f t="shared" si="57"/>
        <v>13692.626377992914</v>
      </c>
      <c r="R199" s="672">
        <f t="shared" si="57"/>
        <v>14562.758359191748</v>
      </c>
      <c r="S199" s="672">
        <f t="shared" si="57"/>
        <v>15429.562807495979</v>
      </c>
      <c r="T199" s="672">
        <f t="shared" si="57"/>
        <v>16293.054897831576</v>
      </c>
      <c r="U199" s="672">
        <f t="shared" si="57"/>
        <v>17153.249805124517</v>
      </c>
      <c r="V199" s="672">
        <f t="shared" si="57"/>
        <v>18010.162704300783</v>
      </c>
      <c r="W199" s="672">
        <f t="shared" si="57"/>
        <v>18863.808770286356</v>
      </c>
      <c r="X199" s="672">
        <f t="shared" si="57"/>
        <v>19714.203178007199</v>
      </c>
      <c r="Y199" s="672">
        <f t="shared" si="57"/>
        <v>20561.361102389299</v>
      </c>
      <c r="Z199" s="672">
        <f t="shared" si="57"/>
        <v>21405.297718358637</v>
      </c>
      <c r="AA199" s="672">
        <f t="shared" si="57"/>
        <v>22246.028200841181</v>
      </c>
      <c r="AB199" s="672">
        <f t="shared" si="57"/>
        <v>23083.567724762906</v>
      </c>
    </row>
    <row r="200" spans="2:28" outlineLevel="1">
      <c r="B200" s="635" t="str">
        <f>B14</f>
        <v>Current schedule with penta 1d @ per individual vaccine months-MaxiStock</v>
      </c>
      <c r="C200" s="672">
        <f t="shared" ref="C200:AB200" si="58">$L$6*(C14*$N$5/1000)^3+$M$6*(C14*$N$5/1000)^2+$N$6*(C14*$N$5/1000)</f>
        <v>2346.9048132409425</v>
      </c>
      <c r="D200" s="672">
        <f t="shared" si="58"/>
        <v>4207.8516750354129</v>
      </c>
      <c r="E200" s="672">
        <f t="shared" si="58"/>
        <v>6054.2031633782008</v>
      </c>
      <c r="F200" s="672">
        <f t="shared" si="58"/>
        <v>7886.088257686858</v>
      </c>
      <c r="G200" s="672">
        <f t="shared" si="58"/>
        <v>9703.6359373789346</v>
      </c>
      <c r="H200" s="672">
        <f t="shared" si="58"/>
        <v>11506.975181871985</v>
      </c>
      <c r="I200" s="672">
        <f t="shared" si="58"/>
        <v>13296.234970583555</v>
      </c>
      <c r="J200" s="672">
        <f t="shared" si="58"/>
        <v>15071.544282931205</v>
      </c>
      <c r="K200" s="672">
        <f t="shared" si="58"/>
        <v>16833.032098332482</v>
      </c>
      <c r="L200" s="672">
        <f t="shared" si="58"/>
        <v>18580.827396204928</v>
      </c>
      <c r="M200" s="672">
        <f t="shared" si="58"/>
        <v>20315.059155966104</v>
      </c>
      <c r="N200" s="672">
        <f t="shared" si="58"/>
        <v>22035.856357033572</v>
      </c>
      <c r="O200" s="672">
        <f t="shared" si="58"/>
        <v>23743.347978824862</v>
      </c>
      <c r="P200" s="672">
        <f t="shared" si="58"/>
        <v>25437.663000757537</v>
      </c>
      <c r="Q200" s="672">
        <f t="shared" si="58"/>
        <v>27118.930402249138</v>
      </c>
      <c r="R200" s="672">
        <f t="shared" si="58"/>
        <v>28787.27916271723</v>
      </c>
      <c r="S200" s="672">
        <f t="shared" si="58"/>
        <v>30442.838261579367</v>
      </c>
      <c r="T200" s="672">
        <f t="shared" si="58"/>
        <v>32085.736678253084</v>
      </c>
      <c r="U200" s="672">
        <f t="shared" si="58"/>
        <v>33716.10339215595</v>
      </c>
      <c r="V200" s="672">
        <f t="shared" si="58"/>
        <v>35334.0673827055</v>
      </c>
      <c r="W200" s="672">
        <f t="shared" si="58"/>
        <v>36939.757629319298</v>
      </c>
      <c r="X200" s="672">
        <f t="shared" si="58"/>
        <v>38533.303111414891</v>
      </c>
      <c r="Y200" s="672">
        <f t="shared" si="58"/>
        <v>40114.832808409832</v>
      </c>
      <c r="Z200" s="672">
        <f t="shared" si="58"/>
        <v>41684.475699721661</v>
      </c>
      <c r="AA200" s="672">
        <f t="shared" si="58"/>
        <v>43242.360764767946</v>
      </c>
      <c r="AB200" s="672">
        <f t="shared" si="58"/>
        <v>44788.616982966225</v>
      </c>
    </row>
    <row r="201" spans="2:28" outlineLevel="1">
      <c r="B201" s="635" t="str">
        <f>B15</f>
        <v>Current schedule with penta CAD @ per individual vaccine months-MaxiStock</v>
      </c>
      <c r="C201" s="672">
        <f t="shared" ref="C201:AB201" si="59">$L$6*(C15*$N$5/1000)^3+$M$6*(C15*$N$5/1000)^2+$N$6*(C15*$N$5/1000)</f>
        <v>2185.8659584028269</v>
      </c>
      <c r="D201" s="672">
        <f t="shared" si="59"/>
        <v>3920.1782647783584</v>
      </c>
      <c r="E201" s="672">
        <f t="shared" si="59"/>
        <v>5641.8207178445573</v>
      </c>
      <c r="F201" s="672">
        <f t="shared" si="59"/>
        <v>7350.8974204721826</v>
      </c>
      <c r="G201" s="672">
        <f t="shared" si="59"/>
        <v>9047.512475531983</v>
      </c>
      <c r="H201" s="672">
        <f t="shared" si="59"/>
        <v>10731.769985894716</v>
      </c>
      <c r="I201" s="672">
        <f t="shared" si="59"/>
        <v>12403.774054431138</v>
      </c>
      <c r="J201" s="672">
        <f t="shared" si="59"/>
        <v>14063.628784011999</v>
      </c>
      <c r="K201" s="672">
        <f t="shared" si="59"/>
        <v>15711.438277508056</v>
      </c>
      <c r="L201" s="672">
        <f t="shared" si="59"/>
        <v>17347.306637790069</v>
      </c>
      <c r="M201" s="672">
        <f t="shared" si="59"/>
        <v>18971.337967728781</v>
      </c>
      <c r="N201" s="672">
        <f t="shared" si="59"/>
        <v>20583.636370194956</v>
      </c>
      <c r="O201" s="672">
        <f t="shared" si="59"/>
        <v>22184.305948059344</v>
      </c>
      <c r="P201" s="672">
        <f t="shared" si="59"/>
        <v>23773.450804192704</v>
      </c>
      <c r="Q201" s="672">
        <f t="shared" si="59"/>
        <v>25351.175041465787</v>
      </c>
      <c r="R201" s="672">
        <f t="shared" si="59"/>
        <v>26917.582762749349</v>
      </c>
      <c r="S201" s="672">
        <f t="shared" si="59"/>
        <v>28472.778070914141</v>
      </c>
      <c r="T201" s="672">
        <f t="shared" si="59"/>
        <v>30016.865068830924</v>
      </c>
      <c r="U201" s="672">
        <f t="shared" si="59"/>
        <v>31549.947859370448</v>
      </c>
      <c r="V201" s="672">
        <f t="shared" si="59"/>
        <v>33072.130545403466</v>
      </c>
      <c r="W201" s="672">
        <f t="shared" si="59"/>
        <v>34583.517229800746</v>
      </c>
      <c r="X201" s="672">
        <f t="shared" si="59"/>
        <v>36084.212015433011</v>
      </c>
      <c r="Y201" s="672">
        <f t="shared" si="59"/>
        <v>37574.319005171055</v>
      </c>
      <c r="Z201" s="672">
        <f t="shared" si="59"/>
        <v>39053.942301885603</v>
      </c>
      <c r="AA201" s="672">
        <f t="shared" si="59"/>
        <v>40523.186008447432</v>
      </c>
      <c r="AB201" s="672">
        <f t="shared" si="59"/>
        <v>41982.154227727275</v>
      </c>
    </row>
    <row r="202" spans="2:28" outlineLevel="1">
      <c r="B202" s="635" t="str">
        <f>B16</f>
        <v/>
      </c>
      <c r="C202" s="672">
        <f t="shared" ref="C202:AB202" si="60">$L$6*(C16*$N$5/1000)^3+$M$6*(C16*$N$5/1000)^2+$N$6*(C16*$N$5/1000)</f>
        <v>0</v>
      </c>
      <c r="D202" s="672">
        <f t="shared" si="60"/>
        <v>0</v>
      </c>
      <c r="E202" s="672">
        <f t="shared" si="60"/>
        <v>0</v>
      </c>
      <c r="F202" s="672">
        <f t="shared" si="60"/>
        <v>0</v>
      </c>
      <c r="G202" s="672">
        <f t="shared" si="60"/>
        <v>0</v>
      </c>
      <c r="H202" s="672">
        <f t="shared" si="60"/>
        <v>0</v>
      </c>
      <c r="I202" s="672">
        <f t="shared" si="60"/>
        <v>0</v>
      </c>
      <c r="J202" s="672">
        <f t="shared" si="60"/>
        <v>0</v>
      </c>
      <c r="K202" s="672">
        <f t="shared" si="60"/>
        <v>0</v>
      </c>
      <c r="L202" s="672">
        <f t="shared" si="60"/>
        <v>0</v>
      </c>
      <c r="M202" s="672">
        <f t="shared" si="60"/>
        <v>0</v>
      </c>
      <c r="N202" s="672">
        <f t="shared" si="60"/>
        <v>0</v>
      </c>
      <c r="O202" s="672">
        <f t="shared" si="60"/>
        <v>0</v>
      </c>
      <c r="P202" s="672">
        <f t="shared" si="60"/>
        <v>0</v>
      </c>
      <c r="Q202" s="672">
        <f t="shared" si="60"/>
        <v>0</v>
      </c>
      <c r="R202" s="672">
        <f t="shared" si="60"/>
        <v>0</v>
      </c>
      <c r="S202" s="672">
        <f t="shared" si="60"/>
        <v>0</v>
      </c>
      <c r="T202" s="672">
        <f t="shared" si="60"/>
        <v>0</v>
      </c>
      <c r="U202" s="672">
        <f t="shared" si="60"/>
        <v>0</v>
      </c>
      <c r="V202" s="672">
        <f t="shared" si="60"/>
        <v>0</v>
      </c>
      <c r="W202" s="672">
        <f t="shared" si="60"/>
        <v>0</v>
      </c>
      <c r="X202" s="672">
        <f t="shared" si="60"/>
        <v>0</v>
      </c>
      <c r="Y202" s="672">
        <f t="shared" si="60"/>
        <v>0</v>
      </c>
      <c r="Z202" s="672">
        <f t="shared" si="60"/>
        <v>0</v>
      </c>
      <c r="AA202" s="672">
        <f t="shared" si="60"/>
        <v>0</v>
      </c>
      <c r="AB202" s="672">
        <f t="shared" si="60"/>
        <v>0</v>
      </c>
    </row>
    <row r="203" spans="2:28" outlineLevel="1">
      <c r="B203" s="635" t="str">
        <f>B17</f>
        <v/>
      </c>
      <c r="C203" s="672">
        <f t="shared" ref="C203:AB203" si="61">$L$6*(C17*$N$5/1000)^3+$M$6*(C17*$N$5/1000)^2+$N$6*(C17*$N$5/1000)</f>
        <v>0</v>
      </c>
      <c r="D203" s="672">
        <f t="shared" si="61"/>
        <v>0</v>
      </c>
      <c r="E203" s="672">
        <f t="shared" si="61"/>
        <v>0</v>
      </c>
      <c r="F203" s="672">
        <f t="shared" si="61"/>
        <v>0</v>
      </c>
      <c r="G203" s="672">
        <f t="shared" si="61"/>
        <v>0</v>
      </c>
      <c r="H203" s="672">
        <f t="shared" si="61"/>
        <v>0</v>
      </c>
      <c r="I203" s="672">
        <f t="shared" si="61"/>
        <v>0</v>
      </c>
      <c r="J203" s="672">
        <f t="shared" si="61"/>
        <v>0</v>
      </c>
      <c r="K203" s="672">
        <f t="shared" si="61"/>
        <v>0</v>
      </c>
      <c r="L203" s="672">
        <f t="shared" si="61"/>
        <v>0</v>
      </c>
      <c r="M203" s="672">
        <f t="shared" si="61"/>
        <v>0</v>
      </c>
      <c r="N203" s="672">
        <f t="shared" si="61"/>
        <v>0</v>
      </c>
      <c r="O203" s="672">
        <f t="shared" si="61"/>
        <v>0</v>
      </c>
      <c r="P203" s="672">
        <f t="shared" si="61"/>
        <v>0</v>
      </c>
      <c r="Q203" s="672">
        <f t="shared" si="61"/>
        <v>0</v>
      </c>
      <c r="R203" s="672">
        <f t="shared" si="61"/>
        <v>0</v>
      </c>
      <c r="S203" s="672">
        <f t="shared" si="61"/>
        <v>0</v>
      </c>
      <c r="T203" s="672">
        <f t="shared" si="61"/>
        <v>0</v>
      </c>
      <c r="U203" s="672">
        <f t="shared" si="61"/>
        <v>0</v>
      </c>
      <c r="V203" s="672">
        <f t="shared" si="61"/>
        <v>0</v>
      </c>
      <c r="W203" s="672">
        <f t="shared" si="61"/>
        <v>0</v>
      </c>
      <c r="X203" s="672">
        <f t="shared" si="61"/>
        <v>0</v>
      </c>
      <c r="Y203" s="672">
        <f t="shared" si="61"/>
        <v>0</v>
      </c>
      <c r="Z203" s="672">
        <f t="shared" si="61"/>
        <v>0</v>
      </c>
      <c r="AA203" s="672">
        <f t="shared" si="61"/>
        <v>0</v>
      </c>
      <c r="AB203" s="672">
        <f t="shared" si="61"/>
        <v>0</v>
      </c>
    </row>
    <row r="204" spans="2:28" ht="12" outlineLevel="1">
      <c r="B204" s="658" t="str">
        <f>Translation!C75</f>
        <v>Estimated purchase cost of litre net capacity of cold chain ($/litre)</v>
      </c>
      <c r="C204" s="673"/>
      <c r="D204" s="673"/>
      <c r="E204" s="673"/>
      <c r="F204" s="673"/>
      <c r="G204" s="673"/>
      <c r="H204" s="673"/>
      <c r="I204" s="673"/>
      <c r="J204" s="673"/>
      <c r="K204" s="673"/>
      <c r="L204" s="673"/>
      <c r="M204" s="673"/>
      <c r="N204" s="673"/>
      <c r="O204" s="673"/>
      <c r="P204" s="673"/>
      <c r="Q204" s="673"/>
      <c r="R204" s="673"/>
      <c r="S204" s="673"/>
      <c r="T204" s="673"/>
      <c r="U204" s="673"/>
      <c r="V204" s="673"/>
      <c r="W204" s="673"/>
      <c r="X204" s="673"/>
      <c r="Y204" s="673"/>
      <c r="Z204" s="673"/>
      <c r="AA204" s="673"/>
      <c r="AB204" s="673"/>
    </row>
    <row r="205" spans="2:28" outlineLevel="1">
      <c r="B205" s="635" t="str">
        <f>B199</f>
        <v>Current schedule @ per individual vaccine months-MaxiStock</v>
      </c>
      <c r="C205" s="672">
        <f t="shared" ref="C205:D209" si="62">IF(C13=0,"",C199/C13)</f>
        <v>9.7477328703083899</v>
      </c>
      <c r="D205" s="672">
        <f t="shared" si="62"/>
        <v>9.7289393093645149</v>
      </c>
      <c r="E205" s="672">
        <f t="shared" ref="E205:AB205" si="63">IF(E13=0,"",E199/E13)</f>
        <v>9.7101992086956699</v>
      </c>
      <c r="F205" s="672">
        <f t="shared" si="63"/>
        <v>9.6915125683018566</v>
      </c>
      <c r="G205" s="672">
        <f t="shared" si="63"/>
        <v>9.6728793881830768</v>
      </c>
      <c r="H205" s="672">
        <f t="shared" si="63"/>
        <v>9.6542996683393305</v>
      </c>
      <c r="I205" s="672">
        <f t="shared" si="63"/>
        <v>9.6357734087706159</v>
      </c>
      <c r="J205" s="672">
        <f t="shared" si="63"/>
        <v>9.6173006094769349</v>
      </c>
      <c r="K205" s="672">
        <f t="shared" si="63"/>
        <v>9.5988812704582838</v>
      </c>
      <c r="L205" s="672">
        <f t="shared" si="63"/>
        <v>9.5805153917146697</v>
      </c>
      <c r="M205" s="672">
        <f t="shared" si="63"/>
        <v>9.5622029732460838</v>
      </c>
      <c r="N205" s="672">
        <f t="shared" si="63"/>
        <v>9.5439440150525332</v>
      </c>
      <c r="O205" s="672">
        <f t="shared" si="63"/>
        <v>9.5257385171340143</v>
      </c>
      <c r="P205" s="672">
        <f t="shared" si="63"/>
        <v>9.5075864794905272</v>
      </c>
      <c r="Q205" s="672">
        <f t="shared" si="63"/>
        <v>9.4894879021220717</v>
      </c>
      <c r="R205" s="672">
        <f t="shared" si="63"/>
        <v>9.4714427850286516</v>
      </c>
      <c r="S205" s="672">
        <f t="shared" si="63"/>
        <v>9.4534511282102631</v>
      </c>
      <c r="T205" s="672">
        <f t="shared" si="63"/>
        <v>9.4355129316669064</v>
      </c>
      <c r="U205" s="672">
        <f t="shared" si="63"/>
        <v>9.4176281953985814</v>
      </c>
      <c r="V205" s="672">
        <f t="shared" si="63"/>
        <v>9.3997969194052899</v>
      </c>
      <c r="W205" s="672">
        <f t="shared" si="63"/>
        <v>9.3820191036870337</v>
      </c>
      <c r="X205" s="672">
        <f t="shared" si="63"/>
        <v>9.3642947482438075</v>
      </c>
      <c r="Y205" s="672">
        <f t="shared" si="63"/>
        <v>9.3466238530756129</v>
      </c>
      <c r="Z205" s="672">
        <f t="shared" si="63"/>
        <v>9.3290064181824537</v>
      </c>
      <c r="AA205" s="672">
        <f t="shared" si="63"/>
        <v>9.3114424435643244</v>
      </c>
      <c r="AB205" s="672">
        <f t="shared" si="63"/>
        <v>9.2939319292212286</v>
      </c>
    </row>
    <row r="206" spans="2:28" outlineLevel="1">
      <c r="B206" s="635" t="str">
        <f>B200</f>
        <v>Current schedule with penta 1d @ per individual vaccine months-MaxiStock</v>
      </c>
      <c r="C206" s="672">
        <f t="shared" si="62"/>
        <v>9.7232931906629023</v>
      </c>
      <c r="D206" s="672">
        <f t="shared" si="62"/>
        <v>9.6851382269671085</v>
      </c>
      <c r="E206" s="672">
        <f t="shared" ref="E206:AB206" si="64">IF(E14=0,"",E200/E14)</f>
        <v>9.6472059155147676</v>
      </c>
      <c r="F206" s="672">
        <f t="shared" si="64"/>
        <v>9.6094962563058797</v>
      </c>
      <c r="G206" s="672">
        <f t="shared" si="64"/>
        <v>9.5720092493404447</v>
      </c>
      <c r="H206" s="672">
        <f t="shared" si="64"/>
        <v>9.5347448946184628</v>
      </c>
      <c r="I206" s="672">
        <f t="shared" si="64"/>
        <v>9.4977031921399337</v>
      </c>
      <c r="J206" s="672">
        <f t="shared" si="64"/>
        <v>9.4608841419048595</v>
      </c>
      <c r="K206" s="672">
        <f t="shared" si="64"/>
        <v>9.4242877439132382</v>
      </c>
      <c r="L206" s="672">
        <f t="shared" si="64"/>
        <v>9.3879139981650681</v>
      </c>
      <c r="M206" s="672">
        <f t="shared" si="64"/>
        <v>9.351762904660351</v>
      </c>
      <c r="N206" s="672">
        <f t="shared" si="64"/>
        <v>9.3158344633990886</v>
      </c>
      <c r="O206" s="672">
        <f t="shared" si="64"/>
        <v>9.2801286743812792</v>
      </c>
      <c r="P206" s="672">
        <f t="shared" si="64"/>
        <v>9.2446455376069228</v>
      </c>
      <c r="Q206" s="672">
        <f t="shared" si="64"/>
        <v>9.2093850530760157</v>
      </c>
      <c r="R206" s="672">
        <f t="shared" si="64"/>
        <v>9.1743472207885652</v>
      </c>
      <c r="S206" s="672">
        <f t="shared" si="64"/>
        <v>9.1395320407445677</v>
      </c>
      <c r="T206" s="672">
        <f t="shared" si="64"/>
        <v>9.1049395129440231</v>
      </c>
      <c r="U206" s="672">
        <f t="shared" si="64"/>
        <v>9.0705696373869333</v>
      </c>
      <c r="V206" s="672">
        <f t="shared" si="64"/>
        <v>9.0364224140732929</v>
      </c>
      <c r="W206" s="672">
        <f t="shared" si="64"/>
        <v>9.0024978430031073</v>
      </c>
      <c r="X206" s="672">
        <f t="shared" si="64"/>
        <v>8.9687959241763764</v>
      </c>
      <c r="Y206" s="672">
        <f t="shared" si="64"/>
        <v>8.9353166575930949</v>
      </c>
      <c r="Z206" s="672">
        <f t="shared" si="64"/>
        <v>8.9020600432532699</v>
      </c>
      <c r="AA206" s="672">
        <f t="shared" si="64"/>
        <v>8.8690260811568962</v>
      </c>
      <c r="AB206" s="672">
        <f t="shared" si="64"/>
        <v>8.8362147713039754</v>
      </c>
    </row>
    <row r="207" spans="2:28" outlineLevel="1">
      <c r="B207" s="635" t="str">
        <f>B201</f>
        <v>Current schedule with penta CAD @ per individual vaccine months-MaxiStock</v>
      </c>
      <c r="C207" s="672">
        <f t="shared" si="62"/>
        <v>9.7265912972844912</v>
      </c>
      <c r="D207" s="672">
        <f t="shared" si="62"/>
        <v>9.6910414757590786</v>
      </c>
      <c r="E207" s="672">
        <f t="shared" ref="E207:AB207" si="65">IF(E15=0,"",E201/E15)</f>
        <v>9.655684668142106</v>
      </c>
      <c r="F207" s="672">
        <f t="shared" si="65"/>
        <v>9.6205208744335788</v>
      </c>
      <c r="G207" s="672">
        <f t="shared" si="65"/>
        <v>9.5855500946334917</v>
      </c>
      <c r="H207" s="672">
        <f t="shared" si="65"/>
        <v>9.5507723287418429</v>
      </c>
      <c r="I207" s="672">
        <f t="shared" si="65"/>
        <v>9.5161875767586395</v>
      </c>
      <c r="J207" s="672">
        <f t="shared" si="65"/>
        <v>9.4817958386838725</v>
      </c>
      <c r="K207" s="672">
        <f t="shared" si="65"/>
        <v>9.447597114517551</v>
      </c>
      <c r="L207" s="672">
        <f t="shared" si="65"/>
        <v>9.4135914042596696</v>
      </c>
      <c r="M207" s="672">
        <f t="shared" si="65"/>
        <v>9.3797787079102282</v>
      </c>
      <c r="N207" s="672">
        <f t="shared" si="65"/>
        <v>9.3461590254692304</v>
      </c>
      <c r="O207" s="672">
        <f t="shared" si="65"/>
        <v>9.3127323569366709</v>
      </c>
      <c r="P207" s="672">
        <f t="shared" si="65"/>
        <v>9.279498702312555</v>
      </c>
      <c r="Q207" s="672">
        <f t="shared" si="65"/>
        <v>9.2464580615968792</v>
      </c>
      <c r="R207" s="672">
        <f t="shared" si="65"/>
        <v>9.2136104347896453</v>
      </c>
      <c r="S207" s="672">
        <f t="shared" si="65"/>
        <v>9.1809558218908531</v>
      </c>
      <c r="T207" s="672">
        <f t="shared" si="65"/>
        <v>9.1484942229005011</v>
      </c>
      <c r="U207" s="672">
        <f t="shared" si="65"/>
        <v>9.1162256378185909</v>
      </c>
      <c r="V207" s="672">
        <f t="shared" si="65"/>
        <v>9.0841500666451207</v>
      </c>
      <c r="W207" s="672">
        <f t="shared" si="65"/>
        <v>9.0522675093800942</v>
      </c>
      <c r="X207" s="672">
        <f t="shared" si="65"/>
        <v>9.0205779660235059</v>
      </c>
      <c r="Y207" s="672">
        <f t="shared" si="65"/>
        <v>8.9890814365753613</v>
      </c>
      <c r="Z207" s="672">
        <f t="shared" si="65"/>
        <v>8.9577779210356567</v>
      </c>
      <c r="AA207" s="672">
        <f t="shared" si="65"/>
        <v>8.926667419404394</v>
      </c>
      <c r="AB207" s="672">
        <f t="shared" si="65"/>
        <v>8.8957499316815714</v>
      </c>
    </row>
    <row r="208" spans="2:28" outlineLevel="1">
      <c r="B208" s="635" t="str">
        <f>B202</f>
        <v/>
      </c>
      <c r="C208" s="672" t="str">
        <f t="shared" si="62"/>
        <v/>
      </c>
      <c r="D208" s="672" t="str">
        <f t="shared" si="62"/>
        <v/>
      </c>
      <c r="E208" s="672" t="str">
        <f t="shared" ref="E208:AB208" si="66">IF(E16=0,"",E202/E16)</f>
        <v/>
      </c>
      <c r="F208" s="672" t="str">
        <f t="shared" si="66"/>
        <v/>
      </c>
      <c r="G208" s="672" t="str">
        <f t="shared" si="66"/>
        <v/>
      </c>
      <c r="H208" s="672" t="str">
        <f t="shared" si="66"/>
        <v/>
      </c>
      <c r="I208" s="672" t="str">
        <f t="shared" si="66"/>
        <v/>
      </c>
      <c r="J208" s="672" t="str">
        <f t="shared" si="66"/>
        <v/>
      </c>
      <c r="K208" s="672" t="str">
        <f t="shared" si="66"/>
        <v/>
      </c>
      <c r="L208" s="672" t="str">
        <f t="shared" si="66"/>
        <v/>
      </c>
      <c r="M208" s="672" t="str">
        <f t="shared" si="66"/>
        <v/>
      </c>
      <c r="N208" s="672" t="str">
        <f t="shared" si="66"/>
        <v/>
      </c>
      <c r="O208" s="672" t="str">
        <f t="shared" si="66"/>
        <v/>
      </c>
      <c r="P208" s="672" t="str">
        <f t="shared" si="66"/>
        <v/>
      </c>
      <c r="Q208" s="672" t="str">
        <f t="shared" si="66"/>
        <v/>
      </c>
      <c r="R208" s="672" t="str">
        <f t="shared" si="66"/>
        <v/>
      </c>
      <c r="S208" s="672" t="str">
        <f t="shared" si="66"/>
        <v/>
      </c>
      <c r="T208" s="672" t="str">
        <f t="shared" si="66"/>
        <v/>
      </c>
      <c r="U208" s="672" t="str">
        <f t="shared" si="66"/>
        <v/>
      </c>
      <c r="V208" s="672" t="str">
        <f t="shared" si="66"/>
        <v/>
      </c>
      <c r="W208" s="672" t="str">
        <f t="shared" si="66"/>
        <v/>
      </c>
      <c r="X208" s="672" t="str">
        <f t="shared" si="66"/>
        <v/>
      </c>
      <c r="Y208" s="672" t="str">
        <f t="shared" si="66"/>
        <v/>
      </c>
      <c r="Z208" s="672" t="str">
        <f t="shared" si="66"/>
        <v/>
      </c>
      <c r="AA208" s="672" t="str">
        <f t="shared" si="66"/>
        <v/>
      </c>
      <c r="AB208" s="672" t="str">
        <f t="shared" si="66"/>
        <v/>
      </c>
    </row>
    <row r="209" spans="2:28" outlineLevel="1">
      <c r="B209" s="635" t="str">
        <f>B203</f>
        <v/>
      </c>
      <c r="C209" s="672" t="str">
        <f t="shared" si="62"/>
        <v/>
      </c>
      <c r="D209" s="672" t="str">
        <f t="shared" si="62"/>
        <v/>
      </c>
      <c r="E209" s="672" t="str">
        <f t="shared" ref="E209:AB209" si="67">IF(E17=0,"",E203/E17)</f>
        <v/>
      </c>
      <c r="F209" s="672" t="str">
        <f t="shared" si="67"/>
        <v/>
      </c>
      <c r="G209" s="672" t="str">
        <f t="shared" si="67"/>
        <v/>
      </c>
      <c r="H209" s="672" t="str">
        <f t="shared" si="67"/>
        <v/>
      </c>
      <c r="I209" s="672" t="str">
        <f t="shared" si="67"/>
        <v/>
      </c>
      <c r="J209" s="672" t="str">
        <f t="shared" si="67"/>
        <v/>
      </c>
      <c r="K209" s="672" t="str">
        <f t="shared" si="67"/>
        <v/>
      </c>
      <c r="L209" s="672" t="str">
        <f t="shared" si="67"/>
        <v/>
      </c>
      <c r="M209" s="672" t="str">
        <f t="shared" si="67"/>
        <v/>
      </c>
      <c r="N209" s="672" t="str">
        <f t="shared" si="67"/>
        <v/>
      </c>
      <c r="O209" s="672" t="str">
        <f t="shared" si="67"/>
        <v/>
      </c>
      <c r="P209" s="672" t="str">
        <f t="shared" si="67"/>
        <v/>
      </c>
      <c r="Q209" s="672" t="str">
        <f t="shared" si="67"/>
        <v/>
      </c>
      <c r="R209" s="672" t="str">
        <f t="shared" si="67"/>
        <v/>
      </c>
      <c r="S209" s="672" t="str">
        <f t="shared" si="67"/>
        <v/>
      </c>
      <c r="T209" s="672" t="str">
        <f t="shared" si="67"/>
        <v/>
      </c>
      <c r="U209" s="672" t="str">
        <f t="shared" si="67"/>
        <v/>
      </c>
      <c r="V209" s="672" t="str">
        <f t="shared" si="67"/>
        <v/>
      </c>
      <c r="W209" s="672" t="str">
        <f t="shared" si="67"/>
        <v/>
      </c>
      <c r="X209" s="672" t="str">
        <f t="shared" si="67"/>
        <v/>
      </c>
      <c r="Y209" s="672" t="str">
        <f t="shared" si="67"/>
        <v/>
      </c>
      <c r="Z209" s="672" t="str">
        <f t="shared" si="67"/>
        <v/>
      </c>
      <c r="AA209" s="672" t="str">
        <f t="shared" si="67"/>
        <v/>
      </c>
      <c r="AB209" s="672" t="str">
        <f t="shared" si="67"/>
        <v/>
      </c>
    </row>
    <row r="210" spans="2:28" ht="12" outlineLevel="1">
      <c r="B210" s="658" t="str">
        <f>B198</f>
        <v>Total estimated cold-chain purchase cost, $</v>
      </c>
      <c r="C210" s="673"/>
      <c r="D210" s="673"/>
      <c r="E210" s="673"/>
      <c r="F210" s="673"/>
      <c r="G210" s="673"/>
      <c r="H210" s="673"/>
      <c r="I210" s="673"/>
      <c r="J210" s="673"/>
      <c r="K210" s="673"/>
      <c r="L210" s="673"/>
      <c r="M210" s="673"/>
      <c r="N210" s="673"/>
      <c r="O210" s="673"/>
      <c r="P210" s="673"/>
      <c r="Q210" s="673"/>
      <c r="R210" s="673"/>
      <c r="S210" s="673"/>
      <c r="T210" s="673"/>
      <c r="U210" s="673"/>
      <c r="V210" s="673"/>
      <c r="W210" s="673"/>
      <c r="X210" s="673"/>
      <c r="Y210" s="673"/>
      <c r="Z210" s="673"/>
      <c r="AA210" s="673"/>
      <c r="AB210" s="673"/>
    </row>
    <row r="211" spans="2:28" outlineLevel="1">
      <c r="B211" s="635" t="str">
        <f>B26</f>
        <v>Current schedule @ 4 months MaxiStock</v>
      </c>
      <c r="C211" s="672">
        <f>$L$6*(C26*$N$5/1000)^3+$M$6*(C26*$N$5/1000)^2+$N$6*(C26*$N$5/1000)</f>
        <v>976.55554280152001</v>
      </c>
      <c r="D211" s="672">
        <f t="shared" ref="D211:AB214" si="68">$L$6*(D26*$N$5/1000)^3+$M$6*(D26*$N$5/1000)^2+$N$6*(D26*$N$5/1000)</f>
        <v>1754.9292361049474</v>
      </c>
      <c r="E211" s="672">
        <f t="shared" si="68"/>
        <v>2530.7611397714159</v>
      </c>
      <c r="F211" s="672">
        <f t="shared" si="68"/>
        <v>3304.0604661875595</v>
      </c>
      <c r="G211" s="672">
        <f t="shared" si="68"/>
        <v>4074.8364277400133</v>
      </c>
      <c r="H211" s="672">
        <f t="shared" si="68"/>
        <v>4843.0982368154109</v>
      </c>
      <c r="I211" s="672">
        <f t="shared" si="68"/>
        <v>5608.855105800385</v>
      </c>
      <c r="J211" s="672">
        <f t="shared" si="68"/>
        <v>6372.1162470815707</v>
      </c>
      <c r="K211" s="672">
        <f t="shared" si="68"/>
        <v>7132.8908730456042</v>
      </c>
      <c r="L211" s="672">
        <f t="shared" si="68"/>
        <v>7891.1881960791161</v>
      </c>
      <c r="M211" s="672">
        <f t="shared" si="68"/>
        <v>8647.0174285687408</v>
      </c>
      <c r="N211" s="672">
        <f t="shared" si="68"/>
        <v>9400.3877829011162</v>
      </c>
      <c r="O211" s="672">
        <f t="shared" si="68"/>
        <v>10151.308471462873</v>
      </c>
      <c r="P211" s="672">
        <f t="shared" si="68"/>
        <v>10899.788706640646</v>
      </c>
      <c r="Q211" s="672">
        <f t="shared" si="68"/>
        <v>11645.83770082107</v>
      </c>
      <c r="R211" s="672">
        <f t="shared" si="68"/>
        <v>12389.464666390775</v>
      </c>
      <c r="S211" s="672">
        <f t="shared" si="68"/>
        <v>13130.678815736403</v>
      </c>
      <c r="T211" s="672">
        <f t="shared" si="68"/>
        <v>13869.489361244579</v>
      </c>
      <c r="U211" s="672">
        <f t="shared" si="68"/>
        <v>14605.905515301942</v>
      </c>
      <c r="V211" s="672">
        <f t="shared" si="68"/>
        <v>15339.936490295127</v>
      </c>
      <c r="W211" s="672">
        <f t="shared" si="68"/>
        <v>16071.591498610771</v>
      </c>
      <c r="X211" s="672">
        <f t="shared" si="68"/>
        <v>16800.879752635497</v>
      </c>
      <c r="Y211" s="672">
        <f t="shared" si="68"/>
        <v>17527.810464755952</v>
      </c>
      <c r="Z211" s="672">
        <f t="shared" si="68"/>
        <v>18252.392847358755</v>
      </c>
      <c r="AA211" s="672">
        <f t="shared" si="68"/>
        <v>18974.636112830558</v>
      </c>
      <c r="AB211" s="672">
        <f t="shared" si="68"/>
        <v>19694.549473557985</v>
      </c>
    </row>
    <row r="212" spans="2:28" outlineLevel="1">
      <c r="B212" s="635" t="str">
        <f>B27</f>
        <v>Current schedule @ 6 months MaxiStock</v>
      </c>
      <c r="C212" s="672">
        <f>$L$6*(C27*$N$5/1000)^3+$M$6*(C27*$N$5/1000)^2+$N$6*(C27*$N$5/1000)</f>
        <v>1463.3374618951657</v>
      </c>
      <c r="D212" s="672">
        <f t="shared" ref="D212:R212" si="69">$L$6*(D27*$N$5/1000)^3+$M$6*(D27*$N$5/1000)^2+$N$6*(D27*$N$5/1000)</f>
        <v>2627.5618669659129</v>
      </c>
      <c r="E212" s="672">
        <f t="shared" si="69"/>
        <v>3786.0905642071712</v>
      </c>
      <c r="F212" s="672">
        <f t="shared" si="69"/>
        <v>4938.9546454238298</v>
      </c>
      <c r="G212" s="672">
        <f t="shared" si="69"/>
        <v>6086.1852024207783</v>
      </c>
      <c r="H212" s="672">
        <f t="shared" si="69"/>
        <v>7227.8133270029066</v>
      </c>
      <c r="I212" s="672">
        <f t="shared" si="69"/>
        <v>8363.8701109751091</v>
      </c>
      <c r="J212" s="672">
        <f t="shared" si="69"/>
        <v>9494.3866461422676</v>
      </c>
      <c r="K212" s="672">
        <f t="shared" si="69"/>
        <v>10619.394024309282</v>
      </c>
      <c r="L212" s="672">
        <f t="shared" si="69"/>
        <v>11738.923337281034</v>
      </c>
      <c r="M212" s="672">
        <f t="shared" si="69"/>
        <v>12853.005676862413</v>
      </c>
      <c r="N212" s="672">
        <f t="shared" si="69"/>
        <v>13961.672134858316</v>
      </c>
      <c r="O212" s="672">
        <f t="shared" si="69"/>
        <v>15064.953803073633</v>
      </c>
      <c r="P212" s="672">
        <f t="shared" si="69"/>
        <v>16162.881773313246</v>
      </c>
      <c r="Q212" s="672">
        <f t="shared" si="69"/>
        <v>17255.48713738205</v>
      </c>
      <c r="R212" s="672">
        <f t="shared" si="69"/>
        <v>18342.800987084938</v>
      </c>
      <c r="S212" s="672">
        <f t="shared" si="68"/>
        <v>19424.854414226789</v>
      </c>
      <c r="T212" s="672">
        <f t="shared" si="68"/>
        <v>20501.678510612506</v>
      </c>
      <c r="U212" s="672">
        <f t="shared" si="68"/>
        <v>21573.304368046978</v>
      </c>
      <c r="V212" s="672">
        <f t="shared" si="68"/>
        <v>22639.763078335087</v>
      </c>
      <c r="W212" s="672">
        <f t="shared" si="68"/>
        <v>23701.085733281721</v>
      </c>
      <c r="X212" s="672">
        <f t="shared" si="68"/>
        <v>24757.303424691785</v>
      </c>
      <c r="Y212" s="672">
        <f t="shared" si="68"/>
        <v>25808.447244370156</v>
      </c>
      <c r="Z212" s="672">
        <f t="shared" si="68"/>
        <v>26854.548284121724</v>
      </c>
      <c r="AA212" s="672">
        <f t="shared" si="68"/>
        <v>27895.637635751387</v>
      </c>
      <c r="AB212" s="672">
        <f t="shared" si="68"/>
        <v>28931.746391064029</v>
      </c>
    </row>
    <row r="213" spans="2:28" outlineLevel="1">
      <c r="B213" s="635" t="str">
        <f>B28</f>
        <v>Current schedule @ 9 months MaxiStock</v>
      </c>
      <c r="C213" s="672">
        <f>$L$6*(C28*$N$5/1000)^3+$M$6*(C28*$N$5/1000)^2+$N$6*(C28*$N$5/1000)</f>
        <v>2191.6468507956401</v>
      </c>
      <c r="D213" s="672">
        <f t="shared" si="68"/>
        <v>3930.5077204231939</v>
      </c>
      <c r="E213" s="672">
        <f t="shared" si="68"/>
        <v>5656.6319485655231</v>
      </c>
      <c r="F213" s="672">
        <f t="shared" si="68"/>
        <v>7370.1244700641337</v>
      </c>
      <c r="G213" s="672">
        <f t="shared" si="68"/>
        <v>9071.0902197605301</v>
      </c>
      <c r="H213" s="672">
        <f t="shared" si="68"/>
        <v>10759.634132496212</v>
      </c>
      <c r="I213" s="672">
        <f t="shared" si="68"/>
        <v>12435.861143112685</v>
      </c>
      <c r="J213" s="672">
        <f t="shared" si="68"/>
        <v>14099.876186451454</v>
      </c>
      <c r="K213" s="672">
        <f t="shared" si="68"/>
        <v>15751.784197354023</v>
      </c>
      <c r="L213" s="672">
        <f t="shared" si="68"/>
        <v>17391.69011066189</v>
      </c>
      <c r="M213" s="672">
        <f t="shared" si="68"/>
        <v>19019.69886121657</v>
      </c>
      <c r="N213" s="672">
        <f t="shared" si="68"/>
        <v>20635.915383859559</v>
      </c>
      <c r="O213" s="672">
        <f t="shared" si="68"/>
        <v>22240.444613432363</v>
      </c>
      <c r="P213" s="672">
        <f t="shared" si="68"/>
        <v>23833.391484776483</v>
      </c>
      <c r="Q213" s="672">
        <f t="shared" si="68"/>
        <v>25414.860932733431</v>
      </c>
      <c r="R213" s="672">
        <f t="shared" si="68"/>
        <v>26984.957892144696</v>
      </c>
      <c r="S213" s="672">
        <f t="shared" si="68"/>
        <v>28543.787297851799</v>
      </c>
      <c r="T213" s="672">
        <f t="shared" si="68"/>
        <v>30091.454084696226</v>
      </c>
      <c r="U213" s="672">
        <f t="shared" si="68"/>
        <v>31628.063187519499</v>
      </c>
      <c r="V213" s="672">
        <f t="shared" si="68"/>
        <v>33153.719541163104</v>
      </c>
      <c r="W213" s="672">
        <f t="shared" si="68"/>
        <v>34668.528080468561</v>
      </c>
      <c r="X213" s="672">
        <f t="shared" si="68"/>
        <v>36172.593740277363</v>
      </c>
      <c r="Y213" s="672">
        <f t="shared" si="68"/>
        <v>37666.021455431022</v>
      </c>
      <c r="Z213" s="672">
        <f t="shared" si="68"/>
        <v>39148.916160771027</v>
      </c>
      <c r="AA213" s="672">
        <f t="shared" si="68"/>
        <v>40621.382791138902</v>
      </c>
      <c r="AB213" s="672">
        <f t="shared" si="68"/>
        <v>42083.526281376129</v>
      </c>
    </row>
    <row r="214" spans="2:28" outlineLevel="1">
      <c r="B214" s="635" t="str">
        <f>B29</f>
        <v>Current schedule @ par vaccin individuel MaxiStock</v>
      </c>
      <c r="C214" s="672">
        <f>$L$6*(C29*$N$5/1000)^3+$M$6*(C29*$N$5/1000)^2+$N$6*(C29*$N$5/1000)</f>
        <v>1152.8897287281932</v>
      </c>
      <c r="D214" s="672">
        <f t="shared" si="68"/>
        <v>2071.2005376791394</v>
      </c>
      <c r="E214" s="672">
        <f t="shared" si="68"/>
        <v>2985.9713647717977</v>
      </c>
      <c r="F214" s="672">
        <f t="shared" si="68"/>
        <v>3897.2173849321439</v>
      </c>
      <c r="G214" s="672">
        <f t="shared" si="68"/>
        <v>4804.9537730861575</v>
      </c>
      <c r="H214" s="672">
        <f t="shared" si="68"/>
        <v>5709.1957041598143</v>
      </c>
      <c r="I214" s="672">
        <f t="shared" si="68"/>
        <v>6609.9583530790915</v>
      </c>
      <c r="J214" s="672">
        <f t="shared" si="68"/>
        <v>7507.2568947699683</v>
      </c>
      <c r="K214" s="672">
        <f t="shared" si="68"/>
        <v>8401.106504158417</v>
      </c>
      <c r="L214" s="672">
        <f t="shared" si="68"/>
        <v>9291.5223561704206</v>
      </c>
      <c r="M214" s="672">
        <f t="shared" si="68"/>
        <v>10178.519625731951</v>
      </c>
      <c r="N214" s="672">
        <f t="shared" si="68"/>
        <v>11062.113487768993</v>
      </c>
      <c r="O214" s="672">
        <f t="shared" si="68"/>
        <v>11942.319117207515</v>
      </c>
      <c r="P214" s="672">
        <f t="shared" si="68"/>
        <v>12819.151688973494</v>
      </c>
      <c r="Q214" s="672">
        <f t="shared" si="68"/>
        <v>13692.626377992914</v>
      </c>
      <c r="R214" s="672">
        <f t="shared" si="68"/>
        <v>14562.758359191748</v>
      </c>
      <c r="S214" s="672">
        <f t="shared" si="68"/>
        <v>15429.562807495979</v>
      </c>
      <c r="T214" s="672">
        <f t="shared" si="68"/>
        <v>16293.054897831576</v>
      </c>
      <c r="U214" s="672">
        <f t="shared" si="68"/>
        <v>17153.249805124517</v>
      </c>
      <c r="V214" s="672">
        <f t="shared" si="68"/>
        <v>18010.162704300783</v>
      </c>
      <c r="W214" s="672">
        <f t="shared" si="68"/>
        <v>18863.808770286356</v>
      </c>
      <c r="X214" s="672">
        <f t="shared" si="68"/>
        <v>19714.203178007199</v>
      </c>
      <c r="Y214" s="672">
        <f t="shared" si="68"/>
        <v>20561.361102389299</v>
      </c>
      <c r="Z214" s="672">
        <f t="shared" si="68"/>
        <v>21405.297718358637</v>
      </c>
      <c r="AA214" s="672">
        <f t="shared" si="68"/>
        <v>22246.028200841181</v>
      </c>
      <c r="AB214" s="672">
        <f t="shared" si="68"/>
        <v>23083.567724762906</v>
      </c>
    </row>
    <row r="215" spans="2:28" ht="12" outlineLevel="1">
      <c r="B215" s="658" t="str">
        <f>B204</f>
        <v>Estimated purchase cost of litre net capacity of cold chain ($/litre)</v>
      </c>
      <c r="C215" s="673"/>
      <c r="D215" s="673"/>
      <c r="E215" s="673"/>
      <c r="F215" s="673"/>
      <c r="G215" s="673"/>
      <c r="H215" s="673"/>
      <c r="I215" s="673"/>
      <c r="J215" s="673"/>
      <c r="K215" s="673"/>
      <c r="L215" s="673"/>
      <c r="M215" s="673"/>
      <c r="N215" s="673"/>
      <c r="O215" s="673"/>
      <c r="P215" s="673"/>
      <c r="Q215" s="673"/>
      <c r="R215" s="673"/>
      <c r="S215" s="673"/>
      <c r="T215" s="673"/>
      <c r="U215" s="673"/>
      <c r="V215" s="673"/>
      <c r="W215" s="673"/>
      <c r="X215" s="673"/>
      <c r="Y215" s="673"/>
      <c r="Z215" s="673"/>
      <c r="AA215" s="673"/>
      <c r="AB215" s="673"/>
    </row>
    <row r="216" spans="2:28" outlineLevel="1">
      <c r="B216" s="635" t="str">
        <f>B211</f>
        <v>Current schedule @ 4 months MaxiStock</v>
      </c>
      <c r="C216" s="672">
        <f t="shared" ref="C216:AB216" si="70">C211/C26</f>
        <v>9.7513394197840313</v>
      </c>
      <c r="D216" s="672">
        <f t="shared" si="70"/>
        <v>9.735414075810743</v>
      </c>
      <c r="E216" s="672">
        <f t="shared" si="70"/>
        <v>9.7195270609036601</v>
      </c>
      <c r="F216" s="672">
        <f t="shared" si="70"/>
        <v>9.7036783750627862</v>
      </c>
      <c r="G216" s="672">
        <f t="shared" si="70"/>
        <v>9.6878680182881212</v>
      </c>
      <c r="H216" s="672">
        <f t="shared" si="70"/>
        <v>9.6720959905796651</v>
      </c>
      <c r="I216" s="672">
        <f t="shared" si="70"/>
        <v>9.6563622919374161</v>
      </c>
      <c r="J216" s="672">
        <f t="shared" si="70"/>
        <v>9.6406669223613779</v>
      </c>
      <c r="K216" s="672">
        <f t="shared" si="70"/>
        <v>9.6250098818515468</v>
      </c>
      <c r="L216" s="672">
        <f t="shared" si="70"/>
        <v>9.6093911704079247</v>
      </c>
      <c r="M216" s="672">
        <f t="shared" si="70"/>
        <v>9.5938107880305097</v>
      </c>
      <c r="N216" s="672">
        <f t="shared" si="70"/>
        <v>9.5782687347193054</v>
      </c>
      <c r="O216" s="672">
        <f t="shared" si="70"/>
        <v>9.56276501047431</v>
      </c>
      <c r="P216" s="672">
        <f t="shared" si="70"/>
        <v>9.5472996152955201</v>
      </c>
      <c r="Q216" s="672">
        <f t="shared" si="70"/>
        <v>9.5318725491829408</v>
      </c>
      <c r="R216" s="672">
        <f t="shared" si="70"/>
        <v>9.5164838121365687</v>
      </c>
      <c r="S216" s="672">
        <f t="shared" si="70"/>
        <v>9.5011334041564091</v>
      </c>
      <c r="T216" s="672">
        <f t="shared" si="70"/>
        <v>9.485821325242453</v>
      </c>
      <c r="U216" s="672">
        <f t="shared" si="70"/>
        <v>9.4705475753947059</v>
      </c>
      <c r="V216" s="672">
        <f t="shared" si="70"/>
        <v>9.4553121546131695</v>
      </c>
      <c r="W216" s="672">
        <f t="shared" si="70"/>
        <v>9.4401150628978421</v>
      </c>
      <c r="X216" s="672">
        <f t="shared" si="70"/>
        <v>9.42495630024872</v>
      </c>
      <c r="Y216" s="672">
        <f t="shared" si="70"/>
        <v>9.4098358666658104</v>
      </c>
      <c r="Z216" s="672">
        <f t="shared" si="70"/>
        <v>9.3947537621491044</v>
      </c>
      <c r="AA216" s="672">
        <f t="shared" si="70"/>
        <v>9.3797099866986109</v>
      </c>
      <c r="AB216" s="672">
        <f t="shared" si="70"/>
        <v>9.3647045403143263</v>
      </c>
    </row>
    <row r="217" spans="2:28" outlineLevel="1">
      <c r="B217" s="635" t="str">
        <f>B212</f>
        <v>Current schedule @ 6 months MaxiStock</v>
      </c>
      <c r="C217" s="672">
        <f t="shared" ref="C217:AB217" si="71">C212/C27</f>
        <v>9.7413815881132777</v>
      </c>
      <c r="D217" s="672">
        <f t="shared" si="71"/>
        <v>9.7175438790527409</v>
      </c>
      <c r="E217" s="672">
        <f t="shared" si="71"/>
        <v>9.6937924103911755</v>
      </c>
      <c r="F217" s="672">
        <f t="shared" si="71"/>
        <v>9.6701271821285761</v>
      </c>
      <c r="G217" s="672">
        <f t="shared" si="71"/>
        <v>9.6465481942649465</v>
      </c>
      <c r="H217" s="672">
        <f t="shared" si="71"/>
        <v>9.6230554468002847</v>
      </c>
      <c r="I217" s="672">
        <f t="shared" si="71"/>
        <v>9.5996489397345961</v>
      </c>
      <c r="J217" s="672">
        <f t="shared" si="71"/>
        <v>9.5763286730678718</v>
      </c>
      <c r="K217" s="672">
        <f t="shared" si="71"/>
        <v>9.5530946468001208</v>
      </c>
      <c r="L217" s="672">
        <f t="shared" si="71"/>
        <v>9.5299468609313376</v>
      </c>
      <c r="M217" s="672">
        <f t="shared" si="71"/>
        <v>9.5068853154615205</v>
      </c>
      <c r="N217" s="672">
        <f t="shared" si="71"/>
        <v>9.4839100103906748</v>
      </c>
      <c r="O217" s="672">
        <f t="shared" si="71"/>
        <v>9.4610209457188006</v>
      </c>
      <c r="P217" s="672">
        <f t="shared" si="71"/>
        <v>9.4382181214458925</v>
      </c>
      <c r="Q217" s="672">
        <f t="shared" si="71"/>
        <v>9.415501537571954</v>
      </c>
      <c r="R217" s="672">
        <f t="shared" si="71"/>
        <v>9.3928711940969869</v>
      </c>
      <c r="S217" s="672">
        <f t="shared" si="71"/>
        <v>9.3703270910209824</v>
      </c>
      <c r="T217" s="672">
        <f t="shared" si="71"/>
        <v>9.3478692283439546</v>
      </c>
      <c r="U217" s="672">
        <f t="shared" si="71"/>
        <v>9.325497606065893</v>
      </c>
      <c r="V217" s="672">
        <f t="shared" si="71"/>
        <v>9.3032122241868009</v>
      </c>
      <c r="W217" s="672">
        <f t="shared" si="71"/>
        <v>9.2810130827066768</v>
      </c>
      <c r="X217" s="672">
        <f t="shared" si="71"/>
        <v>9.2589001816255223</v>
      </c>
      <c r="Y217" s="672">
        <f t="shared" si="71"/>
        <v>9.2368735209433392</v>
      </c>
      <c r="Z217" s="672">
        <f t="shared" si="71"/>
        <v>9.2149331006601205</v>
      </c>
      <c r="AA217" s="672">
        <f t="shared" si="71"/>
        <v>9.193078920775875</v>
      </c>
      <c r="AB217" s="672">
        <f t="shared" si="71"/>
        <v>9.1713109812905973</v>
      </c>
    </row>
    <row r="218" spans="2:28" outlineLevel="1">
      <c r="B218" s="635" t="str">
        <f>B213</f>
        <v>Current schedule @ 9 months MaxiStock</v>
      </c>
      <c r="C218" s="672">
        <f t="shared" ref="C218:AB218" si="72">C213/C28</f>
        <v>9.7264729136536872</v>
      </c>
      <c r="D218" s="672">
        <f t="shared" si="72"/>
        <v>9.690829540586531</v>
      </c>
      <c r="E218" s="672">
        <f t="shared" si="72"/>
        <v>9.6553802084170535</v>
      </c>
      <c r="F218" s="672">
        <f t="shared" si="72"/>
        <v>9.6201249171452563</v>
      </c>
      <c r="G218" s="672">
        <f t="shared" si="72"/>
        <v>9.5850636667711413</v>
      </c>
      <c r="H218" s="672">
        <f t="shared" si="72"/>
        <v>9.5501964572947049</v>
      </c>
      <c r="I218" s="672">
        <f t="shared" si="72"/>
        <v>9.5155232887159471</v>
      </c>
      <c r="J218" s="672">
        <f t="shared" si="72"/>
        <v>9.4810441610348732</v>
      </c>
      <c r="K218" s="672">
        <f t="shared" si="72"/>
        <v>9.4467590742514798</v>
      </c>
      <c r="L218" s="672">
        <f t="shared" si="72"/>
        <v>9.4126680283657631</v>
      </c>
      <c r="M218" s="672">
        <f t="shared" si="72"/>
        <v>9.3787710233777304</v>
      </c>
      <c r="N218" s="672">
        <f t="shared" si="72"/>
        <v>9.345068059287378</v>
      </c>
      <c r="O218" s="672">
        <f t="shared" si="72"/>
        <v>9.3115591360947061</v>
      </c>
      <c r="P218" s="672">
        <f t="shared" si="72"/>
        <v>9.2782442537997127</v>
      </c>
      <c r="Q218" s="672">
        <f t="shared" si="72"/>
        <v>9.2451234124024033</v>
      </c>
      <c r="R218" s="672">
        <f t="shared" si="72"/>
        <v>9.2121966119027725</v>
      </c>
      <c r="S218" s="672">
        <f t="shared" si="72"/>
        <v>9.1794638523008238</v>
      </c>
      <c r="T218" s="672">
        <f t="shared" si="72"/>
        <v>9.146925133596552</v>
      </c>
      <c r="U218" s="672">
        <f t="shared" si="72"/>
        <v>9.1145804557899641</v>
      </c>
      <c r="V218" s="672">
        <f t="shared" si="72"/>
        <v>9.0824298188810548</v>
      </c>
      <c r="W218" s="672">
        <f t="shared" si="72"/>
        <v>9.0504732228698277</v>
      </c>
      <c r="X218" s="672">
        <f t="shared" si="72"/>
        <v>9.0187106677562792</v>
      </c>
      <c r="Y218" s="672">
        <f t="shared" si="72"/>
        <v>8.9871421535404128</v>
      </c>
      <c r="Z218" s="672">
        <f t="shared" si="72"/>
        <v>8.9557676802222268</v>
      </c>
      <c r="AA218" s="672">
        <f t="shared" si="72"/>
        <v>8.9245872478017212</v>
      </c>
      <c r="AB218" s="672">
        <f t="shared" si="72"/>
        <v>8.8936008562788942</v>
      </c>
    </row>
    <row r="219" spans="2:28" outlineLevel="1">
      <c r="B219" s="635" t="str">
        <f>B214</f>
        <v>Current schedule @ par vaccin individuel MaxiStock</v>
      </c>
      <c r="C219" s="672">
        <f t="shared" ref="C219:AB219" si="73">C214/C29</f>
        <v>9.7477328703083899</v>
      </c>
      <c r="D219" s="672">
        <f t="shared" si="73"/>
        <v>9.7289393093645149</v>
      </c>
      <c r="E219" s="672">
        <f t="shared" si="73"/>
        <v>9.7101992086956699</v>
      </c>
      <c r="F219" s="672">
        <f t="shared" si="73"/>
        <v>9.6915125683018566</v>
      </c>
      <c r="G219" s="672">
        <f t="shared" si="73"/>
        <v>9.6728793881830768</v>
      </c>
      <c r="H219" s="672">
        <f t="shared" si="73"/>
        <v>9.6542996683393305</v>
      </c>
      <c r="I219" s="672">
        <f t="shared" si="73"/>
        <v>9.6357734087706159</v>
      </c>
      <c r="J219" s="672">
        <f t="shared" si="73"/>
        <v>9.6173006094769349</v>
      </c>
      <c r="K219" s="672">
        <f t="shared" si="73"/>
        <v>9.5988812704582838</v>
      </c>
      <c r="L219" s="672">
        <f t="shared" si="73"/>
        <v>9.5805153917146697</v>
      </c>
      <c r="M219" s="672">
        <f t="shared" si="73"/>
        <v>9.5622029732460838</v>
      </c>
      <c r="N219" s="672">
        <f t="shared" si="73"/>
        <v>9.5439440150525332</v>
      </c>
      <c r="O219" s="672">
        <f t="shared" si="73"/>
        <v>9.5257385171340143</v>
      </c>
      <c r="P219" s="672">
        <f t="shared" si="73"/>
        <v>9.5075864794905272</v>
      </c>
      <c r="Q219" s="672">
        <f t="shared" si="73"/>
        <v>9.4894879021220717</v>
      </c>
      <c r="R219" s="672">
        <f t="shared" si="73"/>
        <v>9.4714427850286516</v>
      </c>
      <c r="S219" s="672">
        <f t="shared" si="73"/>
        <v>9.4534511282102631</v>
      </c>
      <c r="T219" s="672">
        <f t="shared" si="73"/>
        <v>9.4355129316669064</v>
      </c>
      <c r="U219" s="672">
        <f t="shared" si="73"/>
        <v>9.4176281953985814</v>
      </c>
      <c r="V219" s="672">
        <f t="shared" si="73"/>
        <v>9.3997969194052899</v>
      </c>
      <c r="W219" s="672">
        <f t="shared" si="73"/>
        <v>9.3820191036870337</v>
      </c>
      <c r="X219" s="672">
        <f t="shared" si="73"/>
        <v>9.3642947482438075</v>
      </c>
      <c r="Y219" s="672">
        <f t="shared" si="73"/>
        <v>9.3466238530756129</v>
      </c>
      <c r="Z219" s="672">
        <f t="shared" si="73"/>
        <v>9.3290064181824537</v>
      </c>
      <c r="AA219" s="672">
        <f t="shared" si="73"/>
        <v>9.3114424435643244</v>
      </c>
      <c r="AB219" s="672">
        <f t="shared" si="73"/>
        <v>9.2939319292212286</v>
      </c>
    </row>
  </sheetData>
  <sheetProtection sheet="1" objects="1" scenarios="1"/>
  <mergeCells count="39">
    <mergeCell ref="F193:G193"/>
    <mergeCell ref="F172:G172"/>
    <mergeCell ref="F194:G194"/>
    <mergeCell ref="F191:G191"/>
    <mergeCell ref="F192:G192"/>
    <mergeCell ref="C192:D192"/>
    <mergeCell ref="C193:D193"/>
    <mergeCell ref="C194:D194"/>
    <mergeCell ref="C5:D5"/>
    <mergeCell ref="C6:D6"/>
    <mergeCell ref="C7:D7"/>
    <mergeCell ref="C101:D101"/>
    <mergeCell ref="C145:D145"/>
    <mergeCell ref="C146:D146"/>
    <mergeCell ref="C147:D147"/>
    <mergeCell ref="C148:D148"/>
    <mergeCell ref="C191:D191"/>
    <mergeCell ref="F72:G72"/>
    <mergeCell ref="F119:G119"/>
    <mergeCell ref="F89:G89"/>
    <mergeCell ref="F42:G42"/>
    <mergeCell ref="F136:G136"/>
    <mergeCell ref="C4:D4"/>
    <mergeCell ref="C98:D98"/>
    <mergeCell ref="C99:D99"/>
    <mergeCell ref="C100:D100"/>
    <mergeCell ref="C51:D51"/>
    <mergeCell ref="C52:D52"/>
    <mergeCell ref="C53:D53"/>
    <mergeCell ref="C54:D54"/>
    <mergeCell ref="H4:I4"/>
    <mergeCell ref="H5:I5"/>
    <mergeCell ref="H6:I6"/>
    <mergeCell ref="H7:I7"/>
    <mergeCell ref="F25:G25"/>
    <mergeCell ref="F4:G4"/>
    <mergeCell ref="F5:G5"/>
    <mergeCell ref="F6:G6"/>
    <mergeCell ref="F7:G7"/>
  </mergeCells>
  <phoneticPr fontId="4" type="noConversion"/>
  <conditionalFormatting sqref="C60:AB64 C120:AB123 C107:AB111 C73:AB76 C173:AB176">
    <cfRule type="cellIs" dxfId="63" priority="1" stopIfTrue="1" operator="greaterThanOrEqual">
      <formula>5*MAX(#REF!)</formula>
    </cfRule>
    <cfRule type="cellIs" dxfId="62" priority="2" stopIfTrue="1" operator="greaterThanOrEqual">
      <formula>3*MAX(#REF!)</formula>
    </cfRule>
  </conditionalFormatting>
  <conditionalFormatting sqref="C126:AB129 C114:AB118 C67:AB71 C79:AB82">
    <cfRule type="cellIs" dxfId="61" priority="3" stopIfTrue="1" operator="lessThanOrEqual">
      <formula>0</formula>
    </cfRule>
    <cfRule type="cellIs" dxfId="60" priority="4" stopIfTrue="1" operator="between">
      <formula>3</formula>
      <formula>5</formula>
    </cfRule>
    <cfRule type="cellIs" dxfId="59" priority="5" stopIfTrue="1" operator="greaterThan">
      <formula>5</formula>
    </cfRule>
  </conditionalFormatting>
  <conditionalFormatting sqref="C32:AB35 C20:AB24">
    <cfRule type="cellIs" dxfId="58" priority="6" stopIfTrue="1" operator="equal">
      <formula>0</formula>
    </cfRule>
    <cfRule type="cellIs" dxfId="57" priority="7" stopIfTrue="1" operator="between">
      <formula>3</formula>
      <formula>5</formula>
    </cfRule>
    <cfRule type="cellIs" dxfId="56" priority="8" stopIfTrue="1" operator="greaterThan">
      <formula>5</formula>
    </cfRule>
  </conditionalFormatting>
  <conditionalFormatting sqref="E7 C10">
    <cfRule type="expression" dxfId="55" priority="9" stopIfTrue="1">
      <formula>$C$7="per individual vaccine"</formula>
    </cfRule>
  </conditionalFormatting>
  <conditionalFormatting sqref="C161:AB165 C179:AB182">
    <cfRule type="cellIs" dxfId="54" priority="10" stopIfTrue="1" operator="lessThanOrEqual">
      <formula>0</formula>
    </cfRule>
    <cfRule type="cellIs" dxfId="53" priority="11" stopIfTrue="1" operator="between">
      <formula>3</formula>
      <formula>5</formula>
    </cfRule>
    <cfRule type="cellIs" dxfId="52" priority="12" stopIfTrue="1" operator="greaterThanOrEqual">
      <formula>5</formula>
    </cfRule>
  </conditionalFormatting>
  <dataValidations xWindow="64" yWindow="132" count="19">
    <dataValidation type="list" allowBlank="1" showInputMessage="1" showErrorMessage="1" sqref="H195 H4:H8 H149 H102 H55" xr:uid="{00000000-0002-0000-0300-000000000000}">
      <formula1>"4,6,9,12,15"</formula1>
    </dataValidation>
    <dataValidation type="list" allowBlank="1" showErrorMessage="1" promptTitle="Passive container:" prompt="Select from the drop down list the passive container for analysis." sqref="B178 B160" xr:uid="{00000000-0002-0000-0300-000001000000}">
      <formula1>Passive_contain</formula1>
    </dataValidation>
    <dataValidation allowBlank="1" showInputMessage="1" showErrorMessage="1" promptTitle="Stock Maxi:" prompt="Indicate the maximum stock level in months. The maximum stock includes the stock for a supply period plus the safety or reserve stock." sqref="C194" xr:uid="{00000000-0002-0000-0300-000002000000}"/>
    <dataValidation type="whole" operator="greaterThanOrEqual" allowBlank="1" showInputMessage="1" showErrorMessage="1" promptTitle="Maxi_Population:" prompt="Indicate the maximum population to build the abacus." sqref="C193" xr:uid="{00000000-0002-0000-0300-000003000000}">
      <formula1>0</formula1>
    </dataValidation>
    <dataValidation type="list" allowBlank="1" showErrorMessage="1" promptTitle="Schedule:" prompt="Select a schedule to analyse the capacity of cold chain required per maximum stock." sqref="F25:G25 F136:G136 F119:G119 F42:G42 F89:G89 F72:G72 F172:G172" xr:uid="{00000000-0002-0000-0300-000004000000}">
      <formula1>Schedule</formula1>
    </dataValidation>
    <dataValidation allowBlank="1" showErrorMessage="1" promptTitle="No. of deliveries:" prompt="List the possible number of deliveries established for vaccine distribution at intermediate stores and service delivery." sqref="F145:F148" xr:uid="{00000000-0002-0000-0300-000005000000}"/>
    <dataValidation allowBlank="1" showErrorMessage="1" promptTitle="Frequency of shipments:" prompt="Indicate the number of shipments per year." sqref="C148:D148" xr:uid="{00000000-0002-0000-0300-000006000000}"/>
    <dataValidation type="list" allowBlank="1" showInputMessage="1" showErrorMessage="1" sqref="B125 B78 B66 B113" xr:uid="{00000000-0002-0000-0300-000007000000}">
      <formula1>Eqpt_list</formula1>
    </dataValidation>
    <dataValidation allowBlank="1" showErrorMessage="1" promptTitle="Occupation rate:" prompt="Indicate the expected cold chain equipment capacity occupation rate." sqref="F112 F124 F30 F77 F65 F18" xr:uid="{00000000-0002-0000-0300-000008000000}"/>
    <dataValidation allowBlank="1" showErrorMessage="1" promptTitle="Maxi_Stocks:" prompt="List the possible maximum stock levels established for vaccines at service delivery level." sqref="F98:F101" xr:uid="{00000000-0002-0000-0300-000009000000}"/>
    <dataValidation allowBlank="1" showErrorMessage="1" promptTitle="Maxi_Stocks:" prompt="List the possible maximum stock levels established for safe injection equipment at service delivery level." sqref="G98:G101 G145:G148" xr:uid="{00000000-0002-0000-0300-00000A000000}"/>
    <dataValidation type="whole" operator="greaterThanOrEqual" allowBlank="1" showErrorMessage="1" promptTitle="Mini_Population:" prompt="Indicate the minimum population to build the abacus." sqref="C99:D99 C192 C146:D146 C5 C52:D52" xr:uid="{00000000-0002-0000-0300-00000B000000}">
      <formula1>0</formula1>
    </dataValidation>
    <dataValidation type="whole" operator="greaterThanOrEqual" allowBlank="1" showErrorMessage="1" promptTitle="Maxi_Population:" prompt="Indicate the maximum population to build the abacus." sqref="C100:D100 C147:D147 C6 C53:D53" xr:uid="{00000000-0002-0000-0300-00000C000000}">
      <formula1>0</formula1>
    </dataValidation>
    <dataValidation allowBlank="1" showErrorMessage="1" promptTitle="Stock Maxi:" prompt="Indicate the maximum stock level in months. The maximum stock includes the stock for a supply period plus the safety or reserve stock." sqref="C54:D54 C101:D101" xr:uid="{00000000-0002-0000-0300-00000D000000}"/>
    <dataValidation allowBlank="1" showErrorMessage="1" promptTitle="Maxi_Stocks:" prompt="List the possible maximum stock levels established for safe injection equipment at the lowest distribution level." sqref="G51:G54" xr:uid="{00000000-0002-0000-0300-00000E000000}"/>
    <dataValidation allowBlank="1" showErrorMessage="1" promptTitle="Maxi_Stocks:" prompt="List the possible maximum stock levels established for vaccines at the lowest distribution level." sqref="F51:F54" xr:uid="{00000000-0002-0000-0300-00000F000000}"/>
    <dataValidation type="list" allowBlank="1" showErrorMessage="1" promptTitle="WICR selection:" prompt="Select from the drop down list the walk-in cold room for analysis." sqref="B31 B19" xr:uid="{00000000-0002-0000-0300-000010000000}">
      <formula1>WICR</formula1>
    </dataValidation>
    <dataValidation type="list" allowBlank="1" showInputMessage="1" showErrorMessage="1" sqref="F4:F6" xr:uid="{00000000-0002-0000-0300-000011000000}">
      <formula1>"4,6,9,per individual vaccine"</formula1>
    </dataValidation>
    <dataValidation type="list" allowBlank="1" showInputMessage="1" showErrorMessage="1" sqref="C7:D7 F7:G7" xr:uid="{00000000-0002-0000-0300-000012000000}">
      <formula1>per_individual_vaccine</formula1>
    </dataValidation>
  </dataValidations>
  <hyperlinks>
    <hyperlink ref="O1" location="Index!B1" display="Index!B1" xr:uid="{00000000-0004-0000-0300-000000000000}"/>
  </hyperlinks>
  <pageMargins left="0.26" right="0.22" top="0.72" bottom="0.61" header="0.35" footer="0.28000000000000003"/>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indexed="18"/>
  </sheetPr>
  <dimension ref="B1:X39"/>
  <sheetViews>
    <sheetView showGridLines="0" workbookViewId="0">
      <pane xSplit="1" ySplit="12" topLeftCell="B13" activePane="bottomRight" state="frozen"/>
      <selection activeCell="F29" sqref="B2:F29"/>
      <selection pane="topRight" activeCell="F29" sqref="B2:F29"/>
      <selection pane="bottomLeft" activeCell="F29" sqref="B2:F29"/>
      <selection pane="bottomRight" activeCell="G23" sqref="G23"/>
    </sheetView>
  </sheetViews>
  <sheetFormatPr defaultColWidth="8.77734375" defaultRowHeight="13.2"/>
  <cols>
    <col min="1" max="1" width="1.109375" customWidth="1"/>
    <col min="2" max="2" width="13.33203125" bestFit="1" customWidth="1"/>
    <col min="3" max="3" width="14.33203125" bestFit="1" customWidth="1"/>
    <col min="4" max="5" width="6.6640625" customWidth="1"/>
    <col min="6" max="7" width="10.6640625" customWidth="1"/>
    <col min="8" max="8" width="1.109375" customWidth="1"/>
    <col min="9" max="11" width="10.6640625" customWidth="1"/>
    <col min="12" max="12" width="1.109375" customWidth="1"/>
    <col min="13" max="17" width="6.6640625" customWidth="1"/>
    <col min="18" max="18" width="1.109375" customWidth="1"/>
    <col min="19" max="21" width="7.6640625" customWidth="1"/>
    <col min="22" max="22" width="1.109375" customWidth="1"/>
  </cols>
  <sheetData>
    <row r="1" spans="2:24" s="548" customFormat="1" ht="6" customHeight="1"/>
    <row r="2" spans="2:24" s="729" customFormat="1" ht="21">
      <c r="B2" s="711" t="str">
        <f>Translation!C368</f>
        <v>Volume of diluents and safe injection equipment per recipient</v>
      </c>
      <c r="C2" s="711"/>
      <c r="D2" s="711"/>
      <c r="E2" s="711"/>
      <c r="F2" s="711"/>
      <c r="G2" s="711"/>
      <c r="H2" s="711"/>
      <c r="I2" s="711"/>
      <c r="J2" s="711"/>
      <c r="K2" s="711"/>
      <c r="L2" s="711"/>
      <c r="M2" s="711"/>
      <c r="N2" s="732"/>
      <c r="O2" s="730" t="str">
        <f>Translation!C369</f>
        <v>Optional data entry only</v>
      </c>
      <c r="P2" s="712"/>
      <c r="Q2" s="712"/>
      <c r="R2" s="712"/>
      <c r="S2" s="712"/>
      <c r="T2" s="731"/>
      <c r="U2" s="731" t="str">
        <f>Translation!C109</f>
        <v>Index</v>
      </c>
    </row>
    <row r="3" spans="2:24" s="36" customFormat="1" ht="13.8">
      <c r="B3" s="39"/>
      <c r="C3" s="39"/>
      <c r="D3" s="39"/>
      <c r="E3" s="39"/>
      <c r="F3" s="39"/>
      <c r="G3" s="39"/>
      <c r="H3" s="39"/>
      <c r="I3" s="39"/>
      <c r="J3" s="39"/>
      <c r="K3" s="39"/>
      <c r="L3" s="39"/>
      <c r="M3" s="39"/>
      <c r="N3" s="39"/>
    </row>
    <row r="4" spans="2:24" s="525" customFormat="1" ht="5.4">
      <c r="B4" s="523"/>
      <c r="C4" s="523"/>
      <c r="D4" s="523"/>
      <c r="E4" s="523"/>
      <c r="F4" s="523"/>
      <c r="G4" s="523"/>
      <c r="H4" s="523"/>
      <c r="I4" s="527"/>
      <c r="J4" s="523"/>
      <c r="K4" s="523"/>
      <c r="L4" s="523"/>
      <c r="M4" s="523"/>
      <c r="N4" s="523"/>
      <c r="O4" s="524"/>
      <c r="P4" s="524"/>
      <c r="Q4" s="524"/>
      <c r="R4" s="524"/>
      <c r="S4" s="524"/>
      <c r="T4" s="524"/>
      <c r="U4" s="524"/>
    </row>
    <row r="5" spans="2:24" s="17" customFormat="1">
      <c r="B5" s="544" t="str">
        <f>Translation!C370</f>
        <v>OPTION: Over-ride default AD syringe packed volume, cm³/unit:</v>
      </c>
      <c r="C5" s="163"/>
      <c r="D5" s="163"/>
      <c r="E5" s="514"/>
      <c r="F5" s="514"/>
      <c r="G5" s="514"/>
      <c r="H5" s="162"/>
      <c r="I5" s="542"/>
      <c r="J5" s="163"/>
      <c r="K5" s="547">
        <f>IF(I5&lt;&gt;"",I5,0.102*1000000/1800)</f>
        <v>56.666666666666664</v>
      </c>
      <c r="L5" s="163"/>
      <c r="M5" s="162" t="s">
        <v>802</v>
      </c>
      <c r="N5" s="163"/>
      <c r="O5" s="163"/>
      <c r="P5" s="163"/>
      <c r="Q5" s="163"/>
      <c r="R5" s="163"/>
      <c r="S5" s="163"/>
      <c r="T5" s="163"/>
      <c r="U5" s="163"/>
    </row>
    <row r="6" spans="2:24" s="17" customFormat="1">
      <c r="B6" s="544" t="str">
        <f>Translation!C371</f>
        <v>OPTION: Over-ride default reconstitution syringe packed volume, cm³/unit:</v>
      </c>
      <c r="C6" s="163"/>
      <c r="D6" s="163"/>
      <c r="E6" s="514"/>
      <c r="F6" s="514"/>
      <c r="G6" s="514"/>
      <c r="H6" s="514"/>
      <c r="I6" s="542"/>
      <c r="J6" s="162"/>
      <c r="K6" s="547">
        <f>IF(I6&lt;&gt;"",I6,0.106*1000000/1600)</f>
        <v>66.25</v>
      </c>
      <c r="L6" s="163"/>
      <c r="M6" s="162" t="s">
        <v>802</v>
      </c>
      <c r="N6" s="162"/>
      <c r="O6" s="162"/>
      <c r="P6" s="162"/>
      <c r="Q6" s="162"/>
      <c r="R6" s="162"/>
      <c r="S6" s="162"/>
      <c r="T6" s="162"/>
      <c r="U6" s="162"/>
    </row>
    <row r="7" spans="2:24" s="17" customFormat="1">
      <c r="B7" s="544" t="str">
        <f>Translation!C372</f>
        <v>OPTION: Over-ride default safety box packed volume, cm³/unit:</v>
      </c>
      <c r="C7" s="163"/>
      <c r="D7" s="163"/>
      <c r="E7" s="514"/>
      <c r="F7" s="514"/>
      <c r="G7" s="514"/>
      <c r="H7" s="514"/>
      <c r="I7" s="542"/>
      <c r="J7" s="162"/>
      <c r="K7" s="547">
        <f>IF(I7&lt;&gt;"",I7,60*25.7*0.45)</f>
        <v>693.9</v>
      </c>
      <c r="L7" s="163"/>
      <c r="M7" s="162" t="s">
        <v>802</v>
      </c>
      <c r="N7" s="162"/>
      <c r="O7" s="162"/>
      <c r="P7" s="162"/>
      <c r="Q7" s="162"/>
      <c r="R7" s="162"/>
      <c r="S7" s="162"/>
      <c r="T7" s="162"/>
      <c r="U7" s="162"/>
    </row>
    <row r="8" spans="2:24" s="525" customFormat="1" ht="5.4">
      <c r="B8" s="522"/>
      <c r="C8" s="523"/>
      <c r="D8" s="523"/>
      <c r="E8" s="522"/>
      <c r="F8" s="522"/>
      <c r="G8" s="522"/>
      <c r="H8" s="522"/>
      <c r="I8" s="522"/>
      <c r="J8" s="522"/>
      <c r="K8" s="526"/>
      <c r="L8" s="523"/>
      <c r="M8" s="524"/>
      <c r="N8" s="524"/>
      <c r="O8" s="524"/>
      <c r="P8" s="524"/>
      <c r="Q8" s="524"/>
      <c r="R8" s="524"/>
      <c r="S8" s="524"/>
      <c r="T8" s="524"/>
      <c r="U8" s="524"/>
    </row>
    <row r="9" spans="2:24" s="25" customFormat="1" ht="6" customHeight="1" thickBot="1">
      <c r="B9" s="41"/>
      <c r="C9" s="41"/>
      <c r="D9" s="41"/>
      <c r="E9" s="41"/>
      <c r="F9" s="41"/>
      <c r="G9" s="41"/>
      <c r="H9" s="41"/>
      <c r="I9" s="41"/>
      <c r="J9" s="41"/>
      <c r="K9" s="41"/>
      <c r="L9" s="41"/>
    </row>
    <row r="10" spans="2:24" s="18" customFormat="1" ht="15" customHeight="1">
      <c r="B10" s="201" t="str">
        <f>Vaccine_Selection!B14</f>
        <v>Characteristics of vaccines selected for use</v>
      </c>
      <c r="C10" s="533"/>
      <c r="D10" s="533"/>
      <c r="E10" s="534"/>
      <c r="F10" s="535"/>
      <c r="G10" s="535"/>
      <c r="I10" s="208" t="str">
        <f>Translation!C379</f>
        <v>Net storage volume</v>
      </c>
      <c r="J10" s="536"/>
      <c r="K10" s="537"/>
      <c r="M10" s="208" t="str">
        <f>Vaccine_Selection!M14</f>
        <v>National immunization schedule</v>
      </c>
      <c r="N10" s="538"/>
      <c r="O10" s="538"/>
      <c r="P10" s="538"/>
      <c r="Q10" s="539"/>
      <c r="R10" s="511"/>
      <c r="S10" s="219" t="str">
        <f>Vaccine_Selection!$S$14</f>
        <v>Supplementary</v>
      </c>
      <c r="T10" s="540"/>
      <c r="U10" s="539"/>
    </row>
    <row r="11" spans="2:24" s="18" customFormat="1" ht="12">
      <c r="B11" s="528"/>
      <c r="C11" s="528"/>
      <c r="D11" s="530"/>
      <c r="E11" s="531"/>
      <c r="F11" s="518" t="str">
        <f>Translation!C378</f>
        <v>Volume data used</v>
      </c>
      <c r="G11" s="519"/>
      <c r="I11" s="520" t="str">
        <f>Translation!C380</f>
        <v>per injection (cm³)</v>
      </c>
      <c r="J11" s="558"/>
      <c r="K11" s="559"/>
      <c r="M11" s="216" t="str">
        <f>Vaccine_Selection!M15</f>
        <v>(Routine vaccinations)</v>
      </c>
      <c r="N11" s="217"/>
      <c r="O11" s="217"/>
      <c r="P11" s="217"/>
      <c r="Q11" s="221"/>
      <c r="R11" s="511"/>
      <c r="S11" s="216" t="str">
        <f>Vaccine_Selection!$S$15</f>
        <v>activities (SIAs)</v>
      </c>
      <c r="T11" s="217"/>
      <c r="U11" s="221"/>
    </row>
    <row r="12" spans="2:24" s="18" customFormat="1" ht="67.5" customHeight="1">
      <c r="B12" s="529" t="str">
        <f>Translation!C374</f>
        <v>Vaccine type</v>
      </c>
      <c r="C12" s="529" t="str">
        <f>Translation!C375</f>
        <v>Formulation</v>
      </c>
      <c r="D12" s="529" t="str">
        <f>Translation!C376</f>
        <v>Administration</v>
      </c>
      <c r="E12" s="529" t="str">
        <f>Translation!C377</f>
        <v>Presentation (doses/vial)</v>
      </c>
      <c r="F12" s="532" t="str">
        <f>Vaccine_Selection!F16</f>
        <v>Vaccine volume (cm³/dose)</v>
      </c>
      <c r="G12" s="532" t="str">
        <f>Vaccine_Selection!G16</f>
        <v>Diluent volume (cm³/dose)</v>
      </c>
      <c r="I12" s="532" t="str">
        <f>Translation!C381</f>
        <v>Injection syringe</v>
      </c>
      <c r="J12" s="532" t="str">
        <f>Translation!C382</f>
        <v>Mixing syringe</v>
      </c>
      <c r="K12" s="532" t="str">
        <f>Translation!C383</f>
        <v>Safety boxes</v>
      </c>
      <c r="M12" s="230" t="str">
        <f>IF(Vaccine_Selection!M16="","",Vaccine_Selection!M16)</f>
        <v>Current schedule</v>
      </c>
      <c r="N12" s="230" t="str">
        <f>IF(Vaccine_Selection!N16="","",Vaccine_Selection!N16)</f>
        <v>Current schedule with penta 1d</v>
      </c>
      <c r="O12" s="230" t="str">
        <f>IF(Vaccine_Selection!O16="","",Vaccine_Selection!O16)</f>
        <v>Current schedule with penta CAD</v>
      </c>
      <c r="P12" s="230" t="str">
        <f>IF(Vaccine_Selection!P16="","",Vaccine_Selection!P16)</f>
        <v/>
      </c>
      <c r="Q12" s="230" t="str">
        <f>IF(Vaccine_Selection!Q16="","",Vaccine_Selection!Q16)</f>
        <v/>
      </c>
      <c r="S12" s="230" t="str">
        <f>IF(Vaccine_Selection!S16="","",Vaccine_Selection!S16)</f>
        <v>H1N1 campaign</v>
      </c>
      <c r="T12" s="230" t="str">
        <f>IF(Vaccine_Selection!T16="","",Vaccine_Selection!T16)</f>
        <v/>
      </c>
      <c r="U12" s="230" t="str">
        <f>IF(Vaccine_Selection!U16="","",Vaccine_Selection!U16)</f>
        <v/>
      </c>
      <c r="X12" s="553"/>
    </row>
    <row r="13" spans="2:24" s="18" customFormat="1" ht="12">
      <c r="B13" s="19" t="str">
        <f>IF(Vaccine_Selection!B17="","",Vaccine_Selection!B17)</f>
        <v>BCG</v>
      </c>
      <c r="C13" s="126" t="str">
        <f t="array" ref="C13">IF($B13="","",INDEX(Vaccine_database!$C$10:$D$278,MATCH($B13,Vaccines,0),2))</f>
        <v>freeze-dried</v>
      </c>
      <c r="D13" s="19" t="str">
        <f t="array" ref="D13">IF($B13="","",INDEX(Vaccine_database!$C$10:$E$278,MATCH($B13,Vaccines,0),3))</f>
        <v>ID</v>
      </c>
      <c r="E13" s="20">
        <f>Vaccine_Selection!C17</f>
        <v>20</v>
      </c>
      <c r="F13" s="21">
        <f>IF(Vaccine_Selection!D17="",Vaccine_Selection!F17,Vaccine_Selection!D17)</f>
        <v>1.2102000000000002</v>
      </c>
      <c r="G13" s="21">
        <f>IF(Vaccine_Selection!D17="",Vaccine_Selection!G17,Vaccine_Selection!E17)</f>
        <v>1.1256666666666666</v>
      </c>
      <c r="I13" s="118">
        <f>IF(OR(B13="",D13="Oral",D13="Nasal"),"",IF(ISTEXT(E13),0,$K$5*1.1))</f>
        <v>62.333333333333336</v>
      </c>
      <c r="J13" s="118">
        <f>IF(OR(B13="",C13="liquid",D13="Oral",D13="Nasal",ISTEXT(E13)),"",$K$6*Vaccine_Selection!K17/E13)</f>
        <v>6.625</v>
      </c>
      <c r="K13" s="118">
        <f t="shared" ref="K13:K32" si="0">IF(B13="",0,(COUNT($I13:$I13)+COUNT($J13:$J13)/IF(ISTEXT($E13),1,$E13))*$K$7/100)</f>
        <v>7.2859500000000006</v>
      </c>
      <c r="L13" s="18">
        <f>Vaccine_Selection!L17</f>
        <v>1.9E-2</v>
      </c>
      <c r="M13" s="510">
        <f>IF(Vaccine_Selection!M17="","",Vaccine_Selection!M17)</f>
        <v>1</v>
      </c>
      <c r="N13" s="510">
        <f>IF(Vaccine_Selection!N17="","",Vaccine_Selection!N17)</f>
        <v>1</v>
      </c>
      <c r="O13" s="510">
        <f>IF(Vaccine_Selection!O17="","",Vaccine_Selection!O17)</f>
        <v>1</v>
      </c>
      <c r="P13" s="510" t="str">
        <f>IF(Vaccine_Selection!P17="","",Vaccine_Selection!P17)</f>
        <v/>
      </c>
      <c r="Q13" s="510" t="str">
        <f>IF(Vaccine_Selection!Q17="","",Vaccine_Selection!Q17)</f>
        <v/>
      </c>
      <c r="R13" s="511"/>
      <c r="S13" s="510" t="str">
        <f>IF(Vaccine_Selection!S17="","",Vaccine_Selection!S17)</f>
        <v/>
      </c>
      <c r="T13" s="510" t="str">
        <f>IF(Vaccine_Selection!T17="","",Vaccine_Selection!T17)</f>
        <v/>
      </c>
      <c r="U13" s="510" t="str">
        <f>IF(Vaccine_Selection!U17="","",Vaccine_Selection!U17)</f>
        <v/>
      </c>
    </row>
    <row r="14" spans="2:24" s="18" customFormat="1" ht="12">
      <c r="B14" s="23" t="str">
        <f>IF(Vaccine_Selection!B18="","",Vaccine_Selection!B18)</f>
        <v>OPV</v>
      </c>
      <c r="C14" s="126" t="str">
        <f t="array" ref="C14">IF($B14="","",INDEX(Vaccine_database!$C$10:$D$278,MATCH($B14,Vaccines,0),2))</f>
        <v>liquid</v>
      </c>
      <c r="D14" s="19" t="str">
        <f t="array" ref="D14">IF($B14="","",INDEX(Vaccine_database!$C$10:$E$278,MATCH($B14,Vaccines,0),3))</f>
        <v>Oral</v>
      </c>
      <c r="E14" s="20">
        <f>Vaccine_Selection!C18</f>
        <v>10</v>
      </c>
      <c r="F14" s="21">
        <f>IF(Vaccine_Selection!D18="",Vaccine_Selection!F18,Vaccine_Selection!D18)</f>
        <v>2</v>
      </c>
      <c r="G14" s="21">
        <f>IF(Vaccine_Selection!D18="",Vaccine_Selection!G18,Vaccine_Selection!E18)</f>
        <v>0</v>
      </c>
      <c r="I14" s="118" t="str">
        <f t="shared" ref="I14:I32" si="1">IF(OR(B14="",D14="Oral",D14="Nasal"),"",IF(ISTEXT(E14),0,$K$5*1.1))</f>
        <v/>
      </c>
      <c r="J14" s="118" t="str">
        <f>IF(OR(B14="",C14="liquid",D14="Oral",D14="Nasal",ISTEXT(E14)),"",$K$6*Vaccine_Selection!K18/E14)</f>
        <v/>
      </c>
      <c r="K14" s="120">
        <f t="shared" si="0"/>
        <v>0</v>
      </c>
      <c r="L14" s="18">
        <f>Vaccine_Selection!L18</f>
        <v>1.9E-2</v>
      </c>
      <c r="M14" s="512">
        <f>IF(Vaccine_Selection!M18="","",Vaccine_Selection!M18)</f>
        <v>4</v>
      </c>
      <c r="N14" s="512">
        <f>IF(Vaccine_Selection!N18="","",Vaccine_Selection!N18)</f>
        <v>4</v>
      </c>
      <c r="O14" s="512">
        <f>IF(Vaccine_Selection!O18="","",Vaccine_Selection!O18)</f>
        <v>4</v>
      </c>
      <c r="P14" s="512" t="str">
        <f>IF(Vaccine_Selection!P18="","",Vaccine_Selection!P18)</f>
        <v/>
      </c>
      <c r="Q14" s="512" t="str">
        <f>IF(Vaccine_Selection!Q18="","",Vaccine_Selection!Q18)</f>
        <v/>
      </c>
      <c r="R14" s="511"/>
      <c r="S14" s="512" t="str">
        <f>IF(Vaccine_Selection!S18="","",Vaccine_Selection!S18)</f>
        <v/>
      </c>
      <c r="T14" s="512" t="str">
        <f>IF(Vaccine_Selection!T18="","",Vaccine_Selection!T18)</f>
        <v/>
      </c>
      <c r="U14" s="512" t="str">
        <f>IF(Vaccine_Selection!U18="","",Vaccine_Selection!U18)</f>
        <v/>
      </c>
    </row>
    <row r="15" spans="2:24" s="18" customFormat="1" ht="12">
      <c r="B15" s="23" t="str">
        <f>IF(Vaccine_Selection!B19="","",Vaccine_Selection!B19)</f>
        <v>DTP-HepB-Hib</v>
      </c>
      <c r="C15" s="126" t="str">
        <f t="array" ref="C15">IF($B15="","",INDEX(Vaccine_database!$C$10:$D$278,MATCH($B15,Vaccines,0),2))</f>
        <v>liquid</v>
      </c>
      <c r="D15" s="19" t="str">
        <f t="array" ref="D15">IF($B15="","",INDEX(Vaccine_database!$C$10:$E$278,MATCH($B15,Vaccines,0),3))</f>
        <v>IM</v>
      </c>
      <c r="E15" s="20">
        <f>Vaccine_Selection!C19</f>
        <v>10</v>
      </c>
      <c r="F15" s="21">
        <f>IF(Vaccine_Selection!D19="",Vaccine_Selection!F19,Vaccine_Selection!D19)</f>
        <v>2.75</v>
      </c>
      <c r="G15" s="21">
        <f>IF(Vaccine_Selection!D19="",Vaccine_Selection!G19,Vaccine_Selection!E19)</f>
        <v>0</v>
      </c>
      <c r="I15" s="118">
        <f t="shared" si="1"/>
        <v>62.333333333333336</v>
      </c>
      <c r="J15" s="118" t="str">
        <f>IF(OR(B15="",C15="liquid",D15="Oral",D15="Nasal",ISTEXT(E15)),"",$K$6*Vaccine_Selection!K19/E15)</f>
        <v/>
      </c>
      <c r="K15" s="120">
        <f t="shared" si="0"/>
        <v>6.9390000000000001</v>
      </c>
      <c r="L15" s="18">
        <f>Vaccine_Selection!L19</f>
        <v>1.9E-2</v>
      </c>
      <c r="M15" s="512">
        <f>IF(Vaccine_Selection!M19="","",Vaccine_Selection!M19)</f>
        <v>3</v>
      </c>
      <c r="N15" s="512" t="str">
        <f>IF(Vaccine_Selection!N19="","",Vaccine_Selection!N19)</f>
        <v/>
      </c>
      <c r="O15" s="512" t="str">
        <f>IF(Vaccine_Selection!O19="","",Vaccine_Selection!O19)</f>
        <v/>
      </c>
      <c r="P15" s="512" t="str">
        <f>IF(Vaccine_Selection!P19="","",Vaccine_Selection!P19)</f>
        <v/>
      </c>
      <c r="Q15" s="512" t="str">
        <f>IF(Vaccine_Selection!Q19="","",Vaccine_Selection!Q19)</f>
        <v/>
      </c>
      <c r="R15" s="511"/>
      <c r="S15" s="512" t="str">
        <f>IF(Vaccine_Selection!S19="","",Vaccine_Selection!S19)</f>
        <v/>
      </c>
      <c r="T15" s="512" t="str">
        <f>IF(Vaccine_Selection!T19="","",Vaccine_Selection!T19)</f>
        <v/>
      </c>
      <c r="U15" s="512" t="str">
        <f>IF(Vaccine_Selection!U19="","",Vaccine_Selection!U19)</f>
        <v/>
      </c>
    </row>
    <row r="16" spans="2:24" s="18" customFormat="1" ht="12">
      <c r="B16" s="23" t="str">
        <f>IF(Vaccine_Selection!B20="","",Vaccine_Selection!B20)</f>
        <v>DTP-HepB-Hib</v>
      </c>
      <c r="C16" s="126" t="str">
        <f t="array" ref="C16">IF($B16="","",INDEX(Vaccine_database!$C$10:$D$278,MATCH($B16,Vaccines,0),2))</f>
        <v>liquid</v>
      </c>
      <c r="D16" s="19" t="str">
        <f t="array" ref="D16">IF($B16="","",INDEX(Vaccine_database!$C$10:$E$278,MATCH($B16,Vaccines,0),3))</f>
        <v>IM</v>
      </c>
      <c r="E16" s="20">
        <f>Vaccine_Selection!C20</f>
        <v>1</v>
      </c>
      <c r="F16" s="21">
        <f>IF(Vaccine_Selection!D20="",Vaccine_Selection!F20,Vaccine_Selection!D20)</f>
        <v>16.66384</v>
      </c>
      <c r="G16" s="21">
        <f>IF(Vaccine_Selection!D20="",Vaccine_Selection!G20,Vaccine_Selection!E20)</f>
        <v>0</v>
      </c>
      <c r="I16" s="118">
        <f t="shared" si="1"/>
        <v>62.333333333333336</v>
      </c>
      <c r="J16" s="118" t="str">
        <f>IF(OR(B16="",C16="liquid",D16="Oral",D16="Nasal",ISTEXT(E16)),"",$K$6*Vaccine_Selection!K20/E16)</f>
        <v/>
      </c>
      <c r="K16" s="120">
        <f t="shared" si="0"/>
        <v>6.9390000000000001</v>
      </c>
      <c r="L16" s="18">
        <f>Vaccine_Selection!L20</f>
        <v>1.9E-2</v>
      </c>
      <c r="M16" s="512" t="str">
        <f>IF(Vaccine_Selection!M20="","",Vaccine_Selection!M20)</f>
        <v/>
      </c>
      <c r="N16" s="512">
        <f>IF(Vaccine_Selection!N20="","",Vaccine_Selection!N20)</f>
        <v>3</v>
      </c>
      <c r="O16" s="512" t="str">
        <f>IF(Vaccine_Selection!O20="","",Vaccine_Selection!O20)</f>
        <v/>
      </c>
      <c r="P16" s="512" t="str">
        <f>IF(Vaccine_Selection!P20="","",Vaccine_Selection!P20)</f>
        <v/>
      </c>
      <c r="Q16" s="512" t="str">
        <f>IF(Vaccine_Selection!Q20="","",Vaccine_Selection!Q20)</f>
        <v/>
      </c>
      <c r="R16" s="511"/>
      <c r="S16" s="512" t="str">
        <f>IF(Vaccine_Selection!S20="","",Vaccine_Selection!S20)</f>
        <v/>
      </c>
      <c r="T16" s="512" t="str">
        <f>IF(Vaccine_Selection!T20="","",Vaccine_Selection!T20)</f>
        <v/>
      </c>
      <c r="U16" s="512" t="str">
        <f>IF(Vaccine_Selection!U20="","",Vaccine_Selection!U20)</f>
        <v/>
      </c>
    </row>
    <row r="17" spans="2:21" s="18" customFormat="1" ht="12">
      <c r="B17" s="23" t="str">
        <f>IF(Vaccine_Selection!B21="","",Vaccine_Selection!B21)</f>
        <v>DTP-HepB-Hib</v>
      </c>
      <c r="C17" s="126" t="str">
        <f t="array" ref="C17">IF($B17="","",INDEX(Vaccine_database!$C$10:$D$278,MATCH($B17,Vaccines,0),2))</f>
        <v>liquid</v>
      </c>
      <c r="D17" s="19" t="str">
        <f t="array" ref="D17">IF($B17="","",INDEX(Vaccine_database!$C$10:$E$278,MATCH($B17,Vaccines,0),3))</f>
        <v>IM</v>
      </c>
      <c r="E17" s="20" t="str">
        <f>Vaccine_Selection!C21</f>
        <v>Uniject</v>
      </c>
      <c r="F17" s="21">
        <f>IF(Vaccine_Selection!D21="",Vaccine_Selection!F21,Vaccine_Selection!D21)</f>
        <v>12</v>
      </c>
      <c r="G17" s="21">
        <f>IF(Vaccine_Selection!D21="",Vaccine_Selection!G21,Vaccine_Selection!E21)</f>
        <v>0</v>
      </c>
      <c r="I17" s="118">
        <f t="shared" si="1"/>
        <v>0</v>
      </c>
      <c r="J17" s="118" t="str">
        <f>IF(OR(B17="",C17="liquid",D17="Oral",D17="Nasal",ISTEXT(E17)),"",$K$6*Vaccine_Selection!K21/E17)</f>
        <v/>
      </c>
      <c r="K17" s="120">
        <f t="shared" si="0"/>
        <v>6.9390000000000001</v>
      </c>
      <c r="L17" s="18">
        <f>Vaccine_Selection!L21</f>
        <v>1.9E-2</v>
      </c>
      <c r="M17" s="512" t="str">
        <f>IF(Vaccine_Selection!M21="","",Vaccine_Selection!M21)</f>
        <v/>
      </c>
      <c r="N17" s="512" t="str">
        <f>IF(Vaccine_Selection!N21="","",Vaccine_Selection!N21)</f>
        <v/>
      </c>
      <c r="O17" s="512">
        <f>IF(Vaccine_Selection!O21="","",Vaccine_Selection!O21)</f>
        <v>3</v>
      </c>
      <c r="P17" s="512" t="str">
        <f>IF(Vaccine_Selection!P21="","",Vaccine_Selection!P21)</f>
        <v/>
      </c>
      <c r="Q17" s="512" t="str">
        <f>IF(Vaccine_Selection!Q21="","",Vaccine_Selection!Q21)</f>
        <v/>
      </c>
      <c r="R17" s="511"/>
      <c r="S17" s="512" t="str">
        <f>IF(Vaccine_Selection!S21="","",Vaccine_Selection!S21)</f>
        <v/>
      </c>
      <c r="T17" s="512" t="str">
        <f>IF(Vaccine_Selection!T21="","",Vaccine_Selection!T21)</f>
        <v/>
      </c>
      <c r="U17" s="512" t="str">
        <f>IF(Vaccine_Selection!U21="","",Vaccine_Selection!U21)</f>
        <v/>
      </c>
    </row>
    <row r="18" spans="2:21" s="18" customFormat="1" ht="12">
      <c r="B18" s="23" t="str">
        <f>IF(Vaccine_Selection!B22="","",Vaccine_Selection!B22)</f>
        <v>Measles</v>
      </c>
      <c r="C18" s="126" t="str">
        <f t="array" ref="C18">IF($B18="","",INDEX(Vaccine_database!$C$10:$D$278,MATCH($B18,Vaccines,0),2))</f>
        <v>freeze-dried</v>
      </c>
      <c r="D18" s="19" t="str">
        <f t="array" ref="D18">IF($B18="","",INDEX(Vaccine_database!$C$10:$E$278,MATCH($B18,Vaccines,0),3))</f>
        <v>SC</v>
      </c>
      <c r="E18" s="20">
        <f>Vaccine_Selection!C22</f>
        <v>10</v>
      </c>
      <c r="F18" s="21">
        <f>IF(Vaccine_Selection!D22="",Vaccine_Selection!F22,Vaccine_Selection!D22)</f>
        <v>2.4002000000000003</v>
      </c>
      <c r="G18" s="21">
        <f>IF(Vaccine_Selection!D22="",Vaccine_Selection!G22,Vaccine_Selection!E22)</f>
        <v>3.2</v>
      </c>
      <c r="I18" s="118">
        <f t="shared" si="1"/>
        <v>62.333333333333336</v>
      </c>
      <c r="J18" s="118">
        <f>IF(OR(B18="",C18="liquid",D18="Oral",D18="Nasal",ISTEXT(E18)),"",$K$6*Vaccine_Selection!K22/E18)</f>
        <v>11.041666666666668</v>
      </c>
      <c r="K18" s="120">
        <f t="shared" si="0"/>
        <v>7.6329000000000011</v>
      </c>
      <c r="L18" s="18">
        <f>Vaccine_Selection!L22</f>
        <v>1.7999999999999999E-2</v>
      </c>
      <c r="M18" s="512">
        <f>IF(Vaccine_Selection!M22="","",Vaccine_Selection!M22)</f>
        <v>1</v>
      </c>
      <c r="N18" s="512">
        <f>IF(Vaccine_Selection!N22="","",Vaccine_Selection!N22)</f>
        <v>1</v>
      </c>
      <c r="O18" s="512">
        <f>IF(Vaccine_Selection!O22="","",Vaccine_Selection!O22)</f>
        <v>1</v>
      </c>
      <c r="P18" s="512" t="str">
        <f>IF(Vaccine_Selection!P22="","",Vaccine_Selection!P22)</f>
        <v/>
      </c>
      <c r="Q18" s="512" t="str">
        <f>IF(Vaccine_Selection!Q22="","",Vaccine_Selection!Q22)</f>
        <v/>
      </c>
      <c r="R18" s="511"/>
      <c r="S18" s="512" t="str">
        <f>IF(Vaccine_Selection!S22="","",Vaccine_Selection!S22)</f>
        <v/>
      </c>
      <c r="T18" s="512" t="str">
        <f>IF(Vaccine_Selection!T22="","",Vaccine_Selection!T22)</f>
        <v/>
      </c>
      <c r="U18" s="512" t="str">
        <f>IF(Vaccine_Selection!U22="","",Vaccine_Selection!U22)</f>
        <v/>
      </c>
    </row>
    <row r="19" spans="2:21" s="18" customFormat="1" ht="12">
      <c r="B19" s="23" t="str">
        <f>IF(Vaccine_Selection!B23="","",Vaccine_Selection!B23)</f>
        <v>YF</v>
      </c>
      <c r="C19" s="126" t="str">
        <f t="array" ref="C19">IF($B19="","",INDEX(Vaccine_database!$C$10:$D$278,MATCH($B19,Vaccines,0),2))</f>
        <v>freeze-dried</v>
      </c>
      <c r="D19" s="19" t="str">
        <f t="array" ref="D19">IF($B19="","",INDEX(Vaccine_database!$C$10:$E$278,MATCH($B19,Vaccines,0),3))</f>
        <v>SC</v>
      </c>
      <c r="E19" s="20">
        <f>Vaccine_Selection!C23</f>
        <v>5</v>
      </c>
      <c r="F19" s="21">
        <f>IF(Vaccine_Selection!D23="",Vaccine_Selection!F23,Vaccine_Selection!D23)</f>
        <v>5.4024999999999999</v>
      </c>
      <c r="G19" s="21">
        <f>IF(Vaccine_Selection!D23="",Vaccine_Selection!G23,Vaccine_Selection!E23)</f>
        <v>6.75</v>
      </c>
      <c r="I19" s="118">
        <f t="shared" si="1"/>
        <v>62.333333333333336</v>
      </c>
      <c r="J19" s="118">
        <f>IF(OR(B19="",C19="liquid",D19="Oral",D19="Nasal",ISTEXT(E19)),"",$K$6*Vaccine_Selection!K23/E19)</f>
        <v>14.722222222222223</v>
      </c>
      <c r="K19" s="120">
        <f t="shared" si="0"/>
        <v>8.3267999999999986</v>
      </c>
      <c r="L19" s="18">
        <f>Vaccine_Selection!L23</f>
        <v>1.7999999999999999E-2</v>
      </c>
      <c r="M19" s="512">
        <f>IF(Vaccine_Selection!M23="","",Vaccine_Selection!M23)</f>
        <v>1</v>
      </c>
      <c r="N19" s="512">
        <f>IF(Vaccine_Selection!N23="","",Vaccine_Selection!N23)</f>
        <v>1</v>
      </c>
      <c r="O19" s="512">
        <f>IF(Vaccine_Selection!O23="","",Vaccine_Selection!O23)</f>
        <v>1</v>
      </c>
      <c r="P19" s="512" t="str">
        <f>IF(Vaccine_Selection!P23="","",Vaccine_Selection!P23)</f>
        <v/>
      </c>
      <c r="Q19" s="512" t="str">
        <f>IF(Vaccine_Selection!Q23="","",Vaccine_Selection!Q23)</f>
        <v/>
      </c>
      <c r="R19" s="511"/>
      <c r="S19" s="512" t="str">
        <f>IF(Vaccine_Selection!S23="","",Vaccine_Selection!S23)</f>
        <v/>
      </c>
      <c r="T19" s="512" t="str">
        <f>IF(Vaccine_Selection!T23="","",Vaccine_Selection!T23)</f>
        <v/>
      </c>
      <c r="U19" s="512" t="str">
        <f>IF(Vaccine_Selection!U23="","",Vaccine_Selection!U23)</f>
        <v/>
      </c>
    </row>
    <row r="20" spans="2:21" s="18" customFormat="1" ht="12">
      <c r="B20" s="23" t="str">
        <f>IF(Vaccine_Selection!B24="","",Vaccine_Selection!B24)</f>
        <v>TT</v>
      </c>
      <c r="C20" s="126" t="str">
        <f t="array" ref="C20">IF($B20="","",INDEX(Vaccine_database!$C$10:$D$278,MATCH($B20,Vaccines,0),2))</f>
        <v>liquid</v>
      </c>
      <c r="D20" s="19" t="str">
        <f t="array" ref="D20">IF($B20="","",INDEX(Vaccine_database!$C$10:$E$278,MATCH($B20,Vaccines,0),3))</f>
        <v>IM</v>
      </c>
      <c r="E20" s="20">
        <f>Vaccine_Selection!C24</f>
        <v>10</v>
      </c>
      <c r="F20" s="21">
        <f>IF(Vaccine_Selection!D24="",Vaccine_Selection!F24,Vaccine_Selection!D24)</f>
        <v>3.1093333333333333</v>
      </c>
      <c r="G20" s="21">
        <f>IF(Vaccine_Selection!D24="",Vaccine_Selection!G24,Vaccine_Selection!E24)</f>
        <v>0</v>
      </c>
      <c r="I20" s="118">
        <f t="shared" si="1"/>
        <v>62.333333333333336</v>
      </c>
      <c r="J20" s="118" t="str">
        <f>IF(OR(B20="",C20="liquid",D20="Oral",D20="Nasal",ISTEXT(E20)),"",$K$6*Vaccine_Selection!K24/E20)</f>
        <v/>
      </c>
      <c r="K20" s="120">
        <f t="shared" si="0"/>
        <v>6.9390000000000001</v>
      </c>
      <c r="L20" s="18">
        <f>Vaccine_Selection!L24</f>
        <v>0.02</v>
      </c>
      <c r="M20" s="512">
        <f>IF(Vaccine_Selection!M24="","",Vaccine_Selection!M24)</f>
        <v>2</v>
      </c>
      <c r="N20" s="512">
        <f>IF(Vaccine_Selection!N24="","",Vaccine_Selection!N24)</f>
        <v>2</v>
      </c>
      <c r="O20" s="512">
        <f>IF(Vaccine_Selection!O24="","",Vaccine_Selection!O24)</f>
        <v>2</v>
      </c>
      <c r="P20" s="512" t="str">
        <f>IF(Vaccine_Selection!P24="","",Vaccine_Selection!P24)</f>
        <v/>
      </c>
      <c r="Q20" s="512" t="str">
        <f>IF(Vaccine_Selection!Q24="","",Vaccine_Selection!Q24)</f>
        <v/>
      </c>
      <c r="R20" s="511"/>
      <c r="S20" s="512" t="str">
        <f>IF(Vaccine_Selection!S24="","",Vaccine_Selection!S24)</f>
        <v/>
      </c>
      <c r="T20" s="512" t="str">
        <f>IF(Vaccine_Selection!T24="","",Vaccine_Selection!T24)</f>
        <v/>
      </c>
      <c r="U20" s="512" t="str">
        <f>IF(Vaccine_Selection!U24="","",Vaccine_Selection!U24)</f>
        <v/>
      </c>
    </row>
    <row r="21" spans="2:21" s="18" customFormat="1" ht="12">
      <c r="B21" s="23" t="str">
        <f>IF(Vaccine_Selection!B25="","",Vaccine_Selection!B25)</f>
        <v>PCV-13</v>
      </c>
      <c r="C21" s="126" t="str">
        <f t="array" ref="C21">IF($B21="","",INDEX(Vaccine_database!$C$10:$D$278,MATCH($B21,Vaccines,0),2))</f>
        <v>liquid</v>
      </c>
      <c r="D21" s="19" t="str">
        <f t="array" ref="D21">IF($B21="","",INDEX(Vaccine_database!$C$10:$E$278,MATCH($B21,Vaccines,0),3))</f>
        <v>IM</v>
      </c>
      <c r="E21" s="20">
        <f>Vaccine_Selection!C25</f>
        <v>1</v>
      </c>
      <c r="F21" s="21">
        <f>IF(Vaccine_Selection!D25="",Vaccine_Selection!F25,Vaccine_Selection!D25)</f>
        <v>13.825246999999999</v>
      </c>
      <c r="G21" s="21">
        <f>IF(Vaccine_Selection!D25="",Vaccine_Selection!G25,Vaccine_Selection!E25)</f>
        <v>0</v>
      </c>
      <c r="I21" s="118">
        <f t="shared" si="1"/>
        <v>62.333333333333336</v>
      </c>
      <c r="J21" s="118" t="str">
        <f>IF(OR(B21="",C21="liquid",D21="Oral",D21="Nasal",ISTEXT(E21)),"",$K$6*Vaccine_Selection!K25/E21)</f>
        <v/>
      </c>
      <c r="K21" s="120">
        <f t="shared" si="0"/>
        <v>6.9390000000000001</v>
      </c>
      <c r="L21" s="18">
        <f>Vaccine_Selection!L25</f>
        <v>0.01</v>
      </c>
      <c r="M21" s="512" t="str">
        <f>IF(Vaccine_Selection!M25="","",Vaccine_Selection!M25)</f>
        <v/>
      </c>
      <c r="N21" s="512" t="str">
        <f>IF(Vaccine_Selection!N25="","",Vaccine_Selection!N25)</f>
        <v/>
      </c>
      <c r="O21" s="512" t="str">
        <f>IF(Vaccine_Selection!O25="","",Vaccine_Selection!O25)</f>
        <v/>
      </c>
      <c r="P21" s="512" t="str">
        <f>IF(Vaccine_Selection!P25="","",Vaccine_Selection!P25)</f>
        <v/>
      </c>
      <c r="Q21" s="512" t="str">
        <f>IF(Vaccine_Selection!Q25="","",Vaccine_Selection!Q25)</f>
        <v/>
      </c>
      <c r="R21" s="511"/>
      <c r="S21" s="512" t="str">
        <f>IF(Vaccine_Selection!S25="","",Vaccine_Selection!S25)</f>
        <v/>
      </c>
      <c r="T21" s="512" t="str">
        <f>IF(Vaccine_Selection!T25="","",Vaccine_Selection!T25)</f>
        <v/>
      </c>
      <c r="U21" s="512" t="str">
        <f>IF(Vaccine_Selection!U25="","",Vaccine_Selection!U25)</f>
        <v/>
      </c>
    </row>
    <row r="22" spans="2:21" s="18" customFormat="1" ht="12">
      <c r="B22" s="22" t="str">
        <f>IF(Vaccine_Selection!B26="","",Vaccine_Selection!B26)</f>
        <v>Rota_liq</v>
      </c>
      <c r="C22" s="126" t="str">
        <f t="array" ref="C22">IF($B22="","",INDEX(Vaccine_database!$C$10:$D$278,MATCH($B22,Vaccines,0),2))</f>
        <v>liquid</v>
      </c>
      <c r="D22" s="19" t="str">
        <f t="array" ref="D22">IF($B22="","",INDEX(Vaccine_database!$C$10:$E$278,MATCH($B22,Vaccines,0),3))</f>
        <v>Oral</v>
      </c>
      <c r="E22" s="20">
        <f>Vaccine_Selection!C26</f>
        <v>1</v>
      </c>
      <c r="F22" s="21">
        <f>IF(Vaccine_Selection!D26="",Vaccine_Selection!F26,Vaccine_Selection!D26)</f>
        <v>17.100000000000001</v>
      </c>
      <c r="G22" s="21">
        <f>IF(Vaccine_Selection!D26="",Vaccine_Selection!G26,Vaccine_Selection!E26)</f>
        <v>0</v>
      </c>
      <c r="I22" s="118" t="str">
        <f t="shared" si="1"/>
        <v/>
      </c>
      <c r="J22" s="118" t="str">
        <f>IF(OR(B22="",C22="liquid",D22="Oral",D22="Nasal",ISTEXT(E22)),"",$K$6*Vaccine_Selection!K26/E22)</f>
        <v/>
      </c>
      <c r="K22" s="120">
        <f t="shared" si="0"/>
        <v>0</v>
      </c>
      <c r="L22" s="18">
        <f>Vaccine_Selection!L26</f>
        <v>3.5000000000000003E-2</v>
      </c>
      <c r="M22" s="512" t="str">
        <f>IF(Vaccine_Selection!M26="","",Vaccine_Selection!M26)</f>
        <v/>
      </c>
      <c r="N22" s="512" t="str">
        <f>IF(Vaccine_Selection!N26="","",Vaccine_Selection!N26)</f>
        <v/>
      </c>
      <c r="O22" s="512" t="str">
        <f>IF(Vaccine_Selection!O26="","",Vaccine_Selection!O26)</f>
        <v/>
      </c>
      <c r="P22" s="512" t="str">
        <f>IF(Vaccine_Selection!P26="","",Vaccine_Selection!P26)</f>
        <v/>
      </c>
      <c r="Q22" s="512" t="str">
        <f>IF(Vaccine_Selection!Q26="","",Vaccine_Selection!Q26)</f>
        <v/>
      </c>
      <c r="R22" s="511"/>
      <c r="S22" s="512">
        <f>IF(Vaccine_Selection!S26="","",Vaccine_Selection!S26)</f>
        <v>1</v>
      </c>
      <c r="T22" s="512"/>
      <c r="U22" s="512" t="str">
        <f>IF(Vaccine_Selection!U26="","",Vaccine_Selection!U26)</f>
        <v/>
      </c>
    </row>
    <row r="23" spans="2:21" s="18" customFormat="1" ht="12">
      <c r="B23" s="22" t="str">
        <f>IF(Vaccine_Selection!B27="","",Vaccine_Selection!B27)</f>
        <v/>
      </c>
      <c r="C23" s="126" t="str">
        <f t="array" ref="C23">IF($B23="","",INDEX(Vaccine_database!$C$10:$D$278,MATCH($B23,Vaccines,0),2))</f>
        <v/>
      </c>
      <c r="D23" s="19" t="str">
        <f t="array" ref="D23">IF($B23="","",INDEX(Vaccine_database!$C$10:$E$278,MATCH($B23,Vaccines,0),3))</f>
        <v/>
      </c>
      <c r="E23" s="20">
        <f>Vaccine_Selection!C27</f>
        <v>0</v>
      </c>
      <c r="F23" s="21">
        <f>IF(Vaccine_Selection!D27="",Vaccine_Selection!F27,Vaccine_Selection!D27)</f>
        <v>0</v>
      </c>
      <c r="G23" s="21">
        <f>IF(Vaccine_Selection!D27="",Vaccine_Selection!G27,Vaccine_Selection!E27)</f>
        <v>0</v>
      </c>
      <c r="I23" s="118" t="str">
        <f t="shared" si="1"/>
        <v/>
      </c>
      <c r="J23" s="118" t="str">
        <f>IF(OR(B23="",C23="liquid",D23="Oral",D23="Nasal",ISTEXT(E23)),"",$K$6*Vaccine_Selection!K27/E23)</f>
        <v/>
      </c>
      <c r="K23" s="120">
        <f t="shared" si="0"/>
        <v>0</v>
      </c>
      <c r="L23" s="18">
        <f>Vaccine_Selection!L27</f>
        <v>0</v>
      </c>
      <c r="M23" s="512" t="str">
        <f>IF(Vaccine_Selection!M27="","",Vaccine_Selection!M27)</f>
        <v/>
      </c>
      <c r="N23" s="512" t="str">
        <f>IF(Vaccine_Selection!N27="","",Vaccine_Selection!N27)</f>
        <v/>
      </c>
      <c r="O23" s="512" t="str">
        <f>IF(Vaccine_Selection!O27="","",Vaccine_Selection!O27)</f>
        <v/>
      </c>
      <c r="P23" s="512" t="str">
        <f>IF(Vaccine_Selection!P27="","",Vaccine_Selection!P27)</f>
        <v/>
      </c>
      <c r="Q23" s="512" t="str">
        <f>IF(Vaccine_Selection!Q27="","",Vaccine_Selection!Q27)</f>
        <v/>
      </c>
      <c r="R23" s="511"/>
      <c r="S23" s="512" t="str">
        <f>IF(Vaccine_Selection!S27="","",Vaccine_Selection!S27)</f>
        <v/>
      </c>
      <c r="T23" s="512" t="str">
        <f>IF(Vaccine_Selection!T27="","",Vaccine_Selection!T27)</f>
        <v/>
      </c>
      <c r="U23" s="512" t="str">
        <f>IF(Vaccine_Selection!U27="","",Vaccine_Selection!U27)</f>
        <v/>
      </c>
    </row>
    <row r="24" spans="2:21" s="18" customFormat="1" ht="12">
      <c r="B24" s="22" t="str">
        <f>IF(Vaccine_Selection!B28="","",Vaccine_Selection!B28)</f>
        <v/>
      </c>
      <c r="C24" s="126" t="str">
        <f t="array" ref="C24">IF($B24="","",INDEX(Vaccine_database!$C$10:$D$278,MATCH($B24,Vaccines,0),2))</f>
        <v/>
      </c>
      <c r="D24" s="19" t="str">
        <f t="array" ref="D24">IF($B24="","",INDEX(Vaccine_database!$C$10:$E$278,MATCH($B24,Vaccines,0),3))</f>
        <v/>
      </c>
      <c r="E24" s="20">
        <f>Vaccine_Selection!C28</f>
        <v>0</v>
      </c>
      <c r="F24" s="21">
        <f>IF(Vaccine_Selection!D28="",Vaccine_Selection!F28,Vaccine_Selection!D28)</f>
        <v>0</v>
      </c>
      <c r="G24" s="21">
        <f>IF(Vaccine_Selection!D28="",Vaccine_Selection!G28,Vaccine_Selection!E28)</f>
        <v>0</v>
      </c>
      <c r="I24" s="118" t="str">
        <f t="shared" si="1"/>
        <v/>
      </c>
      <c r="J24" s="118" t="str">
        <f>IF(OR(B24="",C24="liquid",D24="Oral",D24="Nasal",ISTEXT(E24)),"",$K$6*Vaccine_Selection!K28/E24)</f>
        <v/>
      </c>
      <c r="K24" s="120">
        <f t="shared" si="0"/>
        <v>0</v>
      </c>
      <c r="L24" s="18">
        <f>Vaccine_Selection!L28</f>
        <v>0</v>
      </c>
      <c r="M24" s="512" t="str">
        <f>IF(Vaccine_Selection!M28="","",Vaccine_Selection!M28)</f>
        <v/>
      </c>
      <c r="N24" s="512" t="str">
        <f>IF(Vaccine_Selection!N28="","",Vaccine_Selection!N28)</f>
        <v/>
      </c>
      <c r="O24" s="512" t="str">
        <f>IF(Vaccine_Selection!O28="","",Vaccine_Selection!O28)</f>
        <v/>
      </c>
      <c r="P24" s="512" t="str">
        <f>IF(Vaccine_Selection!P28="","",Vaccine_Selection!P28)</f>
        <v/>
      </c>
      <c r="Q24" s="512" t="str">
        <f>IF(Vaccine_Selection!Q28="","",Vaccine_Selection!Q28)</f>
        <v/>
      </c>
      <c r="R24" s="511"/>
      <c r="S24" s="512" t="str">
        <f>IF(Vaccine_Selection!S28="","",Vaccine_Selection!S28)</f>
        <v/>
      </c>
      <c r="T24" s="512" t="str">
        <f>IF(Vaccine_Selection!T28="","",Vaccine_Selection!T28)</f>
        <v/>
      </c>
      <c r="U24" s="512" t="str">
        <f>IF(Vaccine_Selection!U28="","",Vaccine_Selection!U28)</f>
        <v/>
      </c>
    </row>
    <row r="25" spans="2:21" s="18" customFormat="1" ht="12">
      <c r="B25" s="22" t="str">
        <f>IF(Vaccine_Selection!B29="","",Vaccine_Selection!B29)</f>
        <v/>
      </c>
      <c r="C25" s="126" t="str">
        <f t="array" ref="C25">IF($B25="","",INDEX(Vaccine_database!$C$10:$D$278,MATCH($B25,Vaccines,0),2))</f>
        <v/>
      </c>
      <c r="D25" s="19" t="str">
        <f t="array" ref="D25">IF($B25="","",INDEX(Vaccine_database!$C$10:$E$278,MATCH($B25,Vaccines,0),3))</f>
        <v/>
      </c>
      <c r="E25" s="20">
        <f>Vaccine_Selection!C29</f>
        <v>0</v>
      </c>
      <c r="F25" s="21">
        <f>IF(Vaccine_Selection!D29="",Vaccine_Selection!F29,Vaccine_Selection!D29)</f>
        <v>0</v>
      </c>
      <c r="G25" s="21">
        <f>IF(Vaccine_Selection!D29="",Vaccine_Selection!G29,Vaccine_Selection!E29)</f>
        <v>0</v>
      </c>
      <c r="I25" s="118" t="str">
        <f t="shared" si="1"/>
        <v/>
      </c>
      <c r="J25" s="118" t="str">
        <f>IF(OR(B25="",C25="liquid",D25="Oral",D25="Nasal",ISTEXT(E25)),"",$K$6*Vaccine_Selection!K29/E25)</f>
        <v/>
      </c>
      <c r="K25" s="120">
        <f t="shared" si="0"/>
        <v>0</v>
      </c>
      <c r="L25" s="18">
        <f>Vaccine_Selection!L29</f>
        <v>0</v>
      </c>
      <c r="M25" s="512" t="str">
        <f>IF(Vaccine_Selection!M29="","",Vaccine_Selection!M29)</f>
        <v/>
      </c>
      <c r="N25" s="512" t="str">
        <f>IF(Vaccine_Selection!N29="","",Vaccine_Selection!N29)</f>
        <v/>
      </c>
      <c r="O25" s="512" t="str">
        <f>IF(Vaccine_Selection!O29="","",Vaccine_Selection!O29)</f>
        <v/>
      </c>
      <c r="P25" s="512" t="str">
        <f>IF(Vaccine_Selection!P29="","",Vaccine_Selection!P29)</f>
        <v/>
      </c>
      <c r="Q25" s="512" t="str">
        <f>IF(Vaccine_Selection!Q29="","",Vaccine_Selection!Q29)</f>
        <v/>
      </c>
      <c r="R25" s="511"/>
      <c r="S25" s="512" t="str">
        <f>IF(Vaccine_Selection!S29="","",Vaccine_Selection!S29)</f>
        <v/>
      </c>
      <c r="T25" s="512" t="str">
        <f>IF(Vaccine_Selection!T29="","",Vaccine_Selection!T29)</f>
        <v/>
      </c>
      <c r="U25" s="512" t="str">
        <f>IF(Vaccine_Selection!U29="","",Vaccine_Selection!U29)</f>
        <v/>
      </c>
    </row>
    <row r="26" spans="2:21" s="18" customFormat="1" ht="12">
      <c r="B26" s="22" t="str">
        <f>IF(Vaccine_Selection!B30="","",Vaccine_Selection!B30)</f>
        <v/>
      </c>
      <c r="C26" s="126" t="str">
        <f t="array" ref="C26">IF($B26="","",INDEX(Vaccine_database!$C$10:$D$278,MATCH($B26,Vaccines,0),2))</f>
        <v/>
      </c>
      <c r="D26" s="19" t="str">
        <f t="array" ref="D26">IF($B26="","",INDEX(Vaccine_database!$C$10:$E$278,MATCH($B26,Vaccines,0),3))</f>
        <v/>
      </c>
      <c r="E26" s="20">
        <f>Vaccine_Selection!C30</f>
        <v>0</v>
      </c>
      <c r="F26" s="21">
        <f>IF(Vaccine_Selection!D30="",Vaccine_Selection!F30,Vaccine_Selection!D30)</f>
        <v>0</v>
      </c>
      <c r="G26" s="21">
        <f>IF(Vaccine_Selection!D30="",Vaccine_Selection!G30,Vaccine_Selection!E30)</f>
        <v>0</v>
      </c>
      <c r="I26" s="118" t="str">
        <f t="shared" si="1"/>
        <v/>
      </c>
      <c r="J26" s="118" t="str">
        <f>IF(OR(B26="",C26="liquid",D26="Oral",D26="Nasal",ISTEXT(E26)),"",$K$6*Vaccine_Selection!K30/E26)</f>
        <v/>
      </c>
      <c r="K26" s="120">
        <f t="shared" si="0"/>
        <v>0</v>
      </c>
      <c r="L26" s="18">
        <f>Vaccine_Selection!L30</f>
        <v>0</v>
      </c>
      <c r="M26" s="512" t="str">
        <f>IF(Vaccine_Selection!M30="","",Vaccine_Selection!M30)</f>
        <v/>
      </c>
      <c r="N26" s="512" t="str">
        <f>IF(Vaccine_Selection!N30="","",Vaccine_Selection!N30)</f>
        <v/>
      </c>
      <c r="O26" s="512" t="str">
        <f>IF(Vaccine_Selection!O30="","",Vaccine_Selection!O30)</f>
        <v/>
      </c>
      <c r="P26" s="512" t="str">
        <f>IF(Vaccine_Selection!P30="","",Vaccine_Selection!P30)</f>
        <v/>
      </c>
      <c r="Q26" s="512" t="str">
        <f>IF(Vaccine_Selection!Q30="","",Vaccine_Selection!Q30)</f>
        <v/>
      </c>
      <c r="R26" s="511"/>
      <c r="S26" s="512" t="str">
        <f>IF(Vaccine_Selection!S30="","",Vaccine_Selection!S30)</f>
        <v/>
      </c>
      <c r="T26" s="512" t="str">
        <f>IF(Vaccine_Selection!T30="","",Vaccine_Selection!T30)</f>
        <v/>
      </c>
      <c r="U26" s="512" t="str">
        <f>IF(Vaccine_Selection!U30="","",Vaccine_Selection!U30)</f>
        <v/>
      </c>
    </row>
    <row r="27" spans="2:21" s="18" customFormat="1" ht="12">
      <c r="B27" s="22" t="str">
        <f>IF(Vaccine_Selection!B31="","",Vaccine_Selection!B31)</f>
        <v/>
      </c>
      <c r="C27" s="126" t="str">
        <f t="array" ref="C27">IF($B27="","",INDEX(Vaccine_database!$C$10:$D$278,MATCH($B27,Vaccines,0),2))</f>
        <v/>
      </c>
      <c r="D27" s="19" t="str">
        <f t="array" ref="D27">IF($B27="","",INDEX(Vaccine_database!$C$10:$E$278,MATCH($B27,Vaccines,0),3))</f>
        <v/>
      </c>
      <c r="E27" s="20">
        <f>Vaccine_Selection!C31</f>
        <v>0</v>
      </c>
      <c r="F27" s="21">
        <f>IF(Vaccine_Selection!D31="",Vaccine_Selection!F31,Vaccine_Selection!D31)</f>
        <v>0</v>
      </c>
      <c r="G27" s="21">
        <f>IF(Vaccine_Selection!D31="",Vaccine_Selection!G31,Vaccine_Selection!E31)</f>
        <v>0</v>
      </c>
      <c r="I27" s="118" t="str">
        <f t="shared" si="1"/>
        <v/>
      </c>
      <c r="J27" s="118" t="str">
        <f>IF(OR(B27="",C27="liquid",D27="Oral",D27="Nasal",ISTEXT(E27)),"",$K$6*Vaccine_Selection!K31/E27)</f>
        <v/>
      </c>
      <c r="K27" s="120">
        <f t="shared" si="0"/>
        <v>0</v>
      </c>
      <c r="L27" s="18">
        <f>Vaccine_Selection!L31</f>
        <v>0</v>
      </c>
      <c r="M27" s="512" t="str">
        <f>IF(Vaccine_Selection!M31="","",Vaccine_Selection!M31)</f>
        <v/>
      </c>
      <c r="N27" s="512" t="str">
        <f>IF(Vaccine_Selection!N31="","",Vaccine_Selection!N31)</f>
        <v/>
      </c>
      <c r="O27" s="512" t="str">
        <f>IF(Vaccine_Selection!O31="","",Vaccine_Selection!O31)</f>
        <v/>
      </c>
      <c r="P27" s="512" t="str">
        <f>IF(Vaccine_Selection!P31="","",Vaccine_Selection!P31)</f>
        <v/>
      </c>
      <c r="Q27" s="512" t="str">
        <f>IF(Vaccine_Selection!Q31="","",Vaccine_Selection!Q31)</f>
        <v/>
      </c>
      <c r="R27" s="511"/>
      <c r="S27" s="512" t="str">
        <f>IF(Vaccine_Selection!S31="","",Vaccine_Selection!S31)</f>
        <v/>
      </c>
      <c r="T27" s="512" t="str">
        <f>IF(Vaccine_Selection!T31="","",Vaccine_Selection!T31)</f>
        <v/>
      </c>
      <c r="U27" s="512" t="str">
        <f>IF(Vaccine_Selection!U31="","",Vaccine_Selection!U31)</f>
        <v/>
      </c>
    </row>
    <row r="28" spans="2:21" s="18" customFormat="1" ht="12">
      <c r="B28" s="22" t="str">
        <f>IF(Vaccine_Selection!B32="","",Vaccine_Selection!B32)</f>
        <v/>
      </c>
      <c r="C28" s="126" t="str">
        <f t="array" ref="C28">IF($B28="","",INDEX(Vaccine_database!$C$10:$D$278,MATCH($B28,Vaccines,0),2))</f>
        <v/>
      </c>
      <c r="D28" s="19" t="str">
        <f t="array" ref="D28">IF($B28="","",INDEX(Vaccine_database!$C$10:$E$278,MATCH($B28,Vaccines,0),3))</f>
        <v/>
      </c>
      <c r="E28" s="20">
        <f>Vaccine_Selection!C32</f>
        <v>0</v>
      </c>
      <c r="F28" s="21">
        <f>IF(Vaccine_Selection!D32="",Vaccine_Selection!F32,Vaccine_Selection!D32)</f>
        <v>0</v>
      </c>
      <c r="G28" s="21">
        <f>IF(Vaccine_Selection!D32="",Vaccine_Selection!G32,Vaccine_Selection!E32)</f>
        <v>0</v>
      </c>
      <c r="I28" s="118" t="str">
        <f t="shared" si="1"/>
        <v/>
      </c>
      <c r="J28" s="118" t="str">
        <f>IF(OR(B28="",C28="liquid",D28="Oral",D28="Nasal",ISTEXT(E28)),"",$K$6*Vaccine_Selection!K32/E28)</f>
        <v/>
      </c>
      <c r="K28" s="120">
        <f t="shared" si="0"/>
        <v>0</v>
      </c>
      <c r="L28" s="18">
        <f>Vaccine_Selection!L32</f>
        <v>0</v>
      </c>
      <c r="M28" s="512" t="str">
        <f>IF(Vaccine_Selection!M32="","",Vaccine_Selection!M32)</f>
        <v/>
      </c>
      <c r="N28" s="512" t="str">
        <f>IF(Vaccine_Selection!N32="","",Vaccine_Selection!N32)</f>
        <v/>
      </c>
      <c r="O28" s="512" t="str">
        <f>IF(Vaccine_Selection!O32="","",Vaccine_Selection!O32)</f>
        <v/>
      </c>
      <c r="P28" s="512" t="str">
        <f>IF(Vaccine_Selection!P32="","",Vaccine_Selection!P32)</f>
        <v/>
      </c>
      <c r="Q28" s="512" t="str">
        <f>IF(Vaccine_Selection!Q32="","",Vaccine_Selection!Q32)</f>
        <v/>
      </c>
      <c r="R28" s="511"/>
      <c r="S28" s="512" t="str">
        <f>IF(Vaccine_Selection!S32="","",Vaccine_Selection!S32)</f>
        <v/>
      </c>
      <c r="T28" s="512" t="str">
        <f>IF(Vaccine_Selection!T32="","",Vaccine_Selection!T32)</f>
        <v/>
      </c>
      <c r="U28" s="512" t="str">
        <f>IF(Vaccine_Selection!U32="","",Vaccine_Selection!U32)</f>
        <v/>
      </c>
    </row>
    <row r="29" spans="2:21" s="18" customFormat="1" ht="12">
      <c r="B29" s="22" t="str">
        <f>IF(Vaccine_Selection!B33="","",Vaccine_Selection!B33)</f>
        <v/>
      </c>
      <c r="C29" s="126" t="str">
        <f t="array" ref="C29">IF($B29="","",INDEX(Vaccine_database!$C$10:$D$278,MATCH($B29,Vaccines,0),2))</f>
        <v/>
      </c>
      <c r="D29" s="19" t="str">
        <f t="array" ref="D29">IF($B29="","",INDEX(Vaccine_database!$C$10:$E$278,MATCH($B29,Vaccines,0),3))</f>
        <v/>
      </c>
      <c r="E29" s="20">
        <f>Vaccine_Selection!C33</f>
        <v>0</v>
      </c>
      <c r="F29" s="21">
        <f>IF(Vaccine_Selection!D33="",Vaccine_Selection!F33,Vaccine_Selection!D33)</f>
        <v>0</v>
      </c>
      <c r="G29" s="21">
        <f>IF(Vaccine_Selection!D33="",Vaccine_Selection!G33,Vaccine_Selection!E33)</f>
        <v>0</v>
      </c>
      <c r="I29" s="118" t="str">
        <f t="shared" si="1"/>
        <v/>
      </c>
      <c r="J29" s="118" t="str">
        <f>IF(OR(B29="",C29="liquid",D29="Oral",D29="Nasal",ISTEXT(E29)),"",$K$6*Vaccine_Selection!K33/E29)</f>
        <v/>
      </c>
      <c r="K29" s="120">
        <f t="shared" si="0"/>
        <v>0</v>
      </c>
      <c r="L29" s="18">
        <f>Vaccine_Selection!L33</f>
        <v>0</v>
      </c>
      <c r="M29" s="512" t="str">
        <f>IF(Vaccine_Selection!M33="","",Vaccine_Selection!M33)</f>
        <v/>
      </c>
      <c r="N29" s="512" t="str">
        <f>IF(Vaccine_Selection!N33="","",Vaccine_Selection!N33)</f>
        <v/>
      </c>
      <c r="O29" s="512" t="str">
        <f>IF(Vaccine_Selection!O33="","",Vaccine_Selection!O33)</f>
        <v/>
      </c>
      <c r="P29" s="512" t="str">
        <f>IF(Vaccine_Selection!P33="","",Vaccine_Selection!P33)</f>
        <v/>
      </c>
      <c r="Q29" s="512" t="str">
        <f>IF(Vaccine_Selection!Q33="","",Vaccine_Selection!Q33)</f>
        <v/>
      </c>
      <c r="R29" s="511"/>
      <c r="S29" s="512" t="str">
        <f>IF(Vaccine_Selection!S33="","",Vaccine_Selection!S33)</f>
        <v/>
      </c>
      <c r="T29" s="512" t="str">
        <f>IF(Vaccine_Selection!T33="","",Vaccine_Selection!T33)</f>
        <v/>
      </c>
      <c r="U29" s="512" t="str">
        <f>IF(Vaccine_Selection!U33="","",Vaccine_Selection!U33)</f>
        <v/>
      </c>
    </row>
    <row r="30" spans="2:21" s="18" customFormat="1" ht="12">
      <c r="B30" s="22" t="str">
        <f>IF(Vaccine_Selection!B34="","",Vaccine_Selection!B34)</f>
        <v/>
      </c>
      <c r="C30" s="126" t="str">
        <f t="array" ref="C30">IF($B30="","",INDEX(Vaccine_database!$C$10:$D$278,MATCH($B30,Vaccines,0),2))</f>
        <v/>
      </c>
      <c r="D30" s="19" t="str">
        <f t="array" ref="D30">IF($B30="","",INDEX(Vaccine_database!$C$10:$E$278,MATCH($B30,Vaccines,0),3))</f>
        <v/>
      </c>
      <c r="E30" s="20">
        <f>Vaccine_Selection!C34</f>
        <v>0</v>
      </c>
      <c r="F30" s="21">
        <f>IF(Vaccine_Selection!D34="",Vaccine_Selection!F34,Vaccine_Selection!D34)</f>
        <v>0</v>
      </c>
      <c r="G30" s="21">
        <f>IF(Vaccine_Selection!D34="",Vaccine_Selection!G34,Vaccine_Selection!E34)</f>
        <v>0</v>
      </c>
      <c r="I30" s="118" t="str">
        <f t="shared" si="1"/>
        <v/>
      </c>
      <c r="J30" s="118" t="str">
        <f>IF(OR(B30="",C30="liquid",D30="Oral",D30="Nasal",ISTEXT(E30)),"",$K$6*Vaccine_Selection!K34/E30)</f>
        <v/>
      </c>
      <c r="K30" s="120">
        <f t="shared" si="0"/>
        <v>0</v>
      </c>
      <c r="L30" s="18">
        <f>Vaccine_Selection!L34</f>
        <v>0</v>
      </c>
      <c r="M30" s="512" t="str">
        <f>IF(Vaccine_Selection!M34="","",Vaccine_Selection!M34)</f>
        <v/>
      </c>
      <c r="N30" s="512" t="str">
        <f>IF(Vaccine_Selection!N34="","",Vaccine_Selection!N34)</f>
        <v/>
      </c>
      <c r="O30" s="512" t="str">
        <f>IF(Vaccine_Selection!O34="","",Vaccine_Selection!O34)</f>
        <v/>
      </c>
      <c r="P30" s="512" t="str">
        <f>IF(Vaccine_Selection!P34="","",Vaccine_Selection!P34)</f>
        <v/>
      </c>
      <c r="Q30" s="512" t="str">
        <f>IF(Vaccine_Selection!Q34="","",Vaccine_Selection!Q34)</f>
        <v/>
      </c>
      <c r="R30" s="511"/>
      <c r="S30" s="512" t="str">
        <f>IF(Vaccine_Selection!S34="","",Vaccine_Selection!S34)</f>
        <v/>
      </c>
      <c r="T30" s="512" t="str">
        <f>IF(Vaccine_Selection!T34="","",Vaccine_Selection!T34)</f>
        <v/>
      </c>
      <c r="U30" s="512" t="str">
        <f>IF(Vaccine_Selection!U34="","",Vaccine_Selection!U34)</f>
        <v/>
      </c>
    </row>
    <row r="31" spans="2:21" s="18" customFormat="1" ht="12">
      <c r="B31" s="22" t="str">
        <f>IF(Vaccine_Selection!B35="","",Vaccine_Selection!B35)</f>
        <v/>
      </c>
      <c r="C31" s="126" t="str">
        <f t="array" ref="C31">IF($B31="","",INDEX(Vaccine_database!$C$10:$D$278,MATCH($B31,Vaccines,0),2))</f>
        <v/>
      </c>
      <c r="D31" s="19" t="str">
        <f t="array" ref="D31">IF($B31="","",INDEX(Vaccine_database!$C$10:$E$278,MATCH($B31,Vaccines,0),3))</f>
        <v/>
      </c>
      <c r="E31" s="20">
        <f>Vaccine_Selection!C35</f>
        <v>0</v>
      </c>
      <c r="F31" s="21">
        <f>IF(Vaccine_Selection!D35="",Vaccine_Selection!F35,Vaccine_Selection!D35)</f>
        <v>0</v>
      </c>
      <c r="G31" s="21">
        <f>IF(Vaccine_Selection!D35="",Vaccine_Selection!G35,Vaccine_Selection!E35)</f>
        <v>0</v>
      </c>
      <c r="I31" s="118" t="str">
        <f t="shared" si="1"/>
        <v/>
      </c>
      <c r="J31" s="118" t="str">
        <f>IF(OR(B31="",C31="liquid",D31="Oral",D31="Nasal",ISTEXT(E31)),"",$K$6*Vaccine_Selection!K35/E31)</f>
        <v/>
      </c>
      <c r="K31" s="120">
        <f t="shared" si="0"/>
        <v>0</v>
      </c>
      <c r="L31" s="18">
        <f>Vaccine_Selection!L35</f>
        <v>0</v>
      </c>
      <c r="M31" s="512" t="str">
        <f>IF(Vaccine_Selection!M35="","",Vaccine_Selection!M35)</f>
        <v/>
      </c>
      <c r="N31" s="512" t="str">
        <f>IF(Vaccine_Selection!N35="","",Vaccine_Selection!N35)</f>
        <v/>
      </c>
      <c r="O31" s="512" t="str">
        <f>IF(Vaccine_Selection!O35="","",Vaccine_Selection!O35)</f>
        <v/>
      </c>
      <c r="P31" s="512" t="str">
        <f>IF(Vaccine_Selection!P35="","",Vaccine_Selection!P35)</f>
        <v/>
      </c>
      <c r="Q31" s="512" t="str">
        <f>IF(Vaccine_Selection!Q35="","",Vaccine_Selection!Q35)</f>
        <v/>
      </c>
      <c r="R31" s="511"/>
      <c r="S31" s="512" t="str">
        <f>IF(Vaccine_Selection!S35="","",Vaccine_Selection!S35)</f>
        <v/>
      </c>
      <c r="T31" s="512" t="str">
        <f>IF(Vaccine_Selection!T35="","",Vaccine_Selection!T35)</f>
        <v/>
      </c>
      <c r="U31" s="512" t="str">
        <f>IF(Vaccine_Selection!U35="","",Vaccine_Selection!U35)</f>
        <v/>
      </c>
    </row>
    <row r="32" spans="2:21" s="18" customFormat="1" ht="12">
      <c r="B32" s="22" t="str">
        <f>IF(Vaccine_Selection!B36="","",Vaccine_Selection!B36)</f>
        <v/>
      </c>
      <c r="C32" s="126" t="str">
        <f t="array" ref="C32">IF($B32="","",INDEX(Vaccine_database!$C$10:$D$278,MATCH($B32,Vaccines,0),2))</f>
        <v/>
      </c>
      <c r="D32" s="19" t="str">
        <f t="array" ref="D32">IF($B32="","",INDEX(Vaccine_database!$C$10:$E$278,MATCH($B32,Vaccines,0),3))</f>
        <v/>
      </c>
      <c r="E32" s="20">
        <f>Vaccine_Selection!C36</f>
        <v>0</v>
      </c>
      <c r="F32" s="21">
        <f>IF(Vaccine_Selection!D36="",Vaccine_Selection!F36,Vaccine_Selection!D36)</f>
        <v>0</v>
      </c>
      <c r="G32" s="21">
        <f>IF(Vaccine_Selection!D36="",Vaccine_Selection!G36,Vaccine_Selection!E36)</f>
        <v>0</v>
      </c>
      <c r="I32" s="118" t="str">
        <f t="shared" si="1"/>
        <v/>
      </c>
      <c r="J32" s="118" t="str">
        <f>IF(OR(B32="",C32="liquid",D32="Oral",D32="Nasal",ISTEXT(E32)),"",$K$6*Vaccine_Selection!K36/E32)</f>
        <v/>
      </c>
      <c r="K32" s="120">
        <f t="shared" si="0"/>
        <v>0</v>
      </c>
      <c r="L32" s="18">
        <f>Vaccine_Selection!L36</f>
        <v>0</v>
      </c>
      <c r="M32" s="512" t="str">
        <f>IF(Vaccine_Selection!M36="","",Vaccine_Selection!M36)</f>
        <v/>
      </c>
      <c r="N32" s="512" t="str">
        <f>IF(Vaccine_Selection!N36="","",Vaccine_Selection!N36)</f>
        <v/>
      </c>
      <c r="O32" s="512" t="str">
        <f>IF(Vaccine_Selection!O36="","",Vaccine_Selection!O36)</f>
        <v/>
      </c>
      <c r="P32" s="512" t="str">
        <f>IF(Vaccine_Selection!P36="","",Vaccine_Selection!P36)</f>
        <v/>
      </c>
      <c r="Q32" s="512" t="str">
        <f>IF(Vaccine_Selection!Q36="","",Vaccine_Selection!Q36)</f>
        <v/>
      </c>
      <c r="R32" s="511"/>
      <c r="S32" s="512" t="str">
        <f>IF(Vaccine_Selection!S36="","",Vaccine_Selection!S36)</f>
        <v/>
      </c>
      <c r="T32" s="512" t="str">
        <f>IF(Vaccine_Selection!T36="","",Vaccine_Selection!T36)</f>
        <v/>
      </c>
      <c r="U32" s="512" t="str">
        <f>IF(Vaccine_Selection!U36="","",Vaccine_Selection!U36)</f>
        <v/>
      </c>
    </row>
    <row r="33" spans="2:22" s="36" customFormat="1" ht="6" customHeight="1">
      <c r="B33" s="42"/>
      <c r="C33" s="42"/>
      <c r="D33" s="42"/>
      <c r="E33" s="42"/>
      <c r="F33" s="42"/>
      <c r="G33" s="42"/>
      <c r="H33" s="42"/>
      <c r="I33" s="42"/>
      <c r="J33" s="42"/>
      <c r="K33" s="42"/>
      <c r="L33" s="42"/>
      <c r="M33" s="42"/>
      <c r="N33" s="42"/>
      <c r="O33" s="42"/>
      <c r="P33" s="42"/>
      <c r="Q33" s="42"/>
      <c r="R33" s="41"/>
      <c r="S33" s="42"/>
      <c r="T33" s="42"/>
      <c r="U33" s="42"/>
      <c r="V33" s="42"/>
    </row>
    <row r="34" spans="2:22" s="36" customFormat="1" ht="14.4">
      <c r="B34" s="32"/>
      <c r="C34" s="32"/>
      <c r="D34" s="32"/>
      <c r="G34" s="32"/>
      <c r="H34" s="32"/>
      <c r="I34" s="32"/>
      <c r="J34" s="515"/>
      <c r="K34" s="516" t="str">
        <f>CONCATENATE(Translation!C384," ",Vaccine_Selection!$E$8,", cm3")</f>
        <v>Total net storage volume of diluents per Unit of Population , cm3</v>
      </c>
      <c r="L34" s="32"/>
      <c r="M34" s="27">
        <f>IF(Vaccine_Selection!$E$8=target1,SUMPRODUCT($G$13:$G$32,Vaccine_Selection!$K$17:$K$36,M$13:M$32),SUMPRODUCT($G$13:$G$32,Vaccine_Selection!$K$17:$K$36,Vaccine_Selection!$L$17:$L$36,M$13:M$32))</f>
        <v>0.27377533333333332</v>
      </c>
      <c r="N34" s="27">
        <f>IF(Vaccine_Selection!$E$8=target1,SUMPRODUCT($G$13:$G$32,Vaccine_Selection!$K$17:$K$36,N$13:N$32),SUMPRODUCT($G$13:$G$32,Vaccine_Selection!$K$17:$K$36,Vaccine_Selection!$L$17:$L$36,N$13:N$32))</f>
        <v>0.27377533333333332</v>
      </c>
      <c r="O34" s="27">
        <f>IF(Vaccine_Selection!$E$8=target1,SUMPRODUCT($G$13:$G$32,Vaccine_Selection!$K$17:$K$36,O$13:O$32),SUMPRODUCT($G$13:$G$32,Vaccine_Selection!$K$17:$K$36,Vaccine_Selection!$L$17:$L$36,O$13:O$32))</f>
        <v>0.27377533333333332</v>
      </c>
      <c r="P34" s="27">
        <f>IF(Vaccine_Selection!$E$8=target1,SUMPRODUCT($G$13:$G$32,Vaccine_Selection!$K$17:$K$36,P$13:P$32),SUMPRODUCT($G$13:$G$32,Vaccine_Selection!$K$17:$K$36,Vaccine_Selection!$L$17:$L$36,P$13:P$32))</f>
        <v>0</v>
      </c>
      <c r="Q34" s="27">
        <f>IF(Vaccine_Selection!$E$8=target1,SUMPRODUCT($G$13:$G$32,Vaccine_Selection!$K$17:$K$36,Q$13:Q$32),SUMPRODUCT($G$13:$G$32,Vaccine_Selection!$K$17:$K$36,Vaccine_Selection!$L$17:$L$36,Q$13:Q$32))</f>
        <v>0</v>
      </c>
      <c r="R34" s="556" t="str">
        <f>Translation!C389</f>
        <v>Total net storage volume of diluents per recipient</v>
      </c>
      <c r="S34" s="27">
        <f>SUMPRODUCT(Vaccine_Selection!$K$17:$K$36,$G$13:$G$32,S$13:S$32)</f>
        <v>0</v>
      </c>
      <c r="T34" s="27">
        <f>SUMPRODUCT(Vaccine_Selection!$K$17:$K$36,$G$13:$G$32,T$13:T$32)</f>
        <v>0</v>
      </c>
      <c r="U34" s="27">
        <f>SUMPRODUCT(Vaccine_Selection!$K$17:$K$36,$G$13:$G$32,U$13:U$32)</f>
        <v>0</v>
      </c>
    </row>
    <row r="35" spans="2:22" s="36" customFormat="1" ht="14.4">
      <c r="B35" s="31"/>
      <c r="C35" s="31"/>
      <c r="D35" s="31"/>
      <c r="G35" s="31"/>
      <c r="H35" s="31"/>
      <c r="I35" s="31"/>
      <c r="J35" s="515"/>
      <c r="K35" s="516" t="str">
        <f>CONCATENATE(Translation!C385," ",Vaccine_Selection!$E$8,", cm3")</f>
        <v>Total net storage volume of syringes per  Unit of Population , cm3</v>
      </c>
      <c r="L35" s="43"/>
      <c r="M35" s="29">
        <f>IF(Vaccine_Selection!$E$8=target1,SUMPRODUCT($I$13:$I$32,M$13:M$32)+SUMPRODUCT($J$13:$J$32,M$13:M$32),SUMPRODUCT(Vaccine_Selection!$L$17:$L$36,$I$13:$I$32,M$13:M$32)+SUMPRODUCT(Vaccine_Selection!$L$17:$L$36,$J$13:$J$32,M$13:M$32))</f>
        <v>10.064291666666666</v>
      </c>
      <c r="N35" s="29">
        <f>IF(Vaccine_Selection!$E$8=target1,SUMPRODUCT($I$13:$I$32,N$13:N$32)+SUMPRODUCT($J$13:$J$32,N$13:N$32),SUMPRODUCT(Vaccine_Selection!$L$17:$L$36,$I$13:$I$32,N$13:N$32)+SUMPRODUCT(Vaccine_Selection!$L$17:$L$36,$J$13:$J$32,N$13:N$32))</f>
        <v>10.064291666666666</v>
      </c>
      <c r="O35" s="29">
        <f>IF(Vaccine_Selection!$E$8=target1,SUMPRODUCT($I$13:$I$32,O$13:O$32)+SUMPRODUCT($J$13:$J$32,O$13:O$32),SUMPRODUCT(Vaccine_Selection!$L$17:$L$36,$I$13:$I$32,O$13:O$32)+SUMPRODUCT(Vaccine_Selection!$L$17:$L$36,$J$13:$J$32,O$13:O$32))</f>
        <v>6.5112916666666667</v>
      </c>
      <c r="P35" s="29">
        <f>IF(Vaccine_Selection!$E$8=target1,SUMPRODUCT($I$13:$I$32,P$13:P$32)+SUMPRODUCT($J$13:$J$32,P$13:P$32),SUMPRODUCT(Vaccine_Selection!$L$17:$L$36,$I$13:$I$32,P$13:P$32)+SUMPRODUCT(Vaccine_Selection!$L$17:$L$36,$J$13:$J$32,P$13:P$32))</f>
        <v>0</v>
      </c>
      <c r="Q35" s="29">
        <f>IF(Vaccine_Selection!$E$8=target1,SUMPRODUCT($I$13:$I$32,Q$13:Q$32)+SUMPRODUCT($J$13:$J$32,Q$13:Q$32),SUMPRODUCT(Vaccine_Selection!$L$17:$L$36,$I$13:$I$32,Q$13:Q$32)+SUMPRODUCT(Vaccine_Selection!$L$17:$L$36,$J$13:$J$32,Q$13:Q$32))</f>
        <v>0</v>
      </c>
      <c r="R35" s="556" t="str">
        <f>Translation!C390</f>
        <v>Total net storage volume of syringes per recipient</v>
      </c>
      <c r="S35" s="29">
        <f>SUMPRODUCT($I$13:$I$32,S$13:S$32)+SUMPRODUCT($J$13:$J$32,S$13:S$32)</f>
        <v>0</v>
      </c>
      <c r="T35" s="29">
        <f>SUMPRODUCT($I$13:$I$32,T$13:T$32)+SUMPRODUCT($J$13:$J$32,T$13:T$32)</f>
        <v>0</v>
      </c>
      <c r="U35" s="29">
        <f>SUMPRODUCT($I$13:$I$32,U$13:U$32)+SUMPRODUCT($J$13:$J$32,U$13:U$32)</f>
        <v>0</v>
      </c>
    </row>
    <row r="36" spans="2:22" s="36" customFormat="1" ht="14.4">
      <c r="B36" s="31"/>
      <c r="C36" s="31"/>
      <c r="D36" s="31"/>
      <c r="G36" s="31"/>
      <c r="H36" s="31"/>
      <c r="I36" s="31"/>
      <c r="J36" s="515"/>
      <c r="K36" s="516" t="str">
        <f>CONCATENATE(Translation!C386," ",Vaccine_Selection!$E$8,", cm3")</f>
        <v>Total net storage volume of safety boxes per Unit of Population , cm3</v>
      </c>
      <c r="L36" s="43"/>
      <c r="M36" s="30">
        <f>IF(Vaccine_Selection!$E$8=target1,SUMPRODUCT($K$13:$K$32,M$13:M$32),SUMPRODUCT(Vaccine_Selection!$L$17:$L$36,$K$13:$K$32,M$13:M$32))</f>
        <v>1.0987906500000002</v>
      </c>
      <c r="N36" s="30">
        <f>IF(Vaccine_Selection!$E$8=target1,SUMPRODUCT($K$13:$K$32,N$13:N$32),SUMPRODUCT(Vaccine_Selection!$L$17:$L$36,$K$13:$K$32,N$13:N$32))</f>
        <v>1.0987906500000002</v>
      </c>
      <c r="O36" s="30">
        <f>IF(Vaccine_Selection!$E$8=target1,SUMPRODUCT($K$13:$K$32,O$13:O$32),SUMPRODUCT(Vaccine_Selection!$L$17:$L$36,$K$13:$K$32,O$13:O$32))</f>
        <v>1.0987906500000002</v>
      </c>
      <c r="P36" s="30">
        <f>IF(Vaccine_Selection!$E$8=target1,SUMPRODUCT($K$13:$K$32,P$13:P$32),SUMPRODUCT(Vaccine_Selection!$L$17:$L$36,$K$13:$K$32,P$13:P$32))</f>
        <v>0</v>
      </c>
      <c r="Q36" s="30">
        <f>IF(Vaccine_Selection!$E$8=target1,SUMPRODUCT($K$13:$K$32,Q$13:Q$32),SUMPRODUCT(Vaccine_Selection!$L$17:$L$36,$K$13:$K$32,Q$13:Q$32))</f>
        <v>0</v>
      </c>
      <c r="R36" s="556" t="str">
        <f>Translation!C391</f>
        <v>Total net storage volume of safety boxes per target</v>
      </c>
      <c r="S36" s="30">
        <f>SUMPRODUCT($K$13:$K$32,S$13:S$32)</f>
        <v>0</v>
      </c>
      <c r="T36" s="30">
        <f>SUMPRODUCT($K$13:$K$32,T$13:T$32)</f>
        <v>0</v>
      </c>
      <c r="U36" s="30">
        <f>SUMPRODUCT($K$13:$K$32,U$13:U$32)</f>
        <v>0</v>
      </c>
    </row>
    <row r="37" spans="2:22" ht="7.5" customHeight="1">
      <c r="B37" s="31"/>
      <c r="C37" s="31"/>
      <c r="D37" s="31"/>
      <c r="G37" s="31"/>
      <c r="H37" s="31"/>
      <c r="I37" s="31"/>
      <c r="J37" s="31"/>
      <c r="K37" s="31"/>
      <c r="L37" s="34"/>
      <c r="M37" s="35"/>
      <c r="N37" s="32"/>
      <c r="O37" s="36"/>
      <c r="R37" s="557"/>
      <c r="S37" s="17"/>
      <c r="T37" s="25"/>
      <c r="U37" s="25"/>
    </row>
    <row r="38" spans="2:22" ht="13.8">
      <c r="G38" s="37"/>
      <c r="H38" s="37"/>
      <c r="I38" s="37"/>
      <c r="J38" s="37"/>
      <c r="K38" s="500" t="str">
        <f>CONCATENATE(Translation!C387," ",Vaccine_Selection!$E$8,", cm3")</f>
        <v>Total net storage volume of injection supplies per Unit of Population , cm3</v>
      </c>
      <c r="M38" s="27">
        <f t="shared" ref="M38:U38" si="2">SUM(M34:M36)</f>
        <v>11.436857649999999</v>
      </c>
      <c r="N38" s="27">
        <f t="shared" si="2"/>
        <v>11.436857649999999</v>
      </c>
      <c r="O38" s="27">
        <f t="shared" si="2"/>
        <v>7.8838576499999995</v>
      </c>
      <c r="P38" s="27">
        <f t="shared" si="2"/>
        <v>0</v>
      </c>
      <c r="Q38" s="27">
        <f t="shared" si="2"/>
        <v>0</v>
      </c>
      <c r="R38" s="556" t="str">
        <f>Translation!C392</f>
        <v>Total net storage volume of injection supplies per recipient</v>
      </c>
      <c r="S38" s="27">
        <f>SUM(S34:S36)</f>
        <v>0</v>
      </c>
      <c r="T38" s="27">
        <f>SUM(T34:T36)</f>
        <v>0</v>
      </c>
      <c r="U38" s="27">
        <f t="shared" si="2"/>
        <v>0</v>
      </c>
    </row>
    <row r="39" spans="2:22" ht="13.8">
      <c r="G39" s="37"/>
      <c r="H39" s="37"/>
      <c r="I39" s="37"/>
      <c r="J39" s="37"/>
      <c r="K39" s="500" t="str">
        <f>Translation!C388</f>
        <v>Increase of net storage volume compared to current schedule</v>
      </c>
      <c r="M39" s="38"/>
      <c r="N39" s="124">
        <f>IF(OR($M$38=0,N38=0),"",(N38-$M$38)/$M$38)</f>
        <v>0</v>
      </c>
      <c r="O39" s="124">
        <f>IF(OR($M$38=0,O38=0),"",(O38-$M$38)/$M$38)</f>
        <v>-0.31066225607870529</v>
      </c>
      <c r="P39" s="124" t="str">
        <f>IF(OR($M$38=0,P38=0),"",(P38-$M$38)/$M$38)</f>
        <v/>
      </c>
      <c r="Q39" s="124" t="str">
        <f>IF(OR($M$38=0,Q38=0),"",(Q38-$M$38)/$M$38)</f>
        <v/>
      </c>
      <c r="R39" s="41"/>
      <c r="S39" s="581"/>
      <c r="T39" s="580" t="str">
        <f>IF(OR($S$38=0,T38=0),"",(T38-$S$38)/$S$38)</f>
        <v/>
      </c>
      <c r="U39" s="580" t="str">
        <f>IF(OR($S$38=0,U38=0),"",(U38-$S$38)/$S$38)</f>
        <v/>
      </c>
    </row>
  </sheetData>
  <sheetProtection sheet="1" objects="1" scenarios="1"/>
  <phoneticPr fontId="0" type="noConversion"/>
  <conditionalFormatting sqref="M34:Q36">
    <cfRule type="cellIs" dxfId="51" priority="1" stopIfTrue="1" operator="equal">
      <formula>MAX($M34:$Q34)</formula>
    </cfRule>
    <cfRule type="cellIs" dxfId="50" priority="2" stopIfTrue="1" operator="equal">
      <formula>MIN($M34:$Q34)</formula>
    </cfRule>
  </conditionalFormatting>
  <conditionalFormatting sqref="S34:U36">
    <cfRule type="cellIs" dxfId="49" priority="3" stopIfTrue="1" operator="equal">
      <formula>MAX($S34:$U34)</formula>
    </cfRule>
    <cfRule type="cellIs" dxfId="48" priority="4" stopIfTrue="1" operator="equal">
      <formula>MIN($S34:$U34)</formula>
    </cfRule>
  </conditionalFormatting>
  <conditionalFormatting sqref="M38:Q38 S38">
    <cfRule type="cellIs" dxfId="47" priority="5" stopIfTrue="1" operator="equal">
      <formula>MAX($M$38:$Q$38)</formula>
    </cfRule>
    <cfRule type="cellIs" dxfId="46" priority="6" stopIfTrue="1" operator="equal">
      <formula>MIN($M$38:$Q$38)</formula>
    </cfRule>
  </conditionalFormatting>
  <conditionalFormatting sqref="T38:U38">
    <cfRule type="cellIs" dxfId="45" priority="7" stopIfTrue="1" operator="equal">
      <formula>MAX($S$38:$U$38)</formula>
    </cfRule>
  </conditionalFormatting>
  <conditionalFormatting sqref="I13:J32">
    <cfRule type="cellIs" dxfId="44" priority="8" stopIfTrue="1" operator="notBetween">
      <formula>0</formula>
      <formula>1000</formula>
    </cfRule>
  </conditionalFormatting>
  <conditionalFormatting sqref="K13:K32">
    <cfRule type="cellIs" dxfId="43" priority="9" stopIfTrue="1" operator="equal">
      <formula>0</formula>
    </cfRule>
  </conditionalFormatting>
  <conditionalFormatting sqref="E13:G32">
    <cfRule type="cellIs" dxfId="42" priority="10" stopIfTrue="1" operator="equal">
      <formula>0</formula>
    </cfRule>
  </conditionalFormatting>
  <conditionalFormatting sqref="B13:D32">
    <cfRule type="cellIs" dxfId="41" priority="11" stopIfTrue="1" operator="equal">
      <formula>""</formula>
    </cfRule>
  </conditionalFormatting>
  <dataValidations xWindow="828" yWindow="319" count="3">
    <dataValidation allowBlank="1" showErrorMessage="1" promptTitle="Packed volume per unit:" prompt="The current figure can be updated with more recent data available." sqref="K5:K7" xr:uid="{00000000-0002-0000-0400-000000000000}"/>
    <dataValidation type="list" allowBlank="1" showInputMessage="1" showErrorMessage="1" sqref="C13:C32" xr:uid="{00000000-0002-0000-0400-000001000000}">
      <formula1>Formulation</formula1>
    </dataValidation>
    <dataValidation allowBlank="1" showInputMessage="1" showErrorMessage="1" promptTitle="Packed volume per unit:" prompt="The current figure can be updated with more recent data available." sqref="K8" xr:uid="{00000000-0002-0000-0400-000002000000}"/>
  </dataValidations>
  <hyperlinks>
    <hyperlink ref="U2" location="Index!B1" display="Index!B1" xr:uid="{00000000-0004-0000-0400-000000000000}"/>
  </hyperlinks>
  <printOptions horizontalCentered="1"/>
  <pageMargins left="0.33" right="0.17" top="0.32" bottom="0.41" header="0.17" footer="0.18"/>
  <pageSetup paperSize="9" orientation="landscape" r:id="rId1"/>
  <headerFooter alignWithMargins="0">
    <oddFooter>&amp;L&amp;8&amp;F, &amp;A, Rev.Jan10&amp;R&amp;8WHO/IVB/EPI Logistics docs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indexed="18"/>
  </sheetPr>
  <dimension ref="B1:V39"/>
  <sheetViews>
    <sheetView showGridLines="0" workbookViewId="0">
      <pane xSplit="1" ySplit="12" topLeftCell="B13" activePane="bottomRight" state="frozen"/>
      <selection activeCell="F29" sqref="B2:F29"/>
      <selection pane="topRight" activeCell="F29" sqref="B2:F29"/>
      <selection pane="bottomLeft" activeCell="F29" sqref="B2:F29"/>
      <selection pane="bottomRight" activeCell="F17" sqref="F17"/>
    </sheetView>
  </sheetViews>
  <sheetFormatPr defaultColWidth="8.77734375" defaultRowHeight="13.2"/>
  <cols>
    <col min="1" max="1" width="1.109375" customWidth="1"/>
    <col min="2" max="2" width="13.33203125" bestFit="1" customWidth="1"/>
    <col min="3" max="3" width="14.33203125" bestFit="1" customWidth="1"/>
    <col min="4" max="5" width="6.6640625" customWidth="1"/>
    <col min="6" max="7" width="10.6640625" customWidth="1"/>
    <col min="8" max="8" width="1.109375" customWidth="1"/>
    <col min="9" max="11" width="9.6640625" customWidth="1"/>
    <col min="12" max="12" width="1.109375" customWidth="1"/>
    <col min="13" max="17" width="6.6640625" customWidth="1"/>
    <col min="18" max="18" width="1.109375" customWidth="1"/>
    <col min="19" max="21" width="7.6640625" customWidth="1"/>
    <col min="22" max="22" width="1.109375" customWidth="1"/>
  </cols>
  <sheetData>
    <row r="1" spans="2:22" s="548" customFormat="1" ht="5.4"/>
    <row r="2" spans="2:22" s="729" customFormat="1" ht="21">
      <c r="B2" s="711" t="str">
        <f>Translation!C393</f>
        <v>Weight of safe injection equipment per recipient</v>
      </c>
      <c r="C2" s="711"/>
      <c r="D2" s="711"/>
      <c r="E2" s="711"/>
      <c r="F2" s="711"/>
      <c r="G2" s="711"/>
      <c r="H2" s="711"/>
      <c r="I2" s="711"/>
      <c r="J2" s="711"/>
      <c r="K2" s="711"/>
      <c r="L2" s="711"/>
      <c r="M2" s="711"/>
      <c r="N2" s="711"/>
      <c r="O2" s="730" t="str">
        <f>Translation!C394</f>
        <v>Optional data entry only</v>
      </c>
      <c r="P2" s="732"/>
      <c r="Q2" s="733"/>
      <c r="R2" s="733"/>
      <c r="S2" s="733"/>
      <c r="T2" s="731"/>
      <c r="U2" s="731" t="str">
        <f>Translation!C109</f>
        <v>Index</v>
      </c>
    </row>
    <row r="3" spans="2:22" s="36" customFormat="1" ht="13.8">
      <c r="B3" s="39"/>
      <c r="C3" s="39"/>
      <c r="D3" s="39"/>
      <c r="E3" s="39"/>
      <c r="F3" s="39"/>
      <c r="G3" s="39"/>
      <c r="H3" s="39"/>
      <c r="I3" s="39"/>
      <c r="J3" s="39"/>
      <c r="K3" s="39"/>
      <c r="L3" s="39"/>
      <c r="M3" s="39"/>
      <c r="N3" s="39"/>
      <c r="O3" s="39"/>
      <c r="P3" s="39"/>
      <c r="Q3" s="39"/>
      <c r="R3" s="39"/>
      <c r="S3" s="39"/>
      <c r="T3" s="39"/>
    </row>
    <row r="4" spans="2:22" s="525" customFormat="1" ht="5.4">
      <c r="B4" s="523"/>
      <c r="C4" s="523"/>
      <c r="D4" s="523"/>
      <c r="E4" s="523"/>
      <c r="F4" s="523"/>
      <c r="G4" s="523"/>
      <c r="H4" s="523"/>
      <c r="I4" s="523"/>
      <c r="J4" s="523"/>
      <c r="K4" s="523"/>
      <c r="L4" s="523"/>
      <c r="M4" s="523"/>
      <c r="N4" s="523"/>
      <c r="O4" s="523"/>
      <c r="P4" s="523"/>
      <c r="Q4" s="523"/>
      <c r="R4" s="523"/>
      <c r="S4" s="523"/>
      <c r="T4" s="523"/>
      <c r="U4" s="524"/>
    </row>
    <row r="5" spans="2:22" s="17" customFormat="1">
      <c r="B5" s="544" t="str">
        <f>Translation!C395</f>
        <v>OPTION: Over-ride weight of AD syringe, g/unit:</v>
      </c>
      <c r="C5" s="163"/>
      <c r="D5" s="163"/>
      <c r="E5" s="514"/>
      <c r="F5" s="514"/>
      <c r="G5" s="514"/>
      <c r="H5" s="162"/>
      <c r="I5" s="546"/>
      <c r="J5" s="163"/>
      <c r="K5" s="543">
        <f>IF(I5&lt;&gt;"",I5,AVERAGE(3.75,3.75,5.67))</f>
        <v>4.3899999999999997</v>
      </c>
      <c r="L5" s="163"/>
      <c r="M5" s="162" t="s">
        <v>792</v>
      </c>
      <c r="N5" s="163"/>
      <c r="O5" s="163"/>
      <c r="P5" s="163"/>
      <c r="Q5" s="162"/>
      <c r="R5" s="162"/>
      <c r="S5" s="162"/>
      <c r="T5" s="163"/>
      <c r="U5" s="163"/>
      <c r="V5" s="545"/>
    </row>
    <row r="6" spans="2:22" s="17" customFormat="1">
      <c r="B6" s="544" t="str">
        <f>Translation!C396</f>
        <v>OPTION: Over-ride weight of reconstitution syringe, g/unit:</v>
      </c>
      <c r="C6" s="163"/>
      <c r="D6" s="163"/>
      <c r="E6" s="514"/>
      <c r="F6" s="514"/>
      <c r="G6" s="514"/>
      <c r="H6" s="514"/>
      <c r="I6" s="546"/>
      <c r="J6" s="162"/>
      <c r="K6" s="543">
        <f>IF(I6&lt;&gt;"",I6,6.625)</f>
        <v>6.625</v>
      </c>
      <c r="L6" s="162"/>
      <c r="M6" s="162" t="s">
        <v>792</v>
      </c>
      <c r="N6" s="162"/>
      <c r="O6" s="162"/>
      <c r="P6" s="162"/>
      <c r="Q6" s="162"/>
      <c r="R6" s="162"/>
      <c r="S6" s="162"/>
      <c r="T6" s="162"/>
      <c r="U6" s="162"/>
    </row>
    <row r="7" spans="2:22" s="17" customFormat="1">
      <c r="B7" s="544" t="str">
        <f>Translation!C397</f>
        <v>OPTION: Over-ride weight of safety box, g/unit:</v>
      </c>
      <c r="C7" s="163"/>
      <c r="D7" s="163"/>
      <c r="E7" s="514"/>
      <c r="F7" s="514"/>
      <c r="G7" s="514"/>
      <c r="H7" s="514"/>
      <c r="I7" s="546"/>
      <c r="J7" s="162"/>
      <c r="K7" s="543">
        <f>IF(I7&lt;&gt;"",I7,AVERAGE(205,390,237,270,300,505,290,292,328,485,840))</f>
        <v>376.54545454545456</v>
      </c>
      <c r="L7" s="162"/>
      <c r="M7" s="162" t="s">
        <v>792</v>
      </c>
      <c r="N7" s="162"/>
      <c r="O7" s="162"/>
      <c r="P7" s="162"/>
      <c r="Q7" s="162"/>
      <c r="R7" s="162"/>
      <c r="S7" s="162"/>
      <c r="T7" s="162"/>
      <c r="U7" s="162"/>
    </row>
    <row r="8" spans="2:22" s="525" customFormat="1" ht="5.4">
      <c r="B8" s="522"/>
      <c r="C8" s="523"/>
      <c r="D8" s="523"/>
      <c r="E8" s="522"/>
      <c r="F8" s="522"/>
      <c r="G8" s="522"/>
      <c r="H8" s="522"/>
      <c r="I8" s="522"/>
      <c r="J8" s="522"/>
      <c r="K8" s="524"/>
      <c r="L8" s="524"/>
      <c r="M8" s="524"/>
      <c r="N8" s="524"/>
      <c r="O8" s="524"/>
      <c r="P8" s="524"/>
      <c r="Q8" s="524"/>
      <c r="R8" s="524"/>
      <c r="S8" s="524"/>
      <c r="T8" s="524"/>
      <c r="U8" s="524"/>
    </row>
    <row r="9" spans="2:22" s="25" customFormat="1" ht="6" customHeight="1" thickBot="1">
      <c r="B9" s="41"/>
      <c r="C9" s="41"/>
      <c r="D9" s="41"/>
      <c r="E9" s="41"/>
      <c r="F9" s="41"/>
      <c r="G9" s="41"/>
      <c r="H9" s="41"/>
      <c r="I9" s="41"/>
      <c r="J9" s="41"/>
      <c r="K9" s="41"/>
      <c r="L9" s="41"/>
      <c r="M9" s="41"/>
      <c r="N9" s="41"/>
      <c r="O9" s="41"/>
      <c r="P9" s="41"/>
      <c r="Q9" s="41"/>
      <c r="R9" s="41"/>
      <c r="S9" s="41"/>
      <c r="T9" s="41"/>
    </row>
    <row r="10" spans="2:22" s="18" customFormat="1" ht="12">
      <c r="B10" s="201" t="str">
        <f>Volume_Inject!B10</f>
        <v>Characteristics of vaccines selected for use</v>
      </c>
      <c r="C10" s="533"/>
      <c r="D10" s="533"/>
      <c r="E10" s="534"/>
      <c r="F10" s="535"/>
      <c r="G10" s="535"/>
      <c r="I10" s="208" t="str">
        <f>Translation!C398</f>
        <v>Weight of supplies</v>
      </c>
      <c r="J10" s="536"/>
      <c r="K10" s="537"/>
      <c r="M10" s="208" t="str">
        <f>Vaccine_Selection!M14</f>
        <v>National immunization schedule</v>
      </c>
      <c r="N10" s="538"/>
      <c r="O10" s="538"/>
      <c r="P10" s="538"/>
      <c r="Q10" s="539"/>
      <c r="R10" s="511"/>
      <c r="S10" s="219" t="str">
        <f>Vaccine_Selection!$S$14</f>
        <v>Supplementary</v>
      </c>
      <c r="T10" s="220"/>
      <c r="U10" s="539"/>
    </row>
    <row r="11" spans="2:22" s="18" customFormat="1" ht="12">
      <c r="B11" s="467"/>
      <c r="C11" s="467"/>
      <c r="D11" s="468"/>
      <c r="E11" s="205"/>
      <c r="F11" s="518" t="str">
        <f>Volume_Inject!F11</f>
        <v>Volume data used</v>
      </c>
      <c r="G11" s="519"/>
      <c r="I11" s="206" t="str">
        <f>Translation!C399</f>
        <v>per injection (g)</v>
      </c>
      <c r="J11" s="224"/>
      <c r="K11" s="207"/>
      <c r="L11" s="66"/>
      <c r="M11" s="216" t="str">
        <f>Vaccine_Selection!M15</f>
        <v>(Routine vaccinations)</v>
      </c>
      <c r="N11" s="217"/>
      <c r="O11" s="217"/>
      <c r="P11" s="217"/>
      <c r="Q11" s="221"/>
      <c r="R11" s="511"/>
      <c r="S11" s="216" t="str">
        <f>Vaccine_Selection!$S$15</f>
        <v>activities (SIAs)</v>
      </c>
      <c r="T11" s="217"/>
      <c r="U11" s="221"/>
    </row>
    <row r="12" spans="2:22" s="18" customFormat="1" ht="67.5" customHeight="1" thickBot="1">
      <c r="B12" s="491" t="str">
        <f>Volume_Inject!B12</f>
        <v>Vaccine type</v>
      </c>
      <c r="C12" s="491" t="str">
        <f>Volume_Inject!C12</f>
        <v>Formulation</v>
      </c>
      <c r="D12" s="491" t="str">
        <f>Volume_Inject!D12</f>
        <v>Administration</v>
      </c>
      <c r="E12" s="491" t="str">
        <f>Volume_Inject!E12</f>
        <v>Presentation (doses/vial)</v>
      </c>
      <c r="F12" s="491" t="str">
        <f>Volume_Inject!F12</f>
        <v>Vaccine volume (cm³/dose)</v>
      </c>
      <c r="G12" s="491" t="str">
        <f>Volume_Inject!G12</f>
        <v>Diluent volume (cm³/dose)</v>
      </c>
      <c r="I12" s="541" t="str">
        <f>Volume_Inject!I12</f>
        <v>Injection syringe</v>
      </c>
      <c r="J12" s="541" t="str">
        <f>Volume_Inject!J12</f>
        <v>Mixing syringe</v>
      </c>
      <c r="K12" s="541" t="str">
        <f>Volume_Inject!K12</f>
        <v>Safety boxes</v>
      </c>
      <c r="M12" s="268" t="str">
        <f>IF(Vaccine_Selection!M16="","",Vaccine_Selection!M16)</f>
        <v>Current schedule</v>
      </c>
      <c r="N12" s="268" t="str">
        <f>IF(Vaccine_Selection!N16="","",Vaccine_Selection!N16)</f>
        <v>Current schedule with penta 1d</v>
      </c>
      <c r="O12" s="268" t="str">
        <f>IF(Vaccine_Selection!O16="","",Vaccine_Selection!O16)</f>
        <v>Current schedule with penta CAD</v>
      </c>
      <c r="P12" s="268" t="str">
        <f>IF(Vaccine_Selection!P16="","",Vaccine_Selection!P16)</f>
        <v/>
      </c>
      <c r="Q12" s="268" t="str">
        <f>IF(Vaccine_Selection!Q16="","",Vaccine_Selection!Q16)</f>
        <v/>
      </c>
      <c r="R12" s="511"/>
      <c r="S12" s="268" t="str">
        <f>IF(Vaccine_Selection!S16="","",Vaccine_Selection!S16)</f>
        <v>H1N1 campaign</v>
      </c>
      <c r="T12" s="268" t="str">
        <f>IF(Vaccine_Selection!T16="","",Vaccine_Selection!T16)</f>
        <v/>
      </c>
      <c r="U12" s="268" t="str">
        <f>IF(Vaccine_Selection!U16="","",Vaccine_Selection!U16)</f>
        <v/>
      </c>
    </row>
    <row r="13" spans="2:22" s="18" customFormat="1" ht="12">
      <c r="B13" s="19" t="str">
        <f>Volume_Inject!B13</f>
        <v>BCG</v>
      </c>
      <c r="C13" s="19" t="str">
        <f>Volume_Inject!C13</f>
        <v>freeze-dried</v>
      </c>
      <c r="D13" s="19" t="str">
        <f>Volume_Inject!D13</f>
        <v>ID</v>
      </c>
      <c r="E13" s="20">
        <f>Volume_Inject!E13</f>
        <v>20</v>
      </c>
      <c r="F13" s="21">
        <f>Volume_Inject!F13</f>
        <v>1.2102000000000002</v>
      </c>
      <c r="G13" s="21">
        <f>Volume_Inject!G13</f>
        <v>1.1256666666666666</v>
      </c>
      <c r="I13" s="118">
        <f>IF(B13="","",IF(OR(D13="Oral",D13="Nasal"),"",IF(ISTEXT(E13),0,$K$5*1.1)))</f>
        <v>4.8289999999999997</v>
      </c>
      <c r="J13" s="118">
        <f>IF(OR(B13="",C13="liquid",D13="Oral",D13="Nasal",ISTEXT(E13)),"",$K$6*Vaccine_Selection!K17/E13)</f>
        <v>0.66249999999999998</v>
      </c>
      <c r="K13" s="118">
        <f t="shared" ref="K13:K32" si="0">IF(B13="",0,(COUNT($I13:$I13)+COUNT($J13:$J13)/IF(ISTEXT($E13),1,$E13))*$K$7/100)</f>
        <v>3.9537272727272734</v>
      </c>
      <c r="M13" s="510">
        <f>IF(Vaccine_Selection!M17="","",Vaccine_Selection!M17)</f>
        <v>1</v>
      </c>
      <c r="N13" s="510">
        <f>IF(Vaccine_Selection!N17="","",Vaccine_Selection!N17)</f>
        <v>1</v>
      </c>
      <c r="O13" s="510">
        <f>IF(Vaccine_Selection!O17="","",Vaccine_Selection!O17)</f>
        <v>1</v>
      </c>
      <c r="P13" s="510" t="str">
        <f>IF(Vaccine_Selection!P17="","",Vaccine_Selection!P17)</f>
        <v/>
      </c>
      <c r="Q13" s="510" t="str">
        <f>IF(Vaccine_Selection!Q17="","",Vaccine_Selection!Q17)</f>
        <v/>
      </c>
      <c r="R13" s="511"/>
      <c r="S13" s="510" t="str">
        <f>IF(Vaccine_Selection!S17="","",Vaccine_Selection!S17)</f>
        <v/>
      </c>
      <c r="T13" s="510" t="str">
        <f>IF(Vaccine_Selection!T17="","",Vaccine_Selection!T17)</f>
        <v/>
      </c>
      <c r="U13" s="510" t="str">
        <f>IF(Vaccine_Selection!U17="","",Vaccine_Selection!U17)</f>
        <v/>
      </c>
    </row>
    <row r="14" spans="2:22" s="18" customFormat="1" ht="12">
      <c r="B14" s="19" t="str">
        <f>Volume_Inject!B14</f>
        <v>OPV</v>
      </c>
      <c r="C14" s="19" t="str">
        <f>Volume_Inject!C14</f>
        <v>liquid</v>
      </c>
      <c r="D14" s="19" t="str">
        <f>Volume_Inject!D14</f>
        <v>Oral</v>
      </c>
      <c r="E14" s="20">
        <f>Volume_Inject!E14</f>
        <v>10</v>
      </c>
      <c r="F14" s="21">
        <f>Volume_Inject!F14</f>
        <v>2</v>
      </c>
      <c r="G14" s="21">
        <f>Volume_Inject!G14</f>
        <v>0</v>
      </c>
      <c r="I14" s="118" t="str">
        <f t="shared" ref="I14:I32" si="1">IF(B14="","",IF(OR(D14="Oral",D14="Nasal"),"",IF(ISTEXT(E14),0,$K$5*1.1)))</f>
        <v/>
      </c>
      <c r="J14" s="120" t="str">
        <f>IF(OR(B14="",C14="liquid",D14="Oral",D14="Nasal",ISTEXT(E14)),"",$K$6*Vaccine_Selection!K18/E14)</f>
        <v/>
      </c>
      <c r="K14" s="120">
        <f t="shared" si="0"/>
        <v>0</v>
      </c>
      <c r="M14" s="512">
        <f>IF(Vaccine_Selection!M18="","",Vaccine_Selection!M18)</f>
        <v>4</v>
      </c>
      <c r="N14" s="512">
        <f>IF(Vaccine_Selection!N18="","",Vaccine_Selection!N18)</f>
        <v>4</v>
      </c>
      <c r="O14" s="512">
        <f>IF(Vaccine_Selection!O18="","",Vaccine_Selection!O18)</f>
        <v>4</v>
      </c>
      <c r="P14" s="512" t="str">
        <f>IF(Vaccine_Selection!P18="","",Vaccine_Selection!P18)</f>
        <v/>
      </c>
      <c r="Q14" s="512" t="str">
        <f>IF(Vaccine_Selection!Q18="","",Vaccine_Selection!Q18)</f>
        <v/>
      </c>
      <c r="R14" s="511"/>
      <c r="S14" s="512" t="str">
        <f>IF(Vaccine_Selection!S18="","",Vaccine_Selection!S18)</f>
        <v/>
      </c>
      <c r="T14" s="512" t="str">
        <f>IF(Vaccine_Selection!T18="","",Vaccine_Selection!T18)</f>
        <v/>
      </c>
      <c r="U14" s="512" t="str">
        <f>IF(Vaccine_Selection!U18="","",Vaccine_Selection!U18)</f>
        <v/>
      </c>
    </row>
    <row r="15" spans="2:22" s="18" customFormat="1" ht="12">
      <c r="B15" s="19" t="str">
        <f>Volume_Inject!B15</f>
        <v>DTP-HepB-Hib</v>
      </c>
      <c r="C15" s="19" t="str">
        <f>Volume_Inject!C15</f>
        <v>liquid</v>
      </c>
      <c r="D15" s="19" t="str">
        <f>Volume_Inject!D15</f>
        <v>IM</v>
      </c>
      <c r="E15" s="20">
        <f>Volume_Inject!E15</f>
        <v>10</v>
      </c>
      <c r="F15" s="21">
        <f>Volume_Inject!F15</f>
        <v>2.75</v>
      </c>
      <c r="G15" s="21">
        <f>Volume_Inject!G15</f>
        <v>0</v>
      </c>
      <c r="I15" s="118">
        <f t="shared" si="1"/>
        <v>4.8289999999999997</v>
      </c>
      <c r="J15" s="120" t="str">
        <f>IF(OR(B15="",C15="liquid",D15="Oral",D15="Nasal",ISTEXT(E15)),"",$K$6*Vaccine_Selection!K19/E15)</f>
        <v/>
      </c>
      <c r="K15" s="120">
        <f t="shared" si="0"/>
        <v>3.7654545454545456</v>
      </c>
      <c r="M15" s="512">
        <f>IF(Vaccine_Selection!M19="","",Vaccine_Selection!M19)</f>
        <v>3</v>
      </c>
      <c r="N15" s="512" t="str">
        <f>IF(Vaccine_Selection!N19="","",Vaccine_Selection!N19)</f>
        <v/>
      </c>
      <c r="O15" s="512" t="str">
        <f>IF(Vaccine_Selection!O19="","",Vaccine_Selection!O19)</f>
        <v/>
      </c>
      <c r="P15" s="512" t="str">
        <f>IF(Vaccine_Selection!P19="","",Vaccine_Selection!P19)</f>
        <v/>
      </c>
      <c r="Q15" s="512" t="str">
        <f>IF(Vaccine_Selection!Q19="","",Vaccine_Selection!Q19)</f>
        <v/>
      </c>
      <c r="R15" s="511"/>
      <c r="S15" s="512" t="str">
        <f>IF(Vaccine_Selection!S19="","",Vaccine_Selection!S19)</f>
        <v/>
      </c>
      <c r="T15" s="512" t="str">
        <f>IF(Vaccine_Selection!T19="","",Vaccine_Selection!T19)</f>
        <v/>
      </c>
      <c r="U15" s="512" t="str">
        <f>IF(Vaccine_Selection!U19="","",Vaccine_Selection!U19)</f>
        <v/>
      </c>
    </row>
    <row r="16" spans="2:22" s="18" customFormat="1" ht="12">
      <c r="B16" s="19" t="str">
        <f>Volume_Inject!B16</f>
        <v>DTP-HepB-Hib</v>
      </c>
      <c r="C16" s="19" t="str">
        <f>Volume_Inject!C16</f>
        <v>liquid</v>
      </c>
      <c r="D16" s="19" t="str">
        <f>Volume_Inject!D16</f>
        <v>IM</v>
      </c>
      <c r="E16" s="20">
        <f>Volume_Inject!E16</f>
        <v>1</v>
      </c>
      <c r="F16" s="21">
        <f>Volume_Inject!F16</f>
        <v>16.66384</v>
      </c>
      <c r="G16" s="21">
        <f>Volume_Inject!G16</f>
        <v>0</v>
      </c>
      <c r="I16" s="118">
        <f t="shared" si="1"/>
        <v>4.8289999999999997</v>
      </c>
      <c r="J16" s="120" t="str">
        <f>IF(OR(B16="",C16="liquid",D16="Oral",D16="Nasal",ISTEXT(E16)),"",$K$6*Vaccine_Selection!K20/E16)</f>
        <v/>
      </c>
      <c r="K16" s="120">
        <f t="shared" si="0"/>
        <v>3.7654545454545456</v>
      </c>
      <c r="M16" s="512" t="str">
        <f>IF(Vaccine_Selection!M20="","",Vaccine_Selection!M20)</f>
        <v/>
      </c>
      <c r="N16" s="512">
        <f>IF(Vaccine_Selection!N20="","",Vaccine_Selection!N20)</f>
        <v>3</v>
      </c>
      <c r="O16" s="512" t="str">
        <f>IF(Vaccine_Selection!O20="","",Vaccine_Selection!O20)</f>
        <v/>
      </c>
      <c r="P16" s="512" t="str">
        <f>IF(Vaccine_Selection!P20="","",Vaccine_Selection!P20)</f>
        <v/>
      </c>
      <c r="Q16" s="512" t="str">
        <f>IF(Vaccine_Selection!Q20="","",Vaccine_Selection!Q20)</f>
        <v/>
      </c>
      <c r="R16" s="511"/>
      <c r="S16" s="512" t="str">
        <f>IF(Vaccine_Selection!S20="","",Vaccine_Selection!S20)</f>
        <v/>
      </c>
      <c r="T16" s="512" t="str">
        <f>IF(Vaccine_Selection!T20="","",Vaccine_Selection!T20)</f>
        <v/>
      </c>
      <c r="U16" s="512" t="str">
        <f>IF(Vaccine_Selection!U20="","",Vaccine_Selection!U20)</f>
        <v/>
      </c>
    </row>
    <row r="17" spans="2:21" s="18" customFormat="1" ht="12">
      <c r="B17" s="19" t="str">
        <f>Volume_Inject!B17</f>
        <v>DTP-HepB-Hib</v>
      </c>
      <c r="C17" s="19" t="str">
        <f>Volume_Inject!C17</f>
        <v>liquid</v>
      </c>
      <c r="D17" s="19" t="str">
        <f>Volume_Inject!D17</f>
        <v>IM</v>
      </c>
      <c r="E17" s="20" t="str">
        <f>Volume_Inject!E17</f>
        <v>Uniject</v>
      </c>
      <c r="F17" s="21">
        <f>Volume_Inject!F17</f>
        <v>12</v>
      </c>
      <c r="G17" s="21">
        <f>Volume_Inject!G17</f>
        <v>0</v>
      </c>
      <c r="I17" s="118">
        <f t="shared" si="1"/>
        <v>0</v>
      </c>
      <c r="J17" s="120" t="str">
        <f>IF(OR(B17="",C17="liquid",D17="Oral",D17="Nasal",ISTEXT(E17)),"",$K$6*Vaccine_Selection!K21/E17)</f>
        <v/>
      </c>
      <c r="K17" s="120">
        <f t="shared" si="0"/>
        <v>3.7654545454545456</v>
      </c>
      <c r="M17" s="512" t="str">
        <f>IF(Vaccine_Selection!M21="","",Vaccine_Selection!M21)</f>
        <v/>
      </c>
      <c r="N17" s="512" t="str">
        <f>IF(Vaccine_Selection!N21="","",Vaccine_Selection!N21)</f>
        <v/>
      </c>
      <c r="O17" s="512">
        <f>IF(Vaccine_Selection!O21="","",Vaccine_Selection!O21)</f>
        <v>3</v>
      </c>
      <c r="P17" s="512" t="str">
        <f>IF(Vaccine_Selection!P21="","",Vaccine_Selection!P21)</f>
        <v/>
      </c>
      <c r="Q17" s="512" t="str">
        <f>IF(Vaccine_Selection!Q21="","",Vaccine_Selection!Q21)</f>
        <v/>
      </c>
      <c r="R17" s="511"/>
      <c r="S17" s="512" t="str">
        <f>IF(Vaccine_Selection!S21="","",Vaccine_Selection!S21)</f>
        <v/>
      </c>
      <c r="T17" s="512" t="str">
        <f>IF(Vaccine_Selection!T21="","",Vaccine_Selection!T21)</f>
        <v/>
      </c>
      <c r="U17" s="512" t="str">
        <f>IF(Vaccine_Selection!U21="","",Vaccine_Selection!U21)</f>
        <v/>
      </c>
    </row>
    <row r="18" spans="2:21" s="18" customFormat="1" ht="12">
      <c r="B18" s="19" t="str">
        <f>Volume_Inject!B18</f>
        <v>Measles</v>
      </c>
      <c r="C18" s="19" t="str">
        <f>Volume_Inject!C18</f>
        <v>freeze-dried</v>
      </c>
      <c r="D18" s="19" t="str">
        <f>Volume_Inject!D18</f>
        <v>SC</v>
      </c>
      <c r="E18" s="20">
        <f>Volume_Inject!E18</f>
        <v>10</v>
      </c>
      <c r="F18" s="21">
        <f>Volume_Inject!F18</f>
        <v>2.4002000000000003</v>
      </c>
      <c r="G18" s="21">
        <f>Volume_Inject!G18</f>
        <v>3.2</v>
      </c>
      <c r="I18" s="118">
        <f t="shared" si="1"/>
        <v>4.8289999999999997</v>
      </c>
      <c r="J18" s="120">
        <f>IF(OR(B18="",C18="liquid",D18="Oral",D18="Nasal",ISTEXT(E18)),"",$K$6*Vaccine_Selection!K22/E18)</f>
        <v>1.1041666666666667</v>
      </c>
      <c r="K18" s="120">
        <f t="shared" si="0"/>
        <v>4.1420000000000003</v>
      </c>
      <c r="M18" s="512">
        <f>IF(Vaccine_Selection!M22="","",Vaccine_Selection!M22)</f>
        <v>1</v>
      </c>
      <c r="N18" s="512">
        <f>IF(Vaccine_Selection!N22="","",Vaccine_Selection!N22)</f>
        <v>1</v>
      </c>
      <c r="O18" s="512">
        <f>IF(Vaccine_Selection!O22="","",Vaccine_Selection!O22)</f>
        <v>1</v>
      </c>
      <c r="P18" s="512" t="str">
        <f>IF(Vaccine_Selection!P22="","",Vaccine_Selection!P22)</f>
        <v/>
      </c>
      <c r="Q18" s="512" t="str">
        <f>IF(Vaccine_Selection!Q22="","",Vaccine_Selection!Q22)</f>
        <v/>
      </c>
      <c r="R18" s="511"/>
      <c r="S18" s="512" t="str">
        <f>IF(Vaccine_Selection!S22="","",Vaccine_Selection!S22)</f>
        <v/>
      </c>
      <c r="T18" s="512" t="str">
        <f>IF(Vaccine_Selection!T22="","",Vaccine_Selection!T22)</f>
        <v/>
      </c>
      <c r="U18" s="512" t="str">
        <f>IF(Vaccine_Selection!U22="","",Vaccine_Selection!U22)</f>
        <v/>
      </c>
    </row>
    <row r="19" spans="2:21" s="18" customFormat="1" ht="12">
      <c r="B19" s="19" t="str">
        <f>Volume_Inject!B19</f>
        <v>YF</v>
      </c>
      <c r="C19" s="19" t="str">
        <f>Volume_Inject!C19</f>
        <v>freeze-dried</v>
      </c>
      <c r="D19" s="19" t="str">
        <f>Volume_Inject!D19</f>
        <v>SC</v>
      </c>
      <c r="E19" s="20">
        <f>Volume_Inject!E19</f>
        <v>5</v>
      </c>
      <c r="F19" s="21">
        <f>Volume_Inject!F19</f>
        <v>5.4024999999999999</v>
      </c>
      <c r="G19" s="21">
        <f>Volume_Inject!G19</f>
        <v>6.75</v>
      </c>
      <c r="I19" s="118">
        <f t="shared" si="1"/>
        <v>4.8289999999999997</v>
      </c>
      <c r="J19" s="120">
        <f>IF(OR(B19="",C19="liquid",D19="Oral",D19="Nasal",ISTEXT(E19)),"",$K$6*Vaccine_Selection!K23/E19)</f>
        <v>1.4722222222222223</v>
      </c>
      <c r="K19" s="120">
        <f t="shared" si="0"/>
        <v>4.5185454545454551</v>
      </c>
      <c r="M19" s="512">
        <f>IF(Vaccine_Selection!M23="","",Vaccine_Selection!M23)</f>
        <v>1</v>
      </c>
      <c r="N19" s="512">
        <f>IF(Vaccine_Selection!N23="","",Vaccine_Selection!N23)</f>
        <v>1</v>
      </c>
      <c r="O19" s="512">
        <f>IF(Vaccine_Selection!O23="","",Vaccine_Selection!O23)</f>
        <v>1</v>
      </c>
      <c r="P19" s="512" t="str">
        <f>IF(Vaccine_Selection!P23="","",Vaccine_Selection!P23)</f>
        <v/>
      </c>
      <c r="Q19" s="512" t="str">
        <f>IF(Vaccine_Selection!Q23="","",Vaccine_Selection!Q23)</f>
        <v/>
      </c>
      <c r="R19" s="511"/>
      <c r="S19" s="512" t="str">
        <f>IF(Vaccine_Selection!S23="","",Vaccine_Selection!S23)</f>
        <v/>
      </c>
      <c r="T19" s="512" t="str">
        <f>IF(Vaccine_Selection!T23="","",Vaccine_Selection!T23)</f>
        <v/>
      </c>
      <c r="U19" s="512" t="str">
        <f>IF(Vaccine_Selection!U23="","",Vaccine_Selection!U23)</f>
        <v/>
      </c>
    </row>
    <row r="20" spans="2:21" s="18" customFormat="1" ht="12">
      <c r="B20" s="19" t="str">
        <f>Volume_Inject!B20</f>
        <v>TT</v>
      </c>
      <c r="C20" s="19" t="str">
        <f>Volume_Inject!C20</f>
        <v>liquid</v>
      </c>
      <c r="D20" s="19" t="str">
        <f>Volume_Inject!D20</f>
        <v>IM</v>
      </c>
      <c r="E20" s="20">
        <f>Volume_Inject!E20</f>
        <v>10</v>
      </c>
      <c r="F20" s="21">
        <f>Volume_Inject!F20</f>
        <v>3.1093333333333333</v>
      </c>
      <c r="G20" s="21">
        <f>Volume_Inject!G20</f>
        <v>0</v>
      </c>
      <c r="I20" s="118">
        <f t="shared" si="1"/>
        <v>4.8289999999999997</v>
      </c>
      <c r="J20" s="120" t="str">
        <f>IF(OR(B20="",C20="liquid",D20="Oral",D20="Nasal",ISTEXT(E20)),"",$K$6*Vaccine_Selection!K24/E20)</f>
        <v/>
      </c>
      <c r="K20" s="120">
        <f t="shared" si="0"/>
        <v>3.7654545454545456</v>
      </c>
      <c r="M20" s="512">
        <f>IF(Vaccine_Selection!M24="","",Vaccine_Selection!M24)</f>
        <v>2</v>
      </c>
      <c r="N20" s="512">
        <f>IF(Vaccine_Selection!N24="","",Vaccine_Selection!N24)</f>
        <v>2</v>
      </c>
      <c r="O20" s="512">
        <f>IF(Vaccine_Selection!O24="","",Vaccine_Selection!O24)</f>
        <v>2</v>
      </c>
      <c r="P20" s="512" t="str">
        <f>IF(Vaccine_Selection!P24="","",Vaccine_Selection!P24)</f>
        <v/>
      </c>
      <c r="Q20" s="512" t="str">
        <f>IF(Vaccine_Selection!Q24="","",Vaccine_Selection!Q24)</f>
        <v/>
      </c>
      <c r="R20" s="511"/>
      <c r="S20" s="512" t="str">
        <f>IF(Vaccine_Selection!S24="","",Vaccine_Selection!S24)</f>
        <v/>
      </c>
      <c r="T20" s="512" t="str">
        <f>IF(Vaccine_Selection!T24="","",Vaccine_Selection!T24)</f>
        <v/>
      </c>
      <c r="U20" s="512" t="str">
        <f>IF(Vaccine_Selection!U24="","",Vaccine_Selection!U24)</f>
        <v/>
      </c>
    </row>
    <row r="21" spans="2:21" s="18" customFormat="1" ht="12">
      <c r="B21" s="19" t="str">
        <f>Volume_Inject!B21</f>
        <v>PCV-13</v>
      </c>
      <c r="C21" s="19" t="str">
        <f>Volume_Inject!C21</f>
        <v>liquid</v>
      </c>
      <c r="D21" s="19" t="str">
        <f>Volume_Inject!D21</f>
        <v>IM</v>
      </c>
      <c r="E21" s="20">
        <f>Volume_Inject!E21</f>
        <v>1</v>
      </c>
      <c r="F21" s="21">
        <f>Volume_Inject!F21</f>
        <v>13.825246999999999</v>
      </c>
      <c r="G21" s="21">
        <f>Volume_Inject!G21</f>
        <v>0</v>
      </c>
      <c r="I21" s="118">
        <f t="shared" si="1"/>
        <v>4.8289999999999997</v>
      </c>
      <c r="J21" s="120" t="str">
        <f>IF(OR(B21="",C21="liquid",D21="Oral",D21="Nasal",ISTEXT(E21)),"",$K$6*Vaccine_Selection!K25/E21)</f>
        <v/>
      </c>
      <c r="K21" s="120">
        <f t="shared" si="0"/>
        <v>3.7654545454545456</v>
      </c>
      <c r="M21" s="512" t="str">
        <f>IF(Vaccine_Selection!M25="","",Vaccine_Selection!M25)</f>
        <v/>
      </c>
      <c r="N21" s="512" t="str">
        <f>IF(Vaccine_Selection!N25="","",Vaccine_Selection!N25)</f>
        <v/>
      </c>
      <c r="O21" s="512" t="str">
        <f>IF(Vaccine_Selection!O25="","",Vaccine_Selection!O25)</f>
        <v/>
      </c>
      <c r="P21" s="512" t="str">
        <f>IF(Vaccine_Selection!P25="","",Vaccine_Selection!P25)</f>
        <v/>
      </c>
      <c r="Q21" s="512" t="str">
        <f>IF(Vaccine_Selection!Q25="","",Vaccine_Selection!Q25)</f>
        <v/>
      </c>
      <c r="R21" s="511"/>
      <c r="S21" s="512" t="str">
        <f>IF(Vaccine_Selection!S25="","",Vaccine_Selection!S25)</f>
        <v/>
      </c>
      <c r="T21" s="512" t="str">
        <f>IF(Vaccine_Selection!T25="","",Vaccine_Selection!T25)</f>
        <v/>
      </c>
      <c r="U21" s="512" t="str">
        <f>IF(Vaccine_Selection!U25="","",Vaccine_Selection!U25)</f>
        <v/>
      </c>
    </row>
    <row r="22" spans="2:21" s="18" customFormat="1" ht="12">
      <c r="B22" s="19" t="str">
        <f>Volume_Inject!B22</f>
        <v>Rota_liq</v>
      </c>
      <c r="C22" s="19" t="str">
        <f>Volume_Inject!C22</f>
        <v>liquid</v>
      </c>
      <c r="D22" s="19" t="str">
        <f>Volume_Inject!D22</f>
        <v>Oral</v>
      </c>
      <c r="E22" s="20">
        <f>Volume_Inject!E22</f>
        <v>1</v>
      </c>
      <c r="F22" s="21">
        <f>Volume_Inject!F22</f>
        <v>17.100000000000001</v>
      </c>
      <c r="G22" s="21">
        <f>Volume_Inject!G22</f>
        <v>0</v>
      </c>
      <c r="I22" s="118" t="str">
        <f t="shared" si="1"/>
        <v/>
      </c>
      <c r="J22" s="120" t="str">
        <f>IF(OR(B22="",C22="liquid",D22="Oral",D22="Nasal",ISTEXT(E22)),"",$K$6*Vaccine_Selection!K26/E22)</f>
        <v/>
      </c>
      <c r="K22" s="120">
        <f t="shared" si="0"/>
        <v>0</v>
      </c>
      <c r="M22" s="512" t="str">
        <f>IF(Vaccine_Selection!M26="","",Vaccine_Selection!M26)</f>
        <v/>
      </c>
      <c r="N22" s="512" t="str">
        <f>IF(Vaccine_Selection!N26="","",Vaccine_Selection!N26)</f>
        <v/>
      </c>
      <c r="O22" s="512" t="str">
        <f>IF(Vaccine_Selection!O26="","",Vaccine_Selection!O26)</f>
        <v/>
      </c>
      <c r="P22" s="512" t="str">
        <f>IF(Vaccine_Selection!P26="","",Vaccine_Selection!P26)</f>
        <v/>
      </c>
      <c r="Q22" s="512" t="str">
        <f>IF(Vaccine_Selection!Q26="","",Vaccine_Selection!Q26)</f>
        <v/>
      </c>
      <c r="R22" s="511"/>
      <c r="S22" s="512">
        <f>IF(Vaccine_Selection!S26="","",Vaccine_Selection!S26)</f>
        <v>1</v>
      </c>
      <c r="T22" s="512" t="str">
        <f>IF(Vaccine_Selection!T26="","",Vaccine_Selection!T26)</f>
        <v/>
      </c>
      <c r="U22" s="512" t="str">
        <f>IF(Vaccine_Selection!U26="","",Vaccine_Selection!U26)</f>
        <v/>
      </c>
    </row>
    <row r="23" spans="2:21" s="18" customFormat="1" ht="12">
      <c r="B23" s="19" t="str">
        <f>Volume_Inject!B23</f>
        <v/>
      </c>
      <c r="C23" s="19" t="str">
        <f>Volume_Inject!C23</f>
        <v/>
      </c>
      <c r="D23" s="19" t="str">
        <f>Volume_Inject!D23</f>
        <v/>
      </c>
      <c r="E23" s="20">
        <f>Volume_Inject!E23</f>
        <v>0</v>
      </c>
      <c r="F23" s="21">
        <f>Volume_Inject!F23</f>
        <v>0</v>
      </c>
      <c r="G23" s="21">
        <f>Volume_Inject!G23</f>
        <v>0</v>
      </c>
      <c r="I23" s="118" t="str">
        <f t="shared" si="1"/>
        <v/>
      </c>
      <c r="J23" s="120" t="str">
        <f>IF(OR(B23="",C23="liquid",D23="Oral",D23="Nasal",ISTEXT(E23)),"",$K$6*Vaccine_Selection!K27/E23)</f>
        <v/>
      </c>
      <c r="K23" s="120">
        <f t="shared" si="0"/>
        <v>0</v>
      </c>
      <c r="M23" s="512" t="str">
        <f>IF(Vaccine_Selection!M27="","",Vaccine_Selection!M27)</f>
        <v/>
      </c>
      <c r="N23" s="512" t="str">
        <f>IF(Vaccine_Selection!N27="","",Vaccine_Selection!N27)</f>
        <v/>
      </c>
      <c r="O23" s="512" t="str">
        <f>IF(Vaccine_Selection!O27="","",Vaccine_Selection!O27)</f>
        <v/>
      </c>
      <c r="P23" s="512" t="str">
        <f>IF(Vaccine_Selection!P27="","",Vaccine_Selection!P27)</f>
        <v/>
      </c>
      <c r="Q23" s="512" t="str">
        <f>IF(Vaccine_Selection!Q27="","",Vaccine_Selection!Q27)</f>
        <v/>
      </c>
      <c r="R23" s="511"/>
      <c r="S23" s="512" t="str">
        <f>IF(Vaccine_Selection!S27="","",Vaccine_Selection!S27)</f>
        <v/>
      </c>
      <c r="T23" s="512" t="str">
        <f>IF(Vaccine_Selection!T27="","",Vaccine_Selection!T27)</f>
        <v/>
      </c>
      <c r="U23" s="512" t="str">
        <f>IF(Vaccine_Selection!U27="","",Vaccine_Selection!U27)</f>
        <v/>
      </c>
    </row>
    <row r="24" spans="2:21" s="18" customFormat="1" ht="12">
      <c r="B24" s="19" t="str">
        <f>Volume_Inject!B24</f>
        <v/>
      </c>
      <c r="C24" s="19" t="str">
        <f>Volume_Inject!C24</f>
        <v/>
      </c>
      <c r="D24" s="19" t="str">
        <f>Volume_Inject!D24</f>
        <v/>
      </c>
      <c r="E24" s="20">
        <f>Volume_Inject!E24</f>
        <v>0</v>
      </c>
      <c r="F24" s="21">
        <f>Volume_Inject!F24</f>
        <v>0</v>
      </c>
      <c r="G24" s="21">
        <f>Volume_Inject!G24</f>
        <v>0</v>
      </c>
      <c r="I24" s="118" t="str">
        <f t="shared" si="1"/>
        <v/>
      </c>
      <c r="J24" s="120" t="str">
        <f>IF(OR(B24="",C24="liquid",D24="Oral",D24="Nasal",ISTEXT(E24)),"",$K$6*Vaccine_Selection!K28/E24)</f>
        <v/>
      </c>
      <c r="K24" s="120">
        <f t="shared" si="0"/>
        <v>0</v>
      </c>
      <c r="M24" s="512" t="str">
        <f>IF(Vaccine_Selection!M28="","",Vaccine_Selection!M28)</f>
        <v/>
      </c>
      <c r="N24" s="512" t="str">
        <f>IF(Vaccine_Selection!N28="","",Vaccine_Selection!N28)</f>
        <v/>
      </c>
      <c r="O24" s="512" t="str">
        <f>IF(Vaccine_Selection!O28="","",Vaccine_Selection!O28)</f>
        <v/>
      </c>
      <c r="P24" s="512" t="str">
        <f>IF(Vaccine_Selection!P28="","",Vaccine_Selection!P28)</f>
        <v/>
      </c>
      <c r="Q24" s="512" t="str">
        <f>IF(Vaccine_Selection!Q28="","",Vaccine_Selection!Q28)</f>
        <v/>
      </c>
      <c r="R24" s="511"/>
      <c r="S24" s="512" t="str">
        <f>IF(Vaccine_Selection!S28="","",Vaccine_Selection!S28)</f>
        <v/>
      </c>
      <c r="T24" s="512" t="str">
        <f>IF(Vaccine_Selection!T28="","",Vaccine_Selection!T28)</f>
        <v/>
      </c>
      <c r="U24" s="512" t="str">
        <f>IF(Vaccine_Selection!U28="","",Vaccine_Selection!U28)</f>
        <v/>
      </c>
    </row>
    <row r="25" spans="2:21" s="18" customFormat="1" ht="12">
      <c r="B25" s="19" t="str">
        <f>Volume_Inject!B25</f>
        <v/>
      </c>
      <c r="C25" s="19" t="str">
        <f>Volume_Inject!C25</f>
        <v/>
      </c>
      <c r="D25" s="19" t="str">
        <f>Volume_Inject!D25</f>
        <v/>
      </c>
      <c r="E25" s="20">
        <f>Volume_Inject!E25</f>
        <v>0</v>
      </c>
      <c r="F25" s="21">
        <f>Volume_Inject!F25</f>
        <v>0</v>
      </c>
      <c r="G25" s="21">
        <f>Volume_Inject!G25</f>
        <v>0</v>
      </c>
      <c r="I25" s="118" t="str">
        <f t="shared" si="1"/>
        <v/>
      </c>
      <c r="J25" s="120" t="str">
        <f>IF(OR(B25="",C25="liquid",D25="Oral",D25="Nasal",ISTEXT(E25)),"",$K$6*Vaccine_Selection!K29/E25)</f>
        <v/>
      </c>
      <c r="K25" s="120">
        <f t="shared" si="0"/>
        <v>0</v>
      </c>
      <c r="M25" s="512" t="str">
        <f>IF(Vaccine_Selection!M29="","",Vaccine_Selection!M29)</f>
        <v/>
      </c>
      <c r="N25" s="512" t="str">
        <f>IF(Vaccine_Selection!N29="","",Vaccine_Selection!N29)</f>
        <v/>
      </c>
      <c r="O25" s="512" t="str">
        <f>IF(Vaccine_Selection!O29="","",Vaccine_Selection!O29)</f>
        <v/>
      </c>
      <c r="P25" s="512" t="str">
        <f>IF(Vaccine_Selection!P29="","",Vaccine_Selection!P29)</f>
        <v/>
      </c>
      <c r="Q25" s="512" t="str">
        <f>IF(Vaccine_Selection!Q29="","",Vaccine_Selection!Q29)</f>
        <v/>
      </c>
      <c r="R25" s="511"/>
      <c r="S25" s="512" t="str">
        <f>IF(Vaccine_Selection!S29="","",Vaccine_Selection!S29)</f>
        <v/>
      </c>
      <c r="T25" s="512" t="str">
        <f>IF(Vaccine_Selection!T29="","",Vaccine_Selection!T29)</f>
        <v/>
      </c>
      <c r="U25" s="512" t="str">
        <f>IF(Vaccine_Selection!U29="","",Vaccine_Selection!U29)</f>
        <v/>
      </c>
    </row>
    <row r="26" spans="2:21" s="18" customFormat="1" ht="12" hidden="1">
      <c r="B26" s="19" t="str">
        <f>Volume_Inject!B26</f>
        <v/>
      </c>
      <c r="C26" s="19" t="str">
        <f>Volume_Inject!C26</f>
        <v/>
      </c>
      <c r="D26" s="19" t="str">
        <f>Volume_Inject!D26</f>
        <v/>
      </c>
      <c r="E26" s="20">
        <f>Volume_Inject!E26</f>
        <v>0</v>
      </c>
      <c r="F26" s="21">
        <f>Volume_Inject!F26</f>
        <v>0</v>
      </c>
      <c r="G26" s="21">
        <f>Volume_Inject!G26</f>
        <v>0</v>
      </c>
      <c r="I26" s="118" t="str">
        <f t="shared" si="1"/>
        <v/>
      </c>
      <c r="J26" s="120" t="str">
        <f>IF(OR(B26="",C26="liquid",D26="Oral",D26="Nasal",ISTEXT(E26)),"",$K$6*Vaccine_Selection!K30/E26)</f>
        <v/>
      </c>
      <c r="K26" s="120">
        <f t="shared" si="0"/>
        <v>0</v>
      </c>
      <c r="M26" s="512" t="str">
        <f>IF(Vaccine_Selection!M30="","",Vaccine_Selection!M30)</f>
        <v/>
      </c>
      <c r="N26" s="512" t="str">
        <f>IF(Vaccine_Selection!N30="","",Vaccine_Selection!N30)</f>
        <v/>
      </c>
      <c r="O26" s="512" t="str">
        <f>IF(Vaccine_Selection!O30="","",Vaccine_Selection!O30)</f>
        <v/>
      </c>
      <c r="P26" s="512" t="str">
        <f>IF(Vaccine_Selection!P30="","",Vaccine_Selection!P30)</f>
        <v/>
      </c>
      <c r="Q26" s="512" t="str">
        <f>IF(Vaccine_Selection!Q30="","",Vaccine_Selection!Q30)</f>
        <v/>
      </c>
      <c r="R26" s="511"/>
      <c r="S26" s="512" t="str">
        <f>IF(Vaccine_Selection!S30="","",Vaccine_Selection!S30)</f>
        <v/>
      </c>
      <c r="T26" s="512" t="str">
        <f>IF(Vaccine_Selection!T30="","",Vaccine_Selection!T30)</f>
        <v/>
      </c>
      <c r="U26" s="512" t="str">
        <f>IF(Vaccine_Selection!U30="","",Vaccine_Selection!U30)</f>
        <v/>
      </c>
    </row>
    <row r="27" spans="2:21" s="18" customFormat="1" ht="12" hidden="1">
      <c r="B27" s="19" t="str">
        <f>Volume_Inject!B27</f>
        <v/>
      </c>
      <c r="C27" s="19" t="str">
        <f>Volume_Inject!C27</f>
        <v/>
      </c>
      <c r="D27" s="19" t="str">
        <f>Volume_Inject!D27</f>
        <v/>
      </c>
      <c r="E27" s="20">
        <f>Volume_Inject!E27</f>
        <v>0</v>
      </c>
      <c r="F27" s="21">
        <f>Volume_Inject!F27</f>
        <v>0</v>
      </c>
      <c r="G27" s="21">
        <f>Volume_Inject!G27</f>
        <v>0</v>
      </c>
      <c r="I27" s="118" t="str">
        <f t="shared" si="1"/>
        <v/>
      </c>
      <c r="J27" s="120" t="str">
        <f>IF(OR(B27="",C27="liquid",D27="Oral",D27="Nasal",ISTEXT(E27)),"",$K$6*Vaccine_Selection!K31/E27)</f>
        <v/>
      </c>
      <c r="K27" s="120">
        <f t="shared" si="0"/>
        <v>0</v>
      </c>
      <c r="M27" s="512" t="str">
        <f>IF(Vaccine_Selection!M31="","",Vaccine_Selection!M31)</f>
        <v/>
      </c>
      <c r="N27" s="512" t="str">
        <f>IF(Vaccine_Selection!N31="","",Vaccine_Selection!N31)</f>
        <v/>
      </c>
      <c r="O27" s="512" t="str">
        <f>IF(Vaccine_Selection!O31="","",Vaccine_Selection!O31)</f>
        <v/>
      </c>
      <c r="P27" s="512" t="str">
        <f>IF(Vaccine_Selection!P31="","",Vaccine_Selection!P31)</f>
        <v/>
      </c>
      <c r="Q27" s="512" t="str">
        <f>IF(Vaccine_Selection!Q31="","",Vaccine_Selection!Q31)</f>
        <v/>
      </c>
      <c r="R27" s="511"/>
      <c r="S27" s="512" t="str">
        <f>IF(Vaccine_Selection!S31="","",Vaccine_Selection!S31)</f>
        <v/>
      </c>
      <c r="T27" s="512" t="str">
        <f>IF(Vaccine_Selection!T31="","",Vaccine_Selection!T31)</f>
        <v/>
      </c>
      <c r="U27" s="512" t="str">
        <f>IF(Vaccine_Selection!U31="","",Vaccine_Selection!U31)</f>
        <v/>
      </c>
    </row>
    <row r="28" spans="2:21" s="18" customFormat="1" ht="12" hidden="1">
      <c r="B28" s="19" t="str">
        <f>Volume_Inject!B28</f>
        <v/>
      </c>
      <c r="C28" s="19" t="str">
        <f>Volume_Inject!C28</f>
        <v/>
      </c>
      <c r="D28" s="19" t="str">
        <f>Volume_Inject!D28</f>
        <v/>
      </c>
      <c r="E28" s="20">
        <f>Volume_Inject!E28</f>
        <v>0</v>
      </c>
      <c r="F28" s="21">
        <f>Volume_Inject!F28</f>
        <v>0</v>
      </c>
      <c r="G28" s="21">
        <f>Volume_Inject!G28</f>
        <v>0</v>
      </c>
      <c r="I28" s="118" t="str">
        <f t="shared" si="1"/>
        <v/>
      </c>
      <c r="J28" s="120" t="str">
        <f>IF(OR(B28="",C28="liquid",D28="Oral",D28="Nasal",ISTEXT(E28)),"",$K$6*Vaccine_Selection!K32/E28)</f>
        <v/>
      </c>
      <c r="K28" s="120">
        <f t="shared" si="0"/>
        <v>0</v>
      </c>
      <c r="M28" s="512" t="str">
        <f>IF(Vaccine_Selection!M32="","",Vaccine_Selection!M32)</f>
        <v/>
      </c>
      <c r="N28" s="512" t="str">
        <f>IF(Vaccine_Selection!N32="","",Vaccine_Selection!N32)</f>
        <v/>
      </c>
      <c r="O28" s="512" t="str">
        <f>IF(Vaccine_Selection!O32="","",Vaccine_Selection!O32)</f>
        <v/>
      </c>
      <c r="P28" s="512" t="str">
        <f>IF(Vaccine_Selection!P32="","",Vaccine_Selection!P32)</f>
        <v/>
      </c>
      <c r="Q28" s="512" t="str">
        <f>IF(Vaccine_Selection!Q32="","",Vaccine_Selection!Q32)</f>
        <v/>
      </c>
      <c r="R28" s="511"/>
      <c r="S28" s="512" t="str">
        <f>IF(Vaccine_Selection!S32="","",Vaccine_Selection!S32)</f>
        <v/>
      </c>
      <c r="T28" s="512" t="str">
        <f>IF(Vaccine_Selection!T32="","",Vaccine_Selection!T32)</f>
        <v/>
      </c>
      <c r="U28" s="512" t="str">
        <f>IF(Vaccine_Selection!U32="","",Vaccine_Selection!U32)</f>
        <v/>
      </c>
    </row>
    <row r="29" spans="2:21" s="18" customFormat="1" ht="12" hidden="1">
      <c r="B29" s="19" t="str">
        <f>Volume_Inject!B29</f>
        <v/>
      </c>
      <c r="C29" s="19" t="str">
        <f>Volume_Inject!C29</f>
        <v/>
      </c>
      <c r="D29" s="19" t="str">
        <f>Volume_Inject!D29</f>
        <v/>
      </c>
      <c r="E29" s="20">
        <f>Volume_Inject!E29</f>
        <v>0</v>
      </c>
      <c r="F29" s="21">
        <f>Volume_Inject!F29</f>
        <v>0</v>
      </c>
      <c r="G29" s="21">
        <f>Volume_Inject!G29</f>
        <v>0</v>
      </c>
      <c r="I29" s="118" t="str">
        <f t="shared" si="1"/>
        <v/>
      </c>
      <c r="J29" s="120" t="str">
        <f>IF(OR(B29="",C29="liquid",D29="Oral",D29="Nasal",ISTEXT(E29)),"",$K$6*Vaccine_Selection!K33/E29)</f>
        <v/>
      </c>
      <c r="K29" s="120">
        <f t="shared" si="0"/>
        <v>0</v>
      </c>
      <c r="M29" s="512" t="str">
        <f>IF(Vaccine_Selection!M33="","",Vaccine_Selection!M33)</f>
        <v/>
      </c>
      <c r="N29" s="512" t="str">
        <f>IF(Vaccine_Selection!N33="","",Vaccine_Selection!N33)</f>
        <v/>
      </c>
      <c r="O29" s="512" t="str">
        <f>IF(Vaccine_Selection!O33="","",Vaccine_Selection!O33)</f>
        <v/>
      </c>
      <c r="P29" s="512" t="str">
        <f>IF(Vaccine_Selection!P33="","",Vaccine_Selection!P33)</f>
        <v/>
      </c>
      <c r="Q29" s="512" t="str">
        <f>IF(Vaccine_Selection!Q33="","",Vaccine_Selection!Q33)</f>
        <v/>
      </c>
      <c r="R29" s="511"/>
      <c r="S29" s="512" t="str">
        <f>IF(Vaccine_Selection!S33="","",Vaccine_Selection!S33)</f>
        <v/>
      </c>
      <c r="T29" s="512" t="str">
        <f>IF(Vaccine_Selection!T33="","",Vaccine_Selection!T33)</f>
        <v/>
      </c>
      <c r="U29" s="512" t="str">
        <f>IF(Vaccine_Selection!U33="","",Vaccine_Selection!U33)</f>
        <v/>
      </c>
    </row>
    <row r="30" spans="2:21" s="18" customFormat="1" ht="12" hidden="1">
      <c r="B30" s="19" t="str">
        <f>Volume_Inject!B30</f>
        <v/>
      </c>
      <c r="C30" s="19" t="str">
        <f>Volume_Inject!C30</f>
        <v/>
      </c>
      <c r="D30" s="19" t="str">
        <f>Volume_Inject!D30</f>
        <v/>
      </c>
      <c r="E30" s="20">
        <f>Volume_Inject!E30</f>
        <v>0</v>
      </c>
      <c r="F30" s="21">
        <f>Volume_Inject!F30</f>
        <v>0</v>
      </c>
      <c r="G30" s="21">
        <f>Volume_Inject!G30</f>
        <v>0</v>
      </c>
      <c r="I30" s="118" t="str">
        <f t="shared" si="1"/>
        <v/>
      </c>
      <c r="J30" s="120" t="str">
        <f>IF(OR(B30="",C30="liquid",D30="Oral",D30="Nasal",ISTEXT(E30)),"",$K$6*Vaccine_Selection!K34/E30)</f>
        <v/>
      </c>
      <c r="K30" s="120">
        <f t="shared" si="0"/>
        <v>0</v>
      </c>
      <c r="M30" s="512" t="str">
        <f>IF(Vaccine_Selection!M34="","",Vaccine_Selection!M34)</f>
        <v/>
      </c>
      <c r="N30" s="512" t="str">
        <f>IF(Vaccine_Selection!N34="","",Vaccine_Selection!N34)</f>
        <v/>
      </c>
      <c r="O30" s="512" t="str">
        <f>IF(Vaccine_Selection!O34="","",Vaccine_Selection!O34)</f>
        <v/>
      </c>
      <c r="P30" s="512" t="str">
        <f>IF(Vaccine_Selection!P34="","",Vaccine_Selection!P34)</f>
        <v/>
      </c>
      <c r="Q30" s="512" t="str">
        <f>IF(Vaccine_Selection!Q34="","",Vaccine_Selection!Q34)</f>
        <v/>
      </c>
      <c r="R30" s="511"/>
      <c r="S30" s="512" t="str">
        <f>IF(Vaccine_Selection!S34="","",Vaccine_Selection!S34)</f>
        <v/>
      </c>
      <c r="T30" s="512" t="str">
        <f>IF(Vaccine_Selection!T34="","",Vaccine_Selection!T34)</f>
        <v/>
      </c>
      <c r="U30" s="512" t="str">
        <f>IF(Vaccine_Selection!U34="","",Vaccine_Selection!U34)</f>
        <v/>
      </c>
    </row>
    <row r="31" spans="2:21" s="18" customFormat="1" ht="12" hidden="1">
      <c r="B31" s="19" t="str">
        <f>Volume_Inject!B31</f>
        <v/>
      </c>
      <c r="C31" s="19" t="str">
        <f>Volume_Inject!C31</f>
        <v/>
      </c>
      <c r="D31" s="19" t="str">
        <f>Volume_Inject!D31</f>
        <v/>
      </c>
      <c r="E31" s="20">
        <f>Volume_Inject!E31</f>
        <v>0</v>
      </c>
      <c r="F31" s="21">
        <f>Volume_Inject!F31</f>
        <v>0</v>
      </c>
      <c r="G31" s="21">
        <f>Volume_Inject!G31</f>
        <v>0</v>
      </c>
      <c r="I31" s="118" t="str">
        <f t="shared" si="1"/>
        <v/>
      </c>
      <c r="J31" s="120" t="str">
        <f>IF(OR(B31="",C31="liquid",D31="Oral",D31="Nasal",ISTEXT(E31)),"",$K$6*Vaccine_Selection!K35/E31)</f>
        <v/>
      </c>
      <c r="K31" s="120">
        <f t="shared" si="0"/>
        <v>0</v>
      </c>
      <c r="M31" s="512" t="str">
        <f>IF(Vaccine_Selection!M35="","",Vaccine_Selection!M35)</f>
        <v/>
      </c>
      <c r="N31" s="512" t="str">
        <f>IF(Vaccine_Selection!N35="","",Vaccine_Selection!N35)</f>
        <v/>
      </c>
      <c r="O31" s="512" t="str">
        <f>IF(Vaccine_Selection!O35="","",Vaccine_Selection!O35)</f>
        <v/>
      </c>
      <c r="P31" s="512" t="str">
        <f>IF(Vaccine_Selection!P35="","",Vaccine_Selection!P35)</f>
        <v/>
      </c>
      <c r="Q31" s="512" t="str">
        <f>IF(Vaccine_Selection!Q35="","",Vaccine_Selection!Q35)</f>
        <v/>
      </c>
      <c r="R31" s="511"/>
      <c r="S31" s="512" t="str">
        <f>IF(Vaccine_Selection!S35="","",Vaccine_Selection!S35)</f>
        <v/>
      </c>
      <c r="T31" s="512" t="str">
        <f>IF(Vaccine_Selection!T35="","",Vaccine_Selection!T35)</f>
        <v/>
      </c>
      <c r="U31" s="512" t="str">
        <f>IF(Vaccine_Selection!U35="","",Vaccine_Selection!U35)</f>
        <v/>
      </c>
    </row>
    <row r="32" spans="2:21" s="18" customFormat="1" ht="12" hidden="1">
      <c r="B32" s="19" t="str">
        <f>Volume_Inject!B32</f>
        <v/>
      </c>
      <c r="C32" s="19" t="str">
        <f>Volume_Inject!C32</f>
        <v/>
      </c>
      <c r="D32" s="19" t="str">
        <f>Volume_Inject!D32</f>
        <v/>
      </c>
      <c r="E32" s="20">
        <f>Volume_Inject!E32</f>
        <v>0</v>
      </c>
      <c r="F32" s="21">
        <f>Volume_Inject!F32</f>
        <v>0</v>
      </c>
      <c r="G32" s="21">
        <f>Volume_Inject!G32</f>
        <v>0</v>
      </c>
      <c r="I32" s="118" t="str">
        <f t="shared" si="1"/>
        <v/>
      </c>
      <c r="J32" s="120" t="str">
        <f>IF(OR(B32="",C32="liquid",D32="Oral",D32="Nasal",ISTEXT(E32)),"",$K$6*Vaccine_Selection!K36/E32)</f>
        <v/>
      </c>
      <c r="K32" s="120">
        <f t="shared" si="0"/>
        <v>0</v>
      </c>
      <c r="M32" s="512" t="str">
        <f>IF(Vaccine_Selection!M36="","",Vaccine_Selection!M36)</f>
        <v/>
      </c>
      <c r="N32" s="512" t="str">
        <f>IF(Vaccine_Selection!N36="","",Vaccine_Selection!N36)</f>
        <v/>
      </c>
      <c r="O32" s="512" t="str">
        <f>IF(Vaccine_Selection!O36="","",Vaccine_Selection!O36)</f>
        <v/>
      </c>
      <c r="P32" s="512" t="str">
        <f>IF(Vaccine_Selection!P36="","",Vaccine_Selection!P36)</f>
        <v/>
      </c>
      <c r="Q32" s="512" t="str">
        <f>IF(Vaccine_Selection!Q36="","",Vaccine_Selection!Q36)</f>
        <v/>
      </c>
      <c r="R32" s="511"/>
      <c r="S32" s="512" t="str">
        <f>IF(Vaccine_Selection!S36="","",Vaccine_Selection!S36)</f>
        <v/>
      </c>
      <c r="T32" s="512" t="str">
        <f>IF(Vaccine_Selection!T36="","",Vaccine_Selection!T36)</f>
        <v/>
      </c>
      <c r="U32" s="512" t="str">
        <f>IF(Vaccine_Selection!U36="","",Vaccine_Selection!U36)</f>
        <v/>
      </c>
    </row>
    <row r="33" spans="2:22" s="36" customFormat="1" ht="6" customHeight="1">
      <c r="B33" s="42"/>
      <c r="C33" s="42"/>
      <c r="D33" s="42"/>
      <c r="E33" s="42"/>
      <c r="F33" s="42"/>
      <c r="G33" s="42"/>
      <c r="H33" s="42"/>
      <c r="I33" s="42"/>
      <c r="J33" s="42"/>
      <c r="K33" s="42"/>
      <c r="L33" s="42"/>
      <c r="M33" s="42"/>
      <c r="N33" s="42"/>
      <c r="O33" s="42"/>
      <c r="P33" s="42"/>
      <c r="Q33" s="42"/>
      <c r="R33" s="41"/>
      <c r="S33" s="42"/>
      <c r="T33" s="42"/>
      <c r="U33" s="42"/>
      <c r="V33" s="42"/>
    </row>
    <row r="34" spans="2:22" s="36" customFormat="1" ht="14.4">
      <c r="B34" s="32"/>
      <c r="C34" s="32"/>
      <c r="D34" s="32"/>
      <c r="G34" s="32"/>
      <c r="H34" s="32"/>
      <c r="I34" s="32"/>
      <c r="J34" s="515"/>
      <c r="K34" s="516" t="str">
        <f>CONCATENATE(Translation!C400," ",Vaccine_Selection!$E$8,", g")</f>
        <v>Total weight of dilution syringes per  Unit of Population , g</v>
      </c>
      <c r="L34" s="32"/>
      <c r="M34" s="27">
        <f>IF(Vaccine_Selection!$E$8=target1,SUMPRODUCT($J$13:$J$32,M$13:M$32),SUMPRODUCT(Vaccine_Selection!$L$17:$L$36,$J$13:$J$32,M$13:M$32))</f>
        <v>5.8962500000000001E-2</v>
      </c>
      <c r="N34" s="27">
        <f>IF(Vaccine_Selection!$E$8=target1,SUMPRODUCT($J$13:$J$32,N$13:N$32),SUMPRODUCT(Vaccine_Selection!$L$17:$L$36,$J$13:$J$32,N$13:N$32))</f>
        <v>5.8962500000000001E-2</v>
      </c>
      <c r="O34" s="27">
        <f>IF(Vaccine_Selection!$E$8=target1,SUMPRODUCT($J$13:$J$32,O$13:O$32),SUMPRODUCT(Vaccine_Selection!$L$17:$L$36,$J$13:$J$32,O$13:O$32))</f>
        <v>5.8962500000000001E-2</v>
      </c>
      <c r="P34" s="27">
        <f>IF(Vaccine_Selection!$E$8=target1,SUMPRODUCT($J$13:$J$32,P$13:P$32),SUMPRODUCT(Vaccine_Selection!$L$17:$L$36,$J$13:$J$32,P$13:P$32))</f>
        <v>0</v>
      </c>
      <c r="Q34" s="27">
        <f>IF(Vaccine_Selection!$E$8=target1,SUMPRODUCT($J$13:$J$32,Q$13:Q$32),SUMPRODUCT(Vaccine_Selection!$L$17:$L$36,$J$13:$J$32,Q$13:Q$32))</f>
        <v>0</v>
      </c>
      <c r="R34" s="556" t="str">
        <f>Translation!C405</f>
        <v>Total weight of dilution syringes per recipient</v>
      </c>
      <c r="S34" s="560">
        <f>SUMPRODUCT($J$13:$J$32,S$13:S$32)</f>
        <v>0</v>
      </c>
      <c r="T34" s="27">
        <f>SUMPRODUCT($J$13:$J$32,T$13:T$32)</f>
        <v>0</v>
      </c>
      <c r="U34" s="27">
        <f>SUMPRODUCT($J$13:$J$32,U$13:U$32)</f>
        <v>0</v>
      </c>
    </row>
    <row r="35" spans="2:22" s="36" customFormat="1" ht="14.4">
      <c r="B35" s="31"/>
      <c r="C35" s="31"/>
      <c r="D35" s="31"/>
      <c r="G35" s="31"/>
      <c r="H35" s="31"/>
      <c r="I35" s="31"/>
      <c r="J35" s="515"/>
      <c r="K35" s="516" t="str">
        <f>CONCATENATE(Translation!C401," ",Vaccine_Selection!$E$8,", g")</f>
        <v>Total weight of injection syringes per Unit of Population , g</v>
      </c>
      <c r="L35" s="43"/>
      <c r="M35" s="29">
        <f>IF(Vaccine_Selection!$E$8=target1,SUMPRODUCT($I$13:$I$32,M$13:M$32),SUMPRODUCT(Vaccine_Selection!$L$17:$L$36,$I$13:$I$32,M$13:M$32))</f>
        <v>0.73400799999999999</v>
      </c>
      <c r="N35" s="29">
        <f>IF(Vaccine_Selection!$E$8=target1,SUMPRODUCT($I$13:$I$32,N$13:N$32),SUMPRODUCT(Vaccine_Selection!$L$17:$L$36,$I$13:$I$32,N$13:N$32))</f>
        <v>0.73400799999999999</v>
      </c>
      <c r="O35" s="29">
        <f>IF(Vaccine_Selection!$E$8=target1,SUMPRODUCT($I$13:$I$32,O$13:O$32),SUMPRODUCT(Vaccine_Selection!$L$17:$L$36,$I$13:$I$32,O$13:O$32))</f>
        <v>0.45875499999999997</v>
      </c>
      <c r="P35" s="29">
        <f>IF(Vaccine_Selection!$E$8=target1,SUMPRODUCT($I$13:$I$32,P$13:P$32),SUMPRODUCT(Vaccine_Selection!$L$17:$L$36,$I$13:$I$32,P$13:P$32))</f>
        <v>0</v>
      </c>
      <c r="Q35" s="29">
        <f>IF(Vaccine_Selection!$E$8=target1,SUMPRODUCT($I$13:$I$32,Q$13:Q$32),SUMPRODUCT(Vaccine_Selection!$L$17:$L$36,$I$13:$I$32,Q$13:Q$32))</f>
        <v>0</v>
      </c>
      <c r="R35" s="556" t="str">
        <f>Translation!C406</f>
        <v>Total weight injection syringes per recipient</v>
      </c>
      <c r="S35" s="561">
        <f>SUMPRODUCT($I$13:$I$32,S$13:S$32)</f>
        <v>0</v>
      </c>
      <c r="T35" s="29">
        <f>SUMPRODUCT($I$13:$I$32,T$13:T$32)</f>
        <v>0</v>
      </c>
      <c r="U35" s="29">
        <f>SUMPRODUCT($I$13:$I$32,U$13:U$32)</f>
        <v>0</v>
      </c>
    </row>
    <row r="36" spans="2:22" s="36" customFormat="1" ht="14.4">
      <c r="B36" s="31"/>
      <c r="C36" s="31"/>
      <c r="D36" s="31"/>
      <c r="G36" s="31"/>
      <c r="H36" s="31"/>
      <c r="I36" s="31"/>
      <c r="J36" s="515"/>
      <c r="K36" s="516" t="str">
        <f>CONCATENATE(Translation!C402," ",Vaccine_Selection!$E$8,", g")</f>
        <v>Total weigth of safety box per Unit of Population , g</v>
      </c>
      <c r="L36" s="43"/>
      <c r="M36" s="30">
        <f>IF(Vaccine_Selection!$E$8=target1,SUMPRODUCT($K$13:$K$32,M$13:M$32),SUMPRODUCT(Vaccine_Selection!$L$17:$L$36,$K$13:$K$32,M$13:M$32))</f>
        <v>0.59625972727272725</v>
      </c>
      <c r="N36" s="30">
        <f>IF(Vaccine_Selection!$E$8=target1,SUMPRODUCT($K$13:$K$32,N$13:N$32),SUMPRODUCT(Vaccine_Selection!$L$17:$L$36,$K$13:$K$32,N$13:N$32))</f>
        <v>0.59625972727272725</v>
      </c>
      <c r="O36" s="30">
        <f>IF(Vaccine_Selection!$E$8=target1,SUMPRODUCT($K$13:$K$32,O$13:O$32),SUMPRODUCT(Vaccine_Selection!$L$17:$L$36,$K$13:$K$32,O$13:O$32))</f>
        <v>0.59625972727272725</v>
      </c>
      <c r="P36" s="30">
        <f>IF(Vaccine_Selection!$E$8=target1,SUMPRODUCT($K$13:$K$32,P$13:P$32),SUMPRODUCT(Vaccine_Selection!$L$17:$L$36,$K$13:$K$32,P$13:P$32))</f>
        <v>0</v>
      </c>
      <c r="Q36" s="30">
        <f>IF(Vaccine_Selection!$E$8=target1,SUMPRODUCT($K$13:$K$32,Q$13:Q$32),SUMPRODUCT(Vaccine_Selection!$L$17:$L$36,$K$13:$K$32,Q$13:Q$32))</f>
        <v>0</v>
      </c>
      <c r="R36" s="556" t="str">
        <f>Translation!C407</f>
        <v>Total weight of safety boxes per recipient</v>
      </c>
      <c r="S36" s="562">
        <f>SUMPRODUCT($K$13:$K$32,S$13:S$32)</f>
        <v>0</v>
      </c>
      <c r="T36" s="30">
        <f>SUMPRODUCT($K$13:$K$32,T$13:T$32)</f>
        <v>0</v>
      </c>
      <c r="U36" s="30">
        <f>SUMPRODUCT($K$13:$K$32,U$13:U$32)</f>
        <v>0</v>
      </c>
    </row>
    <row r="37" spans="2:22" ht="7.5" customHeight="1">
      <c r="B37" s="31"/>
      <c r="C37" s="31"/>
      <c r="D37" s="31"/>
      <c r="G37" s="31"/>
      <c r="H37" s="31"/>
      <c r="I37" s="31"/>
      <c r="J37" s="31"/>
      <c r="K37" s="31"/>
      <c r="L37" s="34"/>
      <c r="M37" s="35"/>
      <c r="N37" s="32"/>
      <c r="O37" s="36"/>
      <c r="R37" s="557"/>
      <c r="T37" s="17"/>
      <c r="U37" s="17"/>
    </row>
    <row r="38" spans="2:22" ht="13.8">
      <c r="G38" s="37"/>
      <c r="H38" s="37"/>
      <c r="I38" s="37"/>
      <c r="J38" s="37"/>
      <c r="K38" s="500" t="str">
        <f>CONCATENATE(Translation!C403," ",Vaccine_Selection!$E$8)</f>
        <v xml:space="preserve">Total weight of injection supplies per Unit of Population </v>
      </c>
      <c r="M38" s="27">
        <f t="shared" ref="M38:U38" si="2">SUM(M34:M36)</f>
        <v>1.3892302272727273</v>
      </c>
      <c r="N38" s="27">
        <f t="shared" si="2"/>
        <v>1.3892302272727273</v>
      </c>
      <c r="O38" s="27">
        <f t="shared" si="2"/>
        <v>1.1139772272727271</v>
      </c>
      <c r="P38" s="27">
        <f t="shared" si="2"/>
        <v>0</v>
      </c>
      <c r="Q38" s="27">
        <f t="shared" si="2"/>
        <v>0</v>
      </c>
      <c r="R38" s="556" t="str">
        <f>Translation!C408</f>
        <v>Total weight of injection supplies per recipient</v>
      </c>
      <c r="S38" s="560">
        <f>SUM(S34:S36)</f>
        <v>0</v>
      </c>
      <c r="T38" s="27">
        <f>SUM(T34:T36)</f>
        <v>0</v>
      </c>
      <c r="U38" s="27">
        <f t="shared" si="2"/>
        <v>0</v>
      </c>
    </row>
    <row r="39" spans="2:22" ht="13.8">
      <c r="G39" s="37"/>
      <c r="H39" s="37"/>
      <c r="I39" s="37"/>
      <c r="J39" s="37"/>
      <c r="K39" s="500" t="str">
        <f>Translation!C404</f>
        <v>Increase of total weight compared to current schedule</v>
      </c>
      <c r="M39" s="38"/>
      <c r="N39" s="124">
        <f>IF(OR($M$38=0,N38=0),"",(N38-$M$38)/$M$38)</f>
        <v>0</v>
      </c>
      <c r="O39" s="124">
        <f>IF(OR($M$38=0,O38=0),"",(O38-$M$38)/$M$38)</f>
        <v>-0.19813346599891091</v>
      </c>
      <c r="P39" s="124" t="str">
        <f>IF(OR($M$38=0,P38=0),"",(P38-$M$38)/$M$38)</f>
        <v/>
      </c>
      <c r="Q39" s="124" t="str">
        <f>IF(OR($M$38=0,Q38=0),"",(Q38-$M$38)/$M$38)</f>
        <v/>
      </c>
      <c r="R39" s="41"/>
      <c r="S39" s="38"/>
      <c r="T39" s="580" t="str">
        <f>IF(OR($S$38=0,T38=0),"",(T38-$S$38)/$S$38)</f>
        <v/>
      </c>
      <c r="U39" s="580" t="str">
        <f>IF(OR($S$38=0,U38=0),"",(U38-$S$38)/$S$38)</f>
        <v/>
      </c>
    </row>
  </sheetData>
  <sheetProtection sheet="1" objects="1" scenarios="1"/>
  <phoneticPr fontId="0" type="noConversion"/>
  <conditionalFormatting sqref="M38:Q38 M34:Q36">
    <cfRule type="cellIs" dxfId="40" priority="1" stopIfTrue="1" operator="equal">
      <formula>MAX($M34:$Q34)</formula>
    </cfRule>
    <cfRule type="cellIs" dxfId="39" priority="2" stopIfTrue="1" operator="equal">
      <formula>MIN($M34:$Q34)</formula>
    </cfRule>
  </conditionalFormatting>
  <conditionalFormatting sqref="S34:U36">
    <cfRule type="cellIs" dxfId="38" priority="3" stopIfTrue="1" operator="equal">
      <formula>MAX($S34:$U34)</formula>
    </cfRule>
  </conditionalFormatting>
  <conditionalFormatting sqref="S38:U38">
    <cfRule type="cellIs" dxfId="37" priority="4" stopIfTrue="1" operator="equal">
      <formula>MAX($S$38:$U$38)</formula>
    </cfRule>
  </conditionalFormatting>
  <conditionalFormatting sqref="K13:K32">
    <cfRule type="cellIs" dxfId="36" priority="5" stopIfTrue="1" operator="equal">
      <formula>0</formula>
    </cfRule>
  </conditionalFormatting>
  <conditionalFormatting sqref="I13:J32">
    <cfRule type="cellIs" dxfId="35" priority="6" stopIfTrue="1" operator="notBetween">
      <formula>0</formula>
      <formula>1000</formula>
    </cfRule>
  </conditionalFormatting>
  <conditionalFormatting sqref="E13:G32">
    <cfRule type="cellIs" dxfId="34" priority="7" stopIfTrue="1" operator="equal">
      <formula>0</formula>
    </cfRule>
  </conditionalFormatting>
  <conditionalFormatting sqref="B13:D32">
    <cfRule type="cellIs" dxfId="33" priority="8" stopIfTrue="1" operator="equal">
      <formula>""</formula>
    </cfRule>
  </conditionalFormatting>
  <dataValidations count="1">
    <dataValidation allowBlank="1" showErrorMessage="1" promptTitle="Weight per unit:" prompt="The current figure can be updated with more recent data available." sqref="K5:K7" xr:uid="{00000000-0002-0000-0500-000000000000}"/>
  </dataValidations>
  <hyperlinks>
    <hyperlink ref="U2" location="Index!B1" display="Index!B1" xr:uid="{00000000-0004-0000-0500-000000000000}"/>
  </hyperlinks>
  <printOptions horizontalCentered="1"/>
  <pageMargins left="0.33" right="0.17" top="0.32" bottom="0.41" header="0.17" footer="0.18"/>
  <pageSetup paperSize="9" orientation="landscape" r:id="rId1"/>
  <headerFooter alignWithMargins="0">
    <oddFooter>&amp;L&amp;8&amp;F, &amp;A, Rev.Jan10&amp;R&amp;8WHO/IVB/EPI Logistics docs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indexed="18"/>
  </sheetPr>
  <dimension ref="B1:X38"/>
  <sheetViews>
    <sheetView showGridLines="0" workbookViewId="0">
      <pane xSplit="1" ySplit="9" topLeftCell="B13" activePane="bottomRight" state="frozen"/>
      <selection activeCell="F29" sqref="B2:F29"/>
      <selection pane="topRight" activeCell="F29" sqref="B2:F29"/>
      <selection pane="bottomLeft" activeCell="F29" sqref="B2:F29"/>
      <selection pane="bottomRight" activeCell="M31" sqref="M31"/>
    </sheetView>
  </sheetViews>
  <sheetFormatPr defaultColWidth="8.77734375" defaultRowHeight="13.2"/>
  <cols>
    <col min="1" max="1" width="1.109375" customWidth="1"/>
    <col min="2" max="2" width="13.33203125" bestFit="1" customWidth="1"/>
    <col min="3" max="3" width="10.6640625" customWidth="1"/>
    <col min="4" max="5" width="6.6640625" customWidth="1"/>
    <col min="6" max="7" width="10.6640625" customWidth="1"/>
    <col min="8" max="8" width="1.109375" customWidth="1"/>
    <col min="9" max="9" width="7.77734375" bestFit="1" customWidth="1"/>
    <col min="10" max="10" width="8" bestFit="1" customWidth="1"/>
    <col min="11" max="11" width="8.109375" customWidth="1"/>
    <col min="12" max="12" width="1.109375" customWidth="1"/>
    <col min="13" max="17" width="6.6640625" customWidth="1"/>
    <col min="18" max="18" width="1.109375" customWidth="1"/>
    <col min="19" max="21" width="7.6640625" customWidth="1"/>
    <col min="22" max="22" width="1.109375" customWidth="1"/>
  </cols>
  <sheetData>
    <row r="1" spans="2:24" s="548" customFormat="1" ht="5.4"/>
    <row r="2" spans="2:24" s="729" customFormat="1" ht="21">
      <c r="B2" s="711" t="str">
        <f>Translation!C192</f>
        <v>Estimate of the amount of injection waste generated per recipient</v>
      </c>
      <c r="C2" s="711"/>
      <c r="D2" s="711"/>
      <c r="E2" s="711"/>
      <c r="F2" s="711"/>
      <c r="G2" s="711"/>
      <c r="H2" s="711"/>
      <c r="I2" s="711"/>
      <c r="J2" s="711"/>
      <c r="K2" s="711"/>
      <c r="L2" s="711"/>
      <c r="M2" s="711"/>
      <c r="N2" s="711"/>
      <c r="O2" s="711"/>
      <c r="P2" s="712"/>
      <c r="Q2" s="712"/>
      <c r="R2" s="712"/>
      <c r="S2" s="712"/>
      <c r="T2" s="712"/>
      <c r="U2" s="731" t="str">
        <f>Translation!C109</f>
        <v>Index</v>
      </c>
    </row>
    <row r="3" spans="2:24" s="17" customFormat="1">
      <c r="B3" s="545"/>
      <c r="C3" s="545"/>
      <c r="D3" s="545"/>
      <c r="E3" s="545"/>
      <c r="F3" s="545"/>
      <c r="G3" s="545"/>
      <c r="H3" s="545"/>
      <c r="I3" s="545"/>
      <c r="J3" s="545"/>
      <c r="K3" s="545"/>
      <c r="L3" s="545"/>
    </row>
    <row r="4" spans="2:24" s="17" customFormat="1">
      <c r="B4" s="545"/>
      <c r="C4" s="545"/>
      <c r="D4" s="545"/>
      <c r="E4" s="545"/>
      <c r="F4" s="545"/>
      <c r="G4" s="545"/>
      <c r="H4" s="545"/>
      <c r="I4" s="545"/>
      <c r="J4" s="545"/>
      <c r="K4" s="545"/>
      <c r="L4" s="545"/>
    </row>
    <row r="5" spans="2:24" s="17" customFormat="1">
      <c r="B5" s="545"/>
      <c r="C5" s="545"/>
      <c r="D5" s="545"/>
      <c r="E5" s="545"/>
      <c r="F5" s="545"/>
      <c r="G5" s="545"/>
      <c r="H5" s="545"/>
      <c r="I5" s="545"/>
      <c r="J5" s="545"/>
      <c r="K5" s="545"/>
      <c r="L5" s="545"/>
    </row>
    <row r="6" spans="2:24" s="17" customFormat="1" ht="13.8" thickBot="1">
      <c r="B6" s="545"/>
      <c r="C6" s="545"/>
      <c r="D6" s="545"/>
      <c r="E6" s="545"/>
      <c r="F6" s="545"/>
      <c r="G6" s="545"/>
      <c r="H6" s="545"/>
      <c r="I6" s="545"/>
      <c r="J6" s="545"/>
      <c r="K6" s="545"/>
      <c r="L6" s="545"/>
    </row>
    <row r="7" spans="2:24" s="18" customFormat="1">
      <c r="B7" s="201" t="str">
        <f>Volume_Inject!B10</f>
        <v>Characteristics of vaccines selected for use</v>
      </c>
      <c r="C7" s="533"/>
      <c r="D7" s="533"/>
      <c r="E7" s="534"/>
      <c r="F7" s="535"/>
      <c r="G7" s="535"/>
      <c r="I7" s="208" t="str">
        <f>Translation!C193</f>
        <v>Amount of waste</v>
      </c>
      <c r="J7" s="536"/>
      <c r="K7" s="537"/>
      <c r="M7" s="208" t="str">
        <f>Volume_Inject!M10</f>
        <v>National immunization schedule</v>
      </c>
      <c r="N7" s="538"/>
      <c r="O7" s="538"/>
      <c r="P7" s="538"/>
      <c r="Q7" s="538"/>
      <c r="R7" s="549"/>
      <c r="S7" s="219" t="str">
        <f>Vaccine_Selection!$S$14</f>
        <v>Supplementary</v>
      </c>
      <c r="T7" s="540"/>
      <c r="U7" s="539"/>
    </row>
    <row r="8" spans="2:24" s="18" customFormat="1" ht="12">
      <c r="B8" s="467"/>
      <c r="C8" s="467"/>
      <c r="D8" s="468"/>
      <c r="E8" s="205"/>
      <c r="F8" s="552" t="str">
        <f>Volume_Inject!F11</f>
        <v>Volume data used</v>
      </c>
      <c r="G8" s="552"/>
      <c r="I8" s="206" t="str">
        <f>Translation!C194</f>
        <v>per recipient, units</v>
      </c>
      <c r="J8" s="224"/>
      <c r="K8" s="207"/>
      <c r="M8" s="216" t="str">
        <f>Volume_Inject!M11</f>
        <v>(Routine vaccinations)</v>
      </c>
      <c r="N8" s="217"/>
      <c r="O8" s="217"/>
      <c r="P8" s="217"/>
      <c r="Q8" s="221"/>
      <c r="R8" s="550"/>
      <c r="S8" s="216" t="str">
        <f>Vaccine_Selection!$S$15</f>
        <v>activities (SIAs)</v>
      </c>
      <c r="T8" s="217"/>
      <c r="U8" s="221"/>
    </row>
    <row r="9" spans="2:24" s="18" customFormat="1" ht="67.5" customHeight="1" thickBot="1">
      <c r="B9" s="521" t="str">
        <f>Volume_Inject!B12</f>
        <v>Vaccine type</v>
      </c>
      <c r="C9" s="521" t="str">
        <f>Volume_Inject!C12</f>
        <v>Formulation</v>
      </c>
      <c r="D9" s="521" t="str">
        <f>Volume_Inject!D12</f>
        <v>Administration</v>
      </c>
      <c r="E9" s="521" t="str">
        <f>Volume_Inject!E12</f>
        <v>Presentation (doses/vial)</v>
      </c>
      <c r="F9" s="521" t="str">
        <f>Volume_Inject!F12</f>
        <v>Vaccine volume (cm³/dose)</v>
      </c>
      <c r="G9" s="521" t="str">
        <f>Volume_Inject!G12</f>
        <v>Diluent volume (cm³/dose)</v>
      </c>
      <c r="I9" s="517" t="s">
        <v>1996</v>
      </c>
      <c r="J9" s="517" t="str">
        <f>Volume_Inject!I12</f>
        <v>Injection syringe</v>
      </c>
      <c r="K9" s="517" t="str">
        <f>Volume_Inject!J12</f>
        <v>Mixing syringe</v>
      </c>
      <c r="M9" s="517" t="str">
        <f>IF(Vaccine_Selection!M16="","",Vaccine_Selection!M16)</f>
        <v>Current schedule</v>
      </c>
      <c r="N9" s="517" t="str">
        <f>IF(Vaccine_Selection!N16="","",Vaccine_Selection!N16)</f>
        <v>Current schedule with penta 1d</v>
      </c>
      <c r="O9" s="517" t="str">
        <f>IF(Vaccine_Selection!O16="","",Vaccine_Selection!O16)</f>
        <v>Current schedule with penta CAD</v>
      </c>
      <c r="P9" s="517" t="str">
        <f>IF(Vaccine_Selection!P16="","",Vaccine_Selection!P16)</f>
        <v/>
      </c>
      <c r="Q9" s="517" t="str">
        <f>IF(Vaccine_Selection!Q16="","",Vaccine_Selection!Q16)</f>
        <v/>
      </c>
      <c r="R9" s="551"/>
      <c r="S9" s="517" t="str">
        <f>IF(Vaccine_Selection!S16="","",Vaccine_Selection!S16)</f>
        <v>H1N1 campaign</v>
      </c>
      <c r="T9" s="517" t="str">
        <f>IF(Vaccine_Selection!T16="","",Vaccine_Selection!T16)</f>
        <v/>
      </c>
      <c r="U9" s="517" t="str">
        <f>IF(Vaccine_Selection!U16="","",Vaccine_Selection!U16)</f>
        <v/>
      </c>
      <c r="X9" s="553"/>
    </row>
    <row r="10" spans="2:24" s="18" customFormat="1" ht="12">
      <c r="B10" s="19" t="str">
        <f>Volume_Inject!B13</f>
        <v>BCG</v>
      </c>
      <c r="C10" s="19" t="str">
        <f>Volume_Inject!C13</f>
        <v>freeze-dried</v>
      </c>
      <c r="D10" s="19" t="str">
        <f>Volume_Inject!D13</f>
        <v>ID</v>
      </c>
      <c r="E10" s="20">
        <f>Volume_Inject!E13</f>
        <v>20</v>
      </c>
      <c r="F10" s="21">
        <f>Volume_Inject!F13</f>
        <v>1.2102000000000002</v>
      </c>
      <c r="G10" s="21">
        <f>Volume_Inject!G13</f>
        <v>1.1256666666666666</v>
      </c>
      <c r="I10" s="117">
        <f>IF(B10="","",IF(C10="liquid",IF(ISTEXT(E10),IF(OR(D10="Oral",D10="Nasal"),Vaccine_Selection!K17,""),Vaccine_Selection!K17/E10),IF(ISTEXT(E10),1,2/E10)*Vaccine_Selection!K17))</f>
        <v>0.2</v>
      </c>
      <c r="J10" s="118">
        <f>IF(OR(B10="",D10="Oral",D10="Nasal"),"",1.1)</f>
        <v>1.1000000000000001</v>
      </c>
      <c r="K10" s="117">
        <f>IF(OR(B10="",C10="liquid",D10="Oral",D10="Nasal",ISTEXT(E10)),"",(1/E10)*Vaccine_Selection!K17)</f>
        <v>0.1</v>
      </c>
      <c r="M10" s="510">
        <f>IF(Vaccine_Selection!M17="","",Vaccine_Selection!M17)</f>
        <v>1</v>
      </c>
      <c r="N10" s="510">
        <f>IF(Vaccine_Selection!N17="","",Vaccine_Selection!N17)</f>
        <v>1</v>
      </c>
      <c r="O10" s="510">
        <f>IF(Vaccine_Selection!O17="","",Vaccine_Selection!O17)</f>
        <v>1</v>
      </c>
      <c r="P10" s="510" t="str">
        <f>IF(Vaccine_Selection!P17="","",Vaccine_Selection!P17)</f>
        <v/>
      </c>
      <c r="Q10" s="554" t="str">
        <f>IF(Vaccine_Selection!Q17="","",Vaccine_Selection!Q17)</f>
        <v/>
      </c>
      <c r="R10" s="549"/>
      <c r="S10" s="555" t="str">
        <f>IF(Vaccine_Selection!S17="","",Vaccine_Selection!S17)</f>
        <v/>
      </c>
      <c r="T10" s="555" t="str">
        <f>IF(Vaccine_Selection!T17="","",Vaccine_Selection!T17)</f>
        <v/>
      </c>
      <c r="U10" s="510" t="str">
        <f>IF(Vaccine_Selection!U17="","",Vaccine_Selection!U17)</f>
        <v/>
      </c>
    </row>
    <row r="11" spans="2:24" s="18" customFormat="1" ht="12">
      <c r="B11" s="19" t="str">
        <f>Volume_Inject!B14</f>
        <v>OPV</v>
      </c>
      <c r="C11" s="19" t="str">
        <f>Volume_Inject!C14</f>
        <v>liquid</v>
      </c>
      <c r="D11" s="19" t="str">
        <f>Volume_Inject!D14</f>
        <v>Oral</v>
      </c>
      <c r="E11" s="20">
        <f>Volume_Inject!E14</f>
        <v>10</v>
      </c>
      <c r="F11" s="21">
        <f>Volume_Inject!F14</f>
        <v>2</v>
      </c>
      <c r="G11" s="21">
        <f>Volume_Inject!G14</f>
        <v>0</v>
      </c>
      <c r="I11" s="119">
        <f>IF(B11="","",IF(C11="liquid",IF(ISTEXT(E11),IF(OR(D11="Oral",D11="Nasal"),Vaccine_Selection!K18,""),Vaccine_Selection!K18/E11),IF(ISTEXT(E11),1,2/E11)*Vaccine_Selection!K18))</f>
        <v>0.13333333333333333</v>
      </c>
      <c r="J11" s="120" t="str">
        <f t="shared" ref="J11:J29" si="0">IF(OR(B11="",D11="Oral",D11="Nasal"),"",1.1)</f>
        <v/>
      </c>
      <c r="K11" s="119" t="str">
        <f>IF(OR(B11="",C11="liquid",D11="Oral",D11="Nasal",ISTEXT(E11)),"",(1/E11)*Vaccine_Selection!K18)</f>
        <v/>
      </c>
      <c r="M11" s="512">
        <f>IF(Vaccine_Selection!M18="","",Vaccine_Selection!M18)</f>
        <v>4</v>
      </c>
      <c r="N11" s="512">
        <f>IF(Vaccine_Selection!N18="","",Vaccine_Selection!N18)</f>
        <v>4</v>
      </c>
      <c r="O11" s="512">
        <f>IF(Vaccine_Selection!O18="","",Vaccine_Selection!O18)</f>
        <v>4</v>
      </c>
      <c r="P11" s="512" t="str">
        <f>IF(Vaccine_Selection!P18="","",Vaccine_Selection!P18)</f>
        <v/>
      </c>
      <c r="Q11" s="512" t="str">
        <f>IF(Vaccine_Selection!Q18="","",Vaccine_Selection!Q18)</f>
        <v/>
      </c>
      <c r="R11" s="511"/>
      <c r="S11" s="512" t="str">
        <f>IF(Vaccine_Selection!S18="","",Vaccine_Selection!S18)</f>
        <v/>
      </c>
      <c r="T11" s="512" t="str">
        <f>IF(Vaccine_Selection!T18="","",Vaccine_Selection!T18)</f>
        <v/>
      </c>
      <c r="U11" s="512" t="str">
        <f>IF(Vaccine_Selection!U18="","",Vaccine_Selection!U18)</f>
        <v/>
      </c>
    </row>
    <row r="12" spans="2:24" s="18" customFormat="1" ht="12">
      <c r="B12" s="19" t="str">
        <f>Volume_Inject!B15</f>
        <v>DTP-HepB-Hib</v>
      </c>
      <c r="C12" s="19" t="str">
        <f>Volume_Inject!C15</f>
        <v>liquid</v>
      </c>
      <c r="D12" s="19" t="str">
        <f>Volume_Inject!D15</f>
        <v>IM</v>
      </c>
      <c r="E12" s="20">
        <f>Volume_Inject!E15</f>
        <v>10</v>
      </c>
      <c r="F12" s="21">
        <f>Volume_Inject!F15</f>
        <v>2.75</v>
      </c>
      <c r="G12" s="21">
        <f>Volume_Inject!G15</f>
        <v>0</v>
      </c>
      <c r="I12" s="119">
        <f>IF(B12="","",IF(C12="liquid",IF(ISTEXT(E12),IF(OR(D12="Oral",D12="Nasal"),Vaccine_Selection!K19,""),Vaccine_Selection!K19/E12),IF(ISTEXT(E12),1,2/E12)*Vaccine_Selection!K19))</f>
        <v>0.13333333333333333</v>
      </c>
      <c r="J12" s="120">
        <f t="shared" si="0"/>
        <v>1.1000000000000001</v>
      </c>
      <c r="K12" s="119" t="str">
        <f>IF(OR(B12="",C12="liquid",D12="Oral",D12="Nasal",ISTEXT(E12)),"",(1/E12)*Vaccine_Selection!K19)</f>
        <v/>
      </c>
      <c r="M12" s="512">
        <f>IF(Vaccine_Selection!M19="","",Vaccine_Selection!M19)</f>
        <v>3</v>
      </c>
      <c r="N12" s="512" t="str">
        <f>IF(Vaccine_Selection!N19="","",Vaccine_Selection!N19)</f>
        <v/>
      </c>
      <c r="O12" s="512" t="str">
        <f>IF(Vaccine_Selection!O19="","",Vaccine_Selection!O19)</f>
        <v/>
      </c>
      <c r="P12" s="512" t="str">
        <f>IF(Vaccine_Selection!P19="","",Vaccine_Selection!P19)</f>
        <v/>
      </c>
      <c r="Q12" s="512" t="str">
        <f>IF(Vaccine_Selection!Q19="","",Vaccine_Selection!Q19)</f>
        <v/>
      </c>
      <c r="R12" s="511"/>
      <c r="S12" s="512" t="str">
        <f>IF(Vaccine_Selection!S19="","",Vaccine_Selection!S19)</f>
        <v/>
      </c>
      <c r="T12" s="512" t="str">
        <f>IF(Vaccine_Selection!T19="","",Vaccine_Selection!T19)</f>
        <v/>
      </c>
      <c r="U12" s="512" t="str">
        <f>IF(Vaccine_Selection!U19="","",Vaccine_Selection!U19)</f>
        <v/>
      </c>
    </row>
    <row r="13" spans="2:24" s="18" customFormat="1" ht="12">
      <c r="B13" s="19" t="str">
        <f>Volume_Inject!B16</f>
        <v>DTP-HepB-Hib</v>
      </c>
      <c r="C13" s="19" t="str">
        <f>Volume_Inject!C16</f>
        <v>liquid</v>
      </c>
      <c r="D13" s="19" t="str">
        <f>Volume_Inject!D16</f>
        <v>IM</v>
      </c>
      <c r="E13" s="20">
        <f>Volume_Inject!E16</f>
        <v>1</v>
      </c>
      <c r="F13" s="21">
        <f>Volume_Inject!F16</f>
        <v>16.66384</v>
      </c>
      <c r="G13" s="21">
        <f>Volume_Inject!G16</f>
        <v>0</v>
      </c>
      <c r="I13" s="119">
        <f>IF(B13="","",IF(C13="liquid",IF(ISTEXT(E13),IF(OR(D13="Oral",D13="Nasal"),Vaccine_Selection!K20,""),Vaccine_Selection!K20/E13),IF(ISTEXT(E13),1,2/E13)*Vaccine_Selection!K20))</f>
        <v>1.0526315789473684</v>
      </c>
      <c r="J13" s="120">
        <f t="shared" si="0"/>
        <v>1.1000000000000001</v>
      </c>
      <c r="K13" s="119" t="str">
        <f>IF(OR(B13="",C13="liquid",D13="Oral",D13="Nasal",ISTEXT(E13)),"",(1/E13)*Vaccine_Selection!K20)</f>
        <v/>
      </c>
      <c r="M13" s="512" t="str">
        <f>IF(Vaccine_Selection!M20="","",Vaccine_Selection!M20)</f>
        <v/>
      </c>
      <c r="N13" s="512">
        <f>IF(Vaccine_Selection!N20="","",Vaccine_Selection!N20)</f>
        <v>3</v>
      </c>
      <c r="O13" s="512" t="str">
        <f>IF(Vaccine_Selection!O20="","",Vaccine_Selection!O20)</f>
        <v/>
      </c>
      <c r="P13" s="512" t="str">
        <f>IF(Vaccine_Selection!P20="","",Vaccine_Selection!P20)</f>
        <v/>
      </c>
      <c r="Q13" s="512" t="str">
        <f>IF(Vaccine_Selection!Q20="","",Vaccine_Selection!Q20)</f>
        <v/>
      </c>
      <c r="R13" s="511"/>
      <c r="S13" s="512" t="str">
        <f>IF(Vaccine_Selection!S20="","",Vaccine_Selection!S20)</f>
        <v/>
      </c>
      <c r="T13" s="512" t="str">
        <f>IF(Vaccine_Selection!T20="","",Vaccine_Selection!T20)</f>
        <v/>
      </c>
      <c r="U13" s="512" t="str">
        <f>IF(Vaccine_Selection!U20="","",Vaccine_Selection!U20)</f>
        <v/>
      </c>
    </row>
    <row r="14" spans="2:24" s="18" customFormat="1" ht="12">
      <c r="B14" s="19" t="str">
        <f>Volume_Inject!B17</f>
        <v>DTP-HepB-Hib</v>
      </c>
      <c r="C14" s="19" t="str">
        <f>Volume_Inject!C17</f>
        <v>liquid</v>
      </c>
      <c r="D14" s="19" t="str">
        <f>Volume_Inject!D17</f>
        <v>IM</v>
      </c>
      <c r="E14" s="20" t="str">
        <f>Volume_Inject!E17</f>
        <v>Uniject</v>
      </c>
      <c r="F14" s="21">
        <f>Volume_Inject!F17</f>
        <v>12</v>
      </c>
      <c r="G14" s="21">
        <f>Volume_Inject!G17</f>
        <v>0</v>
      </c>
      <c r="I14" s="119" t="str">
        <f>IF(B14="","",IF(C14="liquid",IF(ISTEXT(E14),IF(OR(D14="Oral",D14="Nasal"),Vaccine_Selection!K21,""),Vaccine_Selection!K21/E14),IF(ISTEXT(E14),1,2/E14)*Vaccine_Selection!K21))</f>
        <v/>
      </c>
      <c r="J14" s="120">
        <f t="shared" si="0"/>
        <v>1.1000000000000001</v>
      </c>
      <c r="K14" s="119" t="str">
        <f>IF(OR(B14="",C14="liquid",D14="Oral",D14="Nasal",ISTEXT(E14)),"",(1/E14)*Vaccine_Selection!K21)</f>
        <v/>
      </c>
      <c r="M14" s="512" t="str">
        <f>IF(Vaccine_Selection!M21="","",Vaccine_Selection!M21)</f>
        <v/>
      </c>
      <c r="N14" s="512" t="str">
        <f>IF(Vaccine_Selection!N21="","",Vaccine_Selection!N21)</f>
        <v/>
      </c>
      <c r="O14" s="512">
        <f>IF(Vaccine_Selection!O21="","",Vaccine_Selection!O21)</f>
        <v>3</v>
      </c>
      <c r="P14" s="512" t="str">
        <f>IF(Vaccine_Selection!P21="","",Vaccine_Selection!P21)</f>
        <v/>
      </c>
      <c r="Q14" s="512" t="str">
        <f>IF(Vaccine_Selection!Q21="","",Vaccine_Selection!Q21)</f>
        <v/>
      </c>
      <c r="R14" s="511"/>
      <c r="S14" s="512" t="str">
        <f>IF(Vaccine_Selection!S21="","",Vaccine_Selection!S21)</f>
        <v/>
      </c>
      <c r="T14" s="512" t="str">
        <f>IF(Vaccine_Selection!T21="","",Vaccine_Selection!T21)</f>
        <v/>
      </c>
      <c r="U14" s="512" t="str">
        <f>IF(Vaccine_Selection!U21="","",Vaccine_Selection!U21)</f>
        <v/>
      </c>
    </row>
    <row r="15" spans="2:24" s="18" customFormat="1" ht="12">
      <c r="B15" s="19" t="str">
        <f>Volume_Inject!B18</f>
        <v>Measles</v>
      </c>
      <c r="C15" s="19" t="str">
        <f>Volume_Inject!C18</f>
        <v>freeze-dried</v>
      </c>
      <c r="D15" s="19" t="str">
        <f>Volume_Inject!D18</f>
        <v>SC</v>
      </c>
      <c r="E15" s="20">
        <f>Volume_Inject!E18</f>
        <v>10</v>
      </c>
      <c r="F15" s="21">
        <f>Volume_Inject!F18</f>
        <v>2.4002000000000003</v>
      </c>
      <c r="G15" s="21">
        <f>Volume_Inject!G18</f>
        <v>3.2</v>
      </c>
      <c r="I15" s="119">
        <f>IF(B15="","",IF(C15="liquid",IF(ISTEXT(E15),IF(OR(D15="Oral",D15="Nasal"),Vaccine_Selection!K22,""),Vaccine_Selection!K22/E15),IF(ISTEXT(E15),1,2/E15)*Vaccine_Selection!K22))</f>
        <v>0.33333333333333337</v>
      </c>
      <c r="J15" s="120">
        <f t="shared" si="0"/>
        <v>1.1000000000000001</v>
      </c>
      <c r="K15" s="119">
        <f>IF(OR(B15="",C15="liquid",D15="Oral",D15="Nasal",ISTEXT(E15)),"",(1/E15)*Vaccine_Selection!K22)</f>
        <v>0.16666666666666669</v>
      </c>
      <c r="M15" s="512">
        <f>IF(Vaccine_Selection!M22="","",Vaccine_Selection!M22)</f>
        <v>1</v>
      </c>
      <c r="N15" s="512">
        <f>IF(Vaccine_Selection!N22="","",Vaccine_Selection!N22)</f>
        <v>1</v>
      </c>
      <c r="O15" s="512">
        <f>IF(Vaccine_Selection!O22="","",Vaccine_Selection!O22)</f>
        <v>1</v>
      </c>
      <c r="P15" s="512" t="str">
        <f>IF(Vaccine_Selection!P22="","",Vaccine_Selection!P22)</f>
        <v/>
      </c>
      <c r="Q15" s="512" t="str">
        <f>IF(Vaccine_Selection!Q22="","",Vaccine_Selection!Q22)</f>
        <v/>
      </c>
      <c r="R15" s="511"/>
      <c r="S15" s="512" t="str">
        <f>IF(Vaccine_Selection!S22="","",Vaccine_Selection!S22)</f>
        <v/>
      </c>
      <c r="T15" s="512" t="str">
        <f>IF(Vaccine_Selection!T22="","",Vaccine_Selection!T22)</f>
        <v/>
      </c>
      <c r="U15" s="512" t="str">
        <f>IF(Vaccine_Selection!U22="","",Vaccine_Selection!U22)</f>
        <v/>
      </c>
    </row>
    <row r="16" spans="2:24" s="18" customFormat="1" ht="12">
      <c r="B16" s="19" t="str">
        <f>Volume_Inject!B19</f>
        <v>YF</v>
      </c>
      <c r="C16" s="19" t="str">
        <f>Volume_Inject!C19</f>
        <v>freeze-dried</v>
      </c>
      <c r="D16" s="19" t="str">
        <f>Volume_Inject!D19</f>
        <v>SC</v>
      </c>
      <c r="E16" s="20">
        <f>Volume_Inject!E19</f>
        <v>5</v>
      </c>
      <c r="F16" s="21">
        <f>Volume_Inject!F19</f>
        <v>5.4024999999999999</v>
      </c>
      <c r="G16" s="21">
        <f>Volume_Inject!G19</f>
        <v>6.75</v>
      </c>
      <c r="I16" s="119">
        <f>IF(B16="","",IF(C16="liquid",IF(ISTEXT(E16),IF(OR(D16="Oral",D16="Nasal"),Vaccine_Selection!K23,""),Vaccine_Selection!K23/E16),IF(ISTEXT(E16),1,2/E16)*Vaccine_Selection!K23))</f>
        <v>0.44444444444444448</v>
      </c>
      <c r="J16" s="120">
        <f t="shared" si="0"/>
        <v>1.1000000000000001</v>
      </c>
      <c r="K16" s="119">
        <f>IF(OR(B16="",C16="liquid",D16="Oral",D16="Nasal",ISTEXT(E16)),"",(1/E16)*Vaccine_Selection!K23)</f>
        <v>0.22222222222222224</v>
      </c>
      <c r="M16" s="512">
        <f>IF(Vaccine_Selection!M23="","",Vaccine_Selection!M23)</f>
        <v>1</v>
      </c>
      <c r="N16" s="512">
        <f>IF(Vaccine_Selection!N23="","",Vaccine_Selection!N23)</f>
        <v>1</v>
      </c>
      <c r="O16" s="512">
        <f>IF(Vaccine_Selection!O23="","",Vaccine_Selection!O23)</f>
        <v>1</v>
      </c>
      <c r="P16" s="512" t="str">
        <f>IF(Vaccine_Selection!P23="","",Vaccine_Selection!P23)</f>
        <v/>
      </c>
      <c r="Q16" s="512" t="str">
        <f>IF(Vaccine_Selection!Q23="","",Vaccine_Selection!Q23)</f>
        <v/>
      </c>
      <c r="R16" s="511"/>
      <c r="S16" s="512" t="str">
        <f>IF(Vaccine_Selection!S23="","",Vaccine_Selection!S23)</f>
        <v/>
      </c>
      <c r="T16" s="512" t="str">
        <f>IF(Vaccine_Selection!T23="","",Vaccine_Selection!T23)</f>
        <v/>
      </c>
      <c r="U16" s="512" t="str">
        <f>IF(Vaccine_Selection!U23="","",Vaccine_Selection!U23)</f>
        <v/>
      </c>
    </row>
    <row r="17" spans="2:22" s="18" customFormat="1" ht="12">
      <c r="B17" s="19" t="str">
        <f>Volume_Inject!B20</f>
        <v>TT</v>
      </c>
      <c r="C17" s="19" t="str">
        <f>Volume_Inject!C20</f>
        <v>liquid</v>
      </c>
      <c r="D17" s="19" t="str">
        <f>Volume_Inject!D20</f>
        <v>IM</v>
      </c>
      <c r="E17" s="20">
        <f>Volume_Inject!E20</f>
        <v>10</v>
      </c>
      <c r="F17" s="21">
        <f>Volume_Inject!F20</f>
        <v>3.1093333333333333</v>
      </c>
      <c r="G17" s="21">
        <f>Volume_Inject!G20</f>
        <v>0</v>
      </c>
      <c r="I17" s="119">
        <f>IF(B17="","",IF(C17="liquid",IF(ISTEXT(E17),IF(OR(D17="Oral",D17="Nasal"),Vaccine_Selection!K24,""),Vaccine_Selection!K24/E17),IF(ISTEXT(E17),1,2/E17)*Vaccine_Selection!K24))</f>
        <v>0.13333333333333333</v>
      </c>
      <c r="J17" s="120">
        <f t="shared" si="0"/>
        <v>1.1000000000000001</v>
      </c>
      <c r="K17" s="119" t="str">
        <f>IF(OR(B17="",C17="liquid",D17="Oral",D17="Nasal",ISTEXT(E17)),"",(1/E17)*Vaccine_Selection!K24)</f>
        <v/>
      </c>
      <c r="M17" s="512">
        <f>IF(Vaccine_Selection!M24="","",Vaccine_Selection!M24)</f>
        <v>2</v>
      </c>
      <c r="N17" s="512">
        <f>IF(Vaccine_Selection!N24="","",Vaccine_Selection!N24)</f>
        <v>2</v>
      </c>
      <c r="O17" s="512">
        <f>IF(Vaccine_Selection!O24="","",Vaccine_Selection!O24)</f>
        <v>2</v>
      </c>
      <c r="P17" s="512" t="str">
        <f>IF(Vaccine_Selection!P24="","",Vaccine_Selection!P24)</f>
        <v/>
      </c>
      <c r="Q17" s="512" t="str">
        <f>IF(Vaccine_Selection!Q24="","",Vaccine_Selection!Q24)</f>
        <v/>
      </c>
      <c r="R17" s="511"/>
      <c r="S17" s="512" t="str">
        <f>IF(Vaccine_Selection!S24="","",Vaccine_Selection!S24)</f>
        <v/>
      </c>
      <c r="T17" s="512" t="str">
        <f>IF(Vaccine_Selection!T24="","",Vaccine_Selection!T24)</f>
        <v/>
      </c>
      <c r="U17" s="512" t="str">
        <f>IF(Vaccine_Selection!U24="","",Vaccine_Selection!U24)</f>
        <v/>
      </c>
    </row>
    <row r="18" spans="2:22" s="18" customFormat="1" ht="12">
      <c r="B18" s="19" t="str">
        <f>Volume_Inject!B21</f>
        <v>PCV-13</v>
      </c>
      <c r="C18" s="19" t="str">
        <f>Volume_Inject!C21</f>
        <v>liquid</v>
      </c>
      <c r="D18" s="19" t="str">
        <f>Volume_Inject!D21</f>
        <v>IM</v>
      </c>
      <c r="E18" s="20">
        <f>Volume_Inject!E21</f>
        <v>1</v>
      </c>
      <c r="F18" s="21">
        <f>Volume_Inject!F21</f>
        <v>13.825246999999999</v>
      </c>
      <c r="G18" s="21">
        <f>Volume_Inject!G21</f>
        <v>0</v>
      </c>
      <c r="I18" s="119">
        <f>IF(B18="","",IF(C18="liquid",IF(ISTEXT(E18),IF(OR(D18="Oral",D18="Nasal"),Vaccine_Selection!K25,""),Vaccine_Selection!K25/E18),IF(ISTEXT(E18),1,2/E18)*Vaccine_Selection!K25))</f>
        <v>1.0526315789473684</v>
      </c>
      <c r="J18" s="120">
        <f t="shared" si="0"/>
        <v>1.1000000000000001</v>
      </c>
      <c r="K18" s="119" t="str">
        <f>IF(OR(B18="",C18="liquid",D18="Oral",D18="Nasal",ISTEXT(E18)),"",(1/E18)*Vaccine_Selection!K25)</f>
        <v/>
      </c>
      <c r="M18" s="512" t="str">
        <f>IF(Vaccine_Selection!M25="","",Vaccine_Selection!M25)</f>
        <v/>
      </c>
      <c r="N18" s="512" t="str">
        <f>IF(Vaccine_Selection!N25="","",Vaccine_Selection!N25)</f>
        <v/>
      </c>
      <c r="O18" s="512" t="str">
        <f>IF(Vaccine_Selection!O25="","",Vaccine_Selection!O25)</f>
        <v/>
      </c>
      <c r="P18" s="512" t="str">
        <f>IF(Vaccine_Selection!P25="","",Vaccine_Selection!P25)</f>
        <v/>
      </c>
      <c r="Q18" s="512" t="str">
        <f>IF(Vaccine_Selection!Q25="","",Vaccine_Selection!Q25)</f>
        <v/>
      </c>
      <c r="R18" s="511"/>
      <c r="S18" s="512" t="str">
        <f>IF(Vaccine_Selection!S25="","",Vaccine_Selection!S25)</f>
        <v/>
      </c>
      <c r="T18" s="512" t="str">
        <f>IF(Vaccine_Selection!T25="","",Vaccine_Selection!T25)</f>
        <v/>
      </c>
      <c r="U18" s="512" t="str">
        <f>IF(Vaccine_Selection!U25="","",Vaccine_Selection!U25)</f>
        <v/>
      </c>
    </row>
    <row r="19" spans="2:22" s="18" customFormat="1" ht="12">
      <c r="B19" s="19" t="str">
        <f>Volume_Inject!B22</f>
        <v>Rota_liq</v>
      </c>
      <c r="C19" s="19" t="str">
        <f>Volume_Inject!C22</f>
        <v>liquid</v>
      </c>
      <c r="D19" s="19" t="str">
        <f>Volume_Inject!D22</f>
        <v>Oral</v>
      </c>
      <c r="E19" s="20">
        <f>Volume_Inject!E22</f>
        <v>1</v>
      </c>
      <c r="F19" s="21">
        <f>Volume_Inject!F22</f>
        <v>17.100000000000001</v>
      </c>
      <c r="G19" s="21">
        <f>Volume_Inject!G22</f>
        <v>0</v>
      </c>
      <c r="I19" s="119">
        <f>IF(B19="","",IF(C19="liquid",IF(ISTEXT(E19),IF(OR(D19="Oral",D19="Nasal"),Vaccine_Selection!K26,""),Vaccine_Selection!K26/E19),IF(ISTEXT(E19),1,2/E19)*Vaccine_Selection!K26))</f>
        <v>1.0526315789473684</v>
      </c>
      <c r="J19" s="120" t="str">
        <f t="shared" si="0"/>
        <v/>
      </c>
      <c r="K19" s="119" t="str">
        <f>IF(OR(B19="",C19="liquid",D19="Oral",D19="Nasal",ISTEXT(E19)),"",(1/E19)*Vaccine_Selection!K26)</f>
        <v/>
      </c>
      <c r="M19" s="512" t="str">
        <f>IF(Vaccine_Selection!M26="","",Vaccine_Selection!M26)</f>
        <v/>
      </c>
      <c r="N19" s="512" t="str">
        <f>IF(Vaccine_Selection!N26="","",Vaccine_Selection!N26)</f>
        <v/>
      </c>
      <c r="O19" s="512" t="str">
        <f>IF(Vaccine_Selection!O26="","",Vaccine_Selection!O26)</f>
        <v/>
      </c>
      <c r="P19" s="512" t="str">
        <f>IF(Vaccine_Selection!P26="","",Vaccine_Selection!P26)</f>
        <v/>
      </c>
      <c r="Q19" s="512" t="str">
        <f>IF(Vaccine_Selection!Q26="","",Vaccine_Selection!Q26)</f>
        <v/>
      </c>
      <c r="R19" s="511"/>
      <c r="S19" s="512">
        <f>IF(Vaccine_Selection!S26="","",Vaccine_Selection!S26)</f>
        <v>1</v>
      </c>
      <c r="T19" s="512" t="str">
        <f>IF(Vaccine_Selection!T26="","",Vaccine_Selection!T26)</f>
        <v/>
      </c>
      <c r="U19" s="512" t="str">
        <f>IF(Vaccine_Selection!U26="","",Vaccine_Selection!U26)</f>
        <v/>
      </c>
    </row>
    <row r="20" spans="2:22" s="18" customFormat="1" ht="12">
      <c r="B20" s="19" t="str">
        <f>Volume_Inject!B23</f>
        <v/>
      </c>
      <c r="C20" s="19" t="str">
        <f>Volume_Inject!C23</f>
        <v/>
      </c>
      <c r="D20" s="19" t="str">
        <f>Volume_Inject!D23</f>
        <v/>
      </c>
      <c r="E20" s="20">
        <f>Volume_Inject!E23</f>
        <v>0</v>
      </c>
      <c r="F20" s="21">
        <f>Volume_Inject!F23</f>
        <v>0</v>
      </c>
      <c r="G20" s="21">
        <f>Volume_Inject!G23</f>
        <v>0</v>
      </c>
      <c r="I20" s="119" t="str">
        <f>IF(B20="","",IF(C20="liquid",IF(ISTEXT(E20),IF(OR(D20="Oral",D20="Nasal"),Vaccine_Selection!K27,""),Vaccine_Selection!K27/E20),IF(ISTEXT(E20),1,2/E20)*Vaccine_Selection!K27))</f>
        <v/>
      </c>
      <c r="J20" s="120" t="str">
        <f t="shared" si="0"/>
        <v/>
      </c>
      <c r="K20" s="119" t="str">
        <f>IF(OR(B20="",C20="liquid",D20="Oral",D20="Nasal",ISTEXT(E20)),"",(1/E20)*Vaccine_Selection!K27)</f>
        <v/>
      </c>
      <c r="M20" s="512" t="str">
        <f>IF(Vaccine_Selection!M27="","",Vaccine_Selection!M27)</f>
        <v/>
      </c>
      <c r="N20" s="512" t="str">
        <f>IF(Vaccine_Selection!N27="","",Vaccine_Selection!N27)</f>
        <v/>
      </c>
      <c r="O20" s="512" t="str">
        <f>IF(Vaccine_Selection!O27="","",Vaccine_Selection!O27)</f>
        <v/>
      </c>
      <c r="P20" s="512" t="str">
        <f>IF(Vaccine_Selection!P27="","",Vaccine_Selection!P27)</f>
        <v/>
      </c>
      <c r="Q20" s="512" t="str">
        <f>IF(Vaccine_Selection!Q27="","",Vaccine_Selection!Q27)</f>
        <v/>
      </c>
      <c r="R20" s="511"/>
      <c r="S20" s="512" t="str">
        <f>IF(Vaccine_Selection!S27="","",Vaccine_Selection!S27)</f>
        <v/>
      </c>
      <c r="T20" s="512" t="str">
        <f>IF(Vaccine_Selection!T27="","",Vaccine_Selection!T27)</f>
        <v/>
      </c>
      <c r="U20" s="512" t="str">
        <f>IF(Vaccine_Selection!U27="","",Vaccine_Selection!U27)</f>
        <v/>
      </c>
    </row>
    <row r="21" spans="2:22" s="18" customFormat="1" ht="12">
      <c r="B21" s="19" t="str">
        <f>Volume_Inject!B24</f>
        <v/>
      </c>
      <c r="C21" s="19" t="str">
        <f>Volume_Inject!C24</f>
        <v/>
      </c>
      <c r="D21" s="19" t="str">
        <f>Volume_Inject!D24</f>
        <v/>
      </c>
      <c r="E21" s="20">
        <f>Volume_Inject!E24</f>
        <v>0</v>
      </c>
      <c r="F21" s="21">
        <f>Volume_Inject!F24</f>
        <v>0</v>
      </c>
      <c r="G21" s="21">
        <f>Volume_Inject!G24</f>
        <v>0</v>
      </c>
      <c r="I21" s="119" t="str">
        <f>IF(B21="","",IF(C21="liquid",IF(ISTEXT(E21),IF(OR(D21="Oral",D21="Nasal"),Vaccine_Selection!K28,""),Vaccine_Selection!K28/E21),IF(ISTEXT(E21),1,2/E21)*Vaccine_Selection!K28))</f>
        <v/>
      </c>
      <c r="J21" s="120" t="str">
        <f t="shared" si="0"/>
        <v/>
      </c>
      <c r="K21" s="119" t="str">
        <f>IF(OR(B21="",C21="liquid",D21="Oral",D21="Nasal",ISTEXT(E21)),"",(1/E21)*Vaccine_Selection!K28)</f>
        <v/>
      </c>
      <c r="M21" s="512" t="str">
        <f>IF(Vaccine_Selection!M28="","",Vaccine_Selection!M28)</f>
        <v/>
      </c>
      <c r="N21" s="512" t="str">
        <f>IF(Vaccine_Selection!N28="","",Vaccine_Selection!N28)</f>
        <v/>
      </c>
      <c r="O21" s="512" t="str">
        <f>IF(Vaccine_Selection!O28="","",Vaccine_Selection!O28)</f>
        <v/>
      </c>
      <c r="P21" s="512" t="str">
        <f>IF(Vaccine_Selection!P28="","",Vaccine_Selection!P28)</f>
        <v/>
      </c>
      <c r="Q21" s="512" t="str">
        <f>IF(Vaccine_Selection!Q28="","",Vaccine_Selection!Q28)</f>
        <v/>
      </c>
      <c r="R21" s="511"/>
      <c r="S21" s="512" t="str">
        <f>IF(Vaccine_Selection!S28="","",Vaccine_Selection!S28)</f>
        <v/>
      </c>
      <c r="T21" s="512" t="str">
        <f>IF(Vaccine_Selection!T28="","",Vaccine_Selection!T28)</f>
        <v/>
      </c>
      <c r="U21" s="512" t="str">
        <f>IF(Vaccine_Selection!U28="","",Vaccine_Selection!U28)</f>
        <v/>
      </c>
    </row>
    <row r="22" spans="2:22" s="18" customFormat="1" ht="12">
      <c r="B22" s="19" t="str">
        <f>Volume_Inject!B25</f>
        <v/>
      </c>
      <c r="C22" s="19" t="str">
        <f>Volume_Inject!C25</f>
        <v/>
      </c>
      <c r="D22" s="19" t="str">
        <f>Volume_Inject!D25</f>
        <v/>
      </c>
      <c r="E22" s="20">
        <f>Volume_Inject!E25</f>
        <v>0</v>
      </c>
      <c r="F22" s="21">
        <f>Volume_Inject!F25</f>
        <v>0</v>
      </c>
      <c r="G22" s="21">
        <f>Volume_Inject!G25</f>
        <v>0</v>
      </c>
      <c r="I22" s="119" t="str">
        <f>IF(B22="","",IF(C22="liquid",IF(ISTEXT(E22),IF(OR(D22="Oral",D22="Nasal"),Vaccine_Selection!K29,""),Vaccine_Selection!K29/E22),IF(ISTEXT(E22),1,2/E22)*Vaccine_Selection!K29))</f>
        <v/>
      </c>
      <c r="J22" s="120" t="str">
        <f t="shared" si="0"/>
        <v/>
      </c>
      <c r="K22" s="119" t="str">
        <f>IF(OR(B22="",C22="liquid",D22="Oral",D22="Nasal",ISTEXT(E22)),"",(1/E22)*Vaccine_Selection!K29)</f>
        <v/>
      </c>
      <c r="M22" s="512" t="str">
        <f>IF(Vaccine_Selection!M29="","",Vaccine_Selection!M29)</f>
        <v/>
      </c>
      <c r="N22" s="512" t="str">
        <f>IF(Vaccine_Selection!N29="","",Vaccine_Selection!N29)</f>
        <v/>
      </c>
      <c r="O22" s="512" t="str">
        <f>IF(Vaccine_Selection!O29="","",Vaccine_Selection!O29)</f>
        <v/>
      </c>
      <c r="P22" s="512" t="str">
        <f>IF(Vaccine_Selection!P29="","",Vaccine_Selection!P29)</f>
        <v/>
      </c>
      <c r="Q22" s="512" t="str">
        <f>IF(Vaccine_Selection!Q29="","",Vaccine_Selection!Q29)</f>
        <v/>
      </c>
      <c r="R22" s="511"/>
      <c r="S22" s="512" t="str">
        <f>IF(Vaccine_Selection!S29="","",Vaccine_Selection!S29)</f>
        <v/>
      </c>
      <c r="T22" s="512" t="str">
        <f>IF(Vaccine_Selection!T29="","",Vaccine_Selection!T29)</f>
        <v/>
      </c>
      <c r="U22" s="512" t="str">
        <f>IF(Vaccine_Selection!U29="","",Vaccine_Selection!U29)</f>
        <v/>
      </c>
    </row>
    <row r="23" spans="2:22" s="18" customFormat="1" ht="12" hidden="1">
      <c r="B23" s="19" t="str">
        <f>Volume_Inject!B26</f>
        <v/>
      </c>
      <c r="C23" s="19" t="str">
        <f>Volume_Inject!C26</f>
        <v/>
      </c>
      <c r="D23" s="19" t="str">
        <f>Volume_Inject!D26</f>
        <v/>
      </c>
      <c r="E23" s="20">
        <f>Volume_Inject!E26</f>
        <v>0</v>
      </c>
      <c r="F23" s="21">
        <f>Volume_Inject!F26</f>
        <v>0</v>
      </c>
      <c r="G23" s="21">
        <f>Volume_Inject!G26</f>
        <v>0</v>
      </c>
      <c r="I23" s="119" t="str">
        <f>IF(B23="","",IF(C23="liquid",IF(ISTEXT(E23),IF(OR(D23="Oral",D23="Nasal"),Vaccine_Selection!K30,""),Vaccine_Selection!K30/E23),IF(ISTEXT(E23),1,2/E23)*Vaccine_Selection!K30))</f>
        <v/>
      </c>
      <c r="J23" s="120" t="str">
        <f t="shared" si="0"/>
        <v/>
      </c>
      <c r="K23" s="119" t="str">
        <f>IF(OR(B23="",C23="liquid",D23="Oral",D23="Nasal",ISTEXT(E23)),"",(1/E23)*Vaccine_Selection!K30)</f>
        <v/>
      </c>
      <c r="M23" s="512" t="str">
        <f>IF(Vaccine_Selection!M30="","",Vaccine_Selection!M30)</f>
        <v/>
      </c>
      <c r="N23" s="512" t="str">
        <f>IF(Vaccine_Selection!N30="","",Vaccine_Selection!N30)</f>
        <v/>
      </c>
      <c r="O23" s="512" t="str">
        <f>IF(Vaccine_Selection!O30="","",Vaccine_Selection!O30)</f>
        <v/>
      </c>
      <c r="P23" s="512" t="str">
        <f>IF(Vaccine_Selection!P30="","",Vaccine_Selection!P30)</f>
        <v/>
      </c>
      <c r="Q23" s="512" t="str">
        <f>IF(Vaccine_Selection!Q30="","",Vaccine_Selection!Q30)</f>
        <v/>
      </c>
      <c r="R23" s="511"/>
      <c r="S23" s="512" t="str">
        <f>IF(Vaccine_Selection!S30="","",Vaccine_Selection!S30)</f>
        <v/>
      </c>
      <c r="T23" s="512" t="str">
        <f>IF(Vaccine_Selection!T30="","",Vaccine_Selection!T30)</f>
        <v/>
      </c>
      <c r="U23" s="512" t="str">
        <f>IF(Vaccine_Selection!U30="","",Vaccine_Selection!U30)</f>
        <v/>
      </c>
    </row>
    <row r="24" spans="2:22" s="18" customFormat="1" ht="12" hidden="1">
      <c r="B24" s="19" t="str">
        <f>Volume_Inject!B27</f>
        <v/>
      </c>
      <c r="C24" s="19" t="str">
        <f>Volume_Inject!C27</f>
        <v/>
      </c>
      <c r="D24" s="19" t="str">
        <f>Volume_Inject!D27</f>
        <v/>
      </c>
      <c r="E24" s="20">
        <f>Volume_Inject!E27</f>
        <v>0</v>
      </c>
      <c r="F24" s="21">
        <f>Volume_Inject!F27</f>
        <v>0</v>
      </c>
      <c r="G24" s="21">
        <f>Volume_Inject!G27</f>
        <v>0</v>
      </c>
      <c r="I24" s="119" t="str">
        <f>IF(B24="","",IF(C24="liquid",IF(ISTEXT(E24),IF(OR(D24="Oral",D24="Nasal"),Vaccine_Selection!K31,""),Vaccine_Selection!K31/E24),IF(ISTEXT(E24),1,2/E24)*Vaccine_Selection!K31))</f>
        <v/>
      </c>
      <c r="J24" s="120" t="str">
        <f t="shared" si="0"/>
        <v/>
      </c>
      <c r="K24" s="119" t="str">
        <f>IF(OR(B24="",C24="liquid",D24="Oral",D24="Nasal",ISTEXT(E24)),"",(1/E24)*Vaccine_Selection!K31)</f>
        <v/>
      </c>
      <c r="M24" s="512" t="str">
        <f>IF(Vaccine_Selection!M31="","",Vaccine_Selection!M31)</f>
        <v/>
      </c>
      <c r="N24" s="512" t="str">
        <f>IF(Vaccine_Selection!N31="","",Vaccine_Selection!N31)</f>
        <v/>
      </c>
      <c r="O24" s="512" t="str">
        <f>IF(Vaccine_Selection!O31="","",Vaccine_Selection!O31)</f>
        <v/>
      </c>
      <c r="P24" s="512" t="str">
        <f>IF(Vaccine_Selection!P31="","",Vaccine_Selection!P31)</f>
        <v/>
      </c>
      <c r="Q24" s="512" t="str">
        <f>IF(Vaccine_Selection!Q31="","",Vaccine_Selection!Q31)</f>
        <v/>
      </c>
      <c r="R24" s="511"/>
      <c r="S24" s="512" t="str">
        <f>IF(Vaccine_Selection!S31="","",Vaccine_Selection!S31)</f>
        <v/>
      </c>
      <c r="T24" s="512" t="str">
        <f>IF(Vaccine_Selection!T31="","",Vaccine_Selection!T31)</f>
        <v/>
      </c>
      <c r="U24" s="512" t="str">
        <f>IF(Vaccine_Selection!U31="","",Vaccine_Selection!U31)</f>
        <v/>
      </c>
    </row>
    <row r="25" spans="2:22" s="18" customFormat="1" ht="12" hidden="1">
      <c r="B25" s="19" t="str">
        <f>Volume_Inject!B28</f>
        <v/>
      </c>
      <c r="C25" s="19" t="str">
        <f>Volume_Inject!C28</f>
        <v/>
      </c>
      <c r="D25" s="19" t="str">
        <f>Volume_Inject!D28</f>
        <v/>
      </c>
      <c r="E25" s="20">
        <f>Volume_Inject!E28</f>
        <v>0</v>
      </c>
      <c r="F25" s="21">
        <f>Volume_Inject!F28</f>
        <v>0</v>
      </c>
      <c r="G25" s="21">
        <f>Volume_Inject!G28</f>
        <v>0</v>
      </c>
      <c r="I25" s="119" t="str">
        <f>IF(B25="","",IF(C25="liquid",IF(ISTEXT(E25),IF(OR(D25="Oral",D25="Nasal"),Vaccine_Selection!K32,""),Vaccine_Selection!K32/E25),IF(ISTEXT(E25),1,2/E25)*Vaccine_Selection!K32))</f>
        <v/>
      </c>
      <c r="J25" s="120" t="str">
        <f t="shared" si="0"/>
        <v/>
      </c>
      <c r="K25" s="119" t="str">
        <f>IF(OR(B25="",C25="liquid",D25="Oral",D25="Nasal",ISTEXT(E25)),"",(1/E25)*Vaccine_Selection!K32)</f>
        <v/>
      </c>
      <c r="M25" s="512" t="str">
        <f>IF(Vaccine_Selection!M32="","",Vaccine_Selection!M32)</f>
        <v/>
      </c>
      <c r="N25" s="512" t="str">
        <f>IF(Vaccine_Selection!N32="","",Vaccine_Selection!N32)</f>
        <v/>
      </c>
      <c r="O25" s="512" t="str">
        <f>IF(Vaccine_Selection!O32="","",Vaccine_Selection!O32)</f>
        <v/>
      </c>
      <c r="P25" s="512" t="str">
        <f>IF(Vaccine_Selection!P32="","",Vaccine_Selection!P32)</f>
        <v/>
      </c>
      <c r="Q25" s="512" t="str">
        <f>IF(Vaccine_Selection!Q32="","",Vaccine_Selection!Q32)</f>
        <v/>
      </c>
      <c r="R25" s="511"/>
      <c r="S25" s="512" t="str">
        <f>IF(Vaccine_Selection!S32="","",Vaccine_Selection!S32)</f>
        <v/>
      </c>
      <c r="T25" s="512" t="str">
        <f>IF(Vaccine_Selection!T32="","",Vaccine_Selection!T32)</f>
        <v/>
      </c>
      <c r="U25" s="512" t="str">
        <f>IF(Vaccine_Selection!U32="","",Vaccine_Selection!U32)</f>
        <v/>
      </c>
    </row>
    <row r="26" spans="2:22" s="18" customFormat="1" ht="12" hidden="1">
      <c r="B26" s="19" t="str">
        <f>Volume_Inject!B29</f>
        <v/>
      </c>
      <c r="C26" s="19" t="str">
        <f>Volume_Inject!C29</f>
        <v/>
      </c>
      <c r="D26" s="19" t="str">
        <f>Volume_Inject!D29</f>
        <v/>
      </c>
      <c r="E26" s="20">
        <f>Volume_Inject!E29</f>
        <v>0</v>
      </c>
      <c r="F26" s="21">
        <f>Volume_Inject!F29</f>
        <v>0</v>
      </c>
      <c r="G26" s="21">
        <f>Volume_Inject!G29</f>
        <v>0</v>
      </c>
      <c r="I26" s="119" t="str">
        <f>IF(B26="","",IF(C26="liquid",IF(ISTEXT(E26),IF(OR(D26="Oral",D26="Nasal"),Vaccine_Selection!K33,""),Vaccine_Selection!K33/E26),IF(ISTEXT(E26),1,2/E26)*Vaccine_Selection!K33))</f>
        <v/>
      </c>
      <c r="J26" s="120" t="str">
        <f t="shared" si="0"/>
        <v/>
      </c>
      <c r="K26" s="119" t="str">
        <f>IF(OR(B26="",C26="liquid",D26="Oral",D26="Nasal",ISTEXT(E26)),"",(1/E26)*Vaccine_Selection!K33)</f>
        <v/>
      </c>
      <c r="M26" s="512" t="str">
        <f>IF(Vaccine_Selection!M33="","",Vaccine_Selection!M33)</f>
        <v/>
      </c>
      <c r="N26" s="512" t="str">
        <f>IF(Vaccine_Selection!N33="","",Vaccine_Selection!N33)</f>
        <v/>
      </c>
      <c r="O26" s="512" t="str">
        <f>IF(Vaccine_Selection!O33="","",Vaccine_Selection!O33)</f>
        <v/>
      </c>
      <c r="P26" s="512" t="str">
        <f>IF(Vaccine_Selection!P33="","",Vaccine_Selection!P33)</f>
        <v/>
      </c>
      <c r="Q26" s="512" t="str">
        <f>IF(Vaccine_Selection!Q33="","",Vaccine_Selection!Q33)</f>
        <v/>
      </c>
      <c r="R26" s="511"/>
      <c r="S26" s="512" t="str">
        <f>IF(Vaccine_Selection!S33="","",Vaccine_Selection!S33)</f>
        <v/>
      </c>
      <c r="T26" s="512" t="str">
        <f>IF(Vaccine_Selection!T33="","",Vaccine_Selection!T33)</f>
        <v/>
      </c>
      <c r="U26" s="512" t="str">
        <f>IF(Vaccine_Selection!U33="","",Vaccine_Selection!U33)</f>
        <v/>
      </c>
    </row>
    <row r="27" spans="2:22" s="18" customFormat="1" ht="12" hidden="1">
      <c r="B27" s="19" t="str">
        <f>Volume_Inject!B30</f>
        <v/>
      </c>
      <c r="C27" s="19" t="str">
        <f>Volume_Inject!C30</f>
        <v/>
      </c>
      <c r="D27" s="19" t="str">
        <f>Volume_Inject!D30</f>
        <v/>
      </c>
      <c r="E27" s="20">
        <f>Volume_Inject!E30</f>
        <v>0</v>
      </c>
      <c r="F27" s="21">
        <f>Volume_Inject!F30</f>
        <v>0</v>
      </c>
      <c r="G27" s="21">
        <f>Volume_Inject!G30</f>
        <v>0</v>
      </c>
      <c r="I27" s="119" t="str">
        <f>IF(B27="","",IF(C27="liquid",IF(ISTEXT(E27),IF(OR(D27="Oral",D27="Nasal"),Vaccine_Selection!K34,""),Vaccine_Selection!K34/E27),IF(ISTEXT(E27),1,2/E27)*Vaccine_Selection!K34))</f>
        <v/>
      </c>
      <c r="J27" s="120" t="str">
        <f t="shared" si="0"/>
        <v/>
      </c>
      <c r="K27" s="119" t="str">
        <f>IF(OR(B27="",C27="liquid",D27="Oral",D27="Nasal",ISTEXT(E27)),"",(1/E27)*Vaccine_Selection!K34)</f>
        <v/>
      </c>
      <c r="M27" s="512" t="str">
        <f>IF(Vaccine_Selection!M34="","",Vaccine_Selection!M34)</f>
        <v/>
      </c>
      <c r="N27" s="512" t="str">
        <f>IF(Vaccine_Selection!N34="","",Vaccine_Selection!N34)</f>
        <v/>
      </c>
      <c r="O27" s="512" t="str">
        <f>IF(Vaccine_Selection!O34="","",Vaccine_Selection!O34)</f>
        <v/>
      </c>
      <c r="P27" s="512" t="str">
        <f>IF(Vaccine_Selection!P34="","",Vaccine_Selection!P34)</f>
        <v/>
      </c>
      <c r="Q27" s="512" t="str">
        <f>IF(Vaccine_Selection!Q34="","",Vaccine_Selection!Q34)</f>
        <v/>
      </c>
      <c r="R27" s="511"/>
      <c r="S27" s="512" t="str">
        <f>IF(Vaccine_Selection!S34="","",Vaccine_Selection!S34)</f>
        <v/>
      </c>
      <c r="T27" s="512" t="str">
        <f>IF(Vaccine_Selection!T34="","",Vaccine_Selection!T34)</f>
        <v/>
      </c>
      <c r="U27" s="512" t="str">
        <f>IF(Vaccine_Selection!U34="","",Vaccine_Selection!U34)</f>
        <v/>
      </c>
    </row>
    <row r="28" spans="2:22" s="18" customFormat="1" ht="12" hidden="1">
      <c r="B28" s="19" t="str">
        <f>Volume_Inject!B31</f>
        <v/>
      </c>
      <c r="C28" s="19" t="str">
        <f>Volume_Inject!C31</f>
        <v/>
      </c>
      <c r="D28" s="19" t="str">
        <f>Volume_Inject!D31</f>
        <v/>
      </c>
      <c r="E28" s="20">
        <f>Volume_Inject!E31</f>
        <v>0</v>
      </c>
      <c r="F28" s="21">
        <f>Volume_Inject!F31</f>
        <v>0</v>
      </c>
      <c r="G28" s="21">
        <f>Volume_Inject!G31</f>
        <v>0</v>
      </c>
      <c r="I28" s="119" t="str">
        <f>IF(B28="","",IF(C28="liquid",IF(ISTEXT(E28),IF(OR(D28="Oral",D28="Nasal"),Vaccine_Selection!K35,""),Vaccine_Selection!K35/E28),IF(ISTEXT(E28),1,2/E28)*Vaccine_Selection!K35))</f>
        <v/>
      </c>
      <c r="J28" s="120" t="str">
        <f t="shared" si="0"/>
        <v/>
      </c>
      <c r="K28" s="119" t="str">
        <f>IF(OR(B28="",C28="liquid",D28="Oral",D28="Nasal",ISTEXT(E28)),"",(1/E28)*Vaccine_Selection!K35)</f>
        <v/>
      </c>
      <c r="M28" s="512" t="str">
        <f>IF(Vaccine_Selection!M35="","",Vaccine_Selection!M35)</f>
        <v/>
      </c>
      <c r="N28" s="512" t="str">
        <f>IF(Vaccine_Selection!N35="","",Vaccine_Selection!N35)</f>
        <v/>
      </c>
      <c r="O28" s="512" t="str">
        <f>IF(Vaccine_Selection!O35="","",Vaccine_Selection!O35)</f>
        <v/>
      </c>
      <c r="P28" s="512" t="str">
        <f>IF(Vaccine_Selection!P35="","",Vaccine_Selection!P35)</f>
        <v/>
      </c>
      <c r="Q28" s="512" t="str">
        <f>IF(Vaccine_Selection!Q35="","",Vaccine_Selection!Q35)</f>
        <v/>
      </c>
      <c r="R28" s="511"/>
      <c r="S28" s="512" t="str">
        <f>IF(Vaccine_Selection!S35="","",Vaccine_Selection!S35)</f>
        <v/>
      </c>
      <c r="T28" s="512" t="str">
        <f>IF(Vaccine_Selection!T35="","",Vaccine_Selection!T35)</f>
        <v/>
      </c>
      <c r="U28" s="512" t="str">
        <f>IF(Vaccine_Selection!U35="","",Vaccine_Selection!U35)</f>
        <v/>
      </c>
    </row>
    <row r="29" spans="2:22" s="18" customFormat="1" ht="12" hidden="1">
      <c r="B29" s="19" t="str">
        <f>Volume_Inject!B32</f>
        <v/>
      </c>
      <c r="C29" s="19" t="str">
        <f>Volume_Inject!C32</f>
        <v/>
      </c>
      <c r="D29" s="19" t="str">
        <f>Volume_Inject!D32</f>
        <v/>
      </c>
      <c r="E29" s="20">
        <f>Volume_Inject!E32</f>
        <v>0</v>
      </c>
      <c r="F29" s="21">
        <f>Volume_Inject!F32</f>
        <v>0</v>
      </c>
      <c r="G29" s="21">
        <f>Volume_Inject!G32</f>
        <v>0</v>
      </c>
      <c r="I29" s="119" t="str">
        <f>IF(B29="","",IF(C29="liquid",IF(ISTEXT(E29),IF(OR(D29="Oral",D29="Nasal"),Vaccine_Selection!K36,""),Vaccine_Selection!K36/E29),IF(ISTEXT(E29),1,2/E29)*Vaccine_Selection!K36))</f>
        <v/>
      </c>
      <c r="J29" s="120" t="str">
        <f t="shared" si="0"/>
        <v/>
      </c>
      <c r="K29" s="119" t="str">
        <f>IF(OR(B29="",C29="liquid",D29="Oral",D29="Nasal",ISTEXT(E29)),"",(1/E29)*Vaccine_Selection!K36)</f>
        <v/>
      </c>
      <c r="M29" s="512" t="str">
        <f>IF(Vaccine_Selection!M36="","",Vaccine_Selection!M36)</f>
        <v/>
      </c>
      <c r="N29" s="512" t="str">
        <f>IF(Vaccine_Selection!N36="","",Vaccine_Selection!N36)</f>
        <v/>
      </c>
      <c r="O29" s="512" t="str">
        <f>IF(Vaccine_Selection!O36="","",Vaccine_Selection!O36)</f>
        <v/>
      </c>
      <c r="P29" s="512" t="str">
        <f>IF(Vaccine_Selection!P36="","",Vaccine_Selection!P36)</f>
        <v/>
      </c>
      <c r="Q29" s="512" t="str">
        <f>IF(Vaccine_Selection!Q36="","",Vaccine_Selection!Q36)</f>
        <v/>
      </c>
      <c r="R29" s="511"/>
      <c r="S29" s="512" t="str">
        <f>IF(Vaccine_Selection!S36="","",Vaccine_Selection!S36)</f>
        <v/>
      </c>
      <c r="T29" s="512" t="str">
        <f>IF(Vaccine_Selection!T36="","",Vaccine_Selection!T36)</f>
        <v/>
      </c>
      <c r="U29" s="512" t="str">
        <f>IF(Vaccine_Selection!U36="","",Vaccine_Selection!U36)</f>
        <v/>
      </c>
    </row>
    <row r="30" spans="2:22" s="36" customFormat="1" ht="6" customHeight="1">
      <c r="B30" s="42"/>
      <c r="C30" s="42"/>
      <c r="D30" s="42"/>
      <c r="E30" s="42"/>
      <c r="F30" s="42"/>
      <c r="G30" s="42"/>
      <c r="H30" s="42"/>
      <c r="I30" s="42"/>
      <c r="J30" s="42"/>
      <c r="K30" s="42"/>
      <c r="L30" s="42"/>
      <c r="M30" s="42"/>
      <c r="N30" s="42"/>
      <c r="O30" s="42"/>
      <c r="P30" s="42"/>
      <c r="Q30" s="42"/>
      <c r="R30" s="41"/>
      <c r="S30" s="42"/>
      <c r="T30" s="42"/>
      <c r="U30" s="42"/>
      <c r="V30" s="42"/>
    </row>
    <row r="31" spans="2:22" s="36" customFormat="1" ht="14.4">
      <c r="B31" s="32"/>
      <c r="C31" s="32"/>
      <c r="D31" s="32"/>
      <c r="F31" s="32"/>
      <c r="G31" s="32"/>
      <c r="H31" s="32"/>
      <c r="I31" s="32"/>
      <c r="J31" s="32"/>
      <c r="K31" s="516" t="str">
        <f>CONCATENATE(Translation!C195," ",Vaccine_Selection!$E$8)</f>
        <v xml:space="preserve">Nbr. of empty vials, units/  Unit of Population </v>
      </c>
      <c r="L31" s="32"/>
      <c r="M31" s="27">
        <f>IF(Vaccine_Selection!$E$8=target1,SUMPRODUCT($I$10:$I$29,M$10:M$29),SUMPRODUCT(Vaccine_Selection!$L$17:$L$36,$I$10:$I$29,M$10:M$29))</f>
        <v>4.0866666666666669E-2</v>
      </c>
      <c r="N31" s="27">
        <f>IF(Vaccine_Selection!$E$8=target1,SUMPRODUCT($I$10:$I$29,N$10:N$29),SUMPRODUCT(Vaccine_Selection!$L$17:$L$36,$I$10:$I$29,N$10:N$29))</f>
        <v>9.3266666666666664E-2</v>
      </c>
      <c r="O31" s="27">
        <f>IF(Vaccine_Selection!$E$8=target1,SUMPRODUCT($I$10:$I$29,O$10:O$29),SUMPRODUCT(Vaccine_Selection!$L$17:$L$36,$I$10:$I$29,O$10:O$29))</f>
        <v>3.3266666666666667E-2</v>
      </c>
      <c r="P31" s="27">
        <f>IF(Vaccine_Selection!$E$8=target1,SUMPRODUCT($I$10:$I$29,P$10:P$29),SUMPRODUCT(Vaccine_Selection!$L$17:$L$36,$I$10:$I$29,P$10:P$29))</f>
        <v>0</v>
      </c>
      <c r="Q31" s="27">
        <f>IF(Vaccine_Selection!$E$8=target1,SUMPRODUCT($I$10:$I$29,Q$10:Q$29),SUMPRODUCT(Vaccine_Selection!$L$17:$L$36,$I$10:$I$29,Q$10:Q$29))</f>
        <v>0</v>
      </c>
      <c r="R31" s="556" t="str">
        <f>Translation!C202</f>
        <v>Nbr. of empty vials generated per recipient</v>
      </c>
      <c r="S31" s="27">
        <f>SUMPRODUCT($I$10:$I$29,S$10:S$29)</f>
        <v>1.0526315789473684</v>
      </c>
      <c r="T31" s="27">
        <f>SUMPRODUCT($I$10:$I$29,T$10:T$29)</f>
        <v>0</v>
      </c>
      <c r="U31" s="91">
        <f>SUMPRODUCT($I$10:$I$29,U$10:U$29)</f>
        <v>0</v>
      </c>
    </row>
    <row r="32" spans="2:22" s="36" customFormat="1" ht="14.4">
      <c r="B32" s="31"/>
      <c r="C32" s="31"/>
      <c r="D32" s="31"/>
      <c r="F32" s="31"/>
      <c r="G32" s="31"/>
      <c r="H32" s="31"/>
      <c r="I32" s="31"/>
      <c r="J32" s="31"/>
      <c r="K32" s="516" t="str">
        <f>CONCATENATE(Translation!C196," ",Vaccine_Selection!$E$8)</f>
        <v xml:space="preserve">Nbr. of used dilution syringes generated, units/ Unit of Population </v>
      </c>
      <c r="L32" s="43"/>
      <c r="M32" s="29">
        <f>IF(Vaccine_Selection!$E$8=target1,SUMPRODUCT($K$10:$K$29,M$10:M$29),SUMPRODUCT(Vaccine_Selection!$L$17:$L$36,$K$10:$K$29,M$10:M$29))</f>
        <v>8.8999999999999999E-3</v>
      </c>
      <c r="N32" s="29">
        <f>IF(Vaccine_Selection!$E$8=target1,SUMPRODUCT($K$10:$K$29,N$10:N$29),SUMPRODUCT(Vaccine_Selection!$L$17:$L$36,$K$10:$K$29,N$10:N$29))</f>
        <v>8.8999999999999999E-3</v>
      </c>
      <c r="O32" s="29">
        <f>IF(Vaccine_Selection!$E$8=target1,SUMPRODUCT($K$10:$K$29,O$10:O$29),SUMPRODUCT(Vaccine_Selection!$L$17:$L$36,$K$10:$K$29,O$10:O$29))</f>
        <v>8.8999999999999999E-3</v>
      </c>
      <c r="P32" s="29">
        <f>IF(Vaccine_Selection!$E$8=target1,SUMPRODUCT($K$10:$K$29,P$10:P$29),SUMPRODUCT(Vaccine_Selection!$L$17:$L$36,$K$10:$K$29,P$10:P$29))</f>
        <v>0</v>
      </c>
      <c r="Q32" s="29">
        <f>IF(Vaccine_Selection!$E$8=target1,SUMPRODUCT($K$10:$K$29,Q$10:Q$29),SUMPRODUCT(Vaccine_Selection!$L$17:$L$36,$K$10:$K$29,Q$10:Q$29))</f>
        <v>0</v>
      </c>
      <c r="R32" s="556" t="str">
        <f>Translation!C203</f>
        <v>Nbr. of dilution syringes generated per recipient</v>
      </c>
      <c r="S32" s="29">
        <f>SUMPRODUCT($K$10:$K$29,S$10:S$29)</f>
        <v>0</v>
      </c>
      <c r="T32" s="29">
        <f>SUMPRODUCT($K$10:$K$29,T$10:T$29)</f>
        <v>0</v>
      </c>
      <c r="U32" s="92">
        <f>SUMPRODUCT($K$10:$K$29,U$10:U$29)</f>
        <v>0</v>
      </c>
    </row>
    <row r="33" spans="2:21" s="36" customFormat="1" ht="14.4">
      <c r="B33" s="31"/>
      <c r="C33" s="31"/>
      <c r="D33" s="31"/>
      <c r="F33" s="31"/>
      <c r="G33" s="31"/>
      <c r="H33" s="31"/>
      <c r="I33" s="31"/>
      <c r="J33" s="31"/>
      <c r="K33" s="516" t="str">
        <f>CONCATENATE(Translation!C197," ",Vaccine_Selection!$E$8)</f>
        <v xml:space="preserve">Total nbr. of used syringes generated, units/ Unit of Population </v>
      </c>
      <c r="L33" s="43"/>
      <c r="M33" s="29">
        <f>IF(Vaccine_Selection!$E$8=target1,SUMPRODUCT($J$10:$J$29,M$10:M$29),SUMPRODUCT(Vaccine_Selection!$L$17:$L$36,$J$10:$J$29,M$10:M$29))*1.05+M32</f>
        <v>0.18446000000000001</v>
      </c>
      <c r="N33" s="29">
        <f>IF(Vaccine_Selection!$E$8=target1,SUMPRODUCT($J$10:$J$29,N$10:N$29),SUMPRODUCT(Vaccine_Selection!$L$17:$L$36,$J$10:$J$29,N$10:N$29))*1.05+N32</f>
        <v>0.18446000000000001</v>
      </c>
      <c r="O33" s="29">
        <f>IF(Vaccine_Selection!$E$8=target1,SUMPRODUCT($J$10:$J$29,O$10:O$29),SUMPRODUCT(Vaccine_Selection!$L$17:$L$36,$J$10:$J$29,O$10:O$29))*1.05+O32</f>
        <v>0.18446000000000001</v>
      </c>
      <c r="P33" s="29">
        <f>IF(Vaccine_Selection!$E$8=target1,SUMPRODUCT($J$10:$J$29,P$10:P$29),SUMPRODUCT(Vaccine_Selection!$L$17:$L$36,$J$10:$J$29,P$10:P$29))*1.05+P32</f>
        <v>0</v>
      </c>
      <c r="Q33" s="29">
        <f>IF(Vaccine_Selection!$E$8=target1,SUMPRODUCT($J$10:$J$29,Q$10:Q$29),SUMPRODUCT(Vaccine_Selection!$L$17:$L$36,$J$10:$J$29,Q$10:Q$29))*1.05+Q32</f>
        <v>0</v>
      </c>
      <c r="R33" s="556" t="str">
        <f>Translation!C204</f>
        <v>Total nbr. of syringes generated per recipient</v>
      </c>
      <c r="S33" s="29">
        <f>SUMPRODUCT($J$10:$J$29,S$10:S$29)*1.05+S32</f>
        <v>0</v>
      </c>
      <c r="T33" s="29">
        <f>SUMPRODUCT($J$10:$J$29,T$10:T$29)*1.05+T32</f>
        <v>0</v>
      </c>
      <c r="U33" s="92">
        <f>SUMPRODUCT($J$10:$J$29,U$10:U$29)*1.05+U32</f>
        <v>0</v>
      </c>
    </row>
    <row r="34" spans="2:21" s="36" customFormat="1" ht="14.4">
      <c r="B34" s="31"/>
      <c r="C34" s="31"/>
      <c r="D34" s="31"/>
      <c r="F34" s="31"/>
      <c r="G34" s="31"/>
      <c r="H34" s="31"/>
      <c r="I34" s="31"/>
      <c r="J34" s="31"/>
      <c r="K34" s="516" t="str">
        <f>CONCATENATE(Translation!C198," ",Vaccine_Selection!$E$8)</f>
        <v xml:space="preserve">Nbr. of injections, units/ Unit of Population </v>
      </c>
      <c r="L34" s="43"/>
      <c r="M34" s="30">
        <f>IF(Vaccine_Selection!$E$8=target1,SUMPRODUCT($J$10:$J$29,M$10:M$29),SUMPRODUCT(Vaccine_Selection!$L$17:$L$36,$J$10:$J$29,M$10:M$29))</f>
        <v>0.16720000000000002</v>
      </c>
      <c r="N34" s="30">
        <f>IF(Vaccine_Selection!$E$8=target1,SUMPRODUCT($J$10:$J$29,N$10:N$29),SUMPRODUCT(Vaccine_Selection!$L$17:$L$36,$J$10:$J$29,N$10:N$29))</f>
        <v>0.16720000000000002</v>
      </c>
      <c r="O34" s="30">
        <f>IF(Vaccine_Selection!$E$8=target1,SUMPRODUCT($J$10:$J$29,O$10:O$29),SUMPRODUCT(Vaccine_Selection!$L$17:$L$36,$J$10:$J$29,O$10:O$29))</f>
        <v>0.16720000000000002</v>
      </c>
      <c r="P34" s="30">
        <f>IF(Vaccine_Selection!$E$8=target1,SUMPRODUCT($J$10:$J$29,P$10:P$29),SUMPRODUCT(Vaccine_Selection!$L$17:$L$36,$J$10:$J$29,P$10:P$29))</f>
        <v>0</v>
      </c>
      <c r="Q34" s="30">
        <f>IF(Vaccine_Selection!$E$8=target1,SUMPRODUCT($J$10:$J$29,Q$10:Q$29),SUMPRODUCT(Vaccine_Selection!$L$17:$L$36,$J$10:$J$29,Q$10:Q$29))</f>
        <v>0</v>
      </c>
      <c r="R34" s="556" t="str">
        <f>Translation!C205</f>
        <v>Nbr. of injections per recipient</v>
      </c>
      <c r="S34" s="30">
        <f>SUMPRODUCT($J$10:$J$29,S$10:S$29)</f>
        <v>0</v>
      </c>
      <c r="T34" s="30">
        <f>SUMPRODUCT($J$10:$J$29,T$10:T$29)</f>
        <v>0</v>
      </c>
      <c r="U34" s="93">
        <f>SUMPRODUCT($J$10:$J$29,U$10:U$29)</f>
        <v>0</v>
      </c>
    </row>
    <row r="35" spans="2:21" ht="7.5" customHeight="1">
      <c r="B35" s="31"/>
      <c r="C35" s="31"/>
      <c r="D35" s="31"/>
      <c r="F35" s="31"/>
      <c r="G35" s="31"/>
      <c r="H35" s="31"/>
      <c r="I35" s="31"/>
      <c r="J35" s="31"/>
      <c r="K35" s="31"/>
      <c r="L35" s="34"/>
      <c r="M35" s="35"/>
      <c r="N35" s="32"/>
      <c r="O35" s="36"/>
      <c r="R35" s="41"/>
      <c r="S35" s="17"/>
      <c r="T35" s="17"/>
      <c r="U35" s="17"/>
    </row>
    <row r="36" spans="2:21" ht="13.8">
      <c r="F36" s="37"/>
      <c r="G36" s="37"/>
      <c r="H36" s="37"/>
      <c r="I36" s="37"/>
      <c r="J36" s="37"/>
      <c r="K36" s="500" t="str">
        <f>Translation!C199</f>
        <v>Increase in nbr.of vials compared to current schedule</v>
      </c>
      <c r="M36" s="52"/>
      <c r="N36" s="563">
        <f>IF(OR($M$31=0,N31=0),"",(N31-$M$31)/$M$31)</f>
        <v>1.2822185970636213</v>
      </c>
      <c r="O36" s="563">
        <f>IF(OR($M$31=0,O31=0),"",(O31-$M$31)/$M$31)</f>
        <v>-0.18597063621533447</v>
      </c>
      <c r="P36" s="563" t="str">
        <f>IF(OR($M$31=0,P31=0),"",(P31-$M$31)/$M$31)</f>
        <v/>
      </c>
      <c r="Q36" s="563" t="str">
        <f>IF(OR($M$31=0,Q31=0),"",(Q31-$M$31)/$M$31)</f>
        <v/>
      </c>
      <c r="R36" s="41"/>
      <c r="S36" s="52"/>
      <c r="T36" s="121" t="str">
        <f>IF(OR($S$31=0,T31=0),"",(T31-$S$31)/$S$31)</f>
        <v/>
      </c>
      <c r="U36" s="121" t="str">
        <f>IF(OR($S$31=0,U31=0),"",(U31-$S$31)/$S$31)</f>
        <v/>
      </c>
    </row>
    <row r="37" spans="2:21" ht="13.8">
      <c r="F37" s="37"/>
      <c r="G37" s="37"/>
      <c r="H37" s="37"/>
      <c r="I37" s="37"/>
      <c r="J37" s="37"/>
      <c r="K37" s="500" t="str">
        <f>Translation!C200</f>
        <v>Increase in nbr. of syringes compared to current schedule</v>
      </c>
      <c r="M37" s="78"/>
      <c r="N37" s="564">
        <f>IF(OR($M$33=0,N33=0),"",(N33-$M$33)/$M$33)</f>
        <v>0</v>
      </c>
      <c r="O37" s="564">
        <f>IF(OR($M$33=0,O33=0),"",(O33-$M$33)/$M$33)</f>
        <v>0</v>
      </c>
      <c r="P37" s="564" t="str">
        <f>IF(OR($M$33=0,P33=0),"",(P33-$M$33)/$M$33)</f>
        <v/>
      </c>
      <c r="Q37" s="564" t="str">
        <f>IF(OR($M$33=0,Q33=0),"",(Q33-$M$33)/$M$33)</f>
        <v/>
      </c>
      <c r="R37" s="41"/>
      <c r="S37" s="582"/>
      <c r="T37" s="122" t="str">
        <f>IF(OR($S$33=0,T33=0),"",(T33-$S$33)/$S$33)</f>
        <v/>
      </c>
      <c r="U37" s="122" t="str">
        <f>IF(OR($S$33=0,U33=0),"",(U33-$S$33)/$S$33)</f>
        <v/>
      </c>
    </row>
    <row r="38" spans="2:21" ht="13.8">
      <c r="F38" s="37"/>
      <c r="G38" s="37"/>
      <c r="H38" s="37"/>
      <c r="I38" s="37"/>
      <c r="J38" s="37"/>
      <c r="K38" s="500" t="str">
        <f>Translation!C201</f>
        <v>Increase in nbr. of injections compared to current schedule</v>
      </c>
      <c r="M38" s="38"/>
      <c r="N38" s="125">
        <f>IF(OR($M$34=0,N34=0),"",(N34-$M$34)/$M$34)</f>
        <v>0</v>
      </c>
      <c r="O38" s="125">
        <f>IF(OR($M$34=0,O34=0),"",(O34-$M$34)/$M$34)</f>
        <v>0</v>
      </c>
      <c r="P38" s="125" t="str">
        <f>IF(OR($M$34=0,P34=0),"",(P34-$M$34)/$M$34)</f>
        <v/>
      </c>
      <c r="Q38" s="125" t="str">
        <f>IF(OR($M$34=0,Q34=0),"",(Q34-$M$34)/$M$34)</f>
        <v/>
      </c>
      <c r="R38" s="41"/>
      <c r="S38" s="581"/>
      <c r="T38" s="123" t="str">
        <f>IF(OR($S$34=0,T34=0),"",(T34-$S$34)/$S$34)</f>
        <v/>
      </c>
      <c r="U38" s="123" t="str">
        <f>IF(OR($S$34=0,U34=0),"",(U34-$S$34)/$S$34)</f>
        <v/>
      </c>
    </row>
  </sheetData>
  <sheetProtection sheet="1" objects="1" scenarios="1"/>
  <phoneticPr fontId="0" type="noConversion"/>
  <conditionalFormatting sqref="M31:Q34">
    <cfRule type="cellIs" dxfId="32" priority="1" stopIfTrue="1" operator="equal">
      <formula>MAX($M31:$Q31)</formula>
    </cfRule>
    <cfRule type="cellIs" dxfId="31" priority="2" stopIfTrue="1" operator="equal">
      <formula>MIN($M31:$Q31)</formula>
    </cfRule>
  </conditionalFormatting>
  <conditionalFormatting sqref="S31:U34">
    <cfRule type="cellIs" dxfId="30" priority="3" stopIfTrue="1" operator="equal">
      <formula>MAX($S31:$U31)</formula>
    </cfRule>
  </conditionalFormatting>
  <conditionalFormatting sqref="M36 S36">
    <cfRule type="cellIs" dxfId="29" priority="4" stopIfTrue="1" operator="equal">
      <formula>MAX($M$36:$U$36)</formula>
    </cfRule>
    <cfRule type="cellIs" dxfId="28" priority="5" stopIfTrue="1" operator="equal">
      <formula>MIN($M$36:$U$36)</formula>
    </cfRule>
  </conditionalFormatting>
  <conditionalFormatting sqref="N36:Q38 T36:U38">
    <cfRule type="cellIs" dxfId="27" priority="6" stopIfTrue="1" operator="lessThan">
      <formula>0</formula>
    </cfRule>
  </conditionalFormatting>
  <conditionalFormatting sqref="I10:K29">
    <cfRule type="cellIs" dxfId="26" priority="7" stopIfTrue="1" operator="notBetween">
      <formula>0</formula>
      <formula>1000</formula>
    </cfRule>
  </conditionalFormatting>
  <conditionalFormatting sqref="E10:G29">
    <cfRule type="cellIs" dxfId="25" priority="8" stopIfTrue="1" operator="equal">
      <formula>0</formula>
    </cfRule>
  </conditionalFormatting>
  <conditionalFormatting sqref="B10:D29">
    <cfRule type="cellIs" dxfId="24" priority="9" stopIfTrue="1" operator="equal">
      <formula>""</formula>
    </cfRule>
  </conditionalFormatting>
  <hyperlinks>
    <hyperlink ref="U2" location="Index!B1" display="Index!B1" xr:uid="{00000000-0004-0000-0600-000000000000}"/>
  </hyperlinks>
  <printOptions horizontalCentered="1"/>
  <pageMargins left="0.33" right="0.17" top="0.32" bottom="0.41" header="0.17" footer="0.18"/>
  <pageSetup paperSize="9" orientation="landscape" r:id="rId1"/>
  <headerFooter alignWithMargins="0">
    <oddFooter>&amp;L&amp;8&amp;F, &amp;A, Rev.Jan10&amp;R&amp;8WHO/IVB/EPI Logistics docs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indexed="18"/>
  </sheetPr>
  <dimension ref="B1:V39"/>
  <sheetViews>
    <sheetView showGridLines="0" workbookViewId="0">
      <pane xSplit="1" ySplit="12" topLeftCell="B13" activePane="bottomRight" state="frozen"/>
      <selection activeCell="F29" sqref="B2:F29"/>
      <selection pane="topRight" activeCell="F29" sqref="B2:F29"/>
      <selection pane="bottomLeft" activeCell="F29" sqref="B2:F29"/>
      <selection pane="bottomRight" activeCell="F35" sqref="F35"/>
    </sheetView>
  </sheetViews>
  <sheetFormatPr defaultColWidth="8.77734375" defaultRowHeight="13.2"/>
  <cols>
    <col min="1" max="1" width="1.109375" customWidth="1"/>
    <col min="2" max="2" width="13.33203125" bestFit="1" customWidth="1"/>
    <col min="3" max="3" width="14.33203125" bestFit="1" customWidth="1"/>
    <col min="4" max="5" width="6.6640625" customWidth="1"/>
    <col min="6" max="7" width="10.6640625" customWidth="1"/>
    <col min="8" max="8" width="1.109375" customWidth="1"/>
    <col min="9" max="11" width="8.6640625" customWidth="1"/>
    <col min="12" max="12" width="1.109375" customWidth="1"/>
    <col min="13" max="17" width="6.6640625" customWidth="1"/>
    <col min="18" max="18" width="1.109375" customWidth="1"/>
    <col min="19" max="21" width="6.6640625" customWidth="1"/>
    <col min="22" max="22" width="1.109375" customWidth="1"/>
  </cols>
  <sheetData>
    <row r="1" spans="2:22" s="548" customFormat="1" ht="9" customHeight="1"/>
    <row r="2" spans="2:22" s="729" customFormat="1" ht="21">
      <c r="B2" s="711" t="str">
        <f>Translation!C76</f>
        <v>Cost of vaccines and safe injection equipment per recipient</v>
      </c>
      <c r="C2" s="711"/>
      <c r="D2" s="711"/>
      <c r="E2" s="711"/>
      <c r="F2" s="711"/>
      <c r="G2" s="711"/>
      <c r="H2" s="711"/>
      <c r="I2" s="711"/>
      <c r="J2" s="711"/>
      <c r="K2" s="711"/>
      <c r="L2" s="711"/>
      <c r="M2" s="711"/>
      <c r="N2" s="711"/>
      <c r="O2" s="730" t="str">
        <f>Translation!C77</f>
        <v>Optional data entry only</v>
      </c>
      <c r="P2" s="712"/>
      <c r="Q2" s="712"/>
      <c r="R2" s="712"/>
      <c r="S2" s="712"/>
      <c r="T2" s="712"/>
      <c r="U2" s="731" t="str">
        <f>Translation!C109</f>
        <v>Index</v>
      </c>
    </row>
    <row r="3" spans="2:22" s="36" customFormat="1" ht="13.8">
      <c r="B3" s="39"/>
      <c r="C3" s="39"/>
      <c r="D3" s="39"/>
      <c r="E3" s="39"/>
      <c r="F3" s="39"/>
      <c r="G3" s="39"/>
      <c r="H3" s="39"/>
      <c r="I3" s="39"/>
      <c r="J3" s="39"/>
      <c r="K3" s="39"/>
      <c r="L3" s="39"/>
      <c r="M3" s="39"/>
      <c r="N3" s="39"/>
      <c r="O3" s="39"/>
      <c r="P3" s="39"/>
      <c r="Q3" s="39"/>
      <c r="R3" s="39"/>
      <c r="S3" s="39"/>
      <c r="T3" s="39"/>
    </row>
    <row r="4" spans="2:22" s="525" customFormat="1" ht="5.4">
      <c r="B4" s="523"/>
      <c r="C4" s="523"/>
      <c r="D4" s="523"/>
      <c r="E4" s="523"/>
      <c r="F4" s="523"/>
      <c r="G4" s="523"/>
      <c r="H4" s="523"/>
      <c r="I4" s="523"/>
      <c r="J4" s="523"/>
      <c r="K4" s="523"/>
      <c r="L4" s="523"/>
      <c r="M4" s="523"/>
      <c r="N4" s="523"/>
      <c r="O4" s="523"/>
      <c r="P4" s="523"/>
      <c r="Q4" s="523"/>
      <c r="R4" s="523"/>
      <c r="S4" s="523"/>
      <c r="T4" s="523"/>
      <c r="U4" s="524"/>
    </row>
    <row r="5" spans="2:22" s="36" customFormat="1" ht="13.8">
      <c r="B5" s="544" t="str">
        <f>Translation!C78</f>
        <v>OPTION: Over-ride price of AD syringe, $/unit:</v>
      </c>
      <c r="C5" s="162"/>
      <c r="D5" s="162"/>
      <c r="E5" s="162"/>
      <c r="F5" s="514"/>
      <c r="G5" s="162"/>
      <c r="H5" s="513"/>
      <c r="I5" s="588"/>
      <c r="J5" s="163"/>
      <c r="K5" s="587">
        <f>IF(I5&lt;&gt;"",I5,0.065*1.1)</f>
        <v>7.1500000000000008E-2</v>
      </c>
      <c r="L5" s="163"/>
      <c r="M5" s="163"/>
      <c r="N5" s="163"/>
      <c r="O5" s="163"/>
      <c r="P5" s="163"/>
      <c r="Q5" s="163"/>
      <c r="R5" s="163"/>
      <c r="S5" s="163"/>
      <c r="T5" s="163"/>
      <c r="U5" s="163"/>
      <c r="V5" s="39"/>
    </row>
    <row r="6" spans="2:22" s="36" customFormat="1" ht="13.8">
      <c r="B6" s="544" t="str">
        <f>Translation!C79</f>
        <v>OPTION: Over-ride price of reconstitution syringe, $/unit:</v>
      </c>
      <c r="C6" s="162"/>
      <c r="D6" s="162"/>
      <c r="E6" s="162"/>
      <c r="F6" s="514"/>
      <c r="G6" s="162"/>
      <c r="H6" s="514"/>
      <c r="I6" s="588"/>
      <c r="J6" s="513"/>
      <c r="K6" s="587">
        <f>IF(I6&lt;&gt;"",I6,0.05*1.1)</f>
        <v>5.5000000000000007E-2</v>
      </c>
      <c r="L6" s="163"/>
      <c r="M6" s="162"/>
      <c r="N6" s="162"/>
      <c r="O6" s="162"/>
      <c r="P6" s="162"/>
      <c r="Q6" s="162"/>
      <c r="R6" s="162"/>
      <c r="S6" s="162"/>
      <c r="T6" s="162"/>
      <c r="U6" s="162"/>
    </row>
    <row r="7" spans="2:22" s="36" customFormat="1" ht="13.8">
      <c r="B7" s="544" t="str">
        <f>Translation!C80</f>
        <v>OPTION: Over-ride price of safety box, $/unit:</v>
      </c>
      <c r="C7" s="162"/>
      <c r="D7" s="162"/>
      <c r="E7" s="162"/>
      <c r="F7" s="514"/>
      <c r="G7" s="162"/>
      <c r="H7" s="514"/>
      <c r="I7" s="589"/>
      <c r="J7" s="513"/>
      <c r="K7" s="587">
        <f>IF(I7&lt;&gt;"",I7,0.94*1.1)</f>
        <v>1.034</v>
      </c>
      <c r="L7" s="163"/>
      <c r="M7" s="162"/>
      <c r="N7" s="162"/>
      <c r="O7" s="162"/>
      <c r="P7" s="162"/>
      <c r="Q7" s="162"/>
      <c r="R7" s="162"/>
      <c r="S7" s="162"/>
      <c r="T7" s="162"/>
      <c r="U7" s="162"/>
    </row>
    <row r="8" spans="2:22" s="525" customFormat="1" ht="5.4">
      <c r="B8" s="586"/>
      <c r="C8" s="524"/>
      <c r="D8" s="524"/>
      <c r="E8" s="524"/>
      <c r="F8" s="522"/>
      <c r="G8" s="524"/>
      <c r="H8" s="522"/>
      <c r="I8" s="524"/>
      <c r="J8" s="524"/>
      <c r="K8" s="524"/>
      <c r="L8" s="523"/>
      <c r="M8" s="524"/>
      <c r="N8" s="524"/>
      <c r="O8" s="524"/>
      <c r="P8" s="524"/>
      <c r="Q8" s="524"/>
      <c r="R8" s="524"/>
      <c r="S8" s="524"/>
      <c r="T8" s="524"/>
      <c r="U8" s="524"/>
    </row>
    <row r="9" spans="2:22" s="25" customFormat="1" ht="6" customHeight="1" thickBot="1">
      <c r="B9" s="36"/>
      <c r="C9" s="36"/>
      <c r="D9" s="36"/>
      <c r="E9" s="36"/>
      <c r="F9" s="40"/>
      <c r="G9" s="36"/>
      <c r="H9" s="41"/>
      <c r="I9" s="41"/>
      <c r="J9" s="41"/>
      <c r="K9" s="41"/>
      <c r="L9" s="41"/>
      <c r="M9" s="41"/>
      <c r="N9" s="41"/>
      <c r="O9" s="41"/>
      <c r="P9" s="41"/>
      <c r="Q9" s="41"/>
      <c r="R9" s="41"/>
      <c r="S9" s="41"/>
      <c r="T9" s="41"/>
    </row>
    <row r="10" spans="2:22" s="18" customFormat="1" ht="12">
      <c r="B10" s="584" t="str">
        <f>Volume_Inject!B10</f>
        <v>Characteristics of vaccines selected for use</v>
      </c>
      <c r="C10" s="585"/>
      <c r="D10" s="585"/>
      <c r="E10" s="536"/>
      <c r="F10" s="535"/>
      <c r="G10" s="535"/>
      <c r="I10" s="208" t="str">
        <f>Translation!C81</f>
        <v>Price of safe</v>
      </c>
      <c r="J10" s="536"/>
      <c r="K10" s="537"/>
      <c r="M10" s="208" t="str">
        <f>Volume_Inject!M10</f>
        <v>National immunization schedule</v>
      </c>
      <c r="N10" s="538"/>
      <c r="O10" s="538"/>
      <c r="P10" s="538"/>
      <c r="Q10" s="539"/>
      <c r="R10" s="565"/>
      <c r="S10" s="219" t="str">
        <f>Vaccine_Selection!$S$14</f>
        <v>Supplementary</v>
      </c>
      <c r="T10" s="220"/>
      <c r="U10" s="539"/>
    </row>
    <row r="11" spans="2:22" s="18" customFormat="1" ht="12">
      <c r="B11" s="528"/>
      <c r="C11" s="528"/>
      <c r="D11" s="530"/>
      <c r="E11" s="531"/>
      <c r="F11" s="519" t="str">
        <f>Volume_Inject!F11</f>
        <v>Volume data used</v>
      </c>
      <c r="G11" s="552"/>
      <c r="I11" s="206" t="str">
        <f>Translation!C82</f>
        <v>injection equipment</v>
      </c>
      <c r="J11" s="224"/>
      <c r="K11" s="207"/>
      <c r="M11" s="216" t="str">
        <f>Volume_Inject!M11</f>
        <v>(Routine vaccinations)</v>
      </c>
      <c r="N11" s="217"/>
      <c r="O11" s="217"/>
      <c r="P11" s="217"/>
      <c r="Q11" s="221"/>
      <c r="R11" s="565"/>
      <c r="S11" s="216" t="str">
        <f>Vaccine_Selection!$S$15</f>
        <v>activities (SIAs)</v>
      </c>
      <c r="T11" s="217"/>
      <c r="U11" s="221"/>
    </row>
    <row r="12" spans="2:22" s="18" customFormat="1" ht="67.5" customHeight="1">
      <c r="B12" s="529" t="str">
        <f>Volume_Inject!B12</f>
        <v>Vaccine type</v>
      </c>
      <c r="C12" s="529" t="str">
        <f>Volume_Inject!C12</f>
        <v>Formulation</v>
      </c>
      <c r="D12" s="529" t="str">
        <f>Volume_Inject!D12</f>
        <v>Administration</v>
      </c>
      <c r="E12" s="529" t="str">
        <f>Volume_Inject!E12</f>
        <v>Presentation (doses/vial)</v>
      </c>
      <c r="F12" s="583" t="str">
        <f>Volume_Inject!F12</f>
        <v>Vaccine volume (cm³/dose)</v>
      </c>
      <c r="G12" s="532" t="str">
        <f>Volume_Inject!G12</f>
        <v>Diluent volume (cm³/dose)</v>
      </c>
      <c r="I12" s="230" t="str">
        <f>Volume_Inject!I12</f>
        <v>Injection syringe</v>
      </c>
      <c r="J12" s="230" t="str">
        <f>Volume_Inject!J12</f>
        <v>Mixing syringe</v>
      </c>
      <c r="K12" s="230" t="str">
        <f>Volume_Inject!K12</f>
        <v>Safety boxes</v>
      </c>
      <c r="M12" s="230" t="str">
        <f>IF(Vaccine_Selection!M16="","",Vaccine_Selection!M16)</f>
        <v>Current schedule</v>
      </c>
      <c r="N12" s="230" t="str">
        <f>IF(Vaccine_Selection!N16="","",Vaccine_Selection!N16)</f>
        <v>Current schedule with penta 1d</v>
      </c>
      <c r="O12" s="230" t="str">
        <f>IF(Vaccine_Selection!O16="","",Vaccine_Selection!O16)</f>
        <v>Current schedule with penta CAD</v>
      </c>
      <c r="P12" s="230" t="str">
        <f>IF(Vaccine_Selection!P16="","",Vaccine_Selection!P16)</f>
        <v/>
      </c>
      <c r="Q12" s="230" t="str">
        <f>IF(Vaccine_Selection!Q16="","",Vaccine_Selection!Q16)</f>
        <v/>
      </c>
      <c r="R12" s="565"/>
      <c r="S12" s="230" t="str">
        <f>IF(Vaccine_Selection!S16="","",Vaccine_Selection!S16)</f>
        <v>H1N1 campaign</v>
      </c>
      <c r="T12" s="230" t="str">
        <f>IF(Vaccine_Selection!T16="","",Vaccine_Selection!T16)</f>
        <v/>
      </c>
      <c r="U12" s="230" t="str">
        <f>IF(Vaccine_Selection!U16="","",Vaccine_Selection!U16)</f>
        <v/>
      </c>
    </row>
    <row r="13" spans="2:22" s="18" customFormat="1" ht="12">
      <c r="B13" s="19" t="str">
        <f>Volume_Inject!B13</f>
        <v>BCG</v>
      </c>
      <c r="C13" s="19" t="str">
        <f>Volume_Inject!C13</f>
        <v>freeze-dried</v>
      </c>
      <c r="D13" s="19" t="str">
        <f>Volume_Inject!D13</f>
        <v>ID</v>
      </c>
      <c r="E13" s="20">
        <f>Volume_Inject!E13</f>
        <v>20</v>
      </c>
      <c r="F13" s="21">
        <f>Volume_Inject!F13</f>
        <v>1.2102000000000002</v>
      </c>
      <c r="G13" s="21">
        <f>Volume_Inject!G13</f>
        <v>1.1256666666666666</v>
      </c>
      <c r="H13" s="87"/>
      <c r="I13" s="115">
        <f>IF(OR(B13="",D13="Oral",D13="Nasal"),"",IF(ISTEXT(E13),0,$K$5*1.1))</f>
        <v>7.8650000000000012E-2</v>
      </c>
      <c r="J13" s="115">
        <f>IF(OR(B13="",C13="liquid",D13="Oral",D13="Nasal",ISTEXT(E13)),"",$K$6*Vaccine_Selection!K17/E13)</f>
        <v>5.5000000000000005E-3</v>
      </c>
      <c r="K13" s="115">
        <f>IF(B13="","",(COUNT($I13:$I13)+COUNT($J13:$J13)/IF(ISTEXT($E13),1,$E13))*$K$7/100)</f>
        <v>1.0857E-2</v>
      </c>
      <c r="M13" s="566">
        <f>IF(Vaccine_Selection!M17="","",Vaccine_Selection!M17)</f>
        <v>1</v>
      </c>
      <c r="N13" s="566">
        <f>IF(Vaccine_Selection!N17="","",Vaccine_Selection!N17)</f>
        <v>1</v>
      </c>
      <c r="O13" s="566">
        <f>IF(Vaccine_Selection!O17="","",Vaccine_Selection!O17)</f>
        <v>1</v>
      </c>
      <c r="P13" s="566" t="str">
        <f>IF(Vaccine_Selection!P17="","",Vaccine_Selection!P17)</f>
        <v/>
      </c>
      <c r="Q13" s="566" t="str">
        <f>IF(Vaccine_Selection!Q17="","",Vaccine_Selection!Q17)</f>
        <v/>
      </c>
      <c r="R13" s="511"/>
      <c r="S13" s="566" t="str">
        <f>IF(Vaccine_Selection!S17="","",Vaccine_Selection!S17)</f>
        <v/>
      </c>
      <c r="T13" s="566" t="str">
        <f>IF(Vaccine_Selection!T17="","",Vaccine_Selection!T17)</f>
        <v/>
      </c>
      <c r="U13" s="566" t="str">
        <f>IF(Vaccine_Selection!U17="","",Vaccine_Selection!U17)</f>
        <v/>
      </c>
    </row>
    <row r="14" spans="2:22" s="18" customFormat="1" ht="12">
      <c r="B14" s="19" t="str">
        <f>Volume_Inject!B14</f>
        <v>OPV</v>
      </c>
      <c r="C14" s="19" t="str">
        <f>Volume_Inject!C14</f>
        <v>liquid</v>
      </c>
      <c r="D14" s="19" t="str">
        <f>Volume_Inject!D14</f>
        <v>Oral</v>
      </c>
      <c r="E14" s="20">
        <f>Volume_Inject!E14</f>
        <v>10</v>
      </c>
      <c r="F14" s="21">
        <f>Volume_Inject!F14</f>
        <v>2</v>
      </c>
      <c r="G14" s="21">
        <f>Volume_Inject!G14</f>
        <v>0</v>
      </c>
      <c r="H14" s="87"/>
      <c r="I14" s="115" t="str">
        <f t="shared" ref="I14:I32" si="0">IF(OR(B14="",D14="Oral",D14="Nasal"),"",IF(ISTEXT(E14),0,$K$5*1.1))</f>
        <v/>
      </c>
      <c r="J14" s="116" t="str">
        <f>IF(OR(B14="",C14="liquid",D14="Oral",D14="Nasal",ISTEXT(E14)),"",$K$6*Vaccine_Selection!K18/E14)</f>
        <v/>
      </c>
      <c r="K14" s="116">
        <f t="shared" ref="K14:K32" si="1">IF(B14="","",(COUNT($I14:$I14)+COUNT($J14:$J14)/IF(ISTEXT($E14),1,$E14))*$K$7/100)</f>
        <v>0</v>
      </c>
      <c r="M14" s="512">
        <f>IF(Vaccine_Selection!M18="","",Vaccine_Selection!M18)</f>
        <v>4</v>
      </c>
      <c r="N14" s="512">
        <f>IF(Vaccine_Selection!N18="","",Vaccine_Selection!N18)</f>
        <v>4</v>
      </c>
      <c r="O14" s="512">
        <f>IF(Vaccine_Selection!O18="","",Vaccine_Selection!O18)</f>
        <v>4</v>
      </c>
      <c r="P14" s="512" t="str">
        <f>IF(Vaccine_Selection!P18="","",Vaccine_Selection!P18)</f>
        <v/>
      </c>
      <c r="Q14" s="512" t="str">
        <f>IF(Vaccine_Selection!Q18="","",Vaccine_Selection!Q18)</f>
        <v/>
      </c>
      <c r="R14" s="511"/>
      <c r="S14" s="512" t="str">
        <f>IF(Vaccine_Selection!S18="","",Vaccine_Selection!S18)</f>
        <v/>
      </c>
      <c r="T14" s="512" t="str">
        <f>IF(Vaccine_Selection!T18="","",Vaccine_Selection!T18)</f>
        <v/>
      </c>
      <c r="U14" s="512" t="str">
        <f>IF(Vaccine_Selection!U18="","",Vaccine_Selection!U18)</f>
        <v/>
      </c>
    </row>
    <row r="15" spans="2:22" s="18" customFormat="1" ht="12">
      <c r="B15" s="19" t="str">
        <f>Volume_Inject!B15</f>
        <v>DTP-HepB-Hib</v>
      </c>
      <c r="C15" s="19" t="str">
        <f>Volume_Inject!C15</f>
        <v>liquid</v>
      </c>
      <c r="D15" s="19" t="str">
        <f>Volume_Inject!D15</f>
        <v>IM</v>
      </c>
      <c r="E15" s="20">
        <f>Volume_Inject!E15</f>
        <v>10</v>
      </c>
      <c r="F15" s="21">
        <f>Volume_Inject!F15</f>
        <v>2.75</v>
      </c>
      <c r="G15" s="21">
        <f>Volume_Inject!G15</f>
        <v>0</v>
      </c>
      <c r="H15" s="87"/>
      <c r="I15" s="115">
        <f t="shared" si="0"/>
        <v>7.8650000000000012E-2</v>
      </c>
      <c r="J15" s="116" t="str">
        <f>IF(OR(B15="",C15="liquid",D15="Oral",D15="Nasal",ISTEXT(E15)),"",$K$6*Vaccine_Selection!K19/E15)</f>
        <v/>
      </c>
      <c r="K15" s="116">
        <f t="shared" si="1"/>
        <v>1.034E-2</v>
      </c>
      <c r="M15" s="512">
        <f>IF(Vaccine_Selection!M19="","",Vaccine_Selection!M19)</f>
        <v>3</v>
      </c>
      <c r="N15" s="512" t="str">
        <f>IF(Vaccine_Selection!N19="","",Vaccine_Selection!N19)</f>
        <v/>
      </c>
      <c r="O15" s="512" t="str">
        <f>IF(Vaccine_Selection!O19="","",Vaccine_Selection!O19)</f>
        <v/>
      </c>
      <c r="P15" s="512" t="str">
        <f>IF(Vaccine_Selection!P19="","",Vaccine_Selection!P19)</f>
        <v/>
      </c>
      <c r="Q15" s="512" t="str">
        <f>IF(Vaccine_Selection!Q19="","",Vaccine_Selection!Q19)</f>
        <v/>
      </c>
      <c r="R15" s="511"/>
      <c r="S15" s="512" t="str">
        <f>IF(Vaccine_Selection!S19="","",Vaccine_Selection!S19)</f>
        <v/>
      </c>
      <c r="T15" s="512" t="str">
        <f>IF(Vaccine_Selection!T19="","",Vaccine_Selection!T19)</f>
        <v/>
      </c>
      <c r="U15" s="512" t="str">
        <f>IF(Vaccine_Selection!U19="","",Vaccine_Selection!U19)</f>
        <v/>
      </c>
    </row>
    <row r="16" spans="2:22" s="18" customFormat="1" ht="12">
      <c r="B16" s="19" t="str">
        <f>Volume_Inject!B16</f>
        <v>DTP-HepB-Hib</v>
      </c>
      <c r="C16" s="19" t="str">
        <f>Volume_Inject!C16</f>
        <v>liquid</v>
      </c>
      <c r="D16" s="19" t="str">
        <f>Volume_Inject!D16</f>
        <v>IM</v>
      </c>
      <c r="E16" s="20">
        <f>Volume_Inject!E16</f>
        <v>1</v>
      </c>
      <c r="F16" s="21">
        <f>Volume_Inject!F16</f>
        <v>16.66384</v>
      </c>
      <c r="G16" s="21">
        <f>Volume_Inject!G16</f>
        <v>0</v>
      </c>
      <c r="H16" s="87"/>
      <c r="I16" s="115">
        <f t="shared" si="0"/>
        <v>7.8650000000000012E-2</v>
      </c>
      <c r="J16" s="116" t="str">
        <f>IF(OR(B16="",C16="liquid",D16="Oral",D16="Nasal",ISTEXT(E16)),"",$K$6*Vaccine_Selection!K20/E16)</f>
        <v/>
      </c>
      <c r="K16" s="116">
        <f t="shared" si="1"/>
        <v>1.034E-2</v>
      </c>
      <c r="M16" s="512" t="str">
        <f>IF(Vaccine_Selection!M20="","",Vaccine_Selection!M20)</f>
        <v/>
      </c>
      <c r="N16" s="512">
        <f>IF(Vaccine_Selection!N20="","",Vaccine_Selection!N20)</f>
        <v>3</v>
      </c>
      <c r="O16" s="512" t="str">
        <f>IF(Vaccine_Selection!O20="","",Vaccine_Selection!O20)</f>
        <v/>
      </c>
      <c r="P16" s="512" t="str">
        <f>IF(Vaccine_Selection!P20="","",Vaccine_Selection!P20)</f>
        <v/>
      </c>
      <c r="Q16" s="512" t="str">
        <f>IF(Vaccine_Selection!Q20="","",Vaccine_Selection!Q20)</f>
        <v/>
      </c>
      <c r="R16" s="511"/>
      <c r="S16" s="512" t="str">
        <f>IF(Vaccine_Selection!S20="","",Vaccine_Selection!S20)</f>
        <v/>
      </c>
      <c r="T16" s="512" t="str">
        <f>IF(Vaccine_Selection!T20="","",Vaccine_Selection!T20)</f>
        <v/>
      </c>
      <c r="U16" s="512" t="str">
        <f>IF(Vaccine_Selection!U20="","",Vaccine_Selection!U20)</f>
        <v/>
      </c>
    </row>
    <row r="17" spans="2:21" s="18" customFormat="1" ht="12">
      <c r="B17" s="19" t="str">
        <f>Volume_Inject!B17</f>
        <v>DTP-HepB-Hib</v>
      </c>
      <c r="C17" s="19" t="str">
        <f>Volume_Inject!C17</f>
        <v>liquid</v>
      </c>
      <c r="D17" s="19" t="str">
        <f>Volume_Inject!D17</f>
        <v>IM</v>
      </c>
      <c r="E17" s="20" t="str">
        <f>Volume_Inject!E17</f>
        <v>Uniject</v>
      </c>
      <c r="F17" s="21">
        <f>Volume_Inject!F17</f>
        <v>12</v>
      </c>
      <c r="G17" s="21">
        <f>Volume_Inject!G17</f>
        <v>0</v>
      </c>
      <c r="H17" s="87"/>
      <c r="I17" s="115">
        <f t="shared" si="0"/>
        <v>0</v>
      </c>
      <c r="J17" s="116" t="str">
        <f>IF(OR(B17="",C17="liquid",D17="Oral",D17="Nasal",ISTEXT(E17)),"",$K$6*Vaccine_Selection!K21/E17)</f>
        <v/>
      </c>
      <c r="K17" s="116">
        <f t="shared" si="1"/>
        <v>1.034E-2</v>
      </c>
      <c r="M17" s="512" t="str">
        <f>IF(Vaccine_Selection!M21="","",Vaccine_Selection!M21)</f>
        <v/>
      </c>
      <c r="N17" s="512" t="str">
        <f>IF(Vaccine_Selection!N21="","",Vaccine_Selection!N21)</f>
        <v/>
      </c>
      <c r="O17" s="512">
        <f>IF(Vaccine_Selection!O21="","",Vaccine_Selection!O21)</f>
        <v>3</v>
      </c>
      <c r="P17" s="512" t="str">
        <f>IF(Vaccine_Selection!P21="","",Vaccine_Selection!P21)</f>
        <v/>
      </c>
      <c r="Q17" s="512" t="str">
        <f>IF(Vaccine_Selection!Q21="","",Vaccine_Selection!Q21)</f>
        <v/>
      </c>
      <c r="R17" s="511"/>
      <c r="S17" s="512" t="str">
        <f>IF(Vaccine_Selection!S21="","",Vaccine_Selection!S21)</f>
        <v/>
      </c>
      <c r="T17" s="512" t="str">
        <f>IF(Vaccine_Selection!T21="","",Vaccine_Selection!T21)</f>
        <v/>
      </c>
      <c r="U17" s="512" t="str">
        <f>IF(Vaccine_Selection!U21="","",Vaccine_Selection!U21)</f>
        <v/>
      </c>
    </row>
    <row r="18" spans="2:21" s="18" customFormat="1" ht="12">
      <c r="B18" s="19" t="str">
        <f>Volume_Inject!B18</f>
        <v>Measles</v>
      </c>
      <c r="C18" s="19" t="str">
        <f>Volume_Inject!C18</f>
        <v>freeze-dried</v>
      </c>
      <c r="D18" s="19" t="str">
        <f>Volume_Inject!D18</f>
        <v>SC</v>
      </c>
      <c r="E18" s="20">
        <f>Volume_Inject!E18</f>
        <v>10</v>
      </c>
      <c r="F18" s="21">
        <f>Volume_Inject!F18</f>
        <v>2.4002000000000003</v>
      </c>
      <c r="G18" s="21">
        <f>Volume_Inject!G18</f>
        <v>3.2</v>
      </c>
      <c r="H18" s="87"/>
      <c r="I18" s="115">
        <f t="shared" si="0"/>
        <v>7.8650000000000012E-2</v>
      </c>
      <c r="J18" s="116">
        <f>IF(OR(B18="",C18="liquid",D18="Oral",D18="Nasal",ISTEXT(E18)),"",$K$6*Vaccine_Selection!K22/E18)</f>
        <v>9.1666666666666684E-3</v>
      </c>
      <c r="K18" s="116">
        <f t="shared" si="1"/>
        <v>1.1374000000000002E-2</v>
      </c>
      <c r="M18" s="512">
        <f>IF(Vaccine_Selection!M22="","",Vaccine_Selection!M22)</f>
        <v>1</v>
      </c>
      <c r="N18" s="512">
        <f>IF(Vaccine_Selection!N22="","",Vaccine_Selection!N22)</f>
        <v>1</v>
      </c>
      <c r="O18" s="512">
        <f>IF(Vaccine_Selection!O22="","",Vaccine_Selection!O22)</f>
        <v>1</v>
      </c>
      <c r="P18" s="512" t="str">
        <f>IF(Vaccine_Selection!P22="","",Vaccine_Selection!P22)</f>
        <v/>
      </c>
      <c r="Q18" s="512" t="str">
        <f>IF(Vaccine_Selection!Q22="","",Vaccine_Selection!Q22)</f>
        <v/>
      </c>
      <c r="R18" s="511"/>
      <c r="S18" s="512" t="str">
        <f>IF(Vaccine_Selection!S22="","",Vaccine_Selection!S22)</f>
        <v/>
      </c>
      <c r="T18" s="512" t="str">
        <f>IF(Vaccine_Selection!T22="","",Vaccine_Selection!T22)</f>
        <v/>
      </c>
      <c r="U18" s="512" t="str">
        <f>IF(Vaccine_Selection!U22="","",Vaccine_Selection!U22)</f>
        <v/>
      </c>
    </row>
    <row r="19" spans="2:21" s="18" customFormat="1" ht="12">
      <c r="B19" s="19" t="str">
        <f>Volume_Inject!B19</f>
        <v>YF</v>
      </c>
      <c r="C19" s="19" t="str">
        <f>Volume_Inject!C19</f>
        <v>freeze-dried</v>
      </c>
      <c r="D19" s="19" t="str">
        <f>Volume_Inject!D19</f>
        <v>SC</v>
      </c>
      <c r="E19" s="20">
        <f>Volume_Inject!E19</f>
        <v>5</v>
      </c>
      <c r="F19" s="21">
        <f>Volume_Inject!F19</f>
        <v>5.4024999999999999</v>
      </c>
      <c r="G19" s="21">
        <f>Volume_Inject!G19</f>
        <v>6.75</v>
      </c>
      <c r="H19" s="87"/>
      <c r="I19" s="115">
        <f t="shared" si="0"/>
        <v>7.8650000000000012E-2</v>
      </c>
      <c r="J19" s="116">
        <f>IF(OR(B19="",C19="liquid",D19="Oral",D19="Nasal",ISTEXT(E19)),"",$K$6*Vaccine_Selection!K23/E19)</f>
        <v>1.2222222222222225E-2</v>
      </c>
      <c r="K19" s="116">
        <f t="shared" si="1"/>
        <v>1.2407999999999999E-2</v>
      </c>
      <c r="M19" s="512">
        <f>IF(Vaccine_Selection!M23="","",Vaccine_Selection!M23)</f>
        <v>1</v>
      </c>
      <c r="N19" s="512">
        <f>IF(Vaccine_Selection!N23="","",Vaccine_Selection!N23)</f>
        <v>1</v>
      </c>
      <c r="O19" s="512">
        <f>IF(Vaccine_Selection!O23="","",Vaccine_Selection!O23)</f>
        <v>1</v>
      </c>
      <c r="P19" s="512" t="str">
        <f>IF(Vaccine_Selection!P23="","",Vaccine_Selection!P23)</f>
        <v/>
      </c>
      <c r="Q19" s="512" t="str">
        <f>IF(Vaccine_Selection!Q23="","",Vaccine_Selection!Q23)</f>
        <v/>
      </c>
      <c r="R19" s="511"/>
      <c r="S19" s="512" t="str">
        <f>IF(Vaccine_Selection!S23="","",Vaccine_Selection!S23)</f>
        <v/>
      </c>
      <c r="T19" s="512" t="str">
        <f>IF(Vaccine_Selection!T23="","",Vaccine_Selection!T23)</f>
        <v/>
      </c>
      <c r="U19" s="512" t="str">
        <f>IF(Vaccine_Selection!U23="","",Vaccine_Selection!U23)</f>
        <v/>
      </c>
    </row>
    <row r="20" spans="2:21" s="18" customFormat="1" ht="12">
      <c r="B20" s="19" t="str">
        <f>Volume_Inject!B20</f>
        <v>TT</v>
      </c>
      <c r="C20" s="19" t="str">
        <f>Volume_Inject!C20</f>
        <v>liquid</v>
      </c>
      <c r="D20" s="19" t="str">
        <f>Volume_Inject!D20</f>
        <v>IM</v>
      </c>
      <c r="E20" s="20">
        <f>Volume_Inject!E20</f>
        <v>10</v>
      </c>
      <c r="F20" s="21">
        <f>Volume_Inject!F20</f>
        <v>3.1093333333333333</v>
      </c>
      <c r="G20" s="21">
        <f>Volume_Inject!G20</f>
        <v>0</v>
      </c>
      <c r="H20" s="87"/>
      <c r="I20" s="115">
        <f t="shared" si="0"/>
        <v>7.8650000000000012E-2</v>
      </c>
      <c r="J20" s="116" t="str">
        <f>IF(OR(B20="",C20="liquid",D20="Oral",D20="Nasal",ISTEXT(E20)),"",$K$6*Vaccine_Selection!K24/E20)</f>
        <v/>
      </c>
      <c r="K20" s="116">
        <f t="shared" si="1"/>
        <v>1.034E-2</v>
      </c>
      <c r="M20" s="512">
        <f>IF(Vaccine_Selection!M24="","",Vaccine_Selection!M24)</f>
        <v>2</v>
      </c>
      <c r="N20" s="512">
        <f>IF(Vaccine_Selection!N24="","",Vaccine_Selection!N24)</f>
        <v>2</v>
      </c>
      <c r="O20" s="512">
        <f>IF(Vaccine_Selection!O24="","",Vaccine_Selection!O24)</f>
        <v>2</v>
      </c>
      <c r="P20" s="512" t="str">
        <f>IF(Vaccine_Selection!P24="","",Vaccine_Selection!P24)</f>
        <v/>
      </c>
      <c r="Q20" s="512" t="str">
        <f>IF(Vaccine_Selection!Q24="","",Vaccine_Selection!Q24)</f>
        <v/>
      </c>
      <c r="R20" s="511"/>
      <c r="S20" s="512" t="str">
        <f>IF(Vaccine_Selection!S24="","",Vaccine_Selection!S24)</f>
        <v/>
      </c>
      <c r="T20" s="512" t="str">
        <f>IF(Vaccine_Selection!T24="","",Vaccine_Selection!T24)</f>
        <v/>
      </c>
      <c r="U20" s="512" t="str">
        <f>IF(Vaccine_Selection!U24="","",Vaccine_Selection!U24)</f>
        <v/>
      </c>
    </row>
    <row r="21" spans="2:21" s="18" customFormat="1" ht="12">
      <c r="B21" s="19" t="str">
        <f>Volume_Inject!B21</f>
        <v>PCV-13</v>
      </c>
      <c r="C21" s="19" t="str">
        <f>Volume_Inject!C21</f>
        <v>liquid</v>
      </c>
      <c r="D21" s="19" t="str">
        <f>Volume_Inject!D21</f>
        <v>IM</v>
      </c>
      <c r="E21" s="20">
        <f>Volume_Inject!E21</f>
        <v>1</v>
      </c>
      <c r="F21" s="21">
        <f>Volume_Inject!F21</f>
        <v>13.825246999999999</v>
      </c>
      <c r="G21" s="21">
        <f>Volume_Inject!G21</f>
        <v>0</v>
      </c>
      <c r="H21" s="87"/>
      <c r="I21" s="115">
        <f t="shared" si="0"/>
        <v>7.8650000000000012E-2</v>
      </c>
      <c r="J21" s="116" t="str">
        <f>IF(OR(B21="",C21="liquid",D21="Oral",D21="Nasal",ISTEXT(E21)),"",$K$6*Vaccine_Selection!K25/E21)</f>
        <v/>
      </c>
      <c r="K21" s="116">
        <f t="shared" si="1"/>
        <v>1.034E-2</v>
      </c>
      <c r="M21" s="512" t="str">
        <f>IF(Vaccine_Selection!M25="","",Vaccine_Selection!M25)</f>
        <v/>
      </c>
      <c r="N21" s="512" t="str">
        <f>IF(Vaccine_Selection!N25="","",Vaccine_Selection!N25)</f>
        <v/>
      </c>
      <c r="O21" s="512" t="str">
        <f>IF(Vaccine_Selection!O25="","",Vaccine_Selection!O25)</f>
        <v/>
      </c>
      <c r="P21" s="512" t="str">
        <f>IF(Vaccine_Selection!P25="","",Vaccine_Selection!P25)</f>
        <v/>
      </c>
      <c r="Q21" s="512" t="str">
        <f>IF(Vaccine_Selection!Q25="","",Vaccine_Selection!Q25)</f>
        <v/>
      </c>
      <c r="R21" s="511"/>
      <c r="S21" s="512" t="str">
        <f>IF(Vaccine_Selection!S25="","",Vaccine_Selection!S25)</f>
        <v/>
      </c>
      <c r="T21" s="512" t="str">
        <f>IF(Vaccine_Selection!T25="","",Vaccine_Selection!T25)</f>
        <v/>
      </c>
      <c r="U21" s="512" t="str">
        <f>IF(Vaccine_Selection!U25="","",Vaccine_Selection!U25)</f>
        <v/>
      </c>
    </row>
    <row r="22" spans="2:21" s="18" customFormat="1" ht="12">
      <c r="B22" s="19" t="str">
        <f>Volume_Inject!B22</f>
        <v>Rota_liq</v>
      </c>
      <c r="C22" s="19" t="str">
        <f>Volume_Inject!C22</f>
        <v>liquid</v>
      </c>
      <c r="D22" s="19" t="str">
        <f>Volume_Inject!D22</f>
        <v>Oral</v>
      </c>
      <c r="E22" s="20">
        <f>Volume_Inject!E22</f>
        <v>1</v>
      </c>
      <c r="F22" s="21">
        <f>Volume_Inject!F22</f>
        <v>17.100000000000001</v>
      </c>
      <c r="G22" s="21">
        <f>Volume_Inject!G22</f>
        <v>0</v>
      </c>
      <c r="H22" s="87"/>
      <c r="I22" s="115" t="str">
        <f t="shared" si="0"/>
        <v/>
      </c>
      <c r="J22" s="116" t="str">
        <f>IF(OR(B22="",C22="liquid",D22="Oral",D22="Nasal",ISTEXT(E22)),"",$K$6*Vaccine_Selection!K26/E22)</f>
        <v/>
      </c>
      <c r="K22" s="116">
        <f t="shared" si="1"/>
        <v>0</v>
      </c>
      <c r="M22" s="512" t="str">
        <f>IF(Vaccine_Selection!M26="","",Vaccine_Selection!M26)</f>
        <v/>
      </c>
      <c r="N22" s="512" t="str">
        <f>IF(Vaccine_Selection!N26="","",Vaccine_Selection!N26)</f>
        <v/>
      </c>
      <c r="O22" s="512" t="str">
        <f>IF(Vaccine_Selection!O26="","",Vaccine_Selection!O26)</f>
        <v/>
      </c>
      <c r="P22" s="512" t="str">
        <f>IF(Vaccine_Selection!P26="","",Vaccine_Selection!P26)</f>
        <v/>
      </c>
      <c r="Q22" s="512" t="str">
        <f>IF(Vaccine_Selection!Q26="","",Vaccine_Selection!Q26)</f>
        <v/>
      </c>
      <c r="R22" s="511"/>
      <c r="S22" s="512">
        <f>IF(Vaccine_Selection!S26="","",Vaccine_Selection!S26)</f>
        <v>1</v>
      </c>
      <c r="T22" s="512" t="str">
        <f>IF(Vaccine_Selection!T26="","",Vaccine_Selection!T26)</f>
        <v/>
      </c>
      <c r="U22" s="512" t="str">
        <f>IF(Vaccine_Selection!U26="","",Vaccine_Selection!U26)</f>
        <v/>
      </c>
    </row>
    <row r="23" spans="2:21" s="18" customFormat="1" ht="12">
      <c r="B23" s="19" t="str">
        <f>Volume_Inject!B23</f>
        <v/>
      </c>
      <c r="C23" s="19" t="str">
        <f>Volume_Inject!C23</f>
        <v/>
      </c>
      <c r="D23" s="19" t="str">
        <f>Volume_Inject!D23</f>
        <v/>
      </c>
      <c r="E23" s="20">
        <f>Volume_Inject!E23</f>
        <v>0</v>
      </c>
      <c r="F23" s="21">
        <f>Volume_Inject!F23</f>
        <v>0</v>
      </c>
      <c r="G23" s="21">
        <f>Volume_Inject!G23</f>
        <v>0</v>
      </c>
      <c r="H23" s="87"/>
      <c r="I23" s="115" t="str">
        <f t="shared" si="0"/>
        <v/>
      </c>
      <c r="J23" s="116" t="str">
        <f>IF(OR(B23="",C23="liquid",D23="Oral",D23="Nasal",ISTEXT(E23)),"",$K$6*Vaccine_Selection!K27/E23)</f>
        <v/>
      </c>
      <c r="K23" s="116" t="str">
        <f t="shared" si="1"/>
        <v/>
      </c>
      <c r="M23" s="512" t="str">
        <f>IF(Vaccine_Selection!M27="","",Vaccine_Selection!M27)</f>
        <v/>
      </c>
      <c r="N23" s="512" t="str">
        <f>IF(Vaccine_Selection!N27="","",Vaccine_Selection!N27)</f>
        <v/>
      </c>
      <c r="O23" s="512" t="str">
        <f>IF(Vaccine_Selection!O27="","",Vaccine_Selection!O27)</f>
        <v/>
      </c>
      <c r="P23" s="512" t="str">
        <f>IF(Vaccine_Selection!P27="","",Vaccine_Selection!P27)</f>
        <v/>
      </c>
      <c r="Q23" s="512" t="str">
        <f>IF(Vaccine_Selection!Q27="","",Vaccine_Selection!Q27)</f>
        <v/>
      </c>
      <c r="R23" s="511"/>
      <c r="S23" s="512" t="str">
        <f>IF(Vaccine_Selection!S27="","",Vaccine_Selection!S27)</f>
        <v/>
      </c>
      <c r="T23" s="512" t="str">
        <f>IF(Vaccine_Selection!T27="","",Vaccine_Selection!T27)</f>
        <v/>
      </c>
      <c r="U23" s="512" t="str">
        <f>IF(Vaccine_Selection!U27="","",Vaccine_Selection!U27)</f>
        <v/>
      </c>
    </row>
    <row r="24" spans="2:21" s="18" customFormat="1" ht="12">
      <c r="B24" s="19" t="str">
        <f>Volume_Inject!B24</f>
        <v/>
      </c>
      <c r="C24" s="19" t="str">
        <f>Volume_Inject!C24</f>
        <v/>
      </c>
      <c r="D24" s="19" t="str">
        <f>Volume_Inject!D24</f>
        <v/>
      </c>
      <c r="E24" s="20">
        <f>Volume_Inject!E24</f>
        <v>0</v>
      </c>
      <c r="F24" s="21">
        <f>Volume_Inject!F24</f>
        <v>0</v>
      </c>
      <c r="G24" s="21">
        <f>Volume_Inject!G24</f>
        <v>0</v>
      </c>
      <c r="H24" s="87"/>
      <c r="I24" s="115" t="str">
        <f t="shared" si="0"/>
        <v/>
      </c>
      <c r="J24" s="116" t="str">
        <f>IF(OR(B24="",C24="liquid",D24="Oral",D24="Nasal",ISTEXT(E24)),"",$K$6*Vaccine_Selection!K28/E24)</f>
        <v/>
      </c>
      <c r="K24" s="116" t="str">
        <f t="shared" si="1"/>
        <v/>
      </c>
      <c r="M24" s="512" t="str">
        <f>IF(Vaccine_Selection!M28="","",Vaccine_Selection!M28)</f>
        <v/>
      </c>
      <c r="N24" s="512" t="str">
        <f>IF(Vaccine_Selection!N28="","",Vaccine_Selection!N28)</f>
        <v/>
      </c>
      <c r="O24" s="512" t="str">
        <f>IF(Vaccine_Selection!O28="","",Vaccine_Selection!O28)</f>
        <v/>
      </c>
      <c r="P24" s="512" t="str">
        <f>IF(Vaccine_Selection!P28="","",Vaccine_Selection!P28)</f>
        <v/>
      </c>
      <c r="Q24" s="512" t="str">
        <f>IF(Vaccine_Selection!Q28="","",Vaccine_Selection!Q28)</f>
        <v/>
      </c>
      <c r="R24" s="511"/>
      <c r="S24" s="512" t="str">
        <f>IF(Vaccine_Selection!S28="","",Vaccine_Selection!S28)</f>
        <v/>
      </c>
      <c r="T24" s="512" t="str">
        <f>IF(Vaccine_Selection!T28="","",Vaccine_Selection!T28)</f>
        <v/>
      </c>
      <c r="U24" s="512" t="str">
        <f>IF(Vaccine_Selection!U28="","",Vaccine_Selection!U28)</f>
        <v/>
      </c>
    </row>
    <row r="25" spans="2:21" s="18" customFormat="1" ht="12">
      <c r="B25" s="19" t="str">
        <f>Volume_Inject!B25</f>
        <v/>
      </c>
      <c r="C25" s="19" t="str">
        <f>Volume_Inject!C25</f>
        <v/>
      </c>
      <c r="D25" s="19" t="str">
        <f>Volume_Inject!D25</f>
        <v/>
      </c>
      <c r="E25" s="20">
        <f>Volume_Inject!E25</f>
        <v>0</v>
      </c>
      <c r="F25" s="21">
        <f>Volume_Inject!F25</f>
        <v>0</v>
      </c>
      <c r="G25" s="21">
        <f>Volume_Inject!G25</f>
        <v>0</v>
      </c>
      <c r="H25" s="87"/>
      <c r="I25" s="115" t="str">
        <f t="shared" si="0"/>
        <v/>
      </c>
      <c r="J25" s="116" t="str">
        <f>IF(OR(B25="",C25="liquid",D25="Oral",D25="Nasal",ISTEXT(E25)),"",$K$6*Vaccine_Selection!K29/E25)</f>
        <v/>
      </c>
      <c r="K25" s="116" t="str">
        <f t="shared" si="1"/>
        <v/>
      </c>
      <c r="M25" s="512" t="str">
        <f>IF(Vaccine_Selection!M29="","",Vaccine_Selection!M29)</f>
        <v/>
      </c>
      <c r="N25" s="512" t="str">
        <f>IF(Vaccine_Selection!N29="","",Vaccine_Selection!N29)</f>
        <v/>
      </c>
      <c r="O25" s="512" t="str">
        <f>IF(Vaccine_Selection!O29="","",Vaccine_Selection!O29)</f>
        <v/>
      </c>
      <c r="P25" s="512" t="str">
        <f>IF(Vaccine_Selection!P29="","",Vaccine_Selection!P29)</f>
        <v/>
      </c>
      <c r="Q25" s="512" t="str">
        <f>IF(Vaccine_Selection!Q29="","",Vaccine_Selection!Q29)</f>
        <v/>
      </c>
      <c r="R25" s="511"/>
      <c r="S25" s="512" t="str">
        <f>IF(Vaccine_Selection!S29="","",Vaccine_Selection!S29)</f>
        <v/>
      </c>
      <c r="T25" s="512" t="str">
        <f>IF(Vaccine_Selection!T29="","",Vaccine_Selection!T29)</f>
        <v/>
      </c>
      <c r="U25" s="512" t="str">
        <f>IF(Vaccine_Selection!U29="","",Vaccine_Selection!U29)</f>
        <v/>
      </c>
    </row>
    <row r="26" spans="2:21" s="18" customFormat="1" ht="12" hidden="1">
      <c r="B26" s="19" t="str">
        <f>Volume_Inject!B26</f>
        <v/>
      </c>
      <c r="C26" s="19" t="str">
        <f>Volume_Inject!C26</f>
        <v/>
      </c>
      <c r="D26" s="19" t="str">
        <f>Volume_Inject!D26</f>
        <v/>
      </c>
      <c r="E26" s="20">
        <f>Volume_Inject!E26</f>
        <v>0</v>
      </c>
      <c r="F26" s="21">
        <f>Volume_Inject!F26</f>
        <v>0</v>
      </c>
      <c r="G26" s="21">
        <f>Volume_Inject!G26</f>
        <v>0</v>
      </c>
      <c r="H26" s="87"/>
      <c r="I26" s="115" t="str">
        <f t="shared" si="0"/>
        <v/>
      </c>
      <c r="J26" s="116" t="str">
        <f>IF(OR(B26="",C26="liquid",D26="Oral",D26="Nasal",ISTEXT(E26)),"",$K$6*Vaccine_Selection!K30/E26)</f>
        <v/>
      </c>
      <c r="K26" s="116" t="str">
        <f t="shared" si="1"/>
        <v/>
      </c>
      <c r="M26" s="512" t="str">
        <f>IF(Vaccine_Selection!M30="","",Vaccine_Selection!M30)</f>
        <v/>
      </c>
      <c r="N26" s="512" t="str">
        <f>IF(Vaccine_Selection!N30="","",Vaccine_Selection!N30)</f>
        <v/>
      </c>
      <c r="O26" s="512" t="str">
        <f>IF(Vaccine_Selection!O30="","",Vaccine_Selection!O30)</f>
        <v/>
      </c>
      <c r="P26" s="512" t="str">
        <f>IF(Vaccine_Selection!P30="","",Vaccine_Selection!P30)</f>
        <v/>
      </c>
      <c r="Q26" s="512" t="str">
        <f>IF(Vaccine_Selection!Q30="","",Vaccine_Selection!Q30)</f>
        <v/>
      </c>
      <c r="R26" s="511"/>
      <c r="S26" s="512" t="str">
        <f>IF(Vaccine_Selection!S30="","",Vaccine_Selection!S30)</f>
        <v/>
      </c>
      <c r="T26" s="512" t="str">
        <f>IF(Vaccine_Selection!T30="","",Vaccine_Selection!T30)</f>
        <v/>
      </c>
      <c r="U26" s="512" t="str">
        <f>IF(Vaccine_Selection!U30="","",Vaccine_Selection!U30)</f>
        <v/>
      </c>
    </row>
    <row r="27" spans="2:21" s="18" customFormat="1" ht="12" hidden="1">
      <c r="B27" s="19" t="str">
        <f>Volume_Inject!B27</f>
        <v/>
      </c>
      <c r="C27" s="19" t="str">
        <f>Volume_Inject!C27</f>
        <v/>
      </c>
      <c r="D27" s="19" t="str">
        <f>Volume_Inject!D27</f>
        <v/>
      </c>
      <c r="E27" s="20">
        <f>Volume_Inject!E27</f>
        <v>0</v>
      </c>
      <c r="F27" s="21">
        <f>Volume_Inject!F27</f>
        <v>0</v>
      </c>
      <c r="G27" s="21">
        <f>Volume_Inject!G27</f>
        <v>0</v>
      </c>
      <c r="H27" s="87"/>
      <c r="I27" s="115" t="str">
        <f t="shared" si="0"/>
        <v/>
      </c>
      <c r="J27" s="116" t="str">
        <f>IF(OR(B27="",C27="liquid",D27="Oral",D27="Nasal",ISTEXT(E27)),"",$K$6*Vaccine_Selection!K31/E27)</f>
        <v/>
      </c>
      <c r="K27" s="116" t="str">
        <f t="shared" si="1"/>
        <v/>
      </c>
      <c r="M27" s="512" t="str">
        <f>IF(Vaccine_Selection!M31="","",Vaccine_Selection!M31)</f>
        <v/>
      </c>
      <c r="N27" s="512" t="str">
        <f>IF(Vaccine_Selection!N31="","",Vaccine_Selection!N31)</f>
        <v/>
      </c>
      <c r="O27" s="512" t="str">
        <f>IF(Vaccine_Selection!O31="","",Vaccine_Selection!O31)</f>
        <v/>
      </c>
      <c r="P27" s="512" t="str">
        <f>IF(Vaccine_Selection!P31="","",Vaccine_Selection!P31)</f>
        <v/>
      </c>
      <c r="Q27" s="512" t="str">
        <f>IF(Vaccine_Selection!Q31="","",Vaccine_Selection!Q31)</f>
        <v/>
      </c>
      <c r="R27" s="511"/>
      <c r="S27" s="512" t="str">
        <f>IF(Vaccine_Selection!S31="","",Vaccine_Selection!S31)</f>
        <v/>
      </c>
      <c r="T27" s="512" t="str">
        <f>IF(Vaccine_Selection!T31="","",Vaccine_Selection!T31)</f>
        <v/>
      </c>
      <c r="U27" s="512" t="str">
        <f>IF(Vaccine_Selection!U31="","",Vaccine_Selection!U31)</f>
        <v/>
      </c>
    </row>
    <row r="28" spans="2:21" s="18" customFormat="1" ht="12" hidden="1">
      <c r="B28" s="19" t="str">
        <f>Volume_Inject!B28</f>
        <v/>
      </c>
      <c r="C28" s="19" t="str">
        <f>Volume_Inject!C28</f>
        <v/>
      </c>
      <c r="D28" s="19" t="str">
        <f>Volume_Inject!D28</f>
        <v/>
      </c>
      <c r="E28" s="20">
        <f>Volume_Inject!E28</f>
        <v>0</v>
      </c>
      <c r="F28" s="21">
        <f>Volume_Inject!F28</f>
        <v>0</v>
      </c>
      <c r="G28" s="21">
        <f>Volume_Inject!G28</f>
        <v>0</v>
      </c>
      <c r="H28" s="87"/>
      <c r="I28" s="115" t="str">
        <f t="shared" si="0"/>
        <v/>
      </c>
      <c r="J28" s="116" t="str">
        <f>IF(OR(B28="",C28="liquid",D28="Oral",D28="Nasal",ISTEXT(E28)),"",$K$6*Vaccine_Selection!K32/E28)</f>
        <v/>
      </c>
      <c r="K28" s="116" t="str">
        <f t="shared" si="1"/>
        <v/>
      </c>
      <c r="M28" s="512" t="str">
        <f>IF(Vaccine_Selection!M32="","",Vaccine_Selection!M32)</f>
        <v/>
      </c>
      <c r="N28" s="512" t="str">
        <f>IF(Vaccine_Selection!N32="","",Vaccine_Selection!N32)</f>
        <v/>
      </c>
      <c r="O28" s="512" t="str">
        <f>IF(Vaccine_Selection!O32="","",Vaccine_Selection!O32)</f>
        <v/>
      </c>
      <c r="P28" s="512" t="str">
        <f>IF(Vaccine_Selection!P32="","",Vaccine_Selection!P32)</f>
        <v/>
      </c>
      <c r="Q28" s="512" t="str">
        <f>IF(Vaccine_Selection!Q32="","",Vaccine_Selection!Q32)</f>
        <v/>
      </c>
      <c r="R28" s="511"/>
      <c r="S28" s="512" t="str">
        <f>IF(Vaccine_Selection!S32="","",Vaccine_Selection!S32)</f>
        <v/>
      </c>
      <c r="T28" s="512" t="str">
        <f>IF(Vaccine_Selection!T32="","",Vaccine_Selection!T32)</f>
        <v/>
      </c>
      <c r="U28" s="512" t="str">
        <f>IF(Vaccine_Selection!U32="","",Vaccine_Selection!U32)</f>
        <v/>
      </c>
    </row>
    <row r="29" spans="2:21" s="18" customFormat="1" ht="12" hidden="1">
      <c r="B29" s="19" t="str">
        <f>Volume_Inject!B29</f>
        <v/>
      </c>
      <c r="C29" s="19" t="str">
        <f>Volume_Inject!C29</f>
        <v/>
      </c>
      <c r="D29" s="19" t="str">
        <f>Volume_Inject!D29</f>
        <v/>
      </c>
      <c r="E29" s="20">
        <f>Volume_Inject!E29</f>
        <v>0</v>
      </c>
      <c r="F29" s="21">
        <f>Volume_Inject!F29</f>
        <v>0</v>
      </c>
      <c r="G29" s="21">
        <f>Volume_Inject!G29</f>
        <v>0</v>
      </c>
      <c r="H29" s="87"/>
      <c r="I29" s="115" t="str">
        <f t="shared" si="0"/>
        <v/>
      </c>
      <c r="J29" s="116" t="str">
        <f>IF(OR(B29="",C29="liquid",D29="Oral",D29="Nasal",ISTEXT(E29)),"",$K$6*Vaccine_Selection!K33/E29)</f>
        <v/>
      </c>
      <c r="K29" s="116" t="str">
        <f t="shared" si="1"/>
        <v/>
      </c>
      <c r="M29" s="512" t="str">
        <f>IF(Vaccine_Selection!M33="","",Vaccine_Selection!M33)</f>
        <v/>
      </c>
      <c r="N29" s="512" t="str">
        <f>IF(Vaccine_Selection!N33="","",Vaccine_Selection!N33)</f>
        <v/>
      </c>
      <c r="O29" s="512" t="str">
        <f>IF(Vaccine_Selection!O33="","",Vaccine_Selection!O33)</f>
        <v/>
      </c>
      <c r="P29" s="512" t="str">
        <f>IF(Vaccine_Selection!P33="","",Vaccine_Selection!P33)</f>
        <v/>
      </c>
      <c r="Q29" s="512" t="str">
        <f>IF(Vaccine_Selection!Q33="","",Vaccine_Selection!Q33)</f>
        <v/>
      </c>
      <c r="R29" s="511"/>
      <c r="S29" s="512" t="str">
        <f>IF(Vaccine_Selection!S33="","",Vaccine_Selection!S33)</f>
        <v/>
      </c>
      <c r="T29" s="512" t="str">
        <f>IF(Vaccine_Selection!T33="","",Vaccine_Selection!T33)</f>
        <v/>
      </c>
      <c r="U29" s="512" t="str">
        <f>IF(Vaccine_Selection!U33="","",Vaccine_Selection!U33)</f>
        <v/>
      </c>
    </row>
    <row r="30" spans="2:21" s="18" customFormat="1" ht="12" hidden="1">
      <c r="B30" s="19" t="str">
        <f>Volume_Inject!B30</f>
        <v/>
      </c>
      <c r="C30" s="19" t="str">
        <f>Volume_Inject!C30</f>
        <v/>
      </c>
      <c r="D30" s="19" t="str">
        <f>Volume_Inject!D30</f>
        <v/>
      </c>
      <c r="E30" s="20">
        <f>Volume_Inject!E30</f>
        <v>0</v>
      </c>
      <c r="F30" s="21">
        <f>Volume_Inject!F30</f>
        <v>0</v>
      </c>
      <c r="G30" s="21">
        <f>Volume_Inject!G30</f>
        <v>0</v>
      </c>
      <c r="H30" s="87"/>
      <c r="I30" s="115" t="str">
        <f t="shared" si="0"/>
        <v/>
      </c>
      <c r="J30" s="116" t="str">
        <f>IF(OR(B30="",C30="liquid",D30="Oral",D30="Nasal",ISTEXT(E30)),"",$K$6*Vaccine_Selection!K34/E30)</f>
        <v/>
      </c>
      <c r="K30" s="116" t="str">
        <f t="shared" si="1"/>
        <v/>
      </c>
      <c r="M30" s="512" t="str">
        <f>IF(Vaccine_Selection!M34="","",Vaccine_Selection!M34)</f>
        <v/>
      </c>
      <c r="N30" s="512" t="str">
        <f>IF(Vaccine_Selection!N34="","",Vaccine_Selection!N34)</f>
        <v/>
      </c>
      <c r="O30" s="512" t="str">
        <f>IF(Vaccine_Selection!O34="","",Vaccine_Selection!O34)</f>
        <v/>
      </c>
      <c r="P30" s="512" t="str">
        <f>IF(Vaccine_Selection!P34="","",Vaccine_Selection!P34)</f>
        <v/>
      </c>
      <c r="Q30" s="512" t="str">
        <f>IF(Vaccine_Selection!Q34="","",Vaccine_Selection!Q34)</f>
        <v/>
      </c>
      <c r="R30" s="511"/>
      <c r="S30" s="512" t="str">
        <f>IF(Vaccine_Selection!S34="","",Vaccine_Selection!S34)</f>
        <v/>
      </c>
      <c r="T30" s="512" t="str">
        <f>IF(Vaccine_Selection!T34="","",Vaccine_Selection!T34)</f>
        <v/>
      </c>
      <c r="U30" s="512" t="str">
        <f>IF(Vaccine_Selection!U34="","",Vaccine_Selection!U34)</f>
        <v/>
      </c>
    </row>
    <row r="31" spans="2:21" s="18" customFormat="1" ht="12" hidden="1">
      <c r="B31" s="19" t="str">
        <f>Volume_Inject!B31</f>
        <v/>
      </c>
      <c r="C31" s="19" t="str">
        <f>Volume_Inject!C31</f>
        <v/>
      </c>
      <c r="D31" s="19" t="str">
        <f>Volume_Inject!D31</f>
        <v/>
      </c>
      <c r="E31" s="20">
        <f>Volume_Inject!E31</f>
        <v>0</v>
      </c>
      <c r="F31" s="21">
        <f>Volume_Inject!F31</f>
        <v>0</v>
      </c>
      <c r="G31" s="21">
        <f>Volume_Inject!G31</f>
        <v>0</v>
      </c>
      <c r="H31" s="87"/>
      <c r="I31" s="115" t="str">
        <f t="shared" si="0"/>
        <v/>
      </c>
      <c r="J31" s="116" t="str">
        <f>IF(OR(B31="",C31="liquid",D31="Oral",D31="Nasal",ISTEXT(E31)),"",$K$6*Vaccine_Selection!K35/E31)</f>
        <v/>
      </c>
      <c r="K31" s="116" t="str">
        <f t="shared" si="1"/>
        <v/>
      </c>
      <c r="M31" s="512" t="str">
        <f>IF(Vaccine_Selection!M35="","",Vaccine_Selection!M35)</f>
        <v/>
      </c>
      <c r="N31" s="512" t="str">
        <f>IF(Vaccine_Selection!N35="","",Vaccine_Selection!N35)</f>
        <v/>
      </c>
      <c r="O31" s="512" t="str">
        <f>IF(Vaccine_Selection!O35="","",Vaccine_Selection!O35)</f>
        <v/>
      </c>
      <c r="P31" s="512" t="str">
        <f>IF(Vaccine_Selection!P35="","",Vaccine_Selection!P35)</f>
        <v/>
      </c>
      <c r="Q31" s="512" t="str">
        <f>IF(Vaccine_Selection!Q35="","",Vaccine_Selection!Q35)</f>
        <v/>
      </c>
      <c r="R31" s="511"/>
      <c r="S31" s="512" t="str">
        <f>IF(Vaccine_Selection!S35="","",Vaccine_Selection!S35)</f>
        <v/>
      </c>
      <c r="T31" s="512" t="str">
        <f>IF(Vaccine_Selection!T35="","",Vaccine_Selection!T35)</f>
        <v/>
      </c>
      <c r="U31" s="512" t="str">
        <f>IF(Vaccine_Selection!U35="","",Vaccine_Selection!U35)</f>
        <v/>
      </c>
    </row>
    <row r="32" spans="2:21" s="18" customFormat="1" ht="12" hidden="1">
      <c r="B32" s="19" t="str">
        <f>Volume_Inject!B32</f>
        <v/>
      </c>
      <c r="C32" s="19" t="str">
        <f>Volume_Inject!C32</f>
        <v/>
      </c>
      <c r="D32" s="19" t="str">
        <f>Volume_Inject!D32</f>
        <v/>
      </c>
      <c r="E32" s="20">
        <f>Volume_Inject!E32</f>
        <v>0</v>
      </c>
      <c r="F32" s="21">
        <f>Volume_Inject!F32</f>
        <v>0</v>
      </c>
      <c r="G32" s="21">
        <f>Volume_Inject!G32</f>
        <v>0</v>
      </c>
      <c r="H32" s="87"/>
      <c r="I32" s="115" t="str">
        <f t="shared" si="0"/>
        <v/>
      </c>
      <c r="J32" s="116" t="str">
        <f>IF(OR(B32="",C32="liquid",D32="Oral",D32="Nasal",ISTEXT(E32)),"",$K$6*Vaccine_Selection!K36/E32)</f>
        <v/>
      </c>
      <c r="K32" s="116" t="str">
        <f t="shared" si="1"/>
        <v/>
      </c>
      <c r="M32" s="512" t="str">
        <f>IF(Vaccine_Selection!M36="","",Vaccine_Selection!M36)</f>
        <v/>
      </c>
      <c r="N32" s="512" t="str">
        <f>IF(Vaccine_Selection!N36="","",Vaccine_Selection!N36)</f>
        <v/>
      </c>
      <c r="O32" s="512" t="str">
        <f>IF(Vaccine_Selection!O36="","",Vaccine_Selection!O36)</f>
        <v/>
      </c>
      <c r="P32" s="512" t="str">
        <f>IF(Vaccine_Selection!P36="","",Vaccine_Selection!P36)</f>
        <v/>
      </c>
      <c r="Q32" s="512" t="str">
        <f>IF(Vaccine_Selection!Q36="","",Vaccine_Selection!Q36)</f>
        <v/>
      </c>
      <c r="R32" s="511"/>
      <c r="S32" s="512" t="str">
        <f>IF(Vaccine_Selection!S36="","",Vaccine_Selection!S36)</f>
        <v/>
      </c>
      <c r="T32" s="512" t="str">
        <f>IF(Vaccine_Selection!T36="","",Vaccine_Selection!T36)</f>
        <v/>
      </c>
      <c r="U32" s="512" t="str">
        <f>IF(Vaccine_Selection!U36="","",Vaccine_Selection!U36)</f>
        <v/>
      </c>
    </row>
    <row r="33" spans="2:22" s="18" customFormat="1" ht="6" customHeight="1">
      <c r="B33" s="567"/>
      <c r="C33" s="567"/>
      <c r="D33" s="567"/>
      <c r="E33" s="567"/>
      <c r="F33" s="567"/>
      <c r="G33" s="567"/>
      <c r="H33" s="567"/>
      <c r="I33" s="567"/>
      <c r="J33" s="567"/>
      <c r="K33" s="567"/>
      <c r="L33" s="567"/>
      <c r="M33" s="567"/>
      <c r="N33" s="567"/>
      <c r="O33" s="567"/>
      <c r="P33" s="567"/>
      <c r="Q33" s="567"/>
      <c r="R33" s="577"/>
      <c r="S33" s="567"/>
      <c r="T33" s="567"/>
      <c r="U33" s="567"/>
      <c r="V33" s="567"/>
    </row>
    <row r="34" spans="2:22" s="18" customFormat="1" ht="11.4">
      <c r="B34" s="66"/>
      <c r="C34" s="66"/>
      <c r="D34" s="66"/>
      <c r="G34" s="66"/>
      <c r="H34" s="66"/>
      <c r="I34" s="66"/>
      <c r="J34" s="575"/>
      <c r="K34" s="575" t="str">
        <f>CONCATENATE(Translation!C83," ",Vaccine_Selection!$E$8)</f>
        <v xml:space="preserve">Total cost of vaccines per Unit of Population </v>
      </c>
      <c r="L34" s="66"/>
      <c r="M34" s="568">
        <f>IF(Vaccine_Selection!$E$8=target1,SUMPRODUCT(Vaccine_Selection!$H$17:$H$36,M$13:M$32),SUMPRODUCT(Vaccine_Selection!$H$17:$H$36,Vaccine_Selection!$L$17:$L$36,M$13:M$32))</f>
        <v>0</v>
      </c>
      <c r="N34" s="568">
        <f>IF(Vaccine_Selection!$E$8=target1,SUMPRODUCT(Vaccine_Selection!$H$17:$H$36,N$13:N$32),SUMPRODUCT(Vaccine_Selection!$H$17:$H$36,Vaccine_Selection!$L$17:$L$36,N$13:N$32))</f>
        <v>0</v>
      </c>
      <c r="O34" s="568">
        <f>IF(Vaccine_Selection!$E$8=target1,SUMPRODUCT(Vaccine_Selection!$H$17:$H$36,O$13:O$32),SUMPRODUCT(Vaccine_Selection!$H$17:$H$36,Vaccine_Selection!$L$17:$L$36,O$13:O$32))</f>
        <v>0</v>
      </c>
      <c r="P34" s="568">
        <f>IF(Vaccine_Selection!$E$8=target1,SUMPRODUCT(Vaccine_Selection!$H$17:$H$36,P$13:P$32),SUMPRODUCT(Vaccine_Selection!$H$17:$H$36,Vaccine_Selection!$L$17:$L$36,P$13:P$32))</f>
        <v>0</v>
      </c>
      <c r="Q34" s="568">
        <f>IF(Vaccine_Selection!$E$8=target1,SUMPRODUCT(Vaccine_Selection!$H$17:$H$36,Q$13:Q$32),SUMPRODUCT(Vaccine_Selection!$H$17:$H$36,Vaccine_Selection!$L$17:$L$36,Q$13:Q$32))</f>
        <v>0</v>
      </c>
      <c r="R34" s="578" t="str">
        <f>Translation!C87</f>
        <v>Total cost of vaccines per recipient</v>
      </c>
      <c r="S34" s="568">
        <f>SUMPRODUCT(Vaccine_Selection!$H$17:$H$36,S$13:S$32)</f>
        <v>0</v>
      </c>
      <c r="T34" s="568">
        <f>SUMPRODUCT(Vaccine_Selection!$H$17:$H$36,T$13:T$32)</f>
        <v>0</v>
      </c>
      <c r="U34" s="568">
        <f>SUMPRODUCT(Vaccine_Selection!$H$17:$H$36,U$13:U$32)</f>
        <v>0</v>
      </c>
    </row>
    <row r="35" spans="2:22" s="18" customFormat="1" ht="11.4">
      <c r="B35" s="569"/>
      <c r="C35" s="569"/>
      <c r="D35" s="569"/>
      <c r="G35" s="569"/>
      <c r="H35" s="569"/>
      <c r="I35" s="569"/>
      <c r="J35" s="575"/>
      <c r="K35" s="575" t="str">
        <f>CONCATENATE(Translation!C84," ",Vaccine_Selection!$E$8)</f>
        <v xml:space="preserve">Total cost of safe injection equipment per Unit of Population </v>
      </c>
      <c r="L35" s="570"/>
      <c r="M35" s="571">
        <f>IF(Vaccine_Selection!$E$8=target1,SUMPRODUCT($I$13:$I$32,M$13:M$32)+SUMPRODUCT($J$13:$J$32,M$13:M$32)+SUMPRODUCT($K$13:$K$32,M$13:M$32),SUMPRODUCT(Vaccine_Selection!$L$17:$L$36,$I$13:$I$32,M$13:M$32)+SUMPRODUCT(Vaccine_Selection!$L$17:$L$36,$J$13:$J$32,M$13:M$32)+SUMPRODUCT(Vaccine_Selection!$L$17:$L$36,$K$13:$K$32,M$13:M$32))</f>
        <v>1.4081639000000002E-2</v>
      </c>
      <c r="N35" s="571">
        <f>IF(Vaccine_Selection!$E$8=target1,SUMPRODUCT($I$13:$I$32,N$13:N$32)+SUMPRODUCT($J$13:$J$32,N$13:N$32)+SUMPRODUCT($K$13:$K$32,N$13:N$32),SUMPRODUCT(Vaccine_Selection!$L$17:$L$36,$I$13:$I$32,N$13:N$32)+SUMPRODUCT(Vaccine_Selection!$L$17:$L$36,$J$13:$J$32,N$13:N$32)+SUMPRODUCT(Vaccine_Selection!$L$17:$L$36,$K$13:$K$32,N$13:N$32))</f>
        <v>1.4081639000000002E-2</v>
      </c>
      <c r="O35" s="571">
        <f>IF(Vaccine_Selection!$E$8=target1,SUMPRODUCT($I$13:$I$32,O$13:O$32)+SUMPRODUCT($J$13:$J$32,O$13:O$32)+SUMPRODUCT($K$13:$K$32,O$13:O$32),SUMPRODUCT(Vaccine_Selection!$L$17:$L$36,$I$13:$I$32,O$13:O$32)+SUMPRODUCT(Vaccine_Selection!$L$17:$L$36,$J$13:$J$32,O$13:O$32)+SUMPRODUCT(Vaccine_Selection!$L$17:$L$36,$K$13:$K$32,O$13:O$32))</f>
        <v>9.5985890000000011E-3</v>
      </c>
      <c r="P35" s="571">
        <f>IF(Vaccine_Selection!$E$8=target1,SUMPRODUCT($I$13:$I$32,P$13:P$32)+SUMPRODUCT($J$13:$J$32,P$13:P$32)+SUMPRODUCT($K$13:$K$32,P$13:P$32),SUMPRODUCT(Vaccine_Selection!$L$17:$L$36,$I$13:$I$32,P$13:P$32)+SUMPRODUCT(Vaccine_Selection!$L$17:$L$36,$J$13:$J$32,P$13:P$32)+SUMPRODUCT(Vaccine_Selection!$L$17:$L$36,$K$13:$K$32,P$13:P$32))</f>
        <v>0</v>
      </c>
      <c r="Q35" s="571">
        <f>IF(Vaccine_Selection!$E$8=target1,SUMPRODUCT($I$13:$I$32,Q$13:Q$32)+SUMPRODUCT($J$13:$J$32,Q$13:Q$32)+SUMPRODUCT($K$13:$K$32,Q$13:Q$32),SUMPRODUCT(Vaccine_Selection!$L$17:$L$36,$I$13:$I$32,Q$13:Q$32)+SUMPRODUCT(Vaccine_Selection!$L$17:$L$36,$J$13:$J$32,Q$13:Q$32)+SUMPRODUCT(Vaccine_Selection!$L$17:$L$36,$K$13:$K$32,Q$13:Q$32))</f>
        <v>0</v>
      </c>
      <c r="R35" s="578" t="str">
        <f>Translation!C88</f>
        <v>Total cost of safe injection equipment per recipient</v>
      </c>
      <c r="S35" s="571">
        <f>SUMPRODUCT($I$13:$I$32,S$13:S$32)+SUMPRODUCT($J$13:$J$32,S$13:S$32)+SUMPRODUCT($K$13:$K$32,S$13:S$32)</f>
        <v>0</v>
      </c>
      <c r="T35" s="571">
        <f>SUMPRODUCT($I$13:$I$32,T$13:T$32)+SUMPRODUCT($J$13:$J$32,T$13:T$32)+SUMPRODUCT($K$13:$K$32,T$13:T$32)</f>
        <v>0</v>
      </c>
      <c r="U35" s="571">
        <f>SUMPRODUCT($I$13:$I$32,U$13:U$32)+SUMPRODUCT($J$13:$J$32,U$13:U$32)+SUMPRODUCT($K$13:$K$32,U$13:U$32)</f>
        <v>0</v>
      </c>
    </row>
    <row r="36" spans="2:22" s="5" customFormat="1" ht="7.5" customHeight="1">
      <c r="B36" s="569"/>
      <c r="C36" s="569"/>
      <c r="D36" s="569"/>
      <c r="G36" s="569"/>
      <c r="H36" s="569"/>
      <c r="I36" s="569"/>
      <c r="J36" s="569"/>
      <c r="K36" s="569"/>
      <c r="L36" s="572"/>
      <c r="M36" s="573"/>
      <c r="N36" s="66"/>
      <c r="O36" s="18"/>
      <c r="R36" s="577"/>
    </row>
    <row r="37" spans="2:22" s="5" customFormat="1" ht="11.4">
      <c r="G37" s="187"/>
      <c r="H37" s="187"/>
      <c r="I37" s="187"/>
      <c r="J37" s="187"/>
      <c r="K37" s="576" t="str">
        <f>CONCATENATE(Translation!C85," ",Vaccine_Selection!$E$8)</f>
        <v xml:space="preserve">Total cost of vaccines &amp; safe injection equipment per Unit of Population </v>
      </c>
      <c r="M37" s="568">
        <f t="shared" ref="M37:U37" si="2">SUM(M34:M35)</f>
        <v>1.4081639000000002E-2</v>
      </c>
      <c r="N37" s="568">
        <f t="shared" si="2"/>
        <v>1.4081639000000002E-2</v>
      </c>
      <c r="O37" s="568">
        <f t="shared" si="2"/>
        <v>9.5985890000000011E-3</v>
      </c>
      <c r="P37" s="568">
        <f t="shared" si="2"/>
        <v>0</v>
      </c>
      <c r="Q37" s="568">
        <f t="shared" si="2"/>
        <v>0</v>
      </c>
      <c r="R37" s="578" t="str">
        <f>Translation!C89</f>
        <v>Total cost of vaccines &amp; safe injection equipment per recipient</v>
      </c>
      <c r="S37" s="568">
        <f t="shared" si="2"/>
        <v>0</v>
      </c>
      <c r="T37" s="568">
        <f>SUM(T34:T35)</f>
        <v>0</v>
      </c>
      <c r="U37" s="568">
        <f t="shared" si="2"/>
        <v>0</v>
      </c>
    </row>
    <row r="38" spans="2:22" s="5" customFormat="1">
      <c r="G38" s="187"/>
      <c r="H38" s="187"/>
      <c r="I38" s="187"/>
      <c r="J38" s="187"/>
      <c r="K38" s="576" t="str">
        <f>Translation!C86</f>
        <v>Increase of total cost per recipient compared to current schedule</v>
      </c>
      <c r="M38" s="38"/>
      <c r="N38" s="574">
        <f>IF(OR($M$37=0,N37=0),"",(N37-$M$37)/$M$37)</f>
        <v>0</v>
      </c>
      <c r="O38" s="574">
        <f>IF(OR($M$37=0,O37=0),"",(O37-$M$37)/$M$37)</f>
        <v>-0.31836137824581356</v>
      </c>
      <c r="P38" s="574" t="str">
        <f>IF(OR($M$37=0,P37=0),"",(P37-$M$37)/$M$37)</f>
        <v/>
      </c>
      <c r="Q38" s="574" t="str">
        <f>IF(OR($M$37=0,Q37=0),"",(Q37-$M$37)/$M$37)</f>
        <v/>
      </c>
      <c r="R38" s="68"/>
      <c r="S38" s="86"/>
      <c r="T38" s="574" t="str">
        <f>IF(OR($S$37=0,T37=0),"",(T37-$S$37)/$S$37)</f>
        <v/>
      </c>
      <c r="U38" s="574" t="str">
        <f>IF(OR($S$37=0,U37=0),"",(U37-$S$37)/$S$37)</f>
        <v/>
      </c>
    </row>
    <row r="39" spans="2:22" s="5" customFormat="1" ht="11.4"/>
  </sheetData>
  <sheetProtection sheet="1" objects="1" scenarios="1"/>
  <phoneticPr fontId="0" type="noConversion"/>
  <conditionalFormatting sqref="M37:Q37 M34:Q35">
    <cfRule type="cellIs" dxfId="23" priority="1" stopIfTrue="1" operator="equal">
      <formula>MAX($M34:$Q34)</formula>
    </cfRule>
    <cfRule type="cellIs" dxfId="22" priority="2" stopIfTrue="1" operator="equal">
      <formula>MIN($M34:$Q34)</formula>
    </cfRule>
  </conditionalFormatting>
  <conditionalFormatting sqref="S37:U37 S34:U35">
    <cfRule type="cellIs" dxfId="21" priority="3" stopIfTrue="1" operator="equal">
      <formula>MAX($S34:$U34)</formula>
    </cfRule>
  </conditionalFormatting>
  <conditionalFormatting sqref="I13:K32">
    <cfRule type="cellIs" dxfId="20" priority="4" stopIfTrue="1" operator="notBetween">
      <formula>0</formula>
      <formula>1000</formula>
    </cfRule>
  </conditionalFormatting>
  <conditionalFormatting sqref="E13:G32">
    <cfRule type="cellIs" dxfId="19" priority="5" stopIfTrue="1" operator="equal">
      <formula>0</formula>
    </cfRule>
  </conditionalFormatting>
  <conditionalFormatting sqref="B13:D32">
    <cfRule type="cellIs" dxfId="18" priority="6" stopIfTrue="1" operator="equal">
      <formula>""</formula>
    </cfRule>
  </conditionalFormatting>
  <dataValidations xWindow="259" yWindow="152" count="3">
    <dataValidation allowBlank="1" showErrorMessage="1" promptTitle="Price per unit:" prompt="Indicate the cost of syringe for injection (AD syringe) for your programme. The figures given here for indication only!" sqref="K5" xr:uid="{00000000-0002-0000-0700-000000000000}"/>
    <dataValidation allowBlank="1" showErrorMessage="1" promptTitle="Price per unit:" prompt="Indicate the cost of syringe for dilution for your programme. The figures given here for indication only!" sqref="K6" xr:uid="{00000000-0002-0000-0700-000001000000}"/>
    <dataValidation allowBlank="1" showErrorMessage="1" promptTitle="Price per unit:" prompt="Indicate the cost of safety boxes for your programme. The figures given here for indication only!" sqref="K7:K8" xr:uid="{00000000-0002-0000-0700-000002000000}"/>
  </dataValidations>
  <hyperlinks>
    <hyperlink ref="U2" location="Index!B1" display="Index!B1" xr:uid="{00000000-0004-0000-0700-000000000000}"/>
  </hyperlinks>
  <printOptions horizontalCentered="1"/>
  <pageMargins left="0.33" right="0.17" top="0.32" bottom="0.41" header="0.17" footer="0.18"/>
  <pageSetup paperSize="9" orientation="landscape" r:id="rId1"/>
  <headerFooter alignWithMargins="0">
    <oddFooter>&amp;L&amp;8&amp;F, &amp;A, Rev.Jan10&amp;R&amp;8WHO/IVB/EPI Logistics docs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21"/>
    <pageSetUpPr fitToPage="1"/>
  </sheetPr>
  <dimension ref="B1:Q2"/>
  <sheetViews>
    <sheetView showGridLines="0" workbookViewId="0">
      <selection activeCell="T11" sqref="T11"/>
    </sheetView>
  </sheetViews>
  <sheetFormatPr defaultColWidth="8.77734375" defaultRowHeight="13.2"/>
  <cols>
    <col min="1" max="1" width="1.6640625" customWidth="1"/>
    <col min="2" max="17" width="8.6640625" customWidth="1"/>
    <col min="18" max="18" width="1.6640625" customWidth="1"/>
    <col min="19" max="19" width="6.109375" customWidth="1"/>
  </cols>
  <sheetData>
    <row r="1" spans="2:17" s="4" customFormat="1" ht="10.199999999999999"/>
    <row r="2" spans="2:17" s="729" customFormat="1" ht="21">
      <c r="B2" s="711" t="str">
        <f>Translation!C206</f>
        <v>Illustration of results from analysis of vaccines used in routine vaccination</v>
      </c>
      <c r="C2" s="711"/>
      <c r="D2" s="711"/>
      <c r="E2" s="711"/>
      <c r="F2" s="711"/>
      <c r="G2" s="711"/>
      <c r="H2" s="711"/>
      <c r="I2" s="711"/>
      <c r="J2" s="711"/>
      <c r="K2" s="711"/>
      <c r="L2" s="711"/>
      <c r="M2" s="711"/>
      <c r="N2" s="711"/>
      <c r="O2" s="711"/>
      <c r="P2" s="711"/>
      <c r="Q2" s="711"/>
    </row>
  </sheetData>
  <sheetProtection sheet="1" objects="1" scenarios="1"/>
  <phoneticPr fontId="4" type="noConversion"/>
  <printOptions horizontalCentered="1"/>
  <pageMargins left="0.27" right="0.27" top="0.28000000000000003" bottom="0.34" header="0.18" footer="0.16"/>
  <pageSetup paperSize="9" scale="91" orientation="landscape" r:id="rId1"/>
  <headerFooter alignWithMargins="0">
    <oddFooter>&amp;L&amp;8&amp;F&amp;A, Rev.Jan07&amp;R&amp;8WHO/IVB/EPI Logistics docs</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21"/>
  </sheetPr>
  <dimension ref="B1:R2"/>
  <sheetViews>
    <sheetView showGridLines="0" zoomScale="90" workbookViewId="0">
      <selection activeCell="F28" sqref="F28"/>
    </sheetView>
  </sheetViews>
  <sheetFormatPr defaultColWidth="8.77734375" defaultRowHeight="13.2"/>
  <cols>
    <col min="1" max="1" width="1.6640625" customWidth="1"/>
    <col min="2" max="17" width="8.6640625" customWidth="1"/>
    <col min="18" max="18" width="1.6640625" customWidth="1"/>
  </cols>
  <sheetData>
    <row r="1" spans="2:18" s="4" customFormat="1" ht="7.05" customHeight="1"/>
    <row r="2" spans="2:18" s="728" customFormat="1" ht="21">
      <c r="B2" s="711" t="str">
        <f>Translation!C207</f>
        <v>Illustration of results from analysis of vaccines planned for vaccination campaign</v>
      </c>
      <c r="C2" s="711"/>
      <c r="D2" s="711"/>
      <c r="E2" s="711"/>
      <c r="F2" s="711"/>
      <c r="G2" s="711"/>
      <c r="H2" s="711"/>
      <c r="I2" s="711"/>
      <c r="J2" s="711"/>
      <c r="K2" s="711"/>
      <c r="L2" s="711"/>
      <c r="M2" s="711"/>
      <c r="N2" s="711"/>
      <c r="O2" s="711"/>
      <c r="P2" s="711"/>
      <c r="Q2" s="711"/>
      <c r="R2" s="727"/>
    </row>
  </sheetData>
  <sheetProtection sheet="1" objects="1" scenarios="1"/>
  <phoneticPr fontId="4" type="noConversion"/>
  <printOptions horizontalCentered="1"/>
  <pageMargins left="0.27" right="0.27" top="0.25" bottom="0.35" header="0.16" footer="0.16"/>
  <pageSetup paperSize="9" orientation="landscape" r:id="rId1"/>
  <headerFooter alignWithMargins="0">
    <oddFooter>&amp;L&amp;8&amp;F&amp;A, Rev.Jan07&amp;R&amp;8WHO/IVB/EPI Logistics docs</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indexed="12"/>
  </sheetPr>
  <dimension ref="B1:W90"/>
  <sheetViews>
    <sheetView showGridLines="0" topLeftCell="E1" workbookViewId="0">
      <pane ySplit="5" topLeftCell="A29" activePane="bottomLeft" state="frozen"/>
      <selection activeCell="F29" sqref="B2:F29"/>
      <selection pane="bottomLeft" activeCell="Y38" sqref="Y38"/>
    </sheetView>
  </sheetViews>
  <sheetFormatPr defaultColWidth="11.44140625" defaultRowHeight="13.8"/>
  <cols>
    <col min="1" max="1" width="1.44140625" style="15" customWidth="1"/>
    <col min="2" max="2" width="12.6640625" customWidth="1"/>
    <col min="3" max="3" width="17.6640625" style="62" customWidth="1"/>
    <col min="4" max="4" width="16.109375" style="14" customWidth="1"/>
    <col min="5" max="5" width="17.44140625" style="62" customWidth="1"/>
    <col min="6" max="6" width="8.77734375" style="62" customWidth="1"/>
    <col min="7" max="7" width="12.6640625" style="348" customWidth="1"/>
    <col min="8" max="9" width="7.6640625" style="79" customWidth="1"/>
    <col min="10" max="12" width="6.6640625" style="354" customWidth="1"/>
    <col min="13" max="15" width="7.6640625" style="354" customWidth="1"/>
    <col min="16" max="19" width="8.6640625" style="63" customWidth="1"/>
    <col min="20" max="20" width="7.44140625" style="63" customWidth="1"/>
    <col min="21" max="21" width="7.44140625" style="340" bestFit="1" customWidth="1"/>
    <col min="22" max="22" width="7.44140625" style="340" customWidth="1"/>
    <col min="23" max="23" width="17.44140625" style="340" bestFit="1" customWidth="1"/>
    <col min="24" max="16384" width="11.44140625" style="15"/>
  </cols>
  <sheetData>
    <row r="1" spans="2:23" s="699" customFormat="1" ht="21">
      <c r="B1" s="688" t="str">
        <f>Translation!C110</f>
        <v>Passive container database</v>
      </c>
      <c r="C1" s="689"/>
      <c r="D1" s="690"/>
      <c r="E1" s="691"/>
      <c r="F1" s="692" t="str">
        <f>Translation!C111</f>
        <v xml:space="preserve">No user action required </v>
      </c>
      <c r="G1" s="693"/>
      <c r="H1" s="694"/>
      <c r="I1" s="694"/>
      <c r="J1" s="693"/>
      <c r="K1" s="693"/>
      <c r="L1" s="693"/>
      <c r="M1" s="693"/>
      <c r="N1" s="693"/>
      <c r="O1" s="693"/>
      <c r="P1" s="695"/>
      <c r="Q1" s="696" t="str">
        <f>Translation!C109</f>
        <v>Index</v>
      </c>
      <c r="R1" s="695"/>
      <c r="S1" s="695"/>
      <c r="T1" s="695"/>
      <c r="U1" s="697"/>
      <c r="V1" s="697"/>
      <c r="W1" s="698" t="s">
        <v>1536</v>
      </c>
    </row>
    <row r="2" spans="2:23" s="66" customFormat="1" ht="12">
      <c r="B2" s="277" t="s">
        <v>1869</v>
      </c>
      <c r="C2" s="280"/>
      <c r="D2" s="275"/>
      <c r="E2" s="278"/>
      <c r="F2" s="278"/>
      <c r="G2" s="342"/>
      <c r="H2" s="279"/>
      <c r="I2" s="279" t="str">
        <f>Translation!C119</f>
        <v>Nbr of products listed:</v>
      </c>
      <c r="J2" s="349"/>
      <c r="K2" s="349"/>
      <c r="L2" s="598">
        <f>COUNTIF(B6:B90,"*")</f>
        <v>66</v>
      </c>
      <c r="M2" s="349"/>
      <c r="N2" s="349"/>
      <c r="O2" s="349"/>
      <c r="P2" s="282"/>
      <c r="Q2" s="282"/>
      <c r="R2" s="282"/>
      <c r="S2" s="282"/>
      <c r="T2" s="282"/>
      <c r="U2" s="334"/>
      <c r="V2" s="334"/>
      <c r="W2" s="334"/>
    </row>
    <row r="3" spans="2:23" s="80" customFormat="1">
      <c r="B3" s="248"/>
      <c r="C3" s="249" t="str">
        <f>Translation!C114</f>
        <v>Equipment identification</v>
      </c>
      <c r="D3" s="248"/>
      <c r="E3" s="248"/>
      <c r="F3" s="248"/>
      <c r="G3" s="343" t="str">
        <f>Translation!C112</f>
        <v>Vaccine storage</v>
      </c>
      <c r="H3" s="269" t="str">
        <f>Translation!C120</f>
        <v>Weight (kg)</v>
      </c>
      <c r="I3" s="269"/>
      <c r="J3" s="350" t="str">
        <f>Translation!C123</f>
        <v>External dimensions (cm)</v>
      </c>
      <c r="K3" s="351"/>
      <c r="L3" s="352"/>
      <c r="M3" s="350" t="str">
        <f>Translation!C127</f>
        <v>Vaccine storage dimensions</v>
      </c>
      <c r="N3" s="351"/>
      <c r="O3" s="352"/>
      <c r="P3" s="249" t="str">
        <f>Translation!C131</f>
        <v>Water-packs required</v>
      </c>
      <c r="Q3" s="249"/>
      <c r="R3" s="247" t="str">
        <f>Translation!C134</f>
        <v>Cold life</v>
      </c>
      <c r="S3" s="247" t="str">
        <f>Translation!C135</f>
        <v>Warm life</v>
      </c>
      <c r="T3" s="247" t="str">
        <f>Translation!C136</f>
        <v>Cool life</v>
      </c>
      <c r="U3" s="597" t="str">
        <f>Translation!C137</f>
        <v>Price</v>
      </c>
      <c r="V3" s="832" t="str">
        <f>Translation!C139</f>
        <v>External volume (litres)</v>
      </c>
      <c r="W3" s="247" t="str">
        <f>Translation!C140</f>
        <v>Bulking factor</v>
      </c>
    </row>
    <row r="4" spans="2:23" s="80" customFormat="1">
      <c r="B4" s="302" t="s">
        <v>1880</v>
      </c>
      <c r="C4" s="304" t="str">
        <f>Translation!C115</f>
        <v>Type</v>
      </c>
      <c r="D4" s="247" t="str">
        <f>Translation!C116</f>
        <v>Make</v>
      </c>
      <c r="E4" s="247" t="str">
        <f>Translation!C117</f>
        <v>Model</v>
      </c>
      <c r="F4" s="247" t="str">
        <f>Translation!C118</f>
        <v>Type ref</v>
      </c>
      <c r="G4" s="344" t="str">
        <f>Translation!C113</f>
        <v>capacity (l)</v>
      </c>
      <c r="H4" s="270" t="str">
        <f>Translation!C121</f>
        <v>loaded</v>
      </c>
      <c r="I4" s="306" t="str">
        <f>Translation!C122</f>
        <v>empty</v>
      </c>
      <c r="J4" s="343" t="str">
        <f>Translation!C124</f>
        <v>W</v>
      </c>
      <c r="K4" s="343" t="str">
        <f>Translation!C125</f>
        <v>D</v>
      </c>
      <c r="L4" s="343" t="str">
        <f>Translation!C126</f>
        <v>H</v>
      </c>
      <c r="M4" s="343" t="str">
        <f>Translation!C128</f>
        <v>W</v>
      </c>
      <c r="N4" s="343" t="str">
        <f>Translation!C129</f>
        <v>D</v>
      </c>
      <c r="O4" s="343" t="str">
        <f>Translation!C130</f>
        <v>H</v>
      </c>
      <c r="P4" s="247" t="str">
        <f>Translation!C132</f>
        <v>Type</v>
      </c>
      <c r="Q4" s="262" t="str">
        <f>Translation!C133</f>
        <v>Number</v>
      </c>
      <c r="R4" s="300" t="s">
        <v>1099</v>
      </c>
      <c r="S4" s="300" t="s">
        <v>1100</v>
      </c>
      <c r="T4" s="307" t="s">
        <v>1099</v>
      </c>
      <c r="U4" s="335" t="str">
        <f>Translation!C138</f>
        <v>FOB ($)</v>
      </c>
      <c r="V4" s="833"/>
      <c r="W4" s="834" t="str">
        <f>Translation!C141</f>
        <v>(Ext vol/ vax capacity)</v>
      </c>
    </row>
    <row r="5" spans="2:23" s="80" customFormat="1">
      <c r="B5" s="303" t="s">
        <v>1018</v>
      </c>
      <c r="C5" s="305"/>
      <c r="D5" s="271"/>
      <c r="E5" s="271"/>
      <c r="F5" s="271"/>
      <c r="G5" s="345"/>
      <c r="H5" s="272"/>
      <c r="I5" s="301"/>
      <c r="J5" s="353"/>
      <c r="K5" s="353"/>
      <c r="L5" s="353"/>
      <c r="M5" s="353"/>
      <c r="N5" s="353"/>
      <c r="O5" s="353"/>
      <c r="P5" s="271"/>
      <c r="Q5" s="273"/>
      <c r="R5" s="274"/>
      <c r="S5" s="274"/>
      <c r="T5" s="274"/>
      <c r="U5" s="336"/>
      <c r="V5" s="833"/>
      <c r="W5" s="835"/>
    </row>
    <row r="6" spans="2:23" s="276" customFormat="1" ht="13.2" customHeight="1">
      <c r="B6" s="309" t="s">
        <v>1174</v>
      </c>
      <c r="C6" s="309" t="s">
        <v>1102</v>
      </c>
      <c r="D6" s="310" t="s">
        <v>1172</v>
      </c>
      <c r="E6" s="309" t="s">
        <v>1173</v>
      </c>
      <c r="F6" s="309" t="s">
        <v>674</v>
      </c>
      <c r="G6" s="346">
        <v>16.2</v>
      </c>
      <c r="H6" s="311">
        <v>31.8</v>
      </c>
      <c r="I6" s="311">
        <v>16.3</v>
      </c>
      <c r="J6" s="332">
        <v>54</v>
      </c>
      <c r="K6" s="332">
        <v>54</v>
      </c>
      <c r="L6" s="332">
        <v>57</v>
      </c>
      <c r="M6" s="332">
        <v>25</v>
      </c>
      <c r="N6" s="332">
        <v>25</v>
      </c>
      <c r="O6" s="332">
        <v>26</v>
      </c>
      <c r="P6" s="312">
        <v>0.4</v>
      </c>
      <c r="Q6" s="313">
        <v>12</v>
      </c>
      <c r="R6" s="312">
        <v>107</v>
      </c>
      <c r="S6" s="312" t="s">
        <v>1139</v>
      </c>
      <c r="T6" s="312" t="s">
        <v>1139</v>
      </c>
      <c r="U6" s="337">
        <v>296</v>
      </c>
      <c r="V6" s="356">
        <f t="shared" ref="V6:V14" si="0">J6*K6*L6/1000</f>
        <v>166.21199999999999</v>
      </c>
      <c r="W6" s="356">
        <f t="shared" ref="W6:W37" si="1">V6/G6</f>
        <v>10.26</v>
      </c>
    </row>
    <row r="7" spans="2:23" s="276" customFormat="1" ht="13.2" customHeight="1">
      <c r="B7" s="309" t="s">
        <v>1177</v>
      </c>
      <c r="C7" s="309" t="s">
        <v>1175</v>
      </c>
      <c r="D7" s="310" t="s">
        <v>1172</v>
      </c>
      <c r="E7" s="309" t="s">
        <v>1176</v>
      </c>
      <c r="F7" s="309" t="s">
        <v>675</v>
      </c>
      <c r="G7" s="346">
        <v>6.5</v>
      </c>
      <c r="H7" s="311">
        <v>20.6</v>
      </c>
      <c r="I7" s="311">
        <v>12.5</v>
      </c>
      <c r="J7" s="332">
        <v>47</v>
      </c>
      <c r="K7" s="332">
        <v>47</v>
      </c>
      <c r="L7" s="332">
        <v>50</v>
      </c>
      <c r="M7" s="332">
        <v>18</v>
      </c>
      <c r="N7" s="332">
        <v>18</v>
      </c>
      <c r="O7" s="332">
        <v>20</v>
      </c>
      <c r="P7" s="312">
        <v>0.4</v>
      </c>
      <c r="Q7" s="313">
        <v>8</v>
      </c>
      <c r="R7" s="312">
        <v>81</v>
      </c>
      <c r="S7" s="312" t="s">
        <v>1139</v>
      </c>
      <c r="T7" s="312" t="s">
        <v>1139</v>
      </c>
      <c r="U7" s="337">
        <v>190</v>
      </c>
      <c r="V7" s="356">
        <f t="shared" si="0"/>
        <v>110.45</v>
      </c>
      <c r="W7" s="356">
        <f t="shared" si="1"/>
        <v>16.992307692307694</v>
      </c>
    </row>
    <row r="8" spans="2:23" s="276" customFormat="1" ht="13.2">
      <c r="B8" s="309" t="s">
        <v>252</v>
      </c>
      <c r="C8" s="309" t="s">
        <v>249</v>
      </c>
      <c r="D8" s="310" t="s">
        <v>250</v>
      </c>
      <c r="E8" s="309" t="s">
        <v>251</v>
      </c>
      <c r="F8" s="309" t="s">
        <v>676</v>
      </c>
      <c r="G8" s="346">
        <v>1.7</v>
      </c>
      <c r="H8" s="311">
        <v>5.0999999999999996</v>
      </c>
      <c r="I8" s="311">
        <v>2.5</v>
      </c>
      <c r="J8" s="332">
        <v>24</v>
      </c>
      <c r="K8" s="332">
        <v>24</v>
      </c>
      <c r="L8" s="332">
        <v>33</v>
      </c>
      <c r="M8" s="332">
        <v>10</v>
      </c>
      <c r="N8" s="332">
        <v>10</v>
      </c>
      <c r="O8" s="332">
        <v>18</v>
      </c>
      <c r="P8" s="312">
        <v>0.3</v>
      </c>
      <c r="Q8" s="313">
        <v>4</v>
      </c>
      <c r="R8" s="312">
        <v>34</v>
      </c>
      <c r="S8" s="312" t="s">
        <v>1139</v>
      </c>
      <c r="T8" s="312" t="s">
        <v>1139</v>
      </c>
      <c r="U8" s="337">
        <v>19.73</v>
      </c>
      <c r="V8" s="356">
        <f t="shared" si="0"/>
        <v>19.007999999999999</v>
      </c>
      <c r="W8" s="356">
        <f t="shared" si="1"/>
        <v>11.181176470588236</v>
      </c>
    </row>
    <row r="9" spans="2:23" s="276" customFormat="1" ht="13.2">
      <c r="B9" s="309" t="s">
        <v>698</v>
      </c>
      <c r="C9" s="309" t="s">
        <v>249</v>
      </c>
      <c r="D9" s="310" t="s">
        <v>696</v>
      </c>
      <c r="E9" s="309" t="s">
        <v>697</v>
      </c>
      <c r="F9" s="309" t="s">
        <v>676</v>
      </c>
      <c r="G9" s="346">
        <v>1.4</v>
      </c>
      <c r="H9" s="311">
        <v>4.5</v>
      </c>
      <c r="I9" s="311">
        <v>2.4</v>
      </c>
      <c r="J9" s="330">
        <v>25</v>
      </c>
      <c r="K9" s="330">
        <v>25</v>
      </c>
      <c r="L9" s="330">
        <v>26</v>
      </c>
      <c r="M9" s="332">
        <v>16</v>
      </c>
      <c r="N9" s="332">
        <v>16</v>
      </c>
      <c r="O9" s="332">
        <v>18</v>
      </c>
      <c r="P9" s="312">
        <v>0.3</v>
      </c>
      <c r="Q9" s="313">
        <v>4</v>
      </c>
      <c r="R9" s="312">
        <v>37</v>
      </c>
      <c r="S9" s="312" t="s">
        <v>1139</v>
      </c>
      <c r="T9" s="312" t="s">
        <v>1139</v>
      </c>
      <c r="U9" s="337">
        <v>21</v>
      </c>
      <c r="V9" s="356">
        <f t="shared" si="0"/>
        <v>16.25</v>
      </c>
      <c r="W9" s="356">
        <f t="shared" si="1"/>
        <v>11.607142857142858</v>
      </c>
    </row>
    <row r="10" spans="2:23" s="276" customFormat="1" ht="13.2">
      <c r="B10" s="309" t="s">
        <v>700</v>
      </c>
      <c r="C10" s="309" t="s">
        <v>1175</v>
      </c>
      <c r="D10" s="310" t="s">
        <v>1172</v>
      </c>
      <c r="E10" s="309" t="s">
        <v>699</v>
      </c>
      <c r="F10" s="309" t="s">
        <v>675</v>
      </c>
      <c r="G10" s="346">
        <v>4</v>
      </c>
      <c r="H10" s="311">
        <v>13.5</v>
      </c>
      <c r="I10" s="311">
        <v>7.2</v>
      </c>
      <c r="J10" s="332">
        <v>39</v>
      </c>
      <c r="K10" s="332">
        <v>39</v>
      </c>
      <c r="L10" s="332">
        <v>41</v>
      </c>
      <c r="M10" s="332">
        <v>16</v>
      </c>
      <c r="N10" s="332">
        <v>16</v>
      </c>
      <c r="O10" s="332">
        <v>16</v>
      </c>
      <c r="P10" s="312">
        <v>0.4</v>
      </c>
      <c r="Q10" s="313">
        <v>6</v>
      </c>
      <c r="R10" s="312">
        <v>83</v>
      </c>
      <c r="S10" s="312" t="s">
        <v>1139</v>
      </c>
      <c r="T10" s="312" t="s">
        <v>1139</v>
      </c>
      <c r="U10" s="337">
        <v>138</v>
      </c>
      <c r="V10" s="356">
        <f t="shared" si="0"/>
        <v>62.360999999999997</v>
      </c>
      <c r="W10" s="356">
        <f t="shared" si="1"/>
        <v>15.590249999999999</v>
      </c>
    </row>
    <row r="11" spans="2:23" s="276" customFormat="1" ht="13.2">
      <c r="B11" s="309" t="s">
        <v>702</v>
      </c>
      <c r="C11" s="309" t="s">
        <v>1175</v>
      </c>
      <c r="D11" s="310" t="s">
        <v>701</v>
      </c>
      <c r="E11" s="333" t="s">
        <v>1137</v>
      </c>
      <c r="F11" s="309" t="s">
        <v>675</v>
      </c>
      <c r="G11" s="346">
        <v>9.75</v>
      </c>
      <c r="H11" s="311">
        <v>32.9</v>
      </c>
      <c r="I11" s="311">
        <v>17.600000000000001</v>
      </c>
      <c r="J11" s="332">
        <v>56</v>
      </c>
      <c r="K11" s="332">
        <v>61</v>
      </c>
      <c r="L11" s="332">
        <v>49</v>
      </c>
      <c r="M11" s="332">
        <v>25</v>
      </c>
      <c r="N11" s="332">
        <v>30</v>
      </c>
      <c r="O11" s="332">
        <v>13</v>
      </c>
      <c r="P11" s="312">
        <v>0.4</v>
      </c>
      <c r="Q11" s="313">
        <v>24</v>
      </c>
      <c r="R11" s="312">
        <v>119</v>
      </c>
      <c r="S11" s="312" t="s">
        <v>1139</v>
      </c>
      <c r="T11" s="312" t="s">
        <v>1139</v>
      </c>
      <c r="U11" s="337">
        <v>175</v>
      </c>
      <c r="V11" s="356">
        <f t="shared" si="0"/>
        <v>167.38399999999999</v>
      </c>
      <c r="W11" s="356">
        <f t="shared" si="1"/>
        <v>17.16758974358974</v>
      </c>
    </row>
    <row r="12" spans="2:23" s="276" customFormat="1" ht="13.2">
      <c r="B12" s="309" t="s">
        <v>705</v>
      </c>
      <c r="C12" s="309" t="s">
        <v>249</v>
      </c>
      <c r="D12" s="310" t="s">
        <v>703</v>
      </c>
      <c r="E12" s="309" t="s">
        <v>704</v>
      </c>
      <c r="F12" s="309" t="s">
        <v>676</v>
      </c>
      <c r="G12" s="346">
        <v>1.3</v>
      </c>
      <c r="H12" s="311">
        <v>4.5</v>
      </c>
      <c r="I12" s="311">
        <v>2.5</v>
      </c>
      <c r="J12" s="332">
        <v>26</v>
      </c>
      <c r="K12" s="332">
        <v>25</v>
      </c>
      <c r="L12" s="332">
        <v>27</v>
      </c>
      <c r="M12" s="332">
        <v>16</v>
      </c>
      <c r="N12" s="332">
        <v>9</v>
      </c>
      <c r="O12" s="332">
        <v>9</v>
      </c>
      <c r="P12" s="312">
        <v>0.4</v>
      </c>
      <c r="Q12" s="313">
        <v>4</v>
      </c>
      <c r="R12" s="312">
        <v>34</v>
      </c>
      <c r="S12" s="312" t="s">
        <v>1139</v>
      </c>
      <c r="T12" s="312" t="s">
        <v>1139</v>
      </c>
      <c r="U12" s="337">
        <v>11</v>
      </c>
      <c r="V12" s="356">
        <f t="shared" si="0"/>
        <v>17.55</v>
      </c>
      <c r="W12" s="356">
        <f t="shared" si="1"/>
        <v>13.5</v>
      </c>
    </row>
    <row r="13" spans="2:23" s="276" customFormat="1" ht="13.2">
      <c r="B13" s="309" t="s">
        <v>708</v>
      </c>
      <c r="C13" s="309" t="s">
        <v>1102</v>
      </c>
      <c r="D13" s="310" t="s">
        <v>706</v>
      </c>
      <c r="E13" s="309" t="s">
        <v>707</v>
      </c>
      <c r="F13" s="309" t="s">
        <v>674</v>
      </c>
      <c r="G13" s="346">
        <v>20.9</v>
      </c>
      <c r="H13" s="311">
        <v>50</v>
      </c>
      <c r="I13" s="311">
        <v>28</v>
      </c>
      <c r="J13" s="332">
        <v>75</v>
      </c>
      <c r="K13" s="332">
        <v>59</v>
      </c>
      <c r="L13" s="332">
        <v>51</v>
      </c>
      <c r="M13" s="332">
        <v>43</v>
      </c>
      <c r="N13" s="332">
        <v>27</v>
      </c>
      <c r="O13" s="332">
        <v>18</v>
      </c>
      <c r="P13" s="312">
        <v>0.6</v>
      </c>
      <c r="Q13" s="313">
        <v>24</v>
      </c>
      <c r="R13" s="312">
        <v>121</v>
      </c>
      <c r="S13" s="312" t="s">
        <v>1139</v>
      </c>
      <c r="T13" s="312" t="s">
        <v>1139</v>
      </c>
      <c r="U13" s="337">
        <v>202.55</v>
      </c>
      <c r="V13" s="356">
        <f t="shared" si="0"/>
        <v>225.67500000000001</v>
      </c>
      <c r="W13" s="356">
        <f t="shared" si="1"/>
        <v>10.797846889952154</v>
      </c>
    </row>
    <row r="14" spans="2:23" s="276" customFormat="1" ht="13.2">
      <c r="B14" s="309" t="s">
        <v>2078</v>
      </c>
      <c r="C14" s="309" t="s">
        <v>249</v>
      </c>
      <c r="D14" s="310" t="s">
        <v>709</v>
      </c>
      <c r="E14" s="333" t="s">
        <v>1137</v>
      </c>
      <c r="F14" s="309" t="s">
        <v>676</v>
      </c>
      <c r="G14" s="346">
        <v>2.6</v>
      </c>
      <c r="H14" s="311">
        <v>6.5</v>
      </c>
      <c r="I14" s="311">
        <v>1.8</v>
      </c>
      <c r="J14" s="332">
        <v>32</v>
      </c>
      <c r="K14" s="332">
        <v>27</v>
      </c>
      <c r="L14" s="332">
        <v>25</v>
      </c>
      <c r="M14" s="332">
        <v>15</v>
      </c>
      <c r="N14" s="332">
        <v>15</v>
      </c>
      <c r="O14" s="332">
        <v>12</v>
      </c>
      <c r="P14" s="312">
        <v>0.4</v>
      </c>
      <c r="Q14" s="313">
        <v>8</v>
      </c>
      <c r="R14" s="312">
        <v>32</v>
      </c>
      <c r="S14" s="312" t="s">
        <v>1139</v>
      </c>
      <c r="T14" s="312" t="s">
        <v>1139</v>
      </c>
      <c r="U14" s="337">
        <v>26.42</v>
      </c>
      <c r="V14" s="356">
        <f t="shared" si="0"/>
        <v>21.6</v>
      </c>
      <c r="W14" s="356">
        <f t="shared" si="1"/>
        <v>8.3076923076923084</v>
      </c>
    </row>
    <row r="15" spans="2:23" s="276" customFormat="1" ht="13.2">
      <c r="B15" s="309" t="s">
        <v>176</v>
      </c>
      <c r="C15" s="309" t="s">
        <v>174</v>
      </c>
      <c r="D15" s="310" t="s">
        <v>1485</v>
      </c>
      <c r="E15" s="309" t="s">
        <v>175</v>
      </c>
      <c r="F15" s="309" t="s">
        <v>677</v>
      </c>
      <c r="G15" s="346">
        <v>0.6</v>
      </c>
      <c r="H15" s="311">
        <v>2.1</v>
      </c>
      <c r="I15" s="311">
        <v>1.2</v>
      </c>
      <c r="J15" s="332">
        <v>25</v>
      </c>
      <c r="K15" s="332">
        <v>15</v>
      </c>
      <c r="L15" s="332">
        <v>21</v>
      </c>
      <c r="M15" s="332">
        <v>18</v>
      </c>
      <c r="N15" s="332">
        <v>5</v>
      </c>
      <c r="O15" s="332">
        <v>7</v>
      </c>
      <c r="P15" s="312">
        <v>0.3</v>
      </c>
      <c r="Q15" s="313">
        <v>2</v>
      </c>
      <c r="R15" s="312">
        <v>32</v>
      </c>
      <c r="S15" s="312" t="s">
        <v>1139</v>
      </c>
      <c r="T15" s="312" t="s">
        <v>1139</v>
      </c>
      <c r="U15" s="337">
        <v>37.270000000000003</v>
      </c>
      <c r="V15" s="356">
        <f>J15*K15*L15/1000</f>
        <v>7.875</v>
      </c>
      <c r="W15" s="356">
        <f t="shared" si="1"/>
        <v>13.125</v>
      </c>
    </row>
    <row r="16" spans="2:23" s="276" customFormat="1" ht="13.2">
      <c r="B16" s="309" t="s">
        <v>179</v>
      </c>
      <c r="C16" s="309" t="s">
        <v>174</v>
      </c>
      <c r="D16" s="310" t="s">
        <v>177</v>
      </c>
      <c r="E16" s="309" t="s">
        <v>178</v>
      </c>
      <c r="F16" s="309" t="s">
        <v>677</v>
      </c>
      <c r="G16" s="346">
        <v>0.76</v>
      </c>
      <c r="H16" s="311">
        <v>1.91</v>
      </c>
      <c r="I16" s="311">
        <v>0.54</v>
      </c>
      <c r="J16" s="332">
        <v>29</v>
      </c>
      <c r="K16" s="332">
        <v>21</v>
      </c>
      <c r="L16" s="332">
        <v>25</v>
      </c>
      <c r="M16" s="332">
        <v>9</v>
      </c>
      <c r="N16" s="332">
        <v>5</v>
      </c>
      <c r="O16" s="332">
        <v>17</v>
      </c>
      <c r="P16" s="312">
        <v>0.3</v>
      </c>
      <c r="Q16" s="313">
        <v>3</v>
      </c>
      <c r="R16" s="312">
        <v>21</v>
      </c>
      <c r="S16" s="312" t="s">
        <v>1139</v>
      </c>
      <c r="T16" s="312" t="s">
        <v>1139</v>
      </c>
      <c r="U16" s="337">
        <v>19.95</v>
      </c>
      <c r="V16" s="356">
        <f>J16*K16*L16/1000</f>
        <v>15.225</v>
      </c>
      <c r="W16" s="356">
        <f t="shared" si="1"/>
        <v>20.032894736842106</v>
      </c>
    </row>
    <row r="17" spans="2:23" s="276" customFormat="1" ht="13.2">
      <c r="B17" s="309" t="s">
        <v>182</v>
      </c>
      <c r="C17" s="309" t="s">
        <v>1175</v>
      </c>
      <c r="D17" s="310" t="s">
        <v>180</v>
      </c>
      <c r="E17" s="309" t="s">
        <v>181</v>
      </c>
      <c r="F17" s="309" t="s">
        <v>675</v>
      </c>
      <c r="G17" s="346">
        <v>8.6</v>
      </c>
      <c r="H17" s="311">
        <v>21.7</v>
      </c>
      <c r="I17" s="311">
        <v>8.1999999999999993</v>
      </c>
      <c r="J17" s="332">
        <v>49</v>
      </c>
      <c r="K17" s="332">
        <v>42</v>
      </c>
      <c r="L17" s="332">
        <v>41</v>
      </c>
      <c r="M17" s="332">
        <v>27</v>
      </c>
      <c r="N17" s="332">
        <v>22</v>
      </c>
      <c r="O17" s="332">
        <v>16</v>
      </c>
      <c r="P17" s="312" t="s">
        <v>183</v>
      </c>
      <c r="Q17" s="313">
        <v>24</v>
      </c>
      <c r="R17" s="312">
        <v>65</v>
      </c>
      <c r="S17" s="312" t="s">
        <v>1139</v>
      </c>
      <c r="T17" s="312" t="s">
        <v>1139</v>
      </c>
      <c r="U17" s="337">
        <v>90</v>
      </c>
      <c r="V17" s="356">
        <f t="shared" ref="V17:V71" si="2">J17*K17*L17/1000</f>
        <v>84.378</v>
      </c>
      <c r="W17" s="356">
        <f t="shared" si="1"/>
        <v>9.811395348837209</v>
      </c>
    </row>
    <row r="18" spans="2:23" s="276" customFormat="1" ht="13.2">
      <c r="B18" s="309" t="s">
        <v>186</v>
      </c>
      <c r="C18" s="309" t="s">
        <v>174</v>
      </c>
      <c r="D18" s="310" t="s">
        <v>184</v>
      </c>
      <c r="E18" s="309" t="s">
        <v>185</v>
      </c>
      <c r="F18" s="309" t="s">
        <v>677</v>
      </c>
      <c r="G18" s="346">
        <v>1.6</v>
      </c>
      <c r="H18" s="311">
        <v>3.8</v>
      </c>
      <c r="I18" s="311">
        <v>1.9</v>
      </c>
      <c r="J18" s="331">
        <v>25</v>
      </c>
      <c r="K18" s="331">
        <v>25</v>
      </c>
      <c r="L18" s="331">
        <v>26</v>
      </c>
      <c r="M18" s="326">
        <v>10</v>
      </c>
      <c r="N18" s="326">
        <v>10</v>
      </c>
      <c r="O18" s="326">
        <v>16</v>
      </c>
      <c r="P18" s="312">
        <v>0.3</v>
      </c>
      <c r="Q18" s="313">
        <v>4</v>
      </c>
      <c r="R18" s="312">
        <v>37</v>
      </c>
      <c r="S18" s="312" t="s">
        <v>1139</v>
      </c>
      <c r="T18" s="312" t="s">
        <v>1139</v>
      </c>
      <c r="U18" s="337">
        <v>11.95</v>
      </c>
      <c r="V18" s="356">
        <f t="shared" si="2"/>
        <v>16.25</v>
      </c>
      <c r="W18" s="356">
        <f t="shared" si="1"/>
        <v>10.15625</v>
      </c>
    </row>
    <row r="19" spans="2:23" s="276" customFormat="1" ht="13.2">
      <c r="B19" s="309" t="s">
        <v>189</v>
      </c>
      <c r="C19" s="309" t="s">
        <v>249</v>
      </c>
      <c r="D19" s="310" t="s">
        <v>187</v>
      </c>
      <c r="E19" s="309" t="s">
        <v>188</v>
      </c>
      <c r="F19" s="309" t="s">
        <v>676</v>
      </c>
      <c r="G19" s="346">
        <v>1.6</v>
      </c>
      <c r="H19" s="311">
        <v>4.3</v>
      </c>
      <c r="I19" s="311">
        <v>1.9</v>
      </c>
      <c r="J19" s="332">
        <v>25</v>
      </c>
      <c r="K19" s="332">
        <v>25</v>
      </c>
      <c r="L19" s="332">
        <v>29</v>
      </c>
      <c r="M19" s="332">
        <v>10</v>
      </c>
      <c r="N19" s="332">
        <v>10</v>
      </c>
      <c r="O19" s="332">
        <v>16</v>
      </c>
      <c r="P19" s="312" t="s">
        <v>190</v>
      </c>
      <c r="Q19" s="313">
        <v>4</v>
      </c>
      <c r="R19" s="312">
        <v>36</v>
      </c>
      <c r="S19" s="312" t="s">
        <v>1139</v>
      </c>
      <c r="T19" s="312" t="s">
        <v>1139</v>
      </c>
      <c r="U19" s="337">
        <v>13.4</v>
      </c>
      <c r="V19" s="356">
        <f t="shared" si="2"/>
        <v>18.125</v>
      </c>
      <c r="W19" s="356">
        <f t="shared" si="1"/>
        <v>11.328125</v>
      </c>
    </row>
    <row r="20" spans="2:23" s="276" customFormat="1" ht="13.2">
      <c r="B20" s="309" t="s">
        <v>192</v>
      </c>
      <c r="C20" s="309" t="s">
        <v>174</v>
      </c>
      <c r="D20" s="310" t="s">
        <v>187</v>
      </c>
      <c r="E20" s="309" t="s">
        <v>191</v>
      </c>
      <c r="F20" s="309" t="s">
        <v>677</v>
      </c>
      <c r="G20" s="346">
        <v>0.85</v>
      </c>
      <c r="H20" s="311">
        <v>2.2000000000000002</v>
      </c>
      <c r="I20" s="311">
        <v>1.3</v>
      </c>
      <c r="J20" s="332">
        <v>25</v>
      </c>
      <c r="K20" s="332">
        <v>18</v>
      </c>
      <c r="L20" s="332">
        <v>21</v>
      </c>
      <c r="M20" s="332">
        <v>17</v>
      </c>
      <c r="N20" s="332">
        <v>10</v>
      </c>
      <c r="O20" s="332">
        <v>5</v>
      </c>
      <c r="P20" s="312">
        <v>0.3</v>
      </c>
      <c r="Q20" s="313">
        <v>2</v>
      </c>
      <c r="R20" s="312">
        <v>18.5</v>
      </c>
      <c r="S20" s="312" t="s">
        <v>1139</v>
      </c>
      <c r="T20" s="312" t="s">
        <v>1139</v>
      </c>
      <c r="U20" s="337">
        <v>10.6</v>
      </c>
      <c r="V20" s="356">
        <f t="shared" si="2"/>
        <v>9.4499999999999993</v>
      </c>
      <c r="W20" s="356">
        <f t="shared" si="1"/>
        <v>11.117647058823529</v>
      </c>
    </row>
    <row r="21" spans="2:23" s="276" customFormat="1" ht="13.2">
      <c r="B21" s="309" t="s">
        <v>195</v>
      </c>
      <c r="C21" s="309" t="s">
        <v>1175</v>
      </c>
      <c r="D21" s="310" t="s">
        <v>1485</v>
      </c>
      <c r="E21" s="309" t="s">
        <v>194</v>
      </c>
      <c r="F21" s="309" t="s">
        <v>675</v>
      </c>
      <c r="G21" s="346">
        <v>4.4000000000000004</v>
      </c>
      <c r="H21" s="311">
        <v>19.05</v>
      </c>
      <c r="I21" s="311">
        <v>10.75</v>
      </c>
      <c r="J21" s="331">
        <v>33</v>
      </c>
      <c r="K21" s="331">
        <v>89</v>
      </c>
      <c r="L21" s="331">
        <v>31</v>
      </c>
      <c r="M21" s="326">
        <v>16</v>
      </c>
      <c r="N21" s="326">
        <v>46</v>
      </c>
      <c r="O21" s="326">
        <v>6</v>
      </c>
      <c r="P21" s="312">
        <v>0.3</v>
      </c>
      <c r="Q21" s="313">
        <v>19</v>
      </c>
      <c r="R21" s="312">
        <v>65</v>
      </c>
      <c r="S21" s="312" t="s">
        <v>1139</v>
      </c>
      <c r="T21" s="312" t="s">
        <v>1139</v>
      </c>
      <c r="U21" s="337">
        <v>198.77</v>
      </c>
      <c r="V21" s="356">
        <f t="shared" si="2"/>
        <v>91.046999999999997</v>
      </c>
      <c r="W21" s="356">
        <f t="shared" si="1"/>
        <v>20.692499999999999</v>
      </c>
    </row>
    <row r="22" spans="2:23" s="276" customFormat="1" ht="13.2">
      <c r="B22" s="309" t="s">
        <v>211</v>
      </c>
      <c r="C22" s="309" t="s">
        <v>1102</v>
      </c>
      <c r="D22" s="310" t="s">
        <v>187</v>
      </c>
      <c r="E22" s="309" t="s">
        <v>196</v>
      </c>
      <c r="F22" s="309" t="s">
        <v>674</v>
      </c>
      <c r="G22" s="346">
        <v>23.1</v>
      </c>
      <c r="H22" s="311">
        <v>48.9</v>
      </c>
      <c r="I22" s="311">
        <v>18.899999999999999</v>
      </c>
      <c r="J22" s="332">
        <v>77</v>
      </c>
      <c r="K22" s="332">
        <v>62</v>
      </c>
      <c r="L22" s="332">
        <v>52</v>
      </c>
      <c r="M22" s="332">
        <v>45</v>
      </c>
      <c r="N22" s="332">
        <v>30</v>
      </c>
      <c r="O22" s="332">
        <v>18</v>
      </c>
      <c r="P22" s="312" t="s">
        <v>190</v>
      </c>
      <c r="Q22" s="313">
        <v>50</v>
      </c>
      <c r="R22" s="312">
        <v>100</v>
      </c>
      <c r="S22" s="312" t="s">
        <v>1139</v>
      </c>
      <c r="T22" s="312" t="s">
        <v>1139</v>
      </c>
      <c r="U22" s="337">
        <v>183</v>
      </c>
      <c r="V22" s="356">
        <f t="shared" si="2"/>
        <v>248.24799999999999</v>
      </c>
      <c r="W22" s="356">
        <f t="shared" si="1"/>
        <v>10.746666666666666</v>
      </c>
    </row>
    <row r="23" spans="2:23" s="276" customFormat="1" ht="13.2">
      <c r="B23" s="309" t="s">
        <v>213</v>
      </c>
      <c r="C23" s="309" t="s">
        <v>1175</v>
      </c>
      <c r="D23" s="310" t="s">
        <v>187</v>
      </c>
      <c r="E23" s="309" t="s">
        <v>212</v>
      </c>
      <c r="F23" s="309" t="s">
        <v>675</v>
      </c>
      <c r="G23" s="346">
        <v>5</v>
      </c>
      <c r="H23" s="311">
        <v>25</v>
      </c>
      <c r="I23" s="311">
        <v>11.8</v>
      </c>
      <c r="J23" s="332">
        <v>79</v>
      </c>
      <c r="K23" s="332">
        <v>41</v>
      </c>
      <c r="L23" s="332">
        <v>43</v>
      </c>
      <c r="M23" s="332">
        <v>50</v>
      </c>
      <c r="N23" s="332">
        <v>10</v>
      </c>
      <c r="O23" s="332">
        <v>10</v>
      </c>
      <c r="P23" s="312">
        <v>0.3</v>
      </c>
      <c r="Q23" s="313">
        <v>26</v>
      </c>
      <c r="R23" s="312">
        <v>98</v>
      </c>
      <c r="S23" s="312" t="s">
        <v>1139</v>
      </c>
      <c r="T23" s="312" t="s">
        <v>1139</v>
      </c>
      <c r="U23" s="337">
        <v>102</v>
      </c>
      <c r="V23" s="356">
        <f t="shared" si="2"/>
        <v>139.27699999999999</v>
      </c>
      <c r="W23" s="356">
        <f t="shared" si="1"/>
        <v>27.855399999999996</v>
      </c>
    </row>
    <row r="24" spans="2:23" s="276" customFormat="1" ht="13.2">
      <c r="B24" s="309" t="s">
        <v>215</v>
      </c>
      <c r="C24" s="309" t="s">
        <v>1102</v>
      </c>
      <c r="D24" s="310" t="s">
        <v>180</v>
      </c>
      <c r="E24" s="309" t="s">
        <v>214</v>
      </c>
      <c r="F24" s="309" t="s">
        <v>674</v>
      </c>
      <c r="G24" s="346">
        <v>20</v>
      </c>
      <c r="H24" s="311">
        <v>49</v>
      </c>
      <c r="I24" s="311">
        <v>20.7</v>
      </c>
      <c r="J24" s="332">
        <v>78</v>
      </c>
      <c r="K24" s="332">
        <v>54</v>
      </c>
      <c r="L24" s="332">
        <v>55</v>
      </c>
      <c r="M24" s="332">
        <v>46</v>
      </c>
      <c r="N24" s="332">
        <v>23</v>
      </c>
      <c r="O24" s="332">
        <v>19</v>
      </c>
      <c r="P24" s="312" t="s">
        <v>183</v>
      </c>
      <c r="Q24" s="313">
        <v>52</v>
      </c>
      <c r="R24" s="312">
        <v>145</v>
      </c>
      <c r="S24" s="312" t="s">
        <v>1139</v>
      </c>
      <c r="T24" s="312" t="s">
        <v>1139</v>
      </c>
      <c r="U24" s="337">
        <v>150</v>
      </c>
      <c r="V24" s="356">
        <f t="shared" si="2"/>
        <v>231.66</v>
      </c>
      <c r="W24" s="356">
        <f t="shared" si="1"/>
        <v>11.583</v>
      </c>
    </row>
    <row r="25" spans="2:23" s="276" customFormat="1" ht="13.2">
      <c r="B25" s="309" t="s">
        <v>217</v>
      </c>
      <c r="C25" s="309" t="s">
        <v>249</v>
      </c>
      <c r="D25" s="310" t="s">
        <v>180</v>
      </c>
      <c r="E25" s="309" t="s">
        <v>216</v>
      </c>
      <c r="F25" s="309" t="s">
        <v>676</v>
      </c>
      <c r="G25" s="346">
        <v>1.5</v>
      </c>
      <c r="H25" s="311">
        <v>3.7</v>
      </c>
      <c r="I25" s="311">
        <v>1.8</v>
      </c>
      <c r="J25" s="332">
        <v>25</v>
      </c>
      <c r="K25" s="332">
        <v>25</v>
      </c>
      <c r="L25" s="332">
        <v>28</v>
      </c>
      <c r="M25" s="332">
        <v>9</v>
      </c>
      <c r="N25" s="332">
        <v>9</v>
      </c>
      <c r="O25" s="332">
        <v>17</v>
      </c>
      <c r="P25" s="312">
        <v>0.3</v>
      </c>
      <c r="Q25" s="313">
        <v>4</v>
      </c>
      <c r="R25" s="312">
        <v>36</v>
      </c>
      <c r="S25" s="312" t="s">
        <v>1139</v>
      </c>
      <c r="T25" s="312" t="s">
        <v>1139</v>
      </c>
      <c r="U25" s="337">
        <v>12.5</v>
      </c>
      <c r="V25" s="356">
        <f t="shared" si="2"/>
        <v>17.5</v>
      </c>
      <c r="W25" s="356">
        <f t="shared" si="1"/>
        <v>11.666666666666666</v>
      </c>
    </row>
    <row r="26" spans="2:23" s="276" customFormat="1" ht="13.2">
      <c r="B26" s="309" t="s">
        <v>219</v>
      </c>
      <c r="C26" s="309" t="s">
        <v>1175</v>
      </c>
      <c r="D26" s="310" t="s">
        <v>180</v>
      </c>
      <c r="E26" s="309" t="s">
        <v>218</v>
      </c>
      <c r="F26" s="309" t="s">
        <v>675</v>
      </c>
      <c r="G26" s="346">
        <v>7.2</v>
      </c>
      <c r="H26" s="311">
        <v>26.8</v>
      </c>
      <c r="I26" s="311">
        <v>14.8</v>
      </c>
      <c r="J26" s="332">
        <v>82</v>
      </c>
      <c r="K26" s="332">
        <v>36</v>
      </c>
      <c r="L26" s="332">
        <v>38</v>
      </c>
      <c r="M26" s="332">
        <v>50</v>
      </c>
      <c r="N26" s="332">
        <v>12</v>
      </c>
      <c r="O26" s="332">
        <v>12</v>
      </c>
      <c r="P26" s="312" t="s">
        <v>183</v>
      </c>
      <c r="Q26" s="313">
        <v>26</v>
      </c>
      <c r="R26" s="312">
        <v>98</v>
      </c>
      <c r="S26" s="312" t="s">
        <v>1139</v>
      </c>
      <c r="T26" s="312" t="s">
        <v>1139</v>
      </c>
      <c r="U26" s="337">
        <v>120</v>
      </c>
      <c r="V26" s="356">
        <f t="shared" si="2"/>
        <v>112.176</v>
      </c>
      <c r="W26" s="356">
        <f t="shared" si="1"/>
        <v>15.58</v>
      </c>
    </row>
    <row r="27" spans="2:23" s="276" customFormat="1" ht="13.2">
      <c r="B27" s="309" t="s">
        <v>221</v>
      </c>
      <c r="C27" s="309" t="s">
        <v>174</v>
      </c>
      <c r="D27" s="310" t="s">
        <v>220</v>
      </c>
      <c r="E27" s="309"/>
      <c r="F27" s="309" t="s">
        <v>677</v>
      </c>
      <c r="G27" s="346">
        <v>0.7</v>
      </c>
      <c r="H27" s="311">
        <v>2.88</v>
      </c>
      <c r="I27" s="311">
        <v>1.44</v>
      </c>
      <c r="J27" s="332">
        <v>28</v>
      </c>
      <c r="K27" s="332">
        <v>21</v>
      </c>
      <c r="L27" s="332">
        <v>25</v>
      </c>
      <c r="M27" s="332">
        <v>12</v>
      </c>
      <c r="N27" s="332">
        <v>7</v>
      </c>
      <c r="O27" s="332">
        <v>8</v>
      </c>
      <c r="P27" s="312" t="s">
        <v>547</v>
      </c>
      <c r="Q27" s="313">
        <v>8</v>
      </c>
      <c r="R27" s="312">
        <v>27</v>
      </c>
      <c r="S27" s="312" t="s">
        <v>1139</v>
      </c>
      <c r="T27" s="312" t="s">
        <v>1139</v>
      </c>
      <c r="U27" s="337">
        <v>18.5</v>
      </c>
      <c r="V27" s="356">
        <f t="shared" si="2"/>
        <v>14.7</v>
      </c>
      <c r="W27" s="356">
        <f t="shared" si="1"/>
        <v>21</v>
      </c>
    </row>
    <row r="28" spans="2:23" s="276" customFormat="1" ht="13.2">
      <c r="B28" s="322" t="s">
        <v>1138</v>
      </c>
      <c r="C28" s="322" t="s">
        <v>1886</v>
      </c>
      <c r="D28" s="323" t="s">
        <v>696</v>
      </c>
      <c r="E28" s="322">
        <v>390</v>
      </c>
      <c r="F28" s="322" t="s">
        <v>675</v>
      </c>
      <c r="G28" s="324">
        <v>9.1999999999999993</v>
      </c>
      <c r="H28" s="325">
        <v>21.6</v>
      </c>
      <c r="I28" s="325">
        <v>6.88</v>
      </c>
      <c r="J28" s="330">
        <v>54</v>
      </c>
      <c r="K28" s="330">
        <v>38</v>
      </c>
      <c r="L28" s="330">
        <v>35</v>
      </c>
      <c r="M28" s="326">
        <v>32</v>
      </c>
      <c r="N28" s="326">
        <v>18</v>
      </c>
      <c r="O28" s="326">
        <v>16</v>
      </c>
      <c r="P28" s="327">
        <v>0.4</v>
      </c>
      <c r="Q28" s="328">
        <v>27</v>
      </c>
      <c r="R28" s="327">
        <v>52</v>
      </c>
      <c r="S28" s="320" t="s">
        <v>1139</v>
      </c>
      <c r="T28" s="317" t="s">
        <v>1139</v>
      </c>
      <c r="U28" s="338"/>
      <c r="V28" s="357">
        <f t="shared" si="2"/>
        <v>71.819999999999993</v>
      </c>
      <c r="W28" s="357">
        <f t="shared" si="1"/>
        <v>7.8065217391304342</v>
      </c>
    </row>
    <row r="29" spans="2:23" s="276" customFormat="1" ht="13.2">
      <c r="B29" s="309" t="s">
        <v>550</v>
      </c>
      <c r="C29" s="309" t="s">
        <v>249</v>
      </c>
      <c r="D29" s="310" t="s">
        <v>548</v>
      </c>
      <c r="E29" s="309" t="s">
        <v>549</v>
      </c>
      <c r="F29" s="309" t="s">
        <v>676</v>
      </c>
      <c r="G29" s="346">
        <v>1.4</v>
      </c>
      <c r="H29" s="311">
        <v>5.3</v>
      </c>
      <c r="I29" s="311">
        <v>2.4</v>
      </c>
      <c r="J29" s="332">
        <v>37</v>
      </c>
      <c r="K29" s="332">
        <v>25</v>
      </c>
      <c r="L29" s="332">
        <v>35</v>
      </c>
      <c r="M29" s="332">
        <v>12</v>
      </c>
      <c r="N29" s="332">
        <v>6</v>
      </c>
      <c r="O29" s="332">
        <v>20</v>
      </c>
      <c r="P29" s="312">
        <v>0.6</v>
      </c>
      <c r="Q29" s="313">
        <v>4</v>
      </c>
      <c r="R29" s="312">
        <v>53</v>
      </c>
      <c r="S29" s="312" t="s">
        <v>1139</v>
      </c>
      <c r="T29" s="312" t="s">
        <v>1139</v>
      </c>
      <c r="U29" s="337">
        <v>46.31</v>
      </c>
      <c r="V29" s="356">
        <f t="shared" si="2"/>
        <v>32.375</v>
      </c>
      <c r="W29" s="356">
        <f t="shared" si="1"/>
        <v>23.125</v>
      </c>
    </row>
    <row r="30" spans="2:23" s="276" customFormat="1" ht="13.2">
      <c r="B30" s="309" t="s">
        <v>552</v>
      </c>
      <c r="C30" s="309" t="s">
        <v>249</v>
      </c>
      <c r="D30" s="310" t="s">
        <v>180</v>
      </c>
      <c r="E30" s="309" t="s">
        <v>551</v>
      </c>
      <c r="F30" s="309" t="s">
        <v>676</v>
      </c>
      <c r="G30" s="346">
        <v>1.7</v>
      </c>
      <c r="H30" s="311">
        <v>4.5</v>
      </c>
      <c r="I30" s="311">
        <v>1.8</v>
      </c>
      <c r="J30" s="332">
        <v>27</v>
      </c>
      <c r="K30" s="332">
        <v>26</v>
      </c>
      <c r="L30" s="332">
        <v>28</v>
      </c>
      <c r="M30" s="332">
        <v>10</v>
      </c>
      <c r="N30" s="332">
        <v>10</v>
      </c>
      <c r="O30" s="332">
        <v>17</v>
      </c>
      <c r="P30" s="312" t="s">
        <v>183</v>
      </c>
      <c r="Q30" s="313">
        <v>4</v>
      </c>
      <c r="R30" s="312">
        <v>36</v>
      </c>
      <c r="S30" s="312" t="s">
        <v>1139</v>
      </c>
      <c r="T30" s="312" t="s">
        <v>1139</v>
      </c>
      <c r="U30" s="337">
        <v>12.5</v>
      </c>
      <c r="V30" s="356">
        <f t="shared" si="2"/>
        <v>19.655999999999999</v>
      </c>
      <c r="W30" s="356">
        <f t="shared" si="1"/>
        <v>11.562352941176471</v>
      </c>
    </row>
    <row r="31" spans="2:23" s="276" customFormat="1" ht="13.2">
      <c r="B31" s="309" t="s">
        <v>556</v>
      </c>
      <c r="C31" s="309" t="s">
        <v>553</v>
      </c>
      <c r="D31" s="310" t="s">
        <v>554</v>
      </c>
      <c r="E31" s="309" t="s">
        <v>555</v>
      </c>
      <c r="F31" s="309"/>
      <c r="G31" s="346">
        <v>1.7</v>
      </c>
      <c r="H31" s="311">
        <v>2.34</v>
      </c>
      <c r="I31" s="311">
        <v>0.42</v>
      </c>
      <c r="J31" s="332">
        <v>25.5</v>
      </c>
      <c r="K31" s="332">
        <v>15.7</v>
      </c>
      <c r="L31" s="332">
        <v>26.1</v>
      </c>
      <c r="M31" s="332">
        <v>12.5</v>
      </c>
      <c r="N31" s="332">
        <v>9</v>
      </c>
      <c r="O31" s="332">
        <v>16.5</v>
      </c>
      <c r="P31" s="312">
        <v>0.3</v>
      </c>
      <c r="Q31" s="313">
        <v>3</v>
      </c>
      <c r="R31" s="312">
        <v>5.5</v>
      </c>
      <c r="S31" s="312" t="s">
        <v>1139</v>
      </c>
      <c r="T31" s="312" t="s">
        <v>1139</v>
      </c>
      <c r="U31" s="337">
        <v>3</v>
      </c>
      <c r="V31" s="356">
        <f t="shared" si="2"/>
        <v>10.449135</v>
      </c>
      <c r="W31" s="356">
        <f t="shared" si="1"/>
        <v>6.1465500000000004</v>
      </c>
    </row>
    <row r="32" spans="2:23" s="276" customFormat="1" ht="13.2">
      <c r="B32" s="309" t="s">
        <v>557</v>
      </c>
      <c r="C32" s="309" t="s">
        <v>1102</v>
      </c>
      <c r="D32" s="310" t="s">
        <v>187</v>
      </c>
      <c r="E32" s="309" t="s">
        <v>558</v>
      </c>
      <c r="F32" s="309" t="s">
        <v>674</v>
      </c>
      <c r="G32" s="346">
        <v>15</v>
      </c>
      <c r="H32" s="311">
        <v>33.299999999999997</v>
      </c>
      <c r="I32" s="311">
        <v>11.2</v>
      </c>
      <c r="J32" s="332">
        <v>72</v>
      </c>
      <c r="K32" s="332">
        <v>43</v>
      </c>
      <c r="L32" s="332">
        <v>40</v>
      </c>
      <c r="M32" s="332">
        <v>49</v>
      </c>
      <c r="N32" s="332">
        <v>20</v>
      </c>
      <c r="O32" s="332">
        <v>16</v>
      </c>
      <c r="P32" s="312" t="s">
        <v>559</v>
      </c>
      <c r="Q32" s="313">
        <v>22</v>
      </c>
      <c r="R32" s="312">
        <v>61</v>
      </c>
      <c r="S32" s="312" t="s">
        <v>1139</v>
      </c>
      <c r="T32" s="312" t="s">
        <v>1139</v>
      </c>
      <c r="U32" s="337">
        <v>125</v>
      </c>
      <c r="V32" s="356">
        <f t="shared" si="2"/>
        <v>123.84</v>
      </c>
      <c r="W32" s="356">
        <f t="shared" si="1"/>
        <v>8.2560000000000002</v>
      </c>
    </row>
    <row r="33" spans="2:23" s="276" customFormat="1" ht="13.2">
      <c r="B33" s="309" t="s">
        <v>562</v>
      </c>
      <c r="C33" s="309" t="s">
        <v>249</v>
      </c>
      <c r="D33" s="310" t="s">
        <v>180</v>
      </c>
      <c r="E33" s="309" t="s">
        <v>561</v>
      </c>
      <c r="F33" s="309" t="s">
        <v>676</v>
      </c>
      <c r="G33" s="346">
        <v>10</v>
      </c>
      <c r="H33" s="311">
        <v>33.799999999999997</v>
      </c>
      <c r="I33" s="311">
        <v>17.5</v>
      </c>
      <c r="J33" s="332">
        <v>57</v>
      </c>
      <c r="K33" s="332">
        <v>56</v>
      </c>
      <c r="L33" s="332">
        <v>53</v>
      </c>
      <c r="M33" s="332">
        <v>25</v>
      </c>
      <c r="N33" s="332">
        <v>20</v>
      </c>
      <c r="O33" s="332">
        <v>20</v>
      </c>
      <c r="P33" s="312">
        <v>0.6</v>
      </c>
      <c r="Q33" s="313">
        <v>17</v>
      </c>
      <c r="R33" s="312">
        <v>95</v>
      </c>
      <c r="S33" s="312" t="s">
        <v>1139</v>
      </c>
      <c r="T33" s="312" t="s">
        <v>1139</v>
      </c>
      <c r="U33" s="337">
        <v>12.8</v>
      </c>
      <c r="V33" s="356">
        <f t="shared" si="2"/>
        <v>169.17599999999999</v>
      </c>
      <c r="W33" s="356">
        <f t="shared" si="1"/>
        <v>16.9176</v>
      </c>
    </row>
    <row r="34" spans="2:23" s="276" customFormat="1" ht="13.2">
      <c r="B34" s="309" t="s">
        <v>565</v>
      </c>
      <c r="C34" s="309" t="s">
        <v>174</v>
      </c>
      <c r="D34" s="314" t="s">
        <v>563</v>
      </c>
      <c r="E34" s="309" t="s">
        <v>564</v>
      </c>
      <c r="F34" s="309" t="s">
        <v>677</v>
      </c>
      <c r="G34" s="346">
        <v>0.86</v>
      </c>
      <c r="H34" s="311">
        <v>2</v>
      </c>
      <c r="I34" s="311">
        <v>1</v>
      </c>
      <c r="J34" s="332">
        <v>18.5</v>
      </c>
      <c r="K34" s="332">
        <v>21</v>
      </c>
      <c r="L34" s="332">
        <v>14.5</v>
      </c>
      <c r="M34" s="332">
        <v>5.3</v>
      </c>
      <c r="N34" s="332">
        <v>16.8</v>
      </c>
      <c r="O34" s="332">
        <v>9.8000000000000007</v>
      </c>
      <c r="P34" s="311">
        <v>0.4</v>
      </c>
      <c r="Q34" s="313">
        <v>2</v>
      </c>
      <c r="R34" s="311">
        <v>14</v>
      </c>
      <c r="S34" s="312" t="s">
        <v>1139</v>
      </c>
      <c r="T34" s="312" t="s">
        <v>1139</v>
      </c>
      <c r="U34" s="337">
        <v>3.6</v>
      </c>
      <c r="V34" s="356">
        <f t="shared" si="2"/>
        <v>5.6332500000000003</v>
      </c>
      <c r="W34" s="356">
        <f t="shared" si="1"/>
        <v>6.5502906976744191</v>
      </c>
    </row>
    <row r="35" spans="2:23" s="276" customFormat="1" ht="13.2">
      <c r="B35" s="309" t="s">
        <v>1525</v>
      </c>
      <c r="C35" s="309" t="s">
        <v>249</v>
      </c>
      <c r="D35" s="314" t="s">
        <v>1523</v>
      </c>
      <c r="E35" s="309" t="s">
        <v>1524</v>
      </c>
      <c r="F35" s="309" t="s">
        <v>676</v>
      </c>
      <c r="G35" s="347">
        <v>3</v>
      </c>
      <c r="H35" s="311">
        <v>6.1</v>
      </c>
      <c r="I35" s="311">
        <v>1.6</v>
      </c>
      <c r="J35" s="332">
        <v>30</v>
      </c>
      <c r="K35" s="332">
        <v>39</v>
      </c>
      <c r="L35" s="332">
        <v>26</v>
      </c>
      <c r="M35" s="332">
        <v>17</v>
      </c>
      <c r="N35" s="332">
        <v>20</v>
      </c>
      <c r="O35" s="332">
        <v>9</v>
      </c>
      <c r="P35" s="312"/>
      <c r="Q35" s="313">
        <v>6</v>
      </c>
      <c r="R35" s="312">
        <v>36</v>
      </c>
      <c r="S35" s="312">
        <v>20</v>
      </c>
      <c r="T35" s="312" t="s">
        <v>1139</v>
      </c>
      <c r="U35" s="337">
        <f>28.4*1.3</f>
        <v>36.92</v>
      </c>
      <c r="V35" s="356">
        <f t="shared" si="2"/>
        <v>30.42</v>
      </c>
      <c r="W35" s="356">
        <f t="shared" si="1"/>
        <v>10.14</v>
      </c>
    </row>
    <row r="36" spans="2:23" s="276" customFormat="1" ht="13.2">
      <c r="B36" s="309" t="s">
        <v>1527</v>
      </c>
      <c r="C36" s="309" t="s">
        <v>1102</v>
      </c>
      <c r="D36" s="314" t="s">
        <v>1523</v>
      </c>
      <c r="E36" s="309" t="s">
        <v>1526</v>
      </c>
      <c r="F36" s="309" t="s">
        <v>674</v>
      </c>
      <c r="G36" s="346">
        <v>18.8</v>
      </c>
      <c r="H36" s="311">
        <v>16.600000000000001</v>
      </c>
      <c r="I36" s="311">
        <v>4.32</v>
      </c>
      <c r="J36" s="332">
        <v>51</v>
      </c>
      <c r="K36" s="332">
        <v>52</v>
      </c>
      <c r="L36" s="332">
        <v>37</v>
      </c>
      <c r="M36" s="332">
        <v>38</v>
      </c>
      <c r="N36" s="332">
        <v>31</v>
      </c>
      <c r="O36" s="332">
        <v>16</v>
      </c>
      <c r="P36" s="312"/>
      <c r="Q36" s="313">
        <v>22</v>
      </c>
      <c r="R36" s="312">
        <v>63.2</v>
      </c>
      <c r="S36" s="312">
        <v>30</v>
      </c>
      <c r="T36" s="312" t="s">
        <v>1139</v>
      </c>
      <c r="U36" s="337">
        <f>51*1.3</f>
        <v>66.3</v>
      </c>
      <c r="V36" s="356">
        <f t="shared" si="2"/>
        <v>98.123999999999995</v>
      </c>
      <c r="W36" s="356">
        <f t="shared" si="1"/>
        <v>5.2193617021276593</v>
      </c>
    </row>
    <row r="37" spans="2:23" s="276" customFormat="1" ht="13.2">
      <c r="B37" s="309" t="s">
        <v>1009</v>
      </c>
      <c r="C37" s="309" t="s">
        <v>1102</v>
      </c>
      <c r="D37" s="314" t="s">
        <v>1523</v>
      </c>
      <c r="E37" s="309" t="s">
        <v>1008</v>
      </c>
      <c r="F37" s="309" t="s">
        <v>674</v>
      </c>
      <c r="G37" s="346">
        <v>28.4</v>
      </c>
      <c r="H37" s="311">
        <v>20.5</v>
      </c>
      <c r="I37" s="311">
        <v>5.9</v>
      </c>
      <c r="J37" s="332">
        <v>54</v>
      </c>
      <c r="K37" s="332">
        <v>53</v>
      </c>
      <c r="L37" s="332">
        <v>52</v>
      </c>
      <c r="M37" s="332">
        <v>38</v>
      </c>
      <c r="N37" s="332">
        <v>28</v>
      </c>
      <c r="O37" s="332">
        <v>26</v>
      </c>
      <c r="P37" s="312"/>
      <c r="Q37" s="313">
        <v>24</v>
      </c>
      <c r="R37" s="312">
        <v>76</v>
      </c>
      <c r="S37" s="312" t="s">
        <v>1139</v>
      </c>
      <c r="T37" s="312" t="s">
        <v>1139</v>
      </c>
      <c r="U37" s="337">
        <f>55*1.3</f>
        <v>71.5</v>
      </c>
      <c r="V37" s="356">
        <f t="shared" si="2"/>
        <v>148.82400000000001</v>
      </c>
      <c r="W37" s="356">
        <f t="shared" si="1"/>
        <v>5.2402816901408453</v>
      </c>
    </row>
    <row r="38" spans="2:23" s="276" customFormat="1" ht="13.2">
      <c r="B38" s="309" t="s">
        <v>1011</v>
      </c>
      <c r="C38" s="309" t="s">
        <v>1102</v>
      </c>
      <c r="D38" s="310" t="s">
        <v>554</v>
      </c>
      <c r="E38" s="309" t="s">
        <v>1010</v>
      </c>
      <c r="F38" s="309" t="s">
        <v>674</v>
      </c>
      <c r="G38" s="346">
        <v>21.6</v>
      </c>
      <c r="H38" s="311">
        <v>37.299999999999997</v>
      </c>
      <c r="I38" s="311">
        <v>10.3</v>
      </c>
      <c r="J38" s="332">
        <v>52</v>
      </c>
      <c r="K38" s="332">
        <v>64</v>
      </c>
      <c r="L38" s="332">
        <v>39</v>
      </c>
      <c r="M38" s="332">
        <v>30</v>
      </c>
      <c r="N38" s="332">
        <v>40</v>
      </c>
      <c r="O38" s="332">
        <v>18</v>
      </c>
      <c r="P38" s="312"/>
      <c r="Q38" s="313">
        <v>43</v>
      </c>
      <c r="R38" s="312">
        <v>100</v>
      </c>
      <c r="S38" s="312" t="s">
        <v>1139</v>
      </c>
      <c r="T38" s="312" t="s">
        <v>1139</v>
      </c>
      <c r="U38" s="337">
        <f>88*1.3</f>
        <v>114.4</v>
      </c>
      <c r="V38" s="356">
        <f t="shared" si="2"/>
        <v>129.792</v>
      </c>
      <c r="W38" s="356">
        <f t="shared" ref="W38:W69" si="3">V38/G38</f>
        <v>6.0088888888888885</v>
      </c>
    </row>
    <row r="39" spans="2:23" s="276" customFormat="1" ht="13.2">
      <c r="B39" s="309" t="s">
        <v>1013</v>
      </c>
      <c r="C39" s="309" t="s">
        <v>1175</v>
      </c>
      <c r="D39" s="359" t="s">
        <v>554</v>
      </c>
      <c r="E39" s="360" t="s">
        <v>1012</v>
      </c>
      <c r="F39" s="360" t="s">
        <v>675</v>
      </c>
      <c r="G39" s="361">
        <v>9</v>
      </c>
      <c r="H39" s="362">
        <v>24</v>
      </c>
      <c r="I39" s="362">
        <v>11.2</v>
      </c>
      <c r="J39" s="363">
        <v>52</v>
      </c>
      <c r="K39" s="363">
        <v>64</v>
      </c>
      <c r="L39" s="363">
        <v>39</v>
      </c>
      <c r="M39" s="363">
        <v>30</v>
      </c>
      <c r="N39" s="363">
        <v>20</v>
      </c>
      <c r="O39" s="363">
        <v>15</v>
      </c>
      <c r="P39" s="364"/>
      <c r="Q39" s="365">
        <v>22</v>
      </c>
      <c r="R39" s="364">
        <v>112</v>
      </c>
      <c r="S39" s="364" t="s">
        <v>1139</v>
      </c>
      <c r="T39" s="364" t="s">
        <v>1139</v>
      </c>
      <c r="U39" s="366">
        <f>85*1.3</f>
        <v>110.5</v>
      </c>
      <c r="V39" s="358">
        <f t="shared" si="2"/>
        <v>129.792</v>
      </c>
      <c r="W39" s="358">
        <f t="shared" si="3"/>
        <v>14.421333333333333</v>
      </c>
    </row>
    <row r="40" spans="2:23" s="276" customFormat="1" ht="13.2">
      <c r="B40" s="315" t="s">
        <v>1143</v>
      </c>
      <c r="C40" s="315" t="s">
        <v>249</v>
      </c>
      <c r="D40" s="316" t="s">
        <v>1144</v>
      </c>
      <c r="E40" s="315" t="s">
        <v>1145</v>
      </c>
      <c r="F40" s="315" t="s">
        <v>676</v>
      </c>
      <c r="G40" s="317">
        <v>3</v>
      </c>
      <c r="H40" s="318">
        <v>7.7750000000000004</v>
      </c>
      <c r="I40" s="318">
        <v>1.24</v>
      </c>
      <c r="J40" s="319">
        <v>38</v>
      </c>
      <c r="K40" s="319">
        <v>27</v>
      </c>
      <c r="L40" s="319">
        <v>26</v>
      </c>
      <c r="M40" s="319">
        <v>33.700000000000003</v>
      </c>
      <c r="N40" s="319">
        <v>19.100000000000001</v>
      </c>
      <c r="O40" s="319">
        <v>20.3</v>
      </c>
      <c r="P40" s="320" t="s">
        <v>1146</v>
      </c>
      <c r="Q40" s="321">
        <v>10</v>
      </c>
      <c r="R40" s="320">
        <v>31.3</v>
      </c>
      <c r="S40" s="320" t="s">
        <v>1139</v>
      </c>
      <c r="T40" s="320" t="s">
        <v>1139</v>
      </c>
      <c r="U40" s="339">
        <v>50</v>
      </c>
      <c r="V40" s="357">
        <f t="shared" si="2"/>
        <v>26.675999999999998</v>
      </c>
      <c r="W40" s="357">
        <f t="shared" si="3"/>
        <v>8.8919999999999995</v>
      </c>
    </row>
    <row r="41" spans="2:23" s="276" customFormat="1" ht="13.2">
      <c r="B41" s="315" t="s">
        <v>1883</v>
      </c>
      <c r="C41" s="315" t="s">
        <v>249</v>
      </c>
      <c r="D41" s="316" t="s">
        <v>583</v>
      </c>
      <c r="E41" s="315" t="s">
        <v>1884</v>
      </c>
      <c r="F41" s="315" t="s">
        <v>676</v>
      </c>
      <c r="G41" s="317">
        <v>3</v>
      </c>
      <c r="H41" s="318">
        <v>7.3</v>
      </c>
      <c r="I41" s="318">
        <v>3.1</v>
      </c>
      <c r="J41" s="330">
        <v>36.200000000000003</v>
      </c>
      <c r="K41" s="330">
        <v>28.3</v>
      </c>
      <c r="L41" s="330">
        <v>29.9</v>
      </c>
      <c r="M41" s="319"/>
      <c r="N41" s="319"/>
      <c r="O41" s="319"/>
      <c r="P41" s="320" t="s">
        <v>1014</v>
      </c>
      <c r="Q41" s="321">
        <v>7</v>
      </c>
      <c r="R41" s="320">
        <v>30.3</v>
      </c>
      <c r="S41" s="320">
        <v>12.9</v>
      </c>
      <c r="T41" s="317">
        <v>6.7</v>
      </c>
      <c r="U41" s="341">
        <f>210*1.35</f>
        <v>283.5</v>
      </c>
      <c r="V41" s="357">
        <f t="shared" si="2"/>
        <v>30.631353999999998</v>
      </c>
      <c r="W41" s="357">
        <f t="shared" si="3"/>
        <v>10.210451333333333</v>
      </c>
    </row>
    <row r="42" spans="2:23" s="276" customFormat="1" ht="13.2">
      <c r="B42" s="322" t="s">
        <v>1885</v>
      </c>
      <c r="C42" s="322" t="s">
        <v>1886</v>
      </c>
      <c r="D42" s="323" t="s">
        <v>583</v>
      </c>
      <c r="E42" s="322" t="s">
        <v>1887</v>
      </c>
      <c r="F42" s="322" t="s">
        <v>675</v>
      </c>
      <c r="G42" s="324">
        <v>6</v>
      </c>
      <c r="H42" s="325">
        <v>16.399999999999999</v>
      </c>
      <c r="I42" s="325">
        <v>6.8</v>
      </c>
      <c r="J42" s="330">
        <v>43.7</v>
      </c>
      <c r="K42" s="330">
        <v>58.8</v>
      </c>
      <c r="L42" s="330">
        <v>28.8</v>
      </c>
      <c r="M42" s="326"/>
      <c r="N42" s="326"/>
      <c r="O42" s="326"/>
      <c r="P42" s="327" t="s">
        <v>1014</v>
      </c>
      <c r="Q42" s="328">
        <v>12</v>
      </c>
      <c r="R42" s="327">
        <v>57.9</v>
      </c>
      <c r="S42" s="327">
        <v>21.6</v>
      </c>
      <c r="T42" s="317">
        <v>12</v>
      </c>
      <c r="U42" s="339">
        <f>245*1.35</f>
        <v>330.75</v>
      </c>
      <c r="V42" s="357">
        <f t="shared" si="2"/>
        <v>74.003327999999996</v>
      </c>
      <c r="W42" s="357">
        <f t="shared" si="3"/>
        <v>12.333888</v>
      </c>
    </row>
    <row r="43" spans="2:23" s="276" customFormat="1" ht="13.2">
      <c r="B43" s="322" t="s">
        <v>1888</v>
      </c>
      <c r="C43" s="322" t="s">
        <v>1886</v>
      </c>
      <c r="D43" s="323" t="s">
        <v>583</v>
      </c>
      <c r="E43" s="322" t="s">
        <v>1889</v>
      </c>
      <c r="F43" s="322" t="s">
        <v>675</v>
      </c>
      <c r="G43" s="324">
        <v>7</v>
      </c>
      <c r="H43" s="325">
        <v>23.3</v>
      </c>
      <c r="I43" s="325">
        <v>11.7</v>
      </c>
      <c r="J43" s="330">
        <v>55</v>
      </c>
      <c r="K43" s="330">
        <v>47.5</v>
      </c>
      <c r="L43" s="330">
        <v>49.9</v>
      </c>
      <c r="M43" s="326"/>
      <c r="N43" s="326"/>
      <c r="O43" s="326"/>
      <c r="P43" s="327">
        <v>0.6</v>
      </c>
      <c r="Q43" s="328">
        <v>14</v>
      </c>
      <c r="R43" s="327">
        <v>114.9</v>
      </c>
      <c r="S43" s="327">
        <v>40.9</v>
      </c>
      <c r="T43" s="317">
        <v>26.4</v>
      </c>
      <c r="U43" s="341">
        <f>473*1.35</f>
        <v>638.55000000000007</v>
      </c>
      <c r="V43" s="357">
        <f t="shared" si="2"/>
        <v>130.36375000000001</v>
      </c>
      <c r="W43" s="357">
        <f t="shared" si="3"/>
        <v>18.623392857142857</v>
      </c>
    </row>
    <row r="44" spans="2:23" s="276" customFormat="1" ht="13.2">
      <c r="B44" s="322" t="s">
        <v>1890</v>
      </c>
      <c r="C44" s="322" t="s">
        <v>1102</v>
      </c>
      <c r="D44" s="323" t="s">
        <v>583</v>
      </c>
      <c r="E44" s="322" t="s">
        <v>1891</v>
      </c>
      <c r="F44" s="322" t="s">
        <v>674</v>
      </c>
      <c r="G44" s="324">
        <v>20</v>
      </c>
      <c r="H44" s="325">
        <v>38.9</v>
      </c>
      <c r="I44" s="325">
        <v>15.9</v>
      </c>
      <c r="J44" s="330">
        <v>71</v>
      </c>
      <c r="K44" s="330">
        <v>55</v>
      </c>
      <c r="L44" s="330">
        <v>49.9</v>
      </c>
      <c r="M44" s="326"/>
      <c r="N44" s="326"/>
      <c r="O44" s="326"/>
      <c r="P44" s="327">
        <v>0.6</v>
      </c>
      <c r="Q44" s="328">
        <v>24</v>
      </c>
      <c r="R44" s="327">
        <v>134.6</v>
      </c>
      <c r="S44" s="327">
        <v>49.5</v>
      </c>
      <c r="T44" s="317">
        <v>34.4</v>
      </c>
      <c r="U44" s="339">
        <f>600*1.35</f>
        <v>810</v>
      </c>
      <c r="V44" s="357">
        <f t="shared" si="2"/>
        <v>194.8595</v>
      </c>
      <c r="W44" s="357">
        <f t="shared" si="3"/>
        <v>9.7429749999999995</v>
      </c>
    </row>
    <row r="45" spans="2:23" s="276" customFormat="1" ht="13.2">
      <c r="B45" s="322" t="s">
        <v>1892</v>
      </c>
      <c r="C45" s="322" t="s">
        <v>249</v>
      </c>
      <c r="D45" s="323" t="s">
        <v>703</v>
      </c>
      <c r="E45" s="322" t="s">
        <v>560</v>
      </c>
      <c r="F45" s="322" t="s">
        <v>676</v>
      </c>
      <c r="G45" s="324">
        <v>1.6</v>
      </c>
      <c r="H45" s="325">
        <v>5.3</v>
      </c>
      <c r="I45" s="325">
        <v>1.94</v>
      </c>
      <c r="J45" s="330">
        <v>34</v>
      </c>
      <c r="K45" s="330">
        <v>23.4</v>
      </c>
      <c r="L45" s="330">
        <v>27.5</v>
      </c>
      <c r="M45" s="326"/>
      <c r="N45" s="326"/>
      <c r="O45" s="326"/>
      <c r="P45" s="327">
        <v>0.4</v>
      </c>
      <c r="Q45" s="328">
        <v>6</v>
      </c>
      <c r="R45" s="327">
        <v>38.25</v>
      </c>
      <c r="S45" s="327">
        <v>12.03</v>
      </c>
      <c r="T45" s="317">
        <v>6.02</v>
      </c>
      <c r="U45" s="341">
        <f>9.85*1.35</f>
        <v>13.297500000000001</v>
      </c>
      <c r="V45" s="357">
        <f t="shared" si="2"/>
        <v>21.878999999999998</v>
      </c>
      <c r="W45" s="357">
        <f t="shared" si="3"/>
        <v>13.674374999999998</v>
      </c>
    </row>
    <row r="46" spans="2:23" s="276" customFormat="1" ht="13.2">
      <c r="B46" s="322" t="s">
        <v>1893</v>
      </c>
      <c r="C46" s="322" t="s">
        <v>174</v>
      </c>
      <c r="D46" s="323" t="s">
        <v>563</v>
      </c>
      <c r="E46" s="322" t="s">
        <v>566</v>
      </c>
      <c r="F46" s="322" t="s">
        <v>677</v>
      </c>
      <c r="G46" s="324">
        <v>0.8</v>
      </c>
      <c r="H46" s="325">
        <v>2.1800000000000002</v>
      </c>
      <c r="I46" s="325">
        <v>1.34</v>
      </c>
      <c r="J46" s="330">
        <v>25</v>
      </c>
      <c r="K46" s="330">
        <v>18</v>
      </c>
      <c r="L46" s="330">
        <v>21</v>
      </c>
      <c r="M46" s="326"/>
      <c r="N46" s="326"/>
      <c r="O46" s="326"/>
      <c r="P46" s="327">
        <v>0.4</v>
      </c>
      <c r="Q46" s="328">
        <v>2</v>
      </c>
      <c r="R46" s="327">
        <v>20.3</v>
      </c>
      <c r="S46" s="327">
        <v>7.9</v>
      </c>
      <c r="T46" s="317">
        <v>3.88</v>
      </c>
      <c r="U46" s="341">
        <v>9</v>
      </c>
      <c r="V46" s="357">
        <f t="shared" si="2"/>
        <v>9.4499999999999993</v>
      </c>
      <c r="W46" s="357">
        <f t="shared" si="3"/>
        <v>11.812499999999998</v>
      </c>
    </row>
    <row r="47" spans="2:23" s="276" customFormat="1" ht="13.2">
      <c r="B47" s="322" t="s">
        <v>1894</v>
      </c>
      <c r="C47" s="322" t="s">
        <v>249</v>
      </c>
      <c r="D47" s="323" t="s">
        <v>563</v>
      </c>
      <c r="E47" s="322" t="s">
        <v>567</v>
      </c>
      <c r="F47" s="322" t="s">
        <v>676</v>
      </c>
      <c r="G47" s="324">
        <v>1.35</v>
      </c>
      <c r="H47" s="325">
        <v>4.3600000000000003</v>
      </c>
      <c r="I47" s="325">
        <v>2.2200000000000002</v>
      </c>
      <c r="J47" s="330">
        <v>24</v>
      </c>
      <c r="K47" s="330">
        <v>24</v>
      </c>
      <c r="L47" s="330">
        <v>30</v>
      </c>
      <c r="M47" s="326"/>
      <c r="N47" s="326"/>
      <c r="O47" s="326"/>
      <c r="P47" s="327">
        <v>0.4</v>
      </c>
      <c r="Q47" s="328">
        <v>4</v>
      </c>
      <c r="R47" s="327">
        <v>40</v>
      </c>
      <c r="S47" s="327">
        <v>15.86</v>
      </c>
      <c r="T47" s="317">
        <v>7.8</v>
      </c>
      <c r="U47" s="341">
        <v>12.5</v>
      </c>
      <c r="V47" s="357">
        <f t="shared" si="2"/>
        <v>17.28</v>
      </c>
      <c r="W47" s="357">
        <f t="shared" si="3"/>
        <v>12.8</v>
      </c>
    </row>
    <row r="48" spans="2:23" s="276" customFormat="1" ht="13.2">
      <c r="B48" s="322" t="s">
        <v>1895</v>
      </c>
      <c r="C48" s="322" t="s">
        <v>249</v>
      </c>
      <c r="D48" s="323" t="s">
        <v>563</v>
      </c>
      <c r="E48" s="322" t="s">
        <v>1896</v>
      </c>
      <c r="F48" s="322" t="s">
        <v>676</v>
      </c>
      <c r="G48" s="324">
        <v>2.46</v>
      </c>
      <c r="H48" s="325">
        <v>6.36</v>
      </c>
      <c r="I48" s="325">
        <v>2.98</v>
      </c>
      <c r="J48" s="330">
        <v>27</v>
      </c>
      <c r="K48" s="330">
        <v>27</v>
      </c>
      <c r="L48" s="330">
        <v>32</v>
      </c>
      <c r="M48" s="326"/>
      <c r="N48" s="326"/>
      <c r="O48" s="326"/>
      <c r="P48" s="327">
        <v>0.6</v>
      </c>
      <c r="Q48" s="328">
        <v>4</v>
      </c>
      <c r="R48" s="327">
        <v>50.2</v>
      </c>
      <c r="S48" s="327">
        <v>15.95</v>
      </c>
      <c r="T48" s="317">
        <v>9.7799999999999994</v>
      </c>
      <c r="U48" s="339">
        <v>16</v>
      </c>
      <c r="V48" s="357">
        <f t="shared" si="2"/>
        <v>23.327999999999999</v>
      </c>
      <c r="W48" s="357">
        <f t="shared" si="3"/>
        <v>9.4829268292682922</v>
      </c>
    </row>
    <row r="49" spans="2:23" s="276" customFormat="1" ht="13.2">
      <c r="B49" s="322" t="s">
        <v>1897</v>
      </c>
      <c r="C49" s="322" t="s">
        <v>1102</v>
      </c>
      <c r="D49" s="323" t="s">
        <v>1898</v>
      </c>
      <c r="E49" s="322" t="s">
        <v>1899</v>
      </c>
      <c r="F49" s="322" t="s">
        <v>674</v>
      </c>
      <c r="G49" s="324">
        <v>18</v>
      </c>
      <c r="H49" s="325">
        <v>48.87</v>
      </c>
      <c r="I49" s="325">
        <v>19.93</v>
      </c>
      <c r="J49" s="330">
        <v>76.099999999999994</v>
      </c>
      <c r="K49" s="330">
        <v>61.1</v>
      </c>
      <c r="L49" s="330">
        <v>51.3</v>
      </c>
      <c r="M49" s="326"/>
      <c r="N49" s="326"/>
      <c r="O49" s="326"/>
      <c r="P49" s="327">
        <v>0.4</v>
      </c>
      <c r="Q49" s="328">
        <v>44</v>
      </c>
      <c r="R49" s="327">
        <v>140</v>
      </c>
      <c r="S49" s="327">
        <v>51</v>
      </c>
      <c r="T49" s="317">
        <v>25</v>
      </c>
      <c r="U49" s="339">
        <v>135</v>
      </c>
      <c r="V49" s="357">
        <f t="shared" si="2"/>
        <v>238.530123</v>
      </c>
      <c r="W49" s="357">
        <f t="shared" si="3"/>
        <v>13.251673500000001</v>
      </c>
    </row>
    <row r="50" spans="2:23" s="276" customFormat="1" ht="13.2">
      <c r="B50" s="322" t="s">
        <v>1900</v>
      </c>
      <c r="C50" s="322" t="s">
        <v>174</v>
      </c>
      <c r="D50" s="323" t="s">
        <v>1898</v>
      </c>
      <c r="E50" s="322" t="s">
        <v>1901</v>
      </c>
      <c r="F50" s="322" t="s">
        <v>677</v>
      </c>
      <c r="G50" s="324">
        <v>0.9</v>
      </c>
      <c r="H50" s="325">
        <v>2.27</v>
      </c>
      <c r="I50" s="325">
        <v>1.31</v>
      </c>
      <c r="J50" s="330">
        <v>25</v>
      </c>
      <c r="K50" s="330">
        <v>18</v>
      </c>
      <c r="L50" s="330">
        <v>21.4</v>
      </c>
      <c r="M50" s="326"/>
      <c r="N50" s="326"/>
      <c r="O50" s="326"/>
      <c r="P50" s="327">
        <v>0.4</v>
      </c>
      <c r="Q50" s="328">
        <v>2</v>
      </c>
      <c r="R50" s="327">
        <v>21.5</v>
      </c>
      <c r="S50" s="327">
        <v>8</v>
      </c>
      <c r="T50" s="317">
        <v>4.5</v>
      </c>
      <c r="U50" s="339">
        <v>8.75</v>
      </c>
      <c r="V50" s="357">
        <f t="shared" si="2"/>
        <v>9.6300000000000008</v>
      </c>
      <c r="W50" s="357">
        <f t="shared" si="3"/>
        <v>10.700000000000001</v>
      </c>
    </row>
    <row r="51" spans="2:23" s="276" customFormat="1" ht="13.2">
      <c r="B51" s="322" t="s">
        <v>1902</v>
      </c>
      <c r="C51" s="322" t="s">
        <v>249</v>
      </c>
      <c r="D51" s="323" t="s">
        <v>1898</v>
      </c>
      <c r="E51" s="322" t="s">
        <v>1903</v>
      </c>
      <c r="F51" s="322" t="s">
        <v>676</v>
      </c>
      <c r="G51" s="324">
        <v>1.6</v>
      </c>
      <c r="H51" s="325">
        <v>4.33</v>
      </c>
      <c r="I51" s="325">
        <v>1.93</v>
      </c>
      <c r="J51" s="330">
        <v>25</v>
      </c>
      <c r="K51" s="330">
        <v>25</v>
      </c>
      <c r="L51" s="330">
        <v>30</v>
      </c>
      <c r="M51" s="326"/>
      <c r="N51" s="326"/>
      <c r="O51" s="326"/>
      <c r="P51" s="327">
        <v>0.4</v>
      </c>
      <c r="Q51" s="328">
        <v>4</v>
      </c>
      <c r="R51" s="327">
        <v>39.5</v>
      </c>
      <c r="S51" s="327">
        <v>13</v>
      </c>
      <c r="T51" s="317">
        <v>6.33</v>
      </c>
      <c r="U51" s="339">
        <v>12.75</v>
      </c>
      <c r="V51" s="357">
        <f t="shared" si="2"/>
        <v>18.75</v>
      </c>
      <c r="W51" s="357">
        <f t="shared" si="3"/>
        <v>11.71875</v>
      </c>
    </row>
    <row r="52" spans="2:23" s="276" customFormat="1" ht="13.2">
      <c r="B52" s="322" t="s">
        <v>1904</v>
      </c>
      <c r="C52" s="322" t="s">
        <v>1102</v>
      </c>
      <c r="D52" s="323" t="s">
        <v>1905</v>
      </c>
      <c r="E52" s="322" t="s">
        <v>1906</v>
      </c>
      <c r="F52" s="322" t="s">
        <v>674</v>
      </c>
      <c r="G52" s="324">
        <v>23</v>
      </c>
      <c r="H52" s="325">
        <v>38</v>
      </c>
      <c r="I52" s="325">
        <v>17</v>
      </c>
      <c r="J52" s="330">
        <v>77.400000000000006</v>
      </c>
      <c r="K52" s="330">
        <v>61.6</v>
      </c>
      <c r="L52" s="330">
        <v>53</v>
      </c>
      <c r="M52" s="326"/>
      <c r="N52" s="326"/>
      <c r="O52" s="326"/>
      <c r="P52" s="327">
        <v>0.4</v>
      </c>
      <c r="Q52" s="328">
        <v>44</v>
      </c>
      <c r="R52" s="327">
        <v>130</v>
      </c>
      <c r="S52" s="327">
        <v>20</v>
      </c>
      <c r="T52" s="317">
        <v>26</v>
      </c>
      <c r="U52" s="339">
        <v>94</v>
      </c>
      <c r="V52" s="357">
        <f t="shared" si="2"/>
        <v>252.69552000000002</v>
      </c>
      <c r="W52" s="357">
        <f t="shared" si="3"/>
        <v>10.986761739130435</v>
      </c>
    </row>
    <row r="53" spans="2:23" s="276" customFormat="1" ht="13.2">
      <c r="B53" s="322" t="s">
        <v>1907</v>
      </c>
      <c r="C53" s="322" t="s">
        <v>1102</v>
      </c>
      <c r="D53" s="323" t="s">
        <v>563</v>
      </c>
      <c r="E53" s="322" t="s">
        <v>1908</v>
      </c>
      <c r="F53" s="322" t="s">
        <v>674</v>
      </c>
      <c r="G53" s="324">
        <v>18</v>
      </c>
      <c r="H53" s="325">
        <v>46.14</v>
      </c>
      <c r="I53" s="325">
        <v>21.34</v>
      </c>
      <c r="J53" s="330">
        <v>77</v>
      </c>
      <c r="K53" s="330">
        <v>61</v>
      </c>
      <c r="L53" s="330">
        <v>51</v>
      </c>
      <c r="M53" s="326"/>
      <c r="N53" s="326"/>
      <c r="O53" s="326"/>
      <c r="P53" s="327">
        <v>0.4</v>
      </c>
      <c r="Q53" s="328">
        <v>44</v>
      </c>
      <c r="R53" s="327">
        <v>147.22999999999999</v>
      </c>
      <c r="S53" s="327">
        <v>53.05</v>
      </c>
      <c r="T53" s="317">
        <v>30.65</v>
      </c>
      <c r="U53" s="339">
        <v>145</v>
      </c>
      <c r="V53" s="357">
        <f t="shared" si="2"/>
        <v>239.547</v>
      </c>
      <c r="W53" s="357">
        <f t="shared" si="3"/>
        <v>13.308166666666667</v>
      </c>
    </row>
    <row r="54" spans="2:23" s="276" customFormat="1" ht="13.2">
      <c r="B54" s="322" t="s">
        <v>1909</v>
      </c>
      <c r="C54" s="322" t="s">
        <v>1102</v>
      </c>
      <c r="D54" s="323" t="s">
        <v>563</v>
      </c>
      <c r="E54" s="322" t="s">
        <v>1003</v>
      </c>
      <c r="F54" s="322" t="s">
        <v>674</v>
      </c>
      <c r="G54" s="324">
        <v>18</v>
      </c>
      <c r="H54" s="325">
        <v>45.86</v>
      </c>
      <c r="I54" s="325">
        <v>21.78</v>
      </c>
      <c r="J54" s="330">
        <v>77</v>
      </c>
      <c r="K54" s="330">
        <v>61</v>
      </c>
      <c r="L54" s="330">
        <v>51</v>
      </c>
      <c r="M54" s="326"/>
      <c r="N54" s="326"/>
      <c r="O54" s="326"/>
      <c r="P54" s="327">
        <v>0.3</v>
      </c>
      <c r="Q54" s="328">
        <v>50</v>
      </c>
      <c r="R54" s="327">
        <v>126.5</v>
      </c>
      <c r="S54" s="327">
        <v>44.8</v>
      </c>
      <c r="T54" s="317">
        <v>28.08</v>
      </c>
      <c r="U54" s="341">
        <v>145</v>
      </c>
      <c r="V54" s="357">
        <f t="shared" si="2"/>
        <v>239.547</v>
      </c>
      <c r="W54" s="357">
        <f t="shared" si="3"/>
        <v>13.308166666666667</v>
      </c>
    </row>
    <row r="55" spans="2:23" s="276" customFormat="1" ht="13.2">
      <c r="B55" s="322" t="s">
        <v>1910</v>
      </c>
      <c r="C55" s="322" t="s">
        <v>1102</v>
      </c>
      <c r="D55" s="323" t="s">
        <v>563</v>
      </c>
      <c r="E55" s="322" t="s">
        <v>1911</v>
      </c>
      <c r="F55" s="322" t="s">
        <v>674</v>
      </c>
      <c r="G55" s="324">
        <v>16</v>
      </c>
      <c r="H55" s="325">
        <v>34.42</v>
      </c>
      <c r="I55" s="325">
        <v>14.3</v>
      </c>
      <c r="J55" s="330">
        <v>65</v>
      </c>
      <c r="K55" s="330">
        <v>65</v>
      </c>
      <c r="L55" s="330">
        <v>34.700000000000003</v>
      </c>
      <c r="M55" s="326"/>
      <c r="N55" s="326"/>
      <c r="O55" s="326"/>
      <c r="P55" s="327">
        <v>0.4</v>
      </c>
      <c r="Q55" s="328">
        <v>32</v>
      </c>
      <c r="R55" s="327">
        <v>80.319999999999993</v>
      </c>
      <c r="S55" s="327">
        <v>27.73</v>
      </c>
      <c r="T55" s="317">
        <v>18.73</v>
      </c>
      <c r="U55" s="339">
        <v>110</v>
      </c>
      <c r="V55" s="357">
        <f t="shared" si="2"/>
        <v>146.60749999999999</v>
      </c>
      <c r="W55" s="357">
        <f t="shared" si="3"/>
        <v>9.1629687499999992</v>
      </c>
    </row>
    <row r="56" spans="2:23" s="276" customFormat="1" ht="13.2">
      <c r="B56" s="322" t="s">
        <v>1912</v>
      </c>
      <c r="C56" s="322" t="s">
        <v>1102</v>
      </c>
      <c r="D56" s="323" t="s">
        <v>563</v>
      </c>
      <c r="E56" s="322" t="s">
        <v>1015</v>
      </c>
      <c r="F56" s="322" t="s">
        <v>674</v>
      </c>
      <c r="G56" s="324">
        <v>16</v>
      </c>
      <c r="H56" s="325">
        <v>35</v>
      </c>
      <c r="I56" s="325">
        <v>14.5</v>
      </c>
      <c r="J56" s="330">
        <v>64.5</v>
      </c>
      <c r="K56" s="330">
        <v>64</v>
      </c>
      <c r="L56" s="330">
        <v>35</v>
      </c>
      <c r="M56" s="326"/>
      <c r="N56" s="326"/>
      <c r="O56" s="326"/>
      <c r="P56" s="327">
        <v>0.6</v>
      </c>
      <c r="Q56" s="328">
        <v>24</v>
      </c>
      <c r="R56" s="327">
        <v>93.5</v>
      </c>
      <c r="S56" s="327">
        <v>31.36</v>
      </c>
      <c r="T56" s="317">
        <v>20.7</v>
      </c>
      <c r="U56" s="341">
        <v>110</v>
      </c>
      <c r="V56" s="357">
        <f t="shared" si="2"/>
        <v>144.47999999999999</v>
      </c>
      <c r="W56" s="357">
        <f t="shared" si="3"/>
        <v>9.0299999999999994</v>
      </c>
    </row>
    <row r="57" spans="2:23" s="276" customFormat="1" ht="13.2">
      <c r="B57" s="322" t="s">
        <v>1913</v>
      </c>
      <c r="C57" s="322" t="s">
        <v>1102</v>
      </c>
      <c r="D57" s="323" t="s">
        <v>180</v>
      </c>
      <c r="E57" s="322" t="s">
        <v>1914</v>
      </c>
      <c r="F57" s="322" t="s">
        <v>674</v>
      </c>
      <c r="G57" s="324">
        <v>12</v>
      </c>
      <c r="H57" s="325">
        <v>45</v>
      </c>
      <c r="I57" s="325">
        <v>20.399999999999999</v>
      </c>
      <c r="J57" s="330">
        <v>61</v>
      </c>
      <c r="K57" s="330">
        <v>61</v>
      </c>
      <c r="L57" s="330">
        <v>56</v>
      </c>
      <c r="M57" s="326"/>
      <c r="N57" s="326"/>
      <c r="O57" s="326"/>
      <c r="P57" s="327">
        <v>0.4</v>
      </c>
      <c r="Q57" s="328">
        <v>42</v>
      </c>
      <c r="R57" s="327">
        <v>156</v>
      </c>
      <c r="S57" s="327">
        <v>53</v>
      </c>
      <c r="T57" s="317">
        <v>33</v>
      </c>
      <c r="U57" s="339">
        <v>110</v>
      </c>
      <c r="V57" s="357">
        <f t="shared" si="2"/>
        <v>208.376</v>
      </c>
      <c r="W57" s="357">
        <f t="shared" si="3"/>
        <v>17.364666666666668</v>
      </c>
    </row>
    <row r="58" spans="2:23" s="276" customFormat="1" ht="13.2">
      <c r="B58" s="322" t="s">
        <v>1915</v>
      </c>
      <c r="C58" s="322" t="s">
        <v>1886</v>
      </c>
      <c r="D58" s="323" t="s">
        <v>180</v>
      </c>
      <c r="E58" s="322" t="s">
        <v>1916</v>
      </c>
      <c r="F58" s="322" t="s">
        <v>675</v>
      </c>
      <c r="G58" s="324">
        <v>7</v>
      </c>
      <c r="H58" s="325">
        <v>23</v>
      </c>
      <c r="I58" s="325">
        <v>8.6999999999999993</v>
      </c>
      <c r="J58" s="330">
        <v>49</v>
      </c>
      <c r="K58" s="330">
        <v>44</v>
      </c>
      <c r="L58" s="330">
        <v>49</v>
      </c>
      <c r="M58" s="326"/>
      <c r="N58" s="326"/>
      <c r="O58" s="326"/>
      <c r="P58" s="327">
        <v>0.4</v>
      </c>
      <c r="Q58" s="328">
        <v>24</v>
      </c>
      <c r="R58" s="327">
        <v>89</v>
      </c>
      <c r="S58" s="327">
        <v>31</v>
      </c>
      <c r="T58" s="317">
        <v>20</v>
      </c>
      <c r="U58" s="339">
        <v>100</v>
      </c>
      <c r="V58" s="357">
        <f t="shared" si="2"/>
        <v>105.64400000000001</v>
      </c>
      <c r="W58" s="357">
        <f t="shared" si="3"/>
        <v>15.092000000000001</v>
      </c>
    </row>
    <row r="59" spans="2:23" s="276" customFormat="1" ht="13.2">
      <c r="B59" s="322" t="s">
        <v>1917</v>
      </c>
      <c r="C59" s="322" t="s">
        <v>249</v>
      </c>
      <c r="D59" s="323" t="s">
        <v>180</v>
      </c>
      <c r="E59" s="322" t="s">
        <v>1117</v>
      </c>
      <c r="F59" s="322" t="s">
        <v>676</v>
      </c>
      <c r="G59" s="324">
        <v>2.6</v>
      </c>
      <c r="H59" s="325">
        <v>4.5</v>
      </c>
      <c r="I59" s="325">
        <v>1.9</v>
      </c>
      <c r="J59" s="330">
        <v>26</v>
      </c>
      <c r="K59" s="330">
        <v>26</v>
      </c>
      <c r="L59" s="330">
        <v>32</v>
      </c>
      <c r="M59" s="326"/>
      <c r="N59" s="326"/>
      <c r="O59" s="326"/>
      <c r="P59" s="327">
        <v>0.6</v>
      </c>
      <c r="Q59" s="328">
        <v>4</v>
      </c>
      <c r="R59" s="327">
        <v>43</v>
      </c>
      <c r="S59" s="327">
        <v>7</v>
      </c>
      <c r="T59" s="317">
        <v>18</v>
      </c>
      <c r="U59" s="339">
        <v>18</v>
      </c>
      <c r="V59" s="357">
        <f t="shared" si="2"/>
        <v>21.632000000000001</v>
      </c>
      <c r="W59" s="357">
        <f t="shared" si="3"/>
        <v>8.32</v>
      </c>
    </row>
    <row r="60" spans="2:23" s="276" customFormat="1" ht="13.2">
      <c r="B60" s="322" t="s">
        <v>1118</v>
      </c>
      <c r="C60" s="322" t="s">
        <v>249</v>
      </c>
      <c r="D60" s="323" t="s">
        <v>180</v>
      </c>
      <c r="E60" s="322" t="s">
        <v>1119</v>
      </c>
      <c r="F60" s="322" t="s">
        <v>677</v>
      </c>
      <c r="G60" s="324">
        <v>1.7</v>
      </c>
      <c r="H60" s="325">
        <v>4</v>
      </c>
      <c r="I60" s="325">
        <v>1.6</v>
      </c>
      <c r="J60" s="330">
        <v>26</v>
      </c>
      <c r="K60" s="330">
        <v>25</v>
      </c>
      <c r="L60" s="330">
        <v>28.5</v>
      </c>
      <c r="M60" s="326"/>
      <c r="N60" s="326"/>
      <c r="O60" s="326"/>
      <c r="P60" s="327">
        <v>0.4</v>
      </c>
      <c r="Q60" s="328">
        <v>4</v>
      </c>
      <c r="R60" s="327">
        <v>38</v>
      </c>
      <c r="S60" s="327">
        <v>13</v>
      </c>
      <c r="T60" s="317">
        <v>6</v>
      </c>
      <c r="U60" s="339">
        <v>12</v>
      </c>
      <c r="V60" s="357">
        <f t="shared" si="2"/>
        <v>18.524999999999999</v>
      </c>
      <c r="W60" s="357">
        <f t="shared" si="3"/>
        <v>10.897058823529411</v>
      </c>
    </row>
    <row r="61" spans="2:23" s="276" customFormat="1" ht="13.2">
      <c r="B61" s="322" t="s">
        <v>1120</v>
      </c>
      <c r="C61" s="322" t="s">
        <v>174</v>
      </c>
      <c r="D61" s="323" t="s">
        <v>180</v>
      </c>
      <c r="E61" s="322" t="s">
        <v>193</v>
      </c>
      <c r="F61" s="322" t="s">
        <v>677</v>
      </c>
      <c r="G61" s="324">
        <v>0.9</v>
      </c>
      <c r="H61" s="325">
        <v>2.2000000000000002</v>
      </c>
      <c r="I61" s="325">
        <v>1</v>
      </c>
      <c r="J61" s="330">
        <v>22.5</v>
      </c>
      <c r="K61" s="330">
        <v>16</v>
      </c>
      <c r="L61" s="330">
        <v>25</v>
      </c>
      <c r="M61" s="326"/>
      <c r="N61" s="326"/>
      <c r="O61" s="326"/>
      <c r="P61" s="327">
        <v>0.4</v>
      </c>
      <c r="Q61" s="328">
        <v>2</v>
      </c>
      <c r="R61" s="327">
        <v>20</v>
      </c>
      <c r="S61" s="327">
        <v>6</v>
      </c>
      <c r="T61" s="317">
        <v>3</v>
      </c>
      <c r="U61" s="341">
        <v>9</v>
      </c>
      <c r="V61" s="357">
        <f t="shared" si="2"/>
        <v>9</v>
      </c>
      <c r="W61" s="357">
        <f t="shared" si="3"/>
        <v>10</v>
      </c>
    </row>
    <row r="62" spans="2:23" s="276" customFormat="1" ht="13.2">
      <c r="B62" s="322" t="s">
        <v>1121</v>
      </c>
      <c r="C62" s="322" t="s">
        <v>1886</v>
      </c>
      <c r="D62" s="323" t="s">
        <v>563</v>
      </c>
      <c r="E62" s="322" t="s">
        <v>1016</v>
      </c>
      <c r="F62" s="322" t="s">
        <v>675</v>
      </c>
      <c r="G62" s="324">
        <v>6</v>
      </c>
      <c r="H62" s="325">
        <v>25.4</v>
      </c>
      <c r="I62" s="325">
        <v>12.82</v>
      </c>
      <c r="J62" s="330">
        <v>62.4</v>
      </c>
      <c r="K62" s="330">
        <v>50.2</v>
      </c>
      <c r="L62" s="330">
        <v>42.6</v>
      </c>
      <c r="M62" s="326"/>
      <c r="N62" s="326"/>
      <c r="O62" s="326"/>
      <c r="P62" s="327">
        <v>0.4</v>
      </c>
      <c r="Q62" s="328">
        <v>26</v>
      </c>
      <c r="R62" s="327">
        <v>132.30000000000001</v>
      </c>
      <c r="S62" s="327">
        <v>48.68</v>
      </c>
      <c r="T62" s="317">
        <v>29.78</v>
      </c>
      <c r="U62" s="341">
        <v>105</v>
      </c>
      <c r="V62" s="357">
        <f t="shared" si="2"/>
        <v>133.44364800000002</v>
      </c>
      <c r="W62" s="357">
        <f t="shared" si="3"/>
        <v>22.240608000000005</v>
      </c>
    </row>
    <row r="63" spans="2:23" s="276" customFormat="1" ht="13.2">
      <c r="B63" s="322" t="s">
        <v>1122</v>
      </c>
      <c r="C63" s="322" t="s">
        <v>1102</v>
      </c>
      <c r="D63" s="323" t="s">
        <v>563</v>
      </c>
      <c r="E63" s="322" t="s">
        <v>1522</v>
      </c>
      <c r="F63" s="322" t="s">
        <v>674</v>
      </c>
      <c r="G63" s="324">
        <v>18</v>
      </c>
      <c r="H63" s="325">
        <v>47.6</v>
      </c>
      <c r="I63" s="325">
        <v>20.78</v>
      </c>
      <c r="J63" s="330">
        <v>77</v>
      </c>
      <c r="K63" s="330">
        <v>61.8</v>
      </c>
      <c r="L63" s="330">
        <v>51.3</v>
      </c>
      <c r="M63" s="326"/>
      <c r="N63" s="326"/>
      <c r="O63" s="326"/>
      <c r="P63" s="327">
        <v>0.6</v>
      </c>
      <c r="Q63" s="328">
        <v>31</v>
      </c>
      <c r="R63" s="327">
        <v>145.85</v>
      </c>
      <c r="S63" s="327" t="s">
        <v>1123</v>
      </c>
      <c r="T63" s="317">
        <v>34.58</v>
      </c>
      <c r="U63" s="341">
        <v>145</v>
      </c>
      <c r="V63" s="357">
        <f t="shared" si="2"/>
        <v>244.11617999999996</v>
      </c>
      <c r="W63" s="357">
        <f t="shared" si="3"/>
        <v>13.562009999999997</v>
      </c>
    </row>
    <row r="64" spans="2:23" s="276" customFormat="1" ht="13.2">
      <c r="B64" s="322" t="s">
        <v>1124</v>
      </c>
      <c r="C64" s="322" t="s">
        <v>1102</v>
      </c>
      <c r="D64" s="323" t="s">
        <v>180</v>
      </c>
      <c r="E64" s="322" t="s">
        <v>1125</v>
      </c>
      <c r="F64" s="322" t="s">
        <v>674</v>
      </c>
      <c r="G64" s="324">
        <v>20</v>
      </c>
      <c r="H64" s="325">
        <v>49.5</v>
      </c>
      <c r="I64" s="325">
        <v>25</v>
      </c>
      <c r="J64" s="330">
        <v>79.5</v>
      </c>
      <c r="K64" s="330">
        <v>56.2</v>
      </c>
      <c r="L64" s="330">
        <v>56.5</v>
      </c>
      <c r="M64" s="326"/>
      <c r="N64" s="326"/>
      <c r="O64" s="326"/>
      <c r="P64" s="327">
        <v>0.4</v>
      </c>
      <c r="Q64" s="328">
        <v>39</v>
      </c>
      <c r="R64" s="327">
        <v>138</v>
      </c>
      <c r="S64" s="327">
        <v>31</v>
      </c>
      <c r="T64" s="317">
        <v>46</v>
      </c>
      <c r="U64" s="339">
        <v>160</v>
      </c>
      <c r="V64" s="357">
        <f t="shared" si="2"/>
        <v>252.43635000000003</v>
      </c>
      <c r="W64" s="357">
        <f t="shared" si="3"/>
        <v>12.621817500000002</v>
      </c>
    </row>
    <row r="65" spans="2:23" s="276" customFormat="1" ht="13.2">
      <c r="B65" s="322" t="s">
        <v>1126</v>
      </c>
      <c r="C65" s="322" t="s">
        <v>1102</v>
      </c>
      <c r="D65" s="323" t="s">
        <v>1905</v>
      </c>
      <c r="E65" s="322" t="s">
        <v>1127</v>
      </c>
      <c r="F65" s="322" t="s">
        <v>674</v>
      </c>
      <c r="G65" s="324">
        <v>16</v>
      </c>
      <c r="H65" s="325">
        <v>34.799999999999997</v>
      </c>
      <c r="I65" s="325">
        <v>14.2</v>
      </c>
      <c r="J65" s="330">
        <v>65</v>
      </c>
      <c r="K65" s="330">
        <v>65</v>
      </c>
      <c r="L65" s="330">
        <v>37</v>
      </c>
      <c r="M65" s="326"/>
      <c r="N65" s="326"/>
      <c r="O65" s="326"/>
      <c r="P65" s="327">
        <v>0.6</v>
      </c>
      <c r="Q65" s="328">
        <v>24</v>
      </c>
      <c r="R65" s="327">
        <v>73.5</v>
      </c>
      <c r="S65" s="327">
        <v>19.43</v>
      </c>
      <c r="T65" s="317">
        <v>26.1</v>
      </c>
      <c r="U65" s="339">
        <v>100</v>
      </c>
      <c r="V65" s="357">
        <f t="shared" si="2"/>
        <v>156.32499999999999</v>
      </c>
      <c r="W65" s="357">
        <f t="shared" si="3"/>
        <v>9.7703124999999993</v>
      </c>
    </row>
    <row r="66" spans="2:23" s="276" customFormat="1" ht="13.2">
      <c r="B66" s="322" t="s">
        <v>1128</v>
      </c>
      <c r="C66" s="322" t="s">
        <v>1102</v>
      </c>
      <c r="D66" s="323" t="s">
        <v>1905</v>
      </c>
      <c r="E66" s="322" t="s">
        <v>1129</v>
      </c>
      <c r="F66" s="322" t="s">
        <v>674</v>
      </c>
      <c r="G66" s="324">
        <v>15</v>
      </c>
      <c r="H66" s="325">
        <v>31.8</v>
      </c>
      <c r="I66" s="325">
        <v>14</v>
      </c>
      <c r="J66" s="330">
        <v>65</v>
      </c>
      <c r="K66" s="330">
        <v>65</v>
      </c>
      <c r="L66" s="330">
        <v>37</v>
      </c>
      <c r="M66" s="326"/>
      <c r="N66" s="326"/>
      <c r="O66" s="326"/>
      <c r="P66" s="327">
        <v>0.4</v>
      </c>
      <c r="Q66" s="328">
        <v>32</v>
      </c>
      <c r="R66" s="327">
        <v>53.6</v>
      </c>
      <c r="S66" s="327">
        <v>16.38</v>
      </c>
      <c r="T66" s="317">
        <v>21.05</v>
      </c>
      <c r="U66" s="339">
        <v>100</v>
      </c>
      <c r="V66" s="357">
        <f t="shared" si="2"/>
        <v>156.32499999999999</v>
      </c>
      <c r="W66" s="357">
        <f t="shared" si="3"/>
        <v>10.421666666666665</v>
      </c>
    </row>
    <row r="67" spans="2:23" s="276" customFormat="1" ht="13.2">
      <c r="B67" s="322" t="s">
        <v>1130</v>
      </c>
      <c r="C67" s="322" t="s">
        <v>174</v>
      </c>
      <c r="D67" s="323" t="s">
        <v>1905</v>
      </c>
      <c r="E67" s="322" t="s">
        <v>1131</v>
      </c>
      <c r="F67" s="322" t="s">
        <v>677</v>
      </c>
      <c r="G67" s="324">
        <v>0.9</v>
      </c>
      <c r="H67" s="325">
        <v>2.4</v>
      </c>
      <c r="I67" s="325">
        <v>1.3</v>
      </c>
      <c r="J67" s="330">
        <v>26.6</v>
      </c>
      <c r="K67" s="330">
        <v>18</v>
      </c>
      <c r="L67" s="330">
        <v>21.5</v>
      </c>
      <c r="M67" s="326"/>
      <c r="N67" s="326"/>
      <c r="O67" s="326"/>
      <c r="P67" s="327">
        <v>0.3</v>
      </c>
      <c r="Q67" s="328">
        <v>2</v>
      </c>
      <c r="R67" s="327">
        <v>17.829999999999998</v>
      </c>
      <c r="S67" s="327">
        <v>4.4329999999999998</v>
      </c>
      <c r="T67" s="317">
        <v>4.53</v>
      </c>
      <c r="U67" s="339">
        <v>8.6999999999999993</v>
      </c>
      <c r="V67" s="357">
        <f t="shared" si="2"/>
        <v>10.2942</v>
      </c>
      <c r="W67" s="357">
        <f t="shared" si="3"/>
        <v>11.438000000000001</v>
      </c>
    </row>
    <row r="68" spans="2:23" s="276" customFormat="1" ht="13.2">
      <c r="B68" s="322" t="s">
        <v>1132</v>
      </c>
      <c r="C68" s="322" t="s">
        <v>249</v>
      </c>
      <c r="D68" s="323" t="s">
        <v>1905</v>
      </c>
      <c r="E68" s="322" t="s">
        <v>1133</v>
      </c>
      <c r="F68" s="322" t="s">
        <v>676</v>
      </c>
      <c r="G68" s="324">
        <v>1.5</v>
      </c>
      <c r="H68" s="325">
        <v>4.9000000000000004</v>
      </c>
      <c r="I68" s="325">
        <v>2.6</v>
      </c>
      <c r="J68" s="330">
        <v>28</v>
      </c>
      <c r="K68" s="330">
        <v>28</v>
      </c>
      <c r="L68" s="330">
        <v>31.5</v>
      </c>
      <c r="M68" s="326"/>
      <c r="N68" s="326"/>
      <c r="O68" s="326"/>
      <c r="P68" s="327">
        <v>0.3</v>
      </c>
      <c r="Q68" s="328">
        <v>4</v>
      </c>
      <c r="R68" s="327">
        <v>41</v>
      </c>
      <c r="S68" s="327">
        <v>15.7</v>
      </c>
      <c r="T68" s="317">
        <v>9.5</v>
      </c>
      <c r="U68" s="339">
        <v>12.7</v>
      </c>
      <c r="V68" s="357">
        <f t="shared" si="2"/>
        <v>24.696000000000002</v>
      </c>
      <c r="W68" s="357">
        <f t="shared" si="3"/>
        <v>16.464000000000002</v>
      </c>
    </row>
    <row r="69" spans="2:23" s="276" customFormat="1" ht="13.2">
      <c r="B69" s="322" t="s">
        <v>1140</v>
      </c>
      <c r="C69" s="322" t="s">
        <v>1886</v>
      </c>
      <c r="D69" s="323" t="s">
        <v>1898</v>
      </c>
      <c r="E69" s="322" t="s">
        <v>1134</v>
      </c>
      <c r="F69" s="322" t="s">
        <v>675</v>
      </c>
      <c r="G69" s="324">
        <v>8</v>
      </c>
      <c r="H69" s="325">
        <v>22.41</v>
      </c>
      <c r="I69" s="325">
        <v>11.57</v>
      </c>
      <c r="J69" s="330">
        <v>54.4</v>
      </c>
      <c r="K69" s="330">
        <v>44.5</v>
      </c>
      <c r="L69" s="330">
        <v>42</v>
      </c>
      <c r="M69" s="326"/>
      <c r="N69" s="326"/>
      <c r="O69" s="326"/>
      <c r="P69" s="327">
        <v>0.3</v>
      </c>
      <c r="Q69" s="328">
        <v>24</v>
      </c>
      <c r="R69" s="327">
        <v>84.1</v>
      </c>
      <c r="S69" s="327">
        <v>27.85</v>
      </c>
      <c r="T69" s="317">
        <v>17</v>
      </c>
      <c r="U69" s="339">
        <v>130</v>
      </c>
      <c r="V69" s="357">
        <f t="shared" si="2"/>
        <v>101.67359999999999</v>
      </c>
      <c r="W69" s="357">
        <f t="shared" si="3"/>
        <v>12.709199999999999</v>
      </c>
    </row>
    <row r="70" spans="2:23" s="276" customFormat="1" ht="13.2">
      <c r="B70" s="322" t="s">
        <v>1141</v>
      </c>
      <c r="C70" s="322" t="s">
        <v>1102</v>
      </c>
      <c r="D70" s="323" t="s">
        <v>1898</v>
      </c>
      <c r="E70" s="322" t="s">
        <v>1135</v>
      </c>
      <c r="F70" s="322" t="s">
        <v>674</v>
      </c>
      <c r="G70" s="324">
        <v>18</v>
      </c>
      <c r="H70" s="325">
        <v>48.02</v>
      </c>
      <c r="I70" s="325">
        <v>19.73</v>
      </c>
      <c r="J70" s="330">
        <v>76.5</v>
      </c>
      <c r="K70" s="330">
        <v>61.2</v>
      </c>
      <c r="L70" s="330">
        <v>51.5</v>
      </c>
      <c r="M70" s="326"/>
      <c r="N70" s="326"/>
      <c r="O70" s="326"/>
      <c r="P70" s="327">
        <v>0.3</v>
      </c>
      <c r="Q70" s="328">
        <v>50</v>
      </c>
      <c r="R70" s="327">
        <v>128.26</v>
      </c>
      <c r="S70" s="327">
        <v>50.06</v>
      </c>
      <c r="T70" s="317">
        <v>31.1</v>
      </c>
      <c r="U70" s="339">
        <v>135</v>
      </c>
      <c r="V70" s="357">
        <f t="shared" si="2"/>
        <v>241.11270000000002</v>
      </c>
      <c r="W70" s="357">
        <f>V70/G70</f>
        <v>13.395150000000001</v>
      </c>
    </row>
    <row r="71" spans="2:23" s="276" customFormat="1" ht="13.2">
      <c r="B71" s="322" t="s">
        <v>1142</v>
      </c>
      <c r="C71" s="322" t="s">
        <v>249</v>
      </c>
      <c r="D71" s="323" t="s">
        <v>1136</v>
      </c>
      <c r="E71" s="329" t="s">
        <v>1137</v>
      </c>
      <c r="F71" s="322" t="s">
        <v>676</v>
      </c>
      <c r="G71" s="324">
        <v>2.6</v>
      </c>
      <c r="H71" s="325">
        <v>6.5</v>
      </c>
      <c r="I71" s="325">
        <v>1.8</v>
      </c>
      <c r="J71" s="330">
        <v>29</v>
      </c>
      <c r="K71" s="330">
        <v>24</v>
      </c>
      <c r="L71" s="330">
        <v>32</v>
      </c>
      <c r="M71" s="326"/>
      <c r="N71" s="326"/>
      <c r="O71" s="326"/>
      <c r="P71" s="327">
        <v>0.4</v>
      </c>
      <c r="Q71" s="328">
        <v>8</v>
      </c>
      <c r="R71" s="327">
        <v>41</v>
      </c>
      <c r="S71" s="327">
        <v>11</v>
      </c>
      <c r="T71" s="317">
        <v>12</v>
      </c>
      <c r="U71" s="339">
        <v>25.9</v>
      </c>
      <c r="V71" s="357">
        <f t="shared" si="2"/>
        <v>22.271999999999998</v>
      </c>
      <c r="W71" s="357">
        <f>V71/G71</f>
        <v>8.5661538461538456</v>
      </c>
    </row>
    <row r="72" spans="2:23" s="276" customFormat="1" ht="13.2">
      <c r="B72" s="322"/>
      <c r="C72" s="322"/>
      <c r="D72" s="323"/>
      <c r="E72" s="329"/>
      <c r="F72" s="322"/>
      <c r="G72" s="324"/>
      <c r="H72" s="325"/>
      <c r="I72" s="325"/>
      <c r="J72" s="330"/>
      <c r="K72" s="330"/>
      <c r="L72" s="330"/>
      <c r="M72" s="326"/>
      <c r="N72" s="326"/>
      <c r="O72" s="326"/>
      <c r="P72" s="327"/>
      <c r="Q72" s="328"/>
      <c r="R72" s="327"/>
      <c r="S72" s="327"/>
      <c r="T72" s="317"/>
      <c r="U72" s="339"/>
      <c r="V72" s="357"/>
      <c r="W72" s="357"/>
    </row>
    <row r="73" spans="2:23" s="276" customFormat="1" ht="13.2">
      <c r="B73" s="322"/>
      <c r="C73" s="322"/>
      <c r="D73" s="323"/>
      <c r="E73" s="329"/>
      <c r="F73" s="322"/>
      <c r="G73" s="324"/>
      <c r="H73" s="325"/>
      <c r="I73" s="325"/>
      <c r="J73" s="330"/>
      <c r="K73" s="330"/>
      <c r="L73" s="330"/>
      <c r="M73" s="326"/>
      <c r="N73" s="326"/>
      <c r="O73" s="326"/>
      <c r="P73" s="327"/>
      <c r="Q73" s="328"/>
      <c r="R73" s="327"/>
      <c r="S73" s="327"/>
      <c r="T73" s="317"/>
      <c r="U73" s="339"/>
      <c r="V73" s="357"/>
      <c r="W73" s="357"/>
    </row>
    <row r="74" spans="2:23" s="276" customFormat="1" ht="13.2">
      <c r="B74" s="322"/>
      <c r="C74" s="322"/>
      <c r="D74" s="323"/>
      <c r="E74" s="329"/>
      <c r="F74" s="322"/>
      <c r="G74" s="324"/>
      <c r="H74" s="325"/>
      <c r="I74" s="325"/>
      <c r="J74" s="330"/>
      <c r="K74" s="330"/>
      <c r="L74" s="330"/>
      <c r="M74" s="326"/>
      <c r="N74" s="326"/>
      <c r="O74" s="326"/>
      <c r="P74" s="327"/>
      <c r="Q74" s="328"/>
      <c r="R74" s="327"/>
      <c r="S74" s="327"/>
      <c r="T74" s="317"/>
      <c r="U74" s="339"/>
      <c r="V74" s="357"/>
      <c r="W74" s="357"/>
    </row>
    <row r="75" spans="2:23" s="276" customFormat="1" ht="13.2">
      <c r="B75" s="322"/>
      <c r="C75" s="322"/>
      <c r="D75" s="323"/>
      <c r="E75" s="329"/>
      <c r="F75" s="322"/>
      <c r="G75" s="324"/>
      <c r="H75" s="325"/>
      <c r="I75" s="325"/>
      <c r="J75" s="330"/>
      <c r="K75" s="330"/>
      <c r="L75" s="330"/>
      <c r="M75" s="326"/>
      <c r="N75" s="326"/>
      <c r="O75" s="326"/>
      <c r="P75" s="327"/>
      <c r="Q75" s="328"/>
      <c r="R75" s="327"/>
      <c r="S75" s="327"/>
      <c r="T75" s="317"/>
      <c r="U75" s="339"/>
      <c r="V75" s="357"/>
      <c r="W75" s="357"/>
    </row>
    <row r="76" spans="2:23" s="276" customFormat="1" ht="13.2">
      <c r="B76" s="322"/>
      <c r="C76" s="322"/>
      <c r="D76" s="323"/>
      <c r="E76" s="329"/>
      <c r="F76" s="322"/>
      <c r="G76" s="324"/>
      <c r="H76" s="325"/>
      <c r="I76" s="325"/>
      <c r="J76" s="330"/>
      <c r="K76" s="330"/>
      <c r="L76" s="330"/>
      <c r="M76" s="326"/>
      <c r="N76" s="326"/>
      <c r="O76" s="326"/>
      <c r="P76" s="327"/>
      <c r="Q76" s="328"/>
      <c r="R76" s="327"/>
      <c r="S76" s="327"/>
      <c r="T76" s="317"/>
      <c r="U76" s="339"/>
      <c r="V76" s="357"/>
      <c r="W76" s="357"/>
    </row>
    <row r="77" spans="2:23" s="276" customFormat="1" ht="13.2">
      <c r="B77" s="322"/>
      <c r="C77" s="322"/>
      <c r="D77" s="323"/>
      <c r="E77" s="329"/>
      <c r="F77" s="322"/>
      <c r="G77" s="324"/>
      <c r="H77" s="325"/>
      <c r="I77" s="325"/>
      <c r="J77" s="330"/>
      <c r="K77" s="330"/>
      <c r="L77" s="330"/>
      <c r="M77" s="326"/>
      <c r="N77" s="326"/>
      <c r="O77" s="326"/>
      <c r="P77" s="327"/>
      <c r="Q77" s="328"/>
      <c r="R77" s="327"/>
      <c r="S77" s="327"/>
      <c r="T77" s="317"/>
      <c r="U77" s="339"/>
      <c r="V77" s="357"/>
      <c r="W77" s="357"/>
    </row>
    <row r="78" spans="2:23" s="276" customFormat="1" ht="13.2">
      <c r="B78" s="322"/>
      <c r="C78" s="322"/>
      <c r="D78" s="323"/>
      <c r="E78" s="329"/>
      <c r="F78" s="322"/>
      <c r="G78" s="324"/>
      <c r="H78" s="325"/>
      <c r="I78" s="325"/>
      <c r="J78" s="330"/>
      <c r="K78" s="330"/>
      <c r="L78" s="330"/>
      <c r="M78" s="326"/>
      <c r="N78" s="326"/>
      <c r="O78" s="326"/>
      <c r="P78" s="327"/>
      <c r="Q78" s="328"/>
      <c r="R78" s="327"/>
      <c r="S78" s="327"/>
      <c r="T78" s="317"/>
      <c r="U78" s="339"/>
      <c r="V78" s="357"/>
      <c r="W78" s="357"/>
    </row>
    <row r="79" spans="2:23" s="276" customFormat="1" ht="13.2">
      <c r="B79" s="322"/>
      <c r="C79" s="322"/>
      <c r="D79" s="323"/>
      <c r="E79" s="329"/>
      <c r="F79" s="322"/>
      <c r="G79" s="324"/>
      <c r="H79" s="325"/>
      <c r="I79" s="325"/>
      <c r="J79" s="330"/>
      <c r="K79" s="330"/>
      <c r="L79" s="330"/>
      <c r="M79" s="326"/>
      <c r="N79" s="326"/>
      <c r="O79" s="326"/>
      <c r="P79" s="327"/>
      <c r="Q79" s="328"/>
      <c r="R79" s="327"/>
      <c r="S79" s="327"/>
      <c r="T79" s="317"/>
      <c r="U79" s="339"/>
      <c r="V79" s="357"/>
      <c r="W79" s="357"/>
    </row>
    <row r="80" spans="2:23" s="276" customFormat="1" ht="13.2">
      <c r="B80" s="322"/>
      <c r="C80" s="322"/>
      <c r="D80" s="323"/>
      <c r="E80" s="329"/>
      <c r="F80" s="322"/>
      <c r="G80" s="324"/>
      <c r="H80" s="325"/>
      <c r="I80" s="325"/>
      <c r="J80" s="330"/>
      <c r="K80" s="330"/>
      <c r="L80" s="330"/>
      <c r="M80" s="326"/>
      <c r="N80" s="326"/>
      <c r="O80" s="326"/>
      <c r="P80" s="327"/>
      <c r="Q80" s="328"/>
      <c r="R80" s="327"/>
      <c r="S80" s="327"/>
      <c r="T80" s="317"/>
      <c r="U80" s="339"/>
      <c r="V80" s="357"/>
      <c r="W80" s="357"/>
    </row>
    <row r="81" spans="2:23" s="276" customFormat="1" ht="13.2">
      <c r="B81" s="322"/>
      <c r="C81" s="322"/>
      <c r="D81" s="323"/>
      <c r="E81" s="329"/>
      <c r="F81" s="322"/>
      <c r="G81" s="324"/>
      <c r="H81" s="325"/>
      <c r="I81" s="325"/>
      <c r="J81" s="330"/>
      <c r="K81" s="330"/>
      <c r="L81" s="330"/>
      <c r="M81" s="326"/>
      <c r="N81" s="326"/>
      <c r="O81" s="326"/>
      <c r="P81" s="327"/>
      <c r="Q81" s="328"/>
      <c r="R81" s="327"/>
      <c r="S81" s="327"/>
      <c r="T81" s="317"/>
      <c r="U81" s="339"/>
      <c r="V81" s="357"/>
      <c r="W81" s="357"/>
    </row>
    <row r="82" spans="2:23" s="276" customFormat="1" ht="13.2">
      <c r="B82" s="309"/>
      <c r="C82" s="309"/>
      <c r="D82" s="310"/>
      <c r="E82" s="309"/>
      <c r="F82" s="309"/>
      <c r="G82" s="346"/>
      <c r="H82" s="311"/>
      <c r="I82" s="311"/>
      <c r="J82" s="332"/>
      <c r="K82" s="332"/>
      <c r="L82" s="332"/>
      <c r="M82" s="332"/>
      <c r="N82" s="332"/>
      <c r="O82" s="332"/>
      <c r="P82" s="312"/>
      <c r="Q82" s="313"/>
      <c r="R82" s="312"/>
      <c r="S82" s="312"/>
      <c r="T82" s="312"/>
      <c r="U82" s="337"/>
      <c r="V82" s="355"/>
      <c r="W82" s="355"/>
    </row>
    <row r="83" spans="2:23" s="276" customFormat="1" ht="13.2">
      <c r="B83" s="309"/>
      <c r="C83" s="309"/>
      <c r="D83" s="310"/>
      <c r="E83" s="309"/>
      <c r="F83" s="309"/>
      <c r="G83" s="346"/>
      <c r="H83" s="311"/>
      <c r="I83" s="311"/>
      <c r="J83" s="332"/>
      <c r="K83" s="332"/>
      <c r="L83" s="332"/>
      <c r="M83" s="332"/>
      <c r="N83" s="332"/>
      <c r="O83" s="332"/>
      <c r="P83" s="312"/>
      <c r="Q83" s="313"/>
      <c r="R83" s="312"/>
      <c r="S83" s="312"/>
      <c r="T83" s="312"/>
      <c r="U83" s="337"/>
      <c r="V83" s="355"/>
      <c r="W83" s="355"/>
    </row>
    <row r="84" spans="2:23" s="276" customFormat="1" ht="13.2">
      <c r="B84" s="309"/>
      <c r="C84" s="309"/>
      <c r="D84" s="310"/>
      <c r="E84" s="309"/>
      <c r="F84" s="309"/>
      <c r="G84" s="346"/>
      <c r="H84" s="311"/>
      <c r="I84" s="311"/>
      <c r="J84" s="332"/>
      <c r="K84" s="332"/>
      <c r="L84" s="332"/>
      <c r="M84" s="332"/>
      <c r="N84" s="332"/>
      <c r="O84" s="332"/>
      <c r="P84" s="312"/>
      <c r="Q84" s="313"/>
      <c r="R84" s="312"/>
      <c r="S84" s="312"/>
      <c r="T84" s="312"/>
      <c r="U84" s="337"/>
      <c r="V84" s="355"/>
      <c r="W84" s="355"/>
    </row>
    <row r="85" spans="2:23" s="276" customFormat="1" ht="13.2">
      <c r="B85" s="309"/>
      <c r="C85" s="309"/>
      <c r="D85" s="310"/>
      <c r="E85" s="309"/>
      <c r="F85" s="309"/>
      <c r="G85" s="346"/>
      <c r="H85" s="311"/>
      <c r="I85" s="311"/>
      <c r="J85" s="332"/>
      <c r="K85" s="332"/>
      <c r="L85" s="332"/>
      <c r="M85" s="332"/>
      <c r="N85" s="332"/>
      <c r="O85" s="332"/>
      <c r="P85" s="312"/>
      <c r="Q85" s="313"/>
      <c r="R85" s="312"/>
      <c r="S85" s="312"/>
      <c r="T85" s="312"/>
      <c r="U85" s="337"/>
      <c r="V85" s="355"/>
      <c r="W85" s="355"/>
    </row>
    <row r="86" spans="2:23" s="276" customFormat="1" ht="13.2">
      <c r="B86" s="309"/>
      <c r="C86" s="309"/>
      <c r="D86" s="310"/>
      <c r="E86" s="309"/>
      <c r="F86" s="309"/>
      <c r="G86" s="346"/>
      <c r="H86" s="311"/>
      <c r="I86" s="311"/>
      <c r="J86" s="332"/>
      <c r="K86" s="332"/>
      <c r="L86" s="332"/>
      <c r="M86" s="332"/>
      <c r="N86" s="332"/>
      <c r="O86" s="332"/>
      <c r="P86" s="312"/>
      <c r="Q86" s="313"/>
      <c r="R86" s="312"/>
      <c r="S86" s="312"/>
      <c r="T86" s="312"/>
      <c r="U86" s="337"/>
      <c r="V86" s="355"/>
      <c r="W86" s="355"/>
    </row>
    <row r="87" spans="2:23" s="276" customFormat="1" ht="13.2">
      <c r="B87" s="309"/>
      <c r="C87" s="309"/>
      <c r="D87" s="310"/>
      <c r="E87" s="309"/>
      <c r="F87" s="309"/>
      <c r="G87" s="346"/>
      <c r="H87" s="311"/>
      <c r="I87" s="311"/>
      <c r="J87" s="332"/>
      <c r="K87" s="332"/>
      <c r="L87" s="332"/>
      <c r="M87" s="332"/>
      <c r="N87" s="332"/>
      <c r="O87" s="332"/>
      <c r="P87" s="312"/>
      <c r="Q87" s="313"/>
      <c r="R87" s="312"/>
      <c r="S87" s="312"/>
      <c r="T87" s="312"/>
      <c r="U87" s="337"/>
      <c r="V87" s="355"/>
      <c r="W87" s="355"/>
    </row>
    <row r="88" spans="2:23" s="276" customFormat="1" ht="13.2">
      <c r="B88" s="309"/>
      <c r="C88" s="309"/>
      <c r="D88" s="310"/>
      <c r="E88" s="309"/>
      <c r="F88" s="309"/>
      <c r="G88" s="346"/>
      <c r="H88" s="311"/>
      <c r="I88" s="311"/>
      <c r="J88" s="332"/>
      <c r="K88" s="332"/>
      <c r="L88" s="332"/>
      <c r="M88" s="332"/>
      <c r="N88" s="332"/>
      <c r="O88" s="332"/>
      <c r="P88" s="312"/>
      <c r="Q88" s="313"/>
      <c r="R88" s="312"/>
      <c r="S88" s="312"/>
      <c r="T88" s="312"/>
      <c r="U88" s="337"/>
      <c r="V88" s="355"/>
      <c r="W88" s="355"/>
    </row>
    <row r="89" spans="2:23" s="276" customFormat="1" ht="13.2">
      <c r="B89" s="309"/>
      <c r="C89" s="309"/>
      <c r="D89" s="310"/>
      <c r="E89" s="309"/>
      <c r="F89" s="309"/>
      <c r="G89" s="346"/>
      <c r="H89" s="311"/>
      <c r="I89" s="311"/>
      <c r="J89" s="332"/>
      <c r="K89" s="332"/>
      <c r="L89" s="332"/>
      <c r="M89" s="332"/>
      <c r="N89" s="332"/>
      <c r="O89" s="332"/>
      <c r="P89" s="312"/>
      <c r="Q89" s="313"/>
      <c r="R89" s="312"/>
      <c r="S89" s="312"/>
      <c r="T89" s="312"/>
      <c r="U89" s="337"/>
      <c r="V89" s="355"/>
      <c r="W89" s="355"/>
    </row>
    <row r="90" spans="2:23" s="276" customFormat="1" ht="13.2">
      <c r="B90" s="309"/>
      <c r="C90" s="309"/>
      <c r="D90" s="310"/>
      <c r="E90" s="309"/>
      <c r="F90" s="309"/>
      <c r="G90" s="346"/>
      <c r="H90" s="311"/>
      <c r="I90" s="311"/>
      <c r="J90" s="332"/>
      <c r="K90" s="332"/>
      <c r="L90" s="332"/>
      <c r="M90" s="332"/>
      <c r="N90" s="332"/>
      <c r="O90" s="332"/>
      <c r="P90" s="312"/>
      <c r="Q90" s="313"/>
      <c r="R90" s="312"/>
      <c r="S90" s="312"/>
      <c r="T90" s="312"/>
      <c r="U90" s="337"/>
      <c r="V90" s="355"/>
      <c r="W90" s="355"/>
    </row>
  </sheetData>
  <sheetProtection sheet="1" objects="1" scenarios="1" autoFilter="0"/>
  <autoFilter ref="B5:W71" xr:uid="{00000000-0009-0000-0000-000016000000}"/>
  <mergeCells count="2">
    <mergeCell ref="V3:V5"/>
    <mergeCell ref="W4:W5"/>
  </mergeCells>
  <phoneticPr fontId="0" type="noConversion"/>
  <hyperlinks>
    <hyperlink ref="W1" location="Index!B1" display="Index" xr:uid="{00000000-0004-0000-1600-000000000000}"/>
    <hyperlink ref="Q1" location="Index!B1" display="Index!B1" xr:uid="{00000000-0004-0000-1600-000001000000}"/>
  </hyperlinks>
  <printOptions horizontalCentered="1"/>
  <pageMargins left="0.23622047244094491" right="0.15748031496062992" top="0.43307086614173229" bottom="0.39370078740157483" header="0.27559055118110237" footer="0.15748031496062992"/>
  <pageSetup paperSize="9" scale="80" orientation="landscape" r:id="rId1"/>
  <headerFooter alignWithMargins="0">
    <oddFooter>&amp;L&amp;8&amp;F, &amp;A&amp;R&amp;8&amp;P/&amp;N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8">
    <tabColor indexed="12"/>
  </sheetPr>
  <dimension ref="B1:AJ121"/>
  <sheetViews>
    <sheetView showGridLines="0" topLeftCell="L1" workbookViewId="0">
      <pane ySplit="4" topLeftCell="A5" activePane="bottomLeft" state="frozen"/>
      <selection activeCell="F29" sqref="B2:F29"/>
      <selection pane="bottomLeft" activeCell="Y1" sqref="Y1"/>
    </sheetView>
  </sheetViews>
  <sheetFormatPr defaultColWidth="11.44140625" defaultRowHeight="13.8"/>
  <cols>
    <col min="1" max="1" width="2.109375" style="13" customWidth="1"/>
    <col min="2" max="2" width="34.44140625" style="13" customWidth="1"/>
    <col min="3" max="3" width="16.33203125" style="13" customWidth="1"/>
    <col min="4" max="4" width="14.109375" style="64" bestFit="1" customWidth="1"/>
    <col min="5" max="5" width="8.44140625" style="64" bestFit="1" customWidth="1"/>
    <col min="6" max="6" width="4.44140625" style="64" bestFit="1" customWidth="1"/>
    <col min="7" max="7" width="7.33203125" style="13" bestFit="1" customWidth="1"/>
    <col min="8" max="8" width="9.6640625" style="13" bestFit="1" customWidth="1"/>
    <col min="9" max="10" width="9.6640625" style="13" customWidth="1"/>
    <col min="11" max="11" width="12.44140625" style="65" bestFit="1" customWidth="1"/>
    <col min="12" max="13" width="8.6640625" style="65" customWidth="1"/>
    <col min="14" max="16" width="6.6640625" style="65" customWidth="1"/>
    <col min="17" max="19" width="7.6640625" style="65" customWidth="1"/>
    <col min="20" max="21" width="7.33203125" style="65" customWidth="1"/>
    <col min="22" max="24" width="5.44140625" style="65" bestFit="1" customWidth="1"/>
    <col min="25" max="26" width="7.6640625" style="65" customWidth="1"/>
    <col min="27" max="27" width="1.6640625" style="13" customWidth="1"/>
    <col min="28" max="36" width="6.77734375" style="13" customWidth="1"/>
    <col min="37" max="37" width="2.6640625" style="13" customWidth="1"/>
    <col min="38" max="16384" width="11.44140625" style="13"/>
  </cols>
  <sheetData>
    <row r="1" spans="2:36" s="706" customFormat="1" ht="18">
      <c r="B1" s="700" t="str">
        <f>Translation!C142</f>
        <v>Refrigerator and freezer database</v>
      </c>
      <c r="C1" s="700"/>
      <c r="D1" s="701"/>
      <c r="E1" s="701"/>
      <c r="F1" s="701"/>
      <c r="G1" s="702"/>
      <c r="H1" s="703" t="str">
        <f>Translation!C143</f>
        <v xml:space="preserve">No user action required </v>
      </c>
      <c r="I1" s="702"/>
      <c r="J1" s="702"/>
      <c r="K1" s="704"/>
      <c r="L1" s="704"/>
      <c r="M1" s="704"/>
      <c r="N1" s="704"/>
      <c r="O1" s="704"/>
      <c r="P1" s="704"/>
      <c r="Q1" s="696" t="str">
        <f>Translation!C109</f>
        <v>Index</v>
      </c>
      <c r="R1" s="704"/>
      <c r="S1" s="704"/>
      <c r="T1" s="704"/>
      <c r="U1" s="704"/>
      <c r="V1" s="704"/>
      <c r="W1" s="704"/>
      <c r="X1" s="705"/>
      <c r="Y1" s="704"/>
      <c r="Z1" s="704"/>
      <c r="AB1" s="707" t="str">
        <f>Translation!C191</f>
        <v>Indicator per unit volume</v>
      </c>
      <c r="AC1" s="708"/>
      <c r="AD1" s="708"/>
      <c r="AE1" s="708"/>
      <c r="AF1" s="708"/>
      <c r="AG1" s="708"/>
      <c r="AH1" s="708"/>
      <c r="AI1" s="708"/>
      <c r="AJ1" s="709"/>
    </row>
    <row r="2" spans="2:36" s="244" customFormat="1" ht="17.399999999999999">
      <c r="B2" s="277" t="s">
        <v>357</v>
      </c>
      <c r="C2" s="600"/>
      <c r="D2" s="601"/>
      <c r="E2" s="601"/>
      <c r="F2" s="601"/>
      <c r="G2" s="602"/>
      <c r="H2" s="609"/>
      <c r="I2" s="602"/>
      <c r="J2" s="610" t="str">
        <f>Translation!C144</f>
        <v>Nbr. of products listed:</v>
      </c>
      <c r="K2" s="599">
        <f>COUNTIF(G6:G97,"*")</f>
        <v>68</v>
      </c>
      <c r="L2" s="603"/>
      <c r="M2" s="603"/>
      <c r="N2" s="603"/>
      <c r="O2" s="603"/>
      <c r="P2" s="603"/>
      <c r="Q2" s="603"/>
      <c r="R2" s="603"/>
      <c r="S2" s="603"/>
      <c r="T2" s="603"/>
      <c r="U2" s="603"/>
      <c r="V2" s="603"/>
      <c r="W2" s="603"/>
      <c r="X2" s="604"/>
      <c r="Y2" s="603"/>
      <c r="Z2" s="603"/>
      <c r="AA2" s="602"/>
      <c r="AB2" s="605"/>
      <c r="AC2" s="606"/>
      <c r="AD2" s="606"/>
      <c r="AE2" s="607"/>
      <c r="AF2" s="607"/>
      <c r="AG2" s="607"/>
      <c r="AH2" s="607"/>
      <c r="AI2" s="607"/>
      <c r="AJ2" s="608"/>
    </row>
    <row r="3" spans="2:36" s="61" customFormat="1">
      <c r="B3" s="245" t="str">
        <f>Translation!C145</f>
        <v>Equipment identification</v>
      </c>
      <c r="C3" s="246"/>
      <c r="D3" s="246"/>
      <c r="E3" s="246"/>
      <c r="F3" s="246"/>
      <c r="G3" s="247"/>
      <c r="H3" s="247"/>
      <c r="I3" s="248" t="str">
        <f>Translation!C154</f>
        <v>Net storage capacity (litres)</v>
      </c>
      <c r="J3" s="248"/>
      <c r="K3" s="247" t="str">
        <f>Translation!C157</f>
        <v>Icepack freezing</v>
      </c>
      <c r="L3" s="248" t="str">
        <f>Translation!C159</f>
        <v>Holdover time (hours)</v>
      </c>
      <c r="M3" s="248"/>
      <c r="N3" s="249" t="str">
        <f>Translation!C162</f>
        <v>Power consumption/24 hrs</v>
      </c>
      <c r="O3" s="248"/>
      <c r="P3" s="250"/>
      <c r="Q3" s="245" t="str">
        <f>Translation!C166</f>
        <v>Price</v>
      </c>
      <c r="R3" s="246"/>
      <c r="S3" s="263"/>
      <c r="T3" s="245" t="str">
        <f>Translation!C170</f>
        <v xml:space="preserve">Gross volumes (lt) </v>
      </c>
      <c r="U3" s="263"/>
      <c r="V3" s="245" t="str">
        <f>Translation!C173</f>
        <v>Ext dims (cm)</v>
      </c>
      <c r="W3" s="246"/>
      <c r="X3" s="263"/>
      <c r="Y3" s="245" t="str">
        <f>Translation!C177</f>
        <v>Shipping data</v>
      </c>
      <c r="Z3" s="264"/>
      <c r="AB3" s="258" t="str">
        <f>Translation!C180</f>
        <v>Investment cost</v>
      </c>
      <c r="AC3" s="259"/>
      <c r="AD3" s="259"/>
      <c r="AE3" s="260" t="str">
        <f>Translation!C184</f>
        <v>Energy consumption</v>
      </c>
      <c r="AF3" s="261"/>
      <c r="AG3" s="261"/>
      <c r="AH3" s="261"/>
      <c r="AI3" s="261"/>
      <c r="AJ3" s="261"/>
    </row>
    <row r="4" spans="2:36" s="61" customFormat="1" ht="50.25" customHeight="1">
      <c r="B4" s="251" t="str">
        <f>Translation!C146</f>
        <v>Description</v>
      </c>
      <c r="C4" s="252" t="str">
        <f>Translation!C147</f>
        <v>Make</v>
      </c>
      <c r="D4" s="252" t="str">
        <f>Translation!C148</f>
        <v>Model</v>
      </c>
      <c r="E4" s="253" t="str">
        <f>Translation!C149</f>
        <v>PIS/PQS code</v>
      </c>
      <c r="F4" s="253" t="str">
        <f>Translation!C150</f>
        <v>Type</v>
      </c>
      <c r="G4" s="253" t="str">
        <f>Translation!C151</f>
        <v>Refrigerant</v>
      </c>
      <c r="H4" s="257" t="str">
        <f>Translation!C152</f>
        <v>Temp zone</v>
      </c>
      <c r="I4" s="257" t="str">
        <f>Translation!C155</f>
        <v>Refrigerator</v>
      </c>
      <c r="J4" s="257" t="str">
        <f>Translation!C156</f>
        <v>Freezer</v>
      </c>
      <c r="K4" s="257" t="str">
        <f>Translation!C158</f>
        <v>kg/24 hrs at 32°C with vaccines</v>
      </c>
      <c r="L4" s="253" t="str">
        <f>Translation!C160</f>
        <v>Holdover time cold</v>
      </c>
      <c r="M4" s="253" t="str">
        <f>Translation!C161</f>
        <v>Holdover time warm</v>
      </c>
      <c r="N4" s="254" t="str">
        <f>Translation!C163</f>
        <v>kWh</v>
      </c>
      <c r="O4" s="254" t="str">
        <f>Translation!C164</f>
        <v>LPG (kg)</v>
      </c>
      <c r="P4" s="254" t="str">
        <f>Translation!C165</f>
        <v>Kerosene (litres)</v>
      </c>
      <c r="Q4" s="254" t="str">
        <f>Translation!C167</f>
        <v>initial curreny</v>
      </c>
      <c r="R4" s="253" t="str">
        <f>Translation!C168</f>
        <v>$USD</v>
      </c>
      <c r="S4" s="255" t="str">
        <f>Translation!C169</f>
        <v>year of data</v>
      </c>
      <c r="T4" s="253" t="str">
        <f>Translation!C171</f>
        <v>refrigerator</v>
      </c>
      <c r="U4" s="253" t="str">
        <f>Translation!C172</f>
        <v>Freezer</v>
      </c>
      <c r="V4" s="256" t="str">
        <f>Translation!C174</f>
        <v>H</v>
      </c>
      <c r="W4" s="256" t="str">
        <f>Translation!C175</f>
        <v>W</v>
      </c>
      <c r="X4" s="256" t="str">
        <f>Translation!C176</f>
        <v>L</v>
      </c>
      <c r="Y4" s="253" t="str">
        <f>Translation!C178</f>
        <v>volume (m³)</v>
      </c>
      <c r="Z4" s="253" t="str">
        <f>Translation!C179</f>
        <v>weight (kg)</v>
      </c>
      <c r="AB4" s="230" t="str">
        <f>Translation!C181</f>
        <v>refrigeration ($/litre)</v>
      </c>
      <c r="AC4" s="230" t="str">
        <f>Translation!C182</f>
        <v>freezing ($/litre)</v>
      </c>
      <c r="AD4" s="230" t="str">
        <f>Translation!C183</f>
        <v>Icepack freezing ($/kg)</v>
      </c>
      <c r="AE4" s="230" t="str">
        <f>Translation!C185</f>
        <v>refrigeration (kWh/litre)</v>
      </c>
      <c r="AF4" s="230" t="str">
        <f>Translation!C186</f>
        <v>refrigeration (litre/litre)</v>
      </c>
      <c r="AG4" s="230" t="str">
        <f>Translation!C187</f>
        <v>freezing (kWh/litre)</v>
      </c>
      <c r="AH4" s="230" t="str">
        <f>Translation!C188</f>
        <v>freezing (litre/litre)</v>
      </c>
      <c r="AI4" s="230" t="str">
        <f>Translation!C189</f>
        <v>Icepack freezing (kwh/kg)</v>
      </c>
      <c r="AJ4" s="230" t="str">
        <f>Translation!C190</f>
        <v>Icepack freezing (litre/kg)</v>
      </c>
    </row>
    <row r="5" spans="2:36" s="61" customFormat="1">
      <c r="B5" s="262"/>
      <c r="C5" s="247"/>
      <c r="D5" s="247"/>
      <c r="E5" s="265"/>
      <c r="F5" s="265"/>
      <c r="G5" s="265"/>
      <c r="H5" s="266"/>
      <c r="I5" s="266"/>
      <c r="J5" s="266"/>
      <c r="K5" s="266"/>
      <c r="L5" s="265"/>
      <c r="M5" s="265"/>
      <c r="N5" s="255"/>
      <c r="O5" s="255"/>
      <c r="P5" s="255"/>
      <c r="Q5" s="255"/>
      <c r="R5" s="265"/>
      <c r="S5" s="255"/>
      <c r="T5" s="265"/>
      <c r="U5" s="265"/>
      <c r="V5" s="267"/>
      <c r="W5" s="267"/>
      <c r="X5" s="267"/>
      <c r="Y5" s="265"/>
      <c r="Z5" s="265"/>
      <c r="AB5" s="268"/>
      <c r="AC5" s="268"/>
      <c r="AD5" s="268"/>
      <c r="AE5" s="268"/>
      <c r="AF5" s="268"/>
      <c r="AG5" s="268"/>
      <c r="AH5" s="268"/>
      <c r="AI5" s="268"/>
      <c r="AJ5" s="268"/>
    </row>
    <row r="6" spans="2:36" s="14" customFormat="1">
      <c r="B6" s="612" t="s">
        <v>1484</v>
      </c>
      <c r="C6" s="613" t="s">
        <v>1485</v>
      </c>
      <c r="D6" s="612" t="s">
        <v>1601</v>
      </c>
      <c r="E6" s="612" t="s">
        <v>430</v>
      </c>
      <c r="F6" s="614" t="s">
        <v>431</v>
      </c>
      <c r="G6" s="614" t="s">
        <v>432</v>
      </c>
      <c r="H6" s="614" t="s">
        <v>433</v>
      </c>
      <c r="I6" s="615">
        <v>10.5</v>
      </c>
      <c r="J6" s="615">
        <v>1.6</v>
      </c>
      <c r="K6" s="615">
        <v>1.1294117647058823</v>
      </c>
      <c r="L6" s="616" t="s">
        <v>434</v>
      </c>
      <c r="M6" s="616"/>
      <c r="N6" s="615">
        <v>2.52</v>
      </c>
      <c r="O6" s="615"/>
      <c r="P6" s="615"/>
      <c r="Q6" s="615">
        <v>899</v>
      </c>
      <c r="R6" s="615">
        <v>899</v>
      </c>
      <c r="S6" s="617"/>
      <c r="T6" s="615"/>
      <c r="U6" s="615"/>
      <c r="V6" s="615"/>
      <c r="W6" s="615"/>
      <c r="X6" s="615"/>
      <c r="Y6" s="615"/>
      <c r="Z6" s="615"/>
      <c r="AA6" s="18"/>
      <c r="AB6" s="680">
        <f t="shared" ref="AB6:AB37" si="0">IF(I6="","",$R6/I6)</f>
        <v>85.61904761904762</v>
      </c>
      <c r="AC6" s="680">
        <f t="shared" ref="AC6:AC37" si="1">IF(J6="","",$R6/J6)</f>
        <v>561.875</v>
      </c>
      <c r="AD6" s="680">
        <f t="shared" ref="AD6:AD37" si="2">IF(K6="","",$R6/K6)</f>
        <v>795.98958333333337</v>
      </c>
      <c r="AE6" s="681">
        <f t="shared" ref="AE6:AE37" si="3">IF(OR(I6="",N6=""),"",N6/I6)</f>
        <v>0.24</v>
      </c>
      <c r="AF6" s="681" t="str">
        <f t="shared" ref="AF6:AF37" si="4">IF(OR(I6="",P6=""),"",P6/I6)</f>
        <v/>
      </c>
      <c r="AG6" s="681">
        <f t="shared" ref="AG6:AG37" si="5">IF(OR(J6="",N6=""),"",N6/J6)</f>
        <v>1.575</v>
      </c>
      <c r="AH6" s="681" t="str">
        <f t="shared" ref="AH6:AH37" si="6">IF(OR(J6="",P6=""),"",P6/J6)</f>
        <v/>
      </c>
      <c r="AI6" s="681">
        <f t="shared" ref="AI6:AI37" si="7">IF(OR(K6="",N6=""),"",N6/K6)</f>
        <v>2.2312500000000002</v>
      </c>
      <c r="AJ6" s="681" t="str">
        <f t="shared" ref="AJ6:AJ37" si="8">IF(OR(K6="",P6=""),"",P6/K6)</f>
        <v/>
      </c>
    </row>
    <row r="7" spans="2:36" s="14" customFormat="1">
      <c r="B7" s="309" t="s">
        <v>1484</v>
      </c>
      <c r="C7" s="310" t="s">
        <v>1485</v>
      </c>
      <c r="D7" s="309" t="s">
        <v>435</v>
      </c>
      <c r="E7" s="309" t="s">
        <v>436</v>
      </c>
      <c r="F7" s="618" t="s">
        <v>431</v>
      </c>
      <c r="G7" s="618" t="s">
        <v>432</v>
      </c>
      <c r="H7" s="618" t="s">
        <v>433</v>
      </c>
      <c r="I7" s="346">
        <v>18.2</v>
      </c>
      <c r="J7" s="346">
        <v>1.2</v>
      </c>
      <c r="K7" s="346">
        <v>0.98666666666666669</v>
      </c>
      <c r="L7" s="619">
        <v>12.5</v>
      </c>
      <c r="M7" s="619"/>
      <c r="N7" s="346">
        <v>1.6</v>
      </c>
      <c r="O7" s="346"/>
      <c r="P7" s="346">
        <v>0.7</v>
      </c>
      <c r="Q7" s="346">
        <v>1063</v>
      </c>
      <c r="R7" s="346">
        <v>1063</v>
      </c>
      <c r="S7" s="620"/>
      <c r="T7" s="346"/>
      <c r="U7" s="346"/>
      <c r="V7" s="346"/>
      <c r="W7" s="346"/>
      <c r="X7" s="346"/>
      <c r="Y7" s="346"/>
      <c r="Z7" s="346"/>
      <c r="AA7" s="18"/>
      <c r="AB7" s="682">
        <f t="shared" si="0"/>
        <v>58.406593406593409</v>
      </c>
      <c r="AC7" s="682">
        <f t="shared" si="1"/>
        <v>885.83333333333337</v>
      </c>
      <c r="AD7" s="682">
        <f t="shared" si="2"/>
        <v>1077.3648648648648</v>
      </c>
      <c r="AE7" s="683">
        <f t="shared" si="3"/>
        <v>8.7912087912087919E-2</v>
      </c>
      <c r="AF7" s="683">
        <f t="shared" si="4"/>
        <v>3.8461538461538464E-2</v>
      </c>
      <c r="AG7" s="683">
        <f t="shared" si="5"/>
        <v>1.3333333333333335</v>
      </c>
      <c r="AH7" s="683">
        <f t="shared" si="6"/>
        <v>0.58333333333333337</v>
      </c>
      <c r="AI7" s="683">
        <f t="shared" si="7"/>
        <v>1.6216216216216217</v>
      </c>
      <c r="AJ7" s="683">
        <f t="shared" si="8"/>
        <v>0.70945945945945943</v>
      </c>
    </row>
    <row r="8" spans="2:36" s="14" customFormat="1">
      <c r="B8" s="309" t="s">
        <v>437</v>
      </c>
      <c r="C8" s="310" t="s">
        <v>1485</v>
      </c>
      <c r="D8" s="309" t="s">
        <v>438</v>
      </c>
      <c r="E8" s="309" t="s">
        <v>439</v>
      </c>
      <c r="F8" s="618" t="s">
        <v>440</v>
      </c>
      <c r="G8" s="618" t="s">
        <v>441</v>
      </c>
      <c r="H8" s="618" t="s">
        <v>442</v>
      </c>
      <c r="I8" s="346">
        <v>169</v>
      </c>
      <c r="J8" s="346"/>
      <c r="K8" s="346">
        <v>2.0571428571428569</v>
      </c>
      <c r="L8" s="619">
        <v>23.7</v>
      </c>
      <c r="M8" s="619"/>
      <c r="N8" s="346">
        <v>4.09</v>
      </c>
      <c r="O8" s="346"/>
      <c r="P8" s="346"/>
      <c r="Q8" s="346">
        <v>1453</v>
      </c>
      <c r="R8" s="346">
        <v>1453</v>
      </c>
      <c r="S8" s="620"/>
      <c r="T8" s="346"/>
      <c r="U8" s="346"/>
      <c r="V8" s="346"/>
      <c r="W8" s="346"/>
      <c r="X8" s="346"/>
      <c r="Y8" s="346"/>
      <c r="Z8" s="346"/>
      <c r="AA8" s="18"/>
      <c r="AB8" s="682">
        <f t="shared" si="0"/>
        <v>8.5976331360946752</v>
      </c>
      <c r="AC8" s="682" t="str">
        <f t="shared" si="1"/>
        <v/>
      </c>
      <c r="AD8" s="682">
        <f t="shared" si="2"/>
        <v>706.31944444444457</v>
      </c>
      <c r="AE8" s="683">
        <f t="shared" si="3"/>
        <v>2.4201183431952662E-2</v>
      </c>
      <c r="AF8" s="683" t="str">
        <f t="shared" si="4"/>
        <v/>
      </c>
      <c r="AG8" s="683" t="str">
        <f t="shared" si="5"/>
        <v/>
      </c>
      <c r="AH8" s="683" t="str">
        <f t="shared" si="6"/>
        <v/>
      </c>
      <c r="AI8" s="683">
        <f t="shared" si="7"/>
        <v>1.9881944444444446</v>
      </c>
      <c r="AJ8" s="683" t="str">
        <f t="shared" si="8"/>
        <v/>
      </c>
    </row>
    <row r="9" spans="2:36" s="14" customFormat="1">
      <c r="B9" s="309" t="s">
        <v>443</v>
      </c>
      <c r="C9" s="310" t="s">
        <v>1485</v>
      </c>
      <c r="D9" s="309" t="s">
        <v>444</v>
      </c>
      <c r="E9" s="309" t="s">
        <v>445</v>
      </c>
      <c r="F9" s="618" t="s">
        <v>446</v>
      </c>
      <c r="G9" s="618" t="s">
        <v>441</v>
      </c>
      <c r="H9" s="618" t="s">
        <v>442</v>
      </c>
      <c r="I9" s="346">
        <v>12</v>
      </c>
      <c r="J9" s="346">
        <v>12</v>
      </c>
      <c r="K9" s="346">
        <v>2.1</v>
      </c>
      <c r="L9" s="619">
        <v>6</v>
      </c>
      <c r="M9" s="619"/>
      <c r="N9" s="346"/>
      <c r="O9" s="346"/>
      <c r="P9" s="346"/>
      <c r="Q9" s="346">
        <v>1153.6400000000001</v>
      </c>
      <c r="R9" s="346">
        <v>1153.6400000000001</v>
      </c>
      <c r="S9" s="620"/>
      <c r="T9" s="346"/>
      <c r="U9" s="346"/>
      <c r="V9" s="346"/>
      <c r="W9" s="346"/>
      <c r="X9" s="346"/>
      <c r="Y9" s="346"/>
      <c r="Z9" s="346"/>
      <c r="AA9" s="18"/>
      <c r="AB9" s="682">
        <f t="shared" si="0"/>
        <v>96.13666666666667</v>
      </c>
      <c r="AC9" s="682">
        <f t="shared" si="1"/>
        <v>96.13666666666667</v>
      </c>
      <c r="AD9" s="682">
        <f t="shared" si="2"/>
        <v>549.35238095238094</v>
      </c>
      <c r="AE9" s="683" t="str">
        <f t="shared" si="3"/>
        <v/>
      </c>
      <c r="AF9" s="683" t="str">
        <f t="shared" si="4"/>
        <v/>
      </c>
      <c r="AG9" s="683" t="str">
        <f t="shared" si="5"/>
        <v/>
      </c>
      <c r="AH9" s="683" t="str">
        <f t="shared" si="6"/>
        <v/>
      </c>
      <c r="AI9" s="683" t="str">
        <f t="shared" si="7"/>
        <v/>
      </c>
      <c r="AJ9" s="683" t="str">
        <f t="shared" si="8"/>
        <v/>
      </c>
    </row>
    <row r="10" spans="2:36" s="14" customFormat="1">
      <c r="B10" s="309" t="s">
        <v>443</v>
      </c>
      <c r="C10" s="310" t="s">
        <v>1485</v>
      </c>
      <c r="D10" s="309" t="s">
        <v>1997</v>
      </c>
      <c r="E10" s="309" t="s">
        <v>1998</v>
      </c>
      <c r="F10" s="618" t="s">
        <v>1999</v>
      </c>
      <c r="G10" s="618" t="s">
        <v>441</v>
      </c>
      <c r="H10" s="618" t="s">
        <v>442</v>
      </c>
      <c r="I10" s="346">
        <v>14</v>
      </c>
      <c r="J10" s="346">
        <v>14</v>
      </c>
      <c r="K10" s="346">
        <v>2.4</v>
      </c>
      <c r="L10" s="619">
        <v>5.5</v>
      </c>
      <c r="M10" s="619"/>
      <c r="N10" s="346">
        <v>0.6</v>
      </c>
      <c r="O10" s="346"/>
      <c r="P10" s="346"/>
      <c r="Q10" s="346">
        <v>1308.18</v>
      </c>
      <c r="R10" s="346">
        <v>1308.18</v>
      </c>
      <c r="S10" s="620"/>
      <c r="T10" s="346"/>
      <c r="U10" s="346"/>
      <c r="V10" s="346"/>
      <c r="W10" s="346"/>
      <c r="X10" s="346"/>
      <c r="Y10" s="346"/>
      <c r="Z10" s="346"/>
      <c r="AA10" s="18"/>
      <c r="AB10" s="682">
        <f t="shared" si="0"/>
        <v>93.441428571428574</v>
      </c>
      <c r="AC10" s="682">
        <f t="shared" si="1"/>
        <v>93.441428571428574</v>
      </c>
      <c r="AD10" s="682">
        <f t="shared" si="2"/>
        <v>545.07500000000005</v>
      </c>
      <c r="AE10" s="683">
        <f t="shared" si="3"/>
        <v>4.2857142857142858E-2</v>
      </c>
      <c r="AF10" s="683" t="str">
        <f t="shared" si="4"/>
        <v/>
      </c>
      <c r="AG10" s="683">
        <f t="shared" si="5"/>
        <v>4.2857142857142858E-2</v>
      </c>
      <c r="AH10" s="683" t="str">
        <f t="shared" si="6"/>
        <v/>
      </c>
      <c r="AI10" s="683">
        <f t="shared" si="7"/>
        <v>0.25</v>
      </c>
      <c r="AJ10" s="683" t="str">
        <f t="shared" si="8"/>
        <v/>
      </c>
    </row>
    <row r="11" spans="2:36" s="14" customFormat="1">
      <c r="B11" s="309" t="s">
        <v>443</v>
      </c>
      <c r="C11" s="310" t="s">
        <v>2000</v>
      </c>
      <c r="D11" s="309" t="s">
        <v>2001</v>
      </c>
      <c r="E11" s="309" t="s">
        <v>2002</v>
      </c>
      <c r="F11" s="618" t="s">
        <v>1999</v>
      </c>
      <c r="G11" s="618" t="s">
        <v>441</v>
      </c>
      <c r="H11" s="618" t="s">
        <v>442</v>
      </c>
      <c r="I11" s="346">
        <v>17.5</v>
      </c>
      <c r="J11" s="346">
        <v>5</v>
      </c>
      <c r="K11" s="346">
        <v>2.4</v>
      </c>
      <c r="L11" s="619">
        <v>3.5</v>
      </c>
      <c r="M11" s="619"/>
      <c r="N11" s="346">
        <v>1.7</v>
      </c>
      <c r="O11" s="346"/>
      <c r="P11" s="346"/>
      <c r="Q11" s="346">
        <v>4524</v>
      </c>
      <c r="R11" s="346">
        <v>4524</v>
      </c>
      <c r="S11" s="620"/>
      <c r="T11" s="346"/>
      <c r="U11" s="346"/>
      <c r="V11" s="346"/>
      <c r="W11" s="346"/>
      <c r="X11" s="346"/>
      <c r="Y11" s="346"/>
      <c r="Z11" s="346"/>
      <c r="AA11" s="18"/>
      <c r="AB11" s="682">
        <f t="shared" si="0"/>
        <v>258.51428571428573</v>
      </c>
      <c r="AC11" s="682">
        <f t="shared" si="1"/>
        <v>904.8</v>
      </c>
      <c r="AD11" s="682">
        <f t="shared" si="2"/>
        <v>1885</v>
      </c>
      <c r="AE11" s="683">
        <f t="shared" si="3"/>
        <v>9.7142857142857142E-2</v>
      </c>
      <c r="AF11" s="683" t="str">
        <f t="shared" si="4"/>
        <v/>
      </c>
      <c r="AG11" s="683">
        <f t="shared" si="5"/>
        <v>0.33999999999999997</v>
      </c>
      <c r="AH11" s="683" t="str">
        <f t="shared" si="6"/>
        <v/>
      </c>
      <c r="AI11" s="683">
        <f t="shared" si="7"/>
        <v>0.70833333333333337</v>
      </c>
      <c r="AJ11" s="683" t="str">
        <f t="shared" si="8"/>
        <v/>
      </c>
    </row>
    <row r="12" spans="2:36" s="14" customFormat="1">
      <c r="B12" s="309" t="s">
        <v>437</v>
      </c>
      <c r="C12" s="310" t="s">
        <v>2003</v>
      </c>
      <c r="D12" s="309" t="s">
        <v>2004</v>
      </c>
      <c r="E12" s="309" t="s">
        <v>2005</v>
      </c>
      <c r="F12" s="618" t="s">
        <v>440</v>
      </c>
      <c r="G12" s="618" t="s">
        <v>441</v>
      </c>
      <c r="H12" s="618" t="s">
        <v>442</v>
      </c>
      <c r="I12" s="346">
        <v>45</v>
      </c>
      <c r="J12" s="346"/>
      <c r="K12" s="346"/>
      <c r="L12" s="619">
        <v>45</v>
      </c>
      <c r="M12" s="619"/>
      <c r="N12" s="346">
        <v>1.07</v>
      </c>
      <c r="O12" s="346"/>
      <c r="P12" s="346"/>
      <c r="Q12" s="346">
        <v>386</v>
      </c>
      <c r="R12" s="346">
        <v>386</v>
      </c>
      <c r="S12" s="620"/>
      <c r="T12" s="346"/>
      <c r="U12" s="346"/>
      <c r="V12" s="346"/>
      <c r="W12" s="346"/>
      <c r="X12" s="346"/>
      <c r="Y12" s="346"/>
      <c r="Z12" s="346"/>
      <c r="AA12" s="18"/>
      <c r="AB12" s="682">
        <f t="shared" si="0"/>
        <v>8.5777777777777775</v>
      </c>
      <c r="AC12" s="682" t="str">
        <f t="shared" si="1"/>
        <v/>
      </c>
      <c r="AD12" s="682" t="str">
        <f t="shared" si="2"/>
        <v/>
      </c>
      <c r="AE12" s="683">
        <f t="shared" si="3"/>
        <v>2.377777777777778E-2</v>
      </c>
      <c r="AF12" s="683" t="str">
        <f t="shared" si="4"/>
        <v/>
      </c>
      <c r="AG12" s="683" t="str">
        <f t="shared" si="5"/>
        <v/>
      </c>
      <c r="AH12" s="683" t="str">
        <f t="shared" si="6"/>
        <v/>
      </c>
      <c r="AI12" s="683" t="str">
        <f t="shared" si="7"/>
        <v/>
      </c>
      <c r="AJ12" s="683" t="str">
        <f t="shared" si="8"/>
        <v/>
      </c>
    </row>
    <row r="13" spans="2:36" s="14" customFormat="1">
      <c r="B13" s="309" t="s">
        <v>437</v>
      </c>
      <c r="C13" s="310" t="s">
        <v>1485</v>
      </c>
      <c r="D13" s="309" t="s">
        <v>2006</v>
      </c>
      <c r="E13" s="309" t="s">
        <v>2007</v>
      </c>
      <c r="F13" s="618" t="s">
        <v>440</v>
      </c>
      <c r="G13" s="618" t="s">
        <v>441</v>
      </c>
      <c r="H13" s="618" t="s">
        <v>442</v>
      </c>
      <c r="I13" s="346">
        <v>37.5</v>
      </c>
      <c r="J13" s="346"/>
      <c r="K13" s="346">
        <v>16.457142857142856</v>
      </c>
      <c r="L13" s="619">
        <v>38</v>
      </c>
      <c r="M13" s="619"/>
      <c r="N13" s="346">
        <v>1.92</v>
      </c>
      <c r="O13" s="346"/>
      <c r="P13" s="346"/>
      <c r="Q13" s="346">
        <v>1070</v>
      </c>
      <c r="R13" s="346">
        <v>1070</v>
      </c>
      <c r="S13" s="620"/>
      <c r="T13" s="346"/>
      <c r="U13" s="346"/>
      <c r="V13" s="346"/>
      <c r="W13" s="346"/>
      <c r="X13" s="346"/>
      <c r="Y13" s="346"/>
      <c r="Z13" s="346"/>
      <c r="AA13" s="18"/>
      <c r="AB13" s="682">
        <f t="shared" si="0"/>
        <v>28.533333333333335</v>
      </c>
      <c r="AC13" s="682" t="str">
        <f t="shared" si="1"/>
        <v/>
      </c>
      <c r="AD13" s="682">
        <f t="shared" si="2"/>
        <v>65.017361111111114</v>
      </c>
      <c r="AE13" s="683">
        <f t="shared" si="3"/>
        <v>5.1199999999999996E-2</v>
      </c>
      <c r="AF13" s="683" t="str">
        <f t="shared" si="4"/>
        <v/>
      </c>
      <c r="AG13" s="683" t="str">
        <f t="shared" si="5"/>
        <v/>
      </c>
      <c r="AH13" s="683" t="str">
        <f t="shared" si="6"/>
        <v/>
      </c>
      <c r="AI13" s="683">
        <f t="shared" si="7"/>
        <v>0.11666666666666667</v>
      </c>
      <c r="AJ13" s="683" t="str">
        <f t="shared" si="8"/>
        <v/>
      </c>
    </row>
    <row r="14" spans="2:36" s="14" customFormat="1">
      <c r="B14" s="309" t="s">
        <v>437</v>
      </c>
      <c r="C14" s="310" t="s">
        <v>2008</v>
      </c>
      <c r="D14" s="309" t="s">
        <v>2009</v>
      </c>
      <c r="E14" s="309" t="s">
        <v>2010</v>
      </c>
      <c r="F14" s="618" t="s">
        <v>440</v>
      </c>
      <c r="G14" s="618" t="s">
        <v>441</v>
      </c>
      <c r="H14" s="618" t="s">
        <v>442</v>
      </c>
      <c r="I14" s="346">
        <v>107.5</v>
      </c>
      <c r="J14" s="346"/>
      <c r="K14" s="346"/>
      <c r="L14" s="619">
        <v>21</v>
      </c>
      <c r="M14" s="619"/>
      <c r="N14" s="346">
        <v>1.92</v>
      </c>
      <c r="O14" s="346"/>
      <c r="P14" s="346"/>
      <c r="Q14" s="346">
        <v>1556</v>
      </c>
      <c r="R14" s="346">
        <v>1556</v>
      </c>
      <c r="S14" s="620"/>
      <c r="T14" s="346"/>
      <c r="U14" s="346"/>
      <c r="V14" s="346"/>
      <c r="W14" s="346"/>
      <c r="X14" s="346"/>
      <c r="Y14" s="346"/>
      <c r="Z14" s="346"/>
      <c r="AA14" s="18"/>
      <c r="AB14" s="682">
        <f t="shared" si="0"/>
        <v>14.474418604651163</v>
      </c>
      <c r="AC14" s="682" t="str">
        <f t="shared" si="1"/>
        <v/>
      </c>
      <c r="AD14" s="682" t="str">
        <f t="shared" si="2"/>
        <v/>
      </c>
      <c r="AE14" s="683">
        <f t="shared" si="3"/>
        <v>1.7860465116279069E-2</v>
      </c>
      <c r="AF14" s="683" t="str">
        <f t="shared" si="4"/>
        <v/>
      </c>
      <c r="AG14" s="683" t="str">
        <f t="shared" si="5"/>
        <v/>
      </c>
      <c r="AH14" s="683" t="str">
        <f t="shared" si="6"/>
        <v/>
      </c>
      <c r="AI14" s="683" t="str">
        <f t="shared" si="7"/>
        <v/>
      </c>
      <c r="AJ14" s="683" t="str">
        <f t="shared" si="8"/>
        <v/>
      </c>
    </row>
    <row r="15" spans="2:36" s="14" customFormat="1">
      <c r="B15" s="309" t="s">
        <v>443</v>
      </c>
      <c r="C15" s="310" t="s">
        <v>2011</v>
      </c>
      <c r="D15" s="309" t="s">
        <v>2012</v>
      </c>
      <c r="E15" s="309" t="s">
        <v>1811</v>
      </c>
      <c r="F15" s="618" t="s">
        <v>1999</v>
      </c>
      <c r="G15" s="618" t="s">
        <v>441</v>
      </c>
      <c r="H15" s="618" t="s">
        <v>442</v>
      </c>
      <c r="I15" s="346">
        <v>15.5</v>
      </c>
      <c r="J15" s="346">
        <v>12.2</v>
      </c>
      <c r="K15" s="346">
        <v>2.8</v>
      </c>
      <c r="L15" s="619">
        <v>4.0999999999999996</v>
      </c>
      <c r="M15" s="619"/>
      <c r="N15" s="346">
        <v>0.85</v>
      </c>
      <c r="O15" s="346"/>
      <c r="P15" s="346"/>
      <c r="Q15" s="346">
        <v>1900</v>
      </c>
      <c r="R15" s="346">
        <v>1900</v>
      </c>
      <c r="S15" s="620"/>
      <c r="T15" s="346"/>
      <c r="U15" s="346"/>
      <c r="V15" s="346"/>
      <c r="W15" s="346"/>
      <c r="X15" s="346"/>
      <c r="Y15" s="346"/>
      <c r="Z15" s="346"/>
      <c r="AA15" s="18"/>
      <c r="AB15" s="682">
        <f t="shared" si="0"/>
        <v>122.58064516129032</v>
      </c>
      <c r="AC15" s="682">
        <f t="shared" si="1"/>
        <v>155.73770491803279</v>
      </c>
      <c r="AD15" s="682">
        <f t="shared" si="2"/>
        <v>678.57142857142867</v>
      </c>
      <c r="AE15" s="683">
        <f t="shared" si="3"/>
        <v>5.4838709677419356E-2</v>
      </c>
      <c r="AF15" s="683" t="str">
        <f t="shared" si="4"/>
        <v/>
      </c>
      <c r="AG15" s="683">
        <f t="shared" si="5"/>
        <v>6.9672131147540992E-2</v>
      </c>
      <c r="AH15" s="683" t="str">
        <f t="shared" si="6"/>
        <v/>
      </c>
      <c r="AI15" s="683">
        <f t="shared" si="7"/>
        <v>0.3035714285714286</v>
      </c>
      <c r="AJ15" s="683" t="str">
        <f t="shared" si="8"/>
        <v/>
      </c>
    </row>
    <row r="16" spans="2:36" s="14" customFormat="1">
      <c r="B16" s="309" t="s">
        <v>443</v>
      </c>
      <c r="C16" s="310" t="s">
        <v>1812</v>
      </c>
      <c r="D16" s="309" t="s">
        <v>1813</v>
      </c>
      <c r="E16" s="309" t="s">
        <v>1814</v>
      </c>
      <c r="F16" s="618" t="s">
        <v>1999</v>
      </c>
      <c r="G16" s="618" t="s">
        <v>441</v>
      </c>
      <c r="H16" s="618" t="s">
        <v>442</v>
      </c>
      <c r="I16" s="346">
        <v>20</v>
      </c>
      <c r="J16" s="346">
        <v>4.8</v>
      </c>
      <c r="K16" s="346">
        <v>3.6</v>
      </c>
      <c r="L16" s="619">
        <v>6</v>
      </c>
      <c r="M16" s="619"/>
      <c r="N16" s="346">
        <v>0.41</v>
      </c>
      <c r="O16" s="346"/>
      <c r="P16" s="346"/>
      <c r="Q16" s="346">
        <v>3200</v>
      </c>
      <c r="R16" s="346">
        <v>3200</v>
      </c>
      <c r="S16" s="620"/>
      <c r="T16" s="346"/>
      <c r="U16" s="346"/>
      <c r="V16" s="346"/>
      <c r="W16" s="346"/>
      <c r="X16" s="346"/>
      <c r="Y16" s="346"/>
      <c r="Z16" s="346"/>
      <c r="AA16" s="18"/>
      <c r="AB16" s="682">
        <f t="shared" si="0"/>
        <v>160</v>
      </c>
      <c r="AC16" s="682">
        <f t="shared" si="1"/>
        <v>666.66666666666674</v>
      </c>
      <c r="AD16" s="682">
        <f t="shared" si="2"/>
        <v>888.88888888888891</v>
      </c>
      <c r="AE16" s="683">
        <f t="shared" si="3"/>
        <v>2.0499999999999997E-2</v>
      </c>
      <c r="AF16" s="683" t="str">
        <f t="shared" si="4"/>
        <v/>
      </c>
      <c r="AG16" s="683">
        <f t="shared" si="5"/>
        <v>8.5416666666666669E-2</v>
      </c>
      <c r="AH16" s="683" t="str">
        <f t="shared" si="6"/>
        <v/>
      </c>
      <c r="AI16" s="683">
        <f t="shared" si="7"/>
        <v>0.11388888888888887</v>
      </c>
      <c r="AJ16" s="683" t="str">
        <f t="shared" si="8"/>
        <v/>
      </c>
    </row>
    <row r="17" spans="2:36" s="14" customFormat="1">
      <c r="B17" s="309" t="s">
        <v>1815</v>
      </c>
      <c r="C17" s="310" t="s">
        <v>1485</v>
      </c>
      <c r="D17" s="309" t="s">
        <v>1816</v>
      </c>
      <c r="E17" s="309" t="s">
        <v>1817</v>
      </c>
      <c r="F17" s="618" t="s">
        <v>1818</v>
      </c>
      <c r="G17" s="618" t="s">
        <v>432</v>
      </c>
      <c r="H17" s="618" t="s">
        <v>433</v>
      </c>
      <c r="I17" s="346"/>
      <c r="J17" s="346">
        <v>14</v>
      </c>
      <c r="K17" s="346">
        <v>2.4</v>
      </c>
      <c r="L17" s="619" t="s">
        <v>434</v>
      </c>
      <c r="M17" s="619"/>
      <c r="N17" s="346">
        <v>2.9</v>
      </c>
      <c r="O17" s="346">
        <v>0.6</v>
      </c>
      <c r="P17" s="346"/>
      <c r="Q17" s="346">
        <v>688.18</v>
      </c>
      <c r="R17" s="346">
        <v>688.18</v>
      </c>
      <c r="S17" s="620"/>
      <c r="T17" s="346"/>
      <c r="U17" s="346"/>
      <c r="V17" s="346"/>
      <c r="W17" s="346"/>
      <c r="X17" s="346"/>
      <c r="Y17" s="346"/>
      <c r="Z17" s="346"/>
      <c r="AA17" s="18"/>
      <c r="AB17" s="682" t="str">
        <f t="shared" si="0"/>
        <v/>
      </c>
      <c r="AC17" s="682">
        <f t="shared" si="1"/>
        <v>49.155714285714282</v>
      </c>
      <c r="AD17" s="682">
        <f t="shared" si="2"/>
        <v>286.74166666666667</v>
      </c>
      <c r="AE17" s="683" t="str">
        <f t="shared" si="3"/>
        <v/>
      </c>
      <c r="AF17" s="683" t="str">
        <f t="shared" si="4"/>
        <v/>
      </c>
      <c r="AG17" s="683">
        <f t="shared" si="5"/>
        <v>0.20714285714285713</v>
      </c>
      <c r="AH17" s="683" t="str">
        <f t="shared" si="6"/>
        <v/>
      </c>
      <c r="AI17" s="683">
        <f t="shared" si="7"/>
        <v>1.2083333333333333</v>
      </c>
      <c r="AJ17" s="683" t="str">
        <f t="shared" si="8"/>
        <v/>
      </c>
    </row>
    <row r="18" spans="2:36" s="14" customFormat="1">
      <c r="B18" s="309" t="s">
        <v>1815</v>
      </c>
      <c r="C18" s="310" t="s">
        <v>1485</v>
      </c>
      <c r="D18" s="309" t="s">
        <v>1376</v>
      </c>
      <c r="E18" s="309" t="s">
        <v>1377</v>
      </c>
      <c r="F18" s="618" t="s">
        <v>1818</v>
      </c>
      <c r="G18" s="618" t="s">
        <v>432</v>
      </c>
      <c r="H18" s="618" t="s">
        <v>433</v>
      </c>
      <c r="I18" s="346"/>
      <c r="J18" s="346">
        <v>14</v>
      </c>
      <c r="K18" s="346">
        <v>2.4</v>
      </c>
      <c r="L18" s="619">
        <v>11</v>
      </c>
      <c r="M18" s="619"/>
      <c r="N18" s="346">
        <v>2.7</v>
      </c>
      <c r="O18" s="346"/>
      <c r="P18" s="346">
        <v>0.65</v>
      </c>
      <c r="Q18" s="346">
        <v>841</v>
      </c>
      <c r="R18" s="346">
        <v>841</v>
      </c>
      <c r="S18" s="620"/>
      <c r="T18" s="346"/>
      <c r="U18" s="346"/>
      <c r="V18" s="346"/>
      <c r="W18" s="346"/>
      <c r="X18" s="346"/>
      <c r="Y18" s="346"/>
      <c r="Z18" s="346"/>
      <c r="AA18" s="18"/>
      <c r="AB18" s="682" t="str">
        <f t="shared" si="0"/>
        <v/>
      </c>
      <c r="AC18" s="682">
        <f t="shared" si="1"/>
        <v>60.071428571428569</v>
      </c>
      <c r="AD18" s="682">
        <f t="shared" si="2"/>
        <v>350.41666666666669</v>
      </c>
      <c r="AE18" s="683" t="str">
        <f t="shared" si="3"/>
        <v/>
      </c>
      <c r="AF18" s="683" t="str">
        <f t="shared" si="4"/>
        <v/>
      </c>
      <c r="AG18" s="683">
        <f t="shared" si="5"/>
        <v>0.19285714285714287</v>
      </c>
      <c r="AH18" s="683">
        <f t="shared" si="6"/>
        <v>4.642857142857143E-2</v>
      </c>
      <c r="AI18" s="683">
        <f t="shared" si="7"/>
        <v>1.1250000000000002</v>
      </c>
      <c r="AJ18" s="683">
        <f t="shared" si="8"/>
        <v>0.27083333333333337</v>
      </c>
    </row>
    <row r="19" spans="2:36" s="14" customFormat="1">
      <c r="B19" s="309" t="s">
        <v>437</v>
      </c>
      <c r="C19" s="310" t="s">
        <v>2003</v>
      </c>
      <c r="D19" s="309" t="s">
        <v>1378</v>
      </c>
      <c r="E19" s="309" t="s">
        <v>1379</v>
      </c>
      <c r="F19" s="618" t="s">
        <v>440</v>
      </c>
      <c r="G19" s="618" t="s">
        <v>441</v>
      </c>
      <c r="H19" s="618" t="s">
        <v>442</v>
      </c>
      <c r="I19" s="346">
        <v>20</v>
      </c>
      <c r="J19" s="346"/>
      <c r="K19" s="346">
        <v>3</v>
      </c>
      <c r="L19" s="619">
        <v>32.5</v>
      </c>
      <c r="M19" s="619"/>
      <c r="N19" s="346">
        <v>1.62</v>
      </c>
      <c r="O19" s="346"/>
      <c r="P19" s="346"/>
      <c r="Q19" s="346">
        <v>507</v>
      </c>
      <c r="R19" s="346">
        <v>507</v>
      </c>
      <c r="S19" s="620"/>
      <c r="T19" s="346"/>
      <c r="U19" s="346"/>
      <c r="V19" s="346"/>
      <c r="W19" s="346"/>
      <c r="X19" s="346"/>
      <c r="Y19" s="346"/>
      <c r="Z19" s="346"/>
      <c r="AA19" s="18"/>
      <c r="AB19" s="682">
        <f t="shared" si="0"/>
        <v>25.35</v>
      </c>
      <c r="AC19" s="682" t="str">
        <f t="shared" si="1"/>
        <v/>
      </c>
      <c r="AD19" s="682">
        <f t="shared" si="2"/>
        <v>169</v>
      </c>
      <c r="AE19" s="683">
        <f t="shared" si="3"/>
        <v>8.1000000000000003E-2</v>
      </c>
      <c r="AF19" s="683" t="str">
        <f t="shared" si="4"/>
        <v/>
      </c>
      <c r="AG19" s="683" t="str">
        <f t="shared" si="5"/>
        <v/>
      </c>
      <c r="AH19" s="683" t="str">
        <f t="shared" si="6"/>
        <v/>
      </c>
      <c r="AI19" s="683">
        <f t="shared" si="7"/>
        <v>0.54</v>
      </c>
      <c r="AJ19" s="683" t="str">
        <f t="shared" si="8"/>
        <v/>
      </c>
    </row>
    <row r="20" spans="2:36" s="14" customFormat="1">
      <c r="B20" s="309" t="s">
        <v>443</v>
      </c>
      <c r="C20" s="310" t="s">
        <v>1380</v>
      </c>
      <c r="D20" s="309" t="s">
        <v>1381</v>
      </c>
      <c r="E20" s="309" t="s">
        <v>1382</v>
      </c>
      <c r="F20" s="618" t="s">
        <v>1999</v>
      </c>
      <c r="G20" s="618" t="s">
        <v>441</v>
      </c>
      <c r="H20" s="618" t="s">
        <v>442</v>
      </c>
      <c r="I20" s="346">
        <v>38.700000000000003</v>
      </c>
      <c r="J20" s="346">
        <v>32.5</v>
      </c>
      <c r="K20" s="346">
        <v>2.2999999999999998</v>
      </c>
      <c r="L20" s="619">
        <v>3</v>
      </c>
      <c r="M20" s="619"/>
      <c r="N20" s="346">
        <v>0.64</v>
      </c>
      <c r="O20" s="346"/>
      <c r="P20" s="346"/>
      <c r="Q20" s="346">
        <v>3800</v>
      </c>
      <c r="R20" s="346">
        <v>3800</v>
      </c>
      <c r="S20" s="620"/>
      <c r="T20" s="346"/>
      <c r="U20" s="346"/>
      <c r="V20" s="346"/>
      <c r="W20" s="346"/>
      <c r="X20" s="346"/>
      <c r="Y20" s="346"/>
      <c r="Z20" s="346"/>
      <c r="AA20" s="18"/>
      <c r="AB20" s="682">
        <f t="shared" si="0"/>
        <v>98.191214470284237</v>
      </c>
      <c r="AC20" s="682">
        <f t="shared" si="1"/>
        <v>116.92307692307692</v>
      </c>
      <c r="AD20" s="682">
        <f t="shared" si="2"/>
        <v>1652.1739130434785</v>
      </c>
      <c r="AE20" s="683">
        <f t="shared" si="3"/>
        <v>1.6537467700258397E-2</v>
      </c>
      <c r="AF20" s="683" t="str">
        <f t="shared" si="4"/>
        <v/>
      </c>
      <c r="AG20" s="683">
        <f t="shared" si="5"/>
        <v>1.9692307692307693E-2</v>
      </c>
      <c r="AH20" s="683" t="str">
        <f t="shared" si="6"/>
        <v/>
      </c>
      <c r="AI20" s="683">
        <f t="shared" si="7"/>
        <v>0.27826086956521739</v>
      </c>
      <c r="AJ20" s="683" t="str">
        <f t="shared" si="8"/>
        <v/>
      </c>
    </row>
    <row r="21" spans="2:36" s="14" customFormat="1">
      <c r="B21" s="309" t="s">
        <v>443</v>
      </c>
      <c r="C21" s="310" t="s">
        <v>1383</v>
      </c>
      <c r="D21" s="309" t="s">
        <v>1384</v>
      </c>
      <c r="E21" s="309" t="s">
        <v>1385</v>
      </c>
      <c r="F21" s="618" t="s">
        <v>1999</v>
      </c>
      <c r="G21" s="618" t="s">
        <v>441</v>
      </c>
      <c r="H21" s="618" t="s">
        <v>442</v>
      </c>
      <c r="I21" s="346">
        <v>85</v>
      </c>
      <c r="J21" s="346">
        <v>14.4</v>
      </c>
      <c r="K21" s="346">
        <v>8.6999999999999993</v>
      </c>
      <c r="L21" s="619">
        <v>4.5999999999999996</v>
      </c>
      <c r="M21" s="619"/>
      <c r="N21" s="346">
        <v>2.4</v>
      </c>
      <c r="O21" s="346"/>
      <c r="P21" s="346"/>
      <c r="Q21" s="346">
        <v>2441</v>
      </c>
      <c r="R21" s="346">
        <v>2441</v>
      </c>
      <c r="S21" s="620"/>
      <c r="T21" s="346"/>
      <c r="U21" s="346"/>
      <c r="V21" s="346"/>
      <c r="W21" s="346"/>
      <c r="X21" s="346"/>
      <c r="Y21" s="346"/>
      <c r="Z21" s="346"/>
      <c r="AA21" s="18"/>
      <c r="AB21" s="682">
        <f t="shared" si="0"/>
        <v>28.71764705882353</v>
      </c>
      <c r="AC21" s="682">
        <f t="shared" si="1"/>
        <v>169.51388888888889</v>
      </c>
      <c r="AD21" s="682">
        <f t="shared" si="2"/>
        <v>280.5747126436782</v>
      </c>
      <c r="AE21" s="683">
        <f t="shared" si="3"/>
        <v>2.8235294117647056E-2</v>
      </c>
      <c r="AF21" s="683" t="str">
        <f t="shared" si="4"/>
        <v/>
      </c>
      <c r="AG21" s="683">
        <f t="shared" si="5"/>
        <v>0.16666666666666666</v>
      </c>
      <c r="AH21" s="683" t="str">
        <f t="shared" si="6"/>
        <v/>
      </c>
      <c r="AI21" s="683">
        <f t="shared" si="7"/>
        <v>0.27586206896551724</v>
      </c>
      <c r="AJ21" s="683" t="str">
        <f t="shared" si="8"/>
        <v/>
      </c>
    </row>
    <row r="22" spans="2:36" s="14" customFormat="1">
      <c r="B22" s="309" t="s">
        <v>1815</v>
      </c>
      <c r="C22" s="310" t="s">
        <v>1485</v>
      </c>
      <c r="D22" s="309" t="s">
        <v>1386</v>
      </c>
      <c r="E22" s="309" t="s">
        <v>1387</v>
      </c>
      <c r="F22" s="618" t="s">
        <v>1388</v>
      </c>
      <c r="G22" s="618" t="s">
        <v>441</v>
      </c>
      <c r="H22" s="618" t="s">
        <v>442</v>
      </c>
      <c r="I22" s="346"/>
      <c r="J22" s="346">
        <v>145</v>
      </c>
      <c r="K22" s="346">
        <v>18.642857142857142</v>
      </c>
      <c r="L22" s="619">
        <v>14</v>
      </c>
      <c r="M22" s="619"/>
      <c r="N22" s="346">
        <v>5.77</v>
      </c>
      <c r="O22" s="346"/>
      <c r="P22" s="346"/>
      <c r="Q22" s="346">
        <v>1433</v>
      </c>
      <c r="R22" s="346">
        <v>1433</v>
      </c>
      <c r="S22" s="620"/>
      <c r="T22" s="346"/>
      <c r="U22" s="346"/>
      <c r="V22" s="346"/>
      <c r="W22" s="346"/>
      <c r="X22" s="346"/>
      <c r="Y22" s="346"/>
      <c r="Z22" s="346"/>
      <c r="AA22" s="18"/>
      <c r="AB22" s="682" t="str">
        <f t="shared" si="0"/>
        <v/>
      </c>
      <c r="AC22" s="682">
        <f t="shared" si="1"/>
        <v>9.8827586206896552</v>
      </c>
      <c r="AD22" s="682">
        <f t="shared" si="2"/>
        <v>76.865900383141764</v>
      </c>
      <c r="AE22" s="683" t="str">
        <f t="shared" si="3"/>
        <v/>
      </c>
      <c r="AF22" s="683" t="str">
        <f t="shared" si="4"/>
        <v/>
      </c>
      <c r="AG22" s="683">
        <f t="shared" si="5"/>
        <v>3.9793103448275857E-2</v>
      </c>
      <c r="AH22" s="683" t="str">
        <f t="shared" si="6"/>
        <v/>
      </c>
      <c r="AI22" s="683">
        <f t="shared" si="7"/>
        <v>0.30950191570881225</v>
      </c>
      <c r="AJ22" s="683" t="str">
        <f t="shared" si="8"/>
        <v/>
      </c>
    </row>
    <row r="23" spans="2:36" s="14" customFormat="1">
      <c r="B23" s="309" t="s">
        <v>437</v>
      </c>
      <c r="C23" s="310" t="s">
        <v>2003</v>
      </c>
      <c r="D23" s="309" t="s">
        <v>1389</v>
      </c>
      <c r="E23" s="309" t="s">
        <v>1390</v>
      </c>
      <c r="F23" s="618" t="s">
        <v>440</v>
      </c>
      <c r="G23" s="618" t="s">
        <v>441</v>
      </c>
      <c r="H23" s="618" t="s">
        <v>442</v>
      </c>
      <c r="I23" s="346">
        <v>63</v>
      </c>
      <c r="J23" s="346"/>
      <c r="K23" s="346"/>
      <c r="L23" s="619">
        <v>46</v>
      </c>
      <c r="M23" s="619"/>
      <c r="N23" s="346">
        <v>1.41</v>
      </c>
      <c r="O23" s="346"/>
      <c r="P23" s="346"/>
      <c r="Q23" s="346">
        <v>450</v>
      </c>
      <c r="R23" s="346">
        <v>450</v>
      </c>
      <c r="S23" s="620"/>
      <c r="T23" s="346"/>
      <c r="U23" s="346"/>
      <c r="V23" s="346"/>
      <c r="W23" s="346"/>
      <c r="X23" s="346"/>
      <c r="Y23" s="346"/>
      <c r="Z23" s="346"/>
      <c r="AA23" s="18"/>
      <c r="AB23" s="682">
        <f t="shared" si="0"/>
        <v>7.1428571428571432</v>
      </c>
      <c r="AC23" s="682" t="str">
        <f t="shared" si="1"/>
        <v/>
      </c>
      <c r="AD23" s="682" t="str">
        <f t="shared" si="2"/>
        <v/>
      </c>
      <c r="AE23" s="683">
        <f t="shared" si="3"/>
        <v>2.238095238095238E-2</v>
      </c>
      <c r="AF23" s="683" t="str">
        <f t="shared" si="4"/>
        <v/>
      </c>
      <c r="AG23" s="683" t="str">
        <f t="shared" si="5"/>
        <v/>
      </c>
      <c r="AH23" s="683" t="str">
        <f t="shared" si="6"/>
        <v/>
      </c>
      <c r="AI23" s="683" t="str">
        <f t="shared" si="7"/>
        <v/>
      </c>
      <c r="AJ23" s="683" t="str">
        <f t="shared" si="8"/>
        <v/>
      </c>
    </row>
    <row r="24" spans="2:36" s="14" customFormat="1">
      <c r="B24" s="309" t="s">
        <v>437</v>
      </c>
      <c r="C24" s="310" t="s">
        <v>2003</v>
      </c>
      <c r="D24" s="309" t="s">
        <v>1391</v>
      </c>
      <c r="E24" s="309" t="s">
        <v>1392</v>
      </c>
      <c r="F24" s="618" t="s">
        <v>440</v>
      </c>
      <c r="G24" s="618" t="s">
        <v>441</v>
      </c>
      <c r="H24" s="618" t="s">
        <v>442</v>
      </c>
      <c r="I24" s="346">
        <v>108</v>
      </c>
      <c r="J24" s="346"/>
      <c r="K24" s="346"/>
      <c r="L24" s="619">
        <v>49</v>
      </c>
      <c r="M24" s="619"/>
      <c r="N24" s="346">
        <v>1.67</v>
      </c>
      <c r="O24" s="346"/>
      <c r="P24" s="346"/>
      <c r="Q24" s="346">
        <v>532</v>
      </c>
      <c r="R24" s="346">
        <v>532</v>
      </c>
      <c r="S24" s="620"/>
      <c r="T24" s="346"/>
      <c r="U24" s="346"/>
      <c r="V24" s="346"/>
      <c r="W24" s="346"/>
      <c r="X24" s="346"/>
      <c r="Y24" s="346"/>
      <c r="Z24" s="346"/>
      <c r="AA24" s="18"/>
      <c r="AB24" s="682">
        <f t="shared" si="0"/>
        <v>4.9259259259259256</v>
      </c>
      <c r="AC24" s="682" t="str">
        <f t="shared" si="1"/>
        <v/>
      </c>
      <c r="AD24" s="682" t="str">
        <f t="shared" si="2"/>
        <v/>
      </c>
      <c r="AE24" s="683">
        <f t="shared" si="3"/>
        <v>1.5462962962962963E-2</v>
      </c>
      <c r="AF24" s="683" t="str">
        <f t="shared" si="4"/>
        <v/>
      </c>
      <c r="AG24" s="683" t="str">
        <f t="shared" si="5"/>
        <v/>
      </c>
      <c r="AH24" s="683" t="str">
        <f t="shared" si="6"/>
        <v/>
      </c>
      <c r="AI24" s="683" t="str">
        <f t="shared" si="7"/>
        <v/>
      </c>
      <c r="AJ24" s="683" t="str">
        <f t="shared" si="8"/>
        <v/>
      </c>
    </row>
    <row r="25" spans="2:36" s="14" customFormat="1">
      <c r="B25" s="309" t="s">
        <v>443</v>
      </c>
      <c r="C25" s="310" t="s">
        <v>1393</v>
      </c>
      <c r="D25" s="309" t="s">
        <v>616</v>
      </c>
      <c r="E25" s="309" t="s">
        <v>617</v>
      </c>
      <c r="F25" s="618" t="s">
        <v>1999</v>
      </c>
      <c r="G25" s="618" t="s">
        <v>441</v>
      </c>
      <c r="H25" s="618" t="s">
        <v>442</v>
      </c>
      <c r="I25" s="346">
        <v>18</v>
      </c>
      <c r="J25" s="346">
        <v>5</v>
      </c>
      <c r="K25" s="346">
        <v>6.4</v>
      </c>
      <c r="L25" s="619">
        <v>5.5</v>
      </c>
      <c r="M25" s="619"/>
      <c r="N25" s="346">
        <v>1.5</v>
      </c>
      <c r="O25" s="346"/>
      <c r="P25" s="346"/>
      <c r="Q25" s="346">
        <v>2950</v>
      </c>
      <c r="R25" s="346">
        <v>2950</v>
      </c>
      <c r="S25" s="620"/>
      <c r="T25" s="346"/>
      <c r="U25" s="346"/>
      <c r="V25" s="346"/>
      <c r="W25" s="346"/>
      <c r="X25" s="346"/>
      <c r="Y25" s="346"/>
      <c r="Z25" s="346"/>
      <c r="AA25" s="18"/>
      <c r="AB25" s="682">
        <f t="shared" si="0"/>
        <v>163.88888888888889</v>
      </c>
      <c r="AC25" s="682">
        <f t="shared" si="1"/>
        <v>590</v>
      </c>
      <c r="AD25" s="682">
        <f t="shared" si="2"/>
        <v>460.9375</v>
      </c>
      <c r="AE25" s="683">
        <f t="shared" si="3"/>
        <v>8.3333333333333329E-2</v>
      </c>
      <c r="AF25" s="683" t="str">
        <f t="shared" si="4"/>
        <v/>
      </c>
      <c r="AG25" s="683">
        <f t="shared" si="5"/>
        <v>0.3</v>
      </c>
      <c r="AH25" s="683" t="str">
        <f t="shared" si="6"/>
        <v/>
      </c>
      <c r="AI25" s="683">
        <f t="shared" si="7"/>
        <v>0.234375</v>
      </c>
      <c r="AJ25" s="683" t="str">
        <f t="shared" si="8"/>
        <v/>
      </c>
    </row>
    <row r="26" spans="2:36" s="14" customFormat="1">
      <c r="B26" s="309" t="s">
        <v>443</v>
      </c>
      <c r="C26" s="310" t="s">
        <v>618</v>
      </c>
      <c r="D26" s="309" t="s">
        <v>619</v>
      </c>
      <c r="E26" s="309" t="s">
        <v>620</v>
      </c>
      <c r="F26" s="618" t="s">
        <v>431</v>
      </c>
      <c r="G26" s="618" t="s">
        <v>432</v>
      </c>
      <c r="H26" s="618" t="s">
        <v>442</v>
      </c>
      <c r="I26" s="346">
        <v>55</v>
      </c>
      <c r="J26" s="346">
        <v>36</v>
      </c>
      <c r="K26" s="346">
        <v>1.2</v>
      </c>
      <c r="L26" s="619">
        <v>3</v>
      </c>
      <c r="M26" s="619"/>
      <c r="N26" s="346">
        <v>8.3000000000000007</v>
      </c>
      <c r="O26" s="346">
        <v>0.8</v>
      </c>
      <c r="P26" s="346"/>
      <c r="Q26" s="346">
        <v>832.7</v>
      </c>
      <c r="R26" s="346">
        <v>832.7</v>
      </c>
      <c r="S26" s="620"/>
      <c r="T26" s="346"/>
      <c r="U26" s="346"/>
      <c r="V26" s="346"/>
      <c r="W26" s="346"/>
      <c r="X26" s="346"/>
      <c r="Y26" s="346"/>
      <c r="Z26" s="346"/>
      <c r="AA26" s="18"/>
      <c r="AB26" s="682">
        <f t="shared" si="0"/>
        <v>15.14</v>
      </c>
      <c r="AC26" s="682">
        <f t="shared" si="1"/>
        <v>23.130555555555556</v>
      </c>
      <c r="AD26" s="682">
        <f t="shared" si="2"/>
        <v>693.91666666666674</v>
      </c>
      <c r="AE26" s="683">
        <f t="shared" si="3"/>
        <v>0.15090909090909091</v>
      </c>
      <c r="AF26" s="683" t="str">
        <f t="shared" si="4"/>
        <v/>
      </c>
      <c r="AG26" s="683">
        <f t="shared" si="5"/>
        <v>0.23055555555555557</v>
      </c>
      <c r="AH26" s="683" t="str">
        <f t="shared" si="6"/>
        <v/>
      </c>
      <c r="AI26" s="683">
        <f t="shared" si="7"/>
        <v>6.9166666666666679</v>
      </c>
      <c r="AJ26" s="683" t="str">
        <f t="shared" si="8"/>
        <v/>
      </c>
    </row>
    <row r="27" spans="2:36" s="14" customFormat="1">
      <c r="B27" s="309" t="s">
        <v>443</v>
      </c>
      <c r="C27" s="310" t="s">
        <v>618</v>
      </c>
      <c r="D27" s="309" t="s">
        <v>621</v>
      </c>
      <c r="E27" s="309" t="s">
        <v>622</v>
      </c>
      <c r="F27" s="618" t="s">
        <v>431</v>
      </c>
      <c r="G27" s="618" t="s">
        <v>432</v>
      </c>
      <c r="H27" s="618" t="s">
        <v>442</v>
      </c>
      <c r="I27" s="346">
        <v>55</v>
      </c>
      <c r="J27" s="346">
        <v>36</v>
      </c>
      <c r="K27" s="346">
        <v>0.96</v>
      </c>
      <c r="L27" s="619">
        <v>3.6</v>
      </c>
      <c r="M27" s="619"/>
      <c r="N27" s="346"/>
      <c r="O27" s="346"/>
      <c r="P27" s="346">
        <v>1.4</v>
      </c>
      <c r="Q27" s="346">
        <v>1106</v>
      </c>
      <c r="R27" s="346">
        <v>1106</v>
      </c>
      <c r="S27" s="620"/>
      <c r="T27" s="346"/>
      <c r="U27" s="346"/>
      <c r="V27" s="346"/>
      <c r="W27" s="346"/>
      <c r="X27" s="346"/>
      <c r="Y27" s="346"/>
      <c r="Z27" s="346"/>
      <c r="AA27" s="18"/>
      <c r="AB27" s="682">
        <f t="shared" si="0"/>
        <v>20.109090909090909</v>
      </c>
      <c r="AC27" s="682">
        <f t="shared" si="1"/>
        <v>30.722222222222221</v>
      </c>
      <c r="AD27" s="682">
        <f t="shared" si="2"/>
        <v>1152.0833333333335</v>
      </c>
      <c r="AE27" s="683" t="str">
        <f t="shared" si="3"/>
        <v/>
      </c>
      <c r="AF27" s="683">
        <f t="shared" si="4"/>
        <v>2.5454545454545452E-2</v>
      </c>
      <c r="AG27" s="683" t="str">
        <f t="shared" si="5"/>
        <v/>
      </c>
      <c r="AH27" s="683">
        <f t="shared" si="6"/>
        <v>3.888888888888889E-2</v>
      </c>
      <c r="AI27" s="683" t="str">
        <f t="shared" si="7"/>
        <v/>
      </c>
      <c r="AJ27" s="683">
        <f t="shared" si="8"/>
        <v>1.4583333333333333</v>
      </c>
    </row>
    <row r="28" spans="2:36" s="14" customFormat="1">
      <c r="B28" s="309" t="s">
        <v>443</v>
      </c>
      <c r="C28" s="310" t="s">
        <v>618</v>
      </c>
      <c r="D28" s="309" t="s">
        <v>623</v>
      </c>
      <c r="E28" s="309" t="s">
        <v>624</v>
      </c>
      <c r="F28" s="618" t="s">
        <v>431</v>
      </c>
      <c r="G28" s="618" t="s">
        <v>432</v>
      </c>
      <c r="H28" s="618" t="s">
        <v>442</v>
      </c>
      <c r="I28" s="346">
        <v>17</v>
      </c>
      <c r="J28" s="346">
        <v>15</v>
      </c>
      <c r="K28" s="346">
        <v>1.0285714285714285</v>
      </c>
      <c r="L28" s="619">
        <v>3</v>
      </c>
      <c r="M28" s="619"/>
      <c r="N28" s="346"/>
      <c r="O28" s="346">
        <v>0.5</v>
      </c>
      <c r="P28" s="346"/>
      <c r="Q28" s="346">
        <v>711</v>
      </c>
      <c r="R28" s="346">
        <v>711</v>
      </c>
      <c r="S28" s="620"/>
      <c r="T28" s="346"/>
      <c r="U28" s="346"/>
      <c r="V28" s="346"/>
      <c r="W28" s="346"/>
      <c r="X28" s="346"/>
      <c r="Y28" s="346"/>
      <c r="Z28" s="346"/>
      <c r="AA28" s="18"/>
      <c r="AB28" s="682">
        <f t="shared" si="0"/>
        <v>41.823529411764703</v>
      </c>
      <c r="AC28" s="682">
        <f t="shared" si="1"/>
        <v>47.4</v>
      </c>
      <c r="AD28" s="682">
        <f t="shared" si="2"/>
        <v>691.25000000000011</v>
      </c>
      <c r="AE28" s="683" t="str">
        <f t="shared" si="3"/>
        <v/>
      </c>
      <c r="AF28" s="683" t="str">
        <f t="shared" si="4"/>
        <v/>
      </c>
      <c r="AG28" s="683" t="str">
        <f t="shared" si="5"/>
        <v/>
      </c>
      <c r="AH28" s="683" t="str">
        <f t="shared" si="6"/>
        <v/>
      </c>
      <c r="AI28" s="683" t="str">
        <f t="shared" si="7"/>
        <v/>
      </c>
      <c r="AJ28" s="683" t="str">
        <f t="shared" si="8"/>
        <v/>
      </c>
    </row>
    <row r="29" spans="2:36" s="14" customFormat="1">
      <c r="B29" s="309" t="s">
        <v>1484</v>
      </c>
      <c r="C29" s="310" t="s">
        <v>618</v>
      </c>
      <c r="D29" s="309" t="s">
        <v>625</v>
      </c>
      <c r="E29" s="309" t="s">
        <v>626</v>
      </c>
      <c r="F29" s="618" t="s">
        <v>431</v>
      </c>
      <c r="G29" s="618" t="s">
        <v>432</v>
      </c>
      <c r="H29" s="618" t="s">
        <v>433</v>
      </c>
      <c r="I29" s="346">
        <v>17</v>
      </c>
      <c r="J29" s="346">
        <v>15</v>
      </c>
      <c r="K29" s="346">
        <v>0.6</v>
      </c>
      <c r="L29" s="619" t="s">
        <v>434</v>
      </c>
      <c r="M29" s="619"/>
      <c r="N29" s="346"/>
      <c r="O29" s="346"/>
      <c r="P29" s="346">
        <v>0.5</v>
      </c>
      <c r="Q29" s="346">
        <v>805</v>
      </c>
      <c r="R29" s="346">
        <v>805</v>
      </c>
      <c r="S29" s="620"/>
      <c r="T29" s="346"/>
      <c r="U29" s="346"/>
      <c r="V29" s="346"/>
      <c r="W29" s="346"/>
      <c r="X29" s="346"/>
      <c r="Y29" s="346"/>
      <c r="Z29" s="346"/>
      <c r="AA29" s="18"/>
      <c r="AB29" s="682">
        <f t="shared" si="0"/>
        <v>47.352941176470587</v>
      </c>
      <c r="AC29" s="682">
        <f t="shared" si="1"/>
        <v>53.666666666666664</v>
      </c>
      <c r="AD29" s="682">
        <f t="shared" si="2"/>
        <v>1341.6666666666667</v>
      </c>
      <c r="AE29" s="683" t="str">
        <f t="shared" si="3"/>
        <v/>
      </c>
      <c r="AF29" s="683">
        <f t="shared" si="4"/>
        <v>2.9411764705882353E-2</v>
      </c>
      <c r="AG29" s="683" t="str">
        <f t="shared" si="5"/>
        <v/>
      </c>
      <c r="AH29" s="683">
        <f t="shared" si="6"/>
        <v>3.3333333333333333E-2</v>
      </c>
      <c r="AI29" s="683" t="str">
        <f t="shared" si="7"/>
        <v/>
      </c>
      <c r="AJ29" s="683">
        <f t="shared" si="8"/>
        <v>0.83333333333333337</v>
      </c>
    </row>
    <row r="30" spans="2:36" s="14" customFormat="1">
      <c r="B30" s="309" t="s">
        <v>443</v>
      </c>
      <c r="C30" s="310" t="s">
        <v>1485</v>
      </c>
      <c r="D30" s="309" t="s">
        <v>627</v>
      </c>
      <c r="E30" s="309" t="s">
        <v>628</v>
      </c>
      <c r="F30" s="618" t="s">
        <v>431</v>
      </c>
      <c r="G30" s="618" t="s">
        <v>432</v>
      </c>
      <c r="H30" s="618" t="s">
        <v>442</v>
      </c>
      <c r="I30" s="346">
        <v>24</v>
      </c>
      <c r="J30" s="346"/>
      <c r="K30" s="346">
        <v>2.4</v>
      </c>
      <c r="L30" s="619">
        <v>4.4000000000000004</v>
      </c>
      <c r="M30" s="619"/>
      <c r="N30" s="346">
        <v>3.5</v>
      </c>
      <c r="O30" s="346">
        <v>0.5</v>
      </c>
      <c r="P30" s="346"/>
      <c r="Q30" s="346">
        <v>1122</v>
      </c>
      <c r="R30" s="346">
        <v>1122</v>
      </c>
      <c r="S30" s="620"/>
      <c r="T30" s="346"/>
      <c r="U30" s="346"/>
      <c r="V30" s="346"/>
      <c r="W30" s="346"/>
      <c r="X30" s="346"/>
      <c r="Y30" s="346"/>
      <c r="Z30" s="346"/>
      <c r="AA30" s="18"/>
      <c r="AB30" s="682">
        <f t="shared" si="0"/>
        <v>46.75</v>
      </c>
      <c r="AC30" s="682" t="str">
        <f t="shared" si="1"/>
        <v/>
      </c>
      <c r="AD30" s="682">
        <f t="shared" si="2"/>
        <v>467.5</v>
      </c>
      <c r="AE30" s="683">
        <f t="shared" si="3"/>
        <v>0.14583333333333334</v>
      </c>
      <c r="AF30" s="683" t="str">
        <f t="shared" si="4"/>
        <v/>
      </c>
      <c r="AG30" s="683" t="str">
        <f t="shared" si="5"/>
        <v/>
      </c>
      <c r="AH30" s="683" t="str">
        <f t="shared" si="6"/>
        <v/>
      </c>
      <c r="AI30" s="683">
        <f t="shared" si="7"/>
        <v>1.4583333333333335</v>
      </c>
      <c r="AJ30" s="683" t="str">
        <f t="shared" si="8"/>
        <v/>
      </c>
    </row>
    <row r="31" spans="2:36" s="14" customFormat="1">
      <c r="B31" s="309" t="s">
        <v>443</v>
      </c>
      <c r="C31" s="310" t="s">
        <v>629</v>
      </c>
      <c r="D31" s="309" t="s">
        <v>630</v>
      </c>
      <c r="E31" s="309" t="s">
        <v>631</v>
      </c>
      <c r="F31" s="618" t="s">
        <v>431</v>
      </c>
      <c r="G31" s="618" t="s">
        <v>432</v>
      </c>
      <c r="H31" s="618" t="s">
        <v>433</v>
      </c>
      <c r="I31" s="346">
        <v>18</v>
      </c>
      <c r="J31" s="346">
        <v>20</v>
      </c>
      <c r="K31" s="346">
        <v>3.0857142857142863</v>
      </c>
      <c r="L31" s="619">
        <v>3.2</v>
      </c>
      <c r="M31" s="619"/>
      <c r="N31" s="346"/>
      <c r="O31" s="346"/>
      <c r="P31" s="346">
        <v>0.46</v>
      </c>
      <c r="Q31" s="346">
        <v>670</v>
      </c>
      <c r="R31" s="346">
        <v>670</v>
      </c>
      <c r="S31" s="620"/>
      <c r="T31" s="346"/>
      <c r="U31" s="346"/>
      <c r="V31" s="346"/>
      <c r="W31" s="346"/>
      <c r="X31" s="346"/>
      <c r="Y31" s="346"/>
      <c r="Z31" s="346"/>
      <c r="AA31" s="18"/>
      <c r="AB31" s="682">
        <f t="shared" si="0"/>
        <v>37.222222222222221</v>
      </c>
      <c r="AC31" s="682">
        <f t="shared" si="1"/>
        <v>33.5</v>
      </c>
      <c r="AD31" s="682">
        <f t="shared" si="2"/>
        <v>217.12962962962959</v>
      </c>
      <c r="AE31" s="683" t="str">
        <f t="shared" si="3"/>
        <v/>
      </c>
      <c r="AF31" s="683">
        <f t="shared" si="4"/>
        <v>2.5555555555555557E-2</v>
      </c>
      <c r="AG31" s="683" t="str">
        <f t="shared" si="5"/>
        <v/>
      </c>
      <c r="AH31" s="683">
        <f t="shared" si="6"/>
        <v>2.3E-2</v>
      </c>
      <c r="AI31" s="683" t="str">
        <f t="shared" si="7"/>
        <v/>
      </c>
      <c r="AJ31" s="683">
        <f t="shared" si="8"/>
        <v>0.14907407407407405</v>
      </c>
    </row>
    <row r="32" spans="2:36" s="14" customFormat="1">
      <c r="B32" s="309" t="s">
        <v>443</v>
      </c>
      <c r="C32" s="310" t="s">
        <v>629</v>
      </c>
      <c r="D32" s="309" t="s">
        <v>112</v>
      </c>
      <c r="E32" s="309" t="s">
        <v>113</v>
      </c>
      <c r="F32" s="618" t="s">
        <v>431</v>
      </c>
      <c r="G32" s="618" t="s">
        <v>432</v>
      </c>
      <c r="H32" s="618" t="s">
        <v>433</v>
      </c>
      <c r="I32" s="346">
        <v>18</v>
      </c>
      <c r="J32" s="346">
        <v>20</v>
      </c>
      <c r="K32" s="346">
        <v>3.3230769230769233</v>
      </c>
      <c r="L32" s="619">
        <v>3</v>
      </c>
      <c r="M32" s="619"/>
      <c r="N32" s="346"/>
      <c r="O32" s="346">
        <v>0.5</v>
      </c>
      <c r="P32" s="346"/>
      <c r="Q32" s="346">
        <v>615</v>
      </c>
      <c r="R32" s="346">
        <v>615</v>
      </c>
      <c r="S32" s="620"/>
      <c r="T32" s="346"/>
      <c r="U32" s="346"/>
      <c r="V32" s="346"/>
      <c r="W32" s="346"/>
      <c r="X32" s="346"/>
      <c r="Y32" s="346"/>
      <c r="Z32" s="346"/>
      <c r="AA32" s="18"/>
      <c r="AB32" s="682">
        <f t="shared" si="0"/>
        <v>34.166666666666664</v>
      </c>
      <c r="AC32" s="682">
        <f t="shared" si="1"/>
        <v>30.75</v>
      </c>
      <c r="AD32" s="682">
        <f t="shared" si="2"/>
        <v>185.06944444444443</v>
      </c>
      <c r="AE32" s="683" t="str">
        <f t="shared" si="3"/>
        <v/>
      </c>
      <c r="AF32" s="683" t="str">
        <f t="shared" si="4"/>
        <v/>
      </c>
      <c r="AG32" s="683" t="str">
        <f t="shared" si="5"/>
        <v/>
      </c>
      <c r="AH32" s="683" t="str">
        <f t="shared" si="6"/>
        <v/>
      </c>
      <c r="AI32" s="683" t="str">
        <f t="shared" si="7"/>
        <v/>
      </c>
      <c r="AJ32" s="683" t="str">
        <f t="shared" si="8"/>
        <v/>
      </c>
    </row>
    <row r="33" spans="2:36" s="14" customFormat="1">
      <c r="B33" s="309" t="s">
        <v>443</v>
      </c>
      <c r="C33" s="310" t="s">
        <v>1485</v>
      </c>
      <c r="D33" s="309" t="s">
        <v>82</v>
      </c>
      <c r="E33" s="309" t="s">
        <v>83</v>
      </c>
      <c r="F33" s="618" t="s">
        <v>431</v>
      </c>
      <c r="G33" s="618" t="s">
        <v>432</v>
      </c>
      <c r="H33" s="618" t="s">
        <v>442</v>
      </c>
      <c r="I33" s="346">
        <v>24</v>
      </c>
      <c r="J33" s="346"/>
      <c r="K33" s="346">
        <v>2.4</v>
      </c>
      <c r="L33" s="619">
        <v>6.5</v>
      </c>
      <c r="M33" s="619"/>
      <c r="N33" s="346"/>
      <c r="O33" s="346"/>
      <c r="P33" s="346">
        <v>0.8</v>
      </c>
      <c r="Q33" s="346">
        <v>1268</v>
      </c>
      <c r="R33" s="346">
        <v>1268</v>
      </c>
      <c r="S33" s="620"/>
      <c r="T33" s="346"/>
      <c r="U33" s="346"/>
      <c r="V33" s="346"/>
      <c r="W33" s="346"/>
      <c r="X33" s="346"/>
      <c r="Y33" s="346"/>
      <c r="Z33" s="346"/>
      <c r="AA33" s="18"/>
      <c r="AB33" s="682">
        <f t="shared" si="0"/>
        <v>52.833333333333336</v>
      </c>
      <c r="AC33" s="682" t="str">
        <f t="shared" si="1"/>
        <v/>
      </c>
      <c r="AD33" s="682">
        <f t="shared" si="2"/>
        <v>528.33333333333337</v>
      </c>
      <c r="AE33" s="683" t="str">
        <f t="shared" si="3"/>
        <v/>
      </c>
      <c r="AF33" s="683">
        <f t="shared" si="4"/>
        <v>3.3333333333333333E-2</v>
      </c>
      <c r="AG33" s="683" t="str">
        <f t="shared" si="5"/>
        <v/>
      </c>
      <c r="AH33" s="683" t="str">
        <f t="shared" si="6"/>
        <v/>
      </c>
      <c r="AI33" s="683" t="str">
        <f t="shared" si="7"/>
        <v/>
      </c>
      <c r="AJ33" s="683">
        <f t="shared" si="8"/>
        <v>0.33333333333333337</v>
      </c>
    </row>
    <row r="34" spans="2:36" s="14" customFormat="1">
      <c r="B34" s="309" t="s">
        <v>443</v>
      </c>
      <c r="C34" s="310" t="s">
        <v>2011</v>
      </c>
      <c r="D34" s="309" t="s">
        <v>84</v>
      </c>
      <c r="E34" s="309" t="s">
        <v>85</v>
      </c>
      <c r="F34" s="618" t="s">
        <v>1999</v>
      </c>
      <c r="G34" s="618" t="s">
        <v>441</v>
      </c>
      <c r="H34" s="618" t="s">
        <v>442</v>
      </c>
      <c r="I34" s="346">
        <v>63</v>
      </c>
      <c r="J34" s="346">
        <v>30</v>
      </c>
      <c r="K34" s="346">
        <v>4.32</v>
      </c>
      <c r="L34" s="619">
        <v>3.5</v>
      </c>
      <c r="M34" s="619"/>
      <c r="N34" s="346">
        <v>0.97</v>
      </c>
      <c r="O34" s="346"/>
      <c r="P34" s="346"/>
      <c r="Q34" s="346">
        <v>2600</v>
      </c>
      <c r="R34" s="346">
        <v>2600</v>
      </c>
      <c r="S34" s="620"/>
      <c r="T34" s="346"/>
      <c r="U34" s="346"/>
      <c r="V34" s="346"/>
      <c r="W34" s="346"/>
      <c r="X34" s="346"/>
      <c r="Y34" s="346"/>
      <c r="Z34" s="346"/>
      <c r="AA34" s="18"/>
      <c r="AB34" s="682">
        <f t="shared" si="0"/>
        <v>41.269841269841272</v>
      </c>
      <c r="AC34" s="682">
        <f t="shared" si="1"/>
        <v>86.666666666666671</v>
      </c>
      <c r="AD34" s="682">
        <f t="shared" si="2"/>
        <v>601.85185185185185</v>
      </c>
      <c r="AE34" s="683">
        <f t="shared" si="3"/>
        <v>1.5396825396825397E-2</v>
      </c>
      <c r="AF34" s="683" t="str">
        <f t="shared" si="4"/>
        <v/>
      </c>
      <c r="AG34" s="683">
        <f t="shared" si="5"/>
        <v>3.2333333333333332E-2</v>
      </c>
      <c r="AH34" s="683" t="str">
        <f t="shared" si="6"/>
        <v/>
      </c>
      <c r="AI34" s="683">
        <f t="shared" si="7"/>
        <v>0.22453703703703701</v>
      </c>
      <c r="AJ34" s="683" t="str">
        <f t="shared" si="8"/>
        <v/>
      </c>
    </row>
    <row r="35" spans="2:36" s="14" customFormat="1">
      <c r="B35" s="309" t="s">
        <v>443</v>
      </c>
      <c r="C35" s="310" t="s">
        <v>1485</v>
      </c>
      <c r="D35" s="309" t="s">
        <v>86</v>
      </c>
      <c r="E35" s="309" t="s">
        <v>87</v>
      </c>
      <c r="F35" s="618" t="s">
        <v>1999</v>
      </c>
      <c r="G35" s="618" t="s">
        <v>441</v>
      </c>
      <c r="H35" s="618" t="s">
        <v>442</v>
      </c>
      <c r="I35" s="346">
        <v>24</v>
      </c>
      <c r="J35" s="346">
        <v>4.8</v>
      </c>
      <c r="K35" s="346">
        <v>5.76</v>
      </c>
      <c r="L35" s="619">
        <v>9</v>
      </c>
      <c r="M35" s="619"/>
      <c r="N35" s="346">
        <v>1.39</v>
      </c>
      <c r="O35" s="346"/>
      <c r="P35" s="346"/>
      <c r="Q35" s="346">
        <v>1268</v>
      </c>
      <c r="R35" s="346">
        <v>1268</v>
      </c>
      <c r="S35" s="620"/>
      <c r="T35" s="346"/>
      <c r="U35" s="346"/>
      <c r="V35" s="346"/>
      <c r="W35" s="346"/>
      <c r="X35" s="346"/>
      <c r="Y35" s="346"/>
      <c r="Z35" s="346"/>
      <c r="AA35" s="18"/>
      <c r="AB35" s="682">
        <f t="shared" si="0"/>
        <v>52.833333333333336</v>
      </c>
      <c r="AC35" s="682">
        <f t="shared" si="1"/>
        <v>264.16666666666669</v>
      </c>
      <c r="AD35" s="682">
        <f t="shared" si="2"/>
        <v>220.13888888888889</v>
      </c>
      <c r="AE35" s="683">
        <f t="shared" si="3"/>
        <v>5.7916666666666665E-2</v>
      </c>
      <c r="AF35" s="683" t="str">
        <f t="shared" si="4"/>
        <v/>
      </c>
      <c r="AG35" s="683">
        <f t="shared" si="5"/>
        <v>0.2895833333333333</v>
      </c>
      <c r="AH35" s="683" t="str">
        <f t="shared" si="6"/>
        <v/>
      </c>
      <c r="AI35" s="683">
        <f t="shared" si="7"/>
        <v>0.24131944444444445</v>
      </c>
      <c r="AJ35" s="683" t="str">
        <f t="shared" si="8"/>
        <v/>
      </c>
    </row>
    <row r="36" spans="2:36" s="14" customFormat="1">
      <c r="B36" s="309" t="s">
        <v>443</v>
      </c>
      <c r="C36" s="310" t="s">
        <v>1485</v>
      </c>
      <c r="D36" s="309" t="s">
        <v>88</v>
      </c>
      <c r="E36" s="309" t="s">
        <v>89</v>
      </c>
      <c r="F36" s="618" t="s">
        <v>446</v>
      </c>
      <c r="G36" s="618" t="s">
        <v>441</v>
      </c>
      <c r="H36" s="618" t="s">
        <v>442</v>
      </c>
      <c r="I36" s="346">
        <v>24</v>
      </c>
      <c r="J36" s="346">
        <v>8</v>
      </c>
      <c r="K36" s="346">
        <v>3.9724137931034482</v>
      </c>
      <c r="L36" s="619">
        <v>16</v>
      </c>
      <c r="M36" s="619"/>
      <c r="N36" s="346">
        <v>2.02</v>
      </c>
      <c r="O36" s="346"/>
      <c r="P36" s="346"/>
      <c r="Q36" s="346">
        <v>1172</v>
      </c>
      <c r="R36" s="346">
        <v>1172</v>
      </c>
      <c r="S36" s="620"/>
      <c r="T36" s="346"/>
      <c r="U36" s="346"/>
      <c r="V36" s="346"/>
      <c r="W36" s="346"/>
      <c r="X36" s="346"/>
      <c r="Y36" s="346"/>
      <c r="Z36" s="346"/>
      <c r="AA36" s="18"/>
      <c r="AB36" s="682">
        <f t="shared" si="0"/>
        <v>48.833333333333336</v>
      </c>
      <c r="AC36" s="682">
        <f t="shared" si="1"/>
        <v>146.5</v>
      </c>
      <c r="AD36" s="682">
        <f t="shared" si="2"/>
        <v>295.03472222222223</v>
      </c>
      <c r="AE36" s="683">
        <f t="shared" si="3"/>
        <v>8.4166666666666667E-2</v>
      </c>
      <c r="AF36" s="683" t="str">
        <f t="shared" si="4"/>
        <v/>
      </c>
      <c r="AG36" s="683">
        <f t="shared" si="5"/>
        <v>0.2525</v>
      </c>
      <c r="AH36" s="683" t="str">
        <f t="shared" si="6"/>
        <v/>
      </c>
      <c r="AI36" s="683">
        <f t="shared" si="7"/>
        <v>0.50850694444444444</v>
      </c>
      <c r="AJ36" s="683" t="str">
        <f t="shared" si="8"/>
        <v/>
      </c>
    </row>
    <row r="37" spans="2:36" s="14" customFormat="1">
      <c r="B37" s="309" t="s">
        <v>1815</v>
      </c>
      <c r="C37" s="310" t="s">
        <v>629</v>
      </c>
      <c r="D37" s="309" t="s">
        <v>90</v>
      </c>
      <c r="E37" s="309" t="s">
        <v>91</v>
      </c>
      <c r="F37" s="618" t="s">
        <v>1818</v>
      </c>
      <c r="G37" s="618" t="s">
        <v>432</v>
      </c>
      <c r="H37" s="618" t="s">
        <v>442</v>
      </c>
      <c r="I37" s="346"/>
      <c r="J37" s="346">
        <v>144</v>
      </c>
      <c r="K37" s="346">
        <v>5.4</v>
      </c>
      <c r="L37" s="619" t="s">
        <v>434</v>
      </c>
      <c r="M37" s="619"/>
      <c r="N37" s="346"/>
      <c r="O37" s="346"/>
      <c r="P37" s="346">
        <v>0.93</v>
      </c>
      <c r="Q37" s="346">
        <v>906</v>
      </c>
      <c r="R37" s="346">
        <v>906</v>
      </c>
      <c r="S37" s="620"/>
      <c r="T37" s="346"/>
      <c r="U37" s="346"/>
      <c r="V37" s="346"/>
      <c r="W37" s="346"/>
      <c r="X37" s="346"/>
      <c r="Y37" s="346"/>
      <c r="Z37" s="346"/>
      <c r="AA37" s="18"/>
      <c r="AB37" s="682" t="str">
        <f t="shared" si="0"/>
        <v/>
      </c>
      <c r="AC37" s="682">
        <f t="shared" si="1"/>
        <v>6.291666666666667</v>
      </c>
      <c r="AD37" s="682">
        <f t="shared" si="2"/>
        <v>167.77777777777777</v>
      </c>
      <c r="AE37" s="683" t="str">
        <f t="shared" si="3"/>
        <v/>
      </c>
      <c r="AF37" s="683" t="str">
        <f t="shared" si="4"/>
        <v/>
      </c>
      <c r="AG37" s="683" t="str">
        <f t="shared" si="5"/>
        <v/>
      </c>
      <c r="AH37" s="683">
        <f t="shared" si="6"/>
        <v>6.4583333333333333E-3</v>
      </c>
      <c r="AI37" s="683" t="str">
        <f t="shared" si="7"/>
        <v/>
      </c>
      <c r="AJ37" s="683">
        <f t="shared" si="8"/>
        <v>0.17222222222222222</v>
      </c>
    </row>
    <row r="38" spans="2:36" s="14" customFormat="1">
      <c r="B38" s="309" t="s">
        <v>92</v>
      </c>
      <c r="C38" s="310" t="s">
        <v>2003</v>
      </c>
      <c r="D38" s="309" t="s">
        <v>93</v>
      </c>
      <c r="E38" s="309" t="s">
        <v>94</v>
      </c>
      <c r="F38" s="618" t="s">
        <v>1388</v>
      </c>
      <c r="G38" s="618" t="s">
        <v>441</v>
      </c>
      <c r="H38" s="618" t="s">
        <v>442</v>
      </c>
      <c r="I38" s="346"/>
      <c r="J38" s="346">
        <v>72</v>
      </c>
      <c r="K38" s="346">
        <v>17.5</v>
      </c>
      <c r="L38" s="619">
        <v>13</v>
      </c>
      <c r="M38" s="619"/>
      <c r="N38" s="346">
        <v>1.58</v>
      </c>
      <c r="O38" s="346"/>
      <c r="P38" s="346"/>
      <c r="Q38" s="346">
        <v>284</v>
      </c>
      <c r="R38" s="346">
        <v>284</v>
      </c>
      <c r="S38" s="620"/>
      <c r="T38" s="346"/>
      <c r="U38" s="346"/>
      <c r="V38" s="346"/>
      <c r="W38" s="346"/>
      <c r="X38" s="346"/>
      <c r="Y38" s="346"/>
      <c r="Z38" s="346"/>
      <c r="AA38" s="18"/>
      <c r="AB38" s="682" t="str">
        <f t="shared" ref="AB38:AB76" si="9">IF(I38="","",$R38/I38)</f>
        <v/>
      </c>
      <c r="AC38" s="682">
        <f t="shared" ref="AC38:AC76" si="10">IF(J38="","",$R38/J38)</f>
        <v>3.9444444444444446</v>
      </c>
      <c r="AD38" s="682">
        <f t="shared" ref="AD38:AD76" si="11">IF(K38="","",$R38/K38)</f>
        <v>16.228571428571428</v>
      </c>
      <c r="AE38" s="683" t="str">
        <f t="shared" ref="AE38:AE76" si="12">IF(OR(I38="",N38=""),"",N38/I38)</f>
        <v/>
      </c>
      <c r="AF38" s="683" t="str">
        <f t="shared" ref="AF38:AF76" si="13">IF(OR(I38="",P38=""),"",P38/I38)</f>
        <v/>
      </c>
      <c r="AG38" s="683">
        <f t="shared" ref="AG38:AG76" si="14">IF(OR(J38="",N38=""),"",N38/J38)</f>
        <v>2.1944444444444447E-2</v>
      </c>
      <c r="AH38" s="683" t="str">
        <f t="shared" ref="AH38:AH76" si="15">IF(OR(J38="",P38=""),"",P38/J38)</f>
        <v/>
      </c>
      <c r="AI38" s="683">
        <f t="shared" ref="AI38:AI76" si="16">IF(OR(K38="",N38=""),"",N38/K38)</f>
        <v>9.0285714285714289E-2</v>
      </c>
      <c r="AJ38" s="683" t="str">
        <f t="shared" ref="AJ38:AJ76" si="17">IF(OR(K38="",P38=""),"",P38/K38)</f>
        <v/>
      </c>
    </row>
    <row r="39" spans="2:36" s="14" customFormat="1">
      <c r="B39" s="309" t="s">
        <v>92</v>
      </c>
      <c r="C39" s="314" t="s">
        <v>2003</v>
      </c>
      <c r="D39" s="309" t="s">
        <v>95</v>
      </c>
      <c r="E39" s="309" t="s">
        <v>96</v>
      </c>
      <c r="F39" s="621" t="s">
        <v>1388</v>
      </c>
      <c r="G39" s="621" t="s">
        <v>441</v>
      </c>
      <c r="H39" s="621" t="s">
        <v>442</v>
      </c>
      <c r="I39" s="346"/>
      <c r="J39" s="346">
        <v>192</v>
      </c>
      <c r="K39" s="346">
        <v>22.86</v>
      </c>
      <c r="L39" s="619">
        <v>15.5</v>
      </c>
      <c r="M39" s="619"/>
      <c r="N39" s="346">
        <v>1.93</v>
      </c>
      <c r="O39" s="346"/>
      <c r="P39" s="346"/>
      <c r="Q39" s="346">
        <v>321</v>
      </c>
      <c r="R39" s="346">
        <v>321</v>
      </c>
      <c r="S39" s="620"/>
      <c r="T39" s="346"/>
      <c r="U39" s="346"/>
      <c r="V39" s="346"/>
      <c r="W39" s="346"/>
      <c r="X39" s="346"/>
      <c r="Y39" s="346"/>
      <c r="Z39" s="346"/>
      <c r="AA39" s="18"/>
      <c r="AB39" s="682" t="str">
        <f t="shared" si="9"/>
        <v/>
      </c>
      <c r="AC39" s="682">
        <f t="shared" si="10"/>
        <v>1.671875</v>
      </c>
      <c r="AD39" s="682">
        <f t="shared" si="11"/>
        <v>14.041994750656169</v>
      </c>
      <c r="AE39" s="683" t="str">
        <f t="shared" si="12"/>
        <v/>
      </c>
      <c r="AF39" s="683" t="str">
        <f t="shared" si="13"/>
        <v/>
      </c>
      <c r="AG39" s="683">
        <f t="shared" si="14"/>
        <v>1.0052083333333333E-2</v>
      </c>
      <c r="AH39" s="683" t="str">
        <f t="shared" si="15"/>
        <v/>
      </c>
      <c r="AI39" s="683">
        <f t="shared" si="16"/>
        <v>8.4426946631671038E-2</v>
      </c>
      <c r="AJ39" s="683" t="str">
        <f t="shared" si="17"/>
        <v/>
      </c>
    </row>
    <row r="40" spans="2:36" s="14" customFormat="1">
      <c r="B40" s="309" t="s">
        <v>92</v>
      </c>
      <c r="C40" s="310" t="s">
        <v>2003</v>
      </c>
      <c r="D40" s="309" t="s">
        <v>97</v>
      </c>
      <c r="E40" s="309" t="s">
        <v>98</v>
      </c>
      <c r="F40" s="618" t="s">
        <v>1388</v>
      </c>
      <c r="G40" s="618" t="s">
        <v>441</v>
      </c>
      <c r="H40" s="618" t="s">
        <v>442</v>
      </c>
      <c r="I40" s="346"/>
      <c r="J40" s="346">
        <v>264</v>
      </c>
      <c r="K40" s="346">
        <v>32.4</v>
      </c>
      <c r="L40" s="619">
        <v>17.5</v>
      </c>
      <c r="M40" s="619"/>
      <c r="N40" s="346">
        <v>2.71</v>
      </c>
      <c r="O40" s="346"/>
      <c r="P40" s="346"/>
      <c r="Q40" s="346">
        <v>367</v>
      </c>
      <c r="R40" s="346">
        <v>367</v>
      </c>
      <c r="S40" s="620"/>
      <c r="T40" s="346"/>
      <c r="U40" s="346"/>
      <c r="V40" s="346"/>
      <c r="W40" s="346"/>
      <c r="X40" s="346"/>
      <c r="Y40" s="346"/>
      <c r="Z40" s="346"/>
      <c r="AA40" s="18"/>
      <c r="AB40" s="682" t="str">
        <f t="shared" si="9"/>
        <v/>
      </c>
      <c r="AC40" s="682">
        <f t="shared" si="10"/>
        <v>1.3901515151515151</v>
      </c>
      <c r="AD40" s="682">
        <f t="shared" si="11"/>
        <v>11.327160493827162</v>
      </c>
      <c r="AE40" s="683" t="str">
        <f t="shared" si="12"/>
        <v/>
      </c>
      <c r="AF40" s="683" t="str">
        <f t="shared" si="13"/>
        <v/>
      </c>
      <c r="AG40" s="683">
        <f t="shared" si="14"/>
        <v>1.0265151515151515E-2</v>
      </c>
      <c r="AH40" s="683" t="str">
        <f t="shared" si="15"/>
        <v/>
      </c>
      <c r="AI40" s="683">
        <f t="shared" si="16"/>
        <v>8.364197530864198E-2</v>
      </c>
      <c r="AJ40" s="683" t="str">
        <f t="shared" si="17"/>
        <v/>
      </c>
    </row>
    <row r="41" spans="2:36" s="14" customFormat="1">
      <c r="B41" s="309" t="s">
        <v>92</v>
      </c>
      <c r="C41" s="310" t="s">
        <v>1485</v>
      </c>
      <c r="D41" s="309" t="s">
        <v>99</v>
      </c>
      <c r="E41" s="309" t="s">
        <v>100</v>
      </c>
      <c r="F41" s="618" t="s">
        <v>1388</v>
      </c>
      <c r="G41" s="618" t="s">
        <v>441</v>
      </c>
      <c r="H41" s="618" t="s">
        <v>442</v>
      </c>
      <c r="I41" s="346"/>
      <c r="J41" s="346">
        <v>264</v>
      </c>
      <c r="K41" s="346">
        <v>7.2</v>
      </c>
      <c r="L41" s="619">
        <v>15</v>
      </c>
      <c r="M41" s="619"/>
      <c r="N41" s="346">
        <v>2.98</v>
      </c>
      <c r="O41" s="346"/>
      <c r="P41" s="346"/>
      <c r="Q41" s="346">
        <v>1172</v>
      </c>
      <c r="R41" s="346">
        <v>1172</v>
      </c>
      <c r="S41" s="620"/>
      <c r="T41" s="346"/>
      <c r="U41" s="346"/>
      <c r="V41" s="346"/>
      <c r="W41" s="346"/>
      <c r="X41" s="346"/>
      <c r="Y41" s="346"/>
      <c r="Z41" s="346"/>
      <c r="AA41" s="18"/>
      <c r="AB41" s="682" t="str">
        <f t="shared" si="9"/>
        <v/>
      </c>
      <c r="AC41" s="682">
        <f t="shared" si="10"/>
        <v>4.4393939393939394</v>
      </c>
      <c r="AD41" s="682">
        <f t="shared" si="11"/>
        <v>162.77777777777777</v>
      </c>
      <c r="AE41" s="683" t="str">
        <f t="shared" si="12"/>
        <v/>
      </c>
      <c r="AF41" s="683" t="str">
        <f t="shared" si="13"/>
        <v/>
      </c>
      <c r="AG41" s="683">
        <f t="shared" si="14"/>
        <v>1.1287878787878788E-2</v>
      </c>
      <c r="AH41" s="683" t="str">
        <f t="shared" si="15"/>
        <v/>
      </c>
      <c r="AI41" s="683">
        <f t="shared" si="16"/>
        <v>0.41388888888888886</v>
      </c>
      <c r="AJ41" s="683" t="str">
        <f t="shared" si="17"/>
        <v/>
      </c>
    </row>
    <row r="42" spans="2:36" s="14" customFormat="1">
      <c r="B42" s="309" t="s">
        <v>92</v>
      </c>
      <c r="C42" s="310" t="s">
        <v>1485</v>
      </c>
      <c r="D42" s="309" t="s">
        <v>101</v>
      </c>
      <c r="E42" s="309" t="s">
        <v>102</v>
      </c>
      <c r="F42" s="621" t="s">
        <v>1388</v>
      </c>
      <c r="G42" s="621" t="s">
        <v>441</v>
      </c>
      <c r="H42" s="621" t="s">
        <v>442</v>
      </c>
      <c r="I42" s="346"/>
      <c r="J42" s="346">
        <v>144</v>
      </c>
      <c r="K42" s="346">
        <v>7.2</v>
      </c>
      <c r="L42" s="619">
        <v>14</v>
      </c>
      <c r="M42" s="619"/>
      <c r="N42" s="346">
        <v>1.44</v>
      </c>
      <c r="O42" s="346"/>
      <c r="P42" s="346"/>
      <c r="Q42" s="346">
        <v>1172</v>
      </c>
      <c r="R42" s="346">
        <v>1172</v>
      </c>
      <c r="S42" s="620"/>
      <c r="T42" s="346"/>
      <c r="U42" s="346"/>
      <c r="V42" s="346"/>
      <c r="W42" s="346"/>
      <c r="X42" s="346"/>
      <c r="Y42" s="346"/>
      <c r="Z42" s="346"/>
      <c r="AA42" s="18"/>
      <c r="AB42" s="682" t="str">
        <f t="shared" si="9"/>
        <v/>
      </c>
      <c r="AC42" s="682">
        <f t="shared" si="10"/>
        <v>8.1388888888888893</v>
      </c>
      <c r="AD42" s="682">
        <f t="shared" si="11"/>
        <v>162.77777777777777</v>
      </c>
      <c r="AE42" s="683" t="str">
        <f t="shared" si="12"/>
        <v/>
      </c>
      <c r="AF42" s="683" t="str">
        <f t="shared" si="13"/>
        <v/>
      </c>
      <c r="AG42" s="683">
        <f t="shared" si="14"/>
        <v>0.01</v>
      </c>
      <c r="AH42" s="683" t="str">
        <f t="shared" si="15"/>
        <v/>
      </c>
      <c r="AI42" s="683">
        <f t="shared" si="16"/>
        <v>0.19999999999999998</v>
      </c>
      <c r="AJ42" s="683" t="str">
        <f t="shared" si="17"/>
        <v/>
      </c>
    </row>
    <row r="43" spans="2:36" s="14" customFormat="1">
      <c r="B43" s="309" t="s">
        <v>443</v>
      </c>
      <c r="C43" s="310" t="s">
        <v>103</v>
      </c>
      <c r="D43" s="309" t="s">
        <v>104</v>
      </c>
      <c r="E43" s="309" t="s">
        <v>105</v>
      </c>
      <c r="F43" s="618" t="s">
        <v>1999</v>
      </c>
      <c r="G43" s="618" t="s">
        <v>441</v>
      </c>
      <c r="H43" s="618" t="s">
        <v>442</v>
      </c>
      <c r="I43" s="346">
        <v>30</v>
      </c>
      <c r="J43" s="346">
        <v>7.2</v>
      </c>
      <c r="K43" s="346">
        <v>3.6</v>
      </c>
      <c r="L43" s="619">
        <v>5.5</v>
      </c>
      <c r="M43" s="619"/>
      <c r="N43" s="346">
        <v>0.98</v>
      </c>
      <c r="O43" s="346"/>
      <c r="P43" s="346"/>
      <c r="Q43" s="346">
        <v>2000</v>
      </c>
      <c r="R43" s="346">
        <v>2000</v>
      </c>
      <c r="S43" s="620"/>
      <c r="T43" s="346"/>
      <c r="U43" s="346"/>
      <c r="V43" s="346"/>
      <c r="W43" s="346"/>
      <c r="X43" s="346"/>
      <c r="Y43" s="346"/>
      <c r="Z43" s="346"/>
      <c r="AA43" s="18"/>
      <c r="AB43" s="682">
        <f t="shared" si="9"/>
        <v>66.666666666666671</v>
      </c>
      <c r="AC43" s="682">
        <f t="shared" si="10"/>
        <v>277.77777777777777</v>
      </c>
      <c r="AD43" s="682">
        <f t="shared" si="11"/>
        <v>555.55555555555554</v>
      </c>
      <c r="AE43" s="683">
        <f t="shared" si="12"/>
        <v>3.2666666666666663E-2</v>
      </c>
      <c r="AF43" s="683" t="str">
        <f t="shared" si="13"/>
        <v/>
      </c>
      <c r="AG43" s="683">
        <f t="shared" si="14"/>
        <v>0.1361111111111111</v>
      </c>
      <c r="AH43" s="683" t="str">
        <f t="shared" si="15"/>
        <v/>
      </c>
      <c r="AI43" s="683">
        <f t="shared" si="16"/>
        <v>0.2722222222222222</v>
      </c>
      <c r="AJ43" s="683" t="str">
        <f t="shared" si="17"/>
        <v/>
      </c>
    </row>
    <row r="44" spans="2:36" s="14" customFormat="1">
      <c r="B44" s="309" t="s">
        <v>443</v>
      </c>
      <c r="C44" s="314" t="s">
        <v>629</v>
      </c>
      <c r="D44" s="309" t="s">
        <v>106</v>
      </c>
      <c r="E44" s="309" t="s">
        <v>107</v>
      </c>
      <c r="F44" s="621" t="s">
        <v>431</v>
      </c>
      <c r="G44" s="621" t="s">
        <v>432</v>
      </c>
      <c r="H44" s="621" t="s">
        <v>442</v>
      </c>
      <c r="I44" s="347">
        <v>16</v>
      </c>
      <c r="J44" s="346"/>
      <c r="K44" s="346">
        <v>1.8</v>
      </c>
      <c r="L44" s="619">
        <v>3.5</v>
      </c>
      <c r="M44" s="619"/>
      <c r="N44" s="346">
        <v>8</v>
      </c>
      <c r="O44" s="346">
        <v>0.9</v>
      </c>
      <c r="P44" s="346"/>
      <c r="Q44" s="346">
        <v>846</v>
      </c>
      <c r="R44" s="346">
        <v>846</v>
      </c>
      <c r="S44" s="620"/>
      <c r="T44" s="346"/>
      <c r="U44" s="346"/>
      <c r="V44" s="346"/>
      <c r="W44" s="346"/>
      <c r="X44" s="346"/>
      <c r="Y44" s="346"/>
      <c r="Z44" s="346"/>
      <c r="AA44" s="18"/>
      <c r="AB44" s="682">
        <f t="shared" si="9"/>
        <v>52.875</v>
      </c>
      <c r="AC44" s="682" t="str">
        <f t="shared" si="10"/>
        <v/>
      </c>
      <c r="AD44" s="682">
        <f t="shared" si="11"/>
        <v>470</v>
      </c>
      <c r="AE44" s="683">
        <f t="shared" si="12"/>
        <v>0.5</v>
      </c>
      <c r="AF44" s="683" t="str">
        <f t="shared" si="13"/>
        <v/>
      </c>
      <c r="AG44" s="683" t="str">
        <f t="shared" si="14"/>
        <v/>
      </c>
      <c r="AH44" s="683" t="str">
        <f t="shared" si="15"/>
        <v/>
      </c>
      <c r="AI44" s="683">
        <f t="shared" si="16"/>
        <v>4.4444444444444446</v>
      </c>
      <c r="AJ44" s="683" t="str">
        <f t="shared" si="17"/>
        <v/>
      </c>
    </row>
    <row r="45" spans="2:36" s="14" customFormat="1">
      <c r="B45" s="309" t="s">
        <v>443</v>
      </c>
      <c r="C45" s="310" t="s">
        <v>1383</v>
      </c>
      <c r="D45" s="309" t="s">
        <v>108</v>
      </c>
      <c r="E45" s="309" t="s">
        <v>109</v>
      </c>
      <c r="F45" s="618" t="s">
        <v>1999</v>
      </c>
      <c r="G45" s="618" t="s">
        <v>441</v>
      </c>
      <c r="H45" s="618" t="s">
        <v>442</v>
      </c>
      <c r="I45" s="346">
        <v>37.5</v>
      </c>
      <c r="J45" s="346">
        <v>9.6</v>
      </c>
      <c r="K45" s="346">
        <v>3.0476190476190474</v>
      </c>
      <c r="L45" s="619">
        <v>5.8</v>
      </c>
      <c r="M45" s="619"/>
      <c r="N45" s="346">
        <v>0.67</v>
      </c>
      <c r="O45" s="346"/>
      <c r="P45" s="346"/>
      <c r="Q45" s="346">
        <v>3499</v>
      </c>
      <c r="R45" s="346">
        <v>3499</v>
      </c>
      <c r="S45" s="620"/>
      <c r="T45" s="346"/>
      <c r="U45" s="346"/>
      <c r="V45" s="346"/>
      <c r="W45" s="346"/>
      <c r="X45" s="346"/>
      <c r="Y45" s="346"/>
      <c r="Z45" s="346"/>
      <c r="AA45" s="18"/>
      <c r="AB45" s="682">
        <f t="shared" si="9"/>
        <v>93.306666666666672</v>
      </c>
      <c r="AC45" s="682">
        <f t="shared" si="10"/>
        <v>364.47916666666669</v>
      </c>
      <c r="AD45" s="682">
        <f t="shared" si="11"/>
        <v>1148.109375</v>
      </c>
      <c r="AE45" s="683">
        <f t="shared" si="12"/>
        <v>1.7866666666666666E-2</v>
      </c>
      <c r="AF45" s="683" t="str">
        <f t="shared" si="13"/>
        <v/>
      </c>
      <c r="AG45" s="683">
        <f t="shared" si="14"/>
        <v>6.9791666666666669E-2</v>
      </c>
      <c r="AH45" s="683" t="str">
        <f t="shared" si="15"/>
        <v/>
      </c>
      <c r="AI45" s="683">
        <f t="shared" si="16"/>
        <v>0.21984375000000003</v>
      </c>
      <c r="AJ45" s="683" t="str">
        <f t="shared" si="17"/>
        <v/>
      </c>
    </row>
    <row r="46" spans="2:36" s="14" customFormat="1">
      <c r="B46" s="309" t="s">
        <v>443</v>
      </c>
      <c r="C46" s="310" t="s">
        <v>110</v>
      </c>
      <c r="D46" s="309" t="s">
        <v>111</v>
      </c>
      <c r="E46" s="309" t="s">
        <v>577</v>
      </c>
      <c r="F46" s="618" t="s">
        <v>1999</v>
      </c>
      <c r="G46" s="618" t="s">
        <v>441</v>
      </c>
      <c r="H46" s="618" t="s">
        <v>442</v>
      </c>
      <c r="I46" s="346">
        <v>21</v>
      </c>
      <c r="J46" s="346">
        <v>9.6</v>
      </c>
      <c r="K46" s="346">
        <v>5.3831775700934577</v>
      </c>
      <c r="L46" s="619">
        <v>21.7</v>
      </c>
      <c r="M46" s="619"/>
      <c r="N46" s="346">
        <v>0.47</v>
      </c>
      <c r="O46" s="346"/>
      <c r="P46" s="346"/>
      <c r="Q46" s="346">
        <v>2985</v>
      </c>
      <c r="R46" s="346">
        <v>2985</v>
      </c>
      <c r="S46" s="620"/>
      <c r="T46" s="346"/>
      <c r="U46" s="346"/>
      <c r="V46" s="346"/>
      <c r="W46" s="346"/>
      <c r="X46" s="346"/>
      <c r="Y46" s="346"/>
      <c r="Z46" s="346"/>
      <c r="AA46" s="18"/>
      <c r="AB46" s="682">
        <f t="shared" si="9"/>
        <v>142.14285714285714</v>
      </c>
      <c r="AC46" s="682">
        <f t="shared" si="10"/>
        <v>310.9375</v>
      </c>
      <c r="AD46" s="682">
        <f t="shared" si="11"/>
        <v>554.50520833333337</v>
      </c>
      <c r="AE46" s="683">
        <f t="shared" si="12"/>
        <v>2.238095238095238E-2</v>
      </c>
      <c r="AF46" s="683" t="str">
        <f t="shared" si="13"/>
        <v/>
      </c>
      <c r="AG46" s="683">
        <f t="shared" si="14"/>
        <v>4.8958333333333333E-2</v>
      </c>
      <c r="AH46" s="683" t="str">
        <f t="shared" si="15"/>
        <v/>
      </c>
      <c r="AI46" s="683">
        <f t="shared" si="16"/>
        <v>8.7309027777777784E-2</v>
      </c>
      <c r="AJ46" s="683" t="str">
        <f t="shared" si="17"/>
        <v/>
      </c>
    </row>
    <row r="47" spans="2:36" s="14" customFormat="1">
      <c r="B47" s="309" t="s">
        <v>443</v>
      </c>
      <c r="C47" s="310" t="s">
        <v>110</v>
      </c>
      <c r="D47" s="309" t="s">
        <v>578</v>
      </c>
      <c r="E47" s="309" t="s">
        <v>579</v>
      </c>
      <c r="F47" s="618" t="s">
        <v>1999</v>
      </c>
      <c r="G47" s="618" t="s">
        <v>441</v>
      </c>
      <c r="H47" s="618" t="s">
        <v>442</v>
      </c>
      <c r="I47" s="346">
        <v>60</v>
      </c>
      <c r="J47" s="346">
        <v>9.6</v>
      </c>
      <c r="K47" s="346">
        <v>2.6181818181818182</v>
      </c>
      <c r="L47" s="619">
        <v>17</v>
      </c>
      <c r="M47" s="619"/>
      <c r="N47" s="346">
        <v>1.02</v>
      </c>
      <c r="O47" s="346"/>
      <c r="P47" s="346"/>
      <c r="Q47" s="346">
        <v>4985</v>
      </c>
      <c r="R47" s="346">
        <v>4985</v>
      </c>
      <c r="S47" s="620"/>
      <c r="T47" s="346"/>
      <c r="U47" s="346"/>
      <c r="V47" s="346"/>
      <c r="W47" s="346"/>
      <c r="X47" s="346"/>
      <c r="Y47" s="346"/>
      <c r="Z47" s="346"/>
      <c r="AA47" s="18"/>
      <c r="AB47" s="682">
        <f t="shared" si="9"/>
        <v>83.083333333333329</v>
      </c>
      <c r="AC47" s="682">
        <f t="shared" si="10"/>
        <v>519.27083333333337</v>
      </c>
      <c r="AD47" s="682">
        <f t="shared" si="11"/>
        <v>1903.9930555555557</v>
      </c>
      <c r="AE47" s="683">
        <f t="shared" si="12"/>
        <v>1.7000000000000001E-2</v>
      </c>
      <c r="AF47" s="683" t="str">
        <f t="shared" si="13"/>
        <v/>
      </c>
      <c r="AG47" s="683">
        <f t="shared" si="14"/>
        <v>0.10625000000000001</v>
      </c>
      <c r="AH47" s="683" t="str">
        <f t="shared" si="15"/>
        <v/>
      </c>
      <c r="AI47" s="683">
        <f t="shared" si="16"/>
        <v>0.38958333333333334</v>
      </c>
      <c r="AJ47" s="683" t="str">
        <f t="shared" si="17"/>
        <v/>
      </c>
    </row>
    <row r="48" spans="2:36" s="14" customFormat="1">
      <c r="B48" s="309" t="s">
        <v>443</v>
      </c>
      <c r="C48" s="310" t="s">
        <v>580</v>
      </c>
      <c r="D48" s="309" t="s">
        <v>581</v>
      </c>
      <c r="E48" s="309" t="s">
        <v>582</v>
      </c>
      <c r="F48" s="618" t="s">
        <v>1999</v>
      </c>
      <c r="G48" s="618" t="s">
        <v>441</v>
      </c>
      <c r="H48" s="618" t="s">
        <v>442</v>
      </c>
      <c r="I48" s="346">
        <v>37.5</v>
      </c>
      <c r="J48" s="346">
        <v>9.6</v>
      </c>
      <c r="K48" s="346">
        <v>6.4</v>
      </c>
      <c r="L48" s="619">
        <v>3</v>
      </c>
      <c r="M48" s="619"/>
      <c r="N48" s="346">
        <v>0.7</v>
      </c>
      <c r="O48" s="346"/>
      <c r="P48" s="346"/>
      <c r="Q48" s="346">
        <v>3400</v>
      </c>
      <c r="R48" s="346">
        <v>3400</v>
      </c>
      <c r="S48" s="620"/>
      <c r="T48" s="346"/>
      <c r="U48" s="346"/>
      <c r="V48" s="346"/>
      <c r="W48" s="346"/>
      <c r="X48" s="346"/>
      <c r="Y48" s="346"/>
      <c r="Z48" s="346"/>
      <c r="AA48" s="18"/>
      <c r="AB48" s="682">
        <f t="shared" si="9"/>
        <v>90.666666666666671</v>
      </c>
      <c r="AC48" s="682">
        <f t="shared" si="10"/>
        <v>354.16666666666669</v>
      </c>
      <c r="AD48" s="682">
        <f t="shared" si="11"/>
        <v>531.25</v>
      </c>
      <c r="AE48" s="683">
        <f t="shared" si="12"/>
        <v>1.8666666666666665E-2</v>
      </c>
      <c r="AF48" s="683" t="str">
        <f t="shared" si="13"/>
        <v/>
      </c>
      <c r="AG48" s="683">
        <f t="shared" si="14"/>
        <v>7.2916666666666671E-2</v>
      </c>
      <c r="AH48" s="683" t="str">
        <f t="shared" si="15"/>
        <v/>
      </c>
      <c r="AI48" s="683">
        <f t="shared" si="16"/>
        <v>0.10937499999999999</v>
      </c>
      <c r="AJ48" s="683" t="str">
        <f t="shared" si="17"/>
        <v/>
      </c>
    </row>
    <row r="49" spans="2:36" s="14" customFormat="1">
      <c r="B49" s="309" t="s">
        <v>437</v>
      </c>
      <c r="C49" s="310" t="s">
        <v>583</v>
      </c>
      <c r="D49" s="309" t="s">
        <v>584</v>
      </c>
      <c r="E49" s="309" t="s">
        <v>585</v>
      </c>
      <c r="F49" s="618" t="s">
        <v>440</v>
      </c>
      <c r="G49" s="618" t="s">
        <v>441</v>
      </c>
      <c r="H49" s="618" t="s">
        <v>442</v>
      </c>
      <c r="I49" s="346">
        <v>126.5</v>
      </c>
      <c r="J49" s="346"/>
      <c r="K49" s="346">
        <v>5.448648648648649</v>
      </c>
      <c r="L49" s="619">
        <v>61.7</v>
      </c>
      <c r="M49" s="619"/>
      <c r="N49" s="346">
        <v>1.17</v>
      </c>
      <c r="O49" s="346"/>
      <c r="P49" s="346"/>
      <c r="Q49" s="346">
        <v>2318.75</v>
      </c>
      <c r="R49" s="346">
        <v>2318.75</v>
      </c>
      <c r="S49" s="620"/>
      <c r="T49" s="346"/>
      <c r="U49" s="346"/>
      <c r="V49" s="346"/>
      <c r="W49" s="346"/>
      <c r="X49" s="346"/>
      <c r="Y49" s="346"/>
      <c r="Z49" s="346"/>
      <c r="AA49" s="18"/>
      <c r="AB49" s="682">
        <f t="shared" si="9"/>
        <v>18.330039525691699</v>
      </c>
      <c r="AC49" s="682" t="str">
        <f t="shared" si="10"/>
        <v/>
      </c>
      <c r="AD49" s="682">
        <f t="shared" si="11"/>
        <v>425.56423611111109</v>
      </c>
      <c r="AE49" s="683">
        <f t="shared" si="12"/>
        <v>9.2490118577075089E-3</v>
      </c>
      <c r="AF49" s="683" t="str">
        <f t="shared" si="13"/>
        <v/>
      </c>
      <c r="AG49" s="683" t="str">
        <f t="shared" si="14"/>
        <v/>
      </c>
      <c r="AH49" s="683" t="str">
        <f t="shared" si="15"/>
        <v/>
      </c>
      <c r="AI49" s="683">
        <f t="shared" si="16"/>
        <v>0.21473214285714284</v>
      </c>
      <c r="AJ49" s="683" t="str">
        <f t="shared" si="17"/>
        <v/>
      </c>
    </row>
    <row r="50" spans="2:36" s="14" customFormat="1">
      <c r="B50" s="309" t="s">
        <v>443</v>
      </c>
      <c r="C50" s="310" t="s">
        <v>629</v>
      </c>
      <c r="D50" s="309" t="s">
        <v>586</v>
      </c>
      <c r="E50" s="309" t="s">
        <v>587</v>
      </c>
      <c r="F50" s="618" t="s">
        <v>431</v>
      </c>
      <c r="G50" s="618" t="s">
        <v>432</v>
      </c>
      <c r="H50" s="618" t="s">
        <v>442</v>
      </c>
      <c r="I50" s="346">
        <v>37.5</v>
      </c>
      <c r="J50" s="346">
        <v>9.6</v>
      </c>
      <c r="K50" s="346">
        <v>2.4</v>
      </c>
      <c r="L50" s="619">
        <v>6</v>
      </c>
      <c r="M50" s="619"/>
      <c r="N50" s="346">
        <v>8</v>
      </c>
      <c r="O50" s="346"/>
      <c r="P50" s="346"/>
      <c r="Q50" s="346">
        <v>1038</v>
      </c>
      <c r="R50" s="346">
        <v>1038</v>
      </c>
      <c r="S50" s="620"/>
      <c r="T50" s="346"/>
      <c r="U50" s="346"/>
      <c r="V50" s="346"/>
      <c r="W50" s="346"/>
      <c r="X50" s="346"/>
      <c r="Y50" s="346"/>
      <c r="Z50" s="346"/>
      <c r="AA50" s="18"/>
      <c r="AB50" s="682">
        <f t="shared" si="9"/>
        <v>27.68</v>
      </c>
      <c r="AC50" s="682">
        <f t="shared" si="10"/>
        <v>108.125</v>
      </c>
      <c r="AD50" s="682">
        <f t="shared" si="11"/>
        <v>432.5</v>
      </c>
      <c r="AE50" s="683">
        <f t="shared" si="12"/>
        <v>0.21333333333333335</v>
      </c>
      <c r="AF50" s="683" t="str">
        <f t="shared" si="13"/>
        <v/>
      </c>
      <c r="AG50" s="683">
        <f t="shared" si="14"/>
        <v>0.83333333333333337</v>
      </c>
      <c r="AH50" s="683" t="str">
        <f t="shared" si="15"/>
        <v/>
      </c>
      <c r="AI50" s="683">
        <f t="shared" si="16"/>
        <v>3.3333333333333335</v>
      </c>
      <c r="AJ50" s="683" t="str">
        <f t="shared" si="17"/>
        <v/>
      </c>
    </row>
    <row r="51" spans="2:36" s="14" customFormat="1">
      <c r="B51" s="309" t="s">
        <v>443</v>
      </c>
      <c r="C51" s="310" t="s">
        <v>580</v>
      </c>
      <c r="D51" s="309" t="s">
        <v>588</v>
      </c>
      <c r="E51" s="309" t="s">
        <v>589</v>
      </c>
      <c r="F51" s="618" t="s">
        <v>1999</v>
      </c>
      <c r="G51" s="618" t="s">
        <v>441</v>
      </c>
      <c r="H51" s="618" t="s">
        <v>442</v>
      </c>
      <c r="I51" s="346">
        <v>18</v>
      </c>
      <c r="J51" s="346">
        <v>2.4</v>
      </c>
      <c r="K51" s="346">
        <v>2.4</v>
      </c>
      <c r="L51" s="619">
        <v>3.67</v>
      </c>
      <c r="M51" s="619"/>
      <c r="N51" s="346">
        <v>0.32</v>
      </c>
      <c r="O51" s="346"/>
      <c r="P51" s="346"/>
      <c r="Q51" s="346">
        <v>3400</v>
      </c>
      <c r="R51" s="346">
        <v>3400</v>
      </c>
      <c r="S51" s="620"/>
      <c r="T51" s="346"/>
      <c r="U51" s="346"/>
      <c r="V51" s="346"/>
      <c r="W51" s="346"/>
      <c r="X51" s="346"/>
      <c r="Y51" s="346"/>
      <c r="Z51" s="346"/>
      <c r="AA51" s="18"/>
      <c r="AB51" s="682">
        <f t="shared" si="9"/>
        <v>188.88888888888889</v>
      </c>
      <c r="AC51" s="682">
        <f t="shared" si="10"/>
        <v>1416.6666666666667</v>
      </c>
      <c r="AD51" s="682">
        <f t="shared" si="11"/>
        <v>1416.6666666666667</v>
      </c>
      <c r="AE51" s="683">
        <f t="shared" si="12"/>
        <v>1.7777777777777778E-2</v>
      </c>
      <c r="AF51" s="683" t="str">
        <f t="shared" si="13"/>
        <v/>
      </c>
      <c r="AG51" s="683">
        <f t="shared" si="14"/>
        <v>0.13333333333333333</v>
      </c>
      <c r="AH51" s="683" t="str">
        <f t="shared" si="15"/>
        <v/>
      </c>
      <c r="AI51" s="683">
        <f t="shared" si="16"/>
        <v>0.13333333333333333</v>
      </c>
      <c r="AJ51" s="683" t="str">
        <f t="shared" si="17"/>
        <v/>
      </c>
    </row>
    <row r="52" spans="2:36" s="14" customFormat="1">
      <c r="B52" s="309" t="s">
        <v>443</v>
      </c>
      <c r="C52" s="310" t="s">
        <v>590</v>
      </c>
      <c r="D52" s="309" t="s">
        <v>591</v>
      </c>
      <c r="E52" s="309" t="s">
        <v>592</v>
      </c>
      <c r="F52" s="618" t="s">
        <v>446</v>
      </c>
      <c r="G52" s="618" t="s">
        <v>441</v>
      </c>
      <c r="H52" s="618" t="s">
        <v>433</v>
      </c>
      <c r="I52" s="346">
        <v>16</v>
      </c>
      <c r="J52" s="346"/>
      <c r="K52" s="346">
        <v>16</v>
      </c>
      <c r="L52" s="619">
        <v>7.8</v>
      </c>
      <c r="M52" s="619"/>
      <c r="N52" s="346">
        <v>0.26500000000000001</v>
      </c>
      <c r="O52" s="346"/>
      <c r="P52" s="346"/>
      <c r="Q52" s="346"/>
      <c r="R52" s="346"/>
      <c r="S52" s="620"/>
      <c r="T52" s="346"/>
      <c r="U52" s="346"/>
      <c r="V52" s="346"/>
      <c r="W52" s="346"/>
      <c r="X52" s="346"/>
      <c r="Y52" s="346"/>
      <c r="Z52" s="346"/>
      <c r="AA52" s="18"/>
      <c r="AB52" s="682">
        <f t="shared" si="9"/>
        <v>0</v>
      </c>
      <c r="AC52" s="682" t="str">
        <f t="shared" si="10"/>
        <v/>
      </c>
      <c r="AD52" s="682">
        <f t="shared" si="11"/>
        <v>0</v>
      </c>
      <c r="AE52" s="683">
        <f t="shared" si="12"/>
        <v>1.6562500000000001E-2</v>
      </c>
      <c r="AF52" s="683" t="str">
        <f t="shared" si="13"/>
        <v/>
      </c>
      <c r="AG52" s="683" t="str">
        <f t="shared" si="14"/>
        <v/>
      </c>
      <c r="AH52" s="683" t="str">
        <f t="shared" si="15"/>
        <v/>
      </c>
      <c r="AI52" s="683">
        <f t="shared" si="16"/>
        <v>1.6562500000000001E-2</v>
      </c>
      <c r="AJ52" s="683" t="str">
        <f t="shared" si="17"/>
        <v/>
      </c>
    </row>
    <row r="53" spans="2:36" s="14" customFormat="1">
      <c r="B53" s="309" t="s">
        <v>593</v>
      </c>
      <c r="C53" s="310" t="s">
        <v>583</v>
      </c>
      <c r="D53" s="309" t="s">
        <v>594</v>
      </c>
      <c r="E53" s="309" t="s">
        <v>595</v>
      </c>
      <c r="F53" s="618" t="s">
        <v>440</v>
      </c>
      <c r="G53" s="618" t="s">
        <v>441</v>
      </c>
      <c r="H53" s="618" t="s">
        <v>442</v>
      </c>
      <c r="I53" s="346">
        <v>60</v>
      </c>
      <c r="J53" s="346">
        <v>42</v>
      </c>
      <c r="K53" s="346">
        <f>21.6/18*24</f>
        <v>28.800000000000004</v>
      </c>
      <c r="L53" s="619">
        <v>44.36</v>
      </c>
      <c r="M53" s="619"/>
      <c r="N53" s="346">
        <f>K53/10</f>
        <v>2.8800000000000003</v>
      </c>
      <c r="O53" s="346"/>
      <c r="P53" s="346"/>
      <c r="Q53" s="346">
        <f>1855*1.3</f>
        <v>2411.5</v>
      </c>
      <c r="R53" s="346">
        <f>1855*1.3</f>
        <v>2411.5</v>
      </c>
      <c r="S53" s="620"/>
      <c r="T53" s="346"/>
      <c r="U53" s="346"/>
      <c r="V53" s="346"/>
      <c r="W53" s="346"/>
      <c r="X53" s="346"/>
      <c r="Y53" s="346"/>
      <c r="Z53" s="346"/>
      <c r="AA53" s="18"/>
      <c r="AB53" s="682">
        <f t="shared" si="9"/>
        <v>40.19166666666667</v>
      </c>
      <c r="AC53" s="682">
        <f t="shared" si="10"/>
        <v>57.416666666666664</v>
      </c>
      <c r="AD53" s="682">
        <f t="shared" si="11"/>
        <v>83.732638888888872</v>
      </c>
      <c r="AE53" s="683">
        <f t="shared" si="12"/>
        <v>4.8000000000000008E-2</v>
      </c>
      <c r="AF53" s="683" t="str">
        <f t="shared" si="13"/>
        <v/>
      </c>
      <c r="AG53" s="683">
        <f t="shared" si="14"/>
        <v>6.8571428571428575E-2</v>
      </c>
      <c r="AH53" s="683" t="str">
        <f t="shared" si="15"/>
        <v/>
      </c>
      <c r="AI53" s="683">
        <f t="shared" si="16"/>
        <v>9.9999999999999992E-2</v>
      </c>
      <c r="AJ53" s="683" t="str">
        <f t="shared" si="17"/>
        <v/>
      </c>
    </row>
    <row r="54" spans="2:36" s="14" customFormat="1">
      <c r="B54" s="309" t="s">
        <v>358</v>
      </c>
      <c r="C54" s="310" t="s">
        <v>583</v>
      </c>
      <c r="D54" s="309" t="s">
        <v>372</v>
      </c>
      <c r="E54" s="309" t="s">
        <v>373</v>
      </c>
      <c r="F54" s="618" t="s">
        <v>1999</v>
      </c>
      <c r="G54" s="618" t="s">
        <v>441</v>
      </c>
      <c r="H54" s="618" t="s">
        <v>442</v>
      </c>
      <c r="I54" s="346">
        <v>76</v>
      </c>
      <c r="J54" s="346">
        <v>30</v>
      </c>
      <c r="K54" s="346">
        <v>2.4</v>
      </c>
      <c r="L54" s="619">
        <v>13.6</v>
      </c>
      <c r="M54" s="619"/>
      <c r="N54" s="346">
        <v>0.99</v>
      </c>
      <c r="O54" s="346"/>
      <c r="P54" s="346"/>
      <c r="Q54" s="346">
        <v>2193</v>
      </c>
      <c r="R54" s="346">
        <f>Q54*1.4</f>
        <v>3070.2</v>
      </c>
      <c r="S54" s="620">
        <v>2009</v>
      </c>
      <c r="T54" s="346">
        <v>118</v>
      </c>
      <c r="U54" s="346">
        <v>50</v>
      </c>
      <c r="V54" s="346">
        <v>91</v>
      </c>
      <c r="W54" s="346">
        <v>127</v>
      </c>
      <c r="X54" s="346">
        <v>78</v>
      </c>
      <c r="Y54" s="346">
        <v>1.05</v>
      </c>
      <c r="Z54" s="346">
        <v>125</v>
      </c>
      <c r="AA54" s="18"/>
      <c r="AB54" s="682">
        <f t="shared" si="9"/>
        <v>40.397368421052626</v>
      </c>
      <c r="AC54" s="682">
        <f t="shared" si="10"/>
        <v>102.33999999999999</v>
      </c>
      <c r="AD54" s="682">
        <f t="shared" si="11"/>
        <v>1279.25</v>
      </c>
      <c r="AE54" s="683">
        <f t="shared" si="12"/>
        <v>1.3026315789473684E-2</v>
      </c>
      <c r="AF54" s="683" t="str">
        <f t="shared" si="13"/>
        <v/>
      </c>
      <c r="AG54" s="683">
        <f t="shared" si="14"/>
        <v>3.3000000000000002E-2</v>
      </c>
      <c r="AH54" s="683" t="str">
        <f t="shared" si="15"/>
        <v/>
      </c>
      <c r="AI54" s="683">
        <f t="shared" si="16"/>
        <v>0.41250000000000003</v>
      </c>
      <c r="AJ54" s="683" t="str">
        <f t="shared" si="17"/>
        <v/>
      </c>
    </row>
    <row r="55" spans="2:36" s="14" customFormat="1">
      <c r="B55" s="309" t="s">
        <v>92</v>
      </c>
      <c r="C55" s="310" t="s">
        <v>363</v>
      </c>
      <c r="D55" s="309" t="s">
        <v>370</v>
      </c>
      <c r="E55" s="309" t="s">
        <v>371</v>
      </c>
      <c r="F55" s="618" t="s">
        <v>1388</v>
      </c>
      <c r="G55" s="618" t="s">
        <v>441</v>
      </c>
      <c r="H55" s="618" t="s">
        <v>442</v>
      </c>
      <c r="I55" s="346"/>
      <c r="J55" s="346">
        <v>92</v>
      </c>
      <c r="K55" s="346">
        <v>12</v>
      </c>
      <c r="L55" s="619">
        <v>2.29</v>
      </c>
      <c r="M55" s="619"/>
      <c r="N55" s="346">
        <v>0.38</v>
      </c>
      <c r="O55" s="346"/>
      <c r="P55" s="346"/>
      <c r="Q55" s="346">
        <v>410</v>
      </c>
      <c r="R55" s="346">
        <f>Q55</f>
        <v>410</v>
      </c>
      <c r="S55" s="620">
        <v>2009</v>
      </c>
      <c r="T55" s="346"/>
      <c r="U55" s="346">
        <v>121</v>
      </c>
      <c r="V55" s="346">
        <v>82</v>
      </c>
      <c r="W55" s="346">
        <v>67</v>
      </c>
      <c r="X55" s="346">
        <v>63</v>
      </c>
      <c r="Y55" s="346">
        <v>0.5</v>
      </c>
      <c r="Z55" s="346">
        <v>79</v>
      </c>
      <c r="AA55" s="18"/>
      <c r="AB55" s="682" t="str">
        <f t="shared" si="9"/>
        <v/>
      </c>
      <c r="AC55" s="682">
        <f t="shared" si="10"/>
        <v>4.4565217391304346</v>
      </c>
      <c r="AD55" s="682">
        <f t="shared" si="11"/>
        <v>34.166666666666664</v>
      </c>
      <c r="AE55" s="683" t="str">
        <f t="shared" si="12"/>
        <v/>
      </c>
      <c r="AF55" s="683" t="str">
        <f t="shared" si="13"/>
        <v/>
      </c>
      <c r="AG55" s="683">
        <f t="shared" si="14"/>
        <v>4.1304347826086954E-3</v>
      </c>
      <c r="AH55" s="683" t="str">
        <f t="shared" si="15"/>
        <v/>
      </c>
      <c r="AI55" s="683">
        <f t="shared" si="16"/>
        <v>3.1666666666666669E-2</v>
      </c>
      <c r="AJ55" s="683" t="str">
        <f t="shared" si="17"/>
        <v/>
      </c>
    </row>
    <row r="56" spans="2:36" s="14" customFormat="1">
      <c r="B56" s="309" t="s">
        <v>92</v>
      </c>
      <c r="C56" s="310" t="s">
        <v>363</v>
      </c>
      <c r="D56" s="309" t="s">
        <v>368</v>
      </c>
      <c r="E56" s="309" t="s">
        <v>369</v>
      </c>
      <c r="F56" s="618" t="s">
        <v>1388</v>
      </c>
      <c r="G56" s="618" t="s">
        <v>441</v>
      </c>
      <c r="H56" s="618" t="s">
        <v>442</v>
      </c>
      <c r="I56" s="346"/>
      <c r="J56" s="346">
        <v>224</v>
      </c>
      <c r="K56" s="346">
        <v>16.8</v>
      </c>
      <c r="L56" s="619">
        <v>4.09</v>
      </c>
      <c r="M56" s="619"/>
      <c r="N56" s="346">
        <v>4.3600000000000003</v>
      </c>
      <c r="O56" s="346"/>
      <c r="P56" s="346"/>
      <c r="Q56" s="346">
        <v>521</v>
      </c>
      <c r="R56" s="346">
        <f>Q56</f>
        <v>521</v>
      </c>
      <c r="S56" s="620">
        <v>2009</v>
      </c>
      <c r="T56" s="346"/>
      <c r="U56" s="346">
        <v>298</v>
      </c>
      <c r="V56" s="346">
        <v>80</v>
      </c>
      <c r="W56" s="346">
        <v>124</v>
      </c>
      <c r="X56" s="346">
        <v>63</v>
      </c>
      <c r="Y56" s="346">
        <v>0.88</v>
      </c>
      <c r="Z56" s="346">
        <v>79</v>
      </c>
      <c r="AA56" s="18"/>
      <c r="AB56" s="682" t="str">
        <f t="shared" si="9"/>
        <v/>
      </c>
      <c r="AC56" s="682">
        <f t="shared" si="10"/>
        <v>2.3258928571428572</v>
      </c>
      <c r="AD56" s="682">
        <f t="shared" si="11"/>
        <v>31.011904761904759</v>
      </c>
      <c r="AE56" s="683" t="str">
        <f t="shared" si="12"/>
        <v/>
      </c>
      <c r="AF56" s="683" t="str">
        <f t="shared" si="13"/>
        <v/>
      </c>
      <c r="AG56" s="683">
        <f t="shared" si="14"/>
        <v>1.9464285714285715E-2</v>
      </c>
      <c r="AH56" s="683" t="str">
        <f t="shared" si="15"/>
        <v/>
      </c>
      <c r="AI56" s="683">
        <f t="shared" si="16"/>
        <v>0.25952380952380955</v>
      </c>
      <c r="AJ56" s="683" t="str">
        <f t="shared" si="17"/>
        <v/>
      </c>
    </row>
    <row r="57" spans="2:36" s="14" customFormat="1">
      <c r="B57" s="309" t="s">
        <v>1815</v>
      </c>
      <c r="C57" s="310" t="s">
        <v>583</v>
      </c>
      <c r="D57" s="309" t="s">
        <v>374</v>
      </c>
      <c r="E57" s="309" t="s">
        <v>375</v>
      </c>
      <c r="F57" s="618" t="s">
        <v>1388</v>
      </c>
      <c r="G57" s="618" t="s">
        <v>441</v>
      </c>
      <c r="H57" s="618" t="s">
        <v>442</v>
      </c>
      <c r="I57" s="346"/>
      <c r="J57" s="346">
        <f>179*0.6</f>
        <v>107.39999999999999</v>
      </c>
      <c r="K57" s="346">
        <v>36</v>
      </c>
      <c r="L57" s="619">
        <v>3.5</v>
      </c>
      <c r="M57" s="619"/>
      <c r="N57" s="346">
        <v>3.98</v>
      </c>
      <c r="O57" s="346"/>
      <c r="P57" s="346"/>
      <c r="Q57" s="346">
        <v>2042</v>
      </c>
      <c r="R57" s="346">
        <f>Q57*1.4</f>
        <v>2858.7999999999997</v>
      </c>
      <c r="S57" s="620">
        <v>2009</v>
      </c>
      <c r="T57" s="346"/>
      <c r="U57" s="346">
        <v>247</v>
      </c>
      <c r="V57" s="346">
        <v>180.5</v>
      </c>
      <c r="W57" s="346">
        <v>60</v>
      </c>
      <c r="X57" s="346">
        <v>70.5</v>
      </c>
      <c r="Y57" s="346">
        <v>1.208</v>
      </c>
      <c r="Z57" s="346">
        <v>143</v>
      </c>
      <c r="AA57" s="18"/>
      <c r="AB57" s="682" t="str">
        <f t="shared" si="9"/>
        <v/>
      </c>
      <c r="AC57" s="682">
        <f t="shared" si="10"/>
        <v>26.618249534450651</v>
      </c>
      <c r="AD57" s="682">
        <f t="shared" si="11"/>
        <v>79.411111111111097</v>
      </c>
      <c r="AE57" s="683" t="str">
        <f t="shared" si="12"/>
        <v/>
      </c>
      <c r="AF57" s="683" t="str">
        <f t="shared" si="13"/>
        <v/>
      </c>
      <c r="AG57" s="683">
        <f t="shared" si="14"/>
        <v>3.7057728119180636E-2</v>
      </c>
      <c r="AH57" s="683" t="str">
        <f t="shared" si="15"/>
        <v/>
      </c>
      <c r="AI57" s="683">
        <f t="shared" si="16"/>
        <v>0.11055555555555556</v>
      </c>
      <c r="AJ57" s="683" t="str">
        <f t="shared" si="17"/>
        <v/>
      </c>
    </row>
    <row r="58" spans="2:36" s="14" customFormat="1">
      <c r="B58" s="309" t="s">
        <v>437</v>
      </c>
      <c r="C58" s="310" t="s">
        <v>363</v>
      </c>
      <c r="D58" s="309" t="s">
        <v>366</v>
      </c>
      <c r="E58" s="309" t="s">
        <v>367</v>
      </c>
      <c r="F58" s="618" t="s">
        <v>440</v>
      </c>
      <c r="G58" s="618" t="s">
        <v>441</v>
      </c>
      <c r="H58" s="618" t="s">
        <v>442</v>
      </c>
      <c r="I58" s="346">
        <v>45</v>
      </c>
      <c r="J58" s="346"/>
      <c r="K58" s="346"/>
      <c r="L58" s="619">
        <v>27.18</v>
      </c>
      <c r="M58" s="619"/>
      <c r="N58" s="346">
        <v>0.64</v>
      </c>
      <c r="O58" s="346"/>
      <c r="P58" s="346"/>
      <c r="Q58" s="346">
        <v>510</v>
      </c>
      <c r="R58" s="346">
        <f>Q58</f>
        <v>510</v>
      </c>
      <c r="S58" s="620">
        <v>2010</v>
      </c>
      <c r="T58" s="346">
        <v>71</v>
      </c>
      <c r="U58" s="346"/>
      <c r="V58" s="346">
        <v>81.8</v>
      </c>
      <c r="W58" s="346">
        <v>67.3</v>
      </c>
      <c r="X58" s="346">
        <v>66.3</v>
      </c>
      <c r="Y58" s="346">
        <v>0.56000000000000005</v>
      </c>
      <c r="Z58" s="346">
        <v>64</v>
      </c>
      <c r="AA58" s="18"/>
      <c r="AB58" s="682">
        <f t="shared" si="9"/>
        <v>11.333333333333334</v>
      </c>
      <c r="AC58" s="682" t="str">
        <f t="shared" si="10"/>
        <v/>
      </c>
      <c r="AD58" s="682" t="str">
        <f t="shared" si="11"/>
        <v/>
      </c>
      <c r="AE58" s="683">
        <f t="shared" si="12"/>
        <v>1.4222222222222223E-2</v>
      </c>
      <c r="AF58" s="683" t="str">
        <f t="shared" si="13"/>
        <v/>
      </c>
      <c r="AG58" s="683" t="str">
        <f t="shared" si="14"/>
        <v/>
      </c>
      <c r="AH58" s="683" t="str">
        <f t="shared" si="15"/>
        <v/>
      </c>
      <c r="AI58" s="683" t="str">
        <f t="shared" si="16"/>
        <v/>
      </c>
      <c r="AJ58" s="683" t="str">
        <f t="shared" si="17"/>
        <v/>
      </c>
    </row>
    <row r="59" spans="2:36" s="14" customFormat="1">
      <c r="B59" s="309" t="s">
        <v>437</v>
      </c>
      <c r="C59" s="310" t="s">
        <v>363</v>
      </c>
      <c r="D59" s="309" t="s">
        <v>364</v>
      </c>
      <c r="E59" s="309" t="s">
        <v>365</v>
      </c>
      <c r="F59" s="618" t="s">
        <v>440</v>
      </c>
      <c r="G59" s="618" t="s">
        <v>441</v>
      </c>
      <c r="H59" s="618" t="s">
        <v>442</v>
      </c>
      <c r="I59" s="346">
        <v>90</v>
      </c>
      <c r="J59" s="346"/>
      <c r="K59" s="346"/>
      <c r="L59" s="619">
        <v>31.23</v>
      </c>
      <c r="M59" s="619"/>
      <c r="N59" s="346">
        <v>1.34</v>
      </c>
      <c r="O59" s="346"/>
      <c r="P59" s="346"/>
      <c r="Q59" s="346">
        <v>688</v>
      </c>
      <c r="R59" s="346">
        <f>Q59</f>
        <v>688</v>
      </c>
      <c r="S59" s="620">
        <v>2010</v>
      </c>
      <c r="T59" s="346">
        <v>198</v>
      </c>
      <c r="U59" s="346"/>
      <c r="V59" s="346">
        <v>81.8</v>
      </c>
      <c r="W59" s="346">
        <v>124.3</v>
      </c>
      <c r="X59" s="346">
        <v>63</v>
      </c>
      <c r="Y59" s="346">
        <v>0.91</v>
      </c>
      <c r="Z59" s="346">
        <v>108</v>
      </c>
      <c r="AA59" s="18"/>
      <c r="AB59" s="682">
        <f t="shared" si="9"/>
        <v>7.6444444444444448</v>
      </c>
      <c r="AC59" s="682" t="str">
        <f t="shared" si="10"/>
        <v/>
      </c>
      <c r="AD59" s="682" t="str">
        <f t="shared" si="11"/>
        <v/>
      </c>
      <c r="AE59" s="683">
        <f t="shared" si="12"/>
        <v>1.4888888888888889E-2</v>
      </c>
      <c r="AF59" s="683" t="str">
        <f t="shared" si="13"/>
        <v/>
      </c>
      <c r="AG59" s="683" t="str">
        <f t="shared" si="14"/>
        <v/>
      </c>
      <c r="AH59" s="683" t="str">
        <f t="shared" si="15"/>
        <v/>
      </c>
      <c r="AI59" s="683" t="str">
        <f t="shared" si="16"/>
        <v/>
      </c>
      <c r="AJ59" s="683" t="str">
        <f t="shared" si="17"/>
        <v/>
      </c>
    </row>
    <row r="60" spans="2:36" s="14" customFormat="1">
      <c r="B60" s="309" t="s">
        <v>437</v>
      </c>
      <c r="C60" s="310" t="s">
        <v>2003</v>
      </c>
      <c r="D60" s="309" t="s">
        <v>361</v>
      </c>
      <c r="E60" s="309" t="s">
        <v>362</v>
      </c>
      <c r="F60" s="618" t="s">
        <v>440</v>
      </c>
      <c r="G60" s="618" t="s">
        <v>441</v>
      </c>
      <c r="H60" s="618" t="s">
        <v>442</v>
      </c>
      <c r="I60" s="346">
        <v>105</v>
      </c>
      <c r="J60" s="346"/>
      <c r="K60" s="346"/>
      <c r="L60" s="619">
        <v>25.66</v>
      </c>
      <c r="M60" s="619"/>
      <c r="N60" s="346">
        <v>3.2</v>
      </c>
      <c r="O60" s="346"/>
      <c r="P60" s="346"/>
      <c r="Q60" s="346">
        <v>744</v>
      </c>
      <c r="R60" s="346">
        <f t="shared" ref="R60:R65" si="18">Q60*1.4</f>
        <v>1041.5999999999999</v>
      </c>
      <c r="S60" s="620">
        <v>2009</v>
      </c>
      <c r="T60" s="346">
        <v>218</v>
      </c>
      <c r="U60" s="346"/>
      <c r="V60" s="346">
        <v>84</v>
      </c>
      <c r="W60" s="346">
        <v>69</v>
      </c>
      <c r="X60" s="346">
        <v>126</v>
      </c>
      <c r="Y60" s="346">
        <v>1.02</v>
      </c>
      <c r="Z60" s="346">
        <v>126</v>
      </c>
      <c r="AA60" s="18"/>
      <c r="AB60" s="682">
        <f t="shared" si="9"/>
        <v>9.92</v>
      </c>
      <c r="AC60" s="682" t="str">
        <f t="shared" si="10"/>
        <v/>
      </c>
      <c r="AD60" s="682" t="str">
        <f t="shared" si="11"/>
        <v/>
      </c>
      <c r="AE60" s="683">
        <f t="shared" si="12"/>
        <v>3.0476190476190476E-2</v>
      </c>
      <c r="AF60" s="683" t="str">
        <f t="shared" si="13"/>
        <v/>
      </c>
      <c r="AG60" s="683" t="str">
        <f t="shared" si="14"/>
        <v/>
      </c>
      <c r="AH60" s="683" t="str">
        <f t="shared" si="15"/>
        <v/>
      </c>
      <c r="AI60" s="683" t="str">
        <f t="shared" si="16"/>
        <v/>
      </c>
      <c r="AJ60" s="683" t="str">
        <f t="shared" si="17"/>
        <v/>
      </c>
    </row>
    <row r="61" spans="2:36" s="14" customFormat="1">
      <c r="B61" s="309" t="s">
        <v>358</v>
      </c>
      <c r="C61" s="310" t="s">
        <v>583</v>
      </c>
      <c r="D61" s="309" t="s">
        <v>359</v>
      </c>
      <c r="E61" s="309" t="s">
        <v>360</v>
      </c>
      <c r="F61" s="618" t="s">
        <v>1999</v>
      </c>
      <c r="G61" s="618" t="s">
        <v>441</v>
      </c>
      <c r="H61" s="618" t="s">
        <v>442</v>
      </c>
      <c r="I61" s="346">
        <v>109.5</v>
      </c>
      <c r="J61" s="346">
        <f>80*0.6</f>
        <v>48</v>
      </c>
      <c r="K61" s="346">
        <v>3.4</v>
      </c>
      <c r="L61" s="619">
        <v>23.4</v>
      </c>
      <c r="M61" s="619"/>
      <c r="N61" s="346">
        <v>1.82</v>
      </c>
      <c r="O61" s="346"/>
      <c r="P61" s="346"/>
      <c r="Q61" s="346">
        <v>2219</v>
      </c>
      <c r="R61" s="346">
        <f t="shared" si="18"/>
        <v>3106.6</v>
      </c>
      <c r="S61" s="620">
        <v>2010</v>
      </c>
      <c r="T61" s="346">
        <v>204</v>
      </c>
      <c r="U61" s="346"/>
      <c r="V61" s="346">
        <v>90.5</v>
      </c>
      <c r="W61" s="346">
        <v>126</v>
      </c>
      <c r="X61" s="346">
        <v>82.5</v>
      </c>
      <c r="Y61" s="346">
        <v>1.05</v>
      </c>
      <c r="Z61" s="346">
        <v>125</v>
      </c>
      <c r="AA61" s="18"/>
      <c r="AB61" s="682">
        <f t="shared" si="9"/>
        <v>28.37077625570776</v>
      </c>
      <c r="AC61" s="682">
        <f t="shared" si="10"/>
        <v>64.720833333333331</v>
      </c>
      <c r="AD61" s="682">
        <f t="shared" si="11"/>
        <v>913.70588235294122</v>
      </c>
      <c r="AE61" s="683">
        <f t="shared" si="12"/>
        <v>1.6621004566210046E-2</v>
      </c>
      <c r="AF61" s="683" t="str">
        <f t="shared" si="13"/>
        <v/>
      </c>
      <c r="AG61" s="683">
        <f t="shared" si="14"/>
        <v>3.7916666666666668E-2</v>
      </c>
      <c r="AH61" s="683" t="str">
        <f t="shared" si="15"/>
        <v/>
      </c>
      <c r="AI61" s="683">
        <f t="shared" si="16"/>
        <v>0.53529411764705881</v>
      </c>
      <c r="AJ61" s="683" t="str">
        <f t="shared" si="17"/>
        <v/>
      </c>
    </row>
    <row r="62" spans="2:36" s="14" customFormat="1">
      <c r="B62" s="309" t="s">
        <v>408</v>
      </c>
      <c r="C62" s="310" t="s">
        <v>2003</v>
      </c>
      <c r="D62" s="309" t="s">
        <v>469</v>
      </c>
      <c r="E62" s="309" t="s">
        <v>470</v>
      </c>
      <c r="F62" s="618" t="s">
        <v>1999</v>
      </c>
      <c r="G62" s="618" t="s">
        <v>441</v>
      </c>
      <c r="H62" s="618" t="s">
        <v>433</v>
      </c>
      <c r="I62" s="346">
        <v>19.5</v>
      </c>
      <c r="J62" s="346"/>
      <c r="K62" s="346"/>
      <c r="L62" s="619">
        <v>114</v>
      </c>
      <c r="M62" s="619"/>
      <c r="N62" s="346">
        <v>0.51</v>
      </c>
      <c r="O62" s="346"/>
      <c r="P62" s="346"/>
      <c r="Q62" s="346">
        <v>1116</v>
      </c>
      <c r="R62" s="346">
        <f t="shared" si="18"/>
        <v>1562.3999999999999</v>
      </c>
      <c r="S62" s="620">
        <v>2010</v>
      </c>
      <c r="T62" s="346">
        <v>48</v>
      </c>
      <c r="U62" s="346"/>
      <c r="V62" s="346">
        <v>87.6</v>
      </c>
      <c r="W62" s="346">
        <v>72.7</v>
      </c>
      <c r="X62" s="346">
        <v>69.7</v>
      </c>
      <c r="Y62" s="346">
        <v>0.65</v>
      </c>
      <c r="Z62" s="346">
        <v>88</v>
      </c>
      <c r="AA62" s="18"/>
      <c r="AB62" s="682">
        <f t="shared" ref="AB62:AD63" si="19">IF(I62="","",$R62/I62)</f>
        <v>80.123076923076923</v>
      </c>
      <c r="AC62" s="682" t="str">
        <f t="shared" si="19"/>
        <v/>
      </c>
      <c r="AD62" s="682" t="str">
        <f t="shared" si="19"/>
        <v/>
      </c>
      <c r="AE62" s="683">
        <f>IF(OR(I62="",N62=""),"",N62/I62)</f>
        <v>2.6153846153846156E-2</v>
      </c>
      <c r="AF62" s="683" t="str">
        <f>IF(OR(I62="",P62=""),"",P62/I62)</f>
        <v/>
      </c>
      <c r="AG62" s="683" t="str">
        <f>IF(OR(J62="",N62=""),"",N62/J62)</f>
        <v/>
      </c>
      <c r="AH62" s="683" t="str">
        <f>IF(OR(J62="",P62=""),"",P62/J62)</f>
        <v/>
      </c>
      <c r="AI62" s="683" t="str">
        <f>IF(OR(K62="",N62=""),"",N62/K62)</f>
        <v/>
      </c>
      <c r="AJ62" s="683" t="str">
        <f>IF(OR(K62="",P62=""),"",P62/K62)</f>
        <v/>
      </c>
    </row>
    <row r="63" spans="2:36" s="14" customFormat="1">
      <c r="B63" s="309" t="s">
        <v>606</v>
      </c>
      <c r="C63" s="310" t="s">
        <v>2003</v>
      </c>
      <c r="D63" s="309" t="s">
        <v>607</v>
      </c>
      <c r="E63" s="309" t="s">
        <v>608</v>
      </c>
      <c r="F63" s="618" t="s">
        <v>440</v>
      </c>
      <c r="G63" s="618" t="s">
        <v>441</v>
      </c>
      <c r="H63" s="618" t="s">
        <v>433</v>
      </c>
      <c r="I63" s="346">
        <v>16</v>
      </c>
      <c r="J63" s="346">
        <f>9*0.6</f>
        <v>5.3999999999999995</v>
      </c>
      <c r="K63" s="346">
        <v>1.6</v>
      </c>
      <c r="L63" s="619">
        <v>52.54</v>
      </c>
      <c r="M63" s="619"/>
      <c r="N63" s="346">
        <v>3.46</v>
      </c>
      <c r="O63" s="346"/>
      <c r="P63" s="346"/>
      <c r="Q63" s="346">
        <v>699</v>
      </c>
      <c r="R63" s="346">
        <f t="shared" si="18"/>
        <v>978.59999999999991</v>
      </c>
      <c r="S63" s="620">
        <v>2010</v>
      </c>
      <c r="T63" s="346">
        <v>54</v>
      </c>
      <c r="U63" s="346">
        <v>10</v>
      </c>
      <c r="V63" s="346">
        <v>84</v>
      </c>
      <c r="W63" s="346">
        <v>70</v>
      </c>
      <c r="X63" s="346">
        <v>72</v>
      </c>
      <c r="Y63" s="346">
        <v>0.65</v>
      </c>
      <c r="Z63" s="346">
        <v>90</v>
      </c>
      <c r="AA63" s="18"/>
      <c r="AB63" s="682">
        <f t="shared" si="19"/>
        <v>61.162499999999994</v>
      </c>
      <c r="AC63" s="682">
        <f t="shared" si="19"/>
        <v>181.22222222222223</v>
      </c>
      <c r="AD63" s="682">
        <f t="shared" si="19"/>
        <v>611.62499999999989</v>
      </c>
      <c r="AE63" s="683">
        <f>IF(OR(I63="",N63=""),"",N63/I63)</f>
        <v>0.21625</v>
      </c>
      <c r="AF63" s="683" t="str">
        <f>IF(OR(I63="",P63=""),"",P63/I63)</f>
        <v/>
      </c>
      <c r="AG63" s="683">
        <f>IF(OR(J63="",N63=""),"",N63/J63)</f>
        <v>0.64074074074074083</v>
      </c>
      <c r="AH63" s="683" t="str">
        <f>IF(OR(J63="",P63=""),"",P63/J63)</f>
        <v/>
      </c>
      <c r="AI63" s="683">
        <f>IF(OR(K63="",N63=""),"",N63/K63)</f>
        <v>2.1624999999999996</v>
      </c>
      <c r="AJ63" s="683" t="str">
        <f>IF(OR(K63="",P63=""),"",P63/K63)</f>
        <v/>
      </c>
    </row>
    <row r="64" spans="2:36" s="14" customFormat="1">
      <c r="B64" s="309" t="s">
        <v>437</v>
      </c>
      <c r="C64" s="310" t="s">
        <v>2003</v>
      </c>
      <c r="D64" s="309" t="s">
        <v>609</v>
      </c>
      <c r="E64" s="309" t="s">
        <v>69</v>
      </c>
      <c r="F64" s="618" t="s">
        <v>440</v>
      </c>
      <c r="G64" s="618" t="s">
        <v>441</v>
      </c>
      <c r="H64" s="618" t="s">
        <v>442</v>
      </c>
      <c r="I64" s="346">
        <v>75</v>
      </c>
      <c r="J64" s="346"/>
      <c r="K64" s="346"/>
      <c r="L64" s="619">
        <v>20.100000000000001</v>
      </c>
      <c r="M64" s="619"/>
      <c r="N64" s="346">
        <v>1.89</v>
      </c>
      <c r="O64" s="346"/>
      <c r="P64" s="346"/>
      <c r="Q64" s="346">
        <v>639</v>
      </c>
      <c r="R64" s="346">
        <f t="shared" si="18"/>
        <v>894.59999999999991</v>
      </c>
      <c r="S64" s="620">
        <v>2010</v>
      </c>
      <c r="T64" s="346">
        <v>136</v>
      </c>
      <c r="U64" s="346"/>
      <c r="V64" s="346">
        <v>84</v>
      </c>
      <c r="W64" s="346">
        <v>70</v>
      </c>
      <c r="X64" s="346">
        <v>92</v>
      </c>
      <c r="Y64" s="346">
        <v>0.752</v>
      </c>
      <c r="Z64" s="346">
        <v>102</v>
      </c>
      <c r="AA64" s="18"/>
      <c r="AB64" s="682">
        <f t="shared" si="9"/>
        <v>11.927999999999999</v>
      </c>
      <c r="AC64" s="682" t="str">
        <f t="shared" si="10"/>
        <v/>
      </c>
      <c r="AD64" s="682" t="str">
        <f t="shared" si="11"/>
        <v/>
      </c>
      <c r="AE64" s="683">
        <f t="shared" si="12"/>
        <v>2.52E-2</v>
      </c>
      <c r="AF64" s="683" t="str">
        <f t="shared" si="13"/>
        <v/>
      </c>
      <c r="AG64" s="683" t="str">
        <f t="shared" si="14"/>
        <v/>
      </c>
      <c r="AH64" s="683" t="str">
        <f t="shared" si="15"/>
        <v/>
      </c>
      <c r="AI64" s="683" t="str">
        <f t="shared" si="16"/>
        <v/>
      </c>
      <c r="AJ64" s="683" t="str">
        <f t="shared" si="17"/>
        <v/>
      </c>
    </row>
    <row r="65" spans="2:36" s="14" customFormat="1">
      <c r="B65" s="309" t="s">
        <v>437</v>
      </c>
      <c r="C65" s="310" t="s">
        <v>2003</v>
      </c>
      <c r="D65" s="309" t="s">
        <v>70</v>
      </c>
      <c r="E65" s="309" t="s">
        <v>71</v>
      </c>
      <c r="F65" s="618" t="s">
        <v>440</v>
      </c>
      <c r="G65" s="618" t="s">
        <v>441</v>
      </c>
      <c r="H65" s="618" t="s">
        <v>442</v>
      </c>
      <c r="I65" s="346">
        <v>135</v>
      </c>
      <c r="J65" s="346"/>
      <c r="K65" s="346"/>
      <c r="L65" s="619">
        <v>23.23</v>
      </c>
      <c r="M65" s="619"/>
      <c r="N65" s="346">
        <v>3.08</v>
      </c>
      <c r="O65" s="346"/>
      <c r="P65" s="346"/>
      <c r="Q65" s="346">
        <v>867</v>
      </c>
      <c r="R65" s="346">
        <f t="shared" si="18"/>
        <v>1213.8</v>
      </c>
      <c r="S65" s="620">
        <v>2010</v>
      </c>
      <c r="T65" s="346">
        <v>240</v>
      </c>
      <c r="U65" s="346"/>
      <c r="V65" s="346">
        <v>84</v>
      </c>
      <c r="W65" s="346">
        <v>70</v>
      </c>
      <c r="X65" s="346">
        <v>156</v>
      </c>
      <c r="Y65" s="346">
        <v>1.264</v>
      </c>
      <c r="Z65" s="346"/>
      <c r="AA65" s="18"/>
      <c r="AB65" s="682">
        <f t="shared" ref="AB65:AD69" si="20">IF(I65="","",$R65/I65)</f>
        <v>8.9911111111111115</v>
      </c>
      <c r="AC65" s="682" t="str">
        <f t="shared" si="20"/>
        <v/>
      </c>
      <c r="AD65" s="682" t="str">
        <f t="shared" si="20"/>
        <v/>
      </c>
      <c r="AE65" s="683">
        <f>IF(OR(I65="",N65=""),"",N65/I65)</f>
        <v>2.2814814814814816E-2</v>
      </c>
      <c r="AF65" s="683" t="str">
        <f>IF(OR(I65="",P65=""),"",P65/I65)</f>
        <v/>
      </c>
      <c r="AG65" s="683" t="str">
        <f>IF(OR(J65="",N65=""),"",N65/J65)</f>
        <v/>
      </c>
      <c r="AH65" s="683" t="str">
        <f>IF(OR(J65="",P65=""),"",P65/J65)</f>
        <v/>
      </c>
      <c r="AI65" s="683" t="str">
        <f>IF(OR(K65="",N65=""),"",N65/K65)</f>
        <v/>
      </c>
      <c r="AJ65" s="683" t="str">
        <f>IF(OR(K65="",P65=""),"",P65/K65)</f>
        <v/>
      </c>
    </row>
    <row r="66" spans="2:36" s="14" customFormat="1">
      <c r="B66" s="309" t="s">
        <v>437</v>
      </c>
      <c r="C66" s="310" t="s">
        <v>72</v>
      </c>
      <c r="D66" s="309" t="s">
        <v>73</v>
      </c>
      <c r="E66" s="309" t="s">
        <v>74</v>
      </c>
      <c r="F66" s="618" t="s">
        <v>440</v>
      </c>
      <c r="G66" s="618" t="s">
        <v>441</v>
      </c>
      <c r="H66" s="618" t="s">
        <v>442</v>
      </c>
      <c r="I66" s="346">
        <v>103</v>
      </c>
      <c r="J66" s="346"/>
      <c r="K66" s="346"/>
      <c r="L66" s="619">
        <v>97.7</v>
      </c>
      <c r="M66" s="619"/>
      <c r="N66" s="346">
        <v>8</v>
      </c>
      <c r="O66" s="346"/>
      <c r="P66" s="346"/>
      <c r="Q66" s="346">
        <v>1993</v>
      </c>
      <c r="R66" s="346">
        <v>1993</v>
      </c>
      <c r="S66" s="620">
        <v>2010</v>
      </c>
      <c r="T66" s="346">
        <v>125</v>
      </c>
      <c r="U66" s="346"/>
      <c r="V66" s="346">
        <v>200</v>
      </c>
      <c r="W66" s="346">
        <v>89</v>
      </c>
      <c r="X66" s="346">
        <v>76</v>
      </c>
      <c r="Y66" s="346">
        <v>1.5</v>
      </c>
      <c r="Z66" s="346">
        <v>175</v>
      </c>
      <c r="AA66" s="18"/>
      <c r="AB66" s="682">
        <f t="shared" si="20"/>
        <v>19.349514563106798</v>
      </c>
      <c r="AC66" s="682" t="str">
        <f t="shared" si="20"/>
        <v/>
      </c>
      <c r="AD66" s="682" t="str">
        <f t="shared" si="20"/>
        <v/>
      </c>
      <c r="AE66" s="683">
        <f>IF(OR(I66="",N66=""),"",N66/I66)</f>
        <v>7.7669902912621352E-2</v>
      </c>
      <c r="AF66" s="683" t="str">
        <f>IF(OR(I66="",P66=""),"",P66/I66)</f>
        <v/>
      </c>
      <c r="AG66" s="683" t="str">
        <f>IF(OR(J66="",N66=""),"",N66/J66)</f>
        <v/>
      </c>
      <c r="AH66" s="683" t="str">
        <f>IF(OR(J66="",P66=""),"",P66/J66)</f>
        <v/>
      </c>
      <c r="AI66" s="683" t="str">
        <f>IF(OR(K66="",N66=""),"",N66/K66)</f>
        <v/>
      </c>
      <c r="AJ66" s="683" t="str">
        <f>IF(OR(K66="",P66=""),"",P66/K66)</f>
        <v/>
      </c>
    </row>
    <row r="67" spans="2:36" s="14" customFormat="1">
      <c r="B67" s="309" t="s">
        <v>75</v>
      </c>
      <c r="C67" s="310" t="s">
        <v>583</v>
      </c>
      <c r="D67" s="309" t="s">
        <v>76</v>
      </c>
      <c r="E67" s="309" t="s">
        <v>77</v>
      </c>
      <c r="F67" s="618" t="s">
        <v>440</v>
      </c>
      <c r="G67" s="618" t="s">
        <v>441</v>
      </c>
      <c r="H67" s="618" t="s">
        <v>442</v>
      </c>
      <c r="I67" s="346">
        <v>60</v>
      </c>
      <c r="J67" s="346">
        <f>20*0.6</f>
        <v>12</v>
      </c>
      <c r="K67" s="346">
        <v>2.4</v>
      </c>
      <c r="L67" s="619">
        <v>39.4</v>
      </c>
      <c r="M67" s="619"/>
      <c r="N67" s="346">
        <v>1.87</v>
      </c>
      <c r="O67" s="346"/>
      <c r="P67" s="346"/>
      <c r="Q67" s="346">
        <v>2109</v>
      </c>
      <c r="R67" s="346">
        <f>Q67*1.4</f>
        <v>2952.6</v>
      </c>
      <c r="S67" s="620">
        <v>2010</v>
      </c>
      <c r="T67" s="346">
        <v>99</v>
      </c>
      <c r="U67" s="346">
        <v>43</v>
      </c>
      <c r="V67" s="346">
        <v>90</v>
      </c>
      <c r="W67" s="346">
        <v>127</v>
      </c>
      <c r="X67" s="346">
        <v>78</v>
      </c>
      <c r="Y67" s="346">
        <v>1.05</v>
      </c>
      <c r="Z67" s="346">
        <v>125</v>
      </c>
      <c r="AA67" s="18"/>
      <c r="AB67" s="682">
        <f t="shared" si="20"/>
        <v>49.21</v>
      </c>
      <c r="AC67" s="682">
        <f t="shared" si="20"/>
        <v>246.04999999999998</v>
      </c>
      <c r="AD67" s="682">
        <f t="shared" si="20"/>
        <v>1230.25</v>
      </c>
      <c r="AE67" s="683">
        <f>IF(OR(I67="",N67=""),"",N67/I67)</f>
        <v>3.1166666666666669E-2</v>
      </c>
      <c r="AF67" s="683" t="str">
        <f>IF(OR(I67="",P67=""),"",P67/I67)</f>
        <v/>
      </c>
      <c r="AG67" s="683">
        <f>IF(OR(J67="",N67=""),"",N67/J67)</f>
        <v>0.15583333333333335</v>
      </c>
      <c r="AH67" s="683" t="str">
        <f>IF(OR(J67="",P67=""),"",P67/J67)</f>
        <v/>
      </c>
      <c r="AI67" s="683">
        <f>IF(OR(K67="",N67=""),"",N67/K67)</f>
        <v>0.77916666666666679</v>
      </c>
      <c r="AJ67" s="683" t="str">
        <f>IF(OR(K67="",P67=""),"",P67/K67)</f>
        <v/>
      </c>
    </row>
    <row r="68" spans="2:36" s="14" customFormat="1">
      <c r="B68" s="309" t="s">
        <v>437</v>
      </c>
      <c r="C68" s="310" t="s">
        <v>363</v>
      </c>
      <c r="D68" s="309" t="s">
        <v>1677</v>
      </c>
      <c r="E68" s="309" t="s">
        <v>1678</v>
      </c>
      <c r="F68" s="618" t="s">
        <v>440</v>
      </c>
      <c r="G68" s="618" t="s">
        <v>441</v>
      </c>
      <c r="H68" s="618" t="s">
        <v>442</v>
      </c>
      <c r="I68" s="346">
        <v>200</v>
      </c>
      <c r="J68" s="346"/>
      <c r="K68" s="346"/>
      <c r="L68" s="619">
        <v>34.47</v>
      </c>
      <c r="M68" s="619"/>
      <c r="N68" s="346">
        <v>2.73</v>
      </c>
      <c r="O68" s="346"/>
      <c r="P68" s="346"/>
      <c r="Q68" s="346">
        <v>1196</v>
      </c>
      <c r="R68" s="346">
        <f>Q68</f>
        <v>1196</v>
      </c>
      <c r="S68" s="620">
        <v>2011</v>
      </c>
      <c r="T68" s="346">
        <v>340</v>
      </c>
      <c r="U68" s="346"/>
      <c r="V68" s="346">
        <v>164.4</v>
      </c>
      <c r="W68" s="346">
        <v>65</v>
      </c>
      <c r="X68" s="346">
        <v>84.6</v>
      </c>
      <c r="Y68" s="346">
        <v>1.42</v>
      </c>
      <c r="Z68" s="346">
        <v>165</v>
      </c>
      <c r="AA68" s="18"/>
      <c r="AB68" s="682">
        <f t="shared" si="20"/>
        <v>5.98</v>
      </c>
      <c r="AC68" s="682" t="str">
        <f t="shared" si="20"/>
        <v/>
      </c>
      <c r="AD68" s="682" t="str">
        <f t="shared" si="20"/>
        <v/>
      </c>
      <c r="AE68" s="683">
        <f>IF(OR(I68="",N68=""),"",N68/I68)</f>
        <v>1.3650000000000001E-2</v>
      </c>
      <c r="AF68" s="683" t="str">
        <f>IF(OR(I68="",P68=""),"",P68/I68)</f>
        <v/>
      </c>
      <c r="AG68" s="683" t="str">
        <f>IF(OR(J68="",N68=""),"",N68/J68)</f>
        <v/>
      </c>
      <c r="AH68" s="683" t="str">
        <f>IF(OR(J68="",P68=""),"",P68/J68)</f>
        <v/>
      </c>
      <c r="AI68" s="683" t="str">
        <f>IF(OR(K68="",N68=""),"",N68/K68)</f>
        <v/>
      </c>
      <c r="AJ68" s="683" t="str">
        <f>IF(OR(K68="",P68=""),"",P68/K68)</f>
        <v/>
      </c>
    </row>
    <row r="69" spans="2:36" s="14" customFormat="1">
      <c r="B69" s="309" t="s">
        <v>1679</v>
      </c>
      <c r="C69" s="310" t="s">
        <v>72</v>
      </c>
      <c r="D69" s="309" t="s">
        <v>1680</v>
      </c>
      <c r="E69" s="309" t="s">
        <v>1681</v>
      </c>
      <c r="F69" s="618" t="s">
        <v>1999</v>
      </c>
      <c r="G69" s="618" t="s">
        <v>441</v>
      </c>
      <c r="H69" s="618" t="s">
        <v>442</v>
      </c>
      <c r="I69" s="346">
        <v>37.5</v>
      </c>
      <c r="J69" s="346"/>
      <c r="K69" s="346">
        <v>2.4</v>
      </c>
      <c r="L69" s="619">
        <v>4.4000000000000004</v>
      </c>
      <c r="M69" s="619"/>
      <c r="N69" s="346">
        <v>0.32</v>
      </c>
      <c r="O69" s="346"/>
      <c r="P69" s="346"/>
      <c r="Q69" s="346">
        <v>1300</v>
      </c>
      <c r="R69" s="346">
        <f>Q69*1.4</f>
        <v>1819.9999999999998</v>
      </c>
      <c r="S69" s="620">
        <v>2011</v>
      </c>
      <c r="T69" s="346">
        <v>61</v>
      </c>
      <c r="U69" s="346">
        <v>24</v>
      </c>
      <c r="V69" s="346">
        <v>116</v>
      </c>
      <c r="W69" s="346">
        <v>60</v>
      </c>
      <c r="X69" s="346">
        <v>84</v>
      </c>
      <c r="Y69" s="346">
        <v>0.66</v>
      </c>
      <c r="Z69" s="346">
        <v>90</v>
      </c>
      <c r="AA69" s="18"/>
      <c r="AB69" s="682">
        <f t="shared" si="20"/>
        <v>48.533333333333324</v>
      </c>
      <c r="AC69" s="682" t="str">
        <f t="shared" si="20"/>
        <v/>
      </c>
      <c r="AD69" s="682">
        <f t="shared" si="20"/>
        <v>758.33333333333326</v>
      </c>
      <c r="AE69" s="683">
        <f>IF(OR(I69="",N69=""),"",N69/I69)</f>
        <v>8.5333333333333337E-3</v>
      </c>
      <c r="AF69" s="683" t="str">
        <f>IF(OR(I69="",P69=""),"",P69/I69)</f>
        <v/>
      </c>
      <c r="AG69" s="683" t="str">
        <f>IF(OR(J69="",N69=""),"",N69/J69)</f>
        <v/>
      </c>
      <c r="AH69" s="683" t="str">
        <f>IF(OR(J69="",P69=""),"",P69/J69)</f>
        <v/>
      </c>
      <c r="AI69" s="683">
        <f>IF(OR(K69="",N69=""),"",N69/K69)</f>
        <v>0.13333333333333333</v>
      </c>
      <c r="AJ69" s="683" t="str">
        <f>IF(OR(K69="",P69=""),"",P69/K69)</f>
        <v/>
      </c>
    </row>
    <row r="70" spans="2:36" s="14" customFormat="1">
      <c r="B70" s="309" t="s">
        <v>752</v>
      </c>
      <c r="C70" s="310" t="s">
        <v>583</v>
      </c>
      <c r="D70" s="309" t="s">
        <v>753</v>
      </c>
      <c r="E70" s="309" t="s">
        <v>754</v>
      </c>
      <c r="F70" s="618" t="s">
        <v>440</v>
      </c>
      <c r="G70" s="618" t="s">
        <v>441</v>
      </c>
      <c r="H70" s="618" t="s">
        <v>442</v>
      </c>
      <c r="I70" s="346">
        <v>150</v>
      </c>
      <c r="J70" s="346"/>
      <c r="K70" s="346"/>
      <c r="L70" s="619">
        <v>53.1</v>
      </c>
      <c r="M70" s="619"/>
      <c r="N70" s="346">
        <v>1.64</v>
      </c>
      <c r="O70" s="346"/>
      <c r="P70" s="346"/>
      <c r="Q70" s="346">
        <v>2201</v>
      </c>
      <c r="R70" s="346">
        <f>Q70*1.4</f>
        <v>3081.3999999999996</v>
      </c>
      <c r="S70" s="620">
        <v>2011</v>
      </c>
      <c r="T70" s="346">
        <v>204</v>
      </c>
      <c r="U70" s="346"/>
      <c r="V70" s="346">
        <v>91</v>
      </c>
      <c r="W70" s="346">
        <v>127</v>
      </c>
      <c r="X70" s="346">
        <v>78</v>
      </c>
      <c r="Y70" s="346">
        <v>1.071</v>
      </c>
      <c r="Z70" s="346">
        <v>125</v>
      </c>
      <c r="AA70" s="18"/>
      <c r="AB70" s="682">
        <f t="shared" si="9"/>
        <v>20.542666666666666</v>
      </c>
      <c r="AC70" s="682" t="str">
        <f t="shared" si="10"/>
        <v/>
      </c>
      <c r="AD70" s="682" t="str">
        <f t="shared" si="11"/>
        <v/>
      </c>
      <c r="AE70" s="683">
        <f t="shared" si="12"/>
        <v>1.0933333333333333E-2</v>
      </c>
      <c r="AF70" s="683" t="str">
        <f t="shared" si="13"/>
        <v/>
      </c>
      <c r="AG70" s="683" t="str">
        <f t="shared" si="14"/>
        <v/>
      </c>
      <c r="AH70" s="683" t="str">
        <f t="shared" si="15"/>
        <v/>
      </c>
      <c r="AI70" s="683" t="str">
        <f t="shared" si="16"/>
        <v/>
      </c>
      <c r="AJ70" s="683" t="str">
        <f t="shared" si="17"/>
        <v/>
      </c>
    </row>
    <row r="71" spans="2:36" s="14" customFormat="1">
      <c r="B71" s="309" t="s">
        <v>755</v>
      </c>
      <c r="C71" s="310" t="s">
        <v>363</v>
      </c>
      <c r="D71" s="309" t="s">
        <v>756</v>
      </c>
      <c r="E71" s="309" t="s">
        <v>757</v>
      </c>
      <c r="F71" s="618" t="s">
        <v>1999</v>
      </c>
      <c r="G71" s="618" t="s">
        <v>441</v>
      </c>
      <c r="H71" s="618" t="s">
        <v>442</v>
      </c>
      <c r="I71" s="346">
        <v>21</v>
      </c>
      <c r="J71" s="346"/>
      <c r="K71" s="346"/>
      <c r="L71" s="619">
        <v>25.02</v>
      </c>
      <c r="M71" s="619"/>
      <c r="N71" s="346">
        <v>1.82</v>
      </c>
      <c r="O71" s="346"/>
      <c r="P71" s="346"/>
      <c r="Q71" s="346">
        <v>1436</v>
      </c>
      <c r="R71" s="346">
        <v>1436</v>
      </c>
      <c r="S71" s="620">
        <v>2011</v>
      </c>
      <c r="T71" s="346">
        <v>50</v>
      </c>
      <c r="U71" s="346"/>
      <c r="V71" s="346">
        <v>67</v>
      </c>
      <c r="W71" s="346">
        <v>63</v>
      </c>
      <c r="X71" s="346">
        <v>84.7</v>
      </c>
      <c r="Y71" s="346">
        <v>0.49</v>
      </c>
      <c r="Z71" s="346">
        <v>71</v>
      </c>
      <c r="AA71" s="18"/>
      <c r="AB71" s="682">
        <f t="shared" si="9"/>
        <v>68.38095238095238</v>
      </c>
      <c r="AC71" s="682" t="str">
        <f t="shared" si="10"/>
        <v/>
      </c>
      <c r="AD71" s="682" t="str">
        <f t="shared" si="11"/>
        <v/>
      </c>
      <c r="AE71" s="683">
        <f t="shared" si="12"/>
        <v>8.666666666666667E-2</v>
      </c>
      <c r="AF71" s="683" t="str">
        <f t="shared" si="13"/>
        <v/>
      </c>
      <c r="AG71" s="683" t="str">
        <f t="shared" si="14"/>
        <v/>
      </c>
      <c r="AH71" s="683" t="str">
        <f t="shared" si="15"/>
        <v/>
      </c>
      <c r="AI71" s="683" t="str">
        <f t="shared" si="16"/>
        <v/>
      </c>
      <c r="AJ71" s="683" t="str">
        <f t="shared" si="17"/>
        <v/>
      </c>
    </row>
    <row r="72" spans="2:36" s="14" customFormat="1">
      <c r="B72" s="309" t="s">
        <v>1235</v>
      </c>
      <c r="C72" s="310" t="s">
        <v>72</v>
      </c>
      <c r="D72" s="309" t="s">
        <v>1237</v>
      </c>
      <c r="E72" s="309" t="s">
        <v>1236</v>
      </c>
      <c r="F72" s="618" t="s">
        <v>1999</v>
      </c>
      <c r="G72" s="618" t="s">
        <v>1238</v>
      </c>
      <c r="H72" s="618" t="s">
        <v>442</v>
      </c>
      <c r="I72" s="346">
        <v>93</v>
      </c>
      <c r="J72" s="346"/>
      <c r="K72" s="346"/>
      <c r="L72" s="619">
        <v>170</v>
      </c>
      <c r="M72" s="619"/>
      <c r="N72" s="346">
        <f>3.5*0.37</f>
        <v>1.2949999999999999</v>
      </c>
      <c r="O72" s="346"/>
      <c r="P72" s="346"/>
      <c r="Q72" s="346">
        <v>3995</v>
      </c>
      <c r="R72" s="346">
        <v>3995</v>
      </c>
      <c r="S72" s="620">
        <v>2011</v>
      </c>
      <c r="T72" s="346">
        <v>124</v>
      </c>
      <c r="U72" s="346"/>
      <c r="V72" s="346">
        <v>187</v>
      </c>
      <c r="W72" s="346">
        <v>89</v>
      </c>
      <c r="X72" s="346">
        <v>76</v>
      </c>
      <c r="Y72" s="346">
        <v>1.5</v>
      </c>
      <c r="Z72" s="346">
        <v>150</v>
      </c>
      <c r="AA72" s="18"/>
      <c r="AB72" s="682">
        <f t="shared" si="9"/>
        <v>42.956989247311824</v>
      </c>
      <c r="AC72" s="682" t="str">
        <f t="shared" si="10"/>
        <v/>
      </c>
      <c r="AD72" s="682" t="str">
        <f t="shared" si="11"/>
        <v/>
      </c>
      <c r="AE72" s="683">
        <f>IF(OR(I72="",N72=""),"",N72/I72)</f>
        <v>1.3924731182795698E-2</v>
      </c>
      <c r="AF72" s="683" t="str">
        <f>IF(OR(I72="",P72=""),"",P72/I72)</f>
        <v/>
      </c>
      <c r="AG72" s="683" t="str">
        <f>IF(OR(J72="",N72=""),"",N72/J72)</f>
        <v/>
      </c>
      <c r="AH72" s="683" t="str">
        <f>IF(OR(J72="",P72=""),"",P72/J72)</f>
        <v/>
      </c>
      <c r="AI72" s="683" t="str">
        <f>IF(OR(K72="",N72=""),"",N72/K72)</f>
        <v/>
      </c>
      <c r="AJ72" s="683" t="str">
        <f>IF(OR(K72="",P72=""),"",P72/K72)</f>
        <v/>
      </c>
    </row>
    <row r="73" spans="2:36" s="14" customFormat="1">
      <c r="B73" s="309" t="s">
        <v>1235</v>
      </c>
      <c r="C73" s="310" t="s">
        <v>1239</v>
      </c>
      <c r="D73" s="309" t="s">
        <v>1240</v>
      </c>
      <c r="E73" s="309" t="s">
        <v>1241</v>
      </c>
      <c r="F73" s="618" t="s">
        <v>1999</v>
      </c>
      <c r="G73" s="618" t="s">
        <v>441</v>
      </c>
      <c r="H73" s="618" t="s">
        <v>442</v>
      </c>
      <c r="I73" s="346">
        <v>54.5</v>
      </c>
      <c r="J73" s="346"/>
      <c r="K73" s="346"/>
      <c r="L73" s="619">
        <v>65.2</v>
      </c>
      <c r="M73" s="619"/>
      <c r="N73" s="346">
        <v>0.49</v>
      </c>
      <c r="O73" s="346"/>
      <c r="P73" s="346"/>
      <c r="Q73" s="346">
        <v>2300</v>
      </c>
      <c r="R73" s="346">
        <v>2300</v>
      </c>
      <c r="S73" s="620">
        <v>2011</v>
      </c>
      <c r="T73" s="346">
        <v>60.1</v>
      </c>
      <c r="U73" s="346"/>
      <c r="V73" s="346">
        <v>88</v>
      </c>
      <c r="W73" s="346">
        <v>96.5</v>
      </c>
      <c r="X73" s="346">
        <v>71</v>
      </c>
      <c r="Y73" s="346">
        <v>0.68</v>
      </c>
      <c r="Z73" s="346">
        <v>99</v>
      </c>
      <c r="AA73" s="18"/>
      <c r="AB73" s="682">
        <f>IF(I73="","",$R73/I73)</f>
        <v>42.201834862385319</v>
      </c>
      <c r="AC73" s="682" t="str">
        <f>IF(J73="","",$R73/J73)</f>
        <v/>
      </c>
      <c r="AD73" s="682" t="str">
        <f>IF(K73="","",$R73/K73)</f>
        <v/>
      </c>
      <c r="AE73" s="683">
        <f>IF(OR(I73="",N73=""),"",N73/I73)</f>
        <v>8.9908256880733943E-3</v>
      </c>
      <c r="AF73" s="683" t="str">
        <f>IF(OR(I73="",P73=""),"",P73/I73)</f>
        <v/>
      </c>
      <c r="AG73" s="683" t="str">
        <f>IF(OR(J73="",N73=""),"",N73/J73)</f>
        <v/>
      </c>
      <c r="AH73" s="683" t="str">
        <f>IF(OR(J73="",P73=""),"",P73/J73)</f>
        <v/>
      </c>
      <c r="AI73" s="683" t="str">
        <f>IF(OR(K73="",N73=""),"",N73/K73)</f>
        <v/>
      </c>
      <c r="AJ73" s="683" t="str">
        <f>IF(OR(K73="",P73=""),"",P73/K73)</f>
        <v/>
      </c>
    </row>
    <row r="74" spans="2:36" s="14" customFormat="1">
      <c r="B74" s="309"/>
      <c r="C74" s="310"/>
      <c r="D74" s="309"/>
      <c r="E74" s="309"/>
      <c r="F74" s="618"/>
      <c r="G74" s="618"/>
      <c r="H74" s="618"/>
      <c r="I74" s="346"/>
      <c r="J74" s="346"/>
      <c r="K74" s="346"/>
      <c r="L74" s="619"/>
      <c r="M74" s="619"/>
      <c r="N74" s="346"/>
      <c r="O74" s="346"/>
      <c r="P74" s="346"/>
      <c r="Q74" s="346"/>
      <c r="R74" s="346"/>
      <c r="S74" s="620"/>
      <c r="T74" s="346"/>
      <c r="U74" s="346"/>
      <c r="V74" s="346"/>
      <c r="W74" s="346"/>
      <c r="X74" s="346"/>
      <c r="Y74" s="346"/>
      <c r="Z74" s="346"/>
      <c r="AA74" s="18"/>
      <c r="AB74" s="682" t="str">
        <f t="shared" si="9"/>
        <v/>
      </c>
      <c r="AC74" s="682" t="str">
        <f t="shared" si="10"/>
        <v/>
      </c>
      <c r="AD74" s="682" t="str">
        <f t="shared" si="11"/>
        <v/>
      </c>
      <c r="AE74" s="683" t="str">
        <f t="shared" si="12"/>
        <v/>
      </c>
      <c r="AF74" s="683" t="str">
        <f t="shared" si="13"/>
        <v/>
      </c>
      <c r="AG74" s="683" t="str">
        <f t="shared" si="14"/>
        <v/>
      </c>
      <c r="AH74" s="683" t="str">
        <f t="shared" si="15"/>
        <v/>
      </c>
      <c r="AI74" s="683" t="str">
        <f t="shared" si="16"/>
        <v/>
      </c>
      <c r="AJ74" s="683" t="str">
        <f t="shared" si="17"/>
        <v/>
      </c>
    </row>
    <row r="75" spans="2:36" s="14" customFormat="1">
      <c r="B75" s="309"/>
      <c r="C75" s="310"/>
      <c r="D75" s="309"/>
      <c r="E75" s="309"/>
      <c r="F75" s="618"/>
      <c r="G75" s="618"/>
      <c r="H75" s="618"/>
      <c r="I75" s="346"/>
      <c r="J75" s="346"/>
      <c r="K75" s="346"/>
      <c r="L75" s="619"/>
      <c r="M75" s="619"/>
      <c r="N75" s="346"/>
      <c r="O75" s="346"/>
      <c r="P75" s="346"/>
      <c r="Q75" s="346"/>
      <c r="R75" s="346"/>
      <c r="S75" s="620"/>
      <c r="T75" s="346"/>
      <c r="U75" s="346"/>
      <c r="V75" s="346"/>
      <c r="W75" s="346"/>
      <c r="X75" s="346"/>
      <c r="Y75" s="346"/>
      <c r="Z75" s="346"/>
      <c r="AA75" s="18"/>
      <c r="AB75" s="682" t="str">
        <f t="shared" si="9"/>
        <v/>
      </c>
      <c r="AC75" s="682" t="str">
        <f t="shared" si="10"/>
        <v/>
      </c>
      <c r="AD75" s="682" t="str">
        <f t="shared" si="11"/>
        <v/>
      </c>
      <c r="AE75" s="683" t="str">
        <f t="shared" si="12"/>
        <v/>
      </c>
      <c r="AF75" s="683" t="str">
        <f t="shared" si="13"/>
        <v/>
      </c>
      <c r="AG75" s="683" t="str">
        <f t="shared" si="14"/>
        <v/>
      </c>
      <c r="AH75" s="683" t="str">
        <f t="shared" si="15"/>
        <v/>
      </c>
      <c r="AI75" s="683" t="str">
        <f t="shared" si="16"/>
        <v/>
      </c>
      <c r="AJ75" s="683" t="str">
        <f t="shared" si="17"/>
        <v/>
      </c>
    </row>
    <row r="76" spans="2:36" s="14" customFormat="1">
      <c r="B76" s="309"/>
      <c r="C76" s="310"/>
      <c r="D76" s="309"/>
      <c r="E76" s="309"/>
      <c r="F76" s="618"/>
      <c r="G76" s="618"/>
      <c r="H76" s="618"/>
      <c r="I76" s="346"/>
      <c r="J76" s="346"/>
      <c r="K76" s="346"/>
      <c r="L76" s="619"/>
      <c r="M76" s="619"/>
      <c r="N76" s="346"/>
      <c r="O76" s="346"/>
      <c r="P76" s="346"/>
      <c r="Q76" s="346"/>
      <c r="R76" s="346"/>
      <c r="S76" s="620"/>
      <c r="T76" s="346"/>
      <c r="U76" s="346"/>
      <c r="V76" s="346"/>
      <c r="W76" s="346"/>
      <c r="X76" s="346"/>
      <c r="Y76" s="346"/>
      <c r="Z76" s="346"/>
      <c r="AA76" s="18"/>
      <c r="AB76" s="682" t="str">
        <f t="shared" si="9"/>
        <v/>
      </c>
      <c r="AC76" s="682" t="str">
        <f t="shared" si="10"/>
        <v/>
      </c>
      <c r="AD76" s="682" t="str">
        <f t="shared" si="11"/>
        <v/>
      </c>
      <c r="AE76" s="683" t="str">
        <f t="shared" si="12"/>
        <v/>
      </c>
      <c r="AF76" s="683" t="str">
        <f t="shared" si="13"/>
        <v/>
      </c>
      <c r="AG76" s="683" t="str">
        <f t="shared" si="14"/>
        <v/>
      </c>
      <c r="AH76" s="683" t="str">
        <f t="shared" si="15"/>
        <v/>
      </c>
      <c r="AI76" s="683" t="str">
        <f t="shared" si="16"/>
        <v/>
      </c>
      <c r="AJ76" s="683" t="str">
        <f t="shared" si="17"/>
        <v/>
      </c>
    </row>
    <row r="77" spans="2:36" s="14" customFormat="1">
      <c r="B77" s="309"/>
      <c r="C77" s="310"/>
      <c r="D77" s="309"/>
      <c r="E77" s="309"/>
      <c r="F77" s="618"/>
      <c r="G77" s="618"/>
      <c r="H77" s="618"/>
      <c r="I77" s="346"/>
      <c r="J77" s="346"/>
      <c r="K77" s="346"/>
      <c r="L77" s="619"/>
      <c r="M77" s="619"/>
      <c r="N77" s="346"/>
      <c r="O77" s="346"/>
      <c r="P77" s="346"/>
      <c r="Q77" s="346"/>
      <c r="R77" s="346"/>
      <c r="S77" s="620"/>
      <c r="T77" s="346"/>
      <c r="U77" s="346"/>
      <c r="V77" s="346"/>
      <c r="W77" s="346"/>
      <c r="X77" s="346"/>
      <c r="Y77" s="346"/>
      <c r="Z77" s="346"/>
      <c r="AA77" s="18"/>
      <c r="AB77" s="682" t="str">
        <f t="shared" ref="AB77:AB97" si="21">IF(I77="","",$R77/I77)</f>
        <v/>
      </c>
      <c r="AC77" s="682" t="str">
        <f t="shared" ref="AC77:AC97" si="22">IF(J77="","",$R77/J77)</f>
        <v/>
      </c>
      <c r="AD77" s="682" t="str">
        <f t="shared" ref="AD77:AD97" si="23">IF(K77="","",$R77/K77)</f>
        <v/>
      </c>
      <c r="AE77" s="683" t="str">
        <f t="shared" ref="AE77:AE97" si="24">IF(OR(I77="",N77=""),"",N77/I77)</f>
        <v/>
      </c>
      <c r="AF77" s="683" t="str">
        <f t="shared" ref="AF77:AF97" si="25">IF(OR(I77="",P77=""),"",P77/I77)</f>
        <v/>
      </c>
      <c r="AG77" s="683" t="str">
        <f t="shared" ref="AG77:AG97" si="26">IF(OR(J77="",N77=""),"",N77/J77)</f>
        <v/>
      </c>
      <c r="AH77" s="683" t="str">
        <f t="shared" ref="AH77:AH97" si="27">IF(OR(J77="",P77=""),"",P77/J77)</f>
        <v/>
      </c>
      <c r="AI77" s="683" t="str">
        <f t="shared" ref="AI77:AI97" si="28">IF(OR(K77="",N77=""),"",N77/K77)</f>
        <v/>
      </c>
      <c r="AJ77" s="683" t="str">
        <f t="shared" ref="AJ77:AJ97" si="29">IF(OR(K77="",P77=""),"",P77/K77)</f>
        <v/>
      </c>
    </row>
    <row r="78" spans="2:36" s="14" customFormat="1">
      <c r="B78" s="309"/>
      <c r="C78" s="310"/>
      <c r="D78" s="309"/>
      <c r="E78" s="309"/>
      <c r="F78" s="618"/>
      <c r="G78" s="618"/>
      <c r="H78" s="618"/>
      <c r="I78" s="346"/>
      <c r="J78" s="346"/>
      <c r="K78" s="346"/>
      <c r="L78" s="619"/>
      <c r="M78" s="619"/>
      <c r="N78" s="346"/>
      <c r="O78" s="346"/>
      <c r="P78" s="346"/>
      <c r="Q78" s="346"/>
      <c r="R78" s="346"/>
      <c r="S78" s="620"/>
      <c r="T78" s="346"/>
      <c r="U78" s="346"/>
      <c r="V78" s="346"/>
      <c r="W78" s="346"/>
      <c r="X78" s="346"/>
      <c r="Y78" s="346"/>
      <c r="Z78" s="346"/>
      <c r="AA78" s="18"/>
      <c r="AB78" s="682" t="str">
        <f t="shared" si="21"/>
        <v/>
      </c>
      <c r="AC78" s="682" t="str">
        <f t="shared" si="22"/>
        <v/>
      </c>
      <c r="AD78" s="682" t="str">
        <f t="shared" si="23"/>
        <v/>
      </c>
      <c r="AE78" s="683" t="str">
        <f t="shared" si="24"/>
        <v/>
      </c>
      <c r="AF78" s="683" t="str">
        <f t="shared" si="25"/>
        <v/>
      </c>
      <c r="AG78" s="683" t="str">
        <f t="shared" si="26"/>
        <v/>
      </c>
      <c r="AH78" s="683" t="str">
        <f t="shared" si="27"/>
        <v/>
      </c>
      <c r="AI78" s="683" t="str">
        <f t="shared" si="28"/>
        <v/>
      </c>
      <c r="AJ78" s="683" t="str">
        <f t="shared" si="29"/>
        <v/>
      </c>
    </row>
    <row r="79" spans="2:36" s="14" customFormat="1">
      <c r="B79" s="309"/>
      <c r="C79" s="310"/>
      <c r="D79" s="309"/>
      <c r="E79" s="309"/>
      <c r="F79" s="618"/>
      <c r="G79" s="618"/>
      <c r="H79" s="618"/>
      <c r="I79" s="346"/>
      <c r="J79" s="346"/>
      <c r="K79" s="346"/>
      <c r="L79" s="619"/>
      <c r="M79" s="619"/>
      <c r="N79" s="346"/>
      <c r="O79" s="346"/>
      <c r="P79" s="346"/>
      <c r="Q79" s="346"/>
      <c r="R79" s="346"/>
      <c r="S79" s="620"/>
      <c r="T79" s="346"/>
      <c r="U79" s="346"/>
      <c r="V79" s="346"/>
      <c r="W79" s="346"/>
      <c r="X79" s="346"/>
      <c r="Y79" s="346"/>
      <c r="Z79" s="346"/>
      <c r="AA79" s="18"/>
      <c r="AB79" s="682" t="str">
        <f t="shared" si="21"/>
        <v/>
      </c>
      <c r="AC79" s="682" t="str">
        <f t="shared" si="22"/>
        <v/>
      </c>
      <c r="AD79" s="682" t="str">
        <f t="shared" si="23"/>
        <v/>
      </c>
      <c r="AE79" s="683" t="str">
        <f t="shared" si="24"/>
        <v/>
      </c>
      <c r="AF79" s="683" t="str">
        <f t="shared" si="25"/>
        <v/>
      </c>
      <c r="AG79" s="683" t="str">
        <f t="shared" si="26"/>
        <v/>
      </c>
      <c r="AH79" s="683" t="str">
        <f t="shared" si="27"/>
        <v/>
      </c>
      <c r="AI79" s="683" t="str">
        <f t="shared" si="28"/>
        <v/>
      </c>
      <c r="AJ79" s="683" t="str">
        <f t="shared" si="29"/>
        <v/>
      </c>
    </row>
    <row r="80" spans="2:36" s="14" customFormat="1">
      <c r="B80" s="309"/>
      <c r="C80" s="310"/>
      <c r="D80" s="309"/>
      <c r="E80" s="309"/>
      <c r="F80" s="618"/>
      <c r="G80" s="618"/>
      <c r="H80" s="618"/>
      <c r="I80" s="346"/>
      <c r="J80" s="346"/>
      <c r="K80" s="346"/>
      <c r="L80" s="619"/>
      <c r="M80" s="619"/>
      <c r="N80" s="346"/>
      <c r="O80" s="346"/>
      <c r="P80" s="346"/>
      <c r="Q80" s="346"/>
      <c r="R80" s="346"/>
      <c r="S80" s="620"/>
      <c r="T80" s="346"/>
      <c r="U80" s="346"/>
      <c r="V80" s="346"/>
      <c r="W80" s="346"/>
      <c r="X80" s="346"/>
      <c r="Y80" s="346"/>
      <c r="Z80" s="346"/>
      <c r="AA80" s="18"/>
      <c r="AB80" s="682" t="str">
        <f t="shared" si="21"/>
        <v/>
      </c>
      <c r="AC80" s="682" t="str">
        <f t="shared" si="22"/>
        <v/>
      </c>
      <c r="AD80" s="682" t="str">
        <f t="shared" si="23"/>
        <v/>
      </c>
      <c r="AE80" s="683" t="str">
        <f t="shared" si="24"/>
        <v/>
      </c>
      <c r="AF80" s="683" t="str">
        <f t="shared" si="25"/>
        <v/>
      </c>
      <c r="AG80" s="683" t="str">
        <f t="shared" si="26"/>
        <v/>
      </c>
      <c r="AH80" s="683" t="str">
        <f t="shared" si="27"/>
        <v/>
      </c>
      <c r="AI80" s="683" t="str">
        <f t="shared" si="28"/>
        <v/>
      </c>
      <c r="AJ80" s="683" t="str">
        <f t="shared" si="29"/>
        <v/>
      </c>
    </row>
    <row r="81" spans="2:36" s="14" customFormat="1">
      <c r="B81" s="309"/>
      <c r="C81" s="310"/>
      <c r="D81" s="309"/>
      <c r="E81" s="309"/>
      <c r="F81" s="618"/>
      <c r="G81" s="618"/>
      <c r="H81" s="618"/>
      <c r="I81" s="346"/>
      <c r="J81" s="346"/>
      <c r="K81" s="346"/>
      <c r="L81" s="619"/>
      <c r="M81" s="619"/>
      <c r="N81" s="346"/>
      <c r="O81" s="346"/>
      <c r="P81" s="346"/>
      <c r="Q81" s="346"/>
      <c r="R81" s="346"/>
      <c r="S81" s="620"/>
      <c r="T81" s="346"/>
      <c r="U81" s="346"/>
      <c r="V81" s="346"/>
      <c r="W81" s="346"/>
      <c r="X81" s="346"/>
      <c r="Y81" s="346"/>
      <c r="Z81" s="346"/>
      <c r="AA81" s="18"/>
      <c r="AB81" s="682" t="str">
        <f t="shared" si="21"/>
        <v/>
      </c>
      <c r="AC81" s="682" t="str">
        <f t="shared" si="22"/>
        <v/>
      </c>
      <c r="AD81" s="682" t="str">
        <f t="shared" si="23"/>
        <v/>
      </c>
      <c r="AE81" s="683" t="str">
        <f t="shared" si="24"/>
        <v/>
      </c>
      <c r="AF81" s="683" t="str">
        <f t="shared" si="25"/>
        <v/>
      </c>
      <c r="AG81" s="683" t="str">
        <f t="shared" si="26"/>
        <v/>
      </c>
      <c r="AH81" s="683" t="str">
        <f t="shared" si="27"/>
        <v/>
      </c>
      <c r="AI81" s="683" t="str">
        <f t="shared" si="28"/>
        <v/>
      </c>
      <c r="AJ81" s="683" t="str">
        <f t="shared" si="29"/>
        <v/>
      </c>
    </row>
    <row r="82" spans="2:36" s="14" customFormat="1">
      <c r="B82" s="309"/>
      <c r="C82" s="310"/>
      <c r="D82" s="309"/>
      <c r="E82" s="309"/>
      <c r="F82" s="618"/>
      <c r="G82" s="618"/>
      <c r="H82" s="618"/>
      <c r="I82" s="346"/>
      <c r="J82" s="346"/>
      <c r="K82" s="346"/>
      <c r="L82" s="619"/>
      <c r="M82" s="619"/>
      <c r="N82" s="346"/>
      <c r="O82" s="346"/>
      <c r="P82" s="346"/>
      <c r="Q82" s="346"/>
      <c r="R82" s="346"/>
      <c r="S82" s="620"/>
      <c r="T82" s="346"/>
      <c r="U82" s="346"/>
      <c r="V82" s="346"/>
      <c r="W82" s="346"/>
      <c r="X82" s="346"/>
      <c r="Y82" s="346"/>
      <c r="Z82" s="346"/>
      <c r="AA82" s="18"/>
      <c r="AB82" s="682" t="str">
        <f t="shared" si="21"/>
        <v/>
      </c>
      <c r="AC82" s="682" t="str">
        <f t="shared" si="22"/>
        <v/>
      </c>
      <c r="AD82" s="682" t="str">
        <f t="shared" si="23"/>
        <v/>
      </c>
      <c r="AE82" s="683" t="str">
        <f t="shared" si="24"/>
        <v/>
      </c>
      <c r="AF82" s="683" t="str">
        <f t="shared" si="25"/>
        <v/>
      </c>
      <c r="AG82" s="683" t="str">
        <f t="shared" si="26"/>
        <v/>
      </c>
      <c r="AH82" s="683" t="str">
        <f t="shared" si="27"/>
        <v/>
      </c>
      <c r="AI82" s="683" t="str">
        <f t="shared" si="28"/>
        <v/>
      </c>
      <c r="AJ82" s="683" t="str">
        <f t="shared" si="29"/>
        <v/>
      </c>
    </row>
    <row r="83" spans="2:36" s="14" customFormat="1">
      <c r="B83" s="309"/>
      <c r="C83" s="310"/>
      <c r="D83" s="309"/>
      <c r="E83" s="309"/>
      <c r="F83" s="618"/>
      <c r="G83" s="618"/>
      <c r="H83" s="618"/>
      <c r="I83" s="346"/>
      <c r="J83" s="346"/>
      <c r="K83" s="346"/>
      <c r="L83" s="619"/>
      <c r="M83" s="619"/>
      <c r="N83" s="346"/>
      <c r="O83" s="346"/>
      <c r="P83" s="346"/>
      <c r="Q83" s="346"/>
      <c r="R83" s="346"/>
      <c r="S83" s="620"/>
      <c r="T83" s="346"/>
      <c r="U83" s="346"/>
      <c r="V83" s="346"/>
      <c r="W83" s="346"/>
      <c r="X83" s="346"/>
      <c r="Y83" s="346"/>
      <c r="Z83" s="346"/>
      <c r="AA83" s="18"/>
      <c r="AB83" s="682" t="str">
        <f t="shared" si="21"/>
        <v/>
      </c>
      <c r="AC83" s="682" t="str">
        <f t="shared" si="22"/>
        <v/>
      </c>
      <c r="AD83" s="682" t="str">
        <f t="shared" si="23"/>
        <v/>
      </c>
      <c r="AE83" s="683" t="str">
        <f t="shared" si="24"/>
        <v/>
      </c>
      <c r="AF83" s="683" t="str">
        <f t="shared" si="25"/>
        <v/>
      </c>
      <c r="AG83" s="683" t="str">
        <f t="shared" si="26"/>
        <v/>
      </c>
      <c r="AH83" s="683" t="str">
        <f t="shared" si="27"/>
        <v/>
      </c>
      <c r="AI83" s="683" t="str">
        <f t="shared" si="28"/>
        <v/>
      </c>
      <c r="AJ83" s="683" t="str">
        <f t="shared" si="29"/>
        <v/>
      </c>
    </row>
    <row r="84" spans="2:36" s="14" customFormat="1">
      <c r="B84" s="309"/>
      <c r="C84" s="310"/>
      <c r="D84" s="309"/>
      <c r="E84" s="309"/>
      <c r="F84" s="618"/>
      <c r="G84" s="618"/>
      <c r="H84" s="618"/>
      <c r="I84" s="346"/>
      <c r="J84" s="346"/>
      <c r="K84" s="346"/>
      <c r="L84" s="619"/>
      <c r="M84" s="619"/>
      <c r="N84" s="346"/>
      <c r="O84" s="346"/>
      <c r="P84" s="346"/>
      <c r="Q84" s="346"/>
      <c r="R84" s="346"/>
      <c r="S84" s="620"/>
      <c r="T84" s="346"/>
      <c r="U84" s="346"/>
      <c r="V84" s="346"/>
      <c r="W84" s="346"/>
      <c r="X84" s="346"/>
      <c r="Y84" s="346"/>
      <c r="Z84" s="346"/>
      <c r="AA84" s="18"/>
      <c r="AB84" s="682" t="str">
        <f t="shared" si="21"/>
        <v/>
      </c>
      <c r="AC84" s="682" t="str">
        <f t="shared" si="22"/>
        <v/>
      </c>
      <c r="AD84" s="682" t="str">
        <f t="shared" si="23"/>
        <v/>
      </c>
      <c r="AE84" s="683" t="str">
        <f t="shared" si="24"/>
        <v/>
      </c>
      <c r="AF84" s="683" t="str">
        <f t="shared" si="25"/>
        <v/>
      </c>
      <c r="AG84" s="683" t="str">
        <f t="shared" si="26"/>
        <v/>
      </c>
      <c r="AH84" s="683" t="str">
        <f t="shared" si="27"/>
        <v/>
      </c>
      <c r="AI84" s="683" t="str">
        <f t="shared" si="28"/>
        <v/>
      </c>
      <c r="AJ84" s="683" t="str">
        <f t="shared" si="29"/>
        <v/>
      </c>
    </row>
    <row r="85" spans="2:36" s="14" customFormat="1">
      <c r="B85" s="309"/>
      <c r="C85" s="310"/>
      <c r="D85" s="309"/>
      <c r="E85" s="309"/>
      <c r="F85" s="618"/>
      <c r="G85" s="618"/>
      <c r="H85" s="618"/>
      <c r="I85" s="346"/>
      <c r="J85" s="346"/>
      <c r="K85" s="346"/>
      <c r="L85" s="619"/>
      <c r="M85" s="619"/>
      <c r="N85" s="346"/>
      <c r="O85" s="346"/>
      <c r="P85" s="346"/>
      <c r="Q85" s="346"/>
      <c r="R85" s="346"/>
      <c r="S85" s="620"/>
      <c r="T85" s="346"/>
      <c r="U85" s="346"/>
      <c r="V85" s="346"/>
      <c r="W85" s="346"/>
      <c r="X85" s="346"/>
      <c r="Y85" s="346"/>
      <c r="Z85" s="346"/>
      <c r="AA85" s="18"/>
      <c r="AB85" s="682" t="str">
        <f t="shared" si="21"/>
        <v/>
      </c>
      <c r="AC85" s="682" t="str">
        <f t="shared" si="22"/>
        <v/>
      </c>
      <c r="AD85" s="682" t="str">
        <f t="shared" si="23"/>
        <v/>
      </c>
      <c r="AE85" s="683" t="str">
        <f t="shared" si="24"/>
        <v/>
      </c>
      <c r="AF85" s="683" t="str">
        <f t="shared" si="25"/>
        <v/>
      </c>
      <c r="AG85" s="683" t="str">
        <f t="shared" si="26"/>
        <v/>
      </c>
      <c r="AH85" s="683" t="str">
        <f t="shared" si="27"/>
        <v/>
      </c>
      <c r="AI85" s="683" t="str">
        <f t="shared" si="28"/>
        <v/>
      </c>
      <c r="AJ85" s="683" t="str">
        <f t="shared" si="29"/>
        <v/>
      </c>
    </row>
    <row r="86" spans="2:36" s="14" customFormat="1">
      <c r="B86" s="309"/>
      <c r="C86" s="310"/>
      <c r="D86" s="309"/>
      <c r="E86" s="309"/>
      <c r="F86" s="618"/>
      <c r="G86" s="618"/>
      <c r="H86" s="618"/>
      <c r="I86" s="346"/>
      <c r="J86" s="346"/>
      <c r="K86" s="346"/>
      <c r="L86" s="619"/>
      <c r="M86" s="619"/>
      <c r="N86" s="346"/>
      <c r="O86" s="346"/>
      <c r="P86" s="346"/>
      <c r="Q86" s="346"/>
      <c r="R86" s="346"/>
      <c r="S86" s="620"/>
      <c r="T86" s="346"/>
      <c r="U86" s="346"/>
      <c r="V86" s="346"/>
      <c r="W86" s="346"/>
      <c r="X86" s="346"/>
      <c r="Y86" s="346"/>
      <c r="Z86" s="346"/>
      <c r="AA86" s="18"/>
      <c r="AB86" s="682" t="str">
        <f t="shared" si="21"/>
        <v/>
      </c>
      <c r="AC86" s="682" t="str">
        <f t="shared" si="22"/>
        <v/>
      </c>
      <c r="AD86" s="682" t="str">
        <f t="shared" si="23"/>
        <v/>
      </c>
      <c r="AE86" s="683" t="str">
        <f t="shared" si="24"/>
        <v/>
      </c>
      <c r="AF86" s="683" t="str">
        <f t="shared" si="25"/>
        <v/>
      </c>
      <c r="AG86" s="683" t="str">
        <f t="shared" si="26"/>
        <v/>
      </c>
      <c r="AH86" s="683" t="str">
        <f t="shared" si="27"/>
        <v/>
      </c>
      <c r="AI86" s="683" t="str">
        <f t="shared" si="28"/>
        <v/>
      </c>
      <c r="AJ86" s="683" t="str">
        <f t="shared" si="29"/>
        <v/>
      </c>
    </row>
    <row r="87" spans="2:36" s="14" customFormat="1">
      <c r="B87" s="309"/>
      <c r="C87" s="310"/>
      <c r="D87" s="309"/>
      <c r="E87" s="309"/>
      <c r="F87" s="618"/>
      <c r="G87" s="618"/>
      <c r="H87" s="618"/>
      <c r="I87" s="346"/>
      <c r="J87" s="346"/>
      <c r="K87" s="346"/>
      <c r="L87" s="619"/>
      <c r="M87" s="619"/>
      <c r="N87" s="346"/>
      <c r="O87" s="346"/>
      <c r="P87" s="346"/>
      <c r="Q87" s="346"/>
      <c r="R87" s="346"/>
      <c r="S87" s="620"/>
      <c r="T87" s="346"/>
      <c r="U87" s="346"/>
      <c r="V87" s="346"/>
      <c r="W87" s="346"/>
      <c r="X87" s="346"/>
      <c r="Y87" s="346"/>
      <c r="Z87" s="346"/>
      <c r="AA87" s="18"/>
      <c r="AB87" s="682" t="str">
        <f t="shared" si="21"/>
        <v/>
      </c>
      <c r="AC87" s="682" t="str">
        <f t="shared" si="22"/>
        <v/>
      </c>
      <c r="AD87" s="682" t="str">
        <f t="shared" si="23"/>
        <v/>
      </c>
      <c r="AE87" s="683" t="str">
        <f t="shared" si="24"/>
        <v/>
      </c>
      <c r="AF87" s="683" t="str">
        <f t="shared" si="25"/>
        <v/>
      </c>
      <c r="AG87" s="683" t="str">
        <f t="shared" si="26"/>
        <v/>
      </c>
      <c r="AH87" s="683" t="str">
        <f t="shared" si="27"/>
        <v/>
      </c>
      <c r="AI87" s="683" t="str">
        <f t="shared" si="28"/>
        <v/>
      </c>
      <c r="AJ87" s="683" t="str">
        <f t="shared" si="29"/>
        <v/>
      </c>
    </row>
    <row r="88" spans="2:36" s="14" customFormat="1">
      <c r="B88" s="309"/>
      <c r="C88" s="310"/>
      <c r="D88" s="309"/>
      <c r="E88" s="309"/>
      <c r="F88" s="618"/>
      <c r="G88" s="618"/>
      <c r="H88" s="618"/>
      <c r="I88" s="346"/>
      <c r="J88" s="346"/>
      <c r="K88" s="346"/>
      <c r="L88" s="619"/>
      <c r="M88" s="619"/>
      <c r="N88" s="346"/>
      <c r="O88" s="346"/>
      <c r="P88" s="346"/>
      <c r="Q88" s="346"/>
      <c r="R88" s="346"/>
      <c r="S88" s="620"/>
      <c r="T88" s="346"/>
      <c r="U88" s="346"/>
      <c r="V88" s="346"/>
      <c r="W88" s="346"/>
      <c r="X88" s="346"/>
      <c r="Y88" s="346"/>
      <c r="Z88" s="346"/>
      <c r="AA88" s="18"/>
      <c r="AB88" s="682" t="str">
        <f t="shared" si="21"/>
        <v/>
      </c>
      <c r="AC88" s="682" t="str">
        <f t="shared" si="22"/>
        <v/>
      </c>
      <c r="AD88" s="682" t="str">
        <f t="shared" si="23"/>
        <v/>
      </c>
      <c r="AE88" s="683" t="str">
        <f t="shared" si="24"/>
        <v/>
      </c>
      <c r="AF88" s="683" t="str">
        <f t="shared" si="25"/>
        <v/>
      </c>
      <c r="AG88" s="683" t="str">
        <f t="shared" si="26"/>
        <v/>
      </c>
      <c r="AH88" s="683" t="str">
        <f t="shared" si="27"/>
        <v/>
      </c>
      <c r="AI88" s="683" t="str">
        <f t="shared" si="28"/>
        <v/>
      </c>
      <c r="AJ88" s="683" t="str">
        <f t="shared" si="29"/>
        <v/>
      </c>
    </row>
    <row r="89" spans="2:36" s="14" customFormat="1">
      <c r="B89" s="309"/>
      <c r="C89" s="310"/>
      <c r="D89" s="309"/>
      <c r="E89" s="309"/>
      <c r="F89" s="618"/>
      <c r="G89" s="618"/>
      <c r="H89" s="618"/>
      <c r="I89" s="346"/>
      <c r="J89" s="346"/>
      <c r="K89" s="346"/>
      <c r="L89" s="619"/>
      <c r="M89" s="619"/>
      <c r="N89" s="346"/>
      <c r="O89" s="346"/>
      <c r="P89" s="346"/>
      <c r="Q89" s="346"/>
      <c r="R89" s="346"/>
      <c r="S89" s="620"/>
      <c r="T89" s="346"/>
      <c r="U89" s="346"/>
      <c r="V89" s="346"/>
      <c r="W89" s="346"/>
      <c r="X89" s="346"/>
      <c r="Y89" s="346"/>
      <c r="Z89" s="346"/>
      <c r="AA89" s="18"/>
      <c r="AB89" s="682" t="str">
        <f t="shared" si="21"/>
        <v/>
      </c>
      <c r="AC89" s="682" t="str">
        <f t="shared" si="22"/>
        <v/>
      </c>
      <c r="AD89" s="682" t="str">
        <f t="shared" si="23"/>
        <v/>
      </c>
      <c r="AE89" s="683" t="str">
        <f t="shared" si="24"/>
        <v/>
      </c>
      <c r="AF89" s="683" t="str">
        <f t="shared" si="25"/>
        <v/>
      </c>
      <c r="AG89" s="683" t="str">
        <f t="shared" si="26"/>
        <v/>
      </c>
      <c r="AH89" s="683" t="str">
        <f t="shared" si="27"/>
        <v/>
      </c>
      <c r="AI89" s="683" t="str">
        <f t="shared" si="28"/>
        <v/>
      </c>
      <c r="AJ89" s="683" t="str">
        <f t="shared" si="29"/>
        <v/>
      </c>
    </row>
    <row r="90" spans="2:36" s="14" customFormat="1">
      <c r="B90" s="309"/>
      <c r="C90" s="310"/>
      <c r="D90" s="309"/>
      <c r="E90" s="309"/>
      <c r="F90" s="618"/>
      <c r="G90" s="618"/>
      <c r="H90" s="618"/>
      <c r="I90" s="346"/>
      <c r="J90" s="346"/>
      <c r="K90" s="346"/>
      <c r="L90" s="619"/>
      <c r="M90" s="619"/>
      <c r="N90" s="346"/>
      <c r="O90" s="346"/>
      <c r="P90" s="346"/>
      <c r="Q90" s="346"/>
      <c r="R90" s="346"/>
      <c r="S90" s="620"/>
      <c r="T90" s="346"/>
      <c r="U90" s="346"/>
      <c r="V90" s="346"/>
      <c r="W90" s="346"/>
      <c r="X90" s="346"/>
      <c r="Y90" s="346"/>
      <c r="Z90" s="346"/>
      <c r="AA90" s="18"/>
      <c r="AB90" s="682" t="str">
        <f t="shared" si="21"/>
        <v/>
      </c>
      <c r="AC90" s="682" t="str">
        <f t="shared" si="22"/>
        <v/>
      </c>
      <c r="AD90" s="682" t="str">
        <f t="shared" si="23"/>
        <v/>
      </c>
      <c r="AE90" s="683" t="str">
        <f t="shared" si="24"/>
        <v/>
      </c>
      <c r="AF90" s="683" t="str">
        <f t="shared" si="25"/>
        <v/>
      </c>
      <c r="AG90" s="683" t="str">
        <f t="shared" si="26"/>
        <v/>
      </c>
      <c r="AH90" s="683" t="str">
        <f t="shared" si="27"/>
        <v/>
      </c>
      <c r="AI90" s="683" t="str">
        <f t="shared" si="28"/>
        <v/>
      </c>
      <c r="AJ90" s="683" t="str">
        <f t="shared" si="29"/>
        <v/>
      </c>
    </row>
    <row r="91" spans="2:36" s="14" customFormat="1">
      <c r="B91" s="309"/>
      <c r="C91" s="310"/>
      <c r="D91" s="309"/>
      <c r="E91" s="309"/>
      <c r="F91" s="618"/>
      <c r="G91" s="618"/>
      <c r="H91" s="618"/>
      <c r="I91" s="346"/>
      <c r="J91" s="346"/>
      <c r="K91" s="346"/>
      <c r="L91" s="619"/>
      <c r="M91" s="619"/>
      <c r="N91" s="346"/>
      <c r="O91" s="346"/>
      <c r="P91" s="346"/>
      <c r="Q91" s="346"/>
      <c r="R91" s="346"/>
      <c r="S91" s="620"/>
      <c r="T91" s="346"/>
      <c r="U91" s="346"/>
      <c r="V91" s="346"/>
      <c r="W91" s="346"/>
      <c r="X91" s="346"/>
      <c r="Y91" s="346"/>
      <c r="Z91" s="346"/>
      <c r="AA91" s="18"/>
      <c r="AB91" s="682" t="str">
        <f t="shared" si="21"/>
        <v/>
      </c>
      <c r="AC91" s="682" t="str">
        <f t="shared" si="22"/>
        <v/>
      </c>
      <c r="AD91" s="682" t="str">
        <f t="shared" si="23"/>
        <v/>
      </c>
      <c r="AE91" s="683" t="str">
        <f t="shared" si="24"/>
        <v/>
      </c>
      <c r="AF91" s="683" t="str">
        <f t="shared" si="25"/>
        <v/>
      </c>
      <c r="AG91" s="683" t="str">
        <f t="shared" si="26"/>
        <v/>
      </c>
      <c r="AH91" s="683" t="str">
        <f t="shared" si="27"/>
        <v/>
      </c>
      <c r="AI91" s="683" t="str">
        <f t="shared" si="28"/>
        <v/>
      </c>
      <c r="AJ91" s="683" t="str">
        <f t="shared" si="29"/>
        <v/>
      </c>
    </row>
    <row r="92" spans="2:36" s="14" customFormat="1">
      <c r="B92" s="309"/>
      <c r="C92" s="310"/>
      <c r="D92" s="309"/>
      <c r="E92" s="309"/>
      <c r="F92" s="618"/>
      <c r="G92" s="618"/>
      <c r="H92" s="618"/>
      <c r="I92" s="346"/>
      <c r="J92" s="346"/>
      <c r="K92" s="346"/>
      <c r="L92" s="619"/>
      <c r="M92" s="619"/>
      <c r="N92" s="346"/>
      <c r="O92" s="346"/>
      <c r="P92" s="346"/>
      <c r="Q92" s="346"/>
      <c r="R92" s="346"/>
      <c r="S92" s="620"/>
      <c r="T92" s="346"/>
      <c r="U92" s="346"/>
      <c r="V92" s="346"/>
      <c r="W92" s="346"/>
      <c r="X92" s="346"/>
      <c r="Y92" s="346"/>
      <c r="Z92" s="346"/>
      <c r="AA92" s="18"/>
      <c r="AB92" s="682" t="str">
        <f t="shared" si="21"/>
        <v/>
      </c>
      <c r="AC92" s="682" t="str">
        <f t="shared" si="22"/>
        <v/>
      </c>
      <c r="AD92" s="682" t="str">
        <f t="shared" si="23"/>
        <v/>
      </c>
      <c r="AE92" s="683" t="str">
        <f t="shared" si="24"/>
        <v/>
      </c>
      <c r="AF92" s="683" t="str">
        <f t="shared" si="25"/>
        <v/>
      </c>
      <c r="AG92" s="683" t="str">
        <f t="shared" si="26"/>
        <v/>
      </c>
      <c r="AH92" s="683" t="str">
        <f t="shared" si="27"/>
        <v/>
      </c>
      <c r="AI92" s="683" t="str">
        <f t="shared" si="28"/>
        <v/>
      </c>
      <c r="AJ92" s="683" t="str">
        <f t="shared" si="29"/>
        <v/>
      </c>
    </row>
    <row r="93" spans="2:36" s="14" customFormat="1">
      <c r="B93" s="309"/>
      <c r="C93" s="310"/>
      <c r="D93" s="309"/>
      <c r="E93" s="309"/>
      <c r="F93" s="618"/>
      <c r="G93" s="618"/>
      <c r="H93" s="618"/>
      <c r="I93" s="346"/>
      <c r="J93" s="346"/>
      <c r="K93" s="346"/>
      <c r="L93" s="619"/>
      <c r="M93" s="619"/>
      <c r="N93" s="346"/>
      <c r="O93" s="346"/>
      <c r="P93" s="346"/>
      <c r="Q93" s="346"/>
      <c r="R93" s="346"/>
      <c r="S93" s="620"/>
      <c r="T93" s="346"/>
      <c r="U93" s="346"/>
      <c r="V93" s="346"/>
      <c r="W93" s="346"/>
      <c r="X93" s="346"/>
      <c r="Y93" s="346"/>
      <c r="Z93" s="346"/>
      <c r="AA93" s="18"/>
      <c r="AB93" s="682" t="str">
        <f t="shared" si="21"/>
        <v/>
      </c>
      <c r="AC93" s="682" t="str">
        <f t="shared" si="22"/>
        <v/>
      </c>
      <c r="AD93" s="682" t="str">
        <f t="shared" si="23"/>
        <v/>
      </c>
      <c r="AE93" s="683" t="str">
        <f t="shared" si="24"/>
        <v/>
      </c>
      <c r="AF93" s="683" t="str">
        <f t="shared" si="25"/>
        <v/>
      </c>
      <c r="AG93" s="683" t="str">
        <f t="shared" si="26"/>
        <v/>
      </c>
      <c r="AH93" s="683" t="str">
        <f t="shared" si="27"/>
        <v/>
      </c>
      <c r="AI93" s="683" t="str">
        <f t="shared" si="28"/>
        <v/>
      </c>
      <c r="AJ93" s="683" t="str">
        <f t="shared" si="29"/>
        <v/>
      </c>
    </row>
    <row r="94" spans="2:36" s="14" customFormat="1">
      <c r="B94" s="309"/>
      <c r="C94" s="310"/>
      <c r="D94" s="309"/>
      <c r="E94" s="309"/>
      <c r="F94" s="618"/>
      <c r="G94" s="618"/>
      <c r="H94" s="618"/>
      <c r="I94" s="346"/>
      <c r="J94" s="346"/>
      <c r="K94" s="346"/>
      <c r="L94" s="619"/>
      <c r="M94" s="619"/>
      <c r="N94" s="346"/>
      <c r="O94" s="346"/>
      <c r="P94" s="346"/>
      <c r="Q94" s="346"/>
      <c r="R94" s="346"/>
      <c r="S94" s="620"/>
      <c r="T94" s="346"/>
      <c r="U94" s="346"/>
      <c r="V94" s="346"/>
      <c r="W94" s="346"/>
      <c r="X94" s="346"/>
      <c r="Y94" s="346"/>
      <c r="Z94" s="346"/>
      <c r="AA94" s="18"/>
      <c r="AB94" s="682" t="str">
        <f t="shared" si="21"/>
        <v/>
      </c>
      <c r="AC94" s="682" t="str">
        <f t="shared" si="22"/>
        <v/>
      </c>
      <c r="AD94" s="682" t="str">
        <f t="shared" si="23"/>
        <v/>
      </c>
      <c r="AE94" s="683" t="str">
        <f t="shared" si="24"/>
        <v/>
      </c>
      <c r="AF94" s="683" t="str">
        <f t="shared" si="25"/>
        <v/>
      </c>
      <c r="AG94" s="683" t="str">
        <f t="shared" si="26"/>
        <v/>
      </c>
      <c r="AH94" s="683" t="str">
        <f t="shared" si="27"/>
        <v/>
      </c>
      <c r="AI94" s="683" t="str">
        <f t="shared" si="28"/>
        <v/>
      </c>
      <c r="AJ94" s="683" t="str">
        <f t="shared" si="29"/>
        <v/>
      </c>
    </row>
    <row r="95" spans="2:36" s="14" customFormat="1">
      <c r="B95" s="309"/>
      <c r="C95" s="310"/>
      <c r="D95" s="309"/>
      <c r="E95" s="309"/>
      <c r="F95" s="618"/>
      <c r="G95" s="618"/>
      <c r="H95" s="618"/>
      <c r="I95" s="346"/>
      <c r="J95" s="346"/>
      <c r="K95" s="346"/>
      <c r="L95" s="619"/>
      <c r="M95" s="619"/>
      <c r="N95" s="346"/>
      <c r="O95" s="346"/>
      <c r="P95" s="346"/>
      <c r="Q95" s="346"/>
      <c r="R95" s="346"/>
      <c r="S95" s="620"/>
      <c r="T95" s="346"/>
      <c r="U95" s="346"/>
      <c r="V95" s="346"/>
      <c r="W95" s="346"/>
      <c r="X95" s="346"/>
      <c r="Y95" s="346"/>
      <c r="Z95" s="346"/>
      <c r="AA95" s="18"/>
      <c r="AB95" s="682" t="str">
        <f t="shared" si="21"/>
        <v/>
      </c>
      <c r="AC95" s="682" t="str">
        <f t="shared" si="22"/>
        <v/>
      </c>
      <c r="AD95" s="682" t="str">
        <f t="shared" si="23"/>
        <v/>
      </c>
      <c r="AE95" s="683" t="str">
        <f t="shared" si="24"/>
        <v/>
      </c>
      <c r="AF95" s="683" t="str">
        <f t="shared" si="25"/>
        <v/>
      </c>
      <c r="AG95" s="683" t="str">
        <f t="shared" si="26"/>
        <v/>
      </c>
      <c r="AH95" s="683" t="str">
        <f t="shared" si="27"/>
        <v/>
      </c>
      <c r="AI95" s="683" t="str">
        <f t="shared" si="28"/>
        <v/>
      </c>
      <c r="AJ95" s="683" t="str">
        <f t="shared" si="29"/>
        <v/>
      </c>
    </row>
    <row r="96" spans="2:36" s="14" customFormat="1">
      <c r="B96" s="309"/>
      <c r="C96" s="310"/>
      <c r="D96" s="309"/>
      <c r="E96" s="309"/>
      <c r="F96" s="618"/>
      <c r="G96" s="618"/>
      <c r="H96" s="618"/>
      <c r="I96" s="346"/>
      <c r="J96" s="346"/>
      <c r="K96" s="346"/>
      <c r="L96" s="619"/>
      <c r="M96" s="619"/>
      <c r="N96" s="346"/>
      <c r="O96" s="346"/>
      <c r="P96" s="346"/>
      <c r="Q96" s="346"/>
      <c r="R96" s="346"/>
      <c r="S96" s="620"/>
      <c r="T96" s="346"/>
      <c r="U96" s="346"/>
      <c r="V96" s="346"/>
      <c r="W96" s="346"/>
      <c r="X96" s="346"/>
      <c r="Y96" s="346"/>
      <c r="Z96" s="346"/>
      <c r="AA96" s="18"/>
      <c r="AB96" s="682" t="str">
        <f t="shared" si="21"/>
        <v/>
      </c>
      <c r="AC96" s="682" t="str">
        <f t="shared" si="22"/>
        <v/>
      </c>
      <c r="AD96" s="682" t="str">
        <f t="shared" si="23"/>
        <v/>
      </c>
      <c r="AE96" s="683" t="str">
        <f t="shared" si="24"/>
        <v/>
      </c>
      <c r="AF96" s="683" t="str">
        <f t="shared" si="25"/>
        <v/>
      </c>
      <c r="AG96" s="683" t="str">
        <f t="shared" si="26"/>
        <v/>
      </c>
      <c r="AH96" s="683" t="str">
        <f t="shared" si="27"/>
        <v/>
      </c>
      <c r="AI96" s="683" t="str">
        <f t="shared" si="28"/>
        <v/>
      </c>
      <c r="AJ96" s="683" t="str">
        <f t="shared" si="29"/>
        <v/>
      </c>
    </row>
    <row r="97" spans="2:36" s="14" customFormat="1">
      <c r="B97" s="360"/>
      <c r="C97" s="359"/>
      <c r="D97" s="360"/>
      <c r="E97" s="360"/>
      <c r="F97" s="622"/>
      <c r="G97" s="622"/>
      <c r="H97" s="622"/>
      <c r="I97" s="361"/>
      <c r="J97" s="361"/>
      <c r="K97" s="361"/>
      <c r="L97" s="623"/>
      <c r="M97" s="623"/>
      <c r="N97" s="361"/>
      <c r="O97" s="361"/>
      <c r="P97" s="361"/>
      <c r="Q97" s="361"/>
      <c r="R97" s="361"/>
      <c r="S97" s="624"/>
      <c r="T97" s="361"/>
      <c r="U97" s="361"/>
      <c r="V97" s="361"/>
      <c r="W97" s="361"/>
      <c r="X97" s="361"/>
      <c r="Y97" s="361"/>
      <c r="Z97" s="361"/>
      <c r="AA97" s="18"/>
      <c r="AB97" s="684" t="str">
        <f t="shared" si="21"/>
        <v/>
      </c>
      <c r="AC97" s="684" t="str">
        <f t="shared" si="22"/>
        <v/>
      </c>
      <c r="AD97" s="684" t="str">
        <f t="shared" si="23"/>
        <v/>
      </c>
      <c r="AE97" s="685" t="str">
        <f t="shared" si="24"/>
        <v/>
      </c>
      <c r="AF97" s="685" t="str">
        <f t="shared" si="25"/>
        <v/>
      </c>
      <c r="AG97" s="685" t="str">
        <f t="shared" si="26"/>
        <v/>
      </c>
      <c r="AH97" s="685" t="str">
        <f t="shared" si="27"/>
        <v/>
      </c>
      <c r="AI97" s="685" t="str">
        <f t="shared" si="28"/>
        <v/>
      </c>
      <c r="AJ97" s="685" t="str">
        <f t="shared" si="29"/>
        <v/>
      </c>
    </row>
    <row r="98" spans="2:36" s="14" customFormat="1">
      <c r="B98" s="62"/>
      <c r="D98" s="62"/>
      <c r="E98" s="62"/>
      <c r="F98" s="62"/>
      <c r="K98" s="63"/>
      <c r="L98" s="63"/>
      <c r="M98" s="63"/>
      <c r="N98" s="63"/>
      <c r="O98" s="63"/>
      <c r="P98" s="63"/>
      <c r="Q98" s="63"/>
      <c r="R98" s="63"/>
      <c r="S98" s="63"/>
      <c r="T98" s="63"/>
      <c r="U98" s="63"/>
      <c r="V98" s="63"/>
      <c r="W98" s="63"/>
      <c r="X98" s="63"/>
      <c r="Y98" s="63"/>
      <c r="Z98" s="63"/>
    </row>
    <row r="99" spans="2:36" s="14" customFormat="1">
      <c r="B99" s="62"/>
      <c r="D99" s="62"/>
      <c r="E99" s="62"/>
      <c r="F99" s="62"/>
      <c r="K99" s="63"/>
      <c r="L99" s="63"/>
      <c r="M99" s="63"/>
      <c r="N99" s="63"/>
      <c r="O99" s="63"/>
      <c r="P99" s="63"/>
      <c r="Q99" s="63"/>
      <c r="R99" s="63"/>
      <c r="S99" s="63"/>
      <c r="T99" s="63"/>
      <c r="U99" s="63"/>
      <c r="V99" s="63"/>
      <c r="W99" s="63"/>
      <c r="X99" s="63"/>
      <c r="Y99" s="63"/>
      <c r="Z99" s="63"/>
    </row>
    <row r="100" spans="2:36" s="14" customFormat="1">
      <c r="B100" s="62"/>
      <c r="D100" s="62"/>
      <c r="E100" s="62"/>
      <c r="F100" s="62"/>
      <c r="K100" s="63"/>
      <c r="L100" s="63"/>
      <c r="M100" s="63"/>
      <c r="N100" s="63"/>
      <c r="O100" s="63"/>
      <c r="P100" s="63"/>
      <c r="Q100" s="63"/>
      <c r="R100" s="63"/>
      <c r="S100" s="63"/>
      <c r="T100" s="63"/>
      <c r="U100" s="63"/>
      <c r="V100" s="63"/>
      <c r="W100" s="63"/>
      <c r="X100" s="63"/>
      <c r="Y100" s="63"/>
      <c r="Z100" s="63"/>
    </row>
    <row r="101" spans="2:36" s="14" customFormat="1">
      <c r="B101" s="62"/>
      <c r="D101" s="62"/>
      <c r="E101" s="62"/>
      <c r="F101" s="62"/>
      <c r="K101" s="63"/>
      <c r="L101" s="63"/>
      <c r="M101" s="63"/>
      <c r="N101" s="63"/>
      <c r="O101" s="63"/>
      <c r="P101" s="63"/>
      <c r="Q101" s="63"/>
      <c r="R101" s="63"/>
      <c r="S101" s="63"/>
      <c r="T101" s="63"/>
      <c r="U101" s="63"/>
      <c r="V101" s="63"/>
      <c r="W101" s="63"/>
      <c r="X101" s="63"/>
      <c r="Y101" s="63"/>
      <c r="Z101" s="63"/>
    </row>
    <row r="102" spans="2:36" s="14" customFormat="1">
      <c r="B102" s="62"/>
      <c r="D102" s="62"/>
      <c r="E102" s="62"/>
      <c r="F102" s="62"/>
      <c r="K102" s="63"/>
      <c r="L102" s="63"/>
      <c r="M102" s="63"/>
      <c r="N102" s="63"/>
      <c r="O102" s="63"/>
      <c r="P102" s="63"/>
      <c r="Q102" s="63"/>
      <c r="R102" s="63"/>
      <c r="S102" s="63"/>
      <c r="T102" s="63"/>
      <c r="U102" s="63"/>
      <c r="V102" s="63"/>
      <c r="W102" s="63"/>
      <c r="X102" s="63"/>
      <c r="Y102" s="63"/>
      <c r="Z102" s="63"/>
    </row>
    <row r="103" spans="2:36" s="14" customFormat="1">
      <c r="D103" s="62"/>
      <c r="E103" s="62"/>
      <c r="F103" s="62"/>
      <c r="K103" s="63"/>
      <c r="L103" s="63"/>
      <c r="M103" s="63"/>
      <c r="N103" s="63"/>
      <c r="O103" s="63"/>
      <c r="P103" s="63"/>
      <c r="Q103" s="63"/>
      <c r="R103" s="63"/>
      <c r="S103" s="63"/>
      <c r="T103" s="63"/>
      <c r="U103" s="63"/>
      <c r="V103" s="63"/>
      <c r="W103" s="63"/>
      <c r="X103" s="63"/>
      <c r="Y103" s="63"/>
      <c r="Z103" s="63"/>
    </row>
    <row r="104" spans="2:36" s="14" customFormat="1">
      <c r="D104" s="62"/>
      <c r="E104" s="62"/>
      <c r="F104" s="62"/>
      <c r="K104" s="63"/>
      <c r="L104" s="63"/>
      <c r="M104" s="63"/>
      <c r="N104" s="63"/>
      <c r="O104" s="63"/>
      <c r="P104" s="63"/>
      <c r="Q104" s="63"/>
      <c r="R104" s="63"/>
      <c r="S104" s="63"/>
      <c r="T104" s="63"/>
      <c r="U104" s="63"/>
      <c r="V104" s="63"/>
      <c r="W104" s="63"/>
      <c r="X104" s="63"/>
      <c r="Y104" s="63"/>
      <c r="Z104" s="63"/>
    </row>
    <row r="105" spans="2:36" s="14" customFormat="1">
      <c r="D105" s="62"/>
      <c r="E105" s="62"/>
      <c r="F105" s="62"/>
      <c r="K105" s="63"/>
      <c r="L105" s="63"/>
      <c r="M105" s="63"/>
      <c r="N105" s="63"/>
      <c r="O105" s="63"/>
      <c r="P105" s="63"/>
      <c r="Q105" s="63"/>
      <c r="R105" s="63"/>
      <c r="S105" s="63"/>
      <c r="T105" s="63"/>
      <c r="U105" s="63"/>
      <c r="V105" s="63"/>
      <c r="W105" s="63"/>
      <c r="X105" s="63"/>
      <c r="Y105" s="63"/>
      <c r="Z105" s="63"/>
    </row>
    <row r="106" spans="2:36" s="14" customFormat="1">
      <c r="D106" s="62"/>
      <c r="E106" s="62"/>
      <c r="F106" s="62"/>
      <c r="K106" s="63"/>
      <c r="L106" s="63"/>
      <c r="M106" s="63"/>
      <c r="N106" s="63"/>
      <c r="O106" s="63"/>
      <c r="P106" s="63"/>
      <c r="Q106" s="63"/>
      <c r="R106" s="63"/>
      <c r="S106" s="63"/>
      <c r="T106" s="63"/>
      <c r="U106" s="63"/>
      <c r="V106" s="63"/>
      <c r="W106" s="63"/>
      <c r="X106" s="63"/>
      <c r="Y106" s="63"/>
      <c r="Z106" s="63"/>
    </row>
    <row r="107" spans="2:36" s="14" customFormat="1">
      <c r="D107" s="62"/>
      <c r="E107" s="62"/>
      <c r="F107" s="62"/>
      <c r="K107" s="63"/>
      <c r="L107" s="63"/>
      <c r="M107" s="63"/>
      <c r="N107" s="63"/>
      <c r="O107" s="63"/>
      <c r="P107" s="63"/>
      <c r="Q107" s="63"/>
      <c r="R107" s="63"/>
      <c r="S107" s="63"/>
      <c r="T107" s="63"/>
      <c r="U107" s="63"/>
      <c r="V107" s="63"/>
      <c r="W107" s="63"/>
      <c r="X107" s="63"/>
      <c r="Y107" s="63"/>
      <c r="Z107" s="63"/>
    </row>
    <row r="108" spans="2:36" s="14" customFormat="1">
      <c r="D108" s="62"/>
      <c r="E108" s="62"/>
      <c r="F108" s="62"/>
      <c r="K108" s="63"/>
      <c r="L108" s="63"/>
      <c r="M108" s="63"/>
      <c r="N108" s="63"/>
      <c r="O108" s="63"/>
      <c r="P108" s="63"/>
      <c r="Q108" s="63"/>
      <c r="R108" s="63"/>
      <c r="S108" s="63"/>
      <c r="T108" s="63"/>
      <c r="U108" s="63"/>
      <c r="V108" s="63"/>
      <c r="W108" s="63"/>
      <c r="X108" s="63"/>
      <c r="Y108" s="63"/>
      <c r="Z108" s="63"/>
    </row>
    <row r="109" spans="2:36" s="14" customFormat="1">
      <c r="D109" s="62"/>
      <c r="E109" s="62"/>
      <c r="F109" s="62"/>
      <c r="K109" s="63"/>
      <c r="L109" s="63"/>
      <c r="M109" s="63"/>
      <c r="N109" s="63"/>
      <c r="O109" s="63"/>
      <c r="P109" s="63"/>
      <c r="Q109" s="63"/>
      <c r="R109" s="63"/>
      <c r="S109" s="63"/>
      <c r="T109" s="63"/>
      <c r="U109" s="63"/>
      <c r="V109" s="63"/>
      <c r="W109" s="63"/>
      <c r="X109" s="63"/>
      <c r="Y109" s="63"/>
      <c r="Z109" s="63"/>
    </row>
    <row r="110" spans="2:36" s="14" customFormat="1">
      <c r="D110" s="62"/>
      <c r="E110" s="62"/>
      <c r="F110" s="62"/>
      <c r="K110" s="63"/>
      <c r="L110" s="63"/>
      <c r="M110" s="63"/>
      <c r="N110" s="63"/>
      <c r="O110" s="63"/>
      <c r="P110" s="63"/>
      <c r="Q110" s="63"/>
      <c r="R110" s="63"/>
      <c r="S110" s="63"/>
      <c r="T110" s="63"/>
      <c r="U110" s="63"/>
      <c r="V110" s="63"/>
      <c r="W110" s="63"/>
      <c r="X110" s="63"/>
      <c r="Y110" s="63"/>
      <c r="Z110" s="63"/>
    </row>
    <row r="111" spans="2:36" s="14" customFormat="1">
      <c r="D111" s="62"/>
      <c r="E111" s="62"/>
      <c r="F111" s="62"/>
      <c r="K111" s="63"/>
      <c r="L111" s="63"/>
      <c r="M111" s="63"/>
      <c r="N111" s="63"/>
      <c r="O111" s="63"/>
      <c r="P111" s="63"/>
      <c r="Q111" s="63"/>
      <c r="R111" s="63"/>
      <c r="S111" s="63"/>
      <c r="T111" s="63"/>
      <c r="U111" s="63"/>
      <c r="V111" s="63"/>
      <c r="W111" s="63"/>
      <c r="X111" s="63"/>
      <c r="Y111" s="63"/>
      <c r="Z111" s="63"/>
    </row>
    <row r="112" spans="2:36" s="14" customFormat="1">
      <c r="D112" s="62"/>
      <c r="E112" s="62"/>
      <c r="F112" s="62"/>
      <c r="K112" s="63"/>
      <c r="L112" s="63"/>
      <c r="M112" s="63"/>
      <c r="N112" s="63"/>
      <c r="O112" s="63"/>
      <c r="P112" s="63"/>
      <c r="Q112" s="63"/>
      <c r="R112" s="63"/>
      <c r="S112" s="63"/>
      <c r="T112" s="63"/>
      <c r="U112" s="63"/>
      <c r="V112" s="63"/>
      <c r="W112" s="63"/>
      <c r="X112" s="63"/>
      <c r="Y112" s="63"/>
      <c r="Z112" s="63"/>
    </row>
    <row r="113" spans="4:26" s="14" customFormat="1">
      <c r="D113" s="62"/>
      <c r="E113" s="62"/>
      <c r="F113" s="62"/>
      <c r="K113" s="63"/>
      <c r="L113" s="63"/>
      <c r="M113" s="63"/>
      <c r="N113" s="63"/>
      <c r="O113" s="63"/>
      <c r="P113" s="63"/>
      <c r="Q113" s="63"/>
      <c r="R113" s="63"/>
      <c r="S113" s="63"/>
      <c r="T113" s="63"/>
      <c r="U113" s="63"/>
      <c r="V113" s="63"/>
      <c r="W113" s="63"/>
      <c r="X113" s="63"/>
      <c r="Y113" s="63"/>
      <c r="Z113" s="63"/>
    </row>
    <row r="114" spans="4:26" s="14" customFormat="1">
      <c r="D114" s="62"/>
      <c r="E114" s="62"/>
      <c r="F114" s="62"/>
      <c r="K114" s="63"/>
      <c r="L114" s="63"/>
      <c r="M114" s="63"/>
      <c r="N114" s="63"/>
      <c r="O114" s="63"/>
      <c r="P114" s="63"/>
      <c r="Q114" s="63"/>
      <c r="R114" s="63"/>
      <c r="S114" s="63"/>
      <c r="T114" s="63"/>
      <c r="U114" s="63"/>
      <c r="V114" s="63"/>
      <c r="W114" s="63"/>
      <c r="X114" s="63"/>
      <c r="Y114" s="63"/>
      <c r="Z114" s="63"/>
    </row>
    <row r="115" spans="4:26" s="14" customFormat="1">
      <c r="D115" s="62"/>
      <c r="E115" s="62"/>
      <c r="F115" s="62"/>
      <c r="K115" s="63"/>
      <c r="L115" s="63"/>
      <c r="M115" s="63"/>
      <c r="N115" s="63"/>
      <c r="O115" s="63"/>
      <c r="P115" s="63"/>
      <c r="Q115" s="63"/>
      <c r="R115" s="63"/>
      <c r="S115" s="63"/>
      <c r="T115" s="63"/>
      <c r="U115" s="63"/>
      <c r="V115" s="63"/>
      <c r="W115" s="63"/>
      <c r="X115" s="63"/>
      <c r="Y115" s="63"/>
      <c r="Z115" s="63"/>
    </row>
    <row r="116" spans="4:26" s="14" customFormat="1">
      <c r="D116" s="62"/>
      <c r="E116" s="62"/>
      <c r="F116" s="62"/>
      <c r="K116" s="63"/>
      <c r="L116" s="63"/>
      <c r="M116" s="63"/>
      <c r="N116" s="63"/>
      <c r="O116" s="63"/>
      <c r="P116" s="63"/>
      <c r="Q116" s="63"/>
      <c r="R116" s="63"/>
      <c r="S116" s="63"/>
      <c r="T116" s="63"/>
      <c r="U116" s="63"/>
      <c r="V116" s="63"/>
      <c r="W116" s="63"/>
      <c r="X116" s="63"/>
      <c r="Y116" s="63"/>
      <c r="Z116" s="63"/>
    </row>
    <row r="117" spans="4:26" s="14" customFormat="1">
      <c r="D117" s="62"/>
      <c r="E117" s="62"/>
      <c r="F117" s="62"/>
      <c r="K117" s="63"/>
      <c r="L117" s="63"/>
      <c r="M117" s="63"/>
      <c r="N117" s="63"/>
      <c r="O117" s="63"/>
      <c r="P117" s="63"/>
      <c r="Q117" s="63"/>
      <c r="R117" s="63"/>
      <c r="S117" s="63"/>
      <c r="T117" s="63"/>
      <c r="U117" s="63"/>
      <c r="V117" s="63"/>
      <c r="W117" s="63"/>
      <c r="X117" s="63"/>
      <c r="Y117" s="63"/>
      <c r="Z117" s="63"/>
    </row>
    <row r="118" spans="4:26" s="14" customFormat="1">
      <c r="D118" s="62"/>
      <c r="E118" s="62"/>
      <c r="F118" s="62"/>
      <c r="K118" s="63"/>
      <c r="L118" s="63"/>
      <c r="M118" s="63"/>
      <c r="N118" s="63"/>
      <c r="O118" s="63"/>
      <c r="P118" s="63"/>
      <c r="Q118" s="63"/>
      <c r="R118" s="63"/>
      <c r="S118" s="63"/>
      <c r="T118" s="63"/>
      <c r="U118" s="63"/>
      <c r="V118" s="63"/>
      <c r="W118" s="63"/>
      <c r="X118" s="63"/>
      <c r="Y118" s="63"/>
      <c r="Z118" s="63"/>
    </row>
    <row r="119" spans="4:26" s="14" customFormat="1">
      <c r="D119" s="62"/>
      <c r="E119" s="62"/>
      <c r="F119" s="62"/>
      <c r="K119" s="63"/>
      <c r="L119" s="63"/>
      <c r="M119" s="63"/>
      <c r="N119" s="63"/>
      <c r="O119" s="63"/>
      <c r="P119" s="63"/>
      <c r="Q119" s="63"/>
      <c r="R119" s="63"/>
      <c r="S119" s="63"/>
      <c r="T119" s="63"/>
      <c r="U119" s="63"/>
      <c r="V119" s="63"/>
      <c r="W119" s="63"/>
      <c r="X119" s="63"/>
      <c r="Y119" s="63"/>
      <c r="Z119" s="63"/>
    </row>
    <row r="120" spans="4:26" s="14" customFormat="1">
      <c r="D120" s="62"/>
      <c r="E120" s="62"/>
      <c r="F120" s="62"/>
      <c r="K120" s="63"/>
      <c r="L120" s="63"/>
      <c r="M120" s="63"/>
      <c r="N120" s="63"/>
      <c r="O120" s="63"/>
      <c r="P120" s="63"/>
      <c r="Q120" s="63"/>
      <c r="R120" s="63"/>
      <c r="S120" s="63"/>
      <c r="T120" s="63"/>
      <c r="U120" s="63"/>
      <c r="V120" s="63"/>
      <c r="W120" s="63"/>
      <c r="X120" s="63"/>
      <c r="Y120" s="63"/>
      <c r="Z120" s="63"/>
    </row>
    <row r="121" spans="4:26" s="14" customFormat="1">
      <c r="D121" s="62"/>
      <c r="E121" s="62"/>
      <c r="F121" s="62"/>
      <c r="K121" s="63"/>
      <c r="L121" s="63"/>
      <c r="M121" s="63"/>
      <c r="N121" s="63"/>
      <c r="O121" s="63"/>
      <c r="P121" s="63"/>
      <c r="Q121" s="63"/>
      <c r="R121" s="63"/>
      <c r="S121" s="63"/>
      <c r="T121" s="63"/>
      <c r="U121" s="63"/>
      <c r="V121" s="63"/>
      <c r="W121" s="63"/>
      <c r="X121" s="63"/>
      <c r="Y121" s="63"/>
      <c r="Z121" s="63"/>
    </row>
  </sheetData>
  <sheetProtection sheet="1" objects="1" scenarios="1"/>
  <autoFilter ref="B5:AJ5" xr:uid="{00000000-0009-0000-0000-000017000000}"/>
  <phoneticPr fontId="4" type="noConversion"/>
  <conditionalFormatting sqref="AB6:AJ97">
    <cfRule type="cellIs" dxfId="17" priority="1" stopIfTrue="1" operator="equal">
      <formula>""</formula>
    </cfRule>
    <cfRule type="cellIs" dxfId="16" priority="2" stopIfTrue="1" operator="equal">
      <formula>MAX(AB$6:AB$97)</formula>
    </cfRule>
    <cfRule type="cellIs" dxfId="15" priority="3" stopIfTrue="1" operator="lessThanOrEqual">
      <formula>AVERAGE(AB$6:AB$97)</formula>
    </cfRule>
  </conditionalFormatting>
  <hyperlinks>
    <hyperlink ref="Q1" location="Index!B1" display="Index!B1" xr:uid="{00000000-0004-0000-1700-000000000000}"/>
  </hyperlinks>
  <printOptions horizontalCentered="1"/>
  <pageMargins left="0.2" right="0.21" top="0.28999999999999998" bottom="0.36" header="0.19685039370078741" footer="0.16"/>
  <pageSetup paperSize="9" orientation="landscape" r:id="rId1"/>
  <headerFooter alignWithMargins="0">
    <oddFooter>&amp;L&amp;8&amp;F&amp;A&amp;R&amp;8IVB/EPI Logistics docs</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tabColor indexed="12"/>
  </sheetPr>
  <dimension ref="A1:P84"/>
  <sheetViews>
    <sheetView showGridLines="0" topLeftCell="A48" workbookViewId="0">
      <selection activeCell="D52" sqref="D52"/>
    </sheetView>
  </sheetViews>
  <sheetFormatPr defaultColWidth="9.109375" defaultRowHeight="11.4"/>
  <cols>
    <col min="1" max="1" width="1.109375" style="18" customWidth="1"/>
    <col min="2" max="2" width="26.77734375" style="18" customWidth="1"/>
    <col min="3" max="3" width="12.109375" style="18" customWidth="1"/>
    <col min="4" max="4" width="9.44140625" style="18" bestFit="1" customWidth="1"/>
    <col min="5" max="5" width="10.44140625" style="18" customWidth="1"/>
    <col min="6" max="7" width="11" style="18" customWidth="1"/>
    <col min="8" max="8" width="7.6640625" style="18" customWidth="1"/>
    <col min="9" max="10" width="9.6640625" style="18" customWidth="1"/>
    <col min="11" max="11" width="9.6640625" style="53" customWidth="1"/>
    <col min="12" max="12" width="11" style="18" customWidth="1"/>
    <col min="13" max="13" width="11.44140625" style="18" customWidth="1"/>
    <col min="14" max="14" width="10.44140625" style="18" bestFit="1" customWidth="1"/>
    <col min="15" max="16384" width="9.109375" style="18"/>
  </cols>
  <sheetData>
    <row r="1" spans="2:16" s="25" customFormat="1" ht="6" customHeight="1">
      <c r="K1" s="53"/>
    </row>
    <row r="2" spans="2:16" s="715" customFormat="1" ht="21">
      <c r="B2" s="710" t="str">
        <f>Translation!C208</f>
        <v>Safe injection supplies and cold chain equipment</v>
      </c>
      <c r="C2" s="711"/>
      <c r="D2" s="711"/>
      <c r="E2" s="711"/>
      <c r="F2" s="712"/>
      <c r="G2" s="712"/>
      <c r="H2" s="712"/>
      <c r="I2" s="712"/>
      <c r="J2" s="712"/>
      <c r="K2" s="712"/>
      <c r="L2" s="713"/>
      <c r="M2" s="714" t="str">
        <f>Translation!C109</f>
        <v>Index</v>
      </c>
      <c r="N2" s="713"/>
    </row>
    <row r="3" spans="2:16" s="25" customFormat="1" ht="7.05" customHeight="1">
      <c r="K3" s="53"/>
    </row>
    <row r="4" spans="2:16" s="25" customFormat="1" ht="13.2">
      <c r="B4" s="457" t="str">
        <f>Translation!C209</f>
        <v>Table 1: Characteristics of safe injection equipment</v>
      </c>
      <c r="K4" s="53"/>
    </row>
    <row r="5" spans="2:16" s="17" customFormat="1" ht="35.4">
      <c r="B5" s="236" t="str">
        <f>Translation!C210</f>
        <v>Safe injection equipment</v>
      </c>
      <c r="C5" s="370" t="str">
        <f>Translation!C211</f>
        <v>Designation</v>
      </c>
      <c r="D5" s="371"/>
      <c r="E5" s="369" t="str">
        <f>Translation!C212</f>
        <v>Box per carton</v>
      </c>
      <c r="F5" s="369" t="str">
        <f>Translation!C213</f>
        <v>Units per box</v>
      </c>
      <c r="G5" s="369" t="str">
        <f>Translation!C214</f>
        <v>Packed volume (cm³/unit)</v>
      </c>
      <c r="H5" s="369" t="str">
        <f>Translation!C215</f>
        <v>Packed weight (g/unit)</v>
      </c>
      <c r="I5" s="369" t="str">
        <f>Translation!C216</f>
        <v>Cost (US$/unit)</v>
      </c>
      <c r="J5" s="55"/>
      <c r="K5" s="53"/>
      <c r="L5" s="53"/>
    </row>
    <row r="6" spans="2:16" s="17" customFormat="1" ht="13.8">
      <c r="B6" s="372" t="str">
        <f>Translation!C217</f>
        <v>AD Syringes 0.05ml for BCG</v>
      </c>
      <c r="C6" s="373" t="str">
        <f>Translation!C227</f>
        <v>ADS_0.05ml</v>
      </c>
      <c r="D6" s="374"/>
      <c r="E6" s="375" t="s">
        <v>877</v>
      </c>
      <c r="F6" s="375">
        <v>100</v>
      </c>
      <c r="G6" s="376">
        <f>0.03*1000000/800</f>
        <v>37.5</v>
      </c>
      <c r="H6" s="377">
        <v>3.75</v>
      </c>
      <c r="I6" s="377"/>
      <c r="J6" s="55"/>
      <c r="K6" s="53"/>
      <c r="L6" s="53"/>
      <c r="N6" s="25"/>
    </row>
    <row r="7" spans="2:16" s="17" customFormat="1" ht="13.8">
      <c r="B7" s="378" t="str">
        <f>Translation!C218</f>
        <v>AD Syringes 0.1ml for BCG</v>
      </c>
      <c r="C7" s="379" t="str">
        <f>Translation!C228</f>
        <v>ADS_0.1ml</v>
      </c>
      <c r="D7" s="380"/>
      <c r="E7" s="381" t="s">
        <v>2080</v>
      </c>
      <c r="F7" s="381">
        <v>100</v>
      </c>
      <c r="G7" s="382">
        <f>0.06*1000000/1600</f>
        <v>37.5</v>
      </c>
      <c r="H7" s="383">
        <v>3.75</v>
      </c>
      <c r="I7" s="383"/>
      <c r="J7" s="55"/>
      <c r="K7" s="53"/>
      <c r="L7" s="53"/>
      <c r="N7" s="25"/>
    </row>
    <row r="8" spans="2:16" s="17" customFormat="1" ht="13.8">
      <c r="B8" s="378" t="str">
        <f>Translation!C219</f>
        <v>AD Syringes 0.5ml</v>
      </c>
      <c r="C8" s="379" t="str">
        <f>Translation!C229</f>
        <v>ADS_0.5ml</v>
      </c>
      <c r="D8" s="380"/>
      <c r="E8" s="381" t="s">
        <v>2083</v>
      </c>
      <c r="F8" s="381">
        <v>100</v>
      </c>
      <c r="G8" s="382">
        <f>0.102*1000000/1800</f>
        <v>56.666666666666664</v>
      </c>
      <c r="H8" s="383">
        <v>5.67</v>
      </c>
      <c r="I8" s="383"/>
      <c r="J8" s="55"/>
      <c r="K8" s="53"/>
      <c r="L8" s="53"/>
      <c r="N8" s="25"/>
    </row>
    <row r="9" spans="2:16" s="17" customFormat="1" ht="13.8">
      <c r="B9" s="378" t="str">
        <f>Translation!C220</f>
        <v>Syringes 2ml for dilution BCG/Hib</v>
      </c>
      <c r="C9" s="379" t="str">
        <f>Translation!C230</f>
        <v>Sdilution_2ml</v>
      </c>
      <c r="D9" s="380"/>
      <c r="E9" s="381"/>
      <c r="F9" s="381">
        <v>100</v>
      </c>
      <c r="G9" s="382">
        <f>0.106/1600*1000*1000</f>
        <v>66.25</v>
      </c>
      <c r="H9" s="383">
        <v>6.63</v>
      </c>
      <c r="I9" s="383"/>
      <c r="J9" s="55"/>
      <c r="K9" s="53"/>
      <c r="L9" s="53"/>
      <c r="N9" s="25"/>
    </row>
    <row r="10" spans="2:16" s="17" customFormat="1" ht="13.8">
      <c r="B10" s="378" t="str">
        <f>Translation!C221</f>
        <v>Syringes 5ml for dilution Msls/YF</v>
      </c>
      <c r="C10" s="379" t="str">
        <f>Translation!C231</f>
        <v>Sdilution_5ml</v>
      </c>
      <c r="D10" s="380"/>
      <c r="E10" s="381"/>
      <c r="F10" s="381">
        <v>100</v>
      </c>
      <c r="G10" s="382">
        <f>0.106/1600*1000*1000</f>
        <v>66.25</v>
      </c>
      <c r="H10" s="383">
        <v>6.63</v>
      </c>
      <c r="I10" s="383"/>
      <c r="J10" s="55"/>
      <c r="K10" s="53"/>
      <c r="L10" s="53"/>
      <c r="N10" s="25"/>
    </row>
    <row r="11" spans="2:16" s="17" customFormat="1" ht="13.8">
      <c r="B11" s="378" t="str">
        <f>Translation!C222</f>
        <v>Syringes 10ml for dilution YF/Meningitis</v>
      </c>
      <c r="C11" s="379" t="str">
        <f>Translation!C232</f>
        <v>Sdilution_10ml</v>
      </c>
      <c r="D11" s="380"/>
      <c r="E11" s="381"/>
      <c r="F11" s="381">
        <v>100</v>
      </c>
      <c r="G11" s="382">
        <f>0.106/1600*1000*1000</f>
        <v>66.25</v>
      </c>
      <c r="H11" s="383">
        <v>6.63</v>
      </c>
      <c r="I11" s="383"/>
      <c r="J11" s="55"/>
      <c r="K11" s="53"/>
      <c r="L11" s="53"/>
      <c r="N11" s="25"/>
    </row>
    <row r="12" spans="2:16" s="17" customFormat="1" ht="13.8">
      <c r="B12" s="378" t="str">
        <f>Translation!C223</f>
        <v>Safety boxes, 2.5litres</v>
      </c>
      <c r="C12" s="379" t="str">
        <f>Translation!C233</f>
        <v>SB_2.5l</v>
      </c>
      <c r="D12" s="384" t="s">
        <v>201</v>
      </c>
      <c r="E12" s="381" t="s">
        <v>2092</v>
      </c>
      <c r="F12" s="381">
        <v>25</v>
      </c>
      <c r="G12" s="382">
        <f>48*23.7*0.4</f>
        <v>455.03999999999996</v>
      </c>
      <c r="H12" s="383">
        <v>205</v>
      </c>
      <c r="I12" s="383"/>
      <c r="J12" s="55"/>
      <c r="K12" s="53"/>
      <c r="L12" s="53"/>
      <c r="N12" s="25"/>
    </row>
    <row r="13" spans="2:16" s="17" customFormat="1" ht="13.8">
      <c r="B13" s="378" t="str">
        <f>Translation!C224</f>
        <v>Safety boxes, 5litres</v>
      </c>
      <c r="C13" s="379" t="str">
        <f>Translation!C234</f>
        <v>SB_5l</v>
      </c>
      <c r="D13" s="384" t="s">
        <v>201</v>
      </c>
      <c r="E13" s="381" t="s">
        <v>2094</v>
      </c>
      <c r="F13" s="381">
        <v>25</v>
      </c>
      <c r="G13" s="382">
        <f>60*25.7*0.45</f>
        <v>693.9</v>
      </c>
      <c r="H13" s="383">
        <f>AVERAGE(390,237,270,300,505,290,292,328)</f>
        <v>326.5</v>
      </c>
      <c r="I13" s="383"/>
      <c r="J13" s="55"/>
      <c r="K13" s="53"/>
      <c r="L13" s="53"/>
      <c r="N13" s="25"/>
      <c r="P13" s="56"/>
    </row>
    <row r="14" spans="2:16" s="17" customFormat="1" ht="13.8">
      <c r="B14" s="378" t="str">
        <f>Translation!C225</f>
        <v>Safety boxes, 10litres</v>
      </c>
      <c r="C14" s="379" t="str">
        <f>Translation!C235</f>
        <v>SB_10l</v>
      </c>
      <c r="D14" s="384" t="s">
        <v>201</v>
      </c>
      <c r="E14" s="381" t="s">
        <v>2100</v>
      </c>
      <c r="F14" s="381">
        <v>25</v>
      </c>
      <c r="G14" s="382">
        <f>70.7*38.7*0.4</f>
        <v>1094.4360000000001</v>
      </c>
      <c r="H14" s="383">
        <v>485</v>
      </c>
      <c r="I14" s="383"/>
      <c r="J14" s="55"/>
      <c r="K14" s="53"/>
      <c r="L14" s="53"/>
      <c r="N14" s="25"/>
      <c r="P14" s="56"/>
    </row>
    <row r="15" spans="2:16" s="17" customFormat="1" ht="13.8">
      <c r="B15" s="378" t="str">
        <f>Translation!C226</f>
        <v>Safety boxes, 15litres</v>
      </c>
      <c r="C15" s="379" t="str">
        <f>Translation!C236</f>
        <v>SB_15l</v>
      </c>
      <c r="D15" s="384" t="s">
        <v>201</v>
      </c>
      <c r="E15" s="381" t="s">
        <v>2102</v>
      </c>
      <c r="F15" s="381">
        <v>26</v>
      </c>
      <c r="G15" s="382">
        <f>77.7*44.5*0.5</f>
        <v>1728.825</v>
      </c>
      <c r="H15" s="383">
        <v>840</v>
      </c>
      <c r="I15" s="383"/>
      <c r="J15" s="55"/>
      <c r="K15" s="53"/>
      <c r="L15" s="53"/>
    </row>
    <row r="16" spans="2:16" s="17" customFormat="1" ht="13.8">
      <c r="B16" s="385"/>
      <c r="C16" s="386"/>
      <c r="D16" s="387"/>
      <c r="E16" s="388"/>
      <c r="F16" s="388"/>
      <c r="G16" s="389"/>
      <c r="H16" s="390"/>
      <c r="I16" s="390"/>
      <c r="J16" s="55"/>
      <c r="K16" s="53"/>
      <c r="L16" s="53"/>
    </row>
    <row r="17" spans="1:15" ht="13.8">
      <c r="B17" s="54" t="s">
        <v>2103</v>
      </c>
      <c r="C17" s="12" t="s">
        <v>2104</v>
      </c>
      <c r="D17" s="54"/>
      <c r="E17" s="12"/>
      <c r="F17" s="44"/>
      <c r="G17" s="44"/>
      <c r="H17" s="44"/>
      <c r="I17" s="44"/>
      <c r="J17" s="55"/>
      <c r="L17" s="53"/>
      <c r="M17" s="17"/>
    </row>
    <row r="18" spans="1:15" s="12" customFormat="1" ht="13.2">
      <c r="A18" s="57"/>
      <c r="B18" s="457" t="str">
        <f>Translation!C237</f>
        <v>Table 2: Characteristics of supplies for other child survival interventions (For information only)</v>
      </c>
      <c r="C18" s="57"/>
      <c r="D18" s="57"/>
      <c r="E18" s="58"/>
      <c r="F18" s="58"/>
      <c r="G18" s="47"/>
      <c r="H18" s="47"/>
      <c r="I18" s="44"/>
      <c r="J18" s="55"/>
      <c r="K18" s="53"/>
    </row>
    <row r="19" spans="1:15" s="14" customFormat="1" ht="35.4">
      <c r="A19" s="15"/>
      <c r="B19" s="236" t="str">
        <f>Translation!C238</f>
        <v>Supplies for other interventions</v>
      </c>
      <c r="C19" s="370" t="str">
        <f>C5</f>
        <v>Designation</v>
      </c>
      <c r="D19" s="391"/>
      <c r="E19" s="369" t="str">
        <f>Translation!C240</f>
        <v>Packaging</v>
      </c>
      <c r="F19" s="368"/>
      <c r="G19" s="369" t="str">
        <f>G5</f>
        <v>Packed volume (cm³/unit)</v>
      </c>
      <c r="H19" s="369" t="str">
        <f>H5</f>
        <v>Packed weight (g/unit)</v>
      </c>
      <c r="I19" s="44"/>
      <c r="J19" s="55"/>
      <c r="K19" s="53"/>
    </row>
    <row r="20" spans="1:15" s="14" customFormat="1" ht="13.8">
      <c r="A20" s="15"/>
      <c r="B20" s="372" t="s">
        <v>2106</v>
      </c>
      <c r="C20" s="392" t="s">
        <v>2107</v>
      </c>
      <c r="D20" s="393"/>
      <c r="E20" s="375">
        <v>500</v>
      </c>
      <c r="F20" s="375"/>
      <c r="G20" s="377">
        <f>3.5*3.14*12/E20</f>
        <v>0.26375999999999999</v>
      </c>
      <c r="H20" s="377"/>
      <c r="I20" s="44"/>
      <c r="J20" s="55"/>
      <c r="K20" s="53"/>
    </row>
    <row r="21" spans="1:15" s="14" customFormat="1" ht="13.8">
      <c r="A21" s="15"/>
      <c r="B21" s="378" t="s">
        <v>2108</v>
      </c>
      <c r="C21" s="394" t="s">
        <v>2109</v>
      </c>
      <c r="D21" s="395"/>
      <c r="E21" s="381">
        <v>500</v>
      </c>
      <c r="F21" s="381"/>
      <c r="G21" s="383">
        <f>3.5*3.14*12/E21</f>
        <v>0.26375999999999999</v>
      </c>
      <c r="H21" s="383"/>
      <c r="I21" s="44"/>
      <c r="J21" s="55"/>
      <c r="K21" s="53"/>
    </row>
    <row r="22" spans="1:15" s="14" customFormat="1" ht="13.8">
      <c r="A22" s="15"/>
      <c r="B22" s="378" t="s">
        <v>2110</v>
      </c>
      <c r="C22" s="394" t="s">
        <v>2111</v>
      </c>
      <c r="D22" s="395"/>
      <c r="E22" s="381">
        <v>200</v>
      </c>
      <c r="F22" s="381"/>
      <c r="G22" s="383">
        <f>3.5*3.14*12/E22</f>
        <v>0.65939999999999999</v>
      </c>
      <c r="H22" s="383"/>
      <c r="I22" s="44"/>
      <c r="J22" s="55"/>
      <c r="K22" s="53"/>
      <c r="O22" s="462"/>
    </row>
    <row r="23" spans="1:15" s="14" customFormat="1" ht="13.8">
      <c r="A23" s="15"/>
      <c r="B23" s="378" t="s">
        <v>2112</v>
      </c>
      <c r="C23" s="394" t="s">
        <v>2113</v>
      </c>
      <c r="D23" s="395"/>
      <c r="E23" s="381">
        <v>200</v>
      </c>
      <c r="F23" s="381"/>
      <c r="G23" s="383">
        <f>3.5*3.14*12/E23</f>
        <v>0.65939999999999999</v>
      </c>
      <c r="H23" s="383"/>
      <c r="I23" s="44"/>
      <c r="J23" s="55"/>
      <c r="K23" s="53"/>
    </row>
    <row r="24" spans="1:15" s="14" customFormat="1" ht="13.8">
      <c r="A24" s="15"/>
      <c r="B24" s="378" t="s">
        <v>2114</v>
      </c>
      <c r="C24" s="394" t="s">
        <v>2115</v>
      </c>
      <c r="D24" s="395"/>
      <c r="E24" s="381">
        <v>100</v>
      </c>
      <c r="F24" s="381"/>
      <c r="G24" s="383">
        <f>0.16*1000000/E24</f>
        <v>1600</v>
      </c>
      <c r="H24" s="383">
        <f>38.7*1000/E24</f>
        <v>387</v>
      </c>
      <c r="I24" s="44"/>
      <c r="J24" s="55"/>
      <c r="K24" s="53"/>
    </row>
    <row r="25" spans="1:15" s="14" customFormat="1" ht="13.8">
      <c r="A25" s="15"/>
      <c r="B25" s="378" t="s">
        <v>2116</v>
      </c>
      <c r="C25" s="394" t="s">
        <v>2117</v>
      </c>
      <c r="D25" s="395"/>
      <c r="E25" s="381">
        <v>100</v>
      </c>
      <c r="F25" s="381"/>
      <c r="G25" s="383">
        <f>0.188*1000000/E25</f>
        <v>1880</v>
      </c>
      <c r="H25" s="383">
        <f>44.7*1000/E25</f>
        <v>447</v>
      </c>
      <c r="I25" s="44"/>
      <c r="J25" s="55"/>
      <c r="K25" s="53"/>
    </row>
    <row r="26" spans="1:15" s="14" customFormat="1" ht="13.8">
      <c r="A26" s="15"/>
      <c r="B26" s="378" t="s">
        <v>2118</v>
      </c>
      <c r="C26" s="394" t="s">
        <v>2119</v>
      </c>
      <c r="D26" s="395"/>
      <c r="E26" s="381">
        <v>100</v>
      </c>
      <c r="F26" s="381"/>
      <c r="G26" s="383">
        <f>0.214*1000000/E26</f>
        <v>2140</v>
      </c>
      <c r="H26" s="383">
        <f>50.7*1000/E26</f>
        <v>507</v>
      </c>
      <c r="I26" s="44"/>
      <c r="J26" s="55"/>
      <c r="K26" s="53"/>
    </row>
    <row r="27" spans="1:15" s="14" customFormat="1" ht="13.8">
      <c r="A27" s="15"/>
      <c r="B27" s="378" t="s">
        <v>2120</v>
      </c>
      <c r="C27" s="394" t="s">
        <v>2121</v>
      </c>
      <c r="D27" s="395"/>
      <c r="E27" s="381">
        <v>100</v>
      </c>
      <c r="F27" s="381"/>
      <c r="G27" s="383">
        <f>0.23*1000000/E27</f>
        <v>2300</v>
      </c>
      <c r="H27" s="383">
        <f>56.7*1000/E27</f>
        <v>567</v>
      </c>
      <c r="I27" s="44"/>
      <c r="J27" s="55"/>
      <c r="K27" s="53"/>
    </row>
    <row r="28" spans="1:15" s="14" customFormat="1" ht="13.8">
      <c r="A28" s="15"/>
      <c r="B28" s="378" t="s">
        <v>2122</v>
      </c>
      <c r="C28" s="394" t="s">
        <v>1847</v>
      </c>
      <c r="D28" s="395"/>
      <c r="E28" s="381">
        <v>50</v>
      </c>
      <c r="F28" s="381"/>
      <c r="G28" s="383">
        <f>0.142*1000000/E28</f>
        <v>2840</v>
      </c>
      <c r="H28" s="383">
        <f>30.85*1000/E28</f>
        <v>617</v>
      </c>
      <c r="I28" s="44"/>
      <c r="J28" s="55"/>
      <c r="K28" s="53"/>
    </row>
    <row r="29" spans="1:15" s="14" customFormat="1" ht="13.8">
      <c r="A29" s="15"/>
      <c r="B29" s="378" t="s">
        <v>1848</v>
      </c>
      <c r="C29" s="394" t="s">
        <v>1849</v>
      </c>
      <c r="D29" s="395"/>
      <c r="E29" s="381">
        <v>50</v>
      </c>
      <c r="F29" s="381"/>
      <c r="G29" s="383">
        <f>0.147*1000000/E29</f>
        <v>2940</v>
      </c>
      <c r="H29" s="383">
        <f>33.7*1000/E29</f>
        <v>674</v>
      </c>
      <c r="I29" s="44"/>
      <c r="J29" s="55"/>
      <c r="K29" s="53"/>
    </row>
    <row r="30" spans="1:15" s="14" customFormat="1" ht="13.8">
      <c r="A30" s="15"/>
      <c r="B30" s="378" t="s">
        <v>1850</v>
      </c>
      <c r="C30" s="394" t="s">
        <v>1851</v>
      </c>
      <c r="D30" s="395"/>
      <c r="E30" s="381">
        <v>50</v>
      </c>
      <c r="F30" s="381"/>
      <c r="G30" s="383">
        <f>0.175*1000000/E30</f>
        <v>3500</v>
      </c>
      <c r="H30" s="383">
        <f>38.9*1000/E30</f>
        <v>778</v>
      </c>
      <c r="I30" s="44"/>
      <c r="J30" s="55"/>
      <c r="K30" s="53"/>
    </row>
    <row r="31" spans="1:15" s="14" customFormat="1" ht="13.8">
      <c r="A31" s="15"/>
      <c r="B31" s="378" t="s">
        <v>663</v>
      </c>
      <c r="C31" s="394" t="s">
        <v>664</v>
      </c>
      <c r="D31" s="395"/>
      <c r="E31" s="381">
        <v>50</v>
      </c>
      <c r="F31" s="381"/>
      <c r="G31" s="383">
        <f>0.224*1000000/E31</f>
        <v>4480</v>
      </c>
      <c r="H31" s="383">
        <f>41.55*1000/E31</f>
        <v>831</v>
      </c>
      <c r="I31" s="44"/>
      <c r="J31" s="55"/>
      <c r="K31" s="53"/>
    </row>
    <row r="32" spans="1:15" s="14" customFormat="1" ht="13.8">
      <c r="A32" s="15"/>
      <c r="B32" s="385"/>
      <c r="C32" s="396"/>
      <c r="D32" s="397"/>
      <c r="E32" s="388"/>
      <c r="F32" s="388"/>
      <c r="G32" s="398"/>
      <c r="H32" s="398"/>
      <c r="I32" s="44"/>
      <c r="J32" s="55"/>
      <c r="K32" s="53"/>
    </row>
    <row r="33" spans="2:16" ht="13.8">
      <c r="B33" s="54" t="s">
        <v>2103</v>
      </c>
      <c r="C33" s="12" t="s">
        <v>665</v>
      </c>
      <c r="D33" s="54"/>
      <c r="E33" s="12"/>
      <c r="F33" s="44"/>
      <c r="G33" s="44"/>
      <c r="H33" s="44"/>
      <c r="I33" s="44"/>
      <c r="J33" s="55"/>
      <c r="P33" s="14"/>
    </row>
    <row r="34" spans="2:16" s="17" customFormat="1" ht="13.2">
      <c r="B34" s="457" t="str">
        <f>Translation!C241</f>
        <v>Table 3: Characteristics of walk in cold/freezer rooms</v>
      </c>
      <c r="F34" s="18"/>
      <c r="G34" s="18"/>
      <c r="H34" s="68" t="s">
        <v>821</v>
      </c>
      <c r="I34" s="69">
        <v>20</v>
      </c>
      <c r="J34" s="9" t="s">
        <v>407</v>
      </c>
    </row>
    <row r="35" spans="2:16" s="44" customFormat="1" ht="46.8">
      <c r="B35" s="229" t="str">
        <f>Translation!C242</f>
        <v>Size of walk in cold rooms</v>
      </c>
      <c r="C35" s="229" t="str">
        <f>Translation!C243</f>
        <v>Gross volume of cold rooms</v>
      </c>
      <c r="D35" s="229" t="str">
        <f>Translation!C244</f>
        <v>Grossing factor</v>
      </c>
      <c r="E35" s="229" t="str">
        <f>Translation!C245</f>
        <v>Net storage capacity (litres)</v>
      </c>
      <c r="F35" s="229" t="str">
        <f>Translation!C246</f>
        <v>Cost of WICR</v>
      </c>
      <c r="G35" s="229" t="str">
        <f>Translation!C247</f>
        <v>Cost of WIFR</v>
      </c>
      <c r="H35" s="229" t="str">
        <f>Translation!C248</f>
        <v>Power of WICR (kW)</v>
      </c>
      <c r="I35" s="229" t="str">
        <f>Translation!C249</f>
        <v>Power of WIFR (kW)</v>
      </c>
      <c r="J35" s="229" t="str">
        <f>Translation!C250</f>
        <v>Investment of WICR ($/litre)</v>
      </c>
      <c r="K35" s="229" t="str">
        <f>Translation!C251</f>
        <v>Investment of WICR ($/litre)</v>
      </c>
      <c r="L35" s="229" t="str">
        <f>Translation!C252</f>
        <v>Energy consumption of WICR ($/litre)</v>
      </c>
      <c r="M35" s="229" t="str">
        <f>Translation!C253</f>
        <v>Energy consumption of WICR ($/litre)</v>
      </c>
      <c r="N35" s="229"/>
    </row>
    <row r="36" spans="2:16" s="44" customFormat="1" ht="13.2">
      <c r="B36" s="399" t="str">
        <f>CONCATENATE(Translation!C$254,"-",C36,"m3")</f>
        <v>WICR-5m3</v>
      </c>
      <c r="C36" s="400">
        <v>5</v>
      </c>
      <c r="D36" s="401">
        <v>3.2</v>
      </c>
      <c r="E36" s="402">
        <f>IF(OR(ISTEXT(C36),C36="",D36=""),"",C36/D36*1000)</f>
        <v>1562.5</v>
      </c>
      <c r="F36" s="451">
        <f>(7568*1.64+1518)*1.5*1.4</f>
        <v>29251.991999999995</v>
      </c>
      <c r="G36" s="451">
        <f>(7568*2.108+1518)*1.5*1.4</f>
        <v>36689.822400000005</v>
      </c>
      <c r="H36" s="403">
        <v>1.1000000000000001</v>
      </c>
      <c r="I36" s="403">
        <v>1.7</v>
      </c>
      <c r="J36" s="454">
        <f>IF($E36="","",F36/$E36)</f>
        <v>18.721274879999996</v>
      </c>
      <c r="K36" s="454">
        <f>IF($E36="","",G36/$E36)</f>
        <v>23.481486336000003</v>
      </c>
      <c r="L36" s="454">
        <f t="shared" ref="L36:L46" si="0">IF($E36="","",$I$34*$C$82*(H36*16*300/$E36))</f>
        <v>13.5168</v>
      </c>
      <c r="M36" s="454">
        <f t="shared" ref="M36:M46" si="1">IF($E36="","",$I$34*$C$82*(I36*16*300/$E36))</f>
        <v>20.889600000000002</v>
      </c>
      <c r="N36" s="404" t="str">
        <f>CONCATENATE(Translation!C$255,"-",C36,"m3")</f>
        <v>WIFR-5m3</v>
      </c>
    </row>
    <row r="37" spans="2:16" s="44" customFormat="1" ht="13.2">
      <c r="B37" s="405" t="str">
        <f>CONCATENATE(Translation!C$254,"-",C37,"m3")</f>
        <v>WICR-10m3</v>
      </c>
      <c r="C37" s="406">
        <v>10</v>
      </c>
      <c r="D37" s="407">
        <v>3.3</v>
      </c>
      <c r="E37" s="408">
        <f t="shared" ref="E37:E46" si="2">IF(OR(ISTEXT(C37),C37="",D37=""),"",C37/D37*1000)</f>
        <v>3030.3030303030305</v>
      </c>
      <c r="F37" s="452">
        <f>(10568*1.64+1518)*1.5*1.4</f>
        <v>39583.991999999998</v>
      </c>
      <c r="G37" s="452">
        <f>(10568*2.108+1518)*1.5*1.4</f>
        <v>49970.222399999999</v>
      </c>
      <c r="H37" s="127">
        <v>1.2</v>
      </c>
      <c r="I37" s="127">
        <v>2.1</v>
      </c>
      <c r="J37" s="455">
        <f t="shared" ref="J37:J46" si="3">IF($E37="","",F37/$E37)</f>
        <v>13.062717359999999</v>
      </c>
      <c r="K37" s="455">
        <f t="shared" ref="K37:K46" si="4">IF($E37="","",G37/$E37)</f>
        <v>16.490173391999999</v>
      </c>
      <c r="L37" s="455">
        <f t="shared" si="0"/>
        <v>7.6031999999999993</v>
      </c>
      <c r="M37" s="455">
        <f t="shared" si="1"/>
        <v>13.3056</v>
      </c>
      <c r="N37" s="409" t="str">
        <f>CONCATENATE(Translation!C$255,"-",C37,"m3")</f>
        <v>WIFR-10m3</v>
      </c>
    </row>
    <row r="38" spans="2:16" s="44" customFormat="1" ht="13.2">
      <c r="B38" s="405" t="str">
        <f>CONCATENATE(Translation!C$254,"-",C38,"m3")</f>
        <v>WICR-15m3</v>
      </c>
      <c r="C38" s="406">
        <v>15</v>
      </c>
      <c r="D38" s="407">
        <v>3.7</v>
      </c>
      <c r="E38" s="408">
        <f t="shared" si="2"/>
        <v>4054.0540540540537</v>
      </c>
      <c r="F38" s="452">
        <f>(11568*1.64+1518)*1.5*1.4</f>
        <v>43027.991999999998</v>
      </c>
      <c r="G38" s="452">
        <f>(11568*2.108+1518)*1.5*1.4</f>
        <v>54397.022400000002</v>
      </c>
      <c r="H38" s="127">
        <v>1.7</v>
      </c>
      <c r="I38" s="127">
        <v>2.2999999999999998</v>
      </c>
      <c r="J38" s="455">
        <f t="shared" si="3"/>
        <v>10.61357136</v>
      </c>
      <c r="K38" s="455">
        <f t="shared" si="4"/>
        <v>13.417932192000002</v>
      </c>
      <c r="L38" s="455">
        <f t="shared" si="0"/>
        <v>8.0512000000000015</v>
      </c>
      <c r="M38" s="455">
        <f t="shared" si="1"/>
        <v>10.892800000000001</v>
      </c>
      <c r="N38" s="409" t="str">
        <f>CONCATENATE(Translation!C$255,"-",C38,"m3")</f>
        <v>WIFR-15m3</v>
      </c>
    </row>
    <row r="39" spans="2:16" s="44" customFormat="1" ht="13.2">
      <c r="B39" s="405" t="str">
        <f>CONCATENATE(Translation!C$254,"-",C39,"m3")</f>
        <v>WICR-20m3</v>
      </c>
      <c r="C39" s="406">
        <v>20</v>
      </c>
      <c r="D39" s="407">
        <v>3.9</v>
      </c>
      <c r="E39" s="408">
        <f t="shared" si="2"/>
        <v>5128.2051282051289</v>
      </c>
      <c r="F39" s="452">
        <f>(12544*1.64+1518)*1.5*1.4</f>
        <v>46389.335999999996</v>
      </c>
      <c r="G39" s="452">
        <f>(12544*2.108+1518)*1.5*1.4</f>
        <v>58717.579199999993</v>
      </c>
      <c r="H39" s="127">
        <v>2.1</v>
      </c>
      <c r="I39" s="127">
        <v>2.6</v>
      </c>
      <c r="J39" s="455">
        <f t="shared" si="3"/>
        <v>9.0459205199999975</v>
      </c>
      <c r="K39" s="455">
        <f t="shared" si="4"/>
        <v>11.449927943999997</v>
      </c>
      <c r="L39" s="455">
        <f t="shared" si="0"/>
        <v>7.8623999999999992</v>
      </c>
      <c r="M39" s="455">
        <f t="shared" si="1"/>
        <v>9.7343999999999991</v>
      </c>
      <c r="N39" s="409" t="str">
        <f>CONCATENATE(Translation!C$255,"-",C39,"m3")</f>
        <v>WIFR-20m3</v>
      </c>
    </row>
    <row r="40" spans="2:16" s="44" customFormat="1" ht="13.2">
      <c r="B40" s="405" t="str">
        <f>CONCATENATE(Translation!C$254,"-",C40,"m3")</f>
        <v>WICR-30m3</v>
      </c>
      <c r="C40" s="406">
        <v>30</v>
      </c>
      <c r="D40" s="407">
        <v>4.2</v>
      </c>
      <c r="E40" s="408">
        <f t="shared" si="2"/>
        <v>7142.8571428571422</v>
      </c>
      <c r="F40" s="452">
        <f>(14837*1.64+1518)*1.5*1.4</f>
        <v>54286.428</v>
      </c>
      <c r="G40" s="452">
        <f>(14837*2.108+1518)*1.5*1.4</f>
        <v>68868.231599999985</v>
      </c>
      <c r="H40" s="127">
        <f>(H41+H39)/2</f>
        <v>2.59</v>
      </c>
      <c r="I40" s="127">
        <f>(I41+I39)/2</f>
        <v>3.34</v>
      </c>
      <c r="J40" s="455">
        <f t="shared" si="3"/>
        <v>7.6000999200000008</v>
      </c>
      <c r="K40" s="455">
        <f t="shared" si="4"/>
        <v>9.6415524239999986</v>
      </c>
      <c r="L40" s="455">
        <f t="shared" si="0"/>
        <v>6.961920000000001</v>
      </c>
      <c r="M40" s="455">
        <f t="shared" si="1"/>
        <v>8.977920000000001</v>
      </c>
      <c r="N40" s="409" t="str">
        <f>CONCATENATE(Translation!C$255,"-",C40,"m3")</f>
        <v>WIFR-30m3</v>
      </c>
    </row>
    <row r="41" spans="2:16" s="44" customFormat="1" ht="13.2">
      <c r="B41" s="405" t="str">
        <f>CONCATENATE(Translation!C$254,"-",C41,"m3")</f>
        <v>WICR-40m3</v>
      </c>
      <c r="C41" s="406">
        <v>40</v>
      </c>
      <c r="D41" s="407">
        <v>4.2</v>
      </c>
      <c r="E41" s="408">
        <f t="shared" si="2"/>
        <v>9523.8095238095229</v>
      </c>
      <c r="F41" s="452">
        <f>(17000*1.64+1518)*1.5*1.4</f>
        <v>61735.799999999996</v>
      </c>
      <c r="G41" s="452">
        <f>(17000*2.108+1518)*1.5*1.4</f>
        <v>78443.399999999994</v>
      </c>
      <c r="H41" s="127">
        <v>3.08</v>
      </c>
      <c r="I41" s="127">
        <v>4.08</v>
      </c>
      <c r="J41" s="455">
        <f t="shared" si="3"/>
        <v>6.482259</v>
      </c>
      <c r="K41" s="455">
        <f t="shared" si="4"/>
        <v>8.2365569999999995</v>
      </c>
      <c r="L41" s="455">
        <f t="shared" si="0"/>
        <v>6.2092800000000006</v>
      </c>
      <c r="M41" s="455">
        <f t="shared" si="1"/>
        <v>8.2252800000000015</v>
      </c>
      <c r="N41" s="409" t="str">
        <f>CONCATENATE(Translation!C$255,"-",C41,"m3")</f>
        <v>WIFR-40m3</v>
      </c>
    </row>
    <row r="42" spans="2:16" s="44" customFormat="1" ht="13.2">
      <c r="B42" s="405" t="str">
        <f>CONCATENATE(Translation!C$254,"-",C42,"m3")</f>
        <v>WICR-60m3</v>
      </c>
      <c r="C42" s="406">
        <v>60</v>
      </c>
      <c r="D42" s="407">
        <f>(D41+D39)/2</f>
        <v>4.05</v>
      </c>
      <c r="E42" s="408">
        <f t="shared" si="2"/>
        <v>14814.814814814816</v>
      </c>
      <c r="F42" s="452">
        <f>F39+F41</f>
        <v>108125.136</v>
      </c>
      <c r="G42" s="452">
        <f>G39+G41</f>
        <v>137160.9792</v>
      </c>
      <c r="H42" s="127">
        <f>H39+H41</f>
        <v>5.18</v>
      </c>
      <c r="I42" s="127">
        <f>I39+I41</f>
        <v>6.68</v>
      </c>
      <c r="J42" s="455">
        <f t="shared" si="3"/>
        <v>7.2984466799999996</v>
      </c>
      <c r="K42" s="455">
        <f t="shared" si="4"/>
        <v>9.2583660959999996</v>
      </c>
      <c r="L42" s="455">
        <f t="shared" si="0"/>
        <v>6.7132799999999992</v>
      </c>
      <c r="M42" s="455">
        <f t="shared" si="1"/>
        <v>8.6572800000000001</v>
      </c>
      <c r="N42" s="409" t="str">
        <f>CONCATENATE(Translation!C$255,"-",C42,"m3")</f>
        <v>WIFR-60m3</v>
      </c>
    </row>
    <row r="43" spans="2:16" s="44" customFormat="1" ht="13.2">
      <c r="B43" s="405" t="str">
        <f>CONCATENATE(Translation!C$254,"-",C43,"m3")</f>
        <v>WICR-80m3</v>
      </c>
      <c r="C43" s="406">
        <v>80</v>
      </c>
      <c r="D43" s="407">
        <f>D41</f>
        <v>4.2</v>
      </c>
      <c r="E43" s="408">
        <f t="shared" si="2"/>
        <v>19047.619047619046</v>
      </c>
      <c r="F43" s="452">
        <f>F41*2</f>
        <v>123471.59999999999</v>
      </c>
      <c r="G43" s="452">
        <f>G41*2</f>
        <v>156886.79999999999</v>
      </c>
      <c r="H43" s="127">
        <f>H41*2</f>
        <v>6.16</v>
      </c>
      <c r="I43" s="127">
        <f>I41*2</f>
        <v>8.16</v>
      </c>
      <c r="J43" s="455">
        <f t="shared" si="3"/>
        <v>6.482259</v>
      </c>
      <c r="K43" s="455">
        <f t="shared" si="4"/>
        <v>8.2365569999999995</v>
      </c>
      <c r="L43" s="455">
        <f t="shared" si="0"/>
        <v>6.2092800000000006</v>
      </c>
      <c r="M43" s="455">
        <f t="shared" si="1"/>
        <v>8.2252800000000015</v>
      </c>
      <c r="N43" s="409" t="str">
        <f>CONCATENATE(Translation!C$255,"-",C43,"m3")</f>
        <v>WIFR-80m3</v>
      </c>
    </row>
    <row r="44" spans="2:16" s="44" customFormat="1" ht="13.2">
      <c r="B44" s="405" t="str">
        <f>CONCATENATE(Translation!C$254,"-",C44,"m3")</f>
        <v>WICR-90m3</v>
      </c>
      <c r="C44" s="406">
        <v>90</v>
      </c>
      <c r="D44" s="407">
        <f>AVERAGE(D39:D41)</f>
        <v>4.1000000000000005</v>
      </c>
      <c r="E44" s="408">
        <f t="shared" si="2"/>
        <v>21951.219512195119</v>
      </c>
      <c r="F44" s="452">
        <f>F41+F40+F39</f>
        <v>162411.56400000001</v>
      </c>
      <c r="G44" s="452">
        <f>G41+G40+G39</f>
        <v>206029.21079999994</v>
      </c>
      <c r="H44" s="127">
        <f>H41+H40+H39</f>
        <v>7.77</v>
      </c>
      <c r="I44" s="127">
        <f>I41+I40+I39</f>
        <v>10.02</v>
      </c>
      <c r="J44" s="455">
        <f t="shared" si="3"/>
        <v>7.3987490266666684</v>
      </c>
      <c r="K44" s="455">
        <f t="shared" si="4"/>
        <v>9.3857751586666645</v>
      </c>
      <c r="L44" s="455">
        <f t="shared" si="0"/>
        <v>6.7961600000000013</v>
      </c>
      <c r="M44" s="455">
        <f t="shared" si="1"/>
        <v>8.7641600000000004</v>
      </c>
      <c r="N44" s="409" t="str">
        <f>CONCATENATE(Translation!C$255,"-",C44,"m3")</f>
        <v>WIFR-90m3</v>
      </c>
    </row>
    <row r="45" spans="2:16" s="44" customFormat="1" ht="13.2">
      <c r="B45" s="405" t="str">
        <f>CONCATENATE(Translation!C$254,"-",C45,"m3")</f>
        <v>WICR-120m3</v>
      </c>
      <c r="C45" s="406">
        <v>120</v>
      </c>
      <c r="D45" s="407">
        <f>D41</f>
        <v>4.2</v>
      </c>
      <c r="E45" s="408">
        <f t="shared" si="2"/>
        <v>28571.428571428569</v>
      </c>
      <c r="F45" s="452">
        <f>F41*3</f>
        <v>185207.4</v>
      </c>
      <c r="G45" s="452">
        <f>G41*3</f>
        <v>235330.19999999998</v>
      </c>
      <c r="H45" s="127">
        <f>H41*3</f>
        <v>9.24</v>
      </c>
      <c r="I45" s="127">
        <f>I41*3</f>
        <v>12.24</v>
      </c>
      <c r="J45" s="455">
        <f t="shared" si="3"/>
        <v>6.482259</v>
      </c>
      <c r="K45" s="455">
        <f t="shared" si="4"/>
        <v>8.2365569999999995</v>
      </c>
      <c r="L45" s="455">
        <f t="shared" si="0"/>
        <v>6.2092800000000006</v>
      </c>
      <c r="M45" s="455">
        <f t="shared" si="1"/>
        <v>8.2252800000000015</v>
      </c>
      <c r="N45" s="409" t="str">
        <f>CONCATENATE(Translation!C$255,"-",C45,"m3")</f>
        <v>WIFR-120m3</v>
      </c>
    </row>
    <row r="46" spans="2:16" s="44" customFormat="1" ht="13.2">
      <c r="B46" s="410" t="str">
        <f>CONCATENATE(Translation!C$254,"-",C46,"m3")</f>
        <v>WICR-160m3</v>
      </c>
      <c r="C46" s="411">
        <v>160</v>
      </c>
      <c r="D46" s="412">
        <f>D41</f>
        <v>4.2</v>
      </c>
      <c r="E46" s="413">
        <f t="shared" si="2"/>
        <v>38095.238095238092</v>
      </c>
      <c r="F46" s="453">
        <f>F41*4</f>
        <v>246943.19999999998</v>
      </c>
      <c r="G46" s="453">
        <f>G41*4</f>
        <v>313773.59999999998</v>
      </c>
      <c r="H46" s="414">
        <f>H41*4</f>
        <v>12.32</v>
      </c>
      <c r="I46" s="414">
        <f>I41*4</f>
        <v>16.32</v>
      </c>
      <c r="J46" s="456">
        <f t="shared" si="3"/>
        <v>6.482259</v>
      </c>
      <c r="K46" s="456">
        <f t="shared" si="4"/>
        <v>8.2365569999999995</v>
      </c>
      <c r="L46" s="456">
        <f t="shared" si="0"/>
        <v>6.2092800000000006</v>
      </c>
      <c r="M46" s="456">
        <f t="shared" si="1"/>
        <v>8.2252800000000015</v>
      </c>
      <c r="N46" s="415" t="str">
        <f>CONCATENATE(Translation!C$255,"-",C46,"m3")</f>
        <v>WIFR-160m3</v>
      </c>
    </row>
    <row r="47" spans="2:16" s="44" customFormat="1" ht="13.8">
      <c r="B47" s="54" t="s">
        <v>2103</v>
      </c>
      <c r="C47" s="12" t="s">
        <v>1731</v>
      </c>
      <c r="D47" s="15"/>
      <c r="E47" s="15"/>
      <c r="F47" s="15"/>
      <c r="H47" s="17"/>
      <c r="I47" s="17"/>
      <c r="K47" s="59"/>
    </row>
    <row r="48" spans="2:16" ht="13.2">
      <c r="B48" s="457" t="str">
        <f>Translation!C259</f>
        <v>Table 4: Characteristics of icepack freezers</v>
      </c>
      <c r="C48" s="60"/>
    </row>
    <row r="49" spans="2:7">
      <c r="B49" s="416"/>
      <c r="C49" s="416"/>
      <c r="D49" s="417"/>
      <c r="E49" s="260" t="str">
        <f>Translation!C263</f>
        <v>Number of icepacks</v>
      </c>
      <c r="F49" s="418"/>
      <c r="G49" s="261"/>
    </row>
    <row r="50" spans="2:7">
      <c r="B50" s="419" t="str">
        <f>Translation!C260</f>
        <v>Make freezers</v>
      </c>
      <c r="C50" s="419" t="str">
        <f>Translation!C261</f>
        <v>Model freezers</v>
      </c>
      <c r="D50" s="256" t="str">
        <f>Translation!C262</f>
        <v>Capacity (litres)</v>
      </c>
      <c r="E50" s="256">
        <v>0.3</v>
      </c>
      <c r="F50" s="256">
        <v>0.4</v>
      </c>
      <c r="G50" s="256">
        <v>0.6</v>
      </c>
    </row>
    <row r="51" spans="2:7">
      <c r="B51" s="310" t="s">
        <v>1485</v>
      </c>
      <c r="C51" s="309" t="s">
        <v>1816</v>
      </c>
      <c r="D51" s="420">
        <f>SUMIF(PQEquipment!$D$6:$D$97,C51,PQEquipment!$J$6:$J$97)</f>
        <v>14</v>
      </c>
      <c r="E51" s="421">
        <f>$D51/E$50*75%</f>
        <v>35</v>
      </c>
      <c r="F51" s="421">
        <f t="shared" ref="F51:G60" si="5">$D51/F$50*75%</f>
        <v>26.25</v>
      </c>
      <c r="G51" s="421">
        <f t="shared" si="5"/>
        <v>17.5</v>
      </c>
    </row>
    <row r="52" spans="2:7">
      <c r="B52" s="310" t="s">
        <v>1485</v>
      </c>
      <c r="C52" s="309" t="s">
        <v>1376</v>
      </c>
      <c r="D52" s="408">
        <f>SUMIF(PQEquipment!$D$6:$D$97,C52,PQEquipment!$J$6:$J$97)</f>
        <v>14</v>
      </c>
      <c r="E52" s="422">
        <f t="shared" ref="E52:E60" si="6">$D52/E$50*75%</f>
        <v>35</v>
      </c>
      <c r="F52" s="422">
        <f t="shared" si="5"/>
        <v>26.25</v>
      </c>
      <c r="G52" s="422">
        <f t="shared" si="5"/>
        <v>17.5</v>
      </c>
    </row>
    <row r="53" spans="2:7">
      <c r="B53" s="310" t="s">
        <v>1485</v>
      </c>
      <c r="C53" s="309" t="s">
        <v>1386</v>
      </c>
      <c r="D53" s="408">
        <f>SUMIF(PQEquipment!$D$6:$D$97,C53,PQEquipment!$J$6:$J$97)</f>
        <v>145</v>
      </c>
      <c r="E53" s="422">
        <f t="shared" si="6"/>
        <v>362.5</v>
      </c>
      <c r="F53" s="422">
        <f t="shared" si="5"/>
        <v>271.875</v>
      </c>
      <c r="G53" s="422">
        <f t="shared" si="5"/>
        <v>181.25</v>
      </c>
    </row>
    <row r="54" spans="2:7">
      <c r="B54" s="310" t="s">
        <v>629</v>
      </c>
      <c r="C54" s="309" t="s">
        <v>90</v>
      </c>
      <c r="D54" s="408">
        <f>SUMIF(PQEquipment!$D$6:$D$97,C54,PQEquipment!$J$6:$J$97)</f>
        <v>144</v>
      </c>
      <c r="E54" s="422">
        <f t="shared" si="6"/>
        <v>360</v>
      </c>
      <c r="F54" s="422">
        <f t="shared" si="5"/>
        <v>270</v>
      </c>
      <c r="G54" s="422">
        <f t="shared" si="5"/>
        <v>180</v>
      </c>
    </row>
    <row r="55" spans="2:7">
      <c r="B55" s="310" t="s">
        <v>2003</v>
      </c>
      <c r="C55" s="309" t="s">
        <v>93</v>
      </c>
      <c r="D55" s="408">
        <f>SUMIF(PQEquipment!$D$6:$D$97,C55,PQEquipment!$J$6:$J$97)</f>
        <v>72</v>
      </c>
      <c r="E55" s="422">
        <f t="shared" si="6"/>
        <v>180</v>
      </c>
      <c r="F55" s="422">
        <f t="shared" si="5"/>
        <v>135</v>
      </c>
      <c r="G55" s="422">
        <f t="shared" si="5"/>
        <v>90</v>
      </c>
    </row>
    <row r="56" spans="2:7">
      <c r="B56" s="314" t="s">
        <v>2003</v>
      </c>
      <c r="C56" s="309" t="s">
        <v>95</v>
      </c>
      <c r="D56" s="408">
        <f>SUMIF(PQEquipment!$D$6:$D$97,C56,PQEquipment!$J$6:$J$97)</f>
        <v>192</v>
      </c>
      <c r="E56" s="422">
        <f t="shared" si="6"/>
        <v>480</v>
      </c>
      <c r="F56" s="422">
        <f t="shared" si="5"/>
        <v>360</v>
      </c>
      <c r="G56" s="422">
        <f t="shared" si="5"/>
        <v>240</v>
      </c>
    </row>
    <row r="57" spans="2:7">
      <c r="B57" s="310" t="s">
        <v>2003</v>
      </c>
      <c r="C57" s="309" t="s">
        <v>97</v>
      </c>
      <c r="D57" s="408">
        <f>SUMIF(PQEquipment!$D$6:$D$97,C57,PQEquipment!$J$6:$J$97)</f>
        <v>264</v>
      </c>
      <c r="E57" s="422">
        <f t="shared" si="6"/>
        <v>660</v>
      </c>
      <c r="F57" s="422">
        <f t="shared" si="5"/>
        <v>495</v>
      </c>
      <c r="G57" s="422">
        <f t="shared" si="5"/>
        <v>330</v>
      </c>
    </row>
    <row r="58" spans="2:7">
      <c r="B58" s="310" t="s">
        <v>1485</v>
      </c>
      <c r="C58" s="309" t="s">
        <v>99</v>
      </c>
      <c r="D58" s="408">
        <f>SUMIF(PQEquipment!$D$6:$D$97,C58,PQEquipment!$J$6:$J$97)</f>
        <v>264</v>
      </c>
      <c r="E58" s="422">
        <f t="shared" si="6"/>
        <v>660</v>
      </c>
      <c r="F58" s="422">
        <f t="shared" si="5"/>
        <v>495</v>
      </c>
      <c r="G58" s="422">
        <f t="shared" si="5"/>
        <v>330</v>
      </c>
    </row>
    <row r="59" spans="2:7">
      <c r="B59" s="310" t="s">
        <v>1485</v>
      </c>
      <c r="C59" s="309" t="s">
        <v>101</v>
      </c>
      <c r="D59" s="408">
        <f>SUMIF(PQEquipment!$D$6:$D$97,C59,PQEquipment!$J$6:$J$97)</f>
        <v>144</v>
      </c>
      <c r="E59" s="422">
        <f t="shared" si="6"/>
        <v>360</v>
      </c>
      <c r="F59" s="422">
        <f t="shared" si="5"/>
        <v>270</v>
      </c>
      <c r="G59" s="422">
        <f t="shared" si="5"/>
        <v>180</v>
      </c>
    </row>
    <row r="60" spans="2:7">
      <c r="B60" s="310"/>
      <c r="C60" s="309"/>
      <c r="D60" s="408">
        <f>SUMIF(PQEquipment!$D$6:$D$97,C60,PQEquipment!$J$6:$J$97)</f>
        <v>0</v>
      </c>
      <c r="E60" s="422">
        <f t="shared" si="6"/>
        <v>0</v>
      </c>
      <c r="F60" s="422">
        <f t="shared" si="5"/>
        <v>0</v>
      </c>
      <c r="G60" s="422">
        <f t="shared" si="5"/>
        <v>0</v>
      </c>
    </row>
    <row r="61" spans="2:7">
      <c r="B61" s="66"/>
      <c r="C61" s="66"/>
    </row>
    <row r="62" spans="2:7" ht="13.2">
      <c r="B62" s="457" t="str">
        <f>Translation!C264</f>
        <v>Table 5: Characteristics of vaccine shipping containers</v>
      </c>
      <c r="C62" s="66"/>
    </row>
    <row r="63" spans="2:7" ht="22.8">
      <c r="B63" s="442" t="str">
        <f>Translation!C265</f>
        <v>Vaccine containers</v>
      </c>
      <c r="C63" s="423" t="str">
        <f>Translation!C266</f>
        <v>Code containers</v>
      </c>
      <c r="D63" s="229" t="str">
        <f>Translation!C267</f>
        <v>Capacity (litres)</v>
      </c>
      <c r="E63" s="229" t="str">
        <f>Translation!C268</f>
        <v>No. of icepacks</v>
      </c>
      <c r="F63" s="229" t="str">
        <f>Translation!C269</f>
        <v>Loaded weight (kg)</v>
      </c>
      <c r="G63" s="229" t="str">
        <f>Translation!C270</f>
        <v>External volume (m³)</v>
      </c>
    </row>
    <row r="64" spans="2:7">
      <c r="B64" s="308" t="str">
        <f>Translation!C271</f>
        <v>Large cold box (PQS)</v>
      </c>
      <c r="C64" s="308" t="str">
        <f>Translation!C279</f>
        <v>CB_large</v>
      </c>
      <c r="D64" s="424">
        <v>20</v>
      </c>
      <c r="E64" s="421">
        <v>29</v>
      </c>
      <c r="F64" s="428">
        <v>35</v>
      </c>
      <c r="G64" s="429">
        <v>0.17210553846153848</v>
      </c>
    </row>
    <row r="65" spans="2:15">
      <c r="B65" s="309" t="str">
        <f>Translation!C272</f>
        <v>Small cold box (PQS)</v>
      </c>
      <c r="C65" s="309" t="str">
        <f>Translation!C280</f>
        <v>CB_small</v>
      </c>
      <c r="D65" s="408">
        <v>7</v>
      </c>
      <c r="E65" s="422">
        <v>20</v>
      </c>
      <c r="F65" s="430">
        <v>22</v>
      </c>
      <c r="G65" s="431">
        <v>0.10215845833333333</v>
      </c>
    </row>
    <row r="66" spans="2:15">
      <c r="B66" s="309" t="str">
        <f>Translation!C273</f>
        <v>Large vaccine carrier (PQS)</v>
      </c>
      <c r="C66" s="309" t="str">
        <f>Translation!C281</f>
        <v>VC_large</v>
      </c>
      <c r="D66" s="408">
        <v>3</v>
      </c>
      <c r="E66" s="422">
        <v>6</v>
      </c>
      <c r="F66" s="430">
        <v>7.5</v>
      </c>
      <c r="G66" s="431">
        <v>3.3029166666666665E-2</v>
      </c>
    </row>
    <row r="67" spans="2:15">
      <c r="B67" s="309" t="str">
        <f>Translation!C274</f>
        <v>Small vaccine carrier (PQS)</v>
      </c>
      <c r="C67" s="309" t="str">
        <f>Translation!C282</f>
        <v>VC_small</v>
      </c>
      <c r="D67" s="408">
        <v>1</v>
      </c>
      <c r="E67" s="422">
        <v>3</v>
      </c>
      <c r="F67" s="430">
        <v>2.5</v>
      </c>
      <c r="G67" s="431">
        <v>8.8846250000000002E-3</v>
      </c>
    </row>
    <row r="68" spans="2:15" ht="12">
      <c r="B68" s="432" t="str">
        <f>Translation!C275</f>
        <v>Other vaccine shipment containers</v>
      </c>
      <c r="C68" s="432"/>
      <c r="D68" s="425"/>
      <c r="E68" s="433"/>
      <c r="F68" s="433"/>
      <c r="G68" s="434"/>
    </row>
    <row r="69" spans="2:15">
      <c r="B69" s="128" t="str">
        <f>Translation!C276</f>
        <v>Container_1</v>
      </c>
      <c r="C69" s="128" t="str">
        <f>Translation!C283</f>
        <v>Container_1</v>
      </c>
      <c r="D69" s="426">
        <v>30</v>
      </c>
      <c r="E69" s="435">
        <v>30</v>
      </c>
      <c r="F69" s="436">
        <v>50</v>
      </c>
      <c r="G69" s="437">
        <v>0.2</v>
      </c>
    </row>
    <row r="70" spans="2:15">
      <c r="B70" s="128" t="str">
        <f>Translation!C277</f>
        <v>Container_2</v>
      </c>
      <c r="C70" s="128" t="str">
        <f>Translation!C284</f>
        <v>Container_2</v>
      </c>
      <c r="D70" s="426"/>
      <c r="E70" s="435"/>
      <c r="F70" s="436"/>
      <c r="G70" s="437"/>
    </row>
    <row r="71" spans="2:15">
      <c r="B71" s="438" t="str">
        <f>Translation!C278</f>
        <v>Container_3</v>
      </c>
      <c r="C71" s="438" t="str">
        <f>Translation!C285</f>
        <v>Container_3</v>
      </c>
      <c r="D71" s="427"/>
      <c r="E71" s="439"/>
      <c r="F71" s="440"/>
      <c r="G71" s="441"/>
    </row>
    <row r="73" spans="2:15" ht="13.2">
      <c r="B73" s="457" t="str">
        <f>Translation!C286</f>
        <v>Table 6: Purchase and running cost of cold chain equipment</v>
      </c>
    </row>
    <row r="74" spans="2:15" ht="12">
      <c r="B74" s="367"/>
      <c r="C74" s="367"/>
      <c r="D74" s="367"/>
      <c r="E74" s="367"/>
      <c r="F74" s="367"/>
      <c r="G74" s="367"/>
      <c r="H74" s="368">
        <v>1</v>
      </c>
      <c r="I74" s="368">
        <v>2</v>
      </c>
      <c r="J74" s="368">
        <v>3</v>
      </c>
      <c r="K74" s="368">
        <v>4</v>
      </c>
      <c r="L74" s="368">
        <v>5</v>
      </c>
      <c r="M74" s="368">
        <v>6</v>
      </c>
      <c r="N74" s="368">
        <v>7</v>
      </c>
      <c r="O74" s="368">
        <v>8</v>
      </c>
    </row>
    <row r="75" spans="2:15" ht="34.200000000000003">
      <c r="B75" s="460" t="str">
        <f>Translation!C287</f>
        <v>Refrigerators/Freezers</v>
      </c>
      <c r="C75" s="443" t="str">
        <f>Translation!C288</f>
        <v>Type refrigerator</v>
      </c>
      <c r="D75" s="443" t="str">
        <f>Translation!C289</f>
        <v>Storage capacity (litres)</v>
      </c>
      <c r="E75" s="443" t="str">
        <f>Translation!C290</f>
        <v>Annual energy consumption</v>
      </c>
      <c r="F75" s="443" t="str">
        <f>Translation!C291</f>
        <v>Spare parts</v>
      </c>
      <c r="G75" s="443" t="str">
        <f>Translation!C292</f>
        <v>Purchase price</v>
      </c>
      <c r="H75" s="459" t="str">
        <f>CONCATENATE(Translation!$C$293,-Supplies!H74)</f>
        <v>year-1</v>
      </c>
      <c r="I75" s="459" t="str">
        <f>CONCATENATE(Translation!$C$293,-Supplies!I74)</f>
        <v>year-2</v>
      </c>
      <c r="J75" s="459" t="str">
        <f>CONCATENATE(Translation!$C$293,-Supplies!J74)</f>
        <v>year-3</v>
      </c>
      <c r="K75" s="459" t="str">
        <f>CONCATENATE(Translation!$C$293,-Supplies!K74)</f>
        <v>year-4</v>
      </c>
      <c r="L75" s="459" t="str">
        <f>CONCATENATE(Translation!$C$293,-Supplies!L74)</f>
        <v>year-5</v>
      </c>
      <c r="M75" s="459" t="str">
        <f>CONCATENATE(Translation!$C$293,-Supplies!M74)</f>
        <v>year-6</v>
      </c>
      <c r="N75" s="459" t="str">
        <f>CONCATENATE(Translation!$C$293,-Supplies!N74)</f>
        <v>year-7</v>
      </c>
      <c r="O75" s="459" t="str">
        <f>CONCATENATE(Translation!$C$293,-Supplies!O74)</f>
        <v>year-8</v>
      </c>
    </row>
    <row r="76" spans="2:15">
      <c r="B76" s="444" t="s">
        <v>1378</v>
      </c>
      <c r="C76" s="445" t="str">
        <f>VLOOKUP($B76,PQEquipment!$D$6:$R$97,3,FALSE)</f>
        <v>ILR</v>
      </c>
      <c r="D76" s="445">
        <f>VLOOKUP($B76,PQEquipment!$D$6:$R$97,6,FALSE)</f>
        <v>20</v>
      </c>
      <c r="E76" s="461">
        <f>IF(C76="SE",$H$82,$H$83*IF(OR($C76="RC",$C76="CR",$C76="ILR"),$C$82*SUMIF(Eqpt_list,$B76,PQEquipment!$N$6:$N$97),$C$83*SUMIF(Eqpt_list,$B76,PQEquipment!$O$6:$O$97)+$C$84*SUMIF(Eqpt_list,$B76,PQEquipment!$P$6:$P$97)))</f>
        <v>106.92000000000002</v>
      </c>
      <c r="F76" s="446"/>
      <c r="G76" s="461">
        <f>VLOOKUP($B76,PQEquipment!$D$6:$R$97,13,FALSE)</f>
        <v>0</v>
      </c>
      <c r="H76" s="461">
        <f>$G76+($E76+$F76)*H$74</f>
        <v>106.92000000000002</v>
      </c>
      <c r="I76" s="461">
        <f t="shared" ref="I76:O76" si="7">$G76+($E76+$F76)*I$74</f>
        <v>213.84000000000003</v>
      </c>
      <c r="J76" s="461">
        <f t="shared" si="7"/>
        <v>320.76000000000005</v>
      </c>
      <c r="K76" s="461">
        <f t="shared" si="7"/>
        <v>427.68000000000006</v>
      </c>
      <c r="L76" s="461">
        <f t="shared" si="7"/>
        <v>534.60000000000014</v>
      </c>
      <c r="M76" s="461">
        <f t="shared" si="7"/>
        <v>641.5200000000001</v>
      </c>
      <c r="N76" s="461">
        <f t="shared" si="7"/>
        <v>748.44</v>
      </c>
      <c r="O76" s="461">
        <f t="shared" si="7"/>
        <v>855.36000000000013</v>
      </c>
    </row>
    <row r="77" spans="2:15">
      <c r="B77" s="127" t="s">
        <v>88</v>
      </c>
      <c r="C77" s="447" t="str">
        <f>VLOOKUP($B77,PQEquipment!$D$6:$R$97,3,FALSE)</f>
        <v>RC</v>
      </c>
      <c r="D77" s="447">
        <f>VLOOKUP($B77,PQEquipment!$D$6:$R$97,6,FALSE)</f>
        <v>24</v>
      </c>
      <c r="E77" s="455">
        <f>IF(C77="SE",$H$82,$H$83*IF(OR($C77="RC",$C77="CR",$C77="ILR"),$C$82*SUMIF(Eqpt_list,$B77,PQEquipment!$N$6:$N$97),$C$83*SUMIF(Eqpt_list,$B77,PQEquipment!$O$6:$O$97)+$C$84*SUMIF(Eqpt_list,$B77,PQEquipment!$P$6:$P$97)))</f>
        <v>133.32000000000002</v>
      </c>
      <c r="F77" s="449"/>
      <c r="G77" s="455">
        <f>VLOOKUP($B77,PQEquipment!$D$6:$R$97,13,FALSE)</f>
        <v>0</v>
      </c>
      <c r="H77" s="455">
        <f t="shared" ref="H77:O80" si="8">$G77+($E77+$F77)*H$74</f>
        <v>133.32000000000002</v>
      </c>
      <c r="I77" s="455">
        <f t="shared" si="8"/>
        <v>266.64000000000004</v>
      </c>
      <c r="J77" s="455">
        <f t="shared" si="8"/>
        <v>399.96000000000004</v>
      </c>
      <c r="K77" s="455">
        <f t="shared" si="8"/>
        <v>533.28000000000009</v>
      </c>
      <c r="L77" s="455">
        <f t="shared" si="8"/>
        <v>666.60000000000014</v>
      </c>
      <c r="M77" s="455">
        <f t="shared" si="8"/>
        <v>799.92000000000007</v>
      </c>
      <c r="N77" s="455">
        <f t="shared" si="8"/>
        <v>933.24000000000012</v>
      </c>
      <c r="O77" s="455">
        <f t="shared" si="8"/>
        <v>1066.5600000000002</v>
      </c>
    </row>
    <row r="78" spans="2:15">
      <c r="B78" s="127" t="s">
        <v>112</v>
      </c>
      <c r="C78" s="447" t="str">
        <f>VLOOKUP($B78,PQEquipment!$D$6:$R$97,3,FALSE)</f>
        <v>AR</v>
      </c>
      <c r="D78" s="447">
        <f>VLOOKUP($B78,PQEquipment!$D$6:$R$97,6,FALSE)</f>
        <v>18</v>
      </c>
      <c r="E78" s="455">
        <f>IF(C78="SE",$H$82,$H$83*IF(OR($C78="RC",$C78="CR",$C78="ILR"),$C$82*SUMIF(Eqpt_list,$B78,PQEquipment!$N$6:$N$97),$C$83*SUMIF(Eqpt_list,$B78,PQEquipment!$O$6:$O$97)+$C$84*SUMIF(Eqpt_list,$B78,PQEquipment!$P$6:$P$97)))</f>
        <v>198</v>
      </c>
      <c r="F78" s="449"/>
      <c r="G78" s="455">
        <f>VLOOKUP($B78,PQEquipment!$D$6:$R$97,13,FALSE)</f>
        <v>0</v>
      </c>
      <c r="H78" s="455">
        <f t="shared" si="8"/>
        <v>198</v>
      </c>
      <c r="I78" s="455">
        <f t="shared" si="8"/>
        <v>396</v>
      </c>
      <c r="J78" s="455">
        <f t="shared" si="8"/>
        <v>594</v>
      </c>
      <c r="K78" s="455">
        <f t="shared" si="8"/>
        <v>792</v>
      </c>
      <c r="L78" s="455">
        <f t="shared" si="8"/>
        <v>990</v>
      </c>
      <c r="M78" s="455">
        <f t="shared" si="8"/>
        <v>1188</v>
      </c>
      <c r="N78" s="455">
        <f t="shared" si="8"/>
        <v>1386</v>
      </c>
      <c r="O78" s="455">
        <f t="shared" si="8"/>
        <v>1584</v>
      </c>
    </row>
    <row r="79" spans="2:15">
      <c r="B79" s="127" t="s">
        <v>1391</v>
      </c>
      <c r="C79" s="447" t="str">
        <f>VLOOKUP($B79,PQEquipment!$D$6:$R$97,3,FALSE)</f>
        <v>ILR</v>
      </c>
      <c r="D79" s="447">
        <f>VLOOKUP($B79,PQEquipment!$D$6:$R$97,6,FALSE)</f>
        <v>108</v>
      </c>
      <c r="E79" s="455">
        <f>IF(C79="SE",$H$82,$H$83*IF(OR($C79="RC",$C79="CR",$C79="ILR"),$C$82*SUMIF(Eqpt_list,$B79,PQEquipment!$N$6:$N$97),$C$83*SUMIF(Eqpt_list,$B79,PQEquipment!$O$6:$O$97)+$C$84*SUMIF(Eqpt_list,$B79,PQEquipment!$P$6:$P$97)))</f>
        <v>110.22000000000001</v>
      </c>
      <c r="F79" s="449"/>
      <c r="G79" s="455">
        <f>VLOOKUP($B79,PQEquipment!$D$6:$R$97,13,FALSE)</f>
        <v>0</v>
      </c>
      <c r="H79" s="455">
        <f t="shared" si="8"/>
        <v>110.22000000000001</v>
      </c>
      <c r="I79" s="455">
        <f t="shared" si="8"/>
        <v>220.44000000000003</v>
      </c>
      <c r="J79" s="455">
        <f t="shared" si="8"/>
        <v>330.66</v>
      </c>
      <c r="K79" s="455">
        <f t="shared" si="8"/>
        <v>440.88000000000005</v>
      </c>
      <c r="L79" s="455">
        <f t="shared" si="8"/>
        <v>551.1</v>
      </c>
      <c r="M79" s="455">
        <f t="shared" si="8"/>
        <v>661.32</v>
      </c>
      <c r="N79" s="455">
        <f t="shared" si="8"/>
        <v>771.54000000000008</v>
      </c>
      <c r="O79" s="455">
        <f t="shared" si="8"/>
        <v>881.7600000000001</v>
      </c>
    </row>
    <row r="80" spans="2:15">
      <c r="B80" s="127"/>
      <c r="C80" s="447" t="e">
        <f>VLOOKUP($B80,PQEquipment!$D$6:$R$97,3,FALSE)</f>
        <v>#N/A</v>
      </c>
      <c r="D80" s="447" t="e">
        <f>VLOOKUP($B80,PQEquipment!$D$6:$R$97,6,FALSE)</f>
        <v>#N/A</v>
      </c>
      <c r="E80" s="448" t="e">
        <f>IF(C80="SE",$H$82,$H$83*IF(OR($C80="RC",$C80="CR",$C80="ILR"),$C$82*SUMIF(Eqpt_list,$B80,PQEquipment!$N$6:$N$97),$C$83*SUMIF(Eqpt_list,$B80,PQEquipment!$O$6:$O$97)+$C$84*SUMIF(Eqpt_list,$B80,PQEquipment!$P$6:$P$97)))</f>
        <v>#N/A</v>
      </c>
      <c r="F80" s="449"/>
      <c r="G80" s="448" t="e">
        <f>VLOOKUP($B80,PQEquipment!$D$6:$R$97,13,FALSE)</f>
        <v>#N/A</v>
      </c>
      <c r="H80" s="450" t="e">
        <f t="shared" si="8"/>
        <v>#N/A</v>
      </c>
      <c r="I80" s="450" t="e">
        <f t="shared" si="8"/>
        <v>#N/A</v>
      </c>
      <c r="J80" s="450" t="e">
        <f t="shared" si="8"/>
        <v>#N/A</v>
      </c>
      <c r="K80" s="450" t="e">
        <f t="shared" si="8"/>
        <v>#N/A</v>
      </c>
      <c r="L80" s="450" t="e">
        <f t="shared" si="8"/>
        <v>#N/A</v>
      </c>
      <c r="M80" s="450" t="e">
        <f t="shared" si="8"/>
        <v>#N/A</v>
      </c>
      <c r="N80" s="450" t="e">
        <f t="shared" si="8"/>
        <v>#N/A</v>
      </c>
      <c r="O80" s="450" t="e">
        <f t="shared" si="8"/>
        <v>#N/A</v>
      </c>
    </row>
    <row r="81" spans="2:9" ht="12">
      <c r="B81" s="67" t="s">
        <v>410</v>
      </c>
    </row>
    <row r="82" spans="2:9" ht="12">
      <c r="B82" s="68" t="str">
        <f>Translation!C298</f>
        <v>Cost of electricity, $/kWh</v>
      </c>
      <c r="C82" s="458">
        <v>0.2</v>
      </c>
      <c r="G82" s="68" t="str">
        <f>Translation!C294</f>
        <v>Annual cost for solar batteries &amp; regulator:</v>
      </c>
      <c r="H82" s="458">
        <v>100</v>
      </c>
    </row>
    <row r="83" spans="2:9" ht="12">
      <c r="B83" s="68" t="str">
        <f>Translation!C299</f>
        <v>Cost of LPG, $/kg</v>
      </c>
      <c r="C83" s="458">
        <v>1.2</v>
      </c>
      <c r="G83" s="68" t="str">
        <f>Translation!C295</f>
        <v>Number of days running of equipment per year:</v>
      </c>
      <c r="H83" s="69">
        <v>330</v>
      </c>
      <c r="I83" s="18" t="str">
        <f>Translation!C296</f>
        <v>days</v>
      </c>
    </row>
    <row r="84" spans="2:9" ht="12">
      <c r="B84" s="68" t="str">
        <f>Translation!C300</f>
        <v>Cost of kerosene, $/litre</v>
      </c>
      <c r="C84" s="458">
        <v>1</v>
      </c>
    </row>
  </sheetData>
  <sheetProtection sheet="1" objects="1" scenarios="1"/>
  <phoneticPr fontId="0" type="noConversion"/>
  <dataValidations xWindow="824" yWindow="707" count="15">
    <dataValidation allowBlank="1" showInputMessage="1" showErrorMessage="1" promptTitle="Loaded weight:" prompt="Indicate the loaded weight of the carrier used for the transportation of vaccine during distribution" sqref="F69:F71" xr:uid="{00000000-0002-0000-1800-000000000000}"/>
    <dataValidation allowBlank="1" showInputMessage="1" showErrorMessage="1" promptTitle="External volume:" prompt="Indicate the external volume of a carrier used for the transportation of vaccine during distribution" sqref="G69:G71" xr:uid="{00000000-0002-0000-1800-000001000000}"/>
    <dataValidation allowBlank="1" showInputMessage="1" showErrorMessage="1" promptTitle="Capacity:" prompt="Indicate the net vaccine carriying capacity of the container used for the transportation of vaccine during distribution" sqref="D69:D71" xr:uid="{00000000-0002-0000-1800-000002000000}"/>
    <dataValidation allowBlank="1" showInputMessage="1" showErrorMessage="1" promptTitle="No. icepacks:" prompt="Indicate the number of icepacks required." sqref="E69:E71" xr:uid="{00000000-0002-0000-1800-000003000000}"/>
    <dataValidation type="list" allowBlank="1" showInputMessage="1" showErrorMessage="1" promptTitle="Equipment:" prompt="Select equipments to compare." sqref="B76:B80" xr:uid="{00000000-0002-0000-1800-000004000000}">
      <formula1>Eqpt_list</formula1>
    </dataValidation>
    <dataValidation allowBlank="1" showInputMessage="1" showErrorMessage="1" promptTitle="Cost of energy:" prompt="Indicate the cost of energy in your context." sqref="C82:C84" xr:uid="{00000000-0002-0000-1800-000005000000}"/>
    <dataValidation allowBlank="1" showInputMessage="1" showErrorMessage="1" promptTitle="Solar batteries:" prompt="Indicate the annual cost of solar batteries and regulators." sqref="H82" xr:uid="{00000000-0002-0000-1800-000006000000}"/>
    <dataValidation allowBlank="1" showInputMessage="1" showErrorMessage="1" promptTitle="Days of running:" prompt="Indicate the number of days the equipment will function during a year." sqref="H83" xr:uid="{00000000-0002-0000-1800-000007000000}"/>
    <dataValidation allowBlank="1" showInputMessage="1" showErrorMessage="1" promptTitle="Spare Parts:" prompt="Indicate the annual consumption of spare parts." sqref="F76:F80" xr:uid="{00000000-0002-0000-1800-000008000000}"/>
    <dataValidation allowBlank="1" showInputMessage="1" showErrorMessage="1" promptTitle="Container:" prompt="Enter the identification of the vaccine container or carrier. This can be box used to pack the vaccine or a cold van." sqref="B69:C71" xr:uid="{00000000-0002-0000-1800-000009000000}"/>
    <dataValidation allowBlank="1" showInputMessage="1" showErrorMessage="1" prompt="Indicate according to local situation." sqref="I34" xr:uid="{00000000-0002-0000-1800-00000A000000}"/>
    <dataValidation allowBlank="1" showInputMessage="1" showErrorMessage="1" promptTitle="Cost of WICR/FR:" prompt="Indicate the cost of purchase &amp; installation of a walk in cold/freezer room ($US)." sqref="F36:G46" xr:uid="{00000000-0002-0000-1800-00000B000000}"/>
    <dataValidation allowBlank="1" showInputMessage="1" showErrorMessage="1" promptTitle="Power of WICR/FR:" prompt="Indicate the power of a walk in cold/freezer room (kW)." sqref="H36:I46" xr:uid="{00000000-0002-0000-1800-00000C000000}"/>
    <dataValidation allowBlank="1" showInputMessage="1" showErrorMessage="1" promptTitle="Gross volume:" prompt="Enter the room volume or size in m3." sqref="C36:C46" xr:uid="{00000000-0002-0000-1800-00000D000000}"/>
    <dataValidation allowBlank="1" showInputMessage="1" showErrorMessage="1" promptTitle="Grossing factor:" prompt="Indicate the factor." sqref="D36:D46" xr:uid="{00000000-0002-0000-1800-00000E000000}"/>
  </dataValidations>
  <hyperlinks>
    <hyperlink ref="M2" location="Index!B1" display="Index!B1" xr:uid="{00000000-0004-0000-1800-000000000000}"/>
  </hyperlinks>
  <printOptions horizontalCentered="1"/>
  <pageMargins left="0.24" right="0.24" top="0.26" bottom="0.39370078740157483" header="0.11811023622047245" footer="0.19"/>
  <pageSetup paperSize="9" orientation="portrait" r:id="rId1"/>
  <headerFooter alignWithMargins="0">
    <oddFooter>&amp;L&amp;8&amp;F, &amp;A&amp;R&amp;8WHO/IVB/EPI, Logistics Docs</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
    <tabColor indexed="12"/>
  </sheetPr>
  <dimension ref="B1:BF532"/>
  <sheetViews>
    <sheetView showGridLines="0" workbookViewId="0">
      <pane ySplit="9" topLeftCell="A10" activePane="bottomLeft" state="frozen"/>
      <selection activeCell="F29" sqref="B2:F29"/>
      <selection pane="bottomLeft" activeCell="F11" sqref="F11"/>
    </sheetView>
  </sheetViews>
  <sheetFormatPr defaultColWidth="9.109375" defaultRowHeight="12"/>
  <cols>
    <col min="1" max="1" width="1.6640625" style="7" customWidth="1"/>
    <col min="2" max="2" width="44.6640625" style="11" customWidth="1"/>
    <col min="3" max="3" width="11.33203125" style="11" customWidth="1"/>
    <col min="4" max="4" width="14.6640625" style="11" customWidth="1"/>
    <col min="5" max="5" width="6.6640625" style="11" customWidth="1"/>
    <col min="6" max="6" width="25.33203125" style="11" customWidth="1"/>
    <col min="7" max="7" width="51.109375" style="11" customWidth="1"/>
    <col min="8" max="8" width="9.6640625" style="11" customWidth="1"/>
    <col min="9" max="9" width="12.77734375" style="11" customWidth="1"/>
    <col min="10" max="10" width="10.44140625" style="11" customWidth="1"/>
    <col min="11" max="12" width="8.6640625" style="7" customWidth="1"/>
    <col min="13" max="13" width="9.109375" style="7"/>
    <col min="14" max="14" width="26.44140625" style="7" customWidth="1"/>
    <col min="15" max="15" width="12" style="7" customWidth="1"/>
    <col min="16" max="16" width="74.6640625" style="8" customWidth="1"/>
    <col min="17" max="17" width="1.6640625" style="6" customWidth="1"/>
    <col min="18" max="19" width="0" style="6" hidden="1" customWidth="1"/>
    <col min="20" max="20" width="9.109375" style="6"/>
    <col min="21" max="21" width="11" style="6" bestFit="1" customWidth="1"/>
    <col min="22" max="58" width="9.109375" style="6"/>
    <col min="59" max="16384" width="9.109375" style="7"/>
  </cols>
  <sheetData>
    <row r="1" spans="2:58" s="723" customFormat="1" ht="21">
      <c r="B1" s="716" t="str">
        <f>Translation!C409</f>
        <v>Vaccine database</v>
      </c>
      <c r="C1" s="717"/>
      <c r="D1" s="717"/>
      <c r="E1" s="717"/>
      <c r="F1" s="717"/>
      <c r="G1" s="717"/>
      <c r="H1" s="718" t="str">
        <f>Translation!C109</f>
        <v>Index</v>
      </c>
      <c r="I1" s="717"/>
      <c r="J1" s="717"/>
      <c r="K1" s="719"/>
      <c r="L1" s="719"/>
      <c r="M1" s="719"/>
      <c r="N1" s="719"/>
      <c r="O1" s="720"/>
      <c r="P1" s="721"/>
      <c r="Q1" s="722"/>
      <c r="R1" s="722"/>
      <c r="S1" s="722"/>
      <c r="T1" s="722"/>
      <c r="U1" s="722"/>
      <c r="V1" s="722"/>
      <c r="W1" s="722"/>
      <c r="X1" s="722"/>
      <c r="Y1" s="722"/>
      <c r="Z1" s="722"/>
      <c r="AA1" s="722"/>
      <c r="AB1" s="722"/>
      <c r="AC1" s="722"/>
      <c r="AD1" s="722"/>
      <c r="AE1" s="722"/>
      <c r="AF1" s="722"/>
      <c r="AG1" s="722"/>
      <c r="AH1" s="722"/>
      <c r="AI1" s="722"/>
      <c r="AJ1" s="722"/>
      <c r="AK1" s="722"/>
      <c r="AL1" s="722"/>
      <c r="AM1" s="722"/>
      <c r="AN1" s="722"/>
      <c r="AO1" s="722"/>
      <c r="AP1" s="722"/>
      <c r="AQ1" s="722"/>
      <c r="AR1" s="722"/>
      <c r="AS1" s="722"/>
      <c r="AT1" s="722"/>
      <c r="AU1" s="722"/>
      <c r="AV1" s="722"/>
      <c r="AW1" s="722"/>
      <c r="AX1" s="722"/>
      <c r="AY1" s="722"/>
      <c r="AZ1" s="722"/>
      <c r="BA1" s="722"/>
      <c r="BB1" s="722"/>
      <c r="BC1" s="722"/>
      <c r="BD1" s="722"/>
      <c r="BE1" s="722"/>
      <c r="BF1" s="722"/>
    </row>
    <row r="2" spans="2:58" s="176" customFormat="1" ht="6.45" customHeight="1">
      <c r="B2" s="172"/>
      <c r="C2" s="172"/>
      <c r="D2" s="172"/>
      <c r="E2" s="172"/>
      <c r="F2" s="172"/>
      <c r="G2" s="172"/>
      <c r="H2" s="172"/>
      <c r="I2" s="172"/>
      <c r="J2" s="172"/>
      <c r="K2" s="173"/>
      <c r="L2" s="173"/>
      <c r="M2" s="173"/>
      <c r="N2" s="173"/>
      <c r="O2" s="173"/>
      <c r="P2" s="174"/>
      <c r="Q2" s="175"/>
      <c r="R2" s="175"/>
      <c r="S2" s="175"/>
      <c r="T2" s="175"/>
      <c r="U2" s="175"/>
      <c r="V2" s="175"/>
      <c r="W2" s="175"/>
      <c r="X2" s="175"/>
      <c r="Y2" s="175"/>
      <c r="Z2" s="175"/>
      <c r="AA2" s="175"/>
      <c r="AB2" s="175"/>
      <c r="AC2" s="175"/>
      <c r="AD2" s="175"/>
      <c r="AE2" s="175"/>
      <c r="AF2" s="175"/>
      <c r="AG2" s="175"/>
      <c r="AH2" s="175"/>
      <c r="AI2" s="175"/>
      <c r="AJ2" s="175"/>
      <c r="AK2" s="175"/>
      <c r="AL2" s="175"/>
      <c r="AM2" s="175"/>
      <c r="AN2" s="175"/>
      <c r="AO2" s="175"/>
      <c r="AP2" s="175"/>
      <c r="AQ2" s="175"/>
      <c r="AR2" s="175"/>
      <c r="AS2" s="175"/>
      <c r="AT2" s="175"/>
      <c r="AU2" s="175"/>
      <c r="AV2" s="175"/>
      <c r="AW2" s="175"/>
      <c r="AX2" s="175"/>
      <c r="AY2" s="175"/>
      <c r="AZ2" s="175"/>
      <c r="BA2" s="175"/>
      <c r="BB2" s="175"/>
      <c r="BC2" s="175"/>
      <c r="BD2" s="175"/>
      <c r="BE2" s="175"/>
      <c r="BF2" s="175"/>
    </row>
    <row r="3" spans="2:58" s="234" customFormat="1" ht="13.2">
      <c r="B3" s="228" t="str">
        <f>Translation!C412</f>
        <v xml:space="preserve">1) This worksheet provides generic data for all vaccines listed in the WHO international shipping guideline. Additional data are also included for WHO pre-qualified vaccines from named manufacturers. </v>
      </c>
      <c r="C3" s="231"/>
      <c r="D3" s="231"/>
      <c r="E3" s="231"/>
      <c r="F3" s="231"/>
      <c r="G3" s="231"/>
      <c r="H3" s="231"/>
      <c r="I3" s="231"/>
      <c r="J3" s="231"/>
      <c r="K3" s="232"/>
      <c r="L3" s="232"/>
      <c r="M3" s="237"/>
      <c r="N3" s="237"/>
      <c r="O3" s="237"/>
      <c r="P3" s="238"/>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233"/>
      <c r="AR3" s="233"/>
      <c r="AS3" s="233"/>
      <c r="AT3" s="233"/>
      <c r="AU3" s="233"/>
      <c r="AV3" s="233"/>
      <c r="AW3" s="233"/>
      <c r="AX3" s="233"/>
      <c r="AY3" s="233"/>
      <c r="AZ3" s="233"/>
      <c r="BA3" s="233"/>
      <c r="BB3" s="233"/>
      <c r="BC3" s="233"/>
      <c r="BD3" s="233"/>
      <c r="BE3" s="233"/>
      <c r="BF3" s="233"/>
    </row>
    <row r="4" spans="2:58" s="234" customFormat="1" ht="13.2">
      <c r="B4" s="228" t="str">
        <f>Translation!C413</f>
        <v>2) If any vaccine presentation in this database is not to be considered in analysis, insert an asterix after the 'doses per vial' figure in Column I.</v>
      </c>
      <c r="C4" s="231"/>
      <c r="D4" s="231"/>
      <c r="E4" s="231"/>
      <c r="F4" s="231"/>
      <c r="G4" s="231"/>
      <c r="H4" s="231"/>
      <c r="I4" s="231"/>
      <c r="J4" s="231"/>
      <c r="K4" s="232"/>
      <c r="L4" s="232"/>
      <c r="M4" s="237"/>
      <c r="N4" s="237"/>
      <c r="O4" s="237"/>
      <c r="P4" s="238"/>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row>
    <row r="5" spans="2:58" s="234" customFormat="1" ht="13.2">
      <c r="B5" s="228" t="str">
        <f>Translation!C414</f>
        <v xml:space="preserve">3) You can add a vaccine to the database by inserting a new row.  You may want to do this to add information about locally produced and NRA-approved vaccines.  </v>
      </c>
      <c r="C5" s="231"/>
      <c r="D5" s="231"/>
      <c r="E5" s="231"/>
      <c r="F5" s="231"/>
      <c r="G5" s="231"/>
      <c r="H5" s="231"/>
      <c r="I5" s="231"/>
      <c r="J5" s="231"/>
      <c r="K5" s="232"/>
      <c r="L5" s="232"/>
      <c r="M5" s="237"/>
      <c r="N5" s="237"/>
      <c r="O5" s="237"/>
      <c r="P5" s="238"/>
      <c r="Q5" s="233"/>
      <c r="R5" s="233"/>
      <c r="S5" s="233"/>
      <c r="T5" s="233"/>
      <c r="U5" s="233"/>
      <c r="V5" s="233"/>
      <c r="W5" s="233"/>
      <c r="X5" s="233"/>
      <c r="Y5" s="233"/>
      <c r="Z5" s="233"/>
      <c r="AA5" s="233"/>
      <c r="AB5" s="233"/>
      <c r="AC5" s="233"/>
      <c r="AD5" s="233"/>
      <c r="AE5" s="233"/>
      <c r="AF5" s="233"/>
      <c r="AG5" s="233"/>
      <c r="AH5" s="233"/>
      <c r="AI5" s="233"/>
      <c r="AJ5" s="233"/>
      <c r="AK5" s="233"/>
      <c r="AL5" s="233"/>
      <c r="AM5" s="233"/>
      <c r="AN5" s="233"/>
      <c r="AO5" s="233"/>
      <c r="AP5" s="233"/>
      <c r="AQ5" s="233"/>
      <c r="AR5" s="233"/>
      <c r="AS5" s="233"/>
      <c r="AT5" s="233"/>
      <c r="AU5" s="233"/>
      <c r="AV5" s="233"/>
      <c r="AW5" s="233"/>
      <c r="AX5" s="233"/>
      <c r="AY5" s="233"/>
      <c r="AZ5" s="233"/>
      <c r="BA5" s="233"/>
      <c r="BB5" s="233"/>
      <c r="BC5" s="233"/>
      <c r="BD5" s="233"/>
      <c r="BE5" s="233"/>
      <c r="BF5" s="233"/>
    </row>
    <row r="6" spans="2:58" s="234" customFormat="1" ht="13.2">
      <c r="B6" s="228" t="str">
        <f>Translation!C415</f>
        <v>4) Generic data for vaccines listed in WHO International Shipping Guidelines is highlighted blue grey</v>
      </c>
      <c r="C6" s="231"/>
      <c r="D6" s="231"/>
      <c r="E6" s="231"/>
      <c r="F6" s="235"/>
      <c r="G6" s="231"/>
      <c r="H6" s="231"/>
      <c r="I6" s="231"/>
      <c r="J6" s="231"/>
      <c r="K6" s="232"/>
      <c r="L6" s="232"/>
      <c r="M6" s="237"/>
      <c r="N6" s="237"/>
      <c r="O6" s="237"/>
      <c r="P6" s="238"/>
      <c r="Q6" s="233"/>
      <c r="R6" s="233"/>
      <c r="S6" s="233"/>
      <c r="T6" s="233"/>
      <c r="U6" s="233"/>
      <c r="V6" s="233"/>
      <c r="W6" s="233"/>
      <c r="X6" s="233"/>
      <c r="Y6" s="233"/>
      <c r="Z6" s="233"/>
      <c r="AA6" s="233"/>
      <c r="AB6" s="233"/>
      <c r="AC6" s="233"/>
      <c r="AD6" s="233"/>
      <c r="AE6" s="233"/>
      <c r="AF6" s="233"/>
      <c r="AG6" s="233"/>
      <c r="AH6" s="233"/>
      <c r="AI6" s="233"/>
      <c r="AJ6" s="233"/>
      <c r="AK6" s="233"/>
      <c r="AL6" s="233"/>
      <c r="AM6" s="233"/>
      <c r="AN6" s="233"/>
      <c r="AO6" s="233"/>
      <c r="AP6" s="233"/>
      <c r="AQ6" s="233"/>
      <c r="AR6" s="233"/>
      <c r="AS6" s="233"/>
      <c r="AT6" s="233"/>
      <c r="AU6" s="233"/>
      <c r="AV6" s="233"/>
      <c r="AW6" s="233"/>
      <c r="AX6" s="233"/>
      <c r="AY6" s="233"/>
      <c r="AZ6" s="233"/>
      <c r="BA6" s="233"/>
      <c r="BB6" s="233"/>
      <c r="BC6" s="233"/>
      <c r="BD6" s="233"/>
      <c r="BE6" s="233"/>
      <c r="BF6" s="233"/>
    </row>
    <row r="7" spans="2:58" s="234" customFormat="1" ht="13.2">
      <c r="B7" s="228" t="str">
        <f>Translation!C416</f>
        <v>5) DO NOT mix languages in the table.  If you need a non-English version you must translate the table cell-by-cell.</v>
      </c>
      <c r="C7" s="231"/>
      <c r="D7" s="231"/>
      <c r="E7" s="231"/>
      <c r="F7" s="231"/>
      <c r="G7" s="231"/>
      <c r="H7" s="231"/>
      <c r="I7" s="231"/>
      <c r="J7" s="231"/>
      <c r="K7" s="232"/>
      <c r="L7" s="232"/>
      <c r="M7" s="237"/>
      <c r="N7" s="237"/>
      <c r="O7" s="237"/>
      <c r="P7" s="238"/>
      <c r="Q7" s="233"/>
      <c r="R7" s="233"/>
      <c r="S7" s="233"/>
      <c r="T7" s="233"/>
      <c r="U7" s="233"/>
      <c r="V7" s="233"/>
      <c r="W7" s="233"/>
      <c r="X7" s="233"/>
      <c r="Y7" s="233"/>
      <c r="Z7" s="233"/>
      <c r="AA7" s="233"/>
      <c r="AB7" s="233"/>
      <c r="AC7" s="233"/>
      <c r="AD7" s="233"/>
      <c r="AE7" s="233"/>
      <c r="AF7" s="233"/>
      <c r="AG7" s="233"/>
      <c r="AH7" s="233"/>
      <c r="AI7" s="233"/>
      <c r="AJ7" s="233"/>
      <c r="AK7" s="233"/>
      <c r="AL7" s="233"/>
      <c r="AM7" s="233"/>
      <c r="AN7" s="233"/>
      <c r="AO7" s="233"/>
      <c r="AP7" s="233"/>
      <c r="AQ7" s="233"/>
      <c r="AR7" s="233"/>
      <c r="AS7" s="233"/>
      <c r="AT7" s="233"/>
      <c r="AU7" s="233"/>
      <c r="AV7" s="233"/>
      <c r="AW7" s="233"/>
      <c r="AX7" s="233"/>
      <c r="AY7" s="233"/>
      <c r="AZ7" s="233"/>
      <c r="BA7" s="233"/>
      <c r="BB7" s="233"/>
      <c r="BC7" s="233"/>
      <c r="BD7" s="233"/>
      <c r="BE7" s="233"/>
      <c r="BF7" s="233"/>
    </row>
    <row r="8" spans="2:58" s="9" customFormat="1" ht="6.45" customHeight="1">
      <c r="B8" s="189"/>
      <c r="C8" s="189"/>
      <c r="D8" s="189"/>
      <c r="E8" s="189"/>
      <c r="F8" s="189"/>
      <c r="G8" s="189"/>
      <c r="H8" s="189"/>
      <c r="I8" s="189"/>
      <c r="J8" s="189"/>
      <c r="K8" s="190"/>
      <c r="L8" s="190"/>
      <c r="M8" s="190"/>
      <c r="N8" s="190"/>
      <c r="O8" s="190"/>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row>
    <row r="9" spans="2:58" s="9" customFormat="1" ht="34.200000000000003">
      <c r="B9" s="229" t="str">
        <f>Translation!C417</f>
        <v>Vaccine product</v>
      </c>
      <c r="C9" s="229" t="s">
        <v>1824</v>
      </c>
      <c r="D9" s="229" t="str">
        <f>Translation!C418</f>
        <v>Vaccine formulation</v>
      </c>
      <c r="E9" s="229" t="str">
        <f>Translation!C419</f>
        <v>Admin route</v>
      </c>
      <c r="F9" s="229" t="str">
        <f>Translation!C420</f>
        <v>Manufacturer's ID or trade name</v>
      </c>
      <c r="G9" s="229" t="str">
        <f>Translation!C421</f>
        <v>Vaccine presentation and packaging description</v>
      </c>
      <c r="H9" s="229" t="str">
        <f>Translation!C422</f>
        <v>Diluents</v>
      </c>
      <c r="I9" s="229" t="str">
        <f>Translation!C423</f>
        <v>Integrated delivery device 
(if applicable)</v>
      </c>
      <c r="J9" s="229" t="str">
        <f>Translation!C424</f>
        <v>Doses/vial or device</v>
      </c>
      <c r="K9" s="229" t="str">
        <f>Translation!C425</f>
        <v>Vaccine cm³/dose</v>
      </c>
      <c r="L9" s="229" t="str">
        <f>Translation!C426</f>
        <v>Diluents/ dropper cm³/dose</v>
      </c>
      <c r="M9" s="229" t="str">
        <f>Translation!C427</f>
        <v>VVM type (N if none)</v>
      </c>
      <c r="N9" s="229" t="str">
        <f>Translation!C428</f>
        <v>Manufacturer or source of data</v>
      </c>
      <c r="O9" s="229" t="str">
        <f>Translation!C429</f>
        <v>Qualification date (WHO, NRA)</v>
      </c>
      <c r="P9" s="236" t="str">
        <f>Translation!C430</f>
        <v>Data source notes</v>
      </c>
      <c r="Q9" s="8"/>
      <c r="R9" s="8"/>
      <c r="S9" s="8"/>
      <c r="T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row>
    <row r="10" spans="2:58">
      <c r="B10" s="177" t="s">
        <v>723</v>
      </c>
      <c r="C10" s="178" t="s">
        <v>2046</v>
      </c>
      <c r="D10" s="178" t="s">
        <v>2044</v>
      </c>
      <c r="E10" s="178" t="s">
        <v>2045</v>
      </c>
      <c r="F10" s="178"/>
      <c r="G10" s="178" t="s">
        <v>1918</v>
      </c>
      <c r="H10" s="178" t="s">
        <v>769</v>
      </c>
      <c r="I10" s="177"/>
      <c r="J10" s="179">
        <v>20</v>
      </c>
      <c r="K10" s="180">
        <v>1.2</v>
      </c>
      <c r="L10" s="177">
        <v>0.7</v>
      </c>
      <c r="M10" s="180"/>
      <c r="N10" s="182" t="s">
        <v>1919</v>
      </c>
      <c r="O10" s="239"/>
      <c r="P10" s="240"/>
    </row>
    <row r="11" spans="2:58">
      <c r="B11" s="178" t="s">
        <v>723</v>
      </c>
      <c r="C11" s="178" t="s">
        <v>2046</v>
      </c>
      <c r="D11" s="178" t="s">
        <v>2044</v>
      </c>
      <c r="E11" s="178" t="s">
        <v>2045</v>
      </c>
      <c r="F11" s="178" t="s">
        <v>724</v>
      </c>
      <c r="G11" s="178" t="s">
        <v>1479</v>
      </c>
      <c r="H11" s="177" t="s">
        <v>769</v>
      </c>
      <c r="I11" s="177"/>
      <c r="J11" s="180" t="s">
        <v>1398</v>
      </c>
      <c r="K11" s="181"/>
      <c r="L11" s="177"/>
      <c r="M11" s="182" t="s">
        <v>1587</v>
      </c>
      <c r="N11" s="183" t="s">
        <v>532</v>
      </c>
      <c r="O11" s="89">
        <v>31778</v>
      </c>
      <c r="P11" s="241"/>
    </row>
    <row r="12" spans="2:58">
      <c r="B12" s="178" t="s">
        <v>723</v>
      </c>
      <c r="C12" s="178" t="s">
        <v>2046</v>
      </c>
      <c r="D12" s="178" t="s">
        <v>2044</v>
      </c>
      <c r="E12" s="178" t="s">
        <v>2045</v>
      </c>
      <c r="F12" s="178" t="s">
        <v>725</v>
      </c>
      <c r="G12" s="178" t="s">
        <v>681</v>
      </c>
      <c r="H12" s="177" t="s">
        <v>769</v>
      </c>
      <c r="I12" s="177"/>
      <c r="J12" s="180">
        <v>10</v>
      </c>
      <c r="K12" s="181">
        <v>2.25</v>
      </c>
      <c r="L12" s="177">
        <v>2.25</v>
      </c>
      <c r="M12" s="182" t="s">
        <v>1587</v>
      </c>
      <c r="N12" s="183" t="s">
        <v>1588</v>
      </c>
      <c r="O12" s="89">
        <v>33270</v>
      </c>
      <c r="P12" s="241" t="s">
        <v>2135</v>
      </c>
    </row>
    <row r="13" spans="2:58">
      <c r="B13" s="178" t="s">
        <v>723</v>
      </c>
      <c r="C13" s="178" t="s">
        <v>2046</v>
      </c>
      <c r="D13" s="178" t="s">
        <v>2044</v>
      </c>
      <c r="E13" s="178" t="s">
        <v>2045</v>
      </c>
      <c r="F13" s="178" t="s">
        <v>725</v>
      </c>
      <c r="G13" s="178" t="s">
        <v>1481</v>
      </c>
      <c r="H13" s="177" t="s">
        <v>769</v>
      </c>
      <c r="I13" s="177"/>
      <c r="J13" s="180">
        <v>20</v>
      </c>
      <c r="K13" s="181">
        <v>1.125</v>
      </c>
      <c r="L13" s="177">
        <v>1.125</v>
      </c>
      <c r="M13" s="182" t="s">
        <v>1587</v>
      </c>
      <c r="N13" s="183" t="s">
        <v>1588</v>
      </c>
      <c r="O13" s="89">
        <v>33270</v>
      </c>
      <c r="P13" s="241" t="s">
        <v>2136</v>
      </c>
    </row>
    <row r="14" spans="2:58">
      <c r="B14" s="178" t="s">
        <v>723</v>
      </c>
      <c r="C14" s="178" t="s">
        <v>2046</v>
      </c>
      <c r="D14" s="178" t="s">
        <v>2044</v>
      </c>
      <c r="E14" s="178" t="s">
        <v>2045</v>
      </c>
      <c r="F14" s="178" t="s">
        <v>726</v>
      </c>
      <c r="G14" s="178" t="s">
        <v>722</v>
      </c>
      <c r="H14" s="177" t="s">
        <v>769</v>
      </c>
      <c r="I14" s="177"/>
      <c r="J14" s="180">
        <v>20</v>
      </c>
      <c r="K14" s="181">
        <v>1.3056000000000001</v>
      </c>
      <c r="L14" s="177">
        <v>1.552</v>
      </c>
      <c r="M14" s="182" t="s">
        <v>1587</v>
      </c>
      <c r="N14" s="183" t="s">
        <v>1558</v>
      </c>
      <c r="O14" s="89">
        <v>37770</v>
      </c>
      <c r="P14" s="241" t="s">
        <v>2137</v>
      </c>
    </row>
    <row r="15" spans="2:58">
      <c r="B15" s="178" t="s">
        <v>723</v>
      </c>
      <c r="C15" s="178" t="s">
        <v>2046</v>
      </c>
      <c r="D15" s="178" t="s">
        <v>2044</v>
      </c>
      <c r="E15" s="178" t="s">
        <v>2045</v>
      </c>
      <c r="F15" s="178" t="s">
        <v>727</v>
      </c>
      <c r="G15" s="178" t="s">
        <v>1480</v>
      </c>
      <c r="H15" s="177" t="s">
        <v>769</v>
      </c>
      <c r="I15" s="177"/>
      <c r="J15" s="180">
        <v>10</v>
      </c>
      <c r="K15" s="181">
        <v>1.33</v>
      </c>
      <c r="L15" s="177">
        <v>1.33</v>
      </c>
      <c r="M15" s="182" t="s">
        <v>924</v>
      </c>
      <c r="N15" s="183" t="s">
        <v>1477</v>
      </c>
      <c r="O15" s="89">
        <v>31778</v>
      </c>
      <c r="P15" s="241" t="s">
        <v>2138</v>
      </c>
    </row>
    <row r="16" spans="2:58">
      <c r="B16" s="178" t="s">
        <v>2189</v>
      </c>
      <c r="C16" s="178" t="s">
        <v>2191</v>
      </c>
      <c r="D16" s="178" t="s">
        <v>1921</v>
      </c>
      <c r="E16" s="178" t="s">
        <v>1931</v>
      </c>
      <c r="F16" s="178" t="s">
        <v>2190</v>
      </c>
      <c r="G16" s="178" t="s">
        <v>2192</v>
      </c>
      <c r="H16" s="177" t="s">
        <v>2193</v>
      </c>
      <c r="I16" s="177"/>
      <c r="J16" s="180">
        <v>2</v>
      </c>
      <c r="K16" s="181">
        <v>136</v>
      </c>
      <c r="L16" s="177"/>
      <c r="M16" s="182" t="s">
        <v>1478</v>
      </c>
      <c r="N16" s="183" t="s">
        <v>2194</v>
      </c>
      <c r="O16" s="89">
        <v>37189</v>
      </c>
      <c r="P16" s="241" t="s">
        <v>2195</v>
      </c>
    </row>
    <row r="17" spans="2:16">
      <c r="B17" s="178" t="s">
        <v>2189</v>
      </c>
      <c r="C17" s="178" t="s">
        <v>2191</v>
      </c>
      <c r="D17" s="178" t="s">
        <v>1921</v>
      </c>
      <c r="E17" s="178" t="s">
        <v>1931</v>
      </c>
      <c r="F17" s="178" t="s">
        <v>1242</v>
      </c>
      <c r="G17" s="178" t="s">
        <v>1243</v>
      </c>
      <c r="H17" s="177"/>
      <c r="I17" s="177"/>
      <c r="J17" s="180">
        <v>1</v>
      </c>
      <c r="K17" s="181">
        <v>16.8</v>
      </c>
      <c r="L17" s="177"/>
      <c r="M17" s="182" t="s">
        <v>924</v>
      </c>
      <c r="N17" s="183" t="s">
        <v>739</v>
      </c>
      <c r="O17" s="89">
        <v>40815</v>
      </c>
      <c r="P17" s="241" t="s">
        <v>1244</v>
      </c>
    </row>
    <row r="18" spans="2:16">
      <c r="B18" s="178" t="s">
        <v>868</v>
      </c>
      <c r="C18" s="178" t="s">
        <v>1925</v>
      </c>
      <c r="D18" s="178" t="s">
        <v>1921</v>
      </c>
      <c r="E18" s="178" t="s">
        <v>1922</v>
      </c>
      <c r="F18" s="178"/>
      <c r="G18" s="178" t="s">
        <v>1924</v>
      </c>
      <c r="H18" s="177"/>
      <c r="I18" s="177"/>
      <c r="J18" s="180">
        <v>10</v>
      </c>
      <c r="K18" s="181">
        <v>3</v>
      </c>
      <c r="L18" s="177"/>
      <c r="M18" s="182"/>
      <c r="N18" s="183" t="s">
        <v>1919</v>
      </c>
      <c r="O18" s="89"/>
      <c r="P18" s="241"/>
    </row>
    <row r="19" spans="2:16">
      <c r="B19" s="178" t="s">
        <v>868</v>
      </c>
      <c r="C19" s="178" t="s">
        <v>1925</v>
      </c>
      <c r="D19" s="178" t="s">
        <v>1921</v>
      </c>
      <c r="E19" s="178" t="s">
        <v>1922</v>
      </c>
      <c r="F19" s="178"/>
      <c r="G19" s="178" t="s">
        <v>1924</v>
      </c>
      <c r="H19" s="177"/>
      <c r="I19" s="177"/>
      <c r="J19" s="180">
        <v>20</v>
      </c>
      <c r="K19" s="181">
        <v>2.5</v>
      </c>
      <c r="L19" s="177"/>
      <c r="M19" s="182"/>
      <c r="N19" s="183" t="s">
        <v>1919</v>
      </c>
      <c r="O19" s="89"/>
      <c r="P19" s="241"/>
    </row>
    <row r="20" spans="2:16">
      <c r="B20" s="178" t="s">
        <v>1687</v>
      </c>
      <c r="C20" s="178" t="s">
        <v>1688</v>
      </c>
      <c r="D20" s="178" t="s">
        <v>1921</v>
      </c>
      <c r="E20" s="178" t="s">
        <v>1922</v>
      </c>
      <c r="F20" s="178" t="s">
        <v>1689</v>
      </c>
      <c r="G20" s="178" t="s">
        <v>381</v>
      </c>
      <c r="H20" s="177"/>
      <c r="I20" s="177" t="s">
        <v>1843</v>
      </c>
      <c r="J20" s="180" t="s">
        <v>598</v>
      </c>
      <c r="K20" s="181">
        <f>16.4*12.9*3.7/10</f>
        <v>78.277199999999993</v>
      </c>
      <c r="L20" s="177"/>
      <c r="M20" s="182" t="s">
        <v>1478</v>
      </c>
      <c r="N20" s="183" t="s">
        <v>1690</v>
      </c>
      <c r="O20" s="89"/>
      <c r="P20" s="241" t="s">
        <v>1686</v>
      </c>
    </row>
    <row r="21" spans="2:16">
      <c r="B21" s="178" t="s">
        <v>1920</v>
      </c>
      <c r="C21" s="178" t="s">
        <v>1923</v>
      </c>
      <c r="D21" s="178" t="s">
        <v>1921</v>
      </c>
      <c r="E21" s="178" t="s">
        <v>1922</v>
      </c>
      <c r="F21" s="178"/>
      <c r="G21" s="178" t="s">
        <v>1924</v>
      </c>
      <c r="H21" s="177"/>
      <c r="I21" s="177"/>
      <c r="J21" s="180">
        <v>10</v>
      </c>
      <c r="K21" s="181">
        <v>3</v>
      </c>
      <c r="L21" s="177"/>
      <c r="M21" s="182"/>
      <c r="N21" s="183" t="s">
        <v>1919</v>
      </c>
      <c r="O21" s="89"/>
      <c r="P21" s="241"/>
    </row>
    <row r="22" spans="2:16">
      <c r="B22" s="178" t="s">
        <v>1920</v>
      </c>
      <c r="C22" s="178" t="s">
        <v>1923</v>
      </c>
      <c r="D22" s="178" t="s">
        <v>1921</v>
      </c>
      <c r="E22" s="178" t="s">
        <v>1922</v>
      </c>
      <c r="F22" s="178"/>
      <c r="G22" s="178" t="s">
        <v>1924</v>
      </c>
      <c r="H22" s="177"/>
      <c r="I22" s="177"/>
      <c r="J22" s="180">
        <v>20</v>
      </c>
      <c r="K22" s="181">
        <v>2.5</v>
      </c>
      <c r="L22" s="177"/>
      <c r="M22" s="182"/>
      <c r="N22" s="183" t="s">
        <v>1919</v>
      </c>
      <c r="O22" s="89"/>
      <c r="P22" s="241"/>
    </row>
    <row r="23" spans="2:16">
      <c r="B23" s="178" t="s">
        <v>921</v>
      </c>
      <c r="C23" s="178" t="s">
        <v>922</v>
      </c>
      <c r="D23" s="178" t="s">
        <v>1921</v>
      </c>
      <c r="E23" s="178" t="s">
        <v>1922</v>
      </c>
      <c r="F23" s="178"/>
      <c r="G23" s="178" t="s">
        <v>1958</v>
      </c>
      <c r="H23" s="177"/>
      <c r="I23" s="177" t="s">
        <v>771</v>
      </c>
      <c r="J23" s="180">
        <v>2</v>
      </c>
      <c r="K23" s="181">
        <v>41.2</v>
      </c>
      <c r="L23" s="177"/>
      <c r="M23" s="182"/>
      <c r="N23" s="183" t="s">
        <v>1950</v>
      </c>
      <c r="O23" s="89"/>
      <c r="P23" s="241"/>
    </row>
    <row r="24" spans="2:16">
      <c r="B24" s="178" t="s">
        <v>923</v>
      </c>
      <c r="C24" s="178" t="s">
        <v>922</v>
      </c>
      <c r="D24" s="178" t="s">
        <v>1921</v>
      </c>
      <c r="E24" s="178" t="s">
        <v>1922</v>
      </c>
      <c r="F24" s="178"/>
      <c r="G24" s="178" t="s">
        <v>1957</v>
      </c>
      <c r="H24" s="177"/>
      <c r="I24" s="177"/>
      <c r="J24" s="180">
        <v>10</v>
      </c>
      <c r="K24" s="181">
        <v>8.1999999999999993</v>
      </c>
      <c r="L24" s="177"/>
      <c r="M24" s="182"/>
      <c r="N24" s="183" t="s">
        <v>1950</v>
      </c>
      <c r="O24" s="89"/>
      <c r="P24" s="241"/>
    </row>
    <row r="25" spans="2:16">
      <c r="B25" s="178" t="s">
        <v>985</v>
      </c>
      <c r="C25" s="178" t="s">
        <v>987</v>
      </c>
      <c r="D25" s="178" t="s">
        <v>986</v>
      </c>
      <c r="E25" s="178" t="s">
        <v>1922</v>
      </c>
      <c r="F25" s="178"/>
      <c r="G25" s="178" t="s">
        <v>1793</v>
      </c>
      <c r="H25" s="177"/>
      <c r="I25" s="177"/>
      <c r="J25" s="180">
        <v>1</v>
      </c>
      <c r="K25" s="181">
        <v>45</v>
      </c>
      <c r="L25" s="177"/>
      <c r="M25" s="182"/>
      <c r="N25" s="183" t="s">
        <v>1919</v>
      </c>
      <c r="O25" s="89"/>
      <c r="P25" s="241"/>
    </row>
    <row r="26" spans="2:16">
      <c r="B26" s="178" t="s">
        <v>985</v>
      </c>
      <c r="C26" s="178" t="s">
        <v>987</v>
      </c>
      <c r="D26" s="178" t="s">
        <v>986</v>
      </c>
      <c r="E26" s="178" t="s">
        <v>1922</v>
      </c>
      <c r="F26" s="178"/>
      <c r="G26" s="178" t="s">
        <v>1793</v>
      </c>
      <c r="H26" s="177"/>
      <c r="I26" s="177"/>
      <c r="J26" s="180">
        <v>10</v>
      </c>
      <c r="K26" s="181">
        <v>12</v>
      </c>
      <c r="L26" s="177"/>
      <c r="M26" s="182"/>
      <c r="N26" s="183" t="s">
        <v>1919</v>
      </c>
      <c r="O26" s="89"/>
      <c r="P26" s="241"/>
    </row>
    <row r="27" spans="2:16">
      <c r="B27" s="178" t="s">
        <v>1794</v>
      </c>
      <c r="C27" s="178" t="s">
        <v>987</v>
      </c>
      <c r="D27" s="178" t="s">
        <v>986</v>
      </c>
      <c r="E27" s="178" t="s">
        <v>1922</v>
      </c>
      <c r="F27" s="178"/>
      <c r="G27" s="178" t="s">
        <v>1795</v>
      </c>
      <c r="H27" s="177"/>
      <c r="I27" s="177" t="s">
        <v>1842</v>
      </c>
      <c r="J27" s="180" t="s">
        <v>653</v>
      </c>
      <c r="K27" s="181">
        <v>154</v>
      </c>
      <c r="L27" s="177"/>
      <c r="M27" s="182"/>
      <c r="N27" s="183" t="s">
        <v>1937</v>
      </c>
      <c r="O27" s="89"/>
      <c r="P27" s="241"/>
    </row>
    <row r="28" spans="2:16">
      <c r="B28" s="178" t="s">
        <v>1796</v>
      </c>
      <c r="C28" s="178" t="s">
        <v>987</v>
      </c>
      <c r="D28" s="178" t="s">
        <v>986</v>
      </c>
      <c r="E28" s="178" t="s">
        <v>1922</v>
      </c>
      <c r="F28" s="178"/>
      <c r="G28" s="178" t="s">
        <v>1662</v>
      </c>
      <c r="H28" s="177"/>
      <c r="I28" s="177"/>
      <c r="J28" s="180">
        <v>1</v>
      </c>
      <c r="K28" s="181">
        <v>39.200000000000003</v>
      </c>
      <c r="L28" s="177"/>
      <c r="M28" s="182" t="s">
        <v>1778</v>
      </c>
      <c r="N28" s="183" t="s">
        <v>1558</v>
      </c>
      <c r="O28" s="89">
        <v>40352</v>
      </c>
      <c r="P28" s="241" t="s">
        <v>1661</v>
      </c>
    </row>
    <row r="29" spans="2:16">
      <c r="B29" s="178" t="s">
        <v>1796</v>
      </c>
      <c r="C29" s="178" t="s">
        <v>987</v>
      </c>
      <c r="D29" s="178" t="s">
        <v>643</v>
      </c>
      <c r="E29" s="178" t="s">
        <v>1922</v>
      </c>
      <c r="F29" s="178" t="s">
        <v>641</v>
      </c>
      <c r="G29" s="178" t="s">
        <v>644</v>
      </c>
      <c r="H29" s="177"/>
      <c r="I29" s="177"/>
      <c r="J29" s="180">
        <v>10</v>
      </c>
      <c r="K29" s="181">
        <v>12.39</v>
      </c>
      <c r="L29" s="177"/>
      <c r="M29" s="182" t="s">
        <v>1478</v>
      </c>
      <c r="N29" s="183" t="s">
        <v>1573</v>
      </c>
      <c r="O29" s="89">
        <v>37748</v>
      </c>
      <c r="P29" s="241" t="s">
        <v>320</v>
      </c>
    </row>
    <row r="30" spans="2:16">
      <c r="B30" s="178" t="s">
        <v>1796</v>
      </c>
      <c r="C30" s="178" t="s">
        <v>987</v>
      </c>
      <c r="D30" s="178" t="s">
        <v>643</v>
      </c>
      <c r="E30" s="178" t="s">
        <v>1922</v>
      </c>
      <c r="F30" s="178" t="s">
        <v>641</v>
      </c>
      <c r="G30" s="178" t="s">
        <v>1660</v>
      </c>
      <c r="H30" s="177"/>
      <c r="I30" s="177"/>
      <c r="J30" s="180">
        <v>1</v>
      </c>
      <c r="K30" s="181">
        <v>44.72</v>
      </c>
      <c r="L30" s="177"/>
      <c r="M30" s="182" t="s">
        <v>1478</v>
      </c>
      <c r="N30" s="183" t="s">
        <v>1573</v>
      </c>
      <c r="O30" s="89">
        <v>37748</v>
      </c>
      <c r="P30" s="241" t="s">
        <v>1659</v>
      </c>
    </row>
    <row r="31" spans="2:16">
      <c r="B31" s="178" t="s">
        <v>984</v>
      </c>
      <c r="C31" s="178" t="s">
        <v>1956</v>
      </c>
      <c r="D31" s="178" t="s">
        <v>1921</v>
      </c>
      <c r="E31" s="178" t="s">
        <v>1922</v>
      </c>
      <c r="F31" s="178"/>
      <c r="G31" s="178" t="s">
        <v>1924</v>
      </c>
      <c r="H31" s="177"/>
      <c r="I31" s="177"/>
      <c r="J31" s="180">
        <v>2</v>
      </c>
      <c r="K31" s="181">
        <v>6</v>
      </c>
      <c r="L31" s="177"/>
      <c r="M31" s="182"/>
      <c r="N31" s="183" t="s">
        <v>1919</v>
      </c>
      <c r="O31" s="89"/>
      <c r="P31" s="241"/>
    </row>
    <row r="32" spans="2:16">
      <c r="B32" s="178" t="s">
        <v>984</v>
      </c>
      <c r="C32" s="178" t="s">
        <v>1956</v>
      </c>
      <c r="D32" s="178" t="s">
        <v>1921</v>
      </c>
      <c r="E32" s="178" t="s">
        <v>1922</v>
      </c>
      <c r="F32" s="178"/>
      <c r="G32" s="178" t="s">
        <v>1924</v>
      </c>
      <c r="H32" s="177"/>
      <c r="I32" s="177"/>
      <c r="J32" s="180">
        <v>10</v>
      </c>
      <c r="K32" s="181">
        <v>3</v>
      </c>
      <c r="L32" s="177"/>
      <c r="M32" s="182"/>
      <c r="N32" s="183" t="s">
        <v>1919</v>
      </c>
      <c r="O32" s="89"/>
      <c r="P32" s="241"/>
    </row>
    <row r="33" spans="2:16">
      <c r="B33" s="178" t="s">
        <v>982</v>
      </c>
      <c r="C33" s="178" t="s">
        <v>1956</v>
      </c>
      <c r="D33" s="178" t="s">
        <v>1921</v>
      </c>
      <c r="E33" s="178" t="s">
        <v>1922</v>
      </c>
      <c r="F33" s="178"/>
      <c r="G33" s="178" t="s">
        <v>983</v>
      </c>
      <c r="H33" s="177"/>
      <c r="I33" s="177" t="s">
        <v>771</v>
      </c>
      <c r="J33" s="180" t="s">
        <v>598</v>
      </c>
      <c r="K33" s="181">
        <v>99</v>
      </c>
      <c r="L33" s="177"/>
      <c r="M33" s="182"/>
      <c r="N33" s="183" t="s">
        <v>1949</v>
      </c>
      <c r="O33" s="89"/>
      <c r="P33" s="241"/>
    </row>
    <row r="34" spans="2:16">
      <c r="B34" s="178" t="s">
        <v>1741</v>
      </c>
      <c r="C34" s="178" t="s">
        <v>1956</v>
      </c>
      <c r="D34" s="178" t="s">
        <v>2167</v>
      </c>
      <c r="E34" s="178" t="s">
        <v>1922</v>
      </c>
      <c r="F34" s="178" t="s">
        <v>1476</v>
      </c>
      <c r="G34" s="178" t="s">
        <v>1742</v>
      </c>
      <c r="H34" s="177"/>
      <c r="I34" s="177"/>
      <c r="J34" s="180">
        <v>5</v>
      </c>
      <c r="K34" s="181">
        <v>4.2</v>
      </c>
      <c r="L34" s="177"/>
      <c r="M34" s="182" t="s">
        <v>924</v>
      </c>
      <c r="N34" s="183" t="s">
        <v>1565</v>
      </c>
      <c r="O34" s="89">
        <v>38267</v>
      </c>
      <c r="P34" s="241" t="s">
        <v>316</v>
      </c>
    </row>
    <row r="35" spans="2:16">
      <c r="B35" s="178" t="s">
        <v>1741</v>
      </c>
      <c r="C35" s="178" t="s">
        <v>1956</v>
      </c>
      <c r="D35" s="178" t="s">
        <v>2167</v>
      </c>
      <c r="E35" s="178" t="s">
        <v>1922</v>
      </c>
      <c r="F35" s="178" t="s">
        <v>1743</v>
      </c>
      <c r="G35" s="178" t="s">
        <v>1744</v>
      </c>
      <c r="H35" s="177"/>
      <c r="I35" s="177"/>
      <c r="J35" s="180">
        <v>10</v>
      </c>
      <c r="K35" s="181">
        <v>2.1</v>
      </c>
      <c r="L35" s="177"/>
      <c r="M35" s="182" t="s">
        <v>924</v>
      </c>
      <c r="N35" s="183" t="s">
        <v>1565</v>
      </c>
      <c r="O35" s="89">
        <v>38267</v>
      </c>
      <c r="P35" s="241" t="s">
        <v>315</v>
      </c>
    </row>
    <row r="36" spans="2:16">
      <c r="B36" s="178" t="s">
        <v>1745</v>
      </c>
      <c r="C36" s="178" t="s">
        <v>1956</v>
      </c>
      <c r="D36" s="178" t="s">
        <v>2167</v>
      </c>
      <c r="E36" s="178" t="s">
        <v>1922</v>
      </c>
      <c r="F36" s="178" t="s">
        <v>1746</v>
      </c>
      <c r="G36" s="178" t="s">
        <v>412</v>
      </c>
      <c r="H36" s="177"/>
      <c r="I36" s="177"/>
      <c r="J36" s="180" t="s">
        <v>653</v>
      </c>
      <c r="K36" s="181"/>
      <c r="L36" s="177"/>
      <c r="M36" s="182" t="s">
        <v>924</v>
      </c>
      <c r="N36" s="183" t="s">
        <v>1949</v>
      </c>
      <c r="O36" s="89" t="s">
        <v>638</v>
      </c>
      <c r="P36" s="241" t="s">
        <v>2147</v>
      </c>
    </row>
    <row r="37" spans="2:16">
      <c r="B37" s="178" t="s">
        <v>1745</v>
      </c>
      <c r="C37" s="178" t="s">
        <v>1956</v>
      </c>
      <c r="D37" s="178" t="s">
        <v>2167</v>
      </c>
      <c r="E37" s="178" t="s">
        <v>1922</v>
      </c>
      <c r="F37" s="178" t="s">
        <v>1746</v>
      </c>
      <c r="G37" s="178" t="s">
        <v>412</v>
      </c>
      <c r="H37" s="177"/>
      <c r="I37" s="177"/>
      <c r="J37" s="180" t="s">
        <v>2185</v>
      </c>
      <c r="K37" s="181"/>
      <c r="L37" s="177"/>
      <c r="M37" s="182" t="s">
        <v>924</v>
      </c>
      <c r="N37" s="183" t="s">
        <v>1949</v>
      </c>
      <c r="O37" s="89" t="s">
        <v>638</v>
      </c>
      <c r="P37" s="241" t="s">
        <v>2148</v>
      </c>
    </row>
    <row r="38" spans="2:16">
      <c r="B38" s="178" t="s">
        <v>1745</v>
      </c>
      <c r="C38" s="178" t="s">
        <v>1956</v>
      </c>
      <c r="D38" s="178" t="s">
        <v>2167</v>
      </c>
      <c r="E38" s="178" t="s">
        <v>1922</v>
      </c>
      <c r="F38" s="178" t="s">
        <v>1746</v>
      </c>
      <c r="G38" s="178" t="s">
        <v>412</v>
      </c>
      <c r="H38" s="177"/>
      <c r="I38" s="177"/>
      <c r="J38" s="180" t="s">
        <v>1777</v>
      </c>
      <c r="K38" s="181"/>
      <c r="L38" s="177"/>
      <c r="M38" s="182" t="s">
        <v>924</v>
      </c>
      <c r="N38" s="183" t="s">
        <v>1949</v>
      </c>
      <c r="O38" s="89" t="s">
        <v>638</v>
      </c>
      <c r="P38" s="241" t="s">
        <v>2149</v>
      </c>
    </row>
    <row r="39" spans="2:16">
      <c r="B39" s="178" t="s">
        <v>1745</v>
      </c>
      <c r="C39" s="178" t="s">
        <v>1956</v>
      </c>
      <c r="D39" s="178" t="s">
        <v>2167</v>
      </c>
      <c r="E39" s="178" t="s">
        <v>1922</v>
      </c>
      <c r="F39" s="178"/>
      <c r="G39" s="178" t="s">
        <v>1475</v>
      </c>
      <c r="H39" s="177"/>
      <c r="I39" s="177"/>
      <c r="J39" s="180">
        <v>1</v>
      </c>
      <c r="K39" s="181">
        <v>15.715</v>
      </c>
      <c r="L39" s="177"/>
      <c r="M39" s="182" t="s">
        <v>1778</v>
      </c>
      <c r="N39" s="183" t="s">
        <v>1558</v>
      </c>
      <c r="O39" s="89">
        <v>38919</v>
      </c>
      <c r="P39" s="241" t="s">
        <v>314</v>
      </c>
    </row>
    <row r="40" spans="2:16">
      <c r="B40" s="178" t="s">
        <v>1745</v>
      </c>
      <c r="C40" s="178" t="s">
        <v>1956</v>
      </c>
      <c r="D40" s="178" t="s">
        <v>2167</v>
      </c>
      <c r="E40" s="178" t="s">
        <v>1922</v>
      </c>
      <c r="F40" s="178"/>
      <c r="G40" s="178" t="s">
        <v>312</v>
      </c>
      <c r="H40" s="177"/>
      <c r="I40" s="177"/>
      <c r="J40" s="180">
        <v>10</v>
      </c>
      <c r="K40" s="181">
        <v>2.6110000000000002</v>
      </c>
      <c r="L40" s="177"/>
      <c r="M40" s="182" t="s">
        <v>1778</v>
      </c>
      <c r="N40" s="183" t="s">
        <v>1558</v>
      </c>
      <c r="O40" s="89">
        <v>38919</v>
      </c>
      <c r="P40" s="241" t="s">
        <v>313</v>
      </c>
    </row>
    <row r="41" spans="2:16">
      <c r="B41" s="178" t="s">
        <v>1745</v>
      </c>
      <c r="C41" s="178" t="s">
        <v>1956</v>
      </c>
      <c r="D41" s="178" t="s">
        <v>2167</v>
      </c>
      <c r="E41" s="178" t="s">
        <v>1922</v>
      </c>
      <c r="F41" s="178"/>
      <c r="G41" s="178" t="s">
        <v>311</v>
      </c>
      <c r="H41" s="177"/>
      <c r="I41" s="177"/>
      <c r="J41" s="180">
        <v>20</v>
      </c>
      <c r="K41" s="181">
        <v>2.4329999999999998</v>
      </c>
      <c r="L41" s="177"/>
      <c r="M41" s="182" t="s">
        <v>1778</v>
      </c>
      <c r="N41" s="183" t="s">
        <v>1558</v>
      </c>
      <c r="O41" s="89">
        <v>38919</v>
      </c>
      <c r="P41" s="241" t="s">
        <v>310</v>
      </c>
    </row>
    <row r="42" spans="2:16">
      <c r="B42" s="178" t="s">
        <v>2169</v>
      </c>
      <c r="C42" s="178" t="s">
        <v>1549</v>
      </c>
      <c r="D42" s="178" t="s">
        <v>986</v>
      </c>
      <c r="E42" s="178" t="s">
        <v>1922</v>
      </c>
      <c r="F42" s="178"/>
      <c r="G42" s="178" t="s">
        <v>1550</v>
      </c>
      <c r="H42" s="177"/>
      <c r="I42" s="177"/>
      <c r="J42" s="180">
        <v>1</v>
      </c>
      <c r="K42" s="181">
        <v>22</v>
      </c>
      <c r="L42" s="177"/>
      <c r="M42" s="182" t="s">
        <v>1933</v>
      </c>
      <c r="N42" s="183" t="s">
        <v>1919</v>
      </c>
      <c r="O42" s="89"/>
      <c r="P42" s="241"/>
    </row>
    <row r="43" spans="2:16">
      <c r="B43" s="178" t="s">
        <v>2169</v>
      </c>
      <c r="C43" s="178" t="s">
        <v>1549</v>
      </c>
      <c r="D43" s="178" t="s">
        <v>986</v>
      </c>
      <c r="E43" s="178" t="s">
        <v>1922</v>
      </c>
      <c r="F43" s="178"/>
      <c r="G43" s="178" t="s">
        <v>869</v>
      </c>
      <c r="H43" s="177"/>
      <c r="I43" s="177"/>
      <c r="J43" s="180">
        <v>2</v>
      </c>
      <c r="K43" s="181">
        <v>11</v>
      </c>
      <c r="L43" s="177"/>
      <c r="M43" s="182" t="s">
        <v>1933</v>
      </c>
      <c r="N43" s="183" t="s">
        <v>1919</v>
      </c>
      <c r="O43" s="89"/>
      <c r="P43" s="241"/>
    </row>
    <row r="44" spans="2:16">
      <c r="B44" s="178" t="s">
        <v>2169</v>
      </c>
      <c r="C44" s="178" t="s">
        <v>1549</v>
      </c>
      <c r="D44" s="178" t="s">
        <v>986</v>
      </c>
      <c r="E44" s="178" t="s">
        <v>1922</v>
      </c>
      <c r="F44" s="178" t="s">
        <v>2145</v>
      </c>
      <c r="G44" s="178" t="s">
        <v>2146</v>
      </c>
      <c r="H44" s="177"/>
      <c r="I44" s="177"/>
      <c r="J44" s="180" t="s">
        <v>653</v>
      </c>
      <c r="K44" s="181"/>
      <c r="L44" s="177"/>
      <c r="M44" s="182" t="s">
        <v>924</v>
      </c>
      <c r="N44" s="183" t="s">
        <v>1949</v>
      </c>
      <c r="O44" s="89">
        <v>38853</v>
      </c>
      <c r="P44" s="241" t="s">
        <v>333</v>
      </c>
    </row>
    <row r="45" spans="2:16">
      <c r="B45" s="178" t="s">
        <v>2169</v>
      </c>
      <c r="C45" s="178" t="s">
        <v>1549</v>
      </c>
      <c r="D45" s="178" t="s">
        <v>986</v>
      </c>
      <c r="E45" s="178" t="s">
        <v>1922</v>
      </c>
      <c r="F45" s="178" t="s">
        <v>2164</v>
      </c>
      <c r="G45" s="178" t="s">
        <v>2146</v>
      </c>
      <c r="H45" s="177"/>
      <c r="I45" s="177"/>
      <c r="J45" s="180" t="s">
        <v>2185</v>
      </c>
      <c r="K45" s="181"/>
      <c r="L45" s="177"/>
      <c r="M45" s="182" t="s">
        <v>924</v>
      </c>
      <c r="N45" s="183" t="s">
        <v>1949</v>
      </c>
      <c r="O45" s="89">
        <v>38853</v>
      </c>
      <c r="P45" s="241" t="s">
        <v>334</v>
      </c>
    </row>
    <row r="46" spans="2:16">
      <c r="B46" s="178" t="s">
        <v>2169</v>
      </c>
      <c r="C46" s="178" t="s">
        <v>1549</v>
      </c>
      <c r="D46" s="178" t="s">
        <v>986</v>
      </c>
      <c r="E46" s="178" t="s">
        <v>1922</v>
      </c>
      <c r="F46" s="178"/>
      <c r="G46" s="178" t="s">
        <v>656</v>
      </c>
      <c r="H46" s="177"/>
      <c r="I46" s="177"/>
      <c r="J46" s="180">
        <v>10</v>
      </c>
      <c r="K46" s="181">
        <v>7.8</v>
      </c>
      <c r="L46" s="177"/>
      <c r="M46" s="182" t="s">
        <v>924</v>
      </c>
      <c r="N46" s="183" t="s">
        <v>543</v>
      </c>
      <c r="O46" s="89">
        <v>40786</v>
      </c>
      <c r="P46" s="241" t="s">
        <v>331</v>
      </c>
    </row>
    <row r="47" spans="2:16">
      <c r="B47" s="178" t="s">
        <v>2169</v>
      </c>
      <c r="C47" s="178" t="s">
        <v>1549</v>
      </c>
      <c r="D47" s="178" t="s">
        <v>986</v>
      </c>
      <c r="E47" s="178" t="s">
        <v>1922</v>
      </c>
      <c r="F47" s="178"/>
      <c r="G47" s="178" t="s">
        <v>657</v>
      </c>
      <c r="H47" s="177"/>
      <c r="I47" s="177"/>
      <c r="J47" s="180">
        <v>1</v>
      </c>
      <c r="K47" s="181">
        <v>58.7</v>
      </c>
      <c r="L47" s="177"/>
      <c r="M47" s="182" t="s">
        <v>924</v>
      </c>
      <c r="N47" s="183" t="s">
        <v>543</v>
      </c>
      <c r="O47" s="89">
        <v>40786</v>
      </c>
      <c r="P47" s="241" t="s">
        <v>332</v>
      </c>
    </row>
    <row r="48" spans="2:16">
      <c r="B48" s="178" t="s">
        <v>2169</v>
      </c>
      <c r="C48" s="178" t="s">
        <v>1549</v>
      </c>
      <c r="D48" s="178" t="s">
        <v>986</v>
      </c>
      <c r="E48" s="178" t="s">
        <v>1922</v>
      </c>
      <c r="F48" s="178"/>
      <c r="G48" s="178" t="s">
        <v>338</v>
      </c>
      <c r="H48" s="177"/>
      <c r="I48" s="177"/>
      <c r="J48" s="180">
        <v>10</v>
      </c>
      <c r="K48" s="181">
        <v>5.0999999999999996</v>
      </c>
      <c r="L48" s="177"/>
      <c r="M48" s="182" t="s">
        <v>1778</v>
      </c>
      <c r="N48" s="183" t="s">
        <v>1558</v>
      </c>
      <c r="O48" s="89">
        <v>40324</v>
      </c>
      <c r="P48" s="241" t="s">
        <v>337</v>
      </c>
    </row>
    <row r="49" spans="2:58">
      <c r="B49" s="178" t="s">
        <v>2169</v>
      </c>
      <c r="C49" s="178" t="s">
        <v>1549</v>
      </c>
      <c r="D49" s="178" t="s">
        <v>986</v>
      </c>
      <c r="E49" s="178" t="s">
        <v>1922</v>
      </c>
      <c r="F49" s="178"/>
      <c r="G49" s="178" t="s">
        <v>335</v>
      </c>
      <c r="H49" s="177"/>
      <c r="I49" s="177"/>
      <c r="J49" s="180">
        <v>2</v>
      </c>
      <c r="K49" s="181">
        <v>19.600000000000001</v>
      </c>
      <c r="L49" s="177"/>
      <c r="M49" s="182" t="s">
        <v>1778</v>
      </c>
      <c r="N49" s="183" t="s">
        <v>1558</v>
      </c>
      <c r="O49" s="89">
        <v>40324</v>
      </c>
      <c r="P49" s="241" t="s">
        <v>339</v>
      </c>
    </row>
    <row r="50" spans="2:58">
      <c r="B50" s="178" t="s">
        <v>2169</v>
      </c>
      <c r="C50" s="178" t="s">
        <v>1549</v>
      </c>
      <c r="D50" s="178" t="s">
        <v>986</v>
      </c>
      <c r="E50" s="178" t="s">
        <v>1922</v>
      </c>
      <c r="F50" s="178"/>
      <c r="G50" s="178" t="s">
        <v>335</v>
      </c>
      <c r="H50" s="177"/>
      <c r="I50" s="177"/>
      <c r="J50" s="180">
        <v>1</v>
      </c>
      <c r="K50" s="181">
        <v>39.200000000000003</v>
      </c>
      <c r="L50" s="177"/>
      <c r="M50" s="182" t="s">
        <v>1778</v>
      </c>
      <c r="N50" s="183" t="s">
        <v>1558</v>
      </c>
      <c r="O50" s="89">
        <v>40324</v>
      </c>
      <c r="P50" s="241" t="s">
        <v>336</v>
      </c>
    </row>
    <row r="51" spans="2:58">
      <c r="B51" s="178" t="s">
        <v>2168</v>
      </c>
      <c r="C51" s="178" t="s">
        <v>1081</v>
      </c>
      <c r="D51" s="178" t="s">
        <v>1921</v>
      </c>
      <c r="E51" s="178" t="s">
        <v>1922</v>
      </c>
      <c r="F51" s="178" t="s">
        <v>2163</v>
      </c>
      <c r="G51" s="178" t="s">
        <v>1475</v>
      </c>
      <c r="H51" s="177"/>
      <c r="I51" s="177"/>
      <c r="J51" s="180">
        <v>1</v>
      </c>
      <c r="K51" s="181">
        <f>16.8*8.5*4.6/50</f>
        <v>13.137599999999999</v>
      </c>
      <c r="L51" s="177"/>
      <c r="M51" s="182" t="s">
        <v>924</v>
      </c>
      <c r="N51" s="183" t="s">
        <v>2144</v>
      </c>
      <c r="O51" s="89">
        <v>38986</v>
      </c>
      <c r="P51" s="241" t="s">
        <v>2143</v>
      </c>
    </row>
    <row r="52" spans="2:58">
      <c r="B52" s="178" t="s">
        <v>2168</v>
      </c>
      <c r="C52" s="178" t="s">
        <v>1081</v>
      </c>
      <c r="D52" s="178" t="s">
        <v>1921</v>
      </c>
      <c r="E52" s="178" t="s">
        <v>1922</v>
      </c>
      <c r="F52" s="178" t="s">
        <v>2163</v>
      </c>
      <c r="G52" s="178" t="s">
        <v>1475</v>
      </c>
      <c r="H52" s="177"/>
      <c r="I52" s="177"/>
      <c r="J52" s="180">
        <v>1</v>
      </c>
      <c r="K52" s="181">
        <f>16.8*8.5*3.6/50</f>
        <v>10.281600000000001</v>
      </c>
      <c r="L52" s="177"/>
      <c r="M52" s="182" t="s">
        <v>924</v>
      </c>
      <c r="N52" s="183" t="s">
        <v>2144</v>
      </c>
      <c r="O52" s="89">
        <v>40878</v>
      </c>
      <c r="P52" s="791" t="s">
        <v>2143</v>
      </c>
    </row>
    <row r="53" spans="2:58">
      <c r="B53" s="178" t="s">
        <v>2169</v>
      </c>
      <c r="C53" s="178" t="s">
        <v>1081</v>
      </c>
      <c r="D53" s="178" t="s">
        <v>1921</v>
      </c>
      <c r="E53" s="178" t="s">
        <v>1922</v>
      </c>
      <c r="F53" s="178" t="s">
        <v>2164</v>
      </c>
      <c r="G53" s="178"/>
      <c r="H53" s="177"/>
      <c r="I53" s="177"/>
      <c r="J53" s="180" t="s">
        <v>653</v>
      </c>
      <c r="K53" s="181"/>
      <c r="L53" s="177"/>
      <c r="M53" s="182" t="s">
        <v>1587</v>
      </c>
      <c r="N53" s="183" t="s">
        <v>1949</v>
      </c>
      <c r="O53" s="89">
        <v>38853</v>
      </c>
      <c r="P53" s="241"/>
    </row>
    <row r="54" spans="2:58" s="9" customFormat="1">
      <c r="B54" s="178" t="s">
        <v>2169</v>
      </c>
      <c r="C54" s="178" t="s">
        <v>1081</v>
      </c>
      <c r="D54" s="178" t="s">
        <v>1921</v>
      </c>
      <c r="E54" s="178" t="s">
        <v>1922</v>
      </c>
      <c r="F54" s="178" t="s">
        <v>2165</v>
      </c>
      <c r="G54" s="178"/>
      <c r="H54" s="177"/>
      <c r="I54" s="177"/>
      <c r="J54" s="180" t="s">
        <v>653</v>
      </c>
      <c r="K54" s="181"/>
      <c r="L54" s="177"/>
      <c r="M54" s="182" t="s">
        <v>1587</v>
      </c>
      <c r="N54" s="183" t="s">
        <v>1949</v>
      </c>
      <c r="O54" s="89">
        <v>38853</v>
      </c>
      <c r="P54" s="241"/>
      <c r="Q54" s="6"/>
      <c r="R54" s="6"/>
      <c r="S54" s="8"/>
      <c r="T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row>
    <row r="55" spans="2:58" s="9" customFormat="1">
      <c r="B55" s="178" t="s">
        <v>2169</v>
      </c>
      <c r="C55" s="178" t="s">
        <v>1081</v>
      </c>
      <c r="D55" s="178" t="s">
        <v>1921</v>
      </c>
      <c r="E55" s="178" t="s">
        <v>1922</v>
      </c>
      <c r="F55" s="178" t="s">
        <v>2166</v>
      </c>
      <c r="G55" s="178" t="s">
        <v>1475</v>
      </c>
      <c r="H55" s="177"/>
      <c r="I55" s="177"/>
      <c r="J55" s="180">
        <v>1</v>
      </c>
      <c r="K55" s="181">
        <v>19.2</v>
      </c>
      <c r="L55" s="177"/>
      <c r="M55" s="182" t="s">
        <v>924</v>
      </c>
      <c r="N55" s="183" t="s">
        <v>738</v>
      </c>
      <c r="O55" s="89">
        <v>39636</v>
      </c>
      <c r="P55" s="241" t="s">
        <v>2139</v>
      </c>
      <c r="Q55" s="6"/>
      <c r="R55" s="6"/>
      <c r="S55" s="8"/>
      <c r="T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row>
    <row r="56" spans="2:58" s="9" customFormat="1" ht="11.4">
      <c r="B56" s="178" t="s">
        <v>2169</v>
      </c>
      <c r="C56" s="178" t="s">
        <v>1081</v>
      </c>
      <c r="D56" s="178" t="s">
        <v>1921</v>
      </c>
      <c r="E56" s="178" t="s">
        <v>1922</v>
      </c>
      <c r="F56" s="178"/>
      <c r="G56" s="178" t="s">
        <v>954</v>
      </c>
      <c r="H56" s="177"/>
      <c r="I56" s="177"/>
      <c r="J56" s="180">
        <v>1</v>
      </c>
      <c r="K56" s="181">
        <v>26.1</v>
      </c>
      <c r="L56" s="177"/>
      <c r="M56" s="182" t="s">
        <v>1778</v>
      </c>
      <c r="N56" s="183" t="s">
        <v>1558</v>
      </c>
      <c r="O56" s="89">
        <v>40443</v>
      </c>
      <c r="P56" s="241" t="s">
        <v>2140</v>
      </c>
      <c r="Q56" s="8"/>
      <c r="R56" s="8"/>
      <c r="S56" s="8"/>
      <c r="T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row>
    <row r="57" spans="2:58">
      <c r="B57" s="178" t="s">
        <v>2169</v>
      </c>
      <c r="C57" s="178" t="s">
        <v>1081</v>
      </c>
      <c r="D57" s="178" t="s">
        <v>1921</v>
      </c>
      <c r="E57" s="178" t="s">
        <v>1922</v>
      </c>
      <c r="F57" s="178"/>
      <c r="G57" s="178" t="s">
        <v>954</v>
      </c>
      <c r="H57" s="177"/>
      <c r="I57" s="177"/>
      <c r="J57" s="180">
        <v>2</v>
      </c>
      <c r="K57" s="181">
        <v>13.1</v>
      </c>
      <c r="L57" s="177"/>
      <c r="M57" s="182" t="s">
        <v>1778</v>
      </c>
      <c r="N57" s="183" t="s">
        <v>1558</v>
      </c>
      <c r="O57" s="89">
        <v>40443</v>
      </c>
      <c r="P57" s="241" t="s">
        <v>2142</v>
      </c>
      <c r="Q57" s="8"/>
      <c r="R57" s="8"/>
    </row>
    <row r="58" spans="2:58">
      <c r="B58" s="178" t="s">
        <v>2169</v>
      </c>
      <c r="C58" s="178" t="s">
        <v>1081</v>
      </c>
      <c r="D58" s="178" t="s">
        <v>1921</v>
      </c>
      <c r="E58" s="178" t="s">
        <v>1922</v>
      </c>
      <c r="F58" s="178"/>
      <c r="G58" s="178" t="s">
        <v>954</v>
      </c>
      <c r="H58" s="177"/>
      <c r="I58" s="177"/>
      <c r="J58" s="180">
        <v>10</v>
      </c>
      <c r="K58" s="181">
        <v>2.6</v>
      </c>
      <c r="L58" s="177"/>
      <c r="M58" s="182" t="s">
        <v>1778</v>
      </c>
      <c r="N58" s="183" t="s">
        <v>1558</v>
      </c>
      <c r="O58" s="89">
        <v>40443</v>
      </c>
      <c r="P58" s="241" t="s">
        <v>2141</v>
      </c>
      <c r="Q58" s="8"/>
      <c r="R58" s="8"/>
    </row>
    <row r="59" spans="2:58" ht="13.2">
      <c r="B59" s="178" t="s">
        <v>2169</v>
      </c>
      <c r="C59" s="178" t="s">
        <v>1081</v>
      </c>
      <c r="D59" s="178" t="s">
        <v>1921</v>
      </c>
      <c r="E59" s="178" t="s">
        <v>1922</v>
      </c>
      <c r="F59" s="178"/>
      <c r="G59" s="178" t="s">
        <v>2215</v>
      </c>
      <c r="H59" s="177"/>
      <c r="I59" s="177"/>
      <c r="J59" s="180">
        <v>10</v>
      </c>
      <c r="K59" s="181">
        <v>2.9</v>
      </c>
      <c r="L59" s="177"/>
      <c r="M59" s="182" t="s">
        <v>1778</v>
      </c>
      <c r="N59" s="183" t="s">
        <v>543</v>
      </c>
      <c r="O59" s="89">
        <v>41047</v>
      </c>
      <c r="P59" s="797" t="s">
        <v>2216</v>
      </c>
      <c r="Q59" s="8"/>
      <c r="R59" s="8"/>
    </row>
    <row r="60" spans="2:58" ht="13.2">
      <c r="B60" s="178" t="s">
        <v>2169</v>
      </c>
      <c r="C60" s="178" t="s">
        <v>1081</v>
      </c>
      <c r="D60" s="178" t="s">
        <v>1921</v>
      </c>
      <c r="E60" s="178" t="s">
        <v>1922</v>
      </c>
      <c r="F60" s="178"/>
      <c r="G60" s="178" t="s">
        <v>2215</v>
      </c>
      <c r="H60" s="177"/>
      <c r="I60" s="177"/>
      <c r="J60" s="180">
        <v>1</v>
      </c>
      <c r="K60" s="181">
        <v>14.6</v>
      </c>
      <c r="L60" s="177"/>
      <c r="M60" s="182" t="s">
        <v>1778</v>
      </c>
      <c r="N60" s="183" t="s">
        <v>543</v>
      </c>
      <c r="O60" s="89">
        <v>41047</v>
      </c>
      <c r="P60" s="797" t="s">
        <v>2217</v>
      </c>
      <c r="Q60" s="8"/>
      <c r="R60" s="8"/>
    </row>
    <row r="61" spans="2:58">
      <c r="B61" s="178" t="s">
        <v>1799</v>
      </c>
      <c r="C61" s="178" t="s">
        <v>1798</v>
      </c>
      <c r="D61" s="178" t="s">
        <v>1921</v>
      </c>
      <c r="E61" s="178" t="s">
        <v>1922</v>
      </c>
      <c r="F61" s="178"/>
      <c r="G61" s="178"/>
      <c r="H61" s="177"/>
      <c r="I61" s="177"/>
      <c r="J61" s="180">
        <v>10</v>
      </c>
      <c r="K61" s="181">
        <v>2.5</v>
      </c>
      <c r="L61" s="177"/>
      <c r="M61" s="182"/>
      <c r="N61" s="183" t="s">
        <v>1919</v>
      </c>
      <c r="O61" s="89"/>
      <c r="P61" s="241"/>
    </row>
    <row r="62" spans="2:58">
      <c r="B62" s="178" t="s">
        <v>1797</v>
      </c>
      <c r="C62" s="178" t="s">
        <v>1798</v>
      </c>
      <c r="D62" s="178" t="s">
        <v>1921</v>
      </c>
      <c r="E62" s="178" t="s">
        <v>1922</v>
      </c>
      <c r="F62" s="178"/>
      <c r="G62" s="178"/>
      <c r="H62" s="177"/>
      <c r="I62" s="177"/>
      <c r="J62" s="180" t="s">
        <v>653</v>
      </c>
      <c r="K62" s="181">
        <v>32.299999999999997</v>
      </c>
      <c r="L62" s="177"/>
      <c r="M62" s="182"/>
      <c r="N62" s="183" t="s">
        <v>1953</v>
      </c>
      <c r="O62" s="89"/>
      <c r="P62" s="241"/>
    </row>
    <row r="63" spans="2:58">
      <c r="B63" s="178" t="s">
        <v>1799</v>
      </c>
      <c r="C63" s="178" t="s">
        <v>1798</v>
      </c>
      <c r="D63" s="178" t="s">
        <v>1921</v>
      </c>
      <c r="E63" s="178" t="s">
        <v>1922</v>
      </c>
      <c r="F63" s="178"/>
      <c r="G63" s="178"/>
      <c r="H63" s="177"/>
      <c r="I63" s="177"/>
      <c r="J63" s="180">
        <v>10</v>
      </c>
      <c r="K63" s="181">
        <v>13.8</v>
      </c>
      <c r="L63" s="177"/>
      <c r="M63" s="182"/>
      <c r="N63" s="183" t="s">
        <v>1953</v>
      </c>
      <c r="O63" s="89"/>
      <c r="P63" s="241"/>
    </row>
    <row r="64" spans="2:58">
      <c r="B64" s="178" t="s">
        <v>642</v>
      </c>
      <c r="C64" s="178" t="s">
        <v>1798</v>
      </c>
      <c r="D64" s="178" t="s">
        <v>1921</v>
      </c>
      <c r="E64" s="178" t="s">
        <v>1922</v>
      </c>
      <c r="F64" s="178" t="s">
        <v>639</v>
      </c>
      <c r="G64" s="178" t="s">
        <v>645</v>
      </c>
      <c r="H64" s="177"/>
      <c r="I64" s="177"/>
      <c r="J64" s="180" t="s">
        <v>653</v>
      </c>
      <c r="K64" s="181"/>
      <c r="L64" s="177"/>
      <c r="M64" s="182" t="s">
        <v>924</v>
      </c>
      <c r="N64" s="183" t="s">
        <v>1572</v>
      </c>
      <c r="O64" s="89">
        <v>37439</v>
      </c>
      <c r="P64" s="241"/>
    </row>
    <row r="65" spans="2:16">
      <c r="B65" s="178" t="s">
        <v>642</v>
      </c>
      <c r="C65" s="178" t="s">
        <v>1798</v>
      </c>
      <c r="D65" s="178" t="s">
        <v>1921</v>
      </c>
      <c r="E65" s="178" t="s">
        <v>1922</v>
      </c>
      <c r="F65" s="178" t="s">
        <v>639</v>
      </c>
      <c r="G65" s="178" t="s">
        <v>646</v>
      </c>
      <c r="H65" s="177"/>
      <c r="I65" s="177"/>
      <c r="J65" s="180">
        <v>10</v>
      </c>
      <c r="K65" s="181">
        <v>2.4</v>
      </c>
      <c r="L65" s="177"/>
      <c r="M65" s="182" t="s">
        <v>924</v>
      </c>
      <c r="N65" s="183" t="s">
        <v>1572</v>
      </c>
      <c r="O65" s="89">
        <v>37439</v>
      </c>
      <c r="P65" s="241" t="s">
        <v>317</v>
      </c>
    </row>
    <row r="66" spans="2:16">
      <c r="B66" s="178" t="s">
        <v>642</v>
      </c>
      <c r="C66" s="178" t="s">
        <v>1798</v>
      </c>
      <c r="D66" s="178" t="s">
        <v>1921</v>
      </c>
      <c r="E66" s="178" t="s">
        <v>1922</v>
      </c>
      <c r="F66" s="178" t="s">
        <v>640</v>
      </c>
      <c r="G66" s="178" t="s">
        <v>318</v>
      </c>
      <c r="H66" s="177"/>
      <c r="I66" s="177"/>
      <c r="J66" s="180">
        <v>1</v>
      </c>
      <c r="K66" s="181">
        <v>19.2</v>
      </c>
      <c r="L66" s="177"/>
      <c r="M66" s="182" t="s">
        <v>1778</v>
      </c>
      <c r="N66" s="183" t="s">
        <v>738</v>
      </c>
      <c r="O66" s="89">
        <v>39435</v>
      </c>
      <c r="P66" s="241" t="s">
        <v>319</v>
      </c>
    </row>
    <row r="67" spans="2:16">
      <c r="B67" s="178" t="s">
        <v>2095</v>
      </c>
      <c r="C67" s="178" t="s">
        <v>2097</v>
      </c>
      <c r="D67" s="178" t="s">
        <v>986</v>
      </c>
      <c r="E67" s="178" t="s">
        <v>1922</v>
      </c>
      <c r="F67" s="178" t="s">
        <v>2096</v>
      </c>
      <c r="G67" s="178" t="s">
        <v>2025</v>
      </c>
      <c r="H67" s="177"/>
      <c r="I67" s="177" t="s">
        <v>1843</v>
      </c>
      <c r="J67" s="180" t="s">
        <v>598</v>
      </c>
      <c r="K67" s="181">
        <f>23.4*17*13.5/50</f>
        <v>107.40599999999999</v>
      </c>
      <c r="L67" s="177"/>
      <c r="M67" s="182"/>
      <c r="N67" s="183" t="s">
        <v>1690</v>
      </c>
      <c r="O67" s="89"/>
      <c r="P67" s="241" t="s">
        <v>1083</v>
      </c>
    </row>
    <row r="68" spans="2:16">
      <c r="B68" s="178" t="s">
        <v>2031</v>
      </c>
      <c r="C68" s="178" t="s">
        <v>2150</v>
      </c>
      <c r="D68" s="178" t="s">
        <v>1921</v>
      </c>
      <c r="E68" s="178" t="s">
        <v>1922</v>
      </c>
      <c r="F68" s="178" t="s">
        <v>1789</v>
      </c>
      <c r="G68" s="178" t="s">
        <v>494</v>
      </c>
      <c r="H68" s="177"/>
      <c r="I68" s="177"/>
      <c r="J68" s="180">
        <v>10</v>
      </c>
      <c r="K68" s="181">
        <f>22*24.6*11.3/2000</f>
        <v>3.0577800000000006</v>
      </c>
      <c r="L68" s="177"/>
      <c r="M68" s="182" t="s">
        <v>1478</v>
      </c>
      <c r="N68" s="183" t="s">
        <v>1690</v>
      </c>
      <c r="O68" s="89">
        <v>40200</v>
      </c>
      <c r="P68" s="241" t="s">
        <v>498</v>
      </c>
    </row>
    <row r="69" spans="2:16">
      <c r="B69" s="178" t="s">
        <v>2031</v>
      </c>
      <c r="C69" s="178" t="s">
        <v>2150</v>
      </c>
      <c r="D69" s="178" t="s">
        <v>1921</v>
      </c>
      <c r="E69" s="178" t="s">
        <v>1922</v>
      </c>
      <c r="F69" s="178" t="s">
        <v>499</v>
      </c>
      <c r="G69" s="178" t="s">
        <v>500</v>
      </c>
      <c r="H69" s="177"/>
      <c r="I69" s="177"/>
      <c r="J69" s="180">
        <v>10</v>
      </c>
      <c r="K69" s="181">
        <v>5.8</v>
      </c>
      <c r="L69" s="177"/>
      <c r="M69" s="182" t="s">
        <v>1478</v>
      </c>
      <c r="N69" s="183" t="s">
        <v>1690</v>
      </c>
      <c r="O69" s="89">
        <v>40205</v>
      </c>
      <c r="P69" s="241" t="s">
        <v>501</v>
      </c>
    </row>
    <row r="70" spans="2:16">
      <c r="B70" s="178" t="s">
        <v>2031</v>
      </c>
      <c r="C70" s="178" t="s">
        <v>2150</v>
      </c>
      <c r="D70" s="178" t="s">
        <v>1921</v>
      </c>
      <c r="E70" s="178" t="s">
        <v>1922</v>
      </c>
      <c r="F70" s="178" t="s">
        <v>499</v>
      </c>
      <c r="G70" s="178" t="s">
        <v>502</v>
      </c>
      <c r="H70" s="177"/>
      <c r="I70" s="177"/>
      <c r="J70" s="180">
        <v>1</v>
      </c>
      <c r="K70" s="181">
        <v>18.3</v>
      </c>
      <c r="L70" s="177"/>
      <c r="M70" s="182" t="s">
        <v>1478</v>
      </c>
      <c r="N70" s="183" t="s">
        <v>1690</v>
      </c>
      <c r="O70" s="89">
        <v>40205</v>
      </c>
      <c r="P70" s="241" t="s">
        <v>503</v>
      </c>
    </row>
    <row r="71" spans="2:16">
      <c r="B71" s="178" t="s">
        <v>2031</v>
      </c>
      <c r="C71" s="178" t="s">
        <v>2150</v>
      </c>
      <c r="D71" s="178" t="s">
        <v>2151</v>
      </c>
      <c r="E71" s="178" t="s">
        <v>1922</v>
      </c>
      <c r="F71" s="178" t="s">
        <v>1789</v>
      </c>
      <c r="G71" s="178" t="s">
        <v>496</v>
      </c>
      <c r="H71" s="177"/>
      <c r="I71" s="177"/>
      <c r="J71" s="180">
        <v>10</v>
      </c>
      <c r="K71" s="181">
        <f>22*24.6*11.3/100</f>
        <v>61.155600000000014</v>
      </c>
      <c r="L71" s="177"/>
      <c r="M71" s="182" t="s">
        <v>1478</v>
      </c>
      <c r="N71" s="183" t="s">
        <v>1690</v>
      </c>
      <c r="O71" s="89">
        <v>40364</v>
      </c>
      <c r="P71" s="241" t="s">
        <v>497</v>
      </c>
    </row>
    <row r="72" spans="2:16">
      <c r="B72" s="178" t="s">
        <v>2031</v>
      </c>
      <c r="C72" s="178" t="s">
        <v>2150</v>
      </c>
      <c r="D72" s="178" t="s">
        <v>1921</v>
      </c>
      <c r="E72" s="178" t="s">
        <v>1922</v>
      </c>
      <c r="F72" s="178" t="s">
        <v>603</v>
      </c>
      <c r="G72" s="178" t="s">
        <v>604</v>
      </c>
      <c r="H72" s="177"/>
      <c r="I72" s="177"/>
      <c r="J72" s="180">
        <v>1</v>
      </c>
      <c r="K72" s="181">
        <f>10*5.5*8/20</f>
        <v>22</v>
      </c>
      <c r="L72" s="177"/>
      <c r="M72" s="182"/>
      <c r="N72" s="183" t="s">
        <v>711</v>
      </c>
      <c r="O72" s="89"/>
      <c r="P72" s="241" t="s">
        <v>605</v>
      </c>
    </row>
    <row r="73" spans="2:16">
      <c r="B73" s="178" t="s">
        <v>2031</v>
      </c>
      <c r="C73" s="178" t="s">
        <v>2150</v>
      </c>
      <c r="D73" s="178" t="s">
        <v>1921</v>
      </c>
      <c r="E73" s="178" t="s">
        <v>1922</v>
      </c>
      <c r="F73" s="178" t="s">
        <v>780</v>
      </c>
      <c r="G73" s="178" t="s">
        <v>2063</v>
      </c>
      <c r="H73" s="177"/>
      <c r="I73" s="177"/>
      <c r="J73" s="180" t="s">
        <v>1777</v>
      </c>
      <c r="K73" s="181">
        <f>20.6*16.6*5.5/200</f>
        <v>9.4039000000000001</v>
      </c>
      <c r="L73" s="177"/>
      <c r="M73" s="182"/>
      <c r="N73" s="183" t="s">
        <v>781</v>
      </c>
      <c r="O73" s="89"/>
      <c r="P73" s="241" t="s">
        <v>2062</v>
      </c>
    </row>
    <row r="74" spans="2:16">
      <c r="B74" s="178" t="s">
        <v>2031</v>
      </c>
      <c r="C74" s="178" t="s">
        <v>2150</v>
      </c>
      <c r="D74" s="178" t="s">
        <v>2151</v>
      </c>
      <c r="E74" s="178" t="s">
        <v>1922</v>
      </c>
      <c r="F74" s="178" t="s">
        <v>1939</v>
      </c>
      <c r="G74" s="178" t="s">
        <v>2077</v>
      </c>
      <c r="H74" s="177" t="s">
        <v>1785</v>
      </c>
      <c r="I74" s="177"/>
      <c r="J74" s="180">
        <v>10</v>
      </c>
      <c r="K74" s="181">
        <f>26*11.3*9.7/500</f>
        <v>5.6997200000000001</v>
      </c>
      <c r="L74" s="177"/>
      <c r="M74" s="182"/>
      <c r="N74" s="183" t="s">
        <v>1949</v>
      </c>
      <c r="O74" s="89">
        <v>40168</v>
      </c>
      <c r="P74" s="241" t="s">
        <v>1333</v>
      </c>
    </row>
    <row r="75" spans="2:16">
      <c r="B75" s="178" t="s">
        <v>2031</v>
      </c>
      <c r="C75" s="178" t="s">
        <v>2150</v>
      </c>
      <c r="D75" s="178" t="s">
        <v>1921</v>
      </c>
      <c r="E75" s="178" t="s">
        <v>1922</v>
      </c>
      <c r="F75" s="178" t="s">
        <v>63</v>
      </c>
      <c r="G75" s="178" t="s">
        <v>2053</v>
      </c>
      <c r="H75" s="177"/>
      <c r="I75" s="177"/>
      <c r="J75" s="180">
        <v>10</v>
      </c>
      <c r="K75" s="181">
        <f>11.1*5.4*5.6/100</f>
        <v>3.3566400000000001</v>
      </c>
      <c r="L75" s="177"/>
      <c r="M75" s="182"/>
      <c r="N75" s="183" t="s">
        <v>59</v>
      </c>
      <c r="O75" s="89">
        <v>40148</v>
      </c>
      <c r="P75" s="241" t="s">
        <v>1332</v>
      </c>
    </row>
    <row r="76" spans="2:16">
      <c r="B76" s="178" t="s">
        <v>2031</v>
      </c>
      <c r="C76" s="178" t="s">
        <v>2150</v>
      </c>
      <c r="D76" s="178" t="s">
        <v>1921</v>
      </c>
      <c r="E76" s="178" t="s">
        <v>1922</v>
      </c>
      <c r="F76" s="178" t="s">
        <v>1787</v>
      </c>
      <c r="G76" s="178" t="s">
        <v>1788</v>
      </c>
      <c r="H76" s="177"/>
      <c r="I76" s="177"/>
      <c r="J76" s="180">
        <v>10</v>
      </c>
      <c r="K76" s="181">
        <f>10.7*4.7*4.9/100</f>
        <v>2.46421</v>
      </c>
      <c r="L76" s="177"/>
      <c r="M76" s="182" t="s">
        <v>1478</v>
      </c>
      <c r="N76" s="183" t="s">
        <v>1572</v>
      </c>
      <c r="O76" s="89">
        <v>40163</v>
      </c>
      <c r="P76" s="241" t="s">
        <v>1336</v>
      </c>
    </row>
    <row r="77" spans="2:16">
      <c r="B77" s="178" t="s">
        <v>2031</v>
      </c>
      <c r="C77" s="178" t="s">
        <v>2150</v>
      </c>
      <c r="D77" s="178" t="s">
        <v>1921</v>
      </c>
      <c r="E77" s="178" t="s">
        <v>1922</v>
      </c>
      <c r="F77" s="178" t="s">
        <v>495</v>
      </c>
      <c r="G77" s="178" t="s">
        <v>60</v>
      </c>
      <c r="H77" s="177"/>
      <c r="I77" s="177"/>
      <c r="J77" s="180">
        <v>10</v>
      </c>
      <c r="K77" s="181">
        <f>44*35*42/10800</f>
        <v>5.9888888888888889</v>
      </c>
      <c r="L77" s="177"/>
      <c r="M77" s="182" t="s">
        <v>1478</v>
      </c>
      <c r="N77" s="183" t="s">
        <v>1572</v>
      </c>
      <c r="O77" s="89">
        <v>40156</v>
      </c>
      <c r="P77" s="241" t="s">
        <v>1337</v>
      </c>
    </row>
    <row r="78" spans="2:16">
      <c r="B78" s="178" t="s">
        <v>2031</v>
      </c>
      <c r="C78" s="178" t="s">
        <v>2150</v>
      </c>
      <c r="D78" s="178" t="s">
        <v>1921</v>
      </c>
      <c r="E78" s="178" t="s">
        <v>1922</v>
      </c>
      <c r="F78" s="178" t="s">
        <v>62</v>
      </c>
      <c r="G78" s="178" t="s">
        <v>61</v>
      </c>
      <c r="H78" s="177"/>
      <c r="I78" s="177"/>
      <c r="J78" s="180">
        <v>17</v>
      </c>
      <c r="K78" s="181">
        <f>38.9*24.4*24.7/13600</f>
        <v>1.7238420588235293</v>
      </c>
      <c r="L78" s="177"/>
      <c r="M78" s="182" t="s">
        <v>1478</v>
      </c>
      <c r="N78" s="183" t="s">
        <v>1572</v>
      </c>
      <c r="O78" s="89">
        <v>40164</v>
      </c>
      <c r="P78" s="241" t="s">
        <v>1335</v>
      </c>
    </row>
    <row r="79" spans="2:16">
      <c r="B79" s="178" t="s">
        <v>2031</v>
      </c>
      <c r="C79" s="178" t="s">
        <v>2150</v>
      </c>
      <c r="D79" s="178" t="s">
        <v>1921</v>
      </c>
      <c r="E79" s="178" t="s">
        <v>54</v>
      </c>
      <c r="F79" s="178" t="s">
        <v>55</v>
      </c>
      <c r="G79" s="178" t="s">
        <v>56</v>
      </c>
      <c r="H79" s="177"/>
      <c r="I79" s="177" t="s">
        <v>57</v>
      </c>
      <c r="J79" s="180" t="s">
        <v>598</v>
      </c>
      <c r="K79" s="181">
        <f>2.54*6*2.54*(4+5/8)*2.54*(1+3/4)/10</f>
        <v>79.579679550000009</v>
      </c>
      <c r="L79" s="177"/>
      <c r="M79" s="182" t="s">
        <v>1478</v>
      </c>
      <c r="N79" s="183" t="s">
        <v>58</v>
      </c>
      <c r="O79" s="89">
        <v>40234</v>
      </c>
      <c r="P79" s="241" t="s">
        <v>1334</v>
      </c>
    </row>
    <row r="80" spans="2:16">
      <c r="B80" s="178" t="s">
        <v>2022</v>
      </c>
      <c r="C80" s="178" t="s">
        <v>2023</v>
      </c>
      <c r="D80" s="178" t="s">
        <v>1921</v>
      </c>
      <c r="E80" s="178" t="s">
        <v>1922</v>
      </c>
      <c r="F80" s="178" t="s">
        <v>2024</v>
      </c>
      <c r="G80" s="178" t="s">
        <v>2025</v>
      </c>
      <c r="H80" s="177"/>
      <c r="I80" s="177" t="s">
        <v>1843</v>
      </c>
      <c r="J80" s="180" t="s">
        <v>598</v>
      </c>
      <c r="K80" s="181">
        <f>13.7*4.2*2.4</f>
        <v>138.096</v>
      </c>
      <c r="L80" s="177"/>
      <c r="M80" s="182" t="s">
        <v>768</v>
      </c>
      <c r="N80" s="183" t="s">
        <v>1082</v>
      </c>
      <c r="O80" s="89"/>
      <c r="P80" s="241" t="s">
        <v>1686</v>
      </c>
    </row>
    <row r="81" spans="2:16">
      <c r="B81" s="178" t="s">
        <v>1947</v>
      </c>
      <c r="C81" s="178" t="s">
        <v>1948</v>
      </c>
      <c r="D81" s="178" t="s">
        <v>1921</v>
      </c>
      <c r="E81" s="178" t="s">
        <v>1922</v>
      </c>
      <c r="F81" s="178"/>
      <c r="G81" s="178" t="s">
        <v>1924</v>
      </c>
      <c r="H81" s="177"/>
      <c r="I81" s="177"/>
      <c r="J81" s="180">
        <v>1</v>
      </c>
      <c r="K81" s="181">
        <v>18</v>
      </c>
      <c r="L81" s="177"/>
      <c r="M81" s="182"/>
      <c r="N81" s="183" t="s">
        <v>1919</v>
      </c>
      <c r="O81" s="89"/>
      <c r="P81" s="241"/>
    </row>
    <row r="82" spans="2:16">
      <c r="B82" s="178" t="s">
        <v>1947</v>
      </c>
      <c r="C82" s="178" t="s">
        <v>1948</v>
      </c>
      <c r="D82" s="178" t="s">
        <v>1921</v>
      </c>
      <c r="E82" s="178" t="s">
        <v>1922</v>
      </c>
      <c r="F82" s="178"/>
      <c r="G82" s="178" t="s">
        <v>1924</v>
      </c>
      <c r="H82" s="177"/>
      <c r="I82" s="177"/>
      <c r="J82" s="180">
        <v>2</v>
      </c>
      <c r="K82" s="181">
        <v>13</v>
      </c>
      <c r="L82" s="177"/>
      <c r="M82" s="182"/>
      <c r="N82" s="183" t="s">
        <v>1919</v>
      </c>
      <c r="O82" s="89"/>
      <c r="P82" s="241"/>
    </row>
    <row r="83" spans="2:16">
      <c r="B83" s="178" t="s">
        <v>1947</v>
      </c>
      <c r="C83" s="178" t="s">
        <v>1948</v>
      </c>
      <c r="D83" s="178" t="s">
        <v>1921</v>
      </c>
      <c r="E83" s="178" t="s">
        <v>1922</v>
      </c>
      <c r="F83" s="178"/>
      <c r="G83" s="178" t="s">
        <v>1924</v>
      </c>
      <c r="H83" s="177"/>
      <c r="I83" s="177"/>
      <c r="J83" s="180">
        <v>6</v>
      </c>
      <c r="K83" s="181">
        <v>4.5</v>
      </c>
      <c r="L83" s="177"/>
      <c r="M83" s="182"/>
      <c r="N83" s="183" t="s">
        <v>1919</v>
      </c>
      <c r="O83" s="89"/>
      <c r="P83" s="241"/>
    </row>
    <row r="84" spans="2:16">
      <c r="B84" s="178" t="s">
        <v>1947</v>
      </c>
      <c r="C84" s="178" t="s">
        <v>1948</v>
      </c>
      <c r="D84" s="178" t="s">
        <v>1921</v>
      </c>
      <c r="E84" s="178" t="s">
        <v>1922</v>
      </c>
      <c r="F84" s="178"/>
      <c r="G84" s="178" t="s">
        <v>1924</v>
      </c>
      <c r="H84" s="177"/>
      <c r="I84" s="177"/>
      <c r="J84" s="180">
        <v>10</v>
      </c>
      <c r="K84" s="181">
        <v>4</v>
      </c>
      <c r="L84" s="177"/>
      <c r="M84" s="182"/>
      <c r="N84" s="183" t="s">
        <v>1919</v>
      </c>
      <c r="O84" s="89"/>
      <c r="P84" s="241"/>
    </row>
    <row r="85" spans="2:16">
      <c r="B85" s="178" t="s">
        <v>1947</v>
      </c>
      <c r="C85" s="178" t="s">
        <v>1948</v>
      </c>
      <c r="D85" s="178" t="s">
        <v>1921</v>
      </c>
      <c r="E85" s="178" t="s">
        <v>1922</v>
      </c>
      <c r="F85" s="178"/>
      <c r="G85" s="178" t="s">
        <v>1924</v>
      </c>
      <c r="H85" s="177"/>
      <c r="I85" s="177"/>
      <c r="J85" s="180">
        <v>20</v>
      </c>
      <c r="K85" s="181">
        <v>3</v>
      </c>
      <c r="L85" s="177"/>
      <c r="M85" s="182"/>
      <c r="N85" s="183" t="s">
        <v>1919</v>
      </c>
      <c r="O85" s="89"/>
      <c r="P85" s="241"/>
    </row>
    <row r="86" spans="2:16">
      <c r="B86" s="178" t="s">
        <v>1947</v>
      </c>
      <c r="C86" s="178" t="s">
        <v>1948</v>
      </c>
      <c r="D86" s="178" t="s">
        <v>1921</v>
      </c>
      <c r="E86" s="178" t="s">
        <v>1922</v>
      </c>
      <c r="F86" s="178" t="s">
        <v>728</v>
      </c>
      <c r="G86" s="178" t="s">
        <v>710</v>
      </c>
      <c r="H86" s="177"/>
      <c r="I86" s="177"/>
      <c r="J86" s="180">
        <v>1</v>
      </c>
      <c r="K86" s="181">
        <v>13.3</v>
      </c>
      <c r="L86" s="177"/>
      <c r="M86" s="182" t="s">
        <v>1587</v>
      </c>
      <c r="N86" s="183" t="s">
        <v>2144</v>
      </c>
      <c r="O86" s="89">
        <v>38069</v>
      </c>
      <c r="P86" s="241" t="s">
        <v>522</v>
      </c>
    </row>
    <row r="87" spans="2:16">
      <c r="B87" s="178" t="s">
        <v>1947</v>
      </c>
      <c r="C87" s="178" t="s">
        <v>1948</v>
      </c>
      <c r="D87" s="178" t="s">
        <v>1921</v>
      </c>
      <c r="E87" s="178" t="s">
        <v>1922</v>
      </c>
      <c r="F87" s="178" t="s">
        <v>728</v>
      </c>
      <c r="G87" s="178" t="s">
        <v>712</v>
      </c>
      <c r="H87" s="177"/>
      <c r="I87" s="177"/>
      <c r="J87" s="180">
        <v>2</v>
      </c>
      <c r="K87" s="181">
        <v>6.69</v>
      </c>
      <c r="L87" s="177"/>
      <c r="M87" s="182" t="s">
        <v>1587</v>
      </c>
      <c r="N87" s="183" t="s">
        <v>2144</v>
      </c>
      <c r="O87" s="89">
        <v>38069</v>
      </c>
      <c r="P87" s="241" t="s">
        <v>521</v>
      </c>
    </row>
    <row r="88" spans="2:16">
      <c r="B88" s="178" t="s">
        <v>1947</v>
      </c>
      <c r="C88" s="178" t="s">
        <v>1948</v>
      </c>
      <c r="D88" s="178" t="s">
        <v>1921</v>
      </c>
      <c r="E88" s="178" t="s">
        <v>1922</v>
      </c>
      <c r="F88" s="178" t="s">
        <v>728</v>
      </c>
      <c r="G88" s="178" t="s">
        <v>742</v>
      </c>
      <c r="H88" s="177"/>
      <c r="I88" s="177"/>
      <c r="J88" s="180">
        <v>10</v>
      </c>
      <c r="K88" s="181">
        <v>3.34</v>
      </c>
      <c r="L88" s="177"/>
      <c r="M88" s="182" t="s">
        <v>1587</v>
      </c>
      <c r="N88" s="183" t="s">
        <v>2144</v>
      </c>
      <c r="O88" s="89">
        <v>38069</v>
      </c>
      <c r="P88" s="241" t="s">
        <v>520</v>
      </c>
    </row>
    <row r="89" spans="2:16">
      <c r="B89" s="178" t="s">
        <v>1947</v>
      </c>
      <c r="C89" s="178" t="s">
        <v>1948</v>
      </c>
      <c r="D89" s="178" t="s">
        <v>1921</v>
      </c>
      <c r="E89" s="178" t="s">
        <v>1922</v>
      </c>
      <c r="F89" s="178" t="s">
        <v>729</v>
      </c>
      <c r="G89" s="178" t="s">
        <v>525</v>
      </c>
      <c r="H89" s="177"/>
      <c r="I89" s="177"/>
      <c r="J89" s="180" t="s">
        <v>652</v>
      </c>
      <c r="K89" s="181">
        <v>12</v>
      </c>
      <c r="L89" s="177"/>
      <c r="M89" s="182" t="s">
        <v>1587</v>
      </c>
      <c r="N89" s="183" t="s">
        <v>1565</v>
      </c>
      <c r="O89" s="89">
        <v>38120</v>
      </c>
      <c r="P89" s="241" t="s">
        <v>526</v>
      </c>
    </row>
    <row r="90" spans="2:16">
      <c r="B90" s="178" t="s">
        <v>1947</v>
      </c>
      <c r="C90" s="178" t="s">
        <v>1948</v>
      </c>
      <c r="D90" s="178" t="s">
        <v>1921</v>
      </c>
      <c r="E90" s="178" t="s">
        <v>1922</v>
      </c>
      <c r="F90" s="178" t="s">
        <v>730</v>
      </c>
      <c r="G90" s="178" t="s">
        <v>2132</v>
      </c>
      <c r="H90" s="177"/>
      <c r="I90" s="177"/>
      <c r="J90" s="180">
        <v>1</v>
      </c>
      <c r="K90" s="181">
        <v>2.76</v>
      </c>
      <c r="L90" s="177"/>
      <c r="M90" s="182" t="s">
        <v>1587</v>
      </c>
      <c r="N90" s="183" t="s">
        <v>736</v>
      </c>
      <c r="O90" s="89">
        <v>37236</v>
      </c>
      <c r="P90" s="241" t="s">
        <v>523</v>
      </c>
    </row>
    <row r="91" spans="2:16">
      <c r="B91" s="178" t="s">
        <v>1947</v>
      </c>
      <c r="C91" s="178" t="s">
        <v>1948</v>
      </c>
      <c r="D91" s="178" t="s">
        <v>1921</v>
      </c>
      <c r="E91" s="178" t="s">
        <v>1922</v>
      </c>
      <c r="F91" s="178" t="s">
        <v>730</v>
      </c>
      <c r="G91" s="178" t="s">
        <v>412</v>
      </c>
      <c r="H91" s="177"/>
      <c r="I91" s="177"/>
      <c r="J91" s="180">
        <v>10</v>
      </c>
      <c r="K91" s="181">
        <v>2.76</v>
      </c>
      <c r="L91" s="177"/>
      <c r="M91" s="182" t="s">
        <v>1587</v>
      </c>
      <c r="N91" s="183" t="s">
        <v>736</v>
      </c>
      <c r="O91" s="89">
        <v>37236</v>
      </c>
      <c r="P91" s="241" t="s">
        <v>524</v>
      </c>
    </row>
    <row r="92" spans="2:16">
      <c r="B92" s="178" t="s">
        <v>1947</v>
      </c>
      <c r="C92" s="178" t="s">
        <v>1948</v>
      </c>
      <c r="D92" s="178" t="s">
        <v>1921</v>
      </c>
      <c r="E92" s="178" t="s">
        <v>1922</v>
      </c>
      <c r="F92" s="178" t="s">
        <v>413</v>
      </c>
      <c r="G92" s="178" t="s">
        <v>710</v>
      </c>
      <c r="H92" s="177"/>
      <c r="I92" s="177"/>
      <c r="J92" s="180">
        <v>1</v>
      </c>
      <c r="K92" s="181">
        <v>26.1</v>
      </c>
      <c r="L92" s="177"/>
      <c r="M92" s="182" t="s">
        <v>1587</v>
      </c>
      <c r="N92" s="183" t="s">
        <v>1558</v>
      </c>
      <c r="O92" s="89">
        <v>38303</v>
      </c>
      <c r="P92" s="241" t="s">
        <v>414</v>
      </c>
    </row>
    <row r="93" spans="2:16">
      <c r="B93" s="178" t="s">
        <v>1947</v>
      </c>
      <c r="C93" s="178" t="s">
        <v>1948</v>
      </c>
      <c r="D93" s="178" t="s">
        <v>1921</v>
      </c>
      <c r="E93" s="178" t="s">
        <v>1922</v>
      </c>
      <c r="F93" s="178" t="s">
        <v>413</v>
      </c>
      <c r="G93" s="178" t="s">
        <v>415</v>
      </c>
      <c r="H93" s="177"/>
      <c r="I93" s="177"/>
      <c r="J93" s="180">
        <v>1</v>
      </c>
      <c r="K93" s="181">
        <v>15.715</v>
      </c>
      <c r="L93" s="177"/>
      <c r="M93" s="182" t="s">
        <v>1587</v>
      </c>
      <c r="N93" s="183" t="s">
        <v>1558</v>
      </c>
      <c r="O93" s="89">
        <v>38303</v>
      </c>
      <c r="P93" s="241" t="s">
        <v>414</v>
      </c>
    </row>
    <row r="94" spans="2:16">
      <c r="B94" s="178" t="s">
        <v>1947</v>
      </c>
      <c r="C94" s="178" t="s">
        <v>1948</v>
      </c>
      <c r="D94" s="178" t="s">
        <v>1921</v>
      </c>
      <c r="E94" s="178" t="s">
        <v>1922</v>
      </c>
      <c r="F94" s="178" t="s">
        <v>413</v>
      </c>
      <c r="G94" s="178" t="s">
        <v>741</v>
      </c>
      <c r="H94" s="177"/>
      <c r="I94" s="177"/>
      <c r="J94" s="180">
        <v>10</v>
      </c>
      <c r="K94" s="181">
        <v>2.6110000000000002</v>
      </c>
      <c r="L94" s="177"/>
      <c r="M94" s="182" t="s">
        <v>1587</v>
      </c>
      <c r="N94" s="183" t="s">
        <v>1558</v>
      </c>
      <c r="O94" s="89">
        <v>38303</v>
      </c>
      <c r="P94" s="241" t="s">
        <v>632</v>
      </c>
    </row>
    <row r="95" spans="2:16">
      <c r="B95" s="178" t="s">
        <v>1947</v>
      </c>
      <c r="C95" s="178" t="s">
        <v>1948</v>
      </c>
      <c r="D95" s="178" t="s">
        <v>1921</v>
      </c>
      <c r="E95" s="178" t="s">
        <v>1922</v>
      </c>
      <c r="F95" s="178" t="s">
        <v>731</v>
      </c>
      <c r="G95" s="178"/>
      <c r="H95" s="177"/>
      <c r="I95" s="177"/>
      <c r="J95" s="180" t="s">
        <v>653</v>
      </c>
      <c r="K95" s="181"/>
      <c r="L95" s="177"/>
      <c r="M95" s="182" t="s">
        <v>1478</v>
      </c>
      <c r="N95" s="183" t="s">
        <v>1949</v>
      </c>
      <c r="O95" s="89">
        <v>31778</v>
      </c>
      <c r="P95" s="241" t="s">
        <v>519</v>
      </c>
    </row>
    <row r="96" spans="2:16">
      <c r="B96" s="178" t="s">
        <v>1947</v>
      </c>
      <c r="C96" s="178" t="s">
        <v>1948</v>
      </c>
      <c r="D96" s="178" t="s">
        <v>1921</v>
      </c>
      <c r="E96" s="178" t="s">
        <v>1922</v>
      </c>
      <c r="F96" s="178" t="s">
        <v>731</v>
      </c>
      <c r="G96" s="178"/>
      <c r="H96" s="177"/>
      <c r="I96" s="177"/>
      <c r="J96" s="180" t="s">
        <v>1777</v>
      </c>
      <c r="K96" s="181"/>
      <c r="L96" s="177"/>
      <c r="M96" s="182" t="s">
        <v>1478</v>
      </c>
      <c r="N96" s="183" t="s">
        <v>1949</v>
      </c>
      <c r="O96" s="89">
        <v>31778</v>
      </c>
      <c r="P96" s="241" t="s">
        <v>518</v>
      </c>
    </row>
    <row r="97" spans="2:16">
      <c r="B97" s="178" t="s">
        <v>1947</v>
      </c>
      <c r="C97" s="178" t="s">
        <v>1948</v>
      </c>
      <c r="D97" s="178" t="s">
        <v>1921</v>
      </c>
      <c r="E97" s="178" t="s">
        <v>1922</v>
      </c>
      <c r="F97" s="178" t="s">
        <v>731</v>
      </c>
      <c r="G97" s="178"/>
      <c r="H97" s="177"/>
      <c r="I97" s="177"/>
      <c r="J97" s="180" t="s">
        <v>1398</v>
      </c>
      <c r="K97" s="181"/>
      <c r="L97" s="177"/>
      <c r="M97" s="182" t="s">
        <v>1478</v>
      </c>
      <c r="N97" s="183" t="s">
        <v>1949</v>
      </c>
      <c r="O97" s="89">
        <v>31778</v>
      </c>
      <c r="P97" s="241" t="s">
        <v>517</v>
      </c>
    </row>
    <row r="98" spans="2:16">
      <c r="B98" s="178" t="s">
        <v>1947</v>
      </c>
      <c r="C98" s="178" t="s">
        <v>1948</v>
      </c>
      <c r="D98" s="178" t="s">
        <v>1921</v>
      </c>
      <c r="E98" s="178" t="s">
        <v>1922</v>
      </c>
      <c r="F98" s="178" t="s">
        <v>732</v>
      </c>
      <c r="G98" s="178" t="s">
        <v>1578</v>
      </c>
      <c r="H98" s="177"/>
      <c r="I98" s="177"/>
      <c r="J98" s="180">
        <v>1</v>
      </c>
      <c r="K98" s="181">
        <v>14.4</v>
      </c>
      <c r="L98" s="177"/>
      <c r="M98" s="182" t="s">
        <v>1587</v>
      </c>
      <c r="N98" s="183" t="s">
        <v>737</v>
      </c>
      <c r="O98" s="89">
        <v>35391</v>
      </c>
      <c r="P98" s="241" t="s">
        <v>516</v>
      </c>
    </row>
    <row r="99" spans="2:16">
      <c r="B99" s="178" t="s">
        <v>1947</v>
      </c>
      <c r="C99" s="178" t="s">
        <v>1948</v>
      </c>
      <c r="D99" s="178" t="s">
        <v>1921</v>
      </c>
      <c r="E99" s="178" t="s">
        <v>1922</v>
      </c>
      <c r="F99" s="178" t="s">
        <v>732</v>
      </c>
      <c r="G99" s="178" t="s">
        <v>1578</v>
      </c>
      <c r="H99" s="177"/>
      <c r="I99" s="177"/>
      <c r="J99" s="180">
        <v>2</v>
      </c>
      <c r="K99" s="181">
        <v>7.2</v>
      </c>
      <c r="L99" s="177"/>
      <c r="M99" s="182" t="s">
        <v>1587</v>
      </c>
      <c r="N99" s="183" t="s">
        <v>737</v>
      </c>
      <c r="O99" s="89">
        <v>35391</v>
      </c>
      <c r="P99" s="241" t="s">
        <v>515</v>
      </c>
    </row>
    <row r="100" spans="2:16">
      <c r="B100" s="178" t="s">
        <v>1947</v>
      </c>
      <c r="C100" s="178" t="s">
        <v>1948</v>
      </c>
      <c r="D100" s="178" t="s">
        <v>1921</v>
      </c>
      <c r="E100" s="178" t="s">
        <v>1922</v>
      </c>
      <c r="F100" s="178" t="s">
        <v>732</v>
      </c>
      <c r="G100" s="178" t="s">
        <v>1578</v>
      </c>
      <c r="H100" s="177"/>
      <c r="I100" s="177"/>
      <c r="J100" s="180">
        <v>6</v>
      </c>
      <c r="K100" s="181">
        <v>4.66</v>
      </c>
      <c r="L100" s="177"/>
      <c r="M100" s="182" t="s">
        <v>1587</v>
      </c>
      <c r="N100" s="183" t="s">
        <v>737</v>
      </c>
      <c r="O100" s="89">
        <v>35391</v>
      </c>
      <c r="P100" s="241" t="s">
        <v>514</v>
      </c>
    </row>
    <row r="101" spans="2:16">
      <c r="B101" s="178" t="s">
        <v>1947</v>
      </c>
      <c r="C101" s="178" t="s">
        <v>1948</v>
      </c>
      <c r="D101" s="178" t="s">
        <v>1921</v>
      </c>
      <c r="E101" s="178" t="s">
        <v>1922</v>
      </c>
      <c r="F101" s="178" t="s">
        <v>732</v>
      </c>
      <c r="G101" s="178" t="s">
        <v>1578</v>
      </c>
      <c r="H101" s="177"/>
      <c r="I101" s="177"/>
      <c r="J101" s="180">
        <v>10</v>
      </c>
      <c r="K101" s="181">
        <v>2.8</v>
      </c>
      <c r="L101" s="177"/>
      <c r="M101" s="182" t="s">
        <v>1587</v>
      </c>
      <c r="N101" s="183" t="s">
        <v>737</v>
      </c>
      <c r="O101" s="89">
        <v>35391</v>
      </c>
      <c r="P101" s="241" t="s">
        <v>513</v>
      </c>
    </row>
    <row r="102" spans="2:16">
      <c r="B102" s="178" t="s">
        <v>1947</v>
      </c>
      <c r="C102" s="178" t="s">
        <v>1948</v>
      </c>
      <c r="D102" s="178" t="s">
        <v>1921</v>
      </c>
      <c r="E102" s="178" t="s">
        <v>1922</v>
      </c>
      <c r="F102" s="178" t="s">
        <v>732</v>
      </c>
      <c r="G102" s="178" t="s">
        <v>741</v>
      </c>
      <c r="H102" s="177"/>
      <c r="I102" s="177"/>
      <c r="J102" s="180">
        <v>10</v>
      </c>
      <c r="K102" s="181">
        <v>3.22</v>
      </c>
      <c r="L102" s="177"/>
      <c r="M102" s="182" t="s">
        <v>1587</v>
      </c>
      <c r="N102" s="183" t="s">
        <v>737</v>
      </c>
      <c r="O102" s="89">
        <v>35391</v>
      </c>
      <c r="P102" s="241" t="s">
        <v>513</v>
      </c>
    </row>
    <row r="103" spans="2:16">
      <c r="B103" s="178" t="s">
        <v>1947</v>
      </c>
      <c r="C103" s="178" t="s">
        <v>1948</v>
      </c>
      <c r="D103" s="178" t="s">
        <v>1921</v>
      </c>
      <c r="E103" s="178" t="s">
        <v>1922</v>
      </c>
      <c r="F103" s="178" t="s">
        <v>733</v>
      </c>
      <c r="G103" s="178" t="s">
        <v>2133</v>
      </c>
      <c r="H103" s="177"/>
      <c r="I103" s="177"/>
      <c r="J103" s="180">
        <v>1</v>
      </c>
      <c r="K103" s="181">
        <v>19.2</v>
      </c>
      <c r="L103" s="177"/>
      <c r="M103" s="182" t="s">
        <v>1587</v>
      </c>
      <c r="N103" s="183" t="s">
        <v>738</v>
      </c>
      <c r="O103" s="89">
        <v>38918</v>
      </c>
      <c r="P103" s="241" t="s">
        <v>512</v>
      </c>
    </row>
    <row r="104" spans="2:16">
      <c r="B104" s="178" t="s">
        <v>1947</v>
      </c>
      <c r="C104" s="178" t="s">
        <v>1948</v>
      </c>
      <c r="D104" s="178" t="s">
        <v>1921</v>
      </c>
      <c r="E104" s="178" t="s">
        <v>1922</v>
      </c>
      <c r="F104" s="178" t="s">
        <v>733</v>
      </c>
      <c r="G104" s="178" t="s">
        <v>2133</v>
      </c>
      <c r="H104" s="177"/>
      <c r="I104" s="177"/>
      <c r="J104" s="180">
        <v>1</v>
      </c>
      <c r="K104" s="181">
        <v>19.2</v>
      </c>
      <c r="L104" s="177"/>
      <c r="M104" s="182" t="s">
        <v>1587</v>
      </c>
      <c r="N104" s="183" t="s">
        <v>738</v>
      </c>
      <c r="O104" s="89">
        <v>38918</v>
      </c>
      <c r="P104" s="241" t="s">
        <v>511</v>
      </c>
    </row>
    <row r="105" spans="2:16">
      <c r="B105" s="178" t="s">
        <v>1947</v>
      </c>
      <c r="C105" s="178" t="s">
        <v>1948</v>
      </c>
      <c r="D105" s="178" t="s">
        <v>1921</v>
      </c>
      <c r="E105" s="178" t="s">
        <v>1922</v>
      </c>
      <c r="F105" s="178" t="s">
        <v>733</v>
      </c>
      <c r="G105" s="178" t="s">
        <v>2134</v>
      </c>
      <c r="H105" s="177"/>
      <c r="I105" s="177"/>
      <c r="J105" s="180">
        <v>10</v>
      </c>
      <c r="K105" s="181">
        <v>4.1399999999999997</v>
      </c>
      <c r="L105" s="177"/>
      <c r="M105" s="182" t="s">
        <v>1587</v>
      </c>
      <c r="N105" s="183" t="s">
        <v>738</v>
      </c>
      <c r="O105" s="89">
        <v>38918</v>
      </c>
      <c r="P105" s="241" t="s">
        <v>510</v>
      </c>
    </row>
    <row r="106" spans="2:16">
      <c r="B106" s="178" t="s">
        <v>1947</v>
      </c>
      <c r="C106" s="178" t="s">
        <v>1948</v>
      </c>
      <c r="D106" s="178" t="s">
        <v>1921</v>
      </c>
      <c r="E106" s="178" t="s">
        <v>1922</v>
      </c>
      <c r="F106" s="178" t="s">
        <v>733</v>
      </c>
      <c r="G106" s="178" t="s">
        <v>2134</v>
      </c>
      <c r="H106" s="177"/>
      <c r="I106" s="177"/>
      <c r="J106" s="180">
        <v>10</v>
      </c>
      <c r="K106" s="181">
        <v>4.43</v>
      </c>
      <c r="L106" s="177"/>
      <c r="M106" s="182" t="s">
        <v>1587</v>
      </c>
      <c r="N106" s="183" t="s">
        <v>738</v>
      </c>
      <c r="O106" s="89">
        <v>38918</v>
      </c>
      <c r="P106" s="241" t="s">
        <v>509</v>
      </c>
    </row>
    <row r="107" spans="2:16">
      <c r="B107" s="178" t="s">
        <v>1947</v>
      </c>
      <c r="C107" s="178" t="s">
        <v>1948</v>
      </c>
      <c r="D107" s="178" t="s">
        <v>1921</v>
      </c>
      <c r="E107" s="178" t="s">
        <v>1922</v>
      </c>
      <c r="F107" s="178" t="s">
        <v>734</v>
      </c>
      <c r="G107" s="178" t="s">
        <v>2152</v>
      </c>
      <c r="H107" s="177"/>
      <c r="I107" s="177"/>
      <c r="J107" s="180">
        <v>1</v>
      </c>
      <c r="K107" s="181">
        <v>16.8</v>
      </c>
      <c r="L107" s="177"/>
      <c r="M107" s="182" t="s">
        <v>1587</v>
      </c>
      <c r="N107" s="183" t="s">
        <v>739</v>
      </c>
      <c r="O107" s="89">
        <v>37417</v>
      </c>
      <c r="P107" s="241" t="s">
        <v>508</v>
      </c>
    </row>
    <row r="108" spans="2:16">
      <c r="B108" s="178" t="s">
        <v>1947</v>
      </c>
      <c r="C108" s="178" t="s">
        <v>1948</v>
      </c>
      <c r="D108" s="178" t="s">
        <v>1921</v>
      </c>
      <c r="E108" s="178" t="s">
        <v>1922</v>
      </c>
      <c r="F108" s="178" t="s">
        <v>734</v>
      </c>
      <c r="G108" s="178" t="s">
        <v>2153</v>
      </c>
      <c r="H108" s="177"/>
      <c r="I108" s="177"/>
      <c r="J108" s="180">
        <v>2</v>
      </c>
      <c r="K108" s="181">
        <v>8.0500000000000007</v>
      </c>
      <c r="L108" s="177"/>
      <c r="M108" s="182" t="s">
        <v>1587</v>
      </c>
      <c r="N108" s="183" t="s">
        <v>739</v>
      </c>
      <c r="O108" s="89">
        <v>37417</v>
      </c>
      <c r="P108" s="241" t="s">
        <v>507</v>
      </c>
    </row>
    <row r="109" spans="2:16">
      <c r="B109" s="178" t="s">
        <v>1947</v>
      </c>
      <c r="C109" s="178" t="s">
        <v>1948</v>
      </c>
      <c r="D109" s="178" t="s">
        <v>1921</v>
      </c>
      <c r="E109" s="178" t="s">
        <v>1922</v>
      </c>
      <c r="F109" s="178" t="s">
        <v>734</v>
      </c>
      <c r="G109" s="178" t="s">
        <v>2154</v>
      </c>
      <c r="H109" s="177"/>
      <c r="I109" s="177"/>
      <c r="J109" s="180">
        <v>6</v>
      </c>
      <c r="K109" s="181">
        <v>3.69</v>
      </c>
      <c r="L109" s="177"/>
      <c r="M109" s="182" t="s">
        <v>1587</v>
      </c>
      <c r="N109" s="183" t="s">
        <v>739</v>
      </c>
      <c r="O109" s="89">
        <v>37811</v>
      </c>
      <c r="P109" s="241" t="s">
        <v>505</v>
      </c>
    </row>
    <row r="110" spans="2:16">
      <c r="B110" s="178" t="s">
        <v>1947</v>
      </c>
      <c r="C110" s="178" t="s">
        <v>1948</v>
      </c>
      <c r="D110" s="178" t="s">
        <v>1921</v>
      </c>
      <c r="E110" s="178" t="s">
        <v>1922</v>
      </c>
      <c r="F110" s="178" t="s">
        <v>734</v>
      </c>
      <c r="G110" s="178" t="s">
        <v>2155</v>
      </c>
      <c r="H110" s="177"/>
      <c r="I110" s="177"/>
      <c r="J110" s="180">
        <v>10</v>
      </c>
      <c r="K110" s="181">
        <v>4.3600000000000003</v>
      </c>
      <c r="L110" s="177"/>
      <c r="M110" s="182" t="s">
        <v>1587</v>
      </c>
      <c r="N110" s="183" t="s">
        <v>739</v>
      </c>
      <c r="O110" s="89">
        <v>37417</v>
      </c>
      <c r="P110" s="241" t="s">
        <v>506</v>
      </c>
    </row>
    <row r="111" spans="2:16">
      <c r="B111" s="178" t="s">
        <v>1947</v>
      </c>
      <c r="C111" s="178" t="s">
        <v>1948</v>
      </c>
      <c r="D111" s="178" t="s">
        <v>1921</v>
      </c>
      <c r="E111" s="178" t="s">
        <v>1922</v>
      </c>
      <c r="F111" s="178" t="s">
        <v>734</v>
      </c>
      <c r="G111" s="178" t="s">
        <v>2156</v>
      </c>
      <c r="H111" s="177"/>
      <c r="I111" s="177"/>
      <c r="J111" s="180">
        <v>20</v>
      </c>
      <c r="K111" s="181">
        <v>2.57</v>
      </c>
      <c r="L111" s="177"/>
      <c r="M111" s="182" t="s">
        <v>1587</v>
      </c>
      <c r="N111" s="183" t="s">
        <v>739</v>
      </c>
      <c r="O111" s="89">
        <v>37417</v>
      </c>
      <c r="P111" s="241" t="s">
        <v>504</v>
      </c>
    </row>
    <row r="112" spans="2:16">
      <c r="B112" s="178" t="s">
        <v>1947</v>
      </c>
      <c r="C112" s="178" t="s">
        <v>1948</v>
      </c>
      <c r="D112" s="178" t="s">
        <v>1921</v>
      </c>
      <c r="E112" s="178" t="s">
        <v>1922</v>
      </c>
      <c r="F112" s="178" t="s">
        <v>735</v>
      </c>
      <c r="G112" s="178" t="s">
        <v>2157</v>
      </c>
      <c r="H112" s="177"/>
      <c r="I112" s="177"/>
      <c r="J112" s="180">
        <v>1</v>
      </c>
      <c r="K112" s="181">
        <v>14.5</v>
      </c>
      <c r="L112" s="177"/>
      <c r="M112" s="182" t="s">
        <v>1587</v>
      </c>
      <c r="N112" s="183" t="s">
        <v>740</v>
      </c>
      <c r="O112" s="89">
        <v>39786</v>
      </c>
      <c r="P112" s="241" t="s">
        <v>527</v>
      </c>
    </row>
    <row r="113" spans="2:16">
      <c r="B113" s="178" t="s">
        <v>1947</v>
      </c>
      <c r="C113" s="178" t="s">
        <v>1948</v>
      </c>
      <c r="D113" s="178" t="s">
        <v>1921</v>
      </c>
      <c r="E113" s="178" t="s">
        <v>1922</v>
      </c>
      <c r="F113" s="178" t="s">
        <v>735</v>
      </c>
      <c r="G113" s="178" t="s">
        <v>2158</v>
      </c>
      <c r="H113" s="177"/>
      <c r="I113" s="177"/>
      <c r="J113" s="180">
        <v>2</v>
      </c>
      <c r="K113" s="181">
        <v>7.2</v>
      </c>
      <c r="L113" s="177"/>
      <c r="M113" s="182" t="s">
        <v>1587</v>
      </c>
      <c r="N113" s="183" t="s">
        <v>740</v>
      </c>
      <c r="O113" s="89">
        <v>39786</v>
      </c>
      <c r="P113" s="241" t="s">
        <v>528</v>
      </c>
    </row>
    <row r="114" spans="2:16">
      <c r="B114" s="178" t="s">
        <v>1947</v>
      </c>
      <c r="C114" s="178" t="s">
        <v>1948</v>
      </c>
      <c r="D114" s="178" t="s">
        <v>1921</v>
      </c>
      <c r="E114" s="178" t="s">
        <v>1922</v>
      </c>
      <c r="F114" s="178" t="s">
        <v>735</v>
      </c>
      <c r="G114" s="178" t="s">
        <v>2159</v>
      </c>
      <c r="H114" s="177"/>
      <c r="I114" s="177"/>
      <c r="J114" s="180">
        <v>6</v>
      </c>
      <c r="K114" s="181">
        <v>5.3</v>
      </c>
      <c r="L114" s="177"/>
      <c r="M114" s="182" t="s">
        <v>1587</v>
      </c>
      <c r="N114" s="183" t="s">
        <v>740</v>
      </c>
      <c r="O114" s="89">
        <v>39786</v>
      </c>
      <c r="P114" s="241" t="s">
        <v>529</v>
      </c>
    </row>
    <row r="115" spans="2:16">
      <c r="B115" s="178" t="s">
        <v>1947</v>
      </c>
      <c r="C115" s="178" t="s">
        <v>1948</v>
      </c>
      <c r="D115" s="178" t="s">
        <v>1921</v>
      </c>
      <c r="E115" s="178" t="s">
        <v>1922</v>
      </c>
      <c r="F115" s="178" t="s">
        <v>735</v>
      </c>
      <c r="G115" s="178" t="s">
        <v>2160</v>
      </c>
      <c r="H115" s="177"/>
      <c r="I115" s="177"/>
      <c r="J115" s="180">
        <v>10</v>
      </c>
      <c r="K115" s="181">
        <v>3.2</v>
      </c>
      <c r="L115" s="177"/>
      <c r="M115" s="182" t="s">
        <v>1587</v>
      </c>
      <c r="N115" s="183" t="s">
        <v>740</v>
      </c>
      <c r="O115" s="89">
        <v>39786</v>
      </c>
      <c r="P115" s="241" t="s">
        <v>530</v>
      </c>
    </row>
    <row r="116" spans="2:16">
      <c r="B116" s="178" t="s">
        <v>1947</v>
      </c>
      <c r="C116" s="178" t="s">
        <v>1948</v>
      </c>
      <c r="D116" s="178" t="s">
        <v>1921</v>
      </c>
      <c r="E116" s="178" t="s">
        <v>1922</v>
      </c>
      <c r="F116" s="178" t="s">
        <v>735</v>
      </c>
      <c r="G116" s="178" t="s">
        <v>2161</v>
      </c>
      <c r="H116" s="177"/>
      <c r="I116" s="177"/>
      <c r="J116" s="180">
        <v>20</v>
      </c>
      <c r="K116" s="181">
        <v>2</v>
      </c>
      <c r="L116" s="177"/>
      <c r="M116" s="182" t="s">
        <v>1587</v>
      </c>
      <c r="N116" s="183" t="s">
        <v>740</v>
      </c>
      <c r="O116" s="89">
        <v>39786</v>
      </c>
      <c r="P116" s="241" t="s">
        <v>531</v>
      </c>
    </row>
    <row r="117" spans="2:16">
      <c r="B117" s="178" t="s">
        <v>1951</v>
      </c>
      <c r="C117" s="178" t="s">
        <v>599</v>
      </c>
      <c r="D117" s="178" t="s">
        <v>1921</v>
      </c>
      <c r="E117" s="178" t="s">
        <v>1922</v>
      </c>
      <c r="F117" s="178"/>
      <c r="G117" s="178" t="s">
        <v>1924</v>
      </c>
      <c r="H117" s="177"/>
      <c r="I117" s="177"/>
      <c r="J117" s="180">
        <v>1</v>
      </c>
      <c r="K117" s="181">
        <v>15</v>
      </c>
      <c r="L117" s="177"/>
      <c r="M117" s="182"/>
      <c r="N117" s="183" t="s">
        <v>1919</v>
      </c>
      <c r="O117" s="89"/>
      <c r="P117" s="241"/>
    </row>
    <row r="118" spans="2:16">
      <c r="B118" s="178" t="s">
        <v>1952</v>
      </c>
      <c r="C118" s="178" t="s">
        <v>599</v>
      </c>
      <c r="D118" s="178" t="s">
        <v>1921</v>
      </c>
      <c r="E118" s="178" t="s">
        <v>1922</v>
      </c>
      <c r="F118" s="178"/>
      <c r="G118" s="178" t="s">
        <v>1924</v>
      </c>
      <c r="H118" s="177"/>
      <c r="I118" s="177"/>
      <c r="J118" s="180">
        <v>10</v>
      </c>
      <c r="K118" s="181">
        <v>2.5</v>
      </c>
      <c r="L118" s="177"/>
      <c r="M118" s="182"/>
      <c r="N118" s="183" t="s">
        <v>1919</v>
      </c>
      <c r="O118" s="89"/>
      <c r="P118" s="241"/>
    </row>
    <row r="119" spans="2:16">
      <c r="B119" s="178" t="s">
        <v>1952</v>
      </c>
      <c r="C119" s="178" t="s">
        <v>599</v>
      </c>
      <c r="D119" s="178" t="s">
        <v>1921</v>
      </c>
      <c r="E119" s="178" t="s">
        <v>1922</v>
      </c>
      <c r="F119" s="178" t="s">
        <v>309</v>
      </c>
      <c r="G119" s="178" t="s">
        <v>1466</v>
      </c>
      <c r="H119" s="177"/>
      <c r="I119" s="177"/>
      <c r="J119" s="180">
        <v>1</v>
      </c>
      <c r="K119" s="181">
        <v>5</v>
      </c>
      <c r="L119" s="177"/>
      <c r="M119" s="182" t="s">
        <v>1468</v>
      </c>
      <c r="N119" s="183" t="s">
        <v>736</v>
      </c>
      <c r="O119" s="89">
        <v>40293</v>
      </c>
      <c r="P119" s="241" t="s">
        <v>1467</v>
      </c>
    </row>
    <row r="120" spans="2:16">
      <c r="B120" s="178" t="s">
        <v>1952</v>
      </c>
      <c r="C120" s="178" t="s">
        <v>599</v>
      </c>
      <c r="D120" s="178" t="s">
        <v>1921</v>
      </c>
      <c r="E120" s="178" t="s">
        <v>1922</v>
      </c>
      <c r="F120" s="178" t="s">
        <v>1469</v>
      </c>
      <c r="G120" s="178" t="s">
        <v>1470</v>
      </c>
      <c r="H120" s="177"/>
      <c r="I120" s="177"/>
      <c r="J120" s="180">
        <v>1</v>
      </c>
      <c r="K120" s="181">
        <v>13.4</v>
      </c>
      <c r="L120" s="177"/>
      <c r="M120" s="182" t="s">
        <v>1462</v>
      </c>
      <c r="N120" s="183" t="s">
        <v>1471</v>
      </c>
      <c r="O120" s="89">
        <v>35538</v>
      </c>
      <c r="P120" s="241" t="s">
        <v>1472</v>
      </c>
    </row>
    <row r="121" spans="2:16">
      <c r="B121" s="178" t="s">
        <v>1952</v>
      </c>
      <c r="C121" s="178" t="s">
        <v>599</v>
      </c>
      <c r="D121" s="178" t="s">
        <v>1921</v>
      </c>
      <c r="E121" s="178" t="s">
        <v>1922</v>
      </c>
      <c r="F121" s="178" t="s">
        <v>1469</v>
      </c>
      <c r="G121" s="178" t="s">
        <v>1470</v>
      </c>
      <c r="H121" s="177"/>
      <c r="I121" s="177"/>
      <c r="J121" s="180" t="s">
        <v>653</v>
      </c>
      <c r="K121" s="181"/>
      <c r="L121" s="177"/>
      <c r="M121" s="182" t="s">
        <v>1462</v>
      </c>
      <c r="N121" s="183" t="s">
        <v>1471</v>
      </c>
      <c r="O121" s="89">
        <v>35538</v>
      </c>
      <c r="P121" s="241" t="s">
        <v>308</v>
      </c>
    </row>
    <row r="122" spans="2:16">
      <c r="B122" s="178" t="s">
        <v>1952</v>
      </c>
      <c r="C122" s="178" t="s">
        <v>599</v>
      </c>
      <c r="D122" s="178" t="s">
        <v>1921</v>
      </c>
      <c r="E122" s="178" t="s">
        <v>1922</v>
      </c>
      <c r="F122" s="178" t="s">
        <v>1474</v>
      </c>
      <c r="G122" s="178" t="s">
        <v>412</v>
      </c>
      <c r="H122" s="177"/>
      <c r="I122" s="177"/>
      <c r="J122" s="180" t="s">
        <v>1777</v>
      </c>
      <c r="K122" s="181"/>
      <c r="L122" s="177"/>
      <c r="M122" s="182" t="s">
        <v>1478</v>
      </c>
      <c r="N122" s="183" t="s">
        <v>2179</v>
      </c>
      <c r="O122" s="89">
        <v>37670</v>
      </c>
      <c r="P122" s="241" t="s">
        <v>1473</v>
      </c>
    </row>
    <row r="123" spans="2:16">
      <c r="B123" s="178" t="s">
        <v>1951</v>
      </c>
      <c r="C123" s="178" t="s">
        <v>599</v>
      </c>
      <c r="D123" s="178" t="s">
        <v>1921</v>
      </c>
      <c r="E123" s="178" t="s">
        <v>1922</v>
      </c>
      <c r="F123" s="178"/>
      <c r="G123" s="178" t="s">
        <v>1924</v>
      </c>
      <c r="H123" s="177"/>
      <c r="I123" s="177"/>
      <c r="J123" s="180">
        <v>1</v>
      </c>
      <c r="K123" s="181">
        <v>32.299999999999997</v>
      </c>
      <c r="L123" s="177"/>
      <c r="M123" s="182"/>
      <c r="N123" s="183" t="s">
        <v>1953</v>
      </c>
      <c r="O123" s="89"/>
      <c r="P123" s="241"/>
    </row>
    <row r="124" spans="2:16">
      <c r="B124" s="178" t="s">
        <v>1952</v>
      </c>
      <c r="C124" s="178" t="s">
        <v>599</v>
      </c>
      <c r="D124" s="178" t="s">
        <v>1921</v>
      </c>
      <c r="E124" s="178" t="s">
        <v>1922</v>
      </c>
      <c r="F124" s="178"/>
      <c r="G124" s="178" t="s">
        <v>1924</v>
      </c>
      <c r="H124" s="177"/>
      <c r="I124" s="177"/>
      <c r="J124" s="180">
        <v>10</v>
      </c>
      <c r="K124" s="181">
        <v>13.8</v>
      </c>
      <c r="L124" s="177"/>
      <c r="M124" s="182"/>
      <c r="N124" s="183" t="s">
        <v>1953</v>
      </c>
      <c r="O124" s="89"/>
      <c r="P124" s="241"/>
    </row>
    <row r="125" spans="2:16">
      <c r="B125" s="178" t="s">
        <v>1952</v>
      </c>
      <c r="C125" s="178" t="s">
        <v>599</v>
      </c>
      <c r="D125" s="178" t="s">
        <v>1921</v>
      </c>
      <c r="E125" s="178" t="s">
        <v>1922</v>
      </c>
      <c r="F125" s="178"/>
      <c r="G125" s="178" t="s">
        <v>1924</v>
      </c>
      <c r="H125" s="177"/>
      <c r="I125" s="177"/>
      <c r="J125" s="180">
        <v>10</v>
      </c>
      <c r="K125" s="181">
        <v>9.5</v>
      </c>
      <c r="L125" s="177"/>
      <c r="M125" s="182"/>
      <c r="N125" s="183" t="s">
        <v>1954</v>
      </c>
      <c r="O125" s="89"/>
      <c r="P125" s="241"/>
    </row>
    <row r="126" spans="2:16">
      <c r="B126" s="178" t="s">
        <v>777</v>
      </c>
      <c r="C126" s="178" t="s">
        <v>600</v>
      </c>
      <c r="D126" s="178" t="s">
        <v>2044</v>
      </c>
      <c r="E126" s="178" t="s">
        <v>1922</v>
      </c>
      <c r="F126" s="178"/>
      <c r="G126" s="178" t="s">
        <v>1936</v>
      </c>
      <c r="H126" s="177" t="s">
        <v>769</v>
      </c>
      <c r="I126" s="177"/>
      <c r="J126" s="180">
        <v>1</v>
      </c>
      <c r="K126" s="181">
        <v>13</v>
      </c>
      <c r="L126" s="177">
        <v>35</v>
      </c>
      <c r="M126" s="182"/>
      <c r="N126" s="183" t="s">
        <v>1919</v>
      </c>
      <c r="O126" s="89"/>
      <c r="P126" s="241"/>
    </row>
    <row r="127" spans="2:16">
      <c r="B127" s="178" t="s">
        <v>777</v>
      </c>
      <c r="C127" s="178" t="s">
        <v>600</v>
      </c>
      <c r="D127" s="178" t="s">
        <v>2044</v>
      </c>
      <c r="E127" s="178" t="s">
        <v>1922</v>
      </c>
      <c r="F127" s="178"/>
      <c r="G127" s="178" t="s">
        <v>1936</v>
      </c>
      <c r="H127" s="177" t="s">
        <v>769</v>
      </c>
      <c r="I127" s="177"/>
      <c r="J127" s="180">
        <v>2</v>
      </c>
      <c r="K127" s="181">
        <v>6</v>
      </c>
      <c r="L127" s="177">
        <v>6</v>
      </c>
      <c r="M127" s="182"/>
      <c r="N127" s="183" t="s">
        <v>1919</v>
      </c>
      <c r="O127" s="89"/>
      <c r="P127" s="241"/>
    </row>
    <row r="128" spans="2:16">
      <c r="B128" s="178" t="s">
        <v>777</v>
      </c>
      <c r="C128" s="178" t="s">
        <v>600</v>
      </c>
      <c r="D128" s="178" t="s">
        <v>2044</v>
      </c>
      <c r="E128" s="178" t="s">
        <v>1922</v>
      </c>
      <c r="F128" s="178"/>
      <c r="G128" s="178" t="s">
        <v>1936</v>
      </c>
      <c r="H128" s="177" t="s">
        <v>769</v>
      </c>
      <c r="I128" s="177"/>
      <c r="J128" s="180">
        <v>10</v>
      </c>
      <c r="K128" s="181">
        <v>2.5</v>
      </c>
      <c r="L128" s="177">
        <v>3</v>
      </c>
      <c r="M128" s="182"/>
      <c r="N128" s="183" t="s">
        <v>1919</v>
      </c>
      <c r="O128" s="89"/>
      <c r="P128" s="241"/>
    </row>
    <row r="129" spans="2:58">
      <c r="B129" s="178" t="s">
        <v>777</v>
      </c>
      <c r="C129" s="178" t="s">
        <v>600</v>
      </c>
      <c r="D129" s="178" t="s">
        <v>2044</v>
      </c>
      <c r="E129" s="178" t="s">
        <v>1922</v>
      </c>
      <c r="F129" s="178"/>
      <c r="G129" s="178" t="s">
        <v>633</v>
      </c>
      <c r="H129" s="177" t="s">
        <v>769</v>
      </c>
      <c r="I129" s="177"/>
      <c r="J129" s="180">
        <v>1</v>
      </c>
      <c r="K129" s="181">
        <v>12.66</v>
      </c>
      <c r="L129" s="177"/>
      <c r="M129" s="182" t="s">
        <v>1478</v>
      </c>
      <c r="N129" s="183" t="s">
        <v>1690</v>
      </c>
      <c r="O129" s="89" t="s">
        <v>634</v>
      </c>
      <c r="P129" s="241" t="s">
        <v>1461</v>
      </c>
    </row>
    <row r="130" spans="2:58">
      <c r="B130" s="178" t="s">
        <v>777</v>
      </c>
      <c r="C130" s="178" t="s">
        <v>600</v>
      </c>
      <c r="D130" s="178" t="s">
        <v>2044</v>
      </c>
      <c r="E130" s="178" t="s">
        <v>1922</v>
      </c>
      <c r="F130" s="178"/>
      <c r="G130" s="178" t="s">
        <v>412</v>
      </c>
      <c r="H130" s="177" t="s">
        <v>769</v>
      </c>
      <c r="I130" s="177"/>
      <c r="J130" s="180" t="s">
        <v>1777</v>
      </c>
      <c r="K130" s="181"/>
      <c r="L130" s="177"/>
      <c r="M130" s="182" t="s">
        <v>1462</v>
      </c>
      <c r="N130" s="183" t="s">
        <v>1955</v>
      </c>
      <c r="O130" s="89">
        <v>36077</v>
      </c>
      <c r="P130" s="241" t="s">
        <v>1463</v>
      </c>
    </row>
    <row r="131" spans="2:58">
      <c r="B131" s="178" t="s">
        <v>777</v>
      </c>
      <c r="C131" s="178" t="s">
        <v>600</v>
      </c>
      <c r="D131" s="178" t="s">
        <v>2044</v>
      </c>
      <c r="E131" s="178" t="s">
        <v>1922</v>
      </c>
      <c r="F131" s="178"/>
      <c r="G131" s="178" t="s">
        <v>412</v>
      </c>
      <c r="H131" s="177" t="s">
        <v>769</v>
      </c>
      <c r="I131" s="177"/>
      <c r="J131" s="180" t="s">
        <v>653</v>
      </c>
      <c r="K131" s="181"/>
      <c r="L131" s="177"/>
      <c r="M131" s="182" t="s">
        <v>1462</v>
      </c>
      <c r="N131" s="183" t="s">
        <v>1955</v>
      </c>
      <c r="O131" s="89">
        <v>36077</v>
      </c>
      <c r="P131" s="241" t="s">
        <v>1464</v>
      </c>
    </row>
    <row r="132" spans="2:58">
      <c r="B132" s="178" t="s">
        <v>777</v>
      </c>
      <c r="C132" s="178" t="s">
        <v>600</v>
      </c>
      <c r="D132" s="178" t="s">
        <v>2044</v>
      </c>
      <c r="E132" s="178" t="s">
        <v>1922</v>
      </c>
      <c r="F132" s="178"/>
      <c r="G132" s="178" t="s">
        <v>412</v>
      </c>
      <c r="H132" s="177" t="s">
        <v>769</v>
      </c>
      <c r="I132" s="177"/>
      <c r="J132" s="180" t="s">
        <v>2185</v>
      </c>
      <c r="K132" s="181"/>
      <c r="L132" s="177"/>
      <c r="M132" s="182" t="s">
        <v>1462</v>
      </c>
      <c r="N132" s="183" t="s">
        <v>1955</v>
      </c>
      <c r="O132" s="89">
        <v>36077</v>
      </c>
      <c r="P132" s="241" t="s">
        <v>1465</v>
      </c>
    </row>
    <row r="133" spans="2:58">
      <c r="B133" s="178" t="s">
        <v>1779</v>
      </c>
      <c r="C133" s="178" t="s">
        <v>648</v>
      </c>
      <c r="D133" s="178" t="s">
        <v>1921</v>
      </c>
      <c r="E133" s="178" t="s">
        <v>1922</v>
      </c>
      <c r="F133" s="178" t="s">
        <v>647</v>
      </c>
      <c r="G133" s="178" t="s">
        <v>246</v>
      </c>
      <c r="H133" s="177"/>
      <c r="I133" s="177"/>
      <c r="J133" s="180" t="s">
        <v>653</v>
      </c>
      <c r="K133" s="181">
        <v>75</v>
      </c>
      <c r="L133" s="177"/>
      <c r="M133" s="182" t="s">
        <v>1587</v>
      </c>
      <c r="N133" s="183" t="s">
        <v>2179</v>
      </c>
      <c r="O133" s="89">
        <v>39953</v>
      </c>
      <c r="P133" s="241" t="s">
        <v>2178</v>
      </c>
    </row>
    <row r="134" spans="2:58">
      <c r="B134" s="178" t="s">
        <v>1779</v>
      </c>
      <c r="C134" s="178" t="s">
        <v>648</v>
      </c>
      <c r="D134" s="178" t="s">
        <v>1921</v>
      </c>
      <c r="E134" s="178" t="s">
        <v>1922</v>
      </c>
      <c r="F134" s="178" t="s">
        <v>647</v>
      </c>
      <c r="G134" s="178" t="s">
        <v>649</v>
      </c>
      <c r="H134" s="177"/>
      <c r="I134" s="177"/>
      <c r="J134" s="180">
        <v>1</v>
      </c>
      <c r="K134" s="181">
        <v>15</v>
      </c>
      <c r="L134" s="177"/>
      <c r="M134" s="182" t="s">
        <v>1587</v>
      </c>
      <c r="N134" s="183" t="s">
        <v>2179</v>
      </c>
      <c r="O134" s="89">
        <v>39953</v>
      </c>
      <c r="P134" s="241" t="s">
        <v>2178</v>
      </c>
    </row>
    <row r="135" spans="2:58">
      <c r="B135" s="178" t="s">
        <v>1779</v>
      </c>
      <c r="C135" s="178" t="s">
        <v>648</v>
      </c>
      <c r="D135" s="178" t="s">
        <v>1921</v>
      </c>
      <c r="E135" s="178" t="s">
        <v>1922</v>
      </c>
      <c r="F135" s="178" t="s">
        <v>2180</v>
      </c>
      <c r="G135" s="178" t="s">
        <v>2186</v>
      </c>
      <c r="H135" s="177"/>
      <c r="I135" s="177"/>
      <c r="J135" s="180" t="s">
        <v>653</v>
      </c>
      <c r="K135" s="181">
        <v>57.7</v>
      </c>
      <c r="L135" s="177"/>
      <c r="M135" s="182" t="s">
        <v>924</v>
      </c>
      <c r="N135" s="183" t="s">
        <v>1955</v>
      </c>
      <c r="O135" s="89">
        <v>40002</v>
      </c>
      <c r="P135" s="241" t="s">
        <v>2188</v>
      </c>
    </row>
    <row r="136" spans="2:58">
      <c r="B136" s="178" t="s">
        <v>1779</v>
      </c>
      <c r="C136" s="178" t="s">
        <v>648</v>
      </c>
      <c r="D136" s="178" t="s">
        <v>1921</v>
      </c>
      <c r="E136" s="178" t="s">
        <v>1922</v>
      </c>
      <c r="F136" s="178" t="s">
        <v>2180</v>
      </c>
      <c r="G136" s="178" t="s">
        <v>649</v>
      </c>
      <c r="H136" s="177"/>
      <c r="I136" s="177"/>
      <c r="J136" s="180" t="s">
        <v>653</v>
      </c>
      <c r="K136" s="181">
        <v>11.5</v>
      </c>
      <c r="L136" s="177"/>
      <c r="M136" s="182" t="s">
        <v>924</v>
      </c>
      <c r="N136" s="183" t="s">
        <v>1955</v>
      </c>
      <c r="O136" s="89">
        <v>40002</v>
      </c>
      <c r="P136" s="241" t="s">
        <v>2188</v>
      </c>
    </row>
    <row r="137" spans="2:58">
      <c r="B137" s="178" t="s">
        <v>1779</v>
      </c>
      <c r="C137" s="178" t="s">
        <v>648</v>
      </c>
      <c r="D137" s="178" t="s">
        <v>1921</v>
      </c>
      <c r="E137" s="178" t="s">
        <v>1922</v>
      </c>
      <c r="F137" s="178" t="s">
        <v>2180</v>
      </c>
      <c r="G137" s="178" t="s">
        <v>2187</v>
      </c>
      <c r="H137" s="177"/>
      <c r="I137" s="177"/>
      <c r="J137" s="180">
        <v>1</v>
      </c>
      <c r="K137" s="181">
        <v>9.6999999999999993</v>
      </c>
      <c r="L137" s="177"/>
      <c r="M137" s="182" t="s">
        <v>924</v>
      </c>
      <c r="N137" s="183" t="s">
        <v>1955</v>
      </c>
      <c r="O137" s="89">
        <v>40002</v>
      </c>
      <c r="P137" s="241" t="s">
        <v>2188</v>
      </c>
    </row>
    <row r="138" spans="2:58">
      <c r="B138" s="178" t="s">
        <v>1779</v>
      </c>
      <c r="C138" s="178" t="s">
        <v>648</v>
      </c>
      <c r="D138" s="178" t="s">
        <v>1921</v>
      </c>
      <c r="E138" s="178" t="s">
        <v>1922</v>
      </c>
      <c r="F138" s="178" t="s">
        <v>2180</v>
      </c>
      <c r="G138" s="178" t="s">
        <v>2184</v>
      </c>
      <c r="H138" s="177"/>
      <c r="I138" s="177"/>
      <c r="J138" s="180" t="s">
        <v>2185</v>
      </c>
      <c r="K138" s="181">
        <v>28.8</v>
      </c>
      <c r="L138" s="177"/>
      <c r="M138" s="182" t="s">
        <v>924</v>
      </c>
      <c r="N138" s="183" t="s">
        <v>1955</v>
      </c>
      <c r="O138" s="89">
        <v>40002</v>
      </c>
      <c r="P138" s="241" t="s">
        <v>2181</v>
      </c>
    </row>
    <row r="139" spans="2:58">
      <c r="B139" s="178" t="s">
        <v>1779</v>
      </c>
      <c r="C139" s="178" t="s">
        <v>648</v>
      </c>
      <c r="D139" s="178" t="s">
        <v>1921</v>
      </c>
      <c r="E139" s="178" t="s">
        <v>1922</v>
      </c>
      <c r="F139" s="178" t="s">
        <v>2180</v>
      </c>
      <c r="G139" s="178" t="s">
        <v>2182</v>
      </c>
      <c r="H139" s="177"/>
      <c r="I139" s="177"/>
      <c r="J139" s="180">
        <v>2</v>
      </c>
      <c r="K139" s="181">
        <v>5.7</v>
      </c>
      <c r="L139" s="177"/>
      <c r="M139" s="182" t="s">
        <v>924</v>
      </c>
      <c r="N139" s="183" t="s">
        <v>1955</v>
      </c>
      <c r="O139" s="89">
        <v>40002</v>
      </c>
      <c r="P139" s="241" t="s">
        <v>2181</v>
      </c>
    </row>
    <row r="140" spans="2:58">
      <c r="B140" s="178" t="s">
        <v>1779</v>
      </c>
      <c r="C140" s="178" t="s">
        <v>648</v>
      </c>
      <c r="D140" s="178" t="s">
        <v>1921</v>
      </c>
      <c r="E140" s="178" t="s">
        <v>1922</v>
      </c>
      <c r="F140" s="178" t="s">
        <v>2180</v>
      </c>
      <c r="G140" s="178" t="s">
        <v>2183</v>
      </c>
      <c r="H140" s="177"/>
      <c r="I140" s="177"/>
      <c r="J140" s="180">
        <v>2</v>
      </c>
      <c r="K140" s="181">
        <v>4.8</v>
      </c>
      <c r="L140" s="177"/>
      <c r="M140" s="182" t="s">
        <v>924</v>
      </c>
      <c r="N140" s="183" t="s">
        <v>1955</v>
      </c>
      <c r="O140" s="89">
        <v>40002</v>
      </c>
      <c r="P140" s="241" t="s">
        <v>2181</v>
      </c>
    </row>
    <row r="141" spans="2:58">
      <c r="B141" s="178" t="s">
        <v>1577</v>
      </c>
      <c r="C141" s="178" t="s">
        <v>384</v>
      </c>
      <c r="D141" s="178" t="s">
        <v>1921</v>
      </c>
      <c r="E141" s="178" t="s">
        <v>1922</v>
      </c>
      <c r="F141" s="178" t="s">
        <v>385</v>
      </c>
      <c r="G141" s="178" t="s">
        <v>386</v>
      </c>
      <c r="H141" s="177"/>
      <c r="I141" s="177" t="s">
        <v>1843</v>
      </c>
      <c r="J141" s="180" t="s">
        <v>598</v>
      </c>
      <c r="K141" s="181">
        <f>23.4*17*13.5/50</f>
        <v>107.40599999999999</v>
      </c>
      <c r="L141" s="177"/>
      <c r="M141" s="182" t="s">
        <v>768</v>
      </c>
      <c r="N141" s="183" t="s">
        <v>1690</v>
      </c>
      <c r="O141" s="89"/>
      <c r="P141" s="241" t="s">
        <v>387</v>
      </c>
    </row>
    <row r="142" spans="2:58">
      <c r="B142" s="178" t="s">
        <v>1577</v>
      </c>
      <c r="C142" s="178" t="s">
        <v>384</v>
      </c>
      <c r="D142" s="178" t="s">
        <v>1921</v>
      </c>
      <c r="E142" s="178" t="s">
        <v>1922</v>
      </c>
      <c r="F142" s="178" t="s">
        <v>385</v>
      </c>
      <c r="G142" s="178" t="s">
        <v>1578</v>
      </c>
      <c r="H142" s="177"/>
      <c r="I142" s="177"/>
      <c r="J142" s="180">
        <v>10</v>
      </c>
      <c r="K142" s="181">
        <v>2.46</v>
      </c>
      <c r="L142" s="177"/>
      <c r="M142" s="182" t="s">
        <v>768</v>
      </c>
      <c r="N142" s="183" t="s">
        <v>1690</v>
      </c>
      <c r="O142" s="89">
        <v>38695</v>
      </c>
      <c r="P142" s="241" t="s">
        <v>945</v>
      </c>
    </row>
    <row r="143" spans="2:58">
      <c r="B143" s="178" t="s">
        <v>1577</v>
      </c>
      <c r="C143" s="178" t="s">
        <v>384</v>
      </c>
      <c r="D143" s="178" t="s">
        <v>1921</v>
      </c>
      <c r="E143" s="178" t="s">
        <v>1922</v>
      </c>
      <c r="F143" s="178" t="s">
        <v>946</v>
      </c>
      <c r="G143" s="178" t="s">
        <v>947</v>
      </c>
      <c r="H143" s="177"/>
      <c r="I143" s="177"/>
      <c r="J143" s="180">
        <v>1</v>
      </c>
      <c r="K143" s="181">
        <v>15.7</v>
      </c>
      <c r="L143" s="177"/>
      <c r="M143" s="182" t="s">
        <v>768</v>
      </c>
      <c r="N143" s="183" t="s">
        <v>948</v>
      </c>
      <c r="O143" s="89">
        <v>40518</v>
      </c>
      <c r="P143" s="241" t="s">
        <v>949</v>
      </c>
    </row>
    <row r="144" spans="2:58" s="9" customFormat="1">
      <c r="B144" s="178" t="s">
        <v>1577</v>
      </c>
      <c r="C144" s="178" t="s">
        <v>384</v>
      </c>
      <c r="D144" s="178" t="s">
        <v>1921</v>
      </c>
      <c r="E144" s="178" t="s">
        <v>1922</v>
      </c>
      <c r="F144" s="178" t="s">
        <v>950</v>
      </c>
      <c r="G144" s="178" t="s">
        <v>937</v>
      </c>
      <c r="H144" s="177"/>
      <c r="I144" s="177"/>
      <c r="J144" s="180" t="s">
        <v>653</v>
      </c>
      <c r="K144" s="181">
        <v>101.4</v>
      </c>
      <c r="L144" s="177"/>
      <c r="M144" s="182" t="s">
        <v>1778</v>
      </c>
      <c r="N144" s="183" t="s">
        <v>1477</v>
      </c>
      <c r="O144" s="89">
        <v>40535</v>
      </c>
      <c r="P144" s="241" t="s">
        <v>951</v>
      </c>
      <c r="Q144" s="6"/>
      <c r="R144" s="6"/>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row>
    <row r="145" spans="2:58">
      <c r="B145" s="178" t="s">
        <v>1577</v>
      </c>
      <c r="C145" s="178" t="s">
        <v>384</v>
      </c>
      <c r="D145" s="178" t="s">
        <v>1921</v>
      </c>
      <c r="E145" s="178" t="s">
        <v>1922</v>
      </c>
      <c r="F145" s="178" t="s">
        <v>950</v>
      </c>
      <c r="G145" s="178" t="s">
        <v>939</v>
      </c>
      <c r="H145" s="177"/>
      <c r="I145" s="177"/>
      <c r="J145" s="180">
        <v>1</v>
      </c>
      <c r="K145" s="181">
        <v>26.8</v>
      </c>
      <c r="L145" s="177"/>
      <c r="M145" s="182" t="s">
        <v>1778</v>
      </c>
      <c r="N145" s="183" t="s">
        <v>1477</v>
      </c>
      <c r="O145" s="89">
        <v>40535</v>
      </c>
      <c r="P145" s="241" t="s">
        <v>951</v>
      </c>
    </row>
    <row r="146" spans="2:58" s="9" customFormat="1" ht="11.4">
      <c r="B146" s="178" t="s">
        <v>1577</v>
      </c>
      <c r="C146" s="178" t="s">
        <v>384</v>
      </c>
      <c r="D146" s="178" t="s">
        <v>1921</v>
      </c>
      <c r="E146" s="178" t="s">
        <v>1922</v>
      </c>
      <c r="F146" s="178" t="s">
        <v>950</v>
      </c>
      <c r="G146" s="178" t="s">
        <v>952</v>
      </c>
      <c r="H146" s="177"/>
      <c r="I146" s="177"/>
      <c r="J146" s="180">
        <v>1</v>
      </c>
      <c r="K146" s="181">
        <v>12.9</v>
      </c>
      <c r="L146" s="177"/>
      <c r="M146" s="182" t="s">
        <v>1778</v>
      </c>
      <c r="N146" s="183" t="s">
        <v>1477</v>
      </c>
      <c r="O146" s="89">
        <v>40535</v>
      </c>
      <c r="P146" s="241" t="s">
        <v>951</v>
      </c>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row>
    <row r="147" spans="2:58" s="9" customFormat="1">
      <c r="B147" s="178" t="s">
        <v>776</v>
      </c>
      <c r="C147" s="178" t="s">
        <v>1803</v>
      </c>
      <c r="D147" s="178" t="s">
        <v>1921</v>
      </c>
      <c r="E147" s="178" t="s">
        <v>1934</v>
      </c>
      <c r="F147" s="178" t="s">
        <v>2026</v>
      </c>
      <c r="G147" s="178" t="s">
        <v>2075</v>
      </c>
      <c r="H147" s="177"/>
      <c r="I147" s="177"/>
      <c r="J147" s="180" t="s">
        <v>653</v>
      </c>
      <c r="K147" s="181">
        <f>5.5*2.5*2.5</f>
        <v>34.375</v>
      </c>
      <c r="L147" s="177"/>
      <c r="M147" s="182" t="s">
        <v>768</v>
      </c>
      <c r="N147" s="183" t="s">
        <v>1950</v>
      </c>
      <c r="O147" s="89"/>
      <c r="P147" s="241" t="s">
        <v>1686</v>
      </c>
      <c r="Q147" s="6"/>
      <c r="R147" s="6"/>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row>
    <row r="148" spans="2:58">
      <c r="B148" s="178" t="s">
        <v>776</v>
      </c>
      <c r="C148" s="178" t="s">
        <v>1803</v>
      </c>
      <c r="D148" s="178" t="s">
        <v>1921</v>
      </c>
      <c r="E148" s="178" t="s">
        <v>1934</v>
      </c>
      <c r="F148" s="178" t="s">
        <v>2026</v>
      </c>
      <c r="G148" s="178" t="s">
        <v>2027</v>
      </c>
      <c r="H148" s="177"/>
      <c r="I148" s="177"/>
      <c r="J148" s="180">
        <v>5</v>
      </c>
      <c r="K148" s="181">
        <f>5.5*2.5*2.5/5</f>
        <v>6.875</v>
      </c>
      <c r="L148" s="177"/>
      <c r="M148" s="182" t="s">
        <v>768</v>
      </c>
      <c r="N148" s="183" t="s">
        <v>1950</v>
      </c>
      <c r="O148" s="89"/>
      <c r="P148" s="241" t="s">
        <v>1686</v>
      </c>
      <c r="Q148" s="8"/>
      <c r="R148" s="8"/>
    </row>
    <row r="149" spans="2:58" s="9" customFormat="1" ht="11.4">
      <c r="B149" s="178" t="s">
        <v>776</v>
      </c>
      <c r="C149" s="178" t="s">
        <v>1803</v>
      </c>
      <c r="D149" s="178" t="s">
        <v>1921</v>
      </c>
      <c r="E149" s="178" t="s">
        <v>1934</v>
      </c>
      <c r="F149" s="178" t="s">
        <v>2026</v>
      </c>
      <c r="G149" s="178" t="s">
        <v>2028</v>
      </c>
      <c r="H149" s="177"/>
      <c r="I149" s="177"/>
      <c r="J149" s="180">
        <v>10</v>
      </c>
      <c r="K149" s="181">
        <f>5.5*2.5*2.5/10</f>
        <v>3.4375</v>
      </c>
      <c r="L149" s="177"/>
      <c r="M149" s="182" t="s">
        <v>768</v>
      </c>
      <c r="N149" s="183" t="s">
        <v>1950</v>
      </c>
      <c r="O149" s="89"/>
      <c r="P149" s="241" t="s">
        <v>1686</v>
      </c>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row>
    <row r="150" spans="2:58" s="9" customFormat="1">
      <c r="B150" s="178" t="s">
        <v>776</v>
      </c>
      <c r="C150" s="178" t="s">
        <v>1852</v>
      </c>
      <c r="D150" s="178" t="s">
        <v>2044</v>
      </c>
      <c r="E150" s="178" t="s">
        <v>1934</v>
      </c>
      <c r="F150" s="178"/>
      <c r="G150" s="178" t="s">
        <v>1936</v>
      </c>
      <c r="H150" s="177" t="s">
        <v>770</v>
      </c>
      <c r="I150" s="177"/>
      <c r="J150" s="180">
        <v>10</v>
      </c>
      <c r="K150" s="181">
        <v>15</v>
      </c>
      <c r="L150" s="177"/>
      <c r="M150" s="182"/>
      <c r="N150" s="183" t="s">
        <v>1946</v>
      </c>
      <c r="O150" s="89"/>
      <c r="P150" s="241"/>
      <c r="Q150" s="6"/>
      <c r="R150" s="6"/>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row>
    <row r="151" spans="2:58" s="9" customFormat="1" ht="11.4">
      <c r="B151" s="178" t="s">
        <v>776</v>
      </c>
      <c r="C151" s="178" t="s">
        <v>1852</v>
      </c>
      <c r="D151" s="178" t="s">
        <v>2044</v>
      </c>
      <c r="E151" s="178" t="s">
        <v>1934</v>
      </c>
      <c r="F151" s="178"/>
      <c r="G151" s="178" t="s">
        <v>1936</v>
      </c>
      <c r="H151" s="177" t="s">
        <v>769</v>
      </c>
      <c r="I151" s="177"/>
      <c r="J151" s="180">
        <v>10</v>
      </c>
      <c r="K151" s="181">
        <v>8.1</v>
      </c>
      <c r="L151" s="177">
        <f>K151</f>
        <v>8.1</v>
      </c>
      <c r="M151" s="182"/>
      <c r="N151" s="183" t="s">
        <v>1946</v>
      </c>
      <c r="O151" s="89"/>
      <c r="P151" s="241"/>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row>
    <row r="152" spans="2:58" s="9" customFormat="1" ht="11.4">
      <c r="B152" s="178" t="s">
        <v>776</v>
      </c>
      <c r="C152" s="178" t="s">
        <v>1852</v>
      </c>
      <c r="D152" s="178" t="s">
        <v>2044</v>
      </c>
      <c r="E152" s="178" t="s">
        <v>1934</v>
      </c>
      <c r="F152" s="178" t="s">
        <v>1780</v>
      </c>
      <c r="G152" s="178" t="s">
        <v>1781</v>
      </c>
      <c r="H152" s="177" t="s">
        <v>769</v>
      </c>
      <c r="I152" s="177"/>
      <c r="J152" s="180">
        <v>5</v>
      </c>
      <c r="K152" s="181">
        <f>8.2*3.5*4/(5*10)</f>
        <v>2.2959999999999998</v>
      </c>
      <c r="L152" s="177">
        <f>8.2*3.5*5.1/(5*10)</f>
        <v>2.9273999999999996</v>
      </c>
      <c r="M152" s="182" t="s">
        <v>1782</v>
      </c>
      <c r="N152" s="183" t="s">
        <v>1783</v>
      </c>
      <c r="O152" s="89"/>
      <c r="P152" s="241" t="s">
        <v>1819</v>
      </c>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row>
    <row r="153" spans="2:58" s="9" customFormat="1" ht="11.4">
      <c r="B153" s="178" t="s">
        <v>776</v>
      </c>
      <c r="C153" s="178" t="s">
        <v>1852</v>
      </c>
      <c r="D153" s="178" t="s">
        <v>2044</v>
      </c>
      <c r="E153" s="178" t="s">
        <v>1934</v>
      </c>
      <c r="F153" s="178" t="s">
        <v>1780</v>
      </c>
      <c r="G153" s="178" t="s">
        <v>381</v>
      </c>
      <c r="H153" s="177" t="s">
        <v>769</v>
      </c>
      <c r="I153" s="177"/>
      <c r="J153" s="180">
        <v>1</v>
      </c>
      <c r="K153" s="181">
        <f>8.2*3.5*4/(1*10)</f>
        <v>11.479999999999999</v>
      </c>
      <c r="L153" s="177">
        <f>8.2*3.5*4/(1*10)</f>
        <v>11.479999999999999</v>
      </c>
      <c r="M153" s="182" t="s">
        <v>1782</v>
      </c>
      <c r="N153" s="183" t="s">
        <v>1783</v>
      </c>
      <c r="O153" s="89"/>
      <c r="P153" s="241" t="s">
        <v>1819</v>
      </c>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2:58" s="9" customFormat="1" ht="11.4">
      <c r="B154" s="178" t="s">
        <v>776</v>
      </c>
      <c r="C154" s="178" t="s">
        <v>1852</v>
      </c>
      <c r="D154" s="178" t="s">
        <v>2044</v>
      </c>
      <c r="E154" s="178" t="s">
        <v>1934</v>
      </c>
      <c r="F154" s="178" t="s">
        <v>1780</v>
      </c>
      <c r="G154" s="178" t="s">
        <v>382</v>
      </c>
      <c r="H154" s="177" t="s">
        <v>769</v>
      </c>
      <c r="I154" s="177"/>
      <c r="J154" s="180">
        <v>5</v>
      </c>
      <c r="K154" s="181">
        <f>18.1*8.4*8.3/(5*100)</f>
        <v>2.5238640000000006</v>
      </c>
      <c r="L154" s="177">
        <f>8.2*3.5*5.1/(5*10)</f>
        <v>2.9273999999999996</v>
      </c>
      <c r="M154" s="182" t="s">
        <v>1782</v>
      </c>
      <c r="N154" s="183" t="s">
        <v>1783</v>
      </c>
      <c r="O154" s="89"/>
      <c r="P154" s="241" t="s">
        <v>1819</v>
      </c>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row>
    <row r="155" spans="2:58" s="9" customFormat="1" ht="11.4">
      <c r="B155" s="178" t="s">
        <v>776</v>
      </c>
      <c r="C155" s="178" t="s">
        <v>1852</v>
      </c>
      <c r="D155" s="178" t="s">
        <v>2044</v>
      </c>
      <c r="E155" s="178" t="s">
        <v>1934</v>
      </c>
      <c r="F155" s="178" t="s">
        <v>1780</v>
      </c>
      <c r="G155" s="178" t="s">
        <v>383</v>
      </c>
      <c r="H155" s="177" t="s">
        <v>769</v>
      </c>
      <c r="I155" s="177"/>
      <c r="J155" s="180">
        <v>1</v>
      </c>
      <c r="K155" s="181">
        <f>18.1*8.4*8.3/(1*100)</f>
        <v>12.619320000000002</v>
      </c>
      <c r="L155" s="177">
        <f>8.2*3.5*4/(1*10)</f>
        <v>11.479999999999999</v>
      </c>
      <c r="M155" s="182" t="s">
        <v>1782</v>
      </c>
      <c r="N155" s="183" t="s">
        <v>1783</v>
      </c>
      <c r="O155" s="89"/>
      <c r="P155" s="241" t="s">
        <v>1819</v>
      </c>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row>
    <row r="156" spans="2:58" s="9" customFormat="1" ht="11.4">
      <c r="B156" s="178" t="s">
        <v>773</v>
      </c>
      <c r="C156" s="178" t="s">
        <v>1935</v>
      </c>
      <c r="D156" s="178" t="s">
        <v>2044</v>
      </c>
      <c r="E156" s="178" t="s">
        <v>1934</v>
      </c>
      <c r="F156" s="178"/>
      <c r="G156" s="178" t="s">
        <v>1936</v>
      </c>
      <c r="H156" s="177" t="s">
        <v>769</v>
      </c>
      <c r="I156" s="177"/>
      <c r="J156" s="180">
        <v>10</v>
      </c>
      <c r="K156" s="181">
        <v>3.5</v>
      </c>
      <c r="L156" s="177">
        <v>4</v>
      </c>
      <c r="M156" s="182"/>
      <c r="N156" s="183" t="s">
        <v>1919</v>
      </c>
      <c r="O156" s="89"/>
      <c r="P156" s="241"/>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row>
    <row r="157" spans="2:58" s="9" customFormat="1" ht="11.4">
      <c r="B157" s="178" t="s">
        <v>773</v>
      </c>
      <c r="C157" s="178" t="s">
        <v>1935</v>
      </c>
      <c r="D157" s="178" t="s">
        <v>2044</v>
      </c>
      <c r="E157" s="178" t="s">
        <v>1934</v>
      </c>
      <c r="F157" s="178"/>
      <c r="G157" s="178" t="s">
        <v>1936</v>
      </c>
      <c r="H157" s="177" t="s">
        <v>769</v>
      </c>
      <c r="I157" s="177"/>
      <c r="J157" s="180">
        <v>1</v>
      </c>
      <c r="K157" s="181">
        <v>9.3000000000000007</v>
      </c>
      <c r="L157" s="177"/>
      <c r="M157" s="182"/>
      <c r="N157" s="183" t="s">
        <v>1937</v>
      </c>
      <c r="O157" s="89"/>
      <c r="P157" s="241"/>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row>
    <row r="158" spans="2:58" s="9" customFormat="1" ht="11.4">
      <c r="B158" s="178" t="s">
        <v>773</v>
      </c>
      <c r="C158" s="178" t="s">
        <v>1935</v>
      </c>
      <c r="D158" s="178" t="s">
        <v>2044</v>
      </c>
      <c r="E158" s="178" t="s">
        <v>1934</v>
      </c>
      <c r="F158" s="178" t="s">
        <v>1557</v>
      </c>
      <c r="G158" s="178" t="s">
        <v>1559</v>
      </c>
      <c r="H158" s="177" t="s">
        <v>770</v>
      </c>
      <c r="I158" s="177"/>
      <c r="J158" s="180">
        <v>1</v>
      </c>
      <c r="K158" s="181">
        <v>26.11</v>
      </c>
      <c r="L158" s="177">
        <v>26.1</v>
      </c>
      <c r="M158" s="182" t="s">
        <v>924</v>
      </c>
      <c r="N158" s="183" t="s">
        <v>1558</v>
      </c>
      <c r="O158" s="89">
        <v>34015</v>
      </c>
      <c r="P158" s="241" t="s">
        <v>1458</v>
      </c>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row>
    <row r="159" spans="2:58" s="9" customFormat="1" ht="11.4">
      <c r="B159" s="178" t="s">
        <v>773</v>
      </c>
      <c r="C159" s="178" t="s">
        <v>1935</v>
      </c>
      <c r="D159" s="178" t="s">
        <v>2044</v>
      </c>
      <c r="E159" s="178" t="s">
        <v>1934</v>
      </c>
      <c r="F159" s="178" t="s">
        <v>1557</v>
      </c>
      <c r="G159" s="178" t="s">
        <v>1559</v>
      </c>
      <c r="H159" s="177" t="s">
        <v>769</v>
      </c>
      <c r="I159" s="177"/>
      <c r="J159" s="180">
        <v>2</v>
      </c>
      <c r="K159" s="181">
        <v>13.1</v>
      </c>
      <c r="L159" s="177">
        <v>13.1</v>
      </c>
      <c r="M159" s="182" t="s">
        <v>924</v>
      </c>
      <c r="N159" s="183" t="s">
        <v>1558</v>
      </c>
      <c r="O159" s="89">
        <v>34015</v>
      </c>
      <c r="P159" s="241" t="s">
        <v>1459</v>
      </c>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row>
    <row r="160" spans="2:58" s="9" customFormat="1" ht="11.4">
      <c r="B160" s="178" t="s">
        <v>773</v>
      </c>
      <c r="C160" s="178" t="s">
        <v>1935</v>
      </c>
      <c r="D160" s="178" t="s">
        <v>2044</v>
      </c>
      <c r="E160" s="178" t="s">
        <v>1934</v>
      </c>
      <c r="F160" s="178" t="s">
        <v>1557</v>
      </c>
      <c r="G160" s="178" t="s">
        <v>1559</v>
      </c>
      <c r="H160" s="177" t="s">
        <v>769</v>
      </c>
      <c r="I160" s="177"/>
      <c r="J160" s="180">
        <v>5</v>
      </c>
      <c r="K160" s="181">
        <v>5.22</v>
      </c>
      <c r="L160" s="177">
        <v>7</v>
      </c>
      <c r="M160" s="182" t="s">
        <v>924</v>
      </c>
      <c r="N160" s="183" t="s">
        <v>1558</v>
      </c>
      <c r="O160" s="89">
        <v>34015</v>
      </c>
      <c r="P160" s="241" t="s">
        <v>1456</v>
      </c>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row>
    <row r="161" spans="2:58" s="9" customFormat="1" ht="11.4">
      <c r="B161" s="178" t="s">
        <v>773</v>
      </c>
      <c r="C161" s="178" t="s">
        <v>1935</v>
      </c>
      <c r="D161" s="178" t="s">
        <v>2044</v>
      </c>
      <c r="E161" s="178" t="s">
        <v>1934</v>
      </c>
      <c r="F161" s="178" t="s">
        <v>1557</v>
      </c>
      <c r="G161" s="178" t="s">
        <v>1559</v>
      </c>
      <c r="H161" s="177" t="s">
        <v>769</v>
      </c>
      <c r="I161" s="177"/>
      <c r="J161" s="180">
        <v>10</v>
      </c>
      <c r="K161" s="181">
        <v>2.6110000000000002</v>
      </c>
      <c r="L161" s="177">
        <v>4</v>
      </c>
      <c r="M161" s="182" t="s">
        <v>924</v>
      </c>
      <c r="N161" s="183" t="s">
        <v>1558</v>
      </c>
      <c r="O161" s="89">
        <v>34015</v>
      </c>
      <c r="P161" s="241" t="s">
        <v>1457</v>
      </c>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row>
    <row r="162" spans="2:58" s="9" customFormat="1" ht="11.4">
      <c r="B162" s="178" t="s">
        <v>773</v>
      </c>
      <c r="C162" s="178" t="s">
        <v>1935</v>
      </c>
      <c r="D162" s="178" t="s">
        <v>2044</v>
      </c>
      <c r="E162" s="178" t="s">
        <v>1934</v>
      </c>
      <c r="F162" s="178" t="s">
        <v>1560</v>
      </c>
      <c r="G162" s="178" t="s">
        <v>1566</v>
      </c>
      <c r="H162" s="177" t="s">
        <v>769</v>
      </c>
      <c r="I162" s="177"/>
      <c r="J162" s="180">
        <v>10</v>
      </c>
      <c r="K162" s="181">
        <v>2.46</v>
      </c>
      <c r="L162" s="177">
        <v>4</v>
      </c>
      <c r="M162" s="182" t="s">
        <v>924</v>
      </c>
      <c r="N162" s="183" t="s">
        <v>1690</v>
      </c>
      <c r="O162" s="89">
        <v>37385</v>
      </c>
      <c r="P162" s="241" t="s">
        <v>1075</v>
      </c>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row>
    <row r="163" spans="2:58" s="9" customFormat="1" ht="11.4">
      <c r="B163" s="178" t="s">
        <v>773</v>
      </c>
      <c r="C163" s="178" t="s">
        <v>1935</v>
      </c>
      <c r="D163" s="178" t="s">
        <v>2044</v>
      </c>
      <c r="E163" s="178" t="s">
        <v>1934</v>
      </c>
      <c r="F163" s="178"/>
      <c r="G163" s="178" t="s">
        <v>1566</v>
      </c>
      <c r="H163" s="177" t="s">
        <v>769</v>
      </c>
      <c r="I163" s="177"/>
      <c r="J163" s="180">
        <v>10</v>
      </c>
      <c r="K163" s="181">
        <v>2.13</v>
      </c>
      <c r="L163" s="177">
        <v>4</v>
      </c>
      <c r="M163" s="182" t="s">
        <v>924</v>
      </c>
      <c r="N163" s="183" t="s">
        <v>953</v>
      </c>
      <c r="O163" s="89">
        <v>40427</v>
      </c>
      <c r="P163" s="241" t="s">
        <v>1074</v>
      </c>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row>
    <row r="164" spans="2:58" s="9" customFormat="1" ht="11.4">
      <c r="B164" s="178" t="s">
        <v>773</v>
      </c>
      <c r="C164" s="178" t="s">
        <v>1935</v>
      </c>
      <c r="D164" s="178" t="s">
        <v>2044</v>
      </c>
      <c r="E164" s="178" t="s">
        <v>1934</v>
      </c>
      <c r="F164" s="178" t="s">
        <v>1562</v>
      </c>
      <c r="G164" s="178" t="s">
        <v>1563</v>
      </c>
      <c r="H164" s="177" t="s">
        <v>1564</v>
      </c>
      <c r="I164" s="177"/>
      <c r="J164" s="180" t="s">
        <v>1777</v>
      </c>
      <c r="K164" s="181"/>
      <c r="L164" s="177"/>
      <c r="M164" s="182" t="s">
        <v>1778</v>
      </c>
      <c r="N164" s="183" t="s">
        <v>1949</v>
      </c>
      <c r="O164" s="89" t="s">
        <v>1561</v>
      </c>
      <c r="P164" s="241"/>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row>
    <row r="165" spans="2:58" s="9" customFormat="1" ht="11.4">
      <c r="B165" s="178" t="s">
        <v>773</v>
      </c>
      <c r="C165" s="178" t="s">
        <v>1935</v>
      </c>
      <c r="D165" s="178" t="s">
        <v>2044</v>
      </c>
      <c r="E165" s="178" t="s">
        <v>1934</v>
      </c>
      <c r="F165" s="178"/>
      <c r="G165" s="178" t="s">
        <v>1566</v>
      </c>
      <c r="H165" s="177" t="s">
        <v>769</v>
      </c>
      <c r="I165" s="177"/>
      <c r="J165" s="180">
        <v>10</v>
      </c>
      <c r="K165" s="181">
        <v>1.3</v>
      </c>
      <c r="L165" s="177"/>
      <c r="M165" s="182" t="s">
        <v>924</v>
      </c>
      <c r="N165" s="183" t="s">
        <v>1565</v>
      </c>
      <c r="O165" s="89">
        <v>35529</v>
      </c>
      <c r="P165" s="241" t="s">
        <v>1073</v>
      </c>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row>
    <row r="166" spans="2:58" s="9" customFormat="1" ht="11.4">
      <c r="B166" s="178" t="s">
        <v>773</v>
      </c>
      <c r="C166" s="178" t="s">
        <v>1935</v>
      </c>
      <c r="D166" s="178" t="s">
        <v>2044</v>
      </c>
      <c r="E166" s="178" t="s">
        <v>1934</v>
      </c>
      <c r="F166" s="178"/>
      <c r="G166" s="178" t="s">
        <v>1567</v>
      </c>
      <c r="H166" s="177" t="s">
        <v>769</v>
      </c>
      <c r="I166" s="177"/>
      <c r="J166" s="180">
        <v>20</v>
      </c>
      <c r="K166" s="181">
        <v>0.75</v>
      </c>
      <c r="L166" s="177"/>
      <c r="M166" s="182" t="s">
        <v>924</v>
      </c>
      <c r="N166" s="183" t="s">
        <v>1565</v>
      </c>
      <c r="O166" s="89">
        <v>38964</v>
      </c>
      <c r="P166" s="241" t="s">
        <v>1460</v>
      </c>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row>
    <row r="167" spans="2:58" s="9" customFormat="1" ht="11.4">
      <c r="B167" s="178" t="s">
        <v>1944</v>
      </c>
      <c r="C167" s="178" t="s">
        <v>1945</v>
      </c>
      <c r="D167" s="178" t="s">
        <v>2044</v>
      </c>
      <c r="E167" s="178" t="s">
        <v>1934</v>
      </c>
      <c r="F167" s="178" t="s">
        <v>2197</v>
      </c>
      <c r="G167" s="178" t="s">
        <v>2198</v>
      </c>
      <c r="H167" s="177" t="s">
        <v>769</v>
      </c>
      <c r="I167" s="177"/>
      <c r="J167" s="180">
        <v>10</v>
      </c>
      <c r="K167" s="181">
        <v>2.6</v>
      </c>
      <c r="L167" s="177">
        <v>4</v>
      </c>
      <c r="M167" s="182" t="s">
        <v>1587</v>
      </c>
      <c r="N167" s="183" t="s">
        <v>1558</v>
      </c>
      <c r="O167" s="89">
        <v>40352</v>
      </c>
      <c r="P167" s="241" t="s">
        <v>2196</v>
      </c>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row>
    <row r="168" spans="2:58" s="9" customFormat="1" ht="11.4">
      <c r="B168" s="178" t="s">
        <v>775</v>
      </c>
      <c r="C168" s="178" t="s">
        <v>1940</v>
      </c>
      <c r="D168" s="178" t="s">
        <v>2044</v>
      </c>
      <c r="E168" s="178" t="s">
        <v>1934</v>
      </c>
      <c r="F168" s="178"/>
      <c r="G168" s="178" t="s">
        <v>1936</v>
      </c>
      <c r="H168" s="177" t="s">
        <v>769</v>
      </c>
      <c r="I168" s="177"/>
      <c r="J168" s="180">
        <v>1</v>
      </c>
      <c r="K168" s="181">
        <v>16</v>
      </c>
      <c r="L168" s="177">
        <v>20</v>
      </c>
      <c r="M168" s="182"/>
      <c r="N168" s="183" t="s">
        <v>1919</v>
      </c>
      <c r="O168" s="89"/>
      <c r="P168" s="241"/>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row>
    <row r="169" spans="2:58" s="9" customFormat="1" ht="11.4">
      <c r="B169" s="178" t="s">
        <v>775</v>
      </c>
      <c r="C169" s="178" t="s">
        <v>1940</v>
      </c>
      <c r="D169" s="178" t="s">
        <v>2044</v>
      </c>
      <c r="E169" s="178" t="s">
        <v>1934</v>
      </c>
      <c r="F169" s="178"/>
      <c r="G169" s="178" t="s">
        <v>1936</v>
      </c>
      <c r="H169" s="177" t="s">
        <v>769</v>
      </c>
      <c r="I169" s="177"/>
      <c r="J169" s="180">
        <v>10</v>
      </c>
      <c r="K169" s="181">
        <v>3</v>
      </c>
      <c r="L169" s="177">
        <v>4</v>
      </c>
      <c r="M169" s="182"/>
      <c r="N169" s="183" t="s">
        <v>1919</v>
      </c>
      <c r="O169" s="89"/>
      <c r="P169" s="241"/>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row>
    <row r="170" spans="2:58" s="9" customFormat="1" ht="11.4">
      <c r="B170" s="178" t="s">
        <v>775</v>
      </c>
      <c r="C170" s="178" t="s">
        <v>1940</v>
      </c>
      <c r="D170" s="178" t="s">
        <v>2044</v>
      </c>
      <c r="E170" s="178" t="s">
        <v>1934</v>
      </c>
      <c r="F170" s="178" t="s">
        <v>1600</v>
      </c>
      <c r="G170" s="178" t="s">
        <v>1685</v>
      </c>
      <c r="H170" s="177" t="s">
        <v>770</v>
      </c>
      <c r="I170" s="177" t="s">
        <v>1843</v>
      </c>
      <c r="J170" s="180" t="s">
        <v>598</v>
      </c>
      <c r="K170" s="181">
        <f>15.3*8.2*11/10</f>
        <v>138.006</v>
      </c>
      <c r="L170" s="177"/>
      <c r="M170" s="182" t="s">
        <v>768</v>
      </c>
      <c r="N170" s="183" t="s">
        <v>1949</v>
      </c>
      <c r="O170" s="89"/>
      <c r="P170" s="241" t="s">
        <v>1686</v>
      </c>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row>
    <row r="171" spans="2:58">
      <c r="B171" s="178" t="s">
        <v>1568</v>
      </c>
      <c r="C171" s="178" t="s">
        <v>1570</v>
      </c>
      <c r="D171" s="178" t="s">
        <v>1921</v>
      </c>
      <c r="E171" s="178" t="s">
        <v>1931</v>
      </c>
      <c r="F171" s="178"/>
      <c r="G171" s="178" t="s">
        <v>1575</v>
      </c>
      <c r="H171" s="177"/>
      <c r="I171" s="177"/>
      <c r="J171" s="180">
        <v>20</v>
      </c>
      <c r="K171" s="181">
        <v>0.7</v>
      </c>
      <c r="L171" s="177"/>
      <c r="M171" s="182" t="s">
        <v>1574</v>
      </c>
      <c r="N171" s="183" t="s">
        <v>1572</v>
      </c>
      <c r="O171" s="89">
        <v>40120</v>
      </c>
      <c r="P171" s="241" t="s">
        <v>1321</v>
      </c>
      <c r="Q171" s="8"/>
      <c r="R171" s="8"/>
    </row>
    <row r="172" spans="2:58">
      <c r="B172" s="178" t="s">
        <v>1568</v>
      </c>
      <c r="C172" s="178" t="s">
        <v>1570</v>
      </c>
      <c r="D172" s="178" t="s">
        <v>1921</v>
      </c>
      <c r="E172" s="178" t="s">
        <v>1931</v>
      </c>
      <c r="F172" s="178"/>
      <c r="G172" s="178" t="s">
        <v>1576</v>
      </c>
      <c r="H172" s="177"/>
      <c r="I172" s="177"/>
      <c r="J172" s="180">
        <v>20</v>
      </c>
      <c r="K172" s="181">
        <v>0.48</v>
      </c>
      <c r="L172" s="177"/>
      <c r="M172" s="182" t="s">
        <v>1574</v>
      </c>
      <c r="N172" s="183" t="s">
        <v>1573</v>
      </c>
      <c r="O172" s="89">
        <v>39576</v>
      </c>
      <c r="P172" s="241" t="s">
        <v>1318</v>
      </c>
      <c r="Q172" s="8"/>
      <c r="R172" s="8"/>
    </row>
    <row r="173" spans="2:58">
      <c r="B173" s="178" t="s">
        <v>1569</v>
      </c>
      <c r="C173" s="178" t="s">
        <v>1571</v>
      </c>
      <c r="D173" s="178" t="s">
        <v>1921</v>
      </c>
      <c r="E173" s="178" t="s">
        <v>1931</v>
      </c>
      <c r="F173" s="178"/>
      <c r="G173" s="178" t="s">
        <v>1575</v>
      </c>
      <c r="H173" s="177"/>
      <c r="I173" s="177"/>
      <c r="J173" s="180">
        <v>20</v>
      </c>
      <c r="K173" s="181">
        <v>0.7</v>
      </c>
      <c r="L173" s="177"/>
      <c r="M173" s="182" t="s">
        <v>1574</v>
      </c>
      <c r="N173" s="183" t="s">
        <v>1572</v>
      </c>
      <c r="O173" s="89">
        <v>40456</v>
      </c>
      <c r="P173" s="241" t="s">
        <v>1328</v>
      </c>
    </row>
    <row r="174" spans="2:58">
      <c r="B174" s="178" t="s">
        <v>824</v>
      </c>
      <c r="C174" s="178" t="s">
        <v>823</v>
      </c>
      <c r="D174" s="178" t="s">
        <v>1921</v>
      </c>
      <c r="E174" s="178" t="s">
        <v>1931</v>
      </c>
      <c r="F174" s="178"/>
      <c r="G174" s="178" t="s">
        <v>1575</v>
      </c>
      <c r="H174" s="177"/>
      <c r="I174" s="177"/>
      <c r="J174" s="180">
        <v>20</v>
      </c>
      <c r="K174" s="181">
        <v>1</v>
      </c>
      <c r="L174" s="177"/>
      <c r="M174" s="182" t="s">
        <v>1574</v>
      </c>
      <c r="N174" s="183" t="s">
        <v>53</v>
      </c>
      <c r="O174" s="89">
        <v>39436</v>
      </c>
      <c r="P174" s="241"/>
    </row>
    <row r="175" spans="2:58" s="9" customFormat="1">
      <c r="B175" s="178" t="s">
        <v>824</v>
      </c>
      <c r="C175" s="178" t="s">
        <v>823</v>
      </c>
      <c r="D175" s="178" t="s">
        <v>1921</v>
      </c>
      <c r="E175" s="178" t="s">
        <v>1931</v>
      </c>
      <c r="F175" s="178"/>
      <c r="G175" s="178" t="s">
        <v>954</v>
      </c>
      <c r="H175" s="177"/>
      <c r="I175" s="177"/>
      <c r="J175" s="180">
        <v>20</v>
      </c>
      <c r="K175" s="181">
        <v>0.55000000000000004</v>
      </c>
      <c r="L175" s="177"/>
      <c r="M175" s="182" t="s">
        <v>1574</v>
      </c>
      <c r="N175" s="183" t="s">
        <v>1565</v>
      </c>
      <c r="O175" s="89">
        <v>40324</v>
      </c>
      <c r="P175" s="241" t="s">
        <v>825</v>
      </c>
      <c r="Q175" s="6"/>
      <c r="R175" s="6"/>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row>
    <row r="176" spans="2:58" s="9" customFormat="1">
      <c r="B176" s="178" t="s">
        <v>824</v>
      </c>
      <c r="C176" s="178" t="s">
        <v>823</v>
      </c>
      <c r="D176" s="178" t="s">
        <v>1921</v>
      </c>
      <c r="E176" s="178" t="s">
        <v>1931</v>
      </c>
      <c r="F176" s="178"/>
      <c r="G176" s="178" t="s">
        <v>829</v>
      </c>
      <c r="H176" s="177"/>
      <c r="I176" s="177"/>
      <c r="J176" s="180">
        <v>10</v>
      </c>
      <c r="K176" s="181">
        <v>0.97</v>
      </c>
      <c r="L176" s="177"/>
      <c r="M176" s="182" t="s">
        <v>1574</v>
      </c>
      <c r="N176" s="183" t="s">
        <v>1949</v>
      </c>
      <c r="O176" s="89">
        <v>40115</v>
      </c>
      <c r="P176" s="241" t="s">
        <v>827</v>
      </c>
      <c r="Q176" s="6"/>
      <c r="R176" s="6"/>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row>
    <row r="177" spans="2:58" s="9" customFormat="1" ht="11.4">
      <c r="B177" s="178" t="s">
        <v>824</v>
      </c>
      <c r="C177" s="178" t="s">
        <v>823</v>
      </c>
      <c r="D177" s="178" t="s">
        <v>1921</v>
      </c>
      <c r="E177" s="178" t="s">
        <v>1931</v>
      </c>
      <c r="F177" s="178"/>
      <c r="G177" s="178" t="s">
        <v>826</v>
      </c>
      <c r="H177" s="177"/>
      <c r="I177" s="177"/>
      <c r="J177" s="180">
        <v>20</v>
      </c>
      <c r="K177" s="181">
        <v>0.48</v>
      </c>
      <c r="L177" s="177"/>
      <c r="M177" s="182" t="s">
        <v>1574</v>
      </c>
      <c r="N177" s="183" t="s">
        <v>1949</v>
      </c>
      <c r="O177" s="89">
        <v>40115</v>
      </c>
      <c r="P177" s="241" t="s">
        <v>828</v>
      </c>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row>
    <row r="178" spans="2:58" s="9" customFormat="1" ht="11.4">
      <c r="B178" s="178" t="s">
        <v>824</v>
      </c>
      <c r="C178" s="178" t="s">
        <v>823</v>
      </c>
      <c r="D178" s="178" t="s">
        <v>1921</v>
      </c>
      <c r="E178" s="178" t="s">
        <v>1931</v>
      </c>
      <c r="F178" s="178"/>
      <c r="G178" s="178" t="s">
        <v>954</v>
      </c>
      <c r="H178" s="177"/>
      <c r="I178" s="177"/>
      <c r="J178" s="180">
        <v>20</v>
      </c>
      <c r="K178" s="181">
        <v>1</v>
      </c>
      <c r="L178" s="177"/>
      <c r="M178" s="182" t="s">
        <v>1574</v>
      </c>
      <c r="N178" s="183" t="s">
        <v>830</v>
      </c>
      <c r="O178" s="89">
        <v>40256</v>
      </c>
      <c r="P178" s="241" t="s">
        <v>831</v>
      </c>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row>
    <row r="179" spans="2:58" s="9" customFormat="1" ht="11.4">
      <c r="B179" s="178" t="s">
        <v>824</v>
      </c>
      <c r="C179" s="178" t="s">
        <v>823</v>
      </c>
      <c r="D179" s="178" t="s">
        <v>1921</v>
      </c>
      <c r="E179" s="178" t="s">
        <v>1931</v>
      </c>
      <c r="F179" s="178"/>
      <c r="G179" s="178" t="s">
        <v>832</v>
      </c>
      <c r="H179" s="177"/>
      <c r="I179" s="177"/>
      <c r="J179" s="180">
        <v>20</v>
      </c>
      <c r="K179" s="181">
        <v>1.1299999999999999</v>
      </c>
      <c r="L179" s="177"/>
      <c r="M179" s="182" t="s">
        <v>1574</v>
      </c>
      <c r="N179" s="183" t="s">
        <v>738</v>
      </c>
      <c r="O179" s="89">
        <v>40157</v>
      </c>
      <c r="P179" s="241" t="s">
        <v>678</v>
      </c>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row>
    <row r="180" spans="2:58" s="9" customFormat="1" ht="11.4">
      <c r="B180" s="178" t="s">
        <v>774</v>
      </c>
      <c r="C180" s="178" t="s">
        <v>1938</v>
      </c>
      <c r="D180" s="178" t="s">
        <v>2044</v>
      </c>
      <c r="E180" s="178" t="s">
        <v>1934</v>
      </c>
      <c r="F180" s="178"/>
      <c r="G180" s="178" t="s">
        <v>1936</v>
      </c>
      <c r="H180" s="177" t="s">
        <v>769</v>
      </c>
      <c r="I180" s="177"/>
      <c r="J180" s="180">
        <v>10</v>
      </c>
      <c r="K180" s="181">
        <v>2.5</v>
      </c>
      <c r="L180" s="177">
        <v>4</v>
      </c>
      <c r="M180" s="182"/>
      <c r="N180" s="183" t="s">
        <v>1919</v>
      </c>
      <c r="O180" s="89"/>
      <c r="P180" s="241"/>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row>
    <row r="181" spans="2:58" s="9" customFormat="1" ht="11.4">
      <c r="B181" s="178" t="s">
        <v>774</v>
      </c>
      <c r="C181" s="178" t="s">
        <v>1938</v>
      </c>
      <c r="D181" s="178" t="s">
        <v>2044</v>
      </c>
      <c r="E181" s="178" t="s">
        <v>1934</v>
      </c>
      <c r="F181" s="178"/>
      <c r="G181" s="178" t="s">
        <v>955</v>
      </c>
      <c r="H181" s="177" t="s">
        <v>769</v>
      </c>
      <c r="I181" s="177"/>
      <c r="J181" s="180">
        <v>1</v>
      </c>
      <c r="K181" s="181">
        <v>26.11</v>
      </c>
      <c r="L181" s="177">
        <v>26.11</v>
      </c>
      <c r="M181" s="182" t="s">
        <v>924</v>
      </c>
      <c r="N181" s="183" t="s">
        <v>1558</v>
      </c>
      <c r="O181" s="89">
        <v>36725</v>
      </c>
      <c r="P181" s="241" t="s">
        <v>1077</v>
      </c>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row>
    <row r="182" spans="2:58" s="9" customFormat="1" ht="11.4">
      <c r="B182" s="178" t="s">
        <v>774</v>
      </c>
      <c r="C182" s="178" t="s">
        <v>1938</v>
      </c>
      <c r="D182" s="178" t="s">
        <v>2044</v>
      </c>
      <c r="E182" s="178" t="s">
        <v>1934</v>
      </c>
      <c r="F182" s="178"/>
      <c r="G182" s="178" t="s">
        <v>955</v>
      </c>
      <c r="H182" s="177" t="s">
        <v>769</v>
      </c>
      <c r="I182" s="177"/>
      <c r="J182" s="180">
        <v>2</v>
      </c>
      <c r="K182" s="181">
        <v>13.1</v>
      </c>
      <c r="L182" s="177">
        <v>13.1</v>
      </c>
      <c r="M182" s="182" t="s">
        <v>924</v>
      </c>
      <c r="N182" s="183" t="s">
        <v>1558</v>
      </c>
      <c r="O182" s="89">
        <v>36725</v>
      </c>
      <c r="P182" s="241" t="s">
        <v>1261</v>
      </c>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row>
    <row r="183" spans="2:58" s="9" customFormat="1" ht="11.4">
      <c r="B183" s="178" t="s">
        <v>774</v>
      </c>
      <c r="C183" s="178" t="s">
        <v>1938</v>
      </c>
      <c r="D183" s="178" t="s">
        <v>2044</v>
      </c>
      <c r="E183" s="178" t="s">
        <v>1934</v>
      </c>
      <c r="F183" s="178"/>
      <c r="G183" s="178" t="s">
        <v>955</v>
      </c>
      <c r="H183" s="177" t="s">
        <v>769</v>
      </c>
      <c r="I183" s="177"/>
      <c r="J183" s="180">
        <v>5</v>
      </c>
      <c r="K183" s="181">
        <v>5.22</v>
      </c>
      <c r="L183" s="177">
        <v>5.22</v>
      </c>
      <c r="M183" s="182" t="s">
        <v>924</v>
      </c>
      <c r="N183" s="183" t="s">
        <v>1558</v>
      </c>
      <c r="O183" s="89">
        <v>36725</v>
      </c>
      <c r="P183" s="241" t="s">
        <v>1262</v>
      </c>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row>
    <row r="184" spans="2:58" s="9" customFormat="1" ht="11.4">
      <c r="B184" s="178" t="s">
        <v>774</v>
      </c>
      <c r="C184" s="178" t="s">
        <v>1938</v>
      </c>
      <c r="D184" s="178" t="s">
        <v>2044</v>
      </c>
      <c r="E184" s="178" t="s">
        <v>1934</v>
      </c>
      <c r="F184" s="178"/>
      <c r="G184" s="178" t="s">
        <v>955</v>
      </c>
      <c r="H184" s="177" t="s">
        <v>769</v>
      </c>
      <c r="I184" s="177"/>
      <c r="J184" s="180">
        <v>10</v>
      </c>
      <c r="K184" s="181">
        <v>2.6110000000000002</v>
      </c>
      <c r="L184" s="177">
        <v>2.6110000000000002</v>
      </c>
      <c r="M184" s="182" t="s">
        <v>924</v>
      </c>
      <c r="N184" s="183" t="s">
        <v>1558</v>
      </c>
      <c r="O184" s="89">
        <v>36725</v>
      </c>
      <c r="P184" s="241" t="s">
        <v>1263</v>
      </c>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row>
    <row r="185" spans="2:58" s="9" customFormat="1" ht="11.4">
      <c r="B185" s="178" t="s">
        <v>774</v>
      </c>
      <c r="C185" s="178" t="s">
        <v>1938</v>
      </c>
      <c r="D185" s="178" t="s">
        <v>2044</v>
      </c>
      <c r="E185" s="178" t="s">
        <v>1934</v>
      </c>
      <c r="F185" s="178" t="s">
        <v>956</v>
      </c>
      <c r="G185" s="178" t="s">
        <v>955</v>
      </c>
      <c r="H185" s="177" t="s">
        <v>769</v>
      </c>
      <c r="I185" s="177"/>
      <c r="J185" s="180" t="s">
        <v>1777</v>
      </c>
      <c r="K185" s="181"/>
      <c r="L185" s="177"/>
      <c r="M185" s="182" t="s">
        <v>924</v>
      </c>
      <c r="N185" s="183" t="s">
        <v>957</v>
      </c>
      <c r="O185" s="89">
        <v>38105</v>
      </c>
      <c r="P185" s="241" t="s">
        <v>1076</v>
      </c>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row>
    <row r="186" spans="2:58" s="9" customFormat="1" ht="11.4">
      <c r="B186" s="178" t="s">
        <v>775</v>
      </c>
      <c r="C186" s="178" t="s">
        <v>1940</v>
      </c>
      <c r="D186" s="178" t="s">
        <v>2044</v>
      </c>
      <c r="E186" s="178" t="s">
        <v>1934</v>
      </c>
      <c r="F186" s="178" t="s">
        <v>1600</v>
      </c>
      <c r="G186" s="178"/>
      <c r="H186" s="177"/>
      <c r="I186" s="177"/>
      <c r="J186" s="180" t="s">
        <v>653</v>
      </c>
      <c r="K186" s="181"/>
      <c r="L186" s="177"/>
      <c r="M186" s="182"/>
      <c r="N186" s="183" t="s">
        <v>1949</v>
      </c>
      <c r="O186" s="89">
        <v>36959</v>
      </c>
      <c r="P186" s="241" t="s">
        <v>958</v>
      </c>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row>
    <row r="187" spans="2:58" s="9" customFormat="1" ht="11.4">
      <c r="B187" s="178" t="s">
        <v>775</v>
      </c>
      <c r="C187" s="178" t="s">
        <v>1940</v>
      </c>
      <c r="D187" s="178" t="s">
        <v>2044</v>
      </c>
      <c r="E187" s="178" t="s">
        <v>1922</v>
      </c>
      <c r="F187" s="178" t="s">
        <v>959</v>
      </c>
      <c r="G187" s="178" t="s">
        <v>939</v>
      </c>
      <c r="H187" s="177" t="s">
        <v>769</v>
      </c>
      <c r="I187" s="177"/>
      <c r="J187" s="180">
        <v>1</v>
      </c>
      <c r="K187" s="181">
        <v>15</v>
      </c>
      <c r="L187" s="177">
        <v>15</v>
      </c>
      <c r="M187" s="182" t="s">
        <v>1778</v>
      </c>
      <c r="N187" s="183" t="s">
        <v>2179</v>
      </c>
      <c r="O187" s="89">
        <v>39819</v>
      </c>
      <c r="P187" s="241" t="s">
        <v>1264</v>
      </c>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row>
    <row r="188" spans="2:58" s="9" customFormat="1" ht="11.4">
      <c r="B188" s="178" t="s">
        <v>775</v>
      </c>
      <c r="C188" s="178" t="s">
        <v>1940</v>
      </c>
      <c r="D188" s="178" t="s">
        <v>2044</v>
      </c>
      <c r="E188" s="178" t="s">
        <v>1922</v>
      </c>
      <c r="F188" s="178" t="s">
        <v>960</v>
      </c>
      <c r="G188" s="178" t="s">
        <v>961</v>
      </c>
      <c r="H188" s="177" t="s">
        <v>769</v>
      </c>
      <c r="I188" s="177"/>
      <c r="J188" s="180">
        <v>1</v>
      </c>
      <c r="K188" s="181">
        <v>12.66</v>
      </c>
      <c r="L188" s="177">
        <v>12.66</v>
      </c>
      <c r="M188" s="182" t="s">
        <v>1478</v>
      </c>
      <c r="N188" s="183" t="s">
        <v>1690</v>
      </c>
      <c r="O188" s="89">
        <v>37364</v>
      </c>
      <c r="P188" s="241" t="s">
        <v>1265</v>
      </c>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row>
    <row r="189" spans="2:58" s="9" customFormat="1" ht="11.4">
      <c r="B189" s="178" t="s">
        <v>775</v>
      </c>
      <c r="C189" s="178" t="s">
        <v>1940</v>
      </c>
      <c r="D189" s="178" t="s">
        <v>2044</v>
      </c>
      <c r="E189" s="178" t="s">
        <v>1922</v>
      </c>
      <c r="F189" s="178" t="s">
        <v>960</v>
      </c>
      <c r="G189" s="178" t="s">
        <v>962</v>
      </c>
      <c r="H189" s="177" t="s">
        <v>769</v>
      </c>
      <c r="I189" s="177"/>
      <c r="J189" s="180">
        <v>10</v>
      </c>
      <c r="K189" s="181">
        <v>2.46</v>
      </c>
      <c r="L189" s="177">
        <v>2.46</v>
      </c>
      <c r="M189" s="182" t="s">
        <v>1478</v>
      </c>
      <c r="N189" s="183" t="s">
        <v>1690</v>
      </c>
      <c r="O189" s="89">
        <v>37364</v>
      </c>
      <c r="P189" s="241" t="s">
        <v>1266</v>
      </c>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row>
    <row r="190" spans="2:58" s="9" customFormat="1" ht="11.4">
      <c r="B190" s="178" t="s">
        <v>775</v>
      </c>
      <c r="C190" s="178" t="s">
        <v>1940</v>
      </c>
      <c r="D190" s="178" t="s">
        <v>2044</v>
      </c>
      <c r="E190" s="178" t="s">
        <v>1934</v>
      </c>
      <c r="F190" s="178"/>
      <c r="G190" s="178" t="s">
        <v>963</v>
      </c>
      <c r="H190" s="177" t="s">
        <v>769</v>
      </c>
      <c r="I190" s="177"/>
      <c r="J190" s="180">
        <v>10</v>
      </c>
      <c r="K190" s="181">
        <v>2.6110000000000002</v>
      </c>
      <c r="L190" s="177">
        <v>2.6110000000000002</v>
      </c>
      <c r="M190" s="182" t="s">
        <v>924</v>
      </c>
      <c r="N190" s="183" t="s">
        <v>1558</v>
      </c>
      <c r="O190" s="89">
        <v>37841</v>
      </c>
      <c r="P190" s="241" t="s">
        <v>1269</v>
      </c>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row>
    <row r="191" spans="2:58" s="9" customFormat="1" ht="11.4">
      <c r="B191" s="178" t="s">
        <v>775</v>
      </c>
      <c r="C191" s="178" t="s">
        <v>1940</v>
      </c>
      <c r="D191" s="178" t="s">
        <v>2044</v>
      </c>
      <c r="E191" s="178" t="s">
        <v>1934</v>
      </c>
      <c r="F191" s="178"/>
      <c r="G191" s="178" t="s">
        <v>963</v>
      </c>
      <c r="H191" s="177" t="s">
        <v>769</v>
      </c>
      <c r="I191" s="177"/>
      <c r="J191" s="180">
        <v>2</v>
      </c>
      <c r="K191" s="181">
        <v>13.1</v>
      </c>
      <c r="L191" s="177">
        <v>13.1</v>
      </c>
      <c r="M191" s="182" t="s">
        <v>924</v>
      </c>
      <c r="N191" s="183" t="s">
        <v>1558</v>
      </c>
      <c r="O191" s="89">
        <v>37841</v>
      </c>
      <c r="P191" s="241" t="s">
        <v>1268</v>
      </c>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row>
    <row r="192" spans="2:58" s="9" customFormat="1" ht="11.4">
      <c r="B192" s="178" t="s">
        <v>775</v>
      </c>
      <c r="C192" s="178" t="s">
        <v>1940</v>
      </c>
      <c r="D192" s="178" t="s">
        <v>2044</v>
      </c>
      <c r="E192" s="178" t="s">
        <v>1934</v>
      </c>
      <c r="F192" s="178"/>
      <c r="G192" s="178" t="s">
        <v>963</v>
      </c>
      <c r="H192" s="177" t="s">
        <v>769</v>
      </c>
      <c r="I192" s="177"/>
      <c r="J192" s="180">
        <v>5</v>
      </c>
      <c r="K192" s="181">
        <v>5.22</v>
      </c>
      <c r="L192" s="177">
        <v>5.22</v>
      </c>
      <c r="M192" s="182" t="s">
        <v>924</v>
      </c>
      <c r="N192" s="183" t="s">
        <v>1558</v>
      </c>
      <c r="O192" s="89">
        <v>37841</v>
      </c>
      <c r="P192" s="241" t="s">
        <v>1267</v>
      </c>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row>
    <row r="193" spans="2:58" s="9" customFormat="1" ht="11.4">
      <c r="B193" s="178" t="s">
        <v>775</v>
      </c>
      <c r="C193" s="178" t="s">
        <v>1940</v>
      </c>
      <c r="D193" s="178" t="s">
        <v>2044</v>
      </c>
      <c r="E193" s="178" t="s">
        <v>1934</v>
      </c>
      <c r="F193" s="178"/>
      <c r="G193" s="178" t="s">
        <v>963</v>
      </c>
      <c r="H193" s="177" t="s">
        <v>769</v>
      </c>
      <c r="I193" s="177"/>
      <c r="J193" s="180">
        <v>1</v>
      </c>
      <c r="K193" s="181">
        <v>26.11</v>
      </c>
      <c r="L193" s="177">
        <v>26.11</v>
      </c>
      <c r="M193" s="182" t="s">
        <v>924</v>
      </c>
      <c r="N193" s="183" t="s">
        <v>1558</v>
      </c>
      <c r="O193" s="89">
        <v>37841</v>
      </c>
      <c r="P193" s="241" t="s">
        <v>471</v>
      </c>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row>
    <row r="194" spans="2:58" s="9" customFormat="1" ht="11.4">
      <c r="B194" s="178" t="s">
        <v>1942</v>
      </c>
      <c r="C194" s="178" t="s">
        <v>1943</v>
      </c>
      <c r="D194" s="178" t="s">
        <v>2044</v>
      </c>
      <c r="E194" s="178" t="s">
        <v>1934</v>
      </c>
      <c r="F194" s="178"/>
      <c r="G194" s="178" t="s">
        <v>1936</v>
      </c>
      <c r="H194" s="177" t="s">
        <v>769</v>
      </c>
      <c r="I194" s="177"/>
      <c r="J194" s="180">
        <v>20</v>
      </c>
      <c r="K194" s="181">
        <v>2.5</v>
      </c>
      <c r="L194" s="177">
        <v>2.5</v>
      </c>
      <c r="M194" s="182"/>
      <c r="N194" s="183" t="s">
        <v>1919</v>
      </c>
      <c r="O194" s="89"/>
      <c r="P194" s="241"/>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row>
    <row r="195" spans="2:58" s="9" customFormat="1" ht="11.4">
      <c r="B195" s="178" t="s">
        <v>1942</v>
      </c>
      <c r="C195" s="178" t="s">
        <v>1943</v>
      </c>
      <c r="D195" s="178" t="s">
        <v>2044</v>
      </c>
      <c r="E195" s="178" t="s">
        <v>1934</v>
      </c>
      <c r="F195" s="178"/>
      <c r="G195" s="178" t="s">
        <v>1936</v>
      </c>
      <c r="H195" s="177" t="s">
        <v>769</v>
      </c>
      <c r="I195" s="177"/>
      <c r="J195" s="180">
        <v>50</v>
      </c>
      <c r="K195" s="181">
        <v>1.5</v>
      </c>
      <c r="L195" s="177">
        <v>1.5</v>
      </c>
      <c r="M195" s="182"/>
      <c r="N195" s="183" t="s">
        <v>1919</v>
      </c>
      <c r="O195" s="89"/>
      <c r="P195" s="241"/>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row>
    <row r="196" spans="2:58" s="9" customFormat="1" ht="11.4">
      <c r="B196" s="178" t="s">
        <v>1942</v>
      </c>
      <c r="C196" s="178" t="s">
        <v>1943</v>
      </c>
      <c r="D196" s="178" t="s">
        <v>2044</v>
      </c>
      <c r="E196" s="178" t="s">
        <v>1934</v>
      </c>
      <c r="F196" s="178" t="s">
        <v>942</v>
      </c>
      <c r="G196" s="178" t="s">
        <v>939</v>
      </c>
      <c r="H196" s="177" t="s">
        <v>769</v>
      </c>
      <c r="I196" s="177"/>
      <c r="J196" s="180">
        <v>10</v>
      </c>
      <c r="K196" s="181">
        <v>2.96</v>
      </c>
      <c r="L196" s="177">
        <v>3</v>
      </c>
      <c r="M196" s="182" t="s">
        <v>1478</v>
      </c>
      <c r="N196" s="183" t="s">
        <v>1553</v>
      </c>
      <c r="O196" s="89">
        <v>39435</v>
      </c>
      <c r="P196" s="241" t="s">
        <v>943</v>
      </c>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row>
    <row r="197" spans="2:58" s="9" customFormat="1" ht="11.4">
      <c r="B197" s="178" t="s">
        <v>1942</v>
      </c>
      <c r="C197" s="178" t="s">
        <v>1943</v>
      </c>
      <c r="D197" s="178" t="s">
        <v>2044</v>
      </c>
      <c r="E197" s="178" t="s">
        <v>1934</v>
      </c>
      <c r="F197" s="178" t="s">
        <v>942</v>
      </c>
      <c r="G197" s="178" t="s">
        <v>939</v>
      </c>
      <c r="H197" s="177" t="s">
        <v>769</v>
      </c>
      <c r="I197" s="177"/>
      <c r="J197" s="180">
        <v>10</v>
      </c>
      <c r="K197" s="181">
        <v>2.46</v>
      </c>
      <c r="L197" s="177">
        <v>2.46</v>
      </c>
      <c r="M197" s="182" t="s">
        <v>1478</v>
      </c>
      <c r="N197" s="183" t="s">
        <v>1690</v>
      </c>
      <c r="O197" s="89">
        <v>35633</v>
      </c>
      <c r="P197" s="241" t="s">
        <v>944</v>
      </c>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row>
    <row r="198" spans="2:58" s="9" customFormat="1" ht="11.4">
      <c r="B198" s="178" t="s">
        <v>767</v>
      </c>
      <c r="C198" s="178" t="s">
        <v>779</v>
      </c>
      <c r="D198" s="178" t="s">
        <v>2044</v>
      </c>
      <c r="E198" s="178" t="s">
        <v>1934</v>
      </c>
      <c r="F198" s="178"/>
      <c r="G198" s="178" t="s">
        <v>1936</v>
      </c>
      <c r="H198" s="177" t="s">
        <v>770</v>
      </c>
      <c r="I198" s="177" t="s">
        <v>771</v>
      </c>
      <c r="J198" s="180" t="s">
        <v>598</v>
      </c>
      <c r="K198" s="181">
        <v>272.16000000000003</v>
      </c>
      <c r="L198" s="177"/>
      <c r="M198" s="182" t="s">
        <v>768</v>
      </c>
      <c r="N198" s="183" t="s">
        <v>1949</v>
      </c>
      <c r="O198" s="89"/>
      <c r="P198" s="241"/>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row>
    <row r="199" spans="2:58" s="9" customFormat="1" ht="11.4">
      <c r="B199" s="178" t="s">
        <v>1930</v>
      </c>
      <c r="C199" s="178" t="s">
        <v>1932</v>
      </c>
      <c r="D199" s="178" t="s">
        <v>1921</v>
      </c>
      <c r="E199" s="178" t="s">
        <v>1931</v>
      </c>
      <c r="F199" s="178"/>
      <c r="G199" s="178" t="s">
        <v>1924</v>
      </c>
      <c r="H199" s="177"/>
      <c r="I199" s="177"/>
      <c r="J199" s="180">
        <v>10</v>
      </c>
      <c r="K199" s="181">
        <v>2</v>
      </c>
      <c r="L199" s="177"/>
      <c r="M199" s="182" t="s">
        <v>1933</v>
      </c>
      <c r="N199" s="183" t="s">
        <v>1919</v>
      </c>
      <c r="O199" s="89"/>
      <c r="P199" s="241"/>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row>
    <row r="200" spans="2:58" s="9" customFormat="1" ht="11.4">
      <c r="B200" s="178" t="s">
        <v>1930</v>
      </c>
      <c r="C200" s="178" t="s">
        <v>1932</v>
      </c>
      <c r="D200" s="178" t="s">
        <v>1921</v>
      </c>
      <c r="E200" s="178" t="s">
        <v>1931</v>
      </c>
      <c r="F200" s="178"/>
      <c r="G200" s="178" t="s">
        <v>1924</v>
      </c>
      <c r="H200" s="177"/>
      <c r="I200" s="177"/>
      <c r="J200" s="180">
        <v>20</v>
      </c>
      <c r="K200" s="181">
        <v>1</v>
      </c>
      <c r="L200" s="177"/>
      <c r="M200" s="182" t="s">
        <v>1933</v>
      </c>
      <c r="N200" s="183" t="s">
        <v>1919</v>
      </c>
      <c r="O200" s="89"/>
      <c r="P200" s="241"/>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row>
    <row r="201" spans="2:58" s="9" customFormat="1" ht="11.4">
      <c r="B201" s="178" t="s">
        <v>766</v>
      </c>
      <c r="C201" s="178" t="s">
        <v>778</v>
      </c>
      <c r="D201" s="178" t="s">
        <v>1921</v>
      </c>
      <c r="E201" s="178" t="s">
        <v>1922</v>
      </c>
      <c r="F201" s="178" t="s">
        <v>651</v>
      </c>
      <c r="G201" s="178" t="s">
        <v>1552</v>
      </c>
      <c r="H201" s="177"/>
      <c r="I201" s="177" t="s">
        <v>1843</v>
      </c>
      <c r="J201" s="180" t="s">
        <v>598</v>
      </c>
      <c r="K201" s="181">
        <f>9.6*4.7*12.4/10</f>
        <v>55.948799999999991</v>
      </c>
      <c r="L201" s="177"/>
      <c r="M201" s="182"/>
      <c r="N201" s="183" t="s">
        <v>1954</v>
      </c>
      <c r="O201" s="89"/>
      <c r="P201" s="241" t="s">
        <v>1844</v>
      </c>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row>
    <row r="202" spans="2:58" s="9" customFormat="1" ht="11.4">
      <c r="B202" s="178" t="s">
        <v>766</v>
      </c>
      <c r="C202" s="178" t="s">
        <v>778</v>
      </c>
      <c r="D202" s="178" t="s">
        <v>1921</v>
      </c>
      <c r="E202" s="178" t="s">
        <v>1922</v>
      </c>
      <c r="F202" s="178" t="s">
        <v>933</v>
      </c>
      <c r="G202" s="178" t="s">
        <v>670</v>
      </c>
      <c r="H202" s="177"/>
      <c r="I202" s="177"/>
      <c r="J202" s="180">
        <v>1</v>
      </c>
      <c r="K202" s="181">
        <v>21</v>
      </c>
      <c r="L202" s="177"/>
      <c r="M202" s="182" t="s">
        <v>1587</v>
      </c>
      <c r="N202" s="183" t="s">
        <v>1954</v>
      </c>
      <c r="O202" s="89">
        <v>40175</v>
      </c>
      <c r="P202" s="241" t="s">
        <v>932</v>
      </c>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row>
    <row r="203" spans="2:58" s="9" customFormat="1" ht="11.4">
      <c r="B203" s="178" t="s">
        <v>668</v>
      </c>
      <c r="C203" s="178" t="s">
        <v>669</v>
      </c>
      <c r="D203" s="178" t="s">
        <v>1921</v>
      </c>
      <c r="E203" s="178" t="s">
        <v>1922</v>
      </c>
      <c r="F203" s="178" t="s">
        <v>930</v>
      </c>
      <c r="G203" s="178" t="s">
        <v>340</v>
      </c>
      <c r="H203" s="177"/>
      <c r="I203" s="177"/>
      <c r="J203" s="180">
        <v>1</v>
      </c>
      <c r="K203" s="181">
        <v>15.7</v>
      </c>
      <c r="L203" s="177"/>
      <c r="M203" s="182" t="s">
        <v>1587</v>
      </c>
      <c r="N203" s="183" t="s">
        <v>1954</v>
      </c>
      <c r="O203" s="89">
        <v>40410</v>
      </c>
      <c r="P203" s="241" t="s">
        <v>931</v>
      </c>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row>
    <row r="204" spans="2:58" s="9" customFormat="1" ht="11.4">
      <c r="B204" s="178" t="s">
        <v>668</v>
      </c>
      <c r="C204" s="178" t="s">
        <v>669</v>
      </c>
      <c r="D204" s="178" t="s">
        <v>1921</v>
      </c>
      <c r="E204" s="178" t="s">
        <v>1922</v>
      </c>
      <c r="F204" s="178" t="s">
        <v>930</v>
      </c>
      <c r="G204" s="178" t="s">
        <v>2131</v>
      </c>
      <c r="H204" s="177"/>
      <c r="I204" s="177"/>
      <c r="J204" s="180">
        <v>1</v>
      </c>
      <c r="K204" s="181">
        <f>8.7*17.3*3.97/50</f>
        <v>11.950493999999999</v>
      </c>
      <c r="L204" s="177"/>
      <c r="M204" s="182" t="s">
        <v>1587</v>
      </c>
      <c r="N204" s="183" t="s">
        <v>1954</v>
      </c>
      <c r="O204" s="89">
        <v>40410</v>
      </c>
      <c r="P204" s="241" t="s">
        <v>931</v>
      </c>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row>
    <row r="205" spans="2:58" s="9" customFormat="1" ht="11.4">
      <c r="B205" s="178" t="s">
        <v>934</v>
      </c>
      <c r="C205" s="178" t="s">
        <v>935</v>
      </c>
      <c r="D205" s="178" t="s">
        <v>1921</v>
      </c>
      <c r="E205" s="178" t="s">
        <v>1922</v>
      </c>
      <c r="F205" s="178" t="s">
        <v>936</v>
      </c>
      <c r="G205" s="178" t="s">
        <v>937</v>
      </c>
      <c r="H205" s="177"/>
      <c r="I205" s="177"/>
      <c r="J205" s="180" t="s">
        <v>653</v>
      </c>
      <c r="K205" s="181">
        <v>58</v>
      </c>
      <c r="L205" s="177"/>
      <c r="M205" s="182" t="s">
        <v>1587</v>
      </c>
      <c r="N205" s="183" t="s">
        <v>1949</v>
      </c>
      <c r="O205" s="89">
        <v>40116</v>
      </c>
      <c r="P205" s="241" t="s">
        <v>938</v>
      </c>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row>
    <row r="206" spans="2:58" s="9" customFormat="1" ht="11.4">
      <c r="B206" s="178" t="s">
        <v>934</v>
      </c>
      <c r="C206" s="178" t="s">
        <v>935</v>
      </c>
      <c r="D206" s="178" t="s">
        <v>1921</v>
      </c>
      <c r="E206" s="178" t="s">
        <v>1922</v>
      </c>
      <c r="F206" s="178" t="s">
        <v>936</v>
      </c>
      <c r="G206" s="178" t="s">
        <v>939</v>
      </c>
      <c r="H206" s="177"/>
      <c r="I206" s="177"/>
      <c r="J206" s="180">
        <v>1</v>
      </c>
      <c r="K206" s="181">
        <v>11.5</v>
      </c>
      <c r="L206" s="177"/>
      <c r="M206" s="182" t="s">
        <v>1587</v>
      </c>
      <c r="N206" s="183" t="s">
        <v>1949</v>
      </c>
      <c r="O206" s="89">
        <v>40116</v>
      </c>
      <c r="P206" s="241" t="s">
        <v>938</v>
      </c>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row>
    <row r="207" spans="2:58" s="9" customFormat="1" ht="11.4">
      <c r="B207" s="178" t="s">
        <v>934</v>
      </c>
      <c r="C207" s="178" t="s">
        <v>935</v>
      </c>
      <c r="D207" s="178" t="s">
        <v>1921</v>
      </c>
      <c r="E207" s="178" t="s">
        <v>1922</v>
      </c>
      <c r="F207" s="178" t="s">
        <v>936</v>
      </c>
      <c r="G207" s="178" t="s">
        <v>940</v>
      </c>
      <c r="H207" s="177"/>
      <c r="I207" s="177"/>
      <c r="J207" s="180">
        <v>1</v>
      </c>
      <c r="K207" s="181">
        <v>10</v>
      </c>
      <c r="L207" s="177"/>
      <c r="M207" s="182" t="s">
        <v>1587</v>
      </c>
      <c r="N207" s="183" t="s">
        <v>1949</v>
      </c>
      <c r="O207" s="89">
        <v>40116</v>
      </c>
      <c r="P207" s="241" t="s">
        <v>938</v>
      </c>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row>
    <row r="208" spans="2:58" s="9" customFormat="1" ht="11.4">
      <c r="B208" s="178" t="s">
        <v>934</v>
      </c>
      <c r="C208" s="178" t="s">
        <v>935</v>
      </c>
      <c r="D208" s="178" t="s">
        <v>1921</v>
      </c>
      <c r="E208" s="178" t="s">
        <v>1922</v>
      </c>
      <c r="F208" s="178" t="s">
        <v>936</v>
      </c>
      <c r="G208" s="178" t="s">
        <v>940</v>
      </c>
      <c r="H208" s="177"/>
      <c r="I208" s="177"/>
      <c r="J208" s="180">
        <v>2</v>
      </c>
      <c r="K208" s="181">
        <v>4.8</v>
      </c>
      <c r="L208" s="177"/>
      <c r="M208" s="182" t="s">
        <v>1587</v>
      </c>
      <c r="N208" s="183" t="s">
        <v>1949</v>
      </c>
      <c r="O208" s="89">
        <v>40256</v>
      </c>
      <c r="P208" s="241" t="s">
        <v>941</v>
      </c>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row>
    <row r="209" spans="2:58" s="9" customFormat="1" ht="11.4">
      <c r="B209" s="178" t="s">
        <v>2162</v>
      </c>
      <c r="C209" s="178" t="s">
        <v>1599</v>
      </c>
      <c r="D209" s="178" t="s">
        <v>1921</v>
      </c>
      <c r="E209" s="178" t="s">
        <v>1922</v>
      </c>
      <c r="F209" s="178"/>
      <c r="G209" s="178" t="s">
        <v>1730</v>
      </c>
      <c r="H209" s="177"/>
      <c r="I209" s="177" t="s">
        <v>2127</v>
      </c>
      <c r="J209" s="180" t="s">
        <v>652</v>
      </c>
      <c r="K209" s="181">
        <v>11</v>
      </c>
      <c r="L209" s="177"/>
      <c r="M209" s="182"/>
      <c r="N209" s="183" t="s">
        <v>2128</v>
      </c>
      <c r="O209" s="89"/>
      <c r="P209" s="241" t="s">
        <v>2129</v>
      </c>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row>
    <row r="210" spans="2:58" s="9" customFormat="1" ht="11.4">
      <c r="B210" s="178" t="s">
        <v>2162</v>
      </c>
      <c r="C210" s="178" t="s">
        <v>1599</v>
      </c>
      <c r="D210" s="178" t="s">
        <v>1921</v>
      </c>
      <c r="E210" s="178" t="s">
        <v>1922</v>
      </c>
      <c r="F210" s="178"/>
      <c r="G210" s="178" t="s">
        <v>1730</v>
      </c>
      <c r="H210" s="177"/>
      <c r="I210" s="177"/>
      <c r="J210" s="180">
        <v>1</v>
      </c>
      <c r="K210" s="181">
        <f>16.8*8.7*4.4/50</f>
        <v>12.862080000000001</v>
      </c>
      <c r="L210" s="177"/>
      <c r="M210" s="182"/>
      <c r="N210" s="183" t="s">
        <v>2128</v>
      </c>
      <c r="O210" s="89"/>
      <c r="P210" s="241" t="s">
        <v>1729</v>
      </c>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row>
    <row r="211" spans="2:58" s="9" customFormat="1" ht="11.4">
      <c r="B211" s="178" t="s">
        <v>2162</v>
      </c>
      <c r="C211" s="178" t="s">
        <v>1599</v>
      </c>
      <c r="D211" s="178" t="s">
        <v>1921</v>
      </c>
      <c r="E211" s="178" t="s">
        <v>1922</v>
      </c>
      <c r="F211" s="178"/>
      <c r="G211" s="178" t="s">
        <v>1730</v>
      </c>
      <c r="H211" s="177"/>
      <c r="I211" s="177"/>
      <c r="J211" s="180">
        <v>2</v>
      </c>
      <c r="K211" s="181">
        <v>4.8</v>
      </c>
      <c r="L211" s="177"/>
      <c r="M211" s="182"/>
      <c r="N211" s="183" t="s">
        <v>1361</v>
      </c>
      <c r="O211" s="89"/>
      <c r="P211" s="241" t="s">
        <v>1017</v>
      </c>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row>
    <row r="212" spans="2:58" s="9" customFormat="1" ht="11.4">
      <c r="B212" s="178" t="s">
        <v>1586</v>
      </c>
      <c r="C212" s="178" t="s">
        <v>1584</v>
      </c>
      <c r="D212" s="178" t="s">
        <v>2044</v>
      </c>
      <c r="E212" s="178" t="s">
        <v>1922</v>
      </c>
      <c r="F212" s="178" t="s">
        <v>1579</v>
      </c>
      <c r="G212" s="178" t="s">
        <v>490</v>
      </c>
      <c r="H212" s="177" t="s">
        <v>770</v>
      </c>
      <c r="I212" s="177"/>
      <c r="J212" s="180">
        <v>1</v>
      </c>
      <c r="K212" s="181">
        <v>171</v>
      </c>
      <c r="L212" s="177"/>
      <c r="M212" s="182" t="s">
        <v>1478</v>
      </c>
      <c r="N212" s="183" t="s">
        <v>1582</v>
      </c>
      <c r="O212" s="89">
        <v>37328</v>
      </c>
      <c r="P212" s="241" t="s">
        <v>474</v>
      </c>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row>
    <row r="213" spans="2:58" s="9" customFormat="1" ht="11.4">
      <c r="B213" s="178" t="s">
        <v>1586</v>
      </c>
      <c r="C213" s="178" t="s">
        <v>1584</v>
      </c>
      <c r="D213" s="178" t="s">
        <v>2044</v>
      </c>
      <c r="E213" s="178" t="s">
        <v>1922</v>
      </c>
      <c r="F213" s="178" t="s">
        <v>1579</v>
      </c>
      <c r="G213" s="178" t="s">
        <v>491</v>
      </c>
      <c r="H213" s="177" t="s">
        <v>770</v>
      </c>
      <c r="I213" s="177"/>
      <c r="J213" s="180">
        <v>1</v>
      </c>
      <c r="K213" s="181">
        <v>174</v>
      </c>
      <c r="L213" s="177"/>
      <c r="M213" s="182" t="s">
        <v>1478</v>
      </c>
      <c r="N213" s="183" t="s">
        <v>1583</v>
      </c>
      <c r="O213" s="89">
        <v>37461</v>
      </c>
      <c r="P213" s="241" t="s">
        <v>489</v>
      </c>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row>
    <row r="214" spans="2:58" s="9" customFormat="1" ht="11.4">
      <c r="B214" s="178" t="s">
        <v>1586</v>
      </c>
      <c r="C214" s="178" t="s">
        <v>1584</v>
      </c>
      <c r="D214" s="178" t="s">
        <v>2044</v>
      </c>
      <c r="E214" s="178" t="s">
        <v>1922</v>
      </c>
      <c r="F214" s="178" t="s">
        <v>1580</v>
      </c>
      <c r="G214" s="178" t="s">
        <v>1585</v>
      </c>
      <c r="H214" s="177" t="s">
        <v>770</v>
      </c>
      <c r="I214" s="177"/>
      <c r="J214" s="180">
        <v>1</v>
      </c>
      <c r="K214" s="181">
        <v>53.6</v>
      </c>
      <c r="L214" s="177"/>
      <c r="M214" s="182" t="s">
        <v>1478</v>
      </c>
      <c r="N214" s="183" t="s">
        <v>1573</v>
      </c>
      <c r="O214" s="89">
        <v>38525</v>
      </c>
      <c r="P214" s="241" t="s">
        <v>473</v>
      </c>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row>
    <row r="215" spans="2:58" s="9" customFormat="1" ht="11.4">
      <c r="B215" s="178" t="s">
        <v>1586</v>
      </c>
      <c r="C215" s="178" t="s">
        <v>1584</v>
      </c>
      <c r="D215" s="178" t="s">
        <v>2044</v>
      </c>
      <c r="E215" s="178" t="s">
        <v>1922</v>
      </c>
      <c r="F215" s="178" t="s">
        <v>1581</v>
      </c>
      <c r="G215" s="178" t="s">
        <v>1846</v>
      </c>
      <c r="H215" s="177" t="s">
        <v>769</v>
      </c>
      <c r="I215" s="177"/>
      <c r="J215" s="180">
        <v>1</v>
      </c>
      <c r="K215" s="181">
        <v>20.09</v>
      </c>
      <c r="L215" s="177">
        <v>20.100000000000001</v>
      </c>
      <c r="M215" s="182" t="s">
        <v>1587</v>
      </c>
      <c r="N215" s="183" t="s">
        <v>822</v>
      </c>
      <c r="O215" s="89">
        <v>39728</v>
      </c>
      <c r="P215" s="241" t="s">
        <v>472</v>
      </c>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row>
    <row r="216" spans="2:58" s="9" customFormat="1" ht="11.4">
      <c r="B216" s="178" t="s">
        <v>1551</v>
      </c>
      <c r="C216" s="178" t="s">
        <v>602</v>
      </c>
      <c r="D216" s="178" t="s">
        <v>1921</v>
      </c>
      <c r="E216" s="178" t="s">
        <v>1931</v>
      </c>
      <c r="F216" s="178" t="s">
        <v>650</v>
      </c>
      <c r="G216" s="178" t="s">
        <v>913</v>
      </c>
      <c r="H216" s="177"/>
      <c r="I216" s="177"/>
      <c r="J216" s="180">
        <v>1</v>
      </c>
      <c r="K216" s="181">
        <f>14.6*8.5*6.9/50</f>
        <v>17.125799999999998</v>
      </c>
      <c r="L216" s="177"/>
      <c r="M216" s="182" t="s">
        <v>924</v>
      </c>
      <c r="N216" s="183" t="s">
        <v>1949</v>
      </c>
      <c r="O216" s="89">
        <v>39884</v>
      </c>
      <c r="P216" s="241" t="s">
        <v>2200</v>
      </c>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row>
    <row r="217" spans="2:58" s="9" customFormat="1" ht="11.4">
      <c r="B217" s="178" t="s">
        <v>1551</v>
      </c>
      <c r="C217" s="178" t="s">
        <v>602</v>
      </c>
      <c r="D217" s="178" t="s">
        <v>1921</v>
      </c>
      <c r="E217" s="178" t="s">
        <v>1931</v>
      </c>
      <c r="F217" s="178" t="s">
        <v>650</v>
      </c>
      <c r="G217" s="178" t="s">
        <v>914</v>
      </c>
      <c r="H217" s="177"/>
      <c r="I217" s="177"/>
      <c r="J217" s="180" t="s">
        <v>653</v>
      </c>
      <c r="K217" s="181">
        <f>12.8*16.1*2.1/10</f>
        <v>43.276800000000009</v>
      </c>
      <c r="L217" s="177"/>
      <c r="M217" s="182" t="s">
        <v>924</v>
      </c>
      <c r="N217" s="183" t="s">
        <v>1949</v>
      </c>
      <c r="O217" s="89">
        <v>39884</v>
      </c>
      <c r="P217" s="241" t="s">
        <v>2200</v>
      </c>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row>
    <row r="218" spans="2:58" s="9" customFormat="1" ht="11.4">
      <c r="B218" s="178" t="s">
        <v>1551</v>
      </c>
      <c r="C218" s="178" t="s">
        <v>602</v>
      </c>
      <c r="D218" s="178" t="s">
        <v>1921</v>
      </c>
      <c r="E218" s="178" t="s">
        <v>1931</v>
      </c>
      <c r="F218" s="178" t="s">
        <v>650</v>
      </c>
      <c r="G218" s="178" t="s">
        <v>667</v>
      </c>
      <c r="H218" s="177"/>
      <c r="I218" s="177"/>
      <c r="J218" s="180" t="s">
        <v>653</v>
      </c>
      <c r="K218" s="181">
        <f>5.3*8.7*2.5/1</f>
        <v>115.27499999999998</v>
      </c>
      <c r="L218" s="177"/>
      <c r="M218" s="182" t="s">
        <v>924</v>
      </c>
      <c r="N218" s="183" t="s">
        <v>1949</v>
      </c>
      <c r="O218" s="89">
        <v>39884</v>
      </c>
      <c r="P218" s="241" t="s">
        <v>2200</v>
      </c>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row>
    <row r="219" spans="2:58" s="9" customFormat="1" ht="11.4">
      <c r="B219" s="178" t="s">
        <v>1551</v>
      </c>
      <c r="C219" s="178" t="s">
        <v>602</v>
      </c>
      <c r="D219" s="178" t="s">
        <v>1921</v>
      </c>
      <c r="E219" s="178" t="s">
        <v>1931</v>
      </c>
      <c r="F219" s="178" t="s">
        <v>650</v>
      </c>
      <c r="G219" s="178" t="s">
        <v>673</v>
      </c>
      <c r="H219" s="177"/>
      <c r="I219" s="177"/>
      <c r="J219" s="180" t="s">
        <v>653</v>
      </c>
      <c r="K219" s="181">
        <f>4.2*2.4*13.3/1</f>
        <v>134.06400000000002</v>
      </c>
      <c r="L219" s="177"/>
      <c r="M219" s="182" t="s">
        <v>924</v>
      </c>
      <c r="N219" s="183" t="s">
        <v>1949</v>
      </c>
      <c r="O219" s="89">
        <v>39884</v>
      </c>
      <c r="P219" s="241" t="s">
        <v>2201</v>
      </c>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row>
    <row r="220" spans="2:58" s="9" customFormat="1" ht="11.4">
      <c r="B220" s="178" t="s">
        <v>1551</v>
      </c>
      <c r="C220" s="178" t="s">
        <v>602</v>
      </c>
      <c r="D220" s="178" t="s">
        <v>1921</v>
      </c>
      <c r="E220" s="178" t="s">
        <v>1931</v>
      </c>
      <c r="F220" s="178" t="s">
        <v>650</v>
      </c>
      <c r="G220" s="178" t="s">
        <v>671</v>
      </c>
      <c r="H220" s="177"/>
      <c r="I220" s="177"/>
      <c r="J220" s="180" t="s">
        <v>653</v>
      </c>
      <c r="K220" s="181">
        <f>13*4.1*16/10</f>
        <v>85.28</v>
      </c>
      <c r="L220" s="177"/>
      <c r="M220" s="182" t="s">
        <v>924</v>
      </c>
      <c r="N220" s="183" t="s">
        <v>1949</v>
      </c>
      <c r="O220" s="89">
        <v>39884</v>
      </c>
      <c r="P220" s="241" t="s">
        <v>2201</v>
      </c>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row>
    <row r="221" spans="2:58" s="9" customFormat="1" ht="11.4">
      <c r="B221" s="178" t="s">
        <v>1551</v>
      </c>
      <c r="C221" s="178" t="s">
        <v>602</v>
      </c>
      <c r="D221" s="178" t="s">
        <v>1921</v>
      </c>
      <c r="E221" s="178" t="s">
        <v>1931</v>
      </c>
      <c r="F221" s="178" t="s">
        <v>1841</v>
      </c>
      <c r="G221" s="178" t="s">
        <v>2073</v>
      </c>
      <c r="H221" s="177"/>
      <c r="I221" s="177"/>
      <c r="J221" s="180" t="s">
        <v>653</v>
      </c>
      <c r="K221" s="181">
        <v>146</v>
      </c>
      <c r="L221" s="177"/>
      <c r="M221" s="182" t="s">
        <v>768</v>
      </c>
      <c r="N221" s="183" t="s">
        <v>655</v>
      </c>
      <c r="O221" s="89"/>
      <c r="P221" s="241" t="s">
        <v>2020</v>
      </c>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row>
    <row r="222" spans="2:58" s="9" customFormat="1" ht="11.4">
      <c r="B222" s="178" t="s">
        <v>1551</v>
      </c>
      <c r="C222" s="178" t="s">
        <v>602</v>
      </c>
      <c r="D222" s="178" t="s">
        <v>1921</v>
      </c>
      <c r="E222" s="178" t="s">
        <v>1931</v>
      </c>
      <c r="F222" s="178" t="s">
        <v>1841</v>
      </c>
      <c r="G222" s="178" t="s">
        <v>649</v>
      </c>
      <c r="H222" s="177"/>
      <c r="I222" s="177"/>
      <c r="J222" s="180" t="s">
        <v>653</v>
      </c>
      <c r="K222" s="181">
        <v>75.3</v>
      </c>
      <c r="L222" s="177"/>
      <c r="M222" s="182" t="s">
        <v>1478</v>
      </c>
      <c r="N222" s="183" t="s">
        <v>2179</v>
      </c>
      <c r="O222" s="89"/>
      <c r="P222" s="241" t="s">
        <v>2199</v>
      </c>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row>
    <row r="223" spans="2:58" s="9" customFormat="1" ht="11.4">
      <c r="B223" s="178" t="s">
        <v>1551</v>
      </c>
      <c r="C223" s="178" t="s">
        <v>602</v>
      </c>
      <c r="D223" s="178" t="s">
        <v>1921</v>
      </c>
      <c r="E223" s="178" t="s">
        <v>1931</v>
      </c>
      <c r="F223" s="178" t="s">
        <v>1841</v>
      </c>
      <c r="G223" s="178" t="s">
        <v>2074</v>
      </c>
      <c r="H223" s="177"/>
      <c r="I223" s="177"/>
      <c r="J223" s="180" t="s">
        <v>653</v>
      </c>
      <c r="K223" s="181">
        <v>46.3</v>
      </c>
      <c r="L223" s="177"/>
      <c r="M223" s="182" t="s">
        <v>1478</v>
      </c>
      <c r="N223" s="183" t="s">
        <v>2179</v>
      </c>
      <c r="O223" s="89"/>
      <c r="P223" s="241" t="s">
        <v>2199</v>
      </c>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row>
    <row r="224" spans="2:58" s="9" customFormat="1" ht="11.4">
      <c r="B224" s="178" t="s">
        <v>1551</v>
      </c>
      <c r="C224" s="178" t="s">
        <v>601</v>
      </c>
      <c r="D224" s="178" t="s">
        <v>2044</v>
      </c>
      <c r="E224" s="178" t="s">
        <v>1931</v>
      </c>
      <c r="F224" s="178" t="s">
        <v>650</v>
      </c>
      <c r="G224" s="178" t="s">
        <v>2070</v>
      </c>
      <c r="H224" s="177" t="s">
        <v>770</v>
      </c>
      <c r="I224" s="177"/>
      <c r="J224" s="180" t="s">
        <v>653</v>
      </c>
      <c r="K224" s="181">
        <f>5.5*3.5*13.3</f>
        <v>256.02500000000003</v>
      </c>
      <c r="L224" s="177"/>
      <c r="M224" s="182" t="s">
        <v>924</v>
      </c>
      <c r="N224" s="183" t="s">
        <v>925</v>
      </c>
      <c r="O224" s="89">
        <v>39112</v>
      </c>
      <c r="P224" s="241" t="s">
        <v>2202</v>
      </c>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row>
    <row r="225" spans="2:58" s="9" customFormat="1" ht="11.4">
      <c r="B225" s="178" t="s">
        <v>1551</v>
      </c>
      <c r="C225" s="178" t="s">
        <v>601</v>
      </c>
      <c r="D225" s="178" t="s">
        <v>2044</v>
      </c>
      <c r="E225" s="178" t="s">
        <v>1931</v>
      </c>
      <c r="F225" s="178" t="s">
        <v>650</v>
      </c>
      <c r="G225" s="178" t="s">
        <v>1840</v>
      </c>
      <c r="H225" s="177" t="s">
        <v>770</v>
      </c>
      <c r="I225" s="177"/>
      <c r="J225" s="180">
        <v>1</v>
      </c>
      <c r="K225" s="181">
        <f>13*6*20/10</f>
        <v>156</v>
      </c>
      <c r="L225" s="177"/>
      <c r="M225" s="182" t="s">
        <v>924</v>
      </c>
      <c r="N225" s="183" t="s">
        <v>925</v>
      </c>
      <c r="O225" s="89">
        <v>39112</v>
      </c>
      <c r="P225" s="241" t="s">
        <v>2202</v>
      </c>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row>
    <row r="226" spans="2:58" s="9" customFormat="1" ht="11.4">
      <c r="B226" s="178" t="s">
        <v>1551</v>
      </c>
      <c r="C226" s="178" t="s">
        <v>601</v>
      </c>
      <c r="D226" s="178" t="s">
        <v>2044</v>
      </c>
      <c r="E226" s="178" t="s">
        <v>1931</v>
      </c>
      <c r="F226" s="178" t="s">
        <v>650</v>
      </c>
      <c r="G226" s="178" t="s">
        <v>2071</v>
      </c>
      <c r="H226" s="177" t="s">
        <v>770</v>
      </c>
      <c r="I226" s="177"/>
      <c r="J226" s="180" t="s">
        <v>653</v>
      </c>
      <c r="K226" s="181">
        <f>20*12.8*10.8/25</f>
        <v>110.59200000000001</v>
      </c>
      <c r="L226" s="177"/>
      <c r="M226" s="182" t="s">
        <v>768</v>
      </c>
      <c r="N226" s="183" t="s">
        <v>1949</v>
      </c>
      <c r="O226" s="89"/>
      <c r="P226" s="241" t="s">
        <v>654</v>
      </c>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row>
    <row r="227" spans="2:58" s="9" customFormat="1" ht="11.4">
      <c r="B227" s="178" t="s">
        <v>1551</v>
      </c>
      <c r="C227" s="178" t="s">
        <v>601</v>
      </c>
      <c r="D227" s="178" t="s">
        <v>2044</v>
      </c>
      <c r="E227" s="178" t="s">
        <v>1931</v>
      </c>
      <c r="F227" s="178" t="s">
        <v>650</v>
      </c>
      <c r="G227" s="178" t="s">
        <v>2072</v>
      </c>
      <c r="H227" s="177" t="s">
        <v>769</v>
      </c>
      <c r="I227" s="177"/>
      <c r="J227" s="180" t="s">
        <v>653</v>
      </c>
      <c r="K227" s="181">
        <f>7.7*9.5*3.6/25</f>
        <v>10.533600000000002</v>
      </c>
      <c r="L227" s="177">
        <f>16*12.8*10.8/25</f>
        <v>88.473600000000005</v>
      </c>
      <c r="M227" s="182" t="s">
        <v>768</v>
      </c>
      <c r="N227" s="183" t="s">
        <v>1949</v>
      </c>
      <c r="O227" s="89"/>
      <c r="P227" s="241" t="s">
        <v>654</v>
      </c>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row>
    <row r="228" spans="2:58" s="9" customFormat="1" ht="11.4">
      <c r="B228" s="178" t="s">
        <v>1926</v>
      </c>
      <c r="C228" s="178" t="s">
        <v>1927</v>
      </c>
      <c r="D228" s="178" t="s">
        <v>1921</v>
      </c>
      <c r="E228" s="178" t="s">
        <v>1922</v>
      </c>
      <c r="F228" s="178"/>
      <c r="G228" s="178" t="s">
        <v>1924</v>
      </c>
      <c r="H228" s="177"/>
      <c r="I228" s="177"/>
      <c r="J228" s="180">
        <v>10</v>
      </c>
      <c r="K228" s="181">
        <v>3</v>
      </c>
      <c r="L228" s="177"/>
      <c r="M228" s="182"/>
      <c r="N228" s="183" t="s">
        <v>1919</v>
      </c>
      <c r="O228" s="89"/>
      <c r="P228" s="241"/>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row>
    <row r="229" spans="2:58" s="9" customFormat="1" ht="11.4">
      <c r="B229" s="178" t="s">
        <v>1926</v>
      </c>
      <c r="C229" s="178" t="s">
        <v>1927</v>
      </c>
      <c r="D229" s="178" t="s">
        <v>1921</v>
      </c>
      <c r="E229" s="178" t="s">
        <v>1922</v>
      </c>
      <c r="F229" s="178"/>
      <c r="G229" s="178" t="s">
        <v>1924</v>
      </c>
      <c r="H229" s="177"/>
      <c r="I229" s="177"/>
      <c r="J229" s="180">
        <v>20</v>
      </c>
      <c r="K229" s="181">
        <v>2.5</v>
      </c>
      <c r="L229" s="177"/>
      <c r="M229" s="182"/>
      <c r="N229" s="183" t="s">
        <v>1919</v>
      </c>
      <c r="O229" s="89"/>
      <c r="P229" s="241"/>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row>
    <row r="230" spans="2:58" s="9" customFormat="1" ht="11.4">
      <c r="B230" s="178" t="s">
        <v>1928</v>
      </c>
      <c r="C230" s="178" t="s">
        <v>1929</v>
      </c>
      <c r="D230" s="178" t="s">
        <v>1921</v>
      </c>
      <c r="E230" s="178" t="s">
        <v>1922</v>
      </c>
      <c r="F230" s="178"/>
      <c r="G230" s="178" t="s">
        <v>1924</v>
      </c>
      <c r="H230" s="177"/>
      <c r="I230" s="177"/>
      <c r="J230" s="180">
        <v>10</v>
      </c>
      <c r="K230" s="181">
        <v>3</v>
      </c>
      <c r="L230" s="177"/>
      <c r="M230" s="182"/>
      <c r="N230" s="183" t="s">
        <v>1919</v>
      </c>
      <c r="O230" s="89"/>
      <c r="P230" s="241"/>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row>
    <row r="231" spans="2:58" s="9" customFormat="1" ht="11.4">
      <c r="B231" s="178" t="s">
        <v>1928</v>
      </c>
      <c r="C231" s="178" t="s">
        <v>1929</v>
      </c>
      <c r="D231" s="178" t="s">
        <v>1921</v>
      </c>
      <c r="E231" s="178" t="s">
        <v>1922</v>
      </c>
      <c r="F231" s="178"/>
      <c r="G231" s="178" t="s">
        <v>1924</v>
      </c>
      <c r="H231" s="177"/>
      <c r="I231" s="177"/>
      <c r="J231" s="180">
        <v>20</v>
      </c>
      <c r="K231" s="181">
        <v>2.5</v>
      </c>
      <c r="L231" s="177"/>
      <c r="M231" s="182"/>
      <c r="N231" s="183" t="s">
        <v>1919</v>
      </c>
      <c r="O231" s="89"/>
      <c r="P231" s="241"/>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row>
    <row r="232" spans="2:58" s="9" customFormat="1" ht="11.4">
      <c r="B232" s="178" t="s">
        <v>1928</v>
      </c>
      <c r="C232" s="178" t="s">
        <v>1929</v>
      </c>
      <c r="D232" s="178" t="s">
        <v>1921</v>
      </c>
      <c r="E232" s="178" t="s">
        <v>1922</v>
      </c>
      <c r="F232" s="178" t="s">
        <v>534</v>
      </c>
      <c r="G232" s="178" t="s">
        <v>533</v>
      </c>
      <c r="H232" s="177"/>
      <c r="I232" s="177" t="s">
        <v>652</v>
      </c>
      <c r="J232" s="180" t="s">
        <v>652</v>
      </c>
      <c r="K232" s="181">
        <v>12</v>
      </c>
      <c r="L232" s="177"/>
      <c r="M232" s="182" t="s">
        <v>1587</v>
      </c>
      <c r="N232" s="183" t="s">
        <v>1565</v>
      </c>
      <c r="O232" s="89">
        <v>37923</v>
      </c>
      <c r="P232" s="241" t="s">
        <v>535</v>
      </c>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row>
    <row r="233" spans="2:58" s="9" customFormat="1" ht="11.4">
      <c r="B233" s="178" t="s">
        <v>248</v>
      </c>
      <c r="C233" s="178" t="s">
        <v>1693</v>
      </c>
      <c r="D233" s="178" t="s">
        <v>1921</v>
      </c>
      <c r="E233" s="178" t="s">
        <v>1692</v>
      </c>
      <c r="F233" s="178" t="s">
        <v>1694</v>
      </c>
      <c r="G233" s="178" t="s">
        <v>247</v>
      </c>
      <c r="H233" s="177"/>
      <c r="I233" s="177" t="s">
        <v>1843</v>
      </c>
      <c r="J233" s="180" t="s">
        <v>598</v>
      </c>
      <c r="K233" s="181">
        <f>13*2.2*3.2</f>
        <v>91.52000000000001</v>
      </c>
      <c r="L233" s="177"/>
      <c r="M233" s="182" t="s">
        <v>768</v>
      </c>
      <c r="N233" s="183" t="s">
        <v>1690</v>
      </c>
      <c r="O233" s="89"/>
      <c r="P233" s="241" t="s">
        <v>1686</v>
      </c>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row>
    <row r="234" spans="2:58" s="9" customFormat="1" ht="11.4">
      <c r="B234" s="178" t="s">
        <v>772</v>
      </c>
      <c r="C234" s="178" t="s">
        <v>1941</v>
      </c>
      <c r="D234" s="178" t="s">
        <v>2044</v>
      </c>
      <c r="E234" s="178" t="s">
        <v>1934</v>
      </c>
      <c r="F234" s="178"/>
      <c r="G234" s="178" t="s">
        <v>1936</v>
      </c>
      <c r="H234" s="177" t="s">
        <v>769</v>
      </c>
      <c r="I234" s="177"/>
      <c r="J234" s="180">
        <v>5</v>
      </c>
      <c r="K234" s="181">
        <v>6.5</v>
      </c>
      <c r="L234" s="177">
        <v>7</v>
      </c>
      <c r="M234" s="182"/>
      <c r="N234" s="183" t="s">
        <v>1919</v>
      </c>
      <c r="O234" s="89"/>
      <c r="P234" s="241"/>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row>
    <row r="235" spans="2:58" s="9" customFormat="1" ht="11.4">
      <c r="B235" s="178" t="s">
        <v>772</v>
      </c>
      <c r="C235" s="178" t="s">
        <v>1941</v>
      </c>
      <c r="D235" s="178" t="s">
        <v>2044</v>
      </c>
      <c r="E235" s="178" t="s">
        <v>1934</v>
      </c>
      <c r="F235" s="178"/>
      <c r="G235" s="178" t="s">
        <v>1936</v>
      </c>
      <c r="H235" s="177" t="s">
        <v>769</v>
      </c>
      <c r="I235" s="177"/>
      <c r="J235" s="180">
        <v>10</v>
      </c>
      <c r="K235" s="181">
        <v>2.5</v>
      </c>
      <c r="L235" s="177">
        <v>6</v>
      </c>
      <c r="M235" s="182"/>
      <c r="N235" s="183" t="s">
        <v>1919</v>
      </c>
      <c r="O235" s="89"/>
      <c r="P235" s="241"/>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row>
    <row r="236" spans="2:58" s="9" customFormat="1" ht="11.4">
      <c r="B236" s="178" t="s">
        <v>772</v>
      </c>
      <c r="C236" s="178" t="s">
        <v>1941</v>
      </c>
      <c r="D236" s="178" t="s">
        <v>2044</v>
      </c>
      <c r="E236" s="178" t="s">
        <v>1934</v>
      </c>
      <c r="F236" s="178"/>
      <c r="G236" s="178" t="s">
        <v>1936</v>
      </c>
      <c r="H236" s="177" t="s">
        <v>769</v>
      </c>
      <c r="I236" s="177"/>
      <c r="J236" s="180">
        <v>20</v>
      </c>
      <c r="K236" s="181">
        <v>1</v>
      </c>
      <c r="L236" s="177">
        <v>3</v>
      </c>
      <c r="M236" s="182"/>
      <c r="N236" s="183" t="s">
        <v>1919</v>
      </c>
      <c r="O236" s="89"/>
      <c r="P236" s="241"/>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row>
    <row r="237" spans="2:58" s="9" customFormat="1" ht="11.4">
      <c r="B237" s="178" t="s">
        <v>772</v>
      </c>
      <c r="C237" s="178" t="s">
        <v>1941</v>
      </c>
      <c r="D237" s="178" t="s">
        <v>2044</v>
      </c>
      <c r="E237" s="178" t="s">
        <v>1934</v>
      </c>
      <c r="F237" s="178" t="s">
        <v>1691</v>
      </c>
      <c r="G237" s="178" t="s">
        <v>277</v>
      </c>
      <c r="H237" s="177" t="s">
        <v>769</v>
      </c>
      <c r="I237" s="177"/>
      <c r="J237" s="180">
        <v>10</v>
      </c>
      <c r="K237" s="181">
        <v>2.46</v>
      </c>
      <c r="L237" s="177">
        <v>2.85</v>
      </c>
      <c r="M237" s="182" t="s">
        <v>924</v>
      </c>
      <c r="N237" s="183" t="s">
        <v>1690</v>
      </c>
      <c r="O237" s="89">
        <v>31778</v>
      </c>
      <c r="P237" s="241" t="s">
        <v>278</v>
      </c>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row>
    <row r="238" spans="2:58" s="9" customFormat="1" ht="11.4">
      <c r="B238" s="178" t="s">
        <v>772</v>
      </c>
      <c r="C238" s="178" t="s">
        <v>1941</v>
      </c>
      <c r="D238" s="178" t="s">
        <v>2044</v>
      </c>
      <c r="E238" s="178" t="s">
        <v>1934</v>
      </c>
      <c r="F238" s="178" t="s">
        <v>1691</v>
      </c>
      <c r="G238" s="178" t="s">
        <v>247</v>
      </c>
      <c r="H238" s="177" t="s">
        <v>770</v>
      </c>
      <c r="I238" s="177" t="s">
        <v>1843</v>
      </c>
      <c r="J238" s="180" t="s">
        <v>598</v>
      </c>
      <c r="K238" s="181">
        <f>10*3.6*2</f>
        <v>72</v>
      </c>
      <c r="L238" s="177"/>
      <c r="M238" s="182" t="s">
        <v>768</v>
      </c>
      <c r="N238" s="183" t="s">
        <v>1690</v>
      </c>
      <c r="O238" s="89"/>
      <c r="P238" s="241" t="s">
        <v>1686</v>
      </c>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row>
    <row r="239" spans="2:58" s="9" customFormat="1" ht="11.4">
      <c r="B239" s="178" t="s">
        <v>772</v>
      </c>
      <c r="C239" s="178" t="s">
        <v>1941</v>
      </c>
      <c r="D239" s="178" t="s">
        <v>2044</v>
      </c>
      <c r="E239" s="178" t="s">
        <v>1934</v>
      </c>
      <c r="F239" s="178" t="s">
        <v>772</v>
      </c>
      <c r="G239" s="178" t="s">
        <v>276</v>
      </c>
      <c r="H239" s="177" t="s">
        <v>769</v>
      </c>
      <c r="I239" s="177"/>
      <c r="J239" s="180">
        <v>5</v>
      </c>
      <c r="K239" s="181">
        <v>6.31</v>
      </c>
      <c r="L239" s="177">
        <v>7</v>
      </c>
      <c r="M239" s="182" t="s">
        <v>924</v>
      </c>
      <c r="N239" s="183" t="s">
        <v>1553</v>
      </c>
      <c r="O239" s="89">
        <v>37181</v>
      </c>
      <c r="P239" s="241" t="s">
        <v>275</v>
      </c>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row>
    <row r="240" spans="2:58" s="9" customFormat="1" ht="11.4">
      <c r="B240" s="178" t="s">
        <v>772</v>
      </c>
      <c r="C240" s="178" t="s">
        <v>1941</v>
      </c>
      <c r="D240" s="178" t="s">
        <v>2044</v>
      </c>
      <c r="E240" s="178" t="s">
        <v>1934</v>
      </c>
      <c r="F240" s="178" t="s">
        <v>772</v>
      </c>
      <c r="G240" s="178" t="s">
        <v>274</v>
      </c>
      <c r="H240" s="177" t="s">
        <v>769</v>
      </c>
      <c r="I240" s="177"/>
      <c r="J240" s="180">
        <v>10</v>
      </c>
      <c r="K240" s="181">
        <v>2.96</v>
      </c>
      <c r="L240" s="177">
        <v>6</v>
      </c>
      <c r="M240" s="182" t="s">
        <v>924</v>
      </c>
      <c r="N240" s="183" t="s">
        <v>1553</v>
      </c>
      <c r="O240" s="89">
        <v>39426</v>
      </c>
      <c r="P240" s="241" t="s">
        <v>2210</v>
      </c>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row>
    <row r="241" spans="2:58" s="9" customFormat="1" ht="11.4">
      <c r="B241" s="178" t="s">
        <v>772</v>
      </c>
      <c r="C241" s="178" t="s">
        <v>1941</v>
      </c>
      <c r="D241" s="178" t="s">
        <v>2044</v>
      </c>
      <c r="E241" s="178" t="s">
        <v>1934</v>
      </c>
      <c r="F241" s="178" t="s">
        <v>772</v>
      </c>
      <c r="G241" s="178" t="s">
        <v>2209</v>
      </c>
      <c r="H241" s="177" t="s">
        <v>769</v>
      </c>
      <c r="I241" s="177"/>
      <c r="J241" s="180">
        <v>50</v>
      </c>
      <c r="K241" s="181">
        <v>0.63</v>
      </c>
      <c r="L241" s="177">
        <v>3</v>
      </c>
      <c r="M241" s="182" t="s">
        <v>924</v>
      </c>
      <c r="N241" s="183" t="s">
        <v>1553</v>
      </c>
      <c r="O241" s="89">
        <v>37181</v>
      </c>
      <c r="P241" s="241" t="s">
        <v>2208</v>
      </c>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row>
    <row r="242" spans="2:58" s="9" customFormat="1" ht="11.4">
      <c r="B242" s="178" t="s">
        <v>772</v>
      </c>
      <c r="C242" s="178" t="s">
        <v>1941</v>
      </c>
      <c r="D242" s="178" t="s">
        <v>2044</v>
      </c>
      <c r="E242" s="178" t="s">
        <v>1934</v>
      </c>
      <c r="F242" s="178" t="s">
        <v>1554</v>
      </c>
      <c r="G242" s="178" t="s">
        <v>1556</v>
      </c>
      <c r="H242" s="177" t="s">
        <v>769</v>
      </c>
      <c r="I242" s="177"/>
      <c r="J242" s="180">
        <v>5</v>
      </c>
      <c r="K242" s="181">
        <v>2.8</v>
      </c>
      <c r="L242" s="177">
        <v>7</v>
      </c>
      <c r="M242" s="182" t="s">
        <v>924</v>
      </c>
      <c r="N242" s="183" t="s">
        <v>1555</v>
      </c>
      <c r="O242" s="89">
        <v>36970</v>
      </c>
      <c r="P242" s="241" t="s">
        <v>2207</v>
      </c>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row>
    <row r="243" spans="2:58" s="9" customFormat="1" ht="11.4">
      <c r="B243" s="178" t="s">
        <v>772</v>
      </c>
      <c r="C243" s="178" t="s">
        <v>1941</v>
      </c>
      <c r="D243" s="178" t="s">
        <v>2044</v>
      </c>
      <c r="E243" s="178" t="s">
        <v>1934</v>
      </c>
      <c r="F243" s="178" t="s">
        <v>1554</v>
      </c>
      <c r="G243" s="178" t="s">
        <v>2206</v>
      </c>
      <c r="H243" s="177" t="s">
        <v>769</v>
      </c>
      <c r="I243" s="177"/>
      <c r="J243" s="180">
        <v>20</v>
      </c>
      <c r="K243" s="181">
        <v>0.7</v>
      </c>
      <c r="L243" s="177">
        <v>3</v>
      </c>
      <c r="M243" s="182" t="s">
        <v>924</v>
      </c>
      <c r="N243" s="183" t="s">
        <v>1555</v>
      </c>
      <c r="O243" s="89">
        <v>36970</v>
      </c>
      <c r="P243" s="241" t="s">
        <v>2203</v>
      </c>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row>
    <row r="244" spans="2:58" s="9" customFormat="1" ht="11.4">
      <c r="B244" s="178" t="s">
        <v>772</v>
      </c>
      <c r="C244" s="178" t="s">
        <v>1941</v>
      </c>
      <c r="D244" s="178" t="s">
        <v>2044</v>
      </c>
      <c r="E244" s="178" t="s">
        <v>1934</v>
      </c>
      <c r="F244" s="178" t="s">
        <v>1554</v>
      </c>
      <c r="G244" s="178" t="s">
        <v>2205</v>
      </c>
      <c r="H244" s="177" t="s">
        <v>769</v>
      </c>
      <c r="I244" s="177"/>
      <c r="J244" s="180">
        <v>10</v>
      </c>
      <c r="K244" s="181">
        <v>1.4</v>
      </c>
      <c r="L244" s="177">
        <v>6</v>
      </c>
      <c r="M244" s="182" t="s">
        <v>924</v>
      </c>
      <c r="N244" s="183" t="s">
        <v>1555</v>
      </c>
      <c r="O244" s="89">
        <v>36970</v>
      </c>
      <c r="P244" s="241" t="s">
        <v>2204</v>
      </c>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row>
    <row r="245" spans="2:58" s="9" customFormat="1" ht="11.4">
      <c r="B245" s="178" t="s">
        <v>772</v>
      </c>
      <c r="C245" s="178" t="s">
        <v>1941</v>
      </c>
      <c r="D245" s="178" t="s">
        <v>2044</v>
      </c>
      <c r="E245" s="178" t="s">
        <v>1934</v>
      </c>
      <c r="F245" s="178" t="s">
        <v>772</v>
      </c>
      <c r="G245" s="178" t="s">
        <v>929</v>
      </c>
      <c r="H245" s="177" t="s">
        <v>769</v>
      </c>
      <c r="I245" s="177"/>
      <c r="J245" s="180">
        <v>2</v>
      </c>
      <c r="K245" s="181">
        <v>7.2</v>
      </c>
      <c r="L245" s="177">
        <v>7</v>
      </c>
      <c r="M245" s="182" t="s">
        <v>924</v>
      </c>
      <c r="N245" s="183" t="s">
        <v>672</v>
      </c>
      <c r="O245" s="89">
        <v>39898</v>
      </c>
      <c r="P245" s="241" t="s">
        <v>279</v>
      </c>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row>
    <row r="246" spans="2:58" s="9" customFormat="1" ht="11.4">
      <c r="B246" s="178" t="s">
        <v>772</v>
      </c>
      <c r="C246" s="178" t="s">
        <v>1941</v>
      </c>
      <c r="D246" s="178" t="s">
        <v>2044</v>
      </c>
      <c r="E246" s="178" t="s">
        <v>1934</v>
      </c>
      <c r="F246" s="178" t="s">
        <v>772</v>
      </c>
      <c r="G246" s="178" t="s">
        <v>929</v>
      </c>
      <c r="H246" s="177" t="s">
        <v>769</v>
      </c>
      <c r="I246" s="177"/>
      <c r="J246" s="180">
        <v>5</v>
      </c>
      <c r="K246" s="181">
        <v>6</v>
      </c>
      <c r="L246" s="177">
        <v>6</v>
      </c>
      <c r="M246" s="182" t="s">
        <v>924</v>
      </c>
      <c r="N246" s="183" t="s">
        <v>672</v>
      </c>
      <c r="O246" s="89">
        <v>39898</v>
      </c>
      <c r="P246" s="241" t="s">
        <v>928</v>
      </c>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row>
    <row r="247" spans="2:58" s="9" customFormat="1" ht="11.4">
      <c r="B247" s="178" t="s">
        <v>772</v>
      </c>
      <c r="C247" s="178" t="s">
        <v>1941</v>
      </c>
      <c r="D247" s="178" t="s">
        <v>2044</v>
      </c>
      <c r="E247" s="178" t="s">
        <v>1934</v>
      </c>
      <c r="F247" s="178" t="s">
        <v>772</v>
      </c>
      <c r="G247" s="178" t="s">
        <v>929</v>
      </c>
      <c r="H247" s="177" t="s">
        <v>769</v>
      </c>
      <c r="I247" s="177"/>
      <c r="J247" s="180">
        <v>10</v>
      </c>
      <c r="K247" s="181">
        <v>3.6</v>
      </c>
      <c r="L247" s="177">
        <v>3.6</v>
      </c>
      <c r="M247" s="182" t="s">
        <v>924</v>
      </c>
      <c r="N247" s="183" t="s">
        <v>672</v>
      </c>
      <c r="O247" s="89">
        <v>39898</v>
      </c>
      <c r="P247" s="241" t="s">
        <v>927</v>
      </c>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row>
    <row r="248" spans="2:58" s="9" customFormat="1" ht="11.4">
      <c r="B248" s="178" t="s">
        <v>964</v>
      </c>
      <c r="C248" s="178" t="s">
        <v>965</v>
      </c>
      <c r="D248" s="178" t="s">
        <v>2044</v>
      </c>
      <c r="E248" s="178" t="s">
        <v>1934</v>
      </c>
      <c r="F248" s="178"/>
      <c r="G248" s="178" t="s">
        <v>963</v>
      </c>
      <c r="H248" s="177" t="s">
        <v>769</v>
      </c>
      <c r="I248" s="177"/>
      <c r="J248" s="180">
        <v>1</v>
      </c>
      <c r="K248" s="181">
        <v>26.11</v>
      </c>
      <c r="L248" s="177">
        <v>26.11</v>
      </c>
      <c r="M248" s="182" t="s">
        <v>924</v>
      </c>
      <c r="N248" s="183" t="s">
        <v>1558</v>
      </c>
      <c r="O248" s="89">
        <v>38961</v>
      </c>
      <c r="P248" s="241" t="s">
        <v>966</v>
      </c>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row>
    <row r="249" spans="2:58" s="9" customFormat="1" ht="11.4">
      <c r="B249" s="178" t="s">
        <v>964</v>
      </c>
      <c r="C249" s="178" t="s">
        <v>965</v>
      </c>
      <c r="D249" s="178" t="s">
        <v>2044</v>
      </c>
      <c r="E249" s="178" t="s">
        <v>1934</v>
      </c>
      <c r="F249" s="178"/>
      <c r="G249" s="178" t="s">
        <v>963</v>
      </c>
      <c r="H249" s="177" t="s">
        <v>769</v>
      </c>
      <c r="I249" s="177"/>
      <c r="J249" s="180">
        <v>2</v>
      </c>
      <c r="K249" s="181">
        <v>13.1</v>
      </c>
      <c r="L249" s="177">
        <v>13.1</v>
      </c>
      <c r="M249" s="182" t="s">
        <v>924</v>
      </c>
      <c r="N249" s="183" t="s">
        <v>1558</v>
      </c>
      <c r="O249" s="89">
        <v>38961</v>
      </c>
      <c r="P249" s="241" t="s">
        <v>967</v>
      </c>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row>
    <row r="250" spans="2:58" s="9" customFormat="1" ht="11.4">
      <c r="B250" s="178" t="s">
        <v>964</v>
      </c>
      <c r="C250" s="178" t="s">
        <v>965</v>
      </c>
      <c r="D250" s="178" t="s">
        <v>2044</v>
      </c>
      <c r="E250" s="178" t="s">
        <v>1934</v>
      </c>
      <c r="F250" s="178"/>
      <c r="G250" s="178" t="s">
        <v>963</v>
      </c>
      <c r="H250" s="177" t="s">
        <v>769</v>
      </c>
      <c r="I250" s="177"/>
      <c r="J250" s="180">
        <v>5</v>
      </c>
      <c r="K250" s="181">
        <v>5.22</v>
      </c>
      <c r="L250" s="177">
        <v>5.22</v>
      </c>
      <c r="M250" s="182" t="s">
        <v>924</v>
      </c>
      <c r="N250" s="183" t="s">
        <v>1558</v>
      </c>
      <c r="O250" s="89">
        <v>38961</v>
      </c>
      <c r="P250" s="241" t="s">
        <v>968</v>
      </c>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row>
    <row r="251" spans="2:58" s="9" customFormat="1" ht="11.4">
      <c r="B251" s="178" t="s">
        <v>964</v>
      </c>
      <c r="C251" s="178" t="s">
        <v>965</v>
      </c>
      <c r="D251" s="178" t="s">
        <v>2044</v>
      </c>
      <c r="E251" s="178" t="s">
        <v>1934</v>
      </c>
      <c r="F251" s="178"/>
      <c r="G251" s="178" t="s">
        <v>963</v>
      </c>
      <c r="H251" s="177" t="s">
        <v>769</v>
      </c>
      <c r="I251" s="177"/>
      <c r="J251" s="180">
        <v>10</v>
      </c>
      <c r="K251" s="181">
        <v>2.6110000000000002</v>
      </c>
      <c r="L251" s="177">
        <v>2.6110000000000002</v>
      </c>
      <c r="M251" s="182" t="s">
        <v>924</v>
      </c>
      <c r="N251" s="183" t="s">
        <v>1558</v>
      </c>
      <c r="O251" s="89">
        <v>38961</v>
      </c>
      <c r="P251" s="241" t="s">
        <v>1845</v>
      </c>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row>
    <row r="252" spans="2:58" s="9" customFormat="1" ht="11.4">
      <c r="B252" s="178" t="s">
        <v>1568</v>
      </c>
      <c r="C252" s="178" t="s">
        <v>1570</v>
      </c>
      <c r="D252" s="178" t="s">
        <v>1921</v>
      </c>
      <c r="E252" s="178" t="s">
        <v>1931</v>
      </c>
      <c r="F252" s="178"/>
      <c r="G252" s="178" t="s">
        <v>1319</v>
      </c>
      <c r="H252" s="177"/>
      <c r="I252" s="177"/>
      <c r="J252" s="180">
        <v>20</v>
      </c>
      <c r="K252" s="181">
        <v>1.1299999999999999</v>
      </c>
      <c r="L252" s="177"/>
      <c r="M252" s="182" t="s">
        <v>1574</v>
      </c>
      <c r="N252" s="183" t="s">
        <v>738</v>
      </c>
      <c r="O252" s="89">
        <v>40120</v>
      </c>
      <c r="P252" s="241" t="s">
        <v>1320</v>
      </c>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row>
    <row r="253" spans="2:58" s="9" customFormat="1" ht="11.4">
      <c r="B253" s="178" t="s">
        <v>1568</v>
      </c>
      <c r="C253" s="178" t="s">
        <v>1570</v>
      </c>
      <c r="D253" s="178" t="s">
        <v>1921</v>
      </c>
      <c r="E253" s="178" t="s">
        <v>1931</v>
      </c>
      <c r="F253" s="178"/>
      <c r="G253" s="178" t="s">
        <v>1322</v>
      </c>
      <c r="H253" s="177"/>
      <c r="I253" s="177"/>
      <c r="J253" s="180">
        <v>20</v>
      </c>
      <c r="K253" s="181">
        <v>1</v>
      </c>
      <c r="L253" s="177"/>
      <c r="M253" s="182" t="s">
        <v>1574</v>
      </c>
      <c r="N253" s="183" t="s">
        <v>830</v>
      </c>
      <c r="O253" s="89">
        <v>40120</v>
      </c>
      <c r="P253" s="241" t="s">
        <v>1323</v>
      </c>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row>
    <row r="254" spans="2:58" s="9" customFormat="1" ht="11.4">
      <c r="B254" s="178" t="s">
        <v>1568</v>
      </c>
      <c r="C254" s="178" t="s">
        <v>1570</v>
      </c>
      <c r="D254" s="178" t="s">
        <v>1921</v>
      </c>
      <c r="E254" s="178" t="s">
        <v>1931</v>
      </c>
      <c r="F254" s="178"/>
      <c r="G254" s="178" t="s">
        <v>1575</v>
      </c>
      <c r="H254" s="177"/>
      <c r="I254" s="177"/>
      <c r="J254" s="180">
        <v>20</v>
      </c>
      <c r="K254" s="181">
        <v>0.48</v>
      </c>
      <c r="L254" s="177"/>
      <c r="M254" s="182" t="s">
        <v>1574</v>
      </c>
      <c r="N254" s="183" t="s">
        <v>1949</v>
      </c>
      <c r="O254" s="89">
        <v>40115</v>
      </c>
      <c r="P254" s="241" t="s">
        <v>1324</v>
      </c>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row>
    <row r="255" spans="2:58" s="9" customFormat="1" ht="11.4">
      <c r="B255" s="178" t="s">
        <v>1568</v>
      </c>
      <c r="C255" s="178" t="s">
        <v>1570</v>
      </c>
      <c r="D255" s="178" t="s">
        <v>1921</v>
      </c>
      <c r="E255" s="178" t="s">
        <v>1931</v>
      </c>
      <c r="F255" s="178"/>
      <c r="G255" s="178" t="s">
        <v>1326</v>
      </c>
      <c r="H255" s="177"/>
      <c r="I255" s="177"/>
      <c r="J255" s="180">
        <v>10</v>
      </c>
      <c r="K255" s="181">
        <v>0.97</v>
      </c>
      <c r="L255" s="177"/>
      <c r="M255" s="182" t="s">
        <v>1574</v>
      </c>
      <c r="N255" s="183" t="s">
        <v>1949</v>
      </c>
      <c r="O255" s="89">
        <v>40115</v>
      </c>
      <c r="P255" s="241" t="s">
        <v>1327</v>
      </c>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row>
    <row r="256" spans="2:58" s="9" customFormat="1" ht="11.4">
      <c r="B256" s="178" t="s">
        <v>1568</v>
      </c>
      <c r="C256" s="178" t="s">
        <v>1570</v>
      </c>
      <c r="D256" s="178" t="s">
        <v>1921</v>
      </c>
      <c r="E256" s="178" t="s">
        <v>1931</v>
      </c>
      <c r="F256" s="178"/>
      <c r="G256" s="178" t="s">
        <v>1322</v>
      </c>
      <c r="H256" s="177"/>
      <c r="I256" s="177"/>
      <c r="J256" s="180">
        <v>20</v>
      </c>
      <c r="K256" s="181">
        <v>0.55000000000000004</v>
      </c>
      <c r="L256" s="177"/>
      <c r="M256" s="182" t="s">
        <v>1574</v>
      </c>
      <c r="N256" s="183" t="s">
        <v>1565</v>
      </c>
      <c r="O256" s="89">
        <v>40120</v>
      </c>
      <c r="P256" s="241" t="s">
        <v>1325</v>
      </c>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row>
    <row r="257" spans="2:58" s="9" customFormat="1" ht="11.4">
      <c r="B257" s="178" t="s">
        <v>1569</v>
      </c>
      <c r="C257" s="178" t="s">
        <v>1571</v>
      </c>
      <c r="D257" s="178" t="s">
        <v>1921</v>
      </c>
      <c r="E257" s="178" t="s">
        <v>1931</v>
      </c>
      <c r="F257" s="178"/>
      <c r="G257" s="178" t="s">
        <v>1326</v>
      </c>
      <c r="H257" s="177"/>
      <c r="I257" s="177"/>
      <c r="J257" s="180">
        <v>10</v>
      </c>
      <c r="K257" s="181">
        <v>0.97</v>
      </c>
      <c r="L257" s="177"/>
      <c r="M257" s="182" t="s">
        <v>1574</v>
      </c>
      <c r="N257" s="183" t="s">
        <v>1949</v>
      </c>
      <c r="O257" s="89">
        <v>40456</v>
      </c>
      <c r="P257" s="241" t="s">
        <v>1329</v>
      </c>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row>
    <row r="258" spans="2:58" s="9" customFormat="1" ht="11.4">
      <c r="B258" s="178" t="s">
        <v>1569</v>
      </c>
      <c r="C258" s="178" t="s">
        <v>1571</v>
      </c>
      <c r="D258" s="178" t="s">
        <v>1921</v>
      </c>
      <c r="E258" s="178" t="s">
        <v>1931</v>
      </c>
      <c r="F258" s="178"/>
      <c r="G258" s="178" t="s">
        <v>1575</v>
      </c>
      <c r="H258" s="177"/>
      <c r="I258" s="177"/>
      <c r="J258" s="180">
        <v>20</v>
      </c>
      <c r="K258" s="181">
        <v>0.48</v>
      </c>
      <c r="L258" s="177"/>
      <c r="M258" s="182" t="s">
        <v>1574</v>
      </c>
      <c r="N258" s="183" t="s">
        <v>1949</v>
      </c>
      <c r="O258" s="89">
        <v>40456</v>
      </c>
      <c r="P258" s="241" t="s">
        <v>1330</v>
      </c>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row>
    <row r="259" spans="2:58" s="9" customFormat="1" ht="11.4">
      <c r="B259" s="178" t="s">
        <v>1569</v>
      </c>
      <c r="C259" s="178" t="s">
        <v>1571</v>
      </c>
      <c r="D259" s="178" t="s">
        <v>1921</v>
      </c>
      <c r="E259" s="178" t="s">
        <v>1931</v>
      </c>
      <c r="F259" s="178"/>
      <c r="G259" s="178" t="s">
        <v>1319</v>
      </c>
      <c r="H259" s="177"/>
      <c r="I259" s="177"/>
      <c r="J259" s="180">
        <v>20</v>
      </c>
      <c r="K259" s="181">
        <v>1.07</v>
      </c>
      <c r="L259" s="177"/>
      <c r="M259" s="182" t="s">
        <v>1574</v>
      </c>
      <c r="N259" s="183" t="s">
        <v>738</v>
      </c>
      <c r="O259" s="89">
        <v>40455</v>
      </c>
      <c r="P259" s="241" t="s">
        <v>1331</v>
      </c>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row>
    <row r="260" spans="2:58" s="9" customFormat="1" ht="11.4">
      <c r="B260" s="178" t="s">
        <v>1928</v>
      </c>
      <c r="C260" s="178" t="s">
        <v>1929</v>
      </c>
      <c r="D260" s="178" t="s">
        <v>1921</v>
      </c>
      <c r="E260" s="178" t="s">
        <v>1922</v>
      </c>
      <c r="F260" s="178" t="s">
        <v>534</v>
      </c>
      <c r="G260" s="178" t="s">
        <v>939</v>
      </c>
      <c r="H260" s="177"/>
      <c r="I260" s="177"/>
      <c r="J260" s="180">
        <v>10</v>
      </c>
      <c r="K260" s="181">
        <v>2.1</v>
      </c>
      <c r="L260" s="177"/>
      <c r="M260" s="182" t="s">
        <v>1587</v>
      </c>
      <c r="N260" s="183" t="s">
        <v>1565</v>
      </c>
      <c r="O260" s="89">
        <v>36230</v>
      </c>
      <c r="P260" s="241" t="s">
        <v>536</v>
      </c>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row>
    <row r="261" spans="2:58" s="9" customFormat="1" ht="11.4">
      <c r="B261" s="178" t="s">
        <v>1928</v>
      </c>
      <c r="C261" s="178" t="s">
        <v>1929</v>
      </c>
      <c r="D261" s="178" t="s">
        <v>1921</v>
      </c>
      <c r="E261" s="178" t="s">
        <v>1922</v>
      </c>
      <c r="F261" s="178" t="s">
        <v>534</v>
      </c>
      <c r="G261" s="178" t="s">
        <v>939</v>
      </c>
      <c r="H261" s="177"/>
      <c r="I261" s="177"/>
      <c r="J261" s="180">
        <v>20</v>
      </c>
      <c r="K261" s="181">
        <v>0.75</v>
      </c>
      <c r="L261" s="177"/>
      <c r="M261" s="182" t="s">
        <v>1587</v>
      </c>
      <c r="N261" s="183" t="s">
        <v>1565</v>
      </c>
      <c r="O261" s="89">
        <v>36230</v>
      </c>
      <c r="P261" s="241" t="s">
        <v>537</v>
      </c>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row>
    <row r="262" spans="2:58" s="9" customFormat="1" ht="11.4">
      <c r="B262" s="178" t="s">
        <v>1928</v>
      </c>
      <c r="C262" s="178" t="s">
        <v>1929</v>
      </c>
      <c r="D262" s="178" t="s">
        <v>1921</v>
      </c>
      <c r="E262" s="178" t="s">
        <v>1922</v>
      </c>
      <c r="F262" s="178" t="s">
        <v>538</v>
      </c>
      <c r="G262" s="178" t="s">
        <v>939</v>
      </c>
      <c r="H262" s="177"/>
      <c r="I262" s="177"/>
      <c r="J262" s="180">
        <v>10</v>
      </c>
      <c r="K262" s="181">
        <v>4.125</v>
      </c>
      <c r="L262" s="177"/>
      <c r="M262" s="182" t="s">
        <v>924</v>
      </c>
      <c r="N262" s="183" t="s">
        <v>1588</v>
      </c>
      <c r="O262" s="89">
        <v>38846</v>
      </c>
      <c r="P262" s="241" t="s">
        <v>539</v>
      </c>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row>
    <row r="263" spans="2:58" s="9" customFormat="1" ht="11.4">
      <c r="B263" s="178" t="s">
        <v>1928</v>
      </c>
      <c r="C263" s="178" t="s">
        <v>1929</v>
      </c>
      <c r="D263" s="178" t="s">
        <v>1921</v>
      </c>
      <c r="E263" s="178" t="s">
        <v>1922</v>
      </c>
      <c r="F263" s="178" t="s">
        <v>538</v>
      </c>
      <c r="G263" s="178" t="s">
        <v>939</v>
      </c>
      <c r="H263" s="177"/>
      <c r="I263" s="177"/>
      <c r="J263" s="180">
        <v>20</v>
      </c>
      <c r="K263" s="181">
        <v>2.0499999999999998</v>
      </c>
      <c r="L263" s="177"/>
      <c r="M263" s="182" t="s">
        <v>924</v>
      </c>
      <c r="N263" s="183" t="s">
        <v>1588</v>
      </c>
      <c r="O263" s="89">
        <v>38846</v>
      </c>
      <c r="P263" s="241" t="s">
        <v>540</v>
      </c>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row>
    <row r="264" spans="2:58" s="9" customFormat="1" ht="11.4">
      <c r="B264" s="178" t="s">
        <v>1928</v>
      </c>
      <c r="C264" s="178" t="s">
        <v>1929</v>
      </c>
      <c r="D264" s="178" t="s">
        <v>1921</v>
      </c>
      <c r="E264" s="178" t="s">
        <v>1922</v>
      </c>
      <c r="F264" s="178" t="s">
        <v>541</v>
      </c>
      <c r="G264" s="178" t="s">
        <v>542</v>
      </c>
      <c r="H264" s="177"/>
      <c r="I264" s="177"/>
      <c r="J264" s="180">
        <v>20</v>
      </c>
      <c r="K264" s="181">
        <v>2.9</v>
      </c>
      <c r="L264" s="177"/>
      <c r="M264" s="182" t="s">
        <v>1587</v>
      </c>
      <c r="N264" s="183" t="s">
        <v>543</v>
      </c>
      <c r="O264" s="89">
        <v>40168</v>
      </c>
      <c r="P264" s="241" t="s">
        <v>544</v>
      </c>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row>
    <row r="265" spans="2:58" s="9" customFormat="1" ht="11.4">
      <c r="B265" s="178" t="s">
        <v>1928</v>
      </c>
      <c r="C265" s="178" t="s">
        <v>1929</v>
      </c>
      <c r="D265" s="178" t="s">
        <v>1921</v>
      </c>
      <c r="E265" s="178" t="s">
        <v>1922</v>
      </c>
      <c r="F265" s="178" t="s">
        <v>545</v>
      </c>
      <c r="G265" s="178" t="s">
        <v>939</v>
      </c>
      <c r="H265" s="177"/>
      <c r="I265" s="177"/>
      <c r="J265" s="180">
        <v>10</v>
      </c>
      <c r="K265" s="181">
        <v>2.46</v>
      </c>
      <c r="L265" s="177"/>
      <c r="M265" s="182" t="s">
        <v>1478</v>
      </c>
      <c r="N265" s="183" t="s">
        <v>1573</v>
      </c>
      <c r="O265" s="89">
        <v>35633</v>
      </c>
      <c r="P265" s="241" t="s">
        <v>546</v>
      </c>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row>
    <row r="266" spans="2:58" s="9" customFormat="1" ht="11.4">
      <c r="B266" s="178" t="s">
        <v>1928</v>
      </c>
      <c r="C266" s="178" t="s">
        <v>1929</v>
      </c>
      <c r="D266" s="178" t="s">
        <v>1921</v>
      </c>
      <c r="E266" s="178" t="s">
        <v>1922</v>
      </c>
      <c r="F266" s="178" t="s">
        <v>541</v>
      </c>
      <c r="G266" s="178" t="s">
        <v>832</v>
      </c>
      <c r="H266" s="177"/>
      <c r="I266" s="177"/>
      <c r="J266" s="180">
        <v>20</v>
      </c>
      <c r="K266" s="181">
        <v>2.4329999999999998</v>
      </c>
      <c r="L266" s="177"/>
      <c r="M266" s="182" t="s">
        <v>1587</v>
      </c>
      <c r="N266" s="183" t="s">
        <v>1558</v>
      </c>
      <c r="O266" s="89">
        <v>34793</v>
      </c>
      <c r="P266" s="241" t="s">
        <v>2064</v>
      </c>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row>
    <row r="267" spans="2:58" s="9" customFormat="1" ht="11.4">
      <c r="B267" s="178" t="s">
        <v>1928</v>
      </c>
      <c r="C267" s="178" t="s">
        <v>1929</v>
      </c>
      <c r="D267" s="178" t="s">
        <v>1921</v>
      </c>
      <c r="E267" s="178" t="s">
        <v>1922</v>
      </c>
      <c r="F267" s="178" t="s">
        <v>541</v>
      </c>
      <c r="G267" s="178" t="s">
        <v>954</v>
      </c>
      <c r="H267" s="177"/>
      <c r="I267" s="177"/>
      <c r="J267" s="180">
        <v>10</v>
      </c>
      <c r="K267" s="181">
        <v>2.6110000000000002</v>
      </c>
      <c r="L267" s="177"/>
      <c r="M267" s="182" t="s">
        <v>1587</v>
      </c>
      <c r="N267" s="183" t="s">
        <v>1558</v>
      </c>
      <c r="O267" s="89">
        <v>34793</v>
      </c>
      <c r="P267" s="241" t="s">
        <v>2065</v>
      </c>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row>
    <row r="268" spans="2:58" s="9" customFormat="1" ht="11.4">
      <c r="B268" s="178" t="s">
        <v>1928</v>
      </c>
      <c r="C268" s="178" t="s">
        <v>1929</v>
      </c>
      <c r="D268" s="178" t="s">
        <v>1921</v>
      </c>
      <c r="E268" s="178" t="s">
        <v>1922</v>
      </c>
      <c r="F268" s="178" t="s">
        <v>2066</v>
      </c>
      <c r="G268" s="178" t="s">
        <v>2067</v>
      </c>
      <c r="H268" s="177"/>
      <c r="I268" s="177"/>
      <c r="J268" s="180">
        <v>20</v>
      </c>
      <c r="K268" s="181">
        <v>2.57</v>
      </c>
      <c r="L268" s="177"/>
      <c r="M268" s="182" t="s">
        <v>924</v>
      </c>
      <c r="N268" s="183" t="s">
        <v>739</v>
      </c>
      <c r="O268" s="89">
        <v>39324</v>
      </c>
      <c r="P268" s="241" t="s">
        <v>2069</v>
      </c>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row>
    <row r="269" spans="2:58" s="9" customFormat="1" ht="11.4">
      <c r="B269" s="178" t="s">
        <v>1928</v>
      </c>
      <c r="C269" s="178" t="s">
        <v>1929</v>
      </c>
      <c r="D269" s="178" t="s">
        <v>1921</v>
      </c>
      <c r="E269" s="178" t="s">
        <v>1922</v>
      </c>
      <c r="F269" s="178" t="s">
        <v>2066</v>
      </c>
      <c r="G269" s="178" t="s">
        <v>2067</v>
      </c>
      <c r="H269" s="177"/>
      <c r="I269" s="177"/>
      <c r="J269" s="180">
        <v>10</v>
      </c>
      <c r="K269" s="181">
        <v>4.3600000000000003</v>
      </c>
      <c r="L269" s="177"/>
      <c r="M269" s="182" t="s">
        <v>924</v>
      </c>
      <c r="N269" s="183" t="s">
        <v>739</v>
      </c>
      <c r="O269" s="89">
        <v>39324</v>
      </c>
      <c r="P269" s="241" t="s">
        <v>2068</v>
      </c>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row>
    <row r="270" spans="2:58" s="9" customFormat="1" ht="11.4">
      <c r="B270" s="178"/>
      <c r="C270" s="178"/>
      <c r="D270" s="178"/>
      <c r="E270" s="178"/>
      <c r="F270" s="178"/>
      <c r="G270" s="178"/>
      <c r="H270" s="177"/>
      <c r="I270" s="177"/>
      <c r="J270" s="180"/>
      <c r="K270" s="181"/>
      <c r="L270" s="177"/>
      <c r="M270" s="182"/>
      <c r="N270" s="183"/>
      <c r="O270" s="89"/>
      <c r="P270" s="241"/>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row>
    <row r="271" spans="2:58" s="9" customFormat="1" ht="11.4">
      <c r="B271" s="178"/>
      <c r="C271" s="178"/>
      <c r="D271" s="178"/>
      <c r="E271" s="178"/>
      <c r="F271" s="178"/>
      <c r="G271" s="178"/>
      <c r="H271" s="177"/>
      <c r="I271" s="177"/>
      <c r="J271" s="180"/>
      <c r="K271" s="181"/>
      <c r="L271" s="177"/>
      <c r="M271" s="182"/>
      <c r="N271" s="183"/>
      <c r="O271" s="89"/>
      <c r="P271" s="241"/>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row>
    <row r="272" spans="2:58" s="9" customFormat="1" ht="11.4">
      <c r="B272" s="178"/>
      <c r="C272" s="178"/>
      <c r="D272" s="178"/>
      <c r="E272" s="178"/>
      <c r="F272" s="178"/>
      <c r="G272" s="178"/>
      <c r="H272" s="177"/>
      <c r="I272" s="177"/>
      <c r="J272" s="180"/>
      <c r="K272" s="181"/>
      <c r="L272" s="177"/>
      <c r="M272" s="182"/>
      <c r="N272" s="183"/>
      <c r="O272" s="89"/>
      <c r="P272" s="241"/>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row>
    <row r="273" spans="2:58" s="9" customFormat="1" ht="11.4">
      <c r="B273" s="178"/>
      <c r="C273" s="178"/>
      <c r="D273" s="178"/>
      <c r="E273" s="178"/>
      <c r="F273" s="178"/>
      <c r="G273" s="178"/>
      <c r="H273" s="177"/>
      <c r="I273" s="177"/>
      <c r="J273" s="180"/>
      <c r="K273" s="181"/>
      <c r="L273" s="177"/>
      <c r="M273" s="182"/>
      <c r="N273" s="183"/>
      <c r="O273" s="89"/>
      <c r="P273" s="241"/>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row>
    <row r="274" spans="2:58" s="9" customFormat="1" ht="11.4">
      <c r="B274" s="178"/>
      <c r="C274" s="178"/>
      <c r="D274" s="178"/>
      <c r="E274" s="178"/>
      <c r="F274" s="178"/>
      <c r="G274" s="178"/>
      <c r="H274" s="177"/>
      <c r="I274" s="177"/>
      <c r="J274" s="180"/>
      <c r="K274" s="181"/>
      <c r="L274" s="177"/>
      <c r="M274" s="182"/>
      <c r="N274" s="183"/>
      <c r="O274" s="89"/>
      <c r="P274" s="241"/>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row>
    <row r="275" spans="2:58" s="9" customFormat="1" ht="11.4">
      <c r="B275" s="178"/>
      <c r="C275" s="178"/>
      <c r="D275" s="178"/>
      <c r="E275" s="178"/>
      <c r="F275" s="178"/>
      <c r="G275" s="178"/>
      <c r="H275" s="177"/>
      <c r="I275" s="177"/>
      <c r="J275" s="180"/>
      <c r="K275" s="181"/>
      <c r="L275" s="177"/>
      <c r="M275" s="182"/>
      <c r="N275" s="183"/>
      <c r="O275" s="89"/>
      <c r="P275" s="241"/>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row>
    <row r="276" spans="2:58" s="9" customFormat="1" ht="11.4">
      <c r="B276" s="178"/>
      <c r="C276" s="178"/>
      <c r="D276" s="178"/>
      <c r="E276" s="178"/>
      <c r="F276" s="178"/>
      <c r="G276" s="178"/>
      <c r="H276" s="177"/>
      <c r="I276" s="177"/>
      <c r="J276" s="180"/>
      <c r="K276" s="181"/>
      <c r="L276" s="177"/>
      <c r="M276" s="182"/>
      <c r="N276" s="183"/>
      <c r="O276" s="89"/>
      <c r="P276" s="241"/>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row>
    <row r="277" spans="2:58" s="9" customFormat="1" ht="11.4">
      <c r="B277" s="178"/>
      <c r="C277" s="178"/>
      <c r="D277" s="178"/>
      <c r="E277" s="178"/>
      <c r="F277" s="178"/>
      <c r="G277" s="178"/>
      <c r="H277" s="177"/>
      <c r="I277" s="177"/>
      <c r="J277" s="180"/>
      <c r="K277" s="181"/>
      <c r="L277" s="177"/>
      <c r="M277" s="182"/>
      <c r="N277" s="183"/>
      <c r="O277" s="89"/>
      <c r="P277" s="241"/>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row>
    <row r="278" spans="2:58" s="9" customFormat="1" ht="11.4">
      <c r="B278" s="178"/>
      <c r="C278" s="178"/>
      <c r="D278" s="178"/>
      <c r="E278" s="178"/>
      <c r="F278" s="178"/>
      <c r="G278" s="178"/>
      <c r="H278" s="177"/>
      <c r="I278" s="177"/>
      <c r="J278" s="180"/>
      <c r="K278" s="181"/>
      <c r="L278" s="177"/>
      <c r="M278" s="182"/>
      <c r="N278" s="183"/>
      <c r="O278" s="89"/>
      <c r="P278" s="241"/>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row>
    <row r="279" spans="2:58" s="9" customFormat="1" ht="11.4">
      <c r="B279" s="81"/>
      <c r="C279" s="81"/>
      <c r="D279" s="81"/>
      <c r="E279" s="81"/>
      <c r="F279" s="81"/>
      <c r="G279" s="81"/>
      <c r="H279" s="81"/>
      <c r="I279" s="81"/>
      <c r="J279" s="81"/>
      <c r="M279" s="90"/>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row>
    <row r="280" spans="2:58" s="9" customFormat="1" ht="11.4">
      <c r="B280" s="81"/>
      <c r="C280" s="81"/>
      <c r="D280" s="81"/>
      <c r="E280" s="81"/>
      <c r="F280" s="81"/>
      <c r="G280" s="81"/>
      <c r="H280" s="81"/>
      <c r="I280" s="81"/>
      <c r="J280" s="81"/>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row>
    <row r="281" spans="2:58" s="9" customFormat="1" ht="26.4">
      <c r="B281" s="242" t="str">
        <f>Translation!C431</f>
        <v>Vaccines1 lookup table</v>
      </c>
      <c r="C281" s="81"/>
      <c r="D281" s="242" t="str">
        <f>Translation!C431</f>
        <v>Vaccines1 lookup table</v>
      </c>
      <c r="E281" s="81"/>
      <c r="F281" s="81"/>
      <c r="G281" s="81"/>
      <c r="H281" s="81"/>
      <c r="I281" s="81"/>
      <c r="J281" s="81"/>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row>
    <row r="282" spans="2:58" s="9" customFormat="1" ht="13.2">
      <c r="B282" s="243" t="str">
        <f>Translation!C432</f>
        <v>DO NOT DELETE</v>
      </c>
      <c r="C282" s="81"/>
      <c r="D282" s="81"/>
      <c r="E282" s="81"/>
      <c r="F282" s="81"/>
      <c r="G282" s="81"/>
      <c r="H282" s="81"/>
      <c r="I282" s="81"/>
      <c r="J282" s="81"/>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row>
    <row r="283" spans="2:58" s="9" customFormat="1" ht="11.4">
      <c r="B283" s="178" t="s">
        <v>2046</v>
      </c>
      <c r="C283" s="81"/>
      <c r="D283" s="81"/>
      <c r="E283" s="81"/>
      <c r="F283" s="81"/>
      <c r="G283" s="81"/>
      <c r="H283" s="81"/>
      <c r="I283" s="81"/>
      <c r="J283" s="81"/>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row>
    <row r="284" spans="2:58" s="9" customFormat="1" ht="11.4">
      <c r="B284" s="51" t="s">
        <v>823</v>
      </c>
      <c r="C284" s="81"/>
      <c r="D284" s="81"/>
      <c r="E284" s="81"/>
      <c r="F284" s="81"/>
      <c r="G284" s="81"/>
      <c r="H284" s="81"/>
      <c r="I284" s="81"/>
      <c r="J284" s="81"/>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row>
    <row r="285" spans="2:58" s="9" customFormat="1" ht="11.4">
      <c r="B285" s="50" t="s">
        <v>1925</v>
      </c>
      <c r="C285" s="81"/>
      <c r="D285" s="81"/>
      <c r="E285" s="81"/>
      <c r="F285" s="81"/>
      <c r="G285" s="81"/>
      <c r="H285" s="81"/>
      <c r="I285" s="81"/>
      <c r="J285" s="81"/>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row>
    <row r="286" spans="2:58" s="9" customFormat="1" ht="11.4">
      <c r="B286" s="51" t="s">
        <v>1688</v>
      </c>
      <c r="C286" s="81"/>
      <c r="D286" s="81"/>
      <c r="E286" s="81"/>
      <c r="F286" s="81"/>
      <c r="G286" s="81"/>
      <c r="H286" s="81"/>
      <c r="I286" s="81"/>
      <c r="J286" s="81"/>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row>
    <row r="287" spans="2:58" s="9" customFormat="1" ht="11.4">
      <c r="B287" s="50" t="s">
        <v>1923</v>
      </c>
      <c r="C287" s="81"/>
      <c r="D287" s="81"/>
      <c r="E287" s="81"/>
      <c r="F287" s="81"/>
      <c r="G287" s="81"/>
      <c r="H287" s="81"/>
      <c r="I287" s="81"/>
      <c r="J287" s="81"/>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row>
    <row r="288" spans="2:58" s="9" customFormat="1" ht="11.4">
      <c r="B288" s="51" t="s">
        <v>922</v>
      </c>
      <c r="C288" s="81"/>
      <c r="D288" s="81"/>
      <c r="E288" s="81"/>
      <c r="F288" s="81"/>
      <c r="G288" s="81"/>
      <c r="H288" s="81"/>
      <c r="I288" s="81"/>
      <c r="J288" s="81"/>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row>
    <row r="289" spans="2:58" s="9" customFormat="1" ht="11.4">
      <c r="B289" s="50" t="s">
        <v>987</v>
      </c>
      <c r="C289" s="81"/>
      <c r="D289" s="81"/>
      <c r="E289" s="81"/>
      <c r="F289" s="81"/>
      <c r="G289" s="81"/>
      <c r="H289" s="81"/>
      <c r="I289" s="81"/>
      <c r="J289" s="81"/>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row>
    <row r="290" spans="2:58" s="9" customFormat="1" ht="11.4">
      <c r="B290" s="51" t="s">
        <v>1956</v>
      </c>
      <c r="C290" s="81"/>
      <c r="D290" s="81"/>
      <c r="E290" s="81"/>
      <c r="F290" s="81"/>
      <c r="G290" s="81"/>
      <c r="H290" s="81"/>
      <c r="I290" s="81"/>
      <c r="J290" s="81"/>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row>
    <row r="291" spans="2:58" s="9" customFormat="1" ht="11.4">
      <c r="B291" s="51" t="s">
        <v>1549</v>
      </c>
      <c r="C291" s="81"/>
      <c r="D291" s="81"/>
      <c r="E291" s="81"/>
      <c r="F291" s="81"/>
      <c r="G291" s="81"/>
      <c r="H291" s="81"/>
      <c r="I291" s="81"/>
      <c r="J291" s="81"/>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row>
    <row r="292" spans="2:58" s="9" customFormat="1" ht="11.4">
      <c r="B292" s="10" t="s">
        <v>1081</v>
      </c>
      <c r="C292" s="81"/>
      <c r="D292" s="81"/>
      <c r="E292" s="81"/>
      <c r="F292" s="81"/>
      <c r="G292" s="81"/>
      <c r="H292" s="81"/>
      <c r="I292" s="81"/>
      <c r="J292" s="81"/>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row>
    <row r="293" spans="2:58" s="9" customFormat="1" ht="11.4">
      <c r="B293" s="51" t="s">
        <v>1798</v>
      </c>
      <c r="C293" s="81"/>
      <c r="D293" s="81"/>
      <c r="E293" s="81"/>
      <c r="F293" s="81"/>
      <c r="G293" s="81"/>
      <c r="H293" s="81"/>
      <c r="I293" s="81"/>
      <c r="J293" s="81"/>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row>
    <row r="294" spans="2:58" s="9" customFormat="1" ht="11.4">
      <c r="B294" s="10" t="s">
        <v>2097</v>
      </c>
      <c r="C294" s="81"/>
      <c r="D294" s="81"/>
      <c r="E294" s="81"/>
      <c r="F294" s="81"/>
      <c r="G294" s="81"/>
      <c r="H294" s="81"/>
      <c r="I294" s="81"/>
      <c r="J294" s="81"/>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row>
    <row r="295" spans="2:58" s="9" customFormat="1" ht="11.4">
      <c r="B295" s="10" t="s">
        <v>2150</v>
      </c>
      <c r="C295" s="81"/>
      <c r="D295" s="81"/>
      <c r="E295" s="81"/>
      <c r="F295" s="81"/>
      <c r="G295" s="81"/>
      <c r="H295" s="81"/>
      <c r="I295" s="81"/>
      <c r="J295" s="81"/>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row>
    <row r="296" spans="2:58" s="9" customFormat="1" ht="11.4">
      <c r="B296" s="51" t="s">
        <v>2023</v>
      </c>
      <c r="C296" s="81"/>
      <c r="D296" s="81"/>
      <c r="E296" s="81"/>
      <c r="F296" s="81"/>
      <c r="G296" s="81"/>
      <c r="H296" s="81"/>
      <c r="I296" s="81"/>
      <c r="J296" s="81"/>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row>
    <row r="297" spans="2:58" s="9" customFormat="1" ht="11.4">
      <c r="B297" s="51" t="s">
        <v>1948</v>
      </c>
      <c r="C297" s="81"/>
      <c r="D297" s="81"/>
      <c r="E297" s="81"/>
      <c r="F297" s="81"/>
      <c r="G297" s="81"/>
      <c r="H297" s="81"/>
      <c r="I297" s="81"/>
      <c r="J297" s="81"/>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row>
    <row r="298" spans="2:58" s="9" customFormat="1" ht="11.4">
      <c r="B298" s="51" t="s">
        <v>599</v>
      </c>
      <c r="C298" s="81"/>
      <c r="D298" s="81"/>
      <c r="E298" s="81"/>
      <c r="F298" s="81"/>
      <c r="G298" s="81"/>
      <c r="H298" s="81"/>
      <c r="I298" s="81"/>
      <c r="J298" s="81"/>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row>
    <row r="299" spans="2:58" s="9" customFormat="1" ht="11.4">
      <c r="B299" s="51" t="s">
        <v>600</v>
      </c>
      <c r="C299" s="81"/>
      <c r="D299" s="81"/>
      <c r="E299" s="81"/>
      <c r="F299" s="81"/>
      <c r="G299" s="81"/>
      <c r="H299" s="81"/>
      <c r="I299" s="81"/>
      <c r="J299" s="81"/>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row>
    <row r="300" spans="2:58" s="9" customFormat="1" ht="11.4">
      <c r="B300" s="10" t="s">
        <v>648</v>
      </c>
      <c r="C300" s="81"/>
      <c r="D300" s="81"/>
      <c r="E300" s="81"/>
      <c r="F300" s="81"/>
      <c r="G300" s="81"/>
      <c r="H300" s="81"/>
      <c r="I300" s="81"/>
      <c r="J300" s="81"/>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row>
    <row r="301" spans="2:58" s="9" customFormat="1" ht="11.4">
      <c r="B301" s="51" t="s">
        <v>384</v>
      </c>
      <c r="C301" s="81"/>
      <c r="D301" s="81"/>
      <c r="E301" s="81"/>
      <c r="F301" s="81"/>
      <c r="G301" s="81"/>
      <c r="H301" s="81"/>
      <c r="I301" s="81"/>
      <c r="J301" s="81"/>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row>
    <row r="302" spans="2:58" s="9" customFormat="1" ht="11.4">
      <c r="B302" s="51" t="s">
        <v>1803</v>
      </c>
      <c r="C302" s="81"/>
      <c r="D302" s="81"/>
      <c r="E302" s="81"/>
      <c r="F302" s="81"/>
      <c r="G302" s="81"/>
      <c r="H302" s="81"/>
      <c r="I302" s="81"/>
      <c r="J302" s="81"/>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row>
    <row r="303" spans="2:58" s="9" customFormat="1" ht="11.4">
      <c r="B303" s="51" t="s">
        <v>1852</v>
      </c>
      <c r="C303" s="81"/>
      <c r="D303" s="81"/>
      <c r="E303" s="81"/>
      <c r="F303" s="81"/>
      <c r="G303" s="81"/>
      <c r="H303" s="81"/>
      <c r="I303" s="81"/>
      <c r="J303" s="81"/>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row>
    <row r="304" spans="2:58" s="9" customFormat="1" ht="11.4">
      <c r="B304" s="51" t="s">
        <v>1935</v>
      </c>
      <c r="C304" s="81"/>
      <c r="D304" s="81"/>
      <c r="E304" s="81"/>
      <c r="F304" s="81"/>
      <c r="G304" s="81"/>
      <c r="H304" s="81"/>
      <c r="I304" s="81"/>
      <c r="J304" s="81"/>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row>
    <row r="305" spans="2:58" s="9" customFormat="1" ht="11.4">
      <c r="B305" s="51" t="s">
        <v>1945</v>
      </c>
      <c r="C305" s="81"/>
      <c r="D305" s="81"/>
      <c r="E305" s="81"/>
      <c r="F305" s="81"/>
      <c r="G305" s="81"/>
      <c r="H305" s="81"/>
      <c r="I305" s="81"/>
      <c r="J305" s="81"/>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row>
    <row r="306" spans="2:58" s="9" customFormat="1" ht="11.4">
      <c r="B306" s="51" t="s">
        <v>1940</v>
      </c>
      <c r="C306" s="81"/>
      <c r="D306" s="81"/>
      <c r="E306" s="81"/>
      <c r="F306" s="81"/>
      <c r="G306" s="81"/>
      <c r="H306" s="81"/>
      <c r="I306" s="81"/>
      <c r="J306" s="81"/>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row>
    <row r="307" spans="2:58" s="9" customFormat="1" ht="11.4">
      <c r="B307" s="51" t="s">
        <v>1570</v>
      </c>
      <c r="C307" s="81"/>
      <c r="D307" s="81"/>
      <c r="E307" s="81"/>
      <c r="F307" s="81"/>
      <c r="G307" s="81"/>
      <c r="H307" s="81"/>
      <c r="I307" s="81"/>
      <c r="J307" s="81"/>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row>
    <row r="308" spans="2:58" s="9" customFormat="1" ht="11.4">
      <c r="B308" s="51" t="s">
        <v>1571</v>
      </c>
      <c r="C308" s="81"/>
      <c r="D308" s="81"/>
      <c r="E308" s="81"/>
      <c r="F308" s="81"/>
      <c r="G308" s="81"/>
      <c r="H308" s="81"/>
      <c r="I308" s="81"/>
      <c r="J308" s="81"/>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row>
    <row r="309" spans="2:58" s="9" customFormat="1" ht="11.4">
      <c r="B309" s="51" t="s">
        <v>1938</v>
      </c>
      <c r="C309" s="81"/>
      <c r="D309" s="81"/>
      <c r="E309" s="81"/>
      <c r="F309" s="81"/>
      <c r="G309" s="81"/>
      <c r="H309" s="81"/>
      <c r="I309" s="81"/>
      <c r="J309" s="81"/>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row>
    <row r="310" spans="2:58" s="9" customFormat="1" ht="11.4">
      <c r="B310" s="51" t="s">
        <v>1943</v>
      </c>
      <c r="C310" s="81"/>
      <c r="D310" s="81"/>
      <c r="E310" s="81"/>
      <c r="F310" s="81"/>
      <c r="G310" s="81"/>
      <c r="H310" s="81"/>
      <c r="I310" s="81"/>
      <c r="J310" s="81"/>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row>
    <row r="311" spans="2:58" s="9" customFormat="1" ht="11.4">
      <c r="B311" s="51" t="s">
        <v>779</v>
      </c>
      <c r="C311" s="81"/>
      <c r="D311" s="81"/>
      <c r="E311" s="81"/>
      <c r="F311" s="81"/>
      <c r="G311" s="81"/>
      <c r="H311" s="81"/>
      <c r="I311" s="81"/>
      <c r="J311" s="81"/>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row>
    <row r="312" spans="2:58" s="9" customFormat="1" ht="11.4">
      <c r="B312" s="50" t="s">
        <v>2191</v>
      </c>
      <c r="C312" s="81"/>
      <c r="D312" s="81"/>
      <c r="E312" s="81"/>
      <c r="F312" s="81"/>
      <c r="G312" s="81"/>
      <c r="H312" s="81"/>
      <c r="I312" s="81"/>
      <c r="J312" s="81"/>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row>
    <row r="313" spans="2:58" s="9" customFormat="1" ht="11.4">
      <c r="B313" s="10" t="s">
        <v>1932</v>
      </c>
      <c r="C313" s="81"/>
      <c r="D313" s="81"/>
      <c r="E313" s="81"/>
      <c r="F313" s="81"/>
      <c r="G313" s="81"/>
      <c r="H313" s="81"/>
      <c r="I313" s="81"/>
      <c r="J313" s="81"/>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row>
    <row r="314" spans="2:58" s="9" customFormat="1" ht="11.4">
      <c r="B314" s="10" t="s">
        <v>935</v>
      </c>
      <c r="C314" s="81"/>
      <c r="D314" s="81"/>
      <c r="E314" s="81"/>
      <c r="F314" s="81"/>
      <c r="G314" s="81"/>
      <c r="H314" s="81"/>
      <c r="I314" s="81"/>
      <c r="J314" s="81"/>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row>
    <row r="315" spans="2:58" s="9" customFormat="1" ht="11.4">
      <c r="B315" s="10" t="s">
        <v>669</v>
      </c>
      <c r="C315" s="81"/>
      <c r="D315" s="81"/>
      <c r="E315" s="81"/>
      <c r="F315" s="81"/>
      <c r="G315" s="81"/>
      <c r="H315" s="81"/>
      <c r="I315" s="81"/>
      <c r="J315" s="81"/>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row>
    <row r="316" spans="2:58" s="9" customFormat="1" ht="11.4">
      <c r="B316" s="10" t="s">
        <v>778</v>
      </c>
      <c r="C316" s="81"/>
      <c r="D316" s="81"/>
      <c r="E316" s="81"/>
      <c r="F316" s="81"/>
      <c r="G316" s="81"/>
      <c r="H316" s="81"/>
      <c r="I316" s="81"/>
      <c r="J316" s="81"/>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row>
    <row r="317" spans="2:58" s="9" customFormat="1" ht="11.4">
      <c r="B317" s="10" t="s">
        <v>1599</v>
      </c>
      <c r="C317" s="81"/>
      <c r="D317" s="81"/>
      <c r="E317" s="81"/>
      <c r="F317" s="81"/>
      <c r="G317" s="81"/>
      <c r="H317" s="81"/>
      <c r="I317" s="81"/>
      <c r="J317" s="81"/>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row>
    <row r="318" spans="2:58" s="9" customFormat="1" ht="11.4">
      <c r="B318" s="50" t="s">
        <v>1584</v>
      </c>
      <c r="C318" s="81"/>
      <c r="D318" s="81"/>
      <c r="E318" s="81"/>
      <c r="F318" s="81"/>
      <c r="G318" s="81"/>
      <c r="H318" s="81"/>
      <c r="I318" s="81"/>
      <c r="J318" s="81"/>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row>
    <row r="319" spans="2:58" s="9" customFormat="1" ht="11.4">
      <c r="B319" s="50" t="s">
        <v>602</v>
      </c>
      <c r="C319" s="81"/>
      <c r="D319" s="81"/>
      <c r="E319" s="81"/>
      <c r="F319" s="81"/>
      <c r="G319" s="81"/>
      <c r="H319" s="81"/>
      <c r="I319" s="81"/>
      <c r="J319" s="81"/>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row>
    <row r="320" spans="2:58" s="9" customFormat="1" ht="11.4">
      <c r="B320" s="51" t="s">
        <v>601</v>
      </c>
      <c r="C320" s="81"/>
      <c r="D320" s="81"/>
      <c r="E320" s="81"/>
      <c r="F320" s="81"/>
      <c r="G320" s="81"/>
      <c r="H320" s="81"/>
      <c r="I320" s="81"/>
      <c r="J320" s="81"/>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row>
    <row r="321" spans="2:58" s="9" customFormat="1" ht="11.4">
      <c r="B321" s="51" t="s">
        <v>965</v>
      </c>
      <c r="C321" s="81"/>
      <c r="D321" s="81"/>
      <c r="E321" s="81"/>
      <c r="F321" s="81"/>
      <c r="G321" s="81"/>
      <c r="H321" s="81"/>
      <c r="I321" s="81"/>
      <c r="J321" s="81"/>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row>
    <row r="322" spans="2:58" s="9" customFormat="1" ht="11.4">
      <c r="B322" s="51" t="s">
        <v>1927</v>
      </c>
      <c r="C322" s="81"/>
      <c r="D322" s="81"/>
      <c r="E322" s="81"/>
      <c r="F322" s="81"/>
      <c r="G322" s="81"/>
      <c r="H322" s="81"/>
      <c r="I322" s="81"/>
      <c r="J322" s="81"/>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row>
    <row r="323" spans="2:58" s="9" customFormat="1" ht="11.4">
      <c r="B323" s="51" t="s">
        <v>1929</v>
      </c>
      <c r="C323" s="81"/>
      <c r="D323" s="81"/>
      <c r="E323" s="81"/>
      <c r="F323" s="81"/>
      <c r="G323" s="81"/>
      <c r="H323" s="81"/>
      <c r="I323" s="81"/>
      <c r="J323" s="81"/>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row>
    <row r="324" spans="2:58" s="9" customFormat="1" ht="11.4">
      <c r="B324" s="51" t="s">
        <v>1693</v>
      </c>
      <c r="C324" s="81"/>
      <c r="D324" s="81"/>
      <c r="E324" s="81"/>
      <c r="F324" s="81"/>
      <c r="G324" s="81"/>
      <c r="H324" s="81"/>
      <c r="I324" s="81"/>
      <c r="J324" s="81"/>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row>
    <row r="325" spans="2:58" s="9" customFormat="1" ht="11.4">
      <c r="B325" s="51" t="s">
        <v>1941</v>
      </c>
      <c r="C325" s="81"/>
      <c r="D325" s="81"/>
      <c r="E325" s="81"/>
      <c r="F325" s="81"/>
      <c r="G325" s="81"/>
      <c r="H325" s="81"/>
      <c r="I325" s="81"/>
      <c r="J325" s="81"/>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row>
    <row r="326" spans="2:58" s="9" customFormat="1" ht="11.4">
      <c r="B326" s="51"/>
      <c r="C326" s="81"/>
      <c r="D326" s="81"/>
      <c r="E326" s="81"/>
      <c r="F326" s="81"/>
      <c r="G326" s="81"/>
      <c r="H326" s="81"/>
      <c r="I326" s="81"/>
      <c r="J326" s="81"/>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row>
    <row r="327" spans="2:58" s="9" customFormat="1" ht="11.4">
      <c r="B327" s="51"/>
      <c r="C327" s="81"/>
      <c r="D327" s="81"/>
      <c r="E327" s="81"/>
      <c r="F327" s="81"/>
      <c r="G327" s="81"/>
      <c r="H327" s="81"/>
      <c r="I327" s="81"/>
      <c r="J327" s="81"/>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row>
    <row r="328" spans="2:58" s="9" customFormat="1" ht="11.4">
      <c r="B328" s="51"/>
      <c r="C328" s="81"/>
      <c r="D328" s="81"/>
      <c r="E328" s="81"/>
      <c r="F328" s="81"/>
      <c r="G328" s="81"/>
      <c r="H328" s="81"/>
      <c r="I328" s="81"/>
      <c r="J328" s="81"/>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row>
    <row r="329" spans="2:58" s="9" customFormat="1" ht="11.4">
      <c r="B329" s="10"/>
      <c r="C329" s="81"/>
      <c r="D329" s="81"/>
      <c r="E329" s="81"/>
      <c r="F329" s="81"/>
      <c r="G329" s="81"/>
      <c r="H329" s="81"/>
      <c r="I329" s="81"/>
      <c r="J329" s="81"/>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row>
    <row r="330" spans="2:58" s="9" customFormat="1" ht="11.4">
      <c r="B330" s="51"/>
      <c r="C330" s="81"/>
      <c r="D330" s="81"/>
      <c r="E330" s="81"/>
      <c r="F330" s="81"/>
      <c r="G330" s="81"/>
      <c r="H330" s="81"/>
      <c r="I330" s="81"/>
      <c r="J330" s="81"/>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row>
    <row r="331" spans="2:58" s="9" customFormat="1" ht="11.4">
      <c r="B331" s="51"/>
      <c r="C331" s="81"/>
      <c r="D331" s="81"/>
      <c r="E331" s="81"/>
      <c r="F331" s="81"/>
      <c r="G331" s="81"/>
      <c r="H331" s="81"/>
      <c r="I331" s="81"/>
      <c r="J331" s="81"/>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row>
    <row r="332" spans="2:58" s="9" customFormat="1" ht="11.4">
      <c r="B332" s="51"/>
      <c r="C332" s="81"/>
      <c r="D332" s="81"/>
      <c r="E332" s="81"/>
      <c r="F332" s="81"/>
      <c r="G332" s="81"/>
      <c r="H332" s="81"/>
      <c r="I332" s="81"/>
      <c r="J332" s="81"/>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row>
    <row r="333" spans="2:58" s="9" customFormat="1" ht="11.4">
      <c r="B333" s="51"/>
      <c r="C333" s="81"/>
      <c r="D333" s="81"/>
      <c r="E333" s="81"/>
      <c r="F333" s="81"/>
      <c r="G333" s="81"/>
      <c r="H333" s="81"/>
      <c r="I333" s="81"/>
      <c r="J333" s="81"/>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row>
    <row r="334" spans="2:58" s="9" customFormat="1" ht="11.4">
      <c r="B334" s="51"/>
      <c r="C334" s="81"/>
      <c r="D334" s="81"/>
      <c r="E334" s="81"/>
      <c r="F334" s="81"/>
      <c r="G334" s="81"/>
      <c r="H334" s="81"/>
      <c r="I334" s="81"/>
      <c r="J334" s="81"/>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row>
    <row r="335" spans="2:58" s="9" customFormat="1" ht="11.4">
      <c r="B335" s="10"/>
      <c r="C335" s="81"/>
      <c r="D335" s="81"/>
      <c r="E335" s="81"/>
      <c r="F335" s="81"/>
      <c r="G335" s="81"/>
      <c r="H335" s="81"/>
      <c r="I335" s="81"/>
      <c r="J335" s="81"/>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row>
    <row r="336" spans="2:58" s="9" customFormat="1" ht="11.4">
      <c r="B336" s="81"/>
      <c r="C336" s="81"/>
      <c r="D336" s="81"/>
      <c r="E336" s="81"/>
      <c r="F336" s="81"/>
      <c r="G336" s="81"/>
      <c r="H336" s="81"/>
      <c r="I336" s="81"/>
      <c r="J336" s="81"/>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row>
    <row r="337" spans="2:58" s="9" customFormat="1" ht="11.4">
      <c r="B337" s="81"/>
      <c r="C337" s="81"/>
      <c r="D337" s="81"/>
      <c r="E337" s="81"/>
      <c r="F337" s="81"/>
      <c r="G337" s="81"/>
      <c r="H337" s="81"/>
      <c r="I337" s="81"/>
      <c r="J337" s="81"/>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row>
    <row r="338" spans="2:58" s="9" customFormat="1" ht="11.4">
      <c r="B338" s="81"/>
      <c r="C338" s="81"/>
      <c r="D338" s="81"/>
      <c r="E338" s="81"/>
      <c r="F338" s="81"/>
      <c r="G338" s="81"/>
      <c r="H338" s="81"/>
      <c r="I338" s="81"/>
      <c r="J338" s="81"/>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row>
    <row r="339" spans="2:58" s="9" customFormat="1" ht="11.4">
      <c r="B339" s="81"/>
      <c r="C339" s="81"/>
      <c r="D339" s="81"/>
      <c r="E339" s="81"/>
      <c r="F339" s="81"/>
      <c r="G339" s="81"/>
      <c r="H339" s="81"/>
      <c r="I339" s="81"/>
      <c r="J339" s="81"/>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row>
    <row r="340" spans="2:58" s="9" customFormat="1" ht="11.4">
      <c r="B340" s="81"/>
      <c r="C340" s="81"/>
      <c r="D340" s="81"/>
      <c r="E340" s="81"/>
      <c r="F340" s="81"/>
      <c r="G340" s="81"/>
      <c r="H340" s="81"/>
      <c r="I340" s="81"/>
      <c r="J340" s="81"/>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row>
    <row r="341" spans="2:58" s="9" customFormat="1" ht="11.4">
      <c r="B341" s="81"/>
      <c r="C341" s="81"/>
      <c r="D341" s="81"/>
      <c r="E341" s="81"/>
      <c r="F341" s="81"/>
      <c r="G341" s="81"/>
      <c r="H341" s="81"/>
      <c r="I341" s="81"/>
      <c r="J341" s="81"/>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row>
    <row r="342" spans="2:58" s="9" customFormat="1" ht="11.4">
      <c r="B342" s="81"/>
      <c r="C342" s="81"/>
      <c r="D342" s="81"/>
      <c r="E342" s="81"/>
      <c r="F342" s="81"/>
      <c r="G342" s="81"/>
      <c r="H342" s="81"/>
      <c r="I342" s="81"/>
      <c r="J342" s="81"/>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row>
    <row r="343" spans="2:58" s="9" customFormat="1" ht="11.4">
      <c r="B343" s="81"/>
      <c r="C343" s="81"/>
      <c r="D343" s="81"/>
      <c r="E343" s="81"/>
      <c r="F343" s="81"/>
      <c r="G343" s="81"/>
      <c r="H343" s="81"/>
      <c r="I343" s="81"/>
      <c r="J343" s="81"/>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row>
    <row r="344" spans="2:58" s="9" customFormat="1" ht="11.4">
      <c r="B344" s="81"/>
      <c r="C344" s="81"/>
      <c r="D344" s="81"/>
      <c r="E344" s="81"/>
      <c r="F344" s="81"/>
      <c r="G344" s="81"/>
      <c r="H344" s="81"/>
      <c r="I344" s="81"/>
      <c r="J344" s="81"/>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row>
    <row r="345" spans="2:58" s="9" customFormat="1" ht="11.4">
      <c r="B345" s="81"/>
      <c r="C345" s="81"/>
      <c r="D345" s="81"/>
      <c r="E345" s="81"/>
      <c r="F345" s="81"/>
      <c r="G345" s="81"/>
      <c r="H345" s="81"/>
      <c r="I345" s="81"/>
      <c r="J345" s="81"/>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row>
    <row r="346" spans="2:58" s="9" customFormat="1" ht="11.4">
      <c r="B346" s="81"/>
      <c r="C346" s="81"/>
      <c r="D346" s="81"/>
      <c r="E346" s="81"/>
      <c r="F346" s="81"/>
      <c r="G346" s="81"/>
      <c r="H346" s="81"/>
      <c r="I346" s="81"/>
      <c r="J346" s="81"/>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row>
    <row r="347" spans="2:58" s="9" customFormat="1" ht="11.4">
      <c r="B347" s="81"/>
      <c r="C347" s="81"/>
      <c r="D347" s="81"/>
      <c r="E347" s="81"/>
      <c r="F347" s="81"/>
      <c r="G347" s="81"/>
      <c r="H347" s="81"/>
      <c r="I347" s="81"/>
      <c r="J347" s="81"/>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row>
    <row r="348" spans="2:58" s="9" customFormat="1" ht="11.4">
      <c r="B348" s="81"/>
      <c r="C348" s="81"/>
      <c r="D348" s="81"/>
      <c r="E348" s="81"/>
      <c r="F348" s="81"/>
      <c r="G348" s="81"/>
      <c r="H348" s="81"/>
      <c r="I348" s="81"/>
      <c r="J348" s="81"/>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row>
    <row r="349" spans="2:58" s="9" customFormat="1" ht="11.4">
      <c r="B349" s="81"/>
      <c r="C349" s="81"/>
      <c r="D349" s="81"/>
      <c r="E349" s="81"/>
      <c r="F349" s="81"/>
      <c r="G349" s="81"/>
      <c r="H349" s="81"/>
      <c r="I349" s="81"/>
      <c r="J349" s="81"/>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row>
    <row r="350" spans="2:58" s="9" customFormat="1" ht="11.4">
      <c r="B350" s="81"/>
      <c r="C350" s="81"/>
      <c r="D350" s="81"/>
      <c r="E350" s="81"/>
      <c r="F350" s="81"/>
      <c r="G350" s="81"/>
      <c r="H350" s="81"/>
      <c r="I350" s="81"/>
      <c r="J350" s="81"/>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row>
    <row r="351" spans="2:58" s="9" customFormat="1" ht="11.4">
      <c r="B351" s="81"/>
      <c r="C351" s="81"/>
      <c r="D351" s="81"/>
      <c r="E351" s="81"/>
      <c r="F351" s="81"/>
      <c r="G351" s="81"/>
      <c r="H351" s="81"/>
      <c r="I351" s="81"/>
      <c r="J351" s="81"/>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row>
    <row r="352" spans="2:58" s="9" customFormat="1" ht="11.4">
      <c r="B352" s="81"/>
      <c r="C352" s="81"/>
      <c r="D352" s="81"/>
      <c r="E352" s="81"/>
      <c r="F352" s="81"/>
      <c r="G352" s="81"/>
      <c r="H352" s="81"/>
      <c r="I352" s="81"/>
      <c r="J352" s="81"/>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row>
    <row r="353" spans="2:58" s="9" customFormat="1" ht="11.4">
      <c r="B353" s="81"/>
      <c r="C353" s="81"/>
      <c r="D353" s="81"/>
      <c r="E353" s="81"/>
      <c r="F353" s="81"/>
      <c r="G353" s="81"/>
      <c r="H353" s="81"/>
      <c r="I353" s="81"/>
      <c r="J353" s="81"/>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row>
    <row r="354" spans="2:58" s="9" customFormat="1" ht="11.4">
      <c r="B354" s="81"/>
      <c r="C354" s="81"/>
      <c r="D354" s="81"/>
      <c r="E354" s="81"/>
      <c r="F354" s="81"/>
      <c r="G354" s="81"/>
      <c r="H354" s="81"/>
      <c r="I354" s="81"/>
      <c r="J354" s="81"/>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row>
    <row r="355" spans="2:58" s="9" customFormat="1" ht="11.4">
      <c r="B355" s="81"/>
      <c r="C355" s="81"/>
      <c r="D355" s="81"/>
      <c r="E355" s="81"/>
      <c r="F355" s="81"/>
      <c r="G355" s="81"/>
      <c r="H355" s="81"/>
      <c r="I355" s="81"/>
      <c r="J355" s="81"/>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row>
    <row r="356" spans="2:58" s="9" customFormat="1" ht="11.4">
      <c r="B356" s="81"/>
      <c r="C356" s="81"/>
      <c r="D356" s="81"/>
      <c r="E356" s="81"/>
      <c r="F356" s="81"/>
      <c r="G356" s="81"/>
      <c r="H356" s="81"/>
      <c r="I356" s="81"/>
      <c r="J356" s="81"/>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row>
    <row r="357" spans="2:58" s="9" customFormat="1" ht="11.4">
      <c r="B357" s="81"/>
      <c r="C357" s="81"/>
      <c r="D357" s="81"/>
      <c r="E357" s="81"/>
      <c r="F357" s="81"/>
      <c r="G357" s="81"/>
      <c r="H357" s="81"/>
      <c r="I357" s="81"/>
      <c r="J357" s="81"/>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row>
    <row r="358" spans="2:58" s="9" customFormat="1" ht="11.4">
      <c r="B358" s="81"/>
      <c r="C358" s="81"/>
      <c r="D358" s="81"/>
      <c r="E358" s="81"/>
      <c r="F358" s="81"/>
      <c r="G358" s="81"/>
      <c r="H358" s="81"/>
      <c r="I358" s="81"/>
      <c r="J358" s="81"/>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row>
    <row r="359" spans="2:58" s="9" customFormat="1" ht="11.4">
      <c r="B359" s="81"/>
      <c r="C359" s="81"/>
      <c r="D359" s="81"/>
      <c r="E359" s="81"/>
      <c r="F359" s="81"/>
      <c r="G359" s="81"/>
      <c r="H359" s="81"/>
      <c r="I359" s="81"/>
      <c r="J359" s="81"/>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row>
    <row r="360" spans="2:58" s="9" customFormat="1" ht="11.4">
      <c r="B360" s="81"/>
      <c r="C360" s="81"/>
      <c r="D360" s="81"/>
      <c r="E360" s="81"/>
      <c r="F360" s="81"/>
      <c r="G360" s="81"/>
      <c r="H360" s="81"/>
      <c r="I360" s="81"/>
      <c r="J360" s="81"/>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row>
    <row r="361" spans="2:58" s="9" customFormat="1" ht="11.4">
      <c r="B361" s="81"/>
      <c r="C361" s="81"/>
      <c r="D361" s="81"/>
      <c r="E361" s="81"/>
      <c r="F361" s="81"/>
      <c r="G361" s="81"/>
      <c r="H361" s="81"/>
      <c r="I361" s="81"/>
      <c r="J361" s="81"/>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row>
    <row r="362" spans="2:58" s="9" customFormat="1" ht="11.4">
      <c r="B362" s="81"/>
      <c r="C362" s="81"/>
      <c r="D362" s="81"/>
      <c r="E362" s="81"/>
      <c r="F362" s="81"/>
      <c r="G362" s="81"/>
      <c r="H362" s="81"/>
      <c r="I362" s="81"/>
      <c r="J362" s="81"/>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row>
    <row r="363" spans="2:58" s="9" customFormat="1" ht="11.4">
      <c r="B363" s="81"/>
      <c r="C363" s="81"/>
      <c r="D363" s="81"/>
      <c r="E363" s="81"/>
      <c r="F363" s="81"/>
      <c r="G363" s="81"/>
      <c r="H363" s="81"/>
      <c r="I363" s="81"/>
      <c r="J363" s="81"/>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row>
    <row r="364" spans="2:58" s="9" customFormat="1" ht="11.4">
      <c r="B364" s="81"/>
      <c r="C364" s="81"/>
      <c r="D364" s="81"/>
      <c r="E364" s="81"/>
      <c r="F364" s="81"/>
      <c r="G364" s="81"/>
      <c r="H364" s="81"/>
      <c r="I364" s="81"/>
      <c r="J364" s="81"/>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row>
    <row r="365" spans="2:58" s="9" customFormat="1" ht="11.4">
      <c r="B365" s="81"/>
      <c r="C365" s="81"/>
      <c r="D365" s="81"/>
      <c r="E365" s="81"/>
      <c r="F365" s="81"/>
      <c r="G365" s="81"/>
      <c r="H365" s="81"/>
      <c r="I365" s="81"/>
      <c r="J365" s="81"/>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row>
    <row r="366" spans="2:58" s="9" customFormat="1" ht="11.4">
      <c r="B366" s="81"/>
      <c r="C366" s="81"/>
      <c r="D366" s="81"/>
      <c r="E366" s="81"/>
      <c r="F366" s="81"/>
      <c r="G366" s="81"/>
      <c r="H366" s="81"/>
      <c r="I366" s="81"/>
      <c r="J366" s="81"/>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row>
    <row r="367" spans="2:58" s="9" customFormat="1" ht="11.4">
      <c r="B367" s="81"/>
      <c r="C367" s="81"/>
      <c r="D367" s="81"/>
      <c r="E367" s="81"/>
      <c r="F367" s="81"/>
      <c r="G367" s="81"/>
      <c r="H367" s="81"/>
      <c r="I367" s="81"/>
      <c r="J367" s="81"/>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row>
    <row r="368" spans="2:58" s="9" customFormat="1" ht="11.4">
      <c r="B368" s="81"/>
      <c r="C368" s="81"/>
      <c r="D368" s="81"/>
      <c r="E368" s="81"/>
      <c r="F368" s="81"/>
      <c r="G368" s="81"/>
      <c r="H368" s="81"/>
      <c r="I368" s="81"/>
      <c r="J368" s="81"/>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row>
    <row r="369" spans="2:58" s="9" customFormat="1" ht="11.4">
      <c r="B369" s="81"/>
      <c r="C369" s="81"/>
      <c r="D369" s="81"/>
      <c r="E369" s="81"/>
      <c r="F369" s="81"/>
      <c r="G369" s="81"/>
      <c r="H369" s="81"/>
      <c r="I369" s="81"/>
      <c r="J369" s="81"/>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row>
    <row r="370" spans="2:58" s="9" customFormat="1" ht="11.4">
      <c r="B370" s="81"/>
      <c r="C370" s="81"/>
      <c r="D370" s="81"/>
      <c r="E370" s="81"/>
      <c r="F370" s="81"/>
      <c r="G370" s="81"/>
      <c r="H370" s="81"/>
      <c r="I370" s="81"/>
      <c r="J370" s="81"/>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row>
    <row r="371" spans="2:58" s="9" customFormat="1" ht="11.4">
      <c r="B371" s="81"/>
      <c r="C371" s="81"/>
      <c r="D371" s="81"/>
      <c r="E371" s="81"/>
      <c r="F371" s="81"/>
      <c r="G371" s="81"/>
      <c r="H371" s="81"/>
      <c r="I371" s="81"/>
      <c r="J371" s="81"/>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row>
    <row r="372" spans="2:58" s="9" customFormat="1" ht="11.4">
      <c r="B372" s="81"/>
      <c r="C372" s="81"/>
      <c r="D372" s="81"/>
      <c r="E372" s="81"/>
      <c r="F372" s="81"/>
      <c r="G372" s="81"/>
      <c r="H372" s="81"/>
      <c r="I372" s="81"/>
      <c r="J372" s="81"/>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row>
    <row r="373" spans="2:58" s="9" customFormat="1" ht="11.4">
      <c r="B373" s="81"/>
      <c r="C373" s="81"/>
      <c r="D373" s="81"/>
      <c r="E373" s="81"/>
      <c r="F373" s="81"/>
      <c r="G373" s="81"/>
      <c r="H373" s="81"/>
      <c r="I373" s="81"/>
      <c r="J373" s="81"/>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row>
    <row r="374" spans="2:58" s="9" customFormat="1" ht="11.4">
      <c r="B374" s="81"/>
      <c r="C374" s="81"/>
      <c r="D374" s="81"/>
      <c r="E374" s="81"/>
      <c r="F374" s="81"/>
      <c r="G374" s="81"/>
      <c r="H374" s="81"/>
      <c r="I374" s="81"/>
      <c r="J374" s="81"/>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row>
    <row r="375" spans="2:58" s="9" customFormat="1" ht="11.4">
      <c r="B375" s="81"/>
      <c r="C375" s="81"/>
      <c r="D375" s="81"/>
      <c r="E375" s="81"/>
      <c r="F375" s="81"/>
      <c r="G375" s="81"/>
      <c r="H375" s="81"/>
      <c r="I375" s="81"/>
      <c r="J375" s="81"/>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row>
    <row r="376" spans="2:58" s="9" customFormat="1" ht="11.4">
      <c r="B376" s="81"/>
      <c r="C376" s="81"/>
      <c r="D376" s="81"/>
      <c r="E376" s="81"/>
      <c r="F376" s="81"/>
      <c r="G376" s="81"/>
      <c r="H376" s="81"/>
      <c r="I376" s="81"/>
      <c r="J376" s="81"/>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row>
    <row r="377" spans="2:58" s="9" customFormat="1" ht="11.4">
      <c r="B377" s="81"/>
      <c r="C377" s="81"/>
      <c r="D377" s="81"/>
      <c r="E377" s="81"/>
      <c r="F377" s="81"/>
      <c r="G377" s="81"/>
      <c r="H377" s="81"/>
      <c r="I377" s="81"/>
      <c r="J377" s="81"/>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row>
    <row r="378" spans="2:58" s="9" customFormat="1" ht="11.4">
      <c r="B378" s="81"/>
      <c r="C378" s="81"/>
      <c r="D378" s="81"/>
      <c r="E378" s="81"/>
      <c r="F378" s="81"/>
      <c r="G378" s="81"/>
      <c r="H378" s="81"/>
      <c r="I378" s="81"/>
      <c r="J378" s="81"/>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row>
    <row r="379" spans="2:58" s="9" customFormat="1" ht="11.4">
      <c r="B379" s="81"/>
      <c r="C379" s="81"/>
      <c r="D379" s="81"/>
      <c r="E379" s="81"/>
      <c r="F379" s="81"/>
      <c r="G379" s="81"/>
      <c r="H379" s="81"/>
      <c r="I379" s="81"/>
      <c r="J379" s="81"/>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row>
    <row r="380" spans="2:58" s="9" customFormat="1" ht="11.4">
      <c r="B380" s="81"/>
      <c r="C380" s="81"/>
      <c r="D380" s="81"/>
      <c r="E380" s="81"/>
      <c r="F380" s="81"/>
      <c r="G380" s="81"/>
      <c r="H380" s="81"/>
      <c r="I380" s="81"/>
      <c r="J380" s="81"/>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row>
    <row r="381" spans="2:58" s="9" customFormat="1" ht="11.4">
      <c r="B381" s="81"/>
      <c r="C381" s="81"/>
      <c r="D381" s="81"/>
      <c r="E381" s="81"/>
      <c r="F381" s="81"/>
      <c r="G381" s="81"/>
      <c r="H381" s="81"/>
      <c r="I381" s="81"/>
      <c r="J381" s="81"/>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row>
    <row r="382" spans="2:58" s="9" customFormat="1" ht="11.4">
      <c r="B382" s="81"/>
      <c r="C382" s="81"/>
      <c r="D382" s="81"/>
      <c r="E382" s="81"/>
      <c r="F382" s="81"/>
      <c r="G382" s="81"/>
      <c r="H382" s="81"/>
      <c r="I382" s="81"/>
      <c r="J382" s="81"/>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row>
    <row r="383" spans="2:58" s="9" customFormat="1" ht="11.4">
      <c r="B383" s="81"/>
      <c r="C383" s="81"/>
      <c r="D383" s="81"/>
      <c r="E383" s="81"/>
      <c r="F383" s="81"/>
      <c r="G383" s="81"/>
      <c r="H383" s="81"/>
      <c r="I383" s="81"/>
      <c r="J383" s="81"/>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row>
    <row r="384" spans="2:58" s="9" customFormat="1" ht="11.4">
      <c r="B384" s="81"/>
      <c r="C384" s="81"/>
      <c r="D384" s="81"/>
      <c r="E384" s="81"/>
      <c r="F384" s="81"/>
      <c r="G384" s="81"/>
      <c r="H384" s="81"/>
      <c r="I384" s="81"/>
      <c r="J384" s="81"/>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row>
    <row r="385" spans="2:58" s="9" customFormat="1" ht="11.4">
      <c r="B385" s="81"/>
      <c r="C385" s="81"/>
      <c r="D385" s="81"/>
      <c r="E385" s="81"/>
      <c r="F385" s="81"/>
      <c r="G385" s="81"/>
      <c r="H385" s="81"/>
      <c r="I385" s="81"/>
      <c r="J385" s="81"/>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row>
    <row r="386" spans="2:58" s="9" customFormat="1" ht="11.4">
      <c r="B386" s="81"/>
      <c r="C386" s="81"/>
      <c r="D386" s="81"/>
      <c r="E386" s="81"/>
      <c r="F386" s="81"/>
      <c r="G386" s="81"/>
      <c r="H386" s="81"/>
      <c r="I386" s="81"/>
      <c r="J386" s="81"/>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row>
    <row r="387" spans="2:58" s="9" customFormat="1" ht="11.4">
      <c r="B387" s="81"/>
      <c r="C387" s="81"/>
      <c r="D387" s="81"/>
      <c r="E387" s="81"/>
      <c r="F387" s="81"/>
      <c r="G387" s="81"/>
      <c r="H387" s="81"/>
      <c r="I387" s="81"/>
      <c r="J387" s="81"/>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row>
    <row r="388" spans="2:58" s="9" customFormat="1" ht="11.4">
      <c r="B388" s="81"/>
      <c r="C388" s="81"/>
      <c r="D388" s="81"/>
      <c r="E388" s="81"/>
      <c r="F388" s="81"/>
      <c r="G388" s="81"/>
      <c r="H388" s="81"/>
      <c r="I388" s="81"/>
      <c r="J388" s="81"/>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row>
    <row r="389" spans="2:58" s="9" customFormat="1" ht="11.4">
      <c r="B389" s="81"/>
      <c r="C389" s="81"/>
      <c r="D389" s="81"/>
      <c r="E389" s="81"/>
      <c r="F389" s="81"/>
      <c r="G389" s="81"/>
      <c r="H389" s="81"/>
      <c r="I389" s="81"/>
      <c r="J389" s="81"/>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row>
    <row r="390" spans="2:58" s="9" customFormat="1" ht="11.4">
      <c r="B390" s="81"/>
      <c r="C390" s="81"/>
      <c r="D390" s="81"/>
      <c r="E390" s="81"/>
      <c r="F390" s="81"/>
      <c r="G390" s="81"/>
      <c r="H390" s="81"/>
      <c r="I390" s="81"/>
      <c r="J390" s="81"/>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row>
    <row r="391" spans="2:58" s="9" customFormat="1" ht="11.4">
      <c r="B391" s="81"/>
      <c r="C391" s="81"/>
      <c r="D391" s="81"/>
      <c r="E391" s="81"/>
      <c r="F391" s="81"/>
      <c r="G391" s="81"/>
      <c r="H391" s="81"/>
      <c r="I391" s="81"/>
      <c r="J391" s="81"/>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row>
    <row r="392" spans="2:58" s="9" customFormat="1" ht="11.4">
      <c r="B392" s="81"/>
      <c r="C392" s="81"/>
      <c r="D392" s="81"/>
      <c r="E392" s="81"/>
      <c r="F392" s="81"/>
      <c r="G392" s="81"/>
      <c r="H392" s="81"/>
      <c r="I392" s="81"/>
      <c r="J392" s="81"/>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row>
    <row r="393" spans="2:58" s="9" customFormat="1" ht="11.4">
      <c r="B393" s="81"/>
      <c r="C393" s="81"/>
      <c r="D393" s="81"/>
      <c r="E393" s="81"/>
      <c r="F393" s="81"/>
      <c r="G393" s="81"/>
      <c r="H393" s="81"/>
      <c r="I393" s="81"/>
      <c r="J393" s="81"/>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row>
    <row r="394" spans="2:58" s="9" customFormat="1" ht="11.4">
      <c r="B394" s="81"/>
      <c r="C394" s="81"/>
      <c r="D394" s="81"/>
      <c r="E394" s="81"/>
      <c r="F394" s="81"/>
      <c r="G394" s="81"/>
      <c r="H394" s="81"/>
      <c r="I394" s="81"/>
      <c r="J394" s="81"/>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row>
    <row r="395" spans="2:58" s="9" customFormat="1" ht="11.4">
      <c r="B395" s="81"/>
      <c r="C395" s="81"/>
      <c r="D395" s="81"/>
      <c r="E395" s="81"/>
      <c r="F395" s="81"/>
      <c r="G395" s="81"/>
      <c r="H395" s="81"/>
      <c r="I395" s="81"/>
      <c r="J395" s="81"/>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row>
    <row r="396" spans="2:58" s="9" customFormat="1" ht="11.4">
      <c r="B396" s="81"/>
      <c r="C396" s="81"/>
      <c r="D396" s="81"/>
      <c r="E396" s="81"/>
      <c r="F396" s="81"/>
      <c r="G396" s="81"/>
      <c r="H396" s="81"/>
      <c r="I396" s="81"/>
      <c r="J396" s="81"/>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row>
    <row r="397" spans="2:58" s="9" customFormat="1" ht="11.4">
      <c r="B397" s="81"/>
      <c r="C397" s="81"/>
      <c r="D397" s="81"/>
      <c r="E397" s="81"/>
      <c r="F397" s="81"/>
      <c r="G397" s="81"/>
      <c r="H397" s="81"/>
      <c r="I397" s="81"/>
      <c r="J397" s="81"/>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row>
    <row r="398" spans="2:58" s="9" customFormat="1" ht="11.4">
      <c r="B398" s="81"/>
      <c r="C398" s="81"/>
      <c r="D398" s="81"/>
      <c r="E398" s="81"/>
      <c r="F398" s="81"/>
      <c r="G398" s="81"/>
      <c r="H398" s="81"/>
      <c r="I398" s="81"/>
      <c r="J398" s="81"/>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row>
    <row r="399" spans="2:58" s="9" customFormat="1" ht="11.4">
      <c r="B399" s="81"/>
      <c r="C399" s="81"/>
      <c r="D399" s="81"/>
      <c r="E399" s="81"/>
      <c r="F399" s="81"/>
      <c r="G399" s="81"/>
      <c r="H399" s="81"/>
      <c r="I399" s="81"/>
      <c r="J399" s="81"/>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row>
    <row r="400" spans="2:58" s="9" customFormat="1" ht="11.4">
      <c r="B400" s="81"/>
      <c r="C400" s="81"/>
      <c r="D400" s="81"/>
      <c r="E400" s="81"/>
      <c r="F400" s="81"/>
      <c r="G400" s="81"/>
      <c r="H400" s="81"/>
      <c r="I400" s="81"/>
      <c r="J400" s="81"/>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row>
    <row r="401" spans="2:58" s="9" customFormat="1" ht="11.4">
      <c r="B401" s="81"/>
      <c r="C401" s="81"/>
      <c r="D401" s="81"/>
      <c r="E401" s="81"/>
      <c r="F401" s="81"/>
      <c r="G401" s="81"/>
      <c r="H401" s="81"/>
      <c r="I401" s="81"/>
      <c r="J401" s="81"/>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row>
    <row r="402" spans="2:58" s="9" customFormat="1" ht="11.4">
      <c r="B402" s="81"/>
      <c r="C402" s="81"/>
      <c r="D402" s="81"/>
      <c r="E402" s="81"/>
      <c r="F402" s="81"/>
      <c r="G402" s="81"/>
      <c r="H402" s="81"/>
      <c r="I402" s="81"/>
      <c r="J402" s="81"/>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row>
    <row r="403" spans="2:58" s="9" customFormat="1" ht="11.4">
      <c r="B403" s="81"/>
      <c r="C403" s="81"/>
      <c r="D403" s="81"/>
      <c r="E403" s="81"/>
      <c r="F403" s="81"/>
      <c r="G403" s="81"/>
      <c r="H403" s="81"/>
      <c r="I403" s="81"/>
      <c r="J403" s="81"/>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row>
    <row r="404" spans="2:58" s="9" customFormat="1" ht="11.4">
      <c r="B404" s="81"/>
      <c r="C404" s="81"/>
      <c r="D404" s="81"/>
      <c r="E404" s="81"/>
      <c r="F404" s="81"/>
      <c r="G404" s="81"/>
      <c r="H404" s="81"/>
      <c r="I404" s="81"/>
      <c r="J404" s="81"/>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row>
    <row r="405" spans="2:58" s="9" customFormat="1" ht="11.4">
      <c r="B405" s="81"/>
      <c r="C405" s="81"/>
      <c r="D405" s="81"/>
      <c r="E405" s="81"/>
      <c r="F405" s="81"/>
      <c r="G405" s="81"/>
      <c r="H405" s="81"/>
      <c r="I405" s="81"/>
      <c r="J405" s="81"/>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row>
    <row r="406" spans="2:58" s="9" customFormat="1" ht="11.4">
      <c r="B406" s="81"/>
      <c r="C406" s="81"/>
      <c r="D406" s="81"/>
      <c r="E406" s="81"/>
      <c r="F406" s="81"/>
      <c r="G406" s="81"/>
      <c r="H406" s="81"/>
      <c r="I406" s="81"/>
      <c r="J406" s="81"/>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row>
    <row r="407" spans="2:58" s="9" customFormat="1" ht="11.4">
      <c r="B407" s="81"/>
      <c r="C407" s="81"/>
      <c r="D407" s="81"/>
      <c r="E407" s="81"/>
      <c r="F407" s="81"/>
      <c r="G407" s="81"/>
      <c r="H407" s="81"/>
      <c r="I407" s="81"/>
      <c r="J407" s="81"/>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row>
    <row r="408" spans="2:58" s="9" customFormat="1" ht="11.4">
      <c r="B408" s="81"/>
      <c r="C408" s="81"/>
      <c r="D408" s="81"/>
      <c r="E408" s="81"/>
      <c r="F408" s="81"/>
      <c r="G408" s="81"/>
      <c r="H408" s="81"/>
      <c r="I408" s="81"/>
      <c r="J408" s="81"/>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row>
    <row r="409" spans="2:58" s="9" customFormat="1" ht="11.4">
      <c r="B409" s="81"/>
      <c r="C409" s="81"/>
      <c r="D409" s="81"/>
      <c r="E409" s="81"/>
      <c r="F409" s="81"/>
      <c r="G409" s="81"/>
      <c r="H409" s="81"/>
      <c r="I409" s="81"/>
      <c r="J409" s="81"/>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row>
    <row r="410" spans="2:58" s="9" customFormat="1" ht="11.4">
      <c r="B410" s="81"/>
      <c r="C410" s="81"/>
      <c r="D410" s="81"/>
      <c r="E410" s="81"/>
      <c r="F410" s="81"/>
      <c r="G410" s="81"/>
      <c r="H410" s="81"/>
      <c r="I410" s="81"/>
      <c r="J410" s="81"/>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row>
    <row r="411" spans="2:58" s="9" customFormat="1" ht="11.4">
      <c r="B411" s="81"/>
      <c r="C411" s="81"/>
      <c r="D411" s="81"/>
      <c r="E411" s="81"/>
      <c r="F411" s="81"/>
      <c r="G411" s="81"/>
      <c r="H411" s="81"/>
      <c r="I411" s="81"/>
      <c r="J411" s="81"/>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row>
    <row r="412" spans="2:58" s="9" customFormat="1" ht="11.4">
      <c r="B412" s="81"/>
      <c r="C412" s="81"/>
      <c r="D412" s="81"/>
      <c r="E412" s="81"/>
      <c r="F412" s="81"/>
      <c r="G412" s="81"/>
      <c r="H412" s="81"/>
      <c r="I412" s="81"/>
      <c r="J412" s="81"/>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row>
    <row r="413" spans="2:58" s="9" customFormat="1" ht="11.4">
      <c r="B413" s="81"/>
      <c r="C413" s="81"/>
      <c r="D413" s="81"/>
      <c r="E413" s="81"/>
      <c r="F413" s="81"/>
      <c r="G413" s="81"/>
      <c r="H413" s="81"/>
      <c r="I413" s="81"/>
      <c r="J413" s="81"/>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row>
    <row r="414" spans="2:58" s="9" customFormat="1" ht="11.4">
      <c r="B414" s="81"/>
      <c r="C414" s="81"/>
      <c r="D414" s="81"/>
      <c r="E414" s="81"/>
      <c r="F414" s="81"/>
      <c r="G414" s="81"/>
      <c r="H414" s="81"/>
      <c r="I414" s="81"/>
      <c r="J414" s="81"/>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row>
    <row r="415" spans="2:58" s="9" customFormat="1" ht="11.4">
      <c r="B415" s="81"/>
      <c r="C415" s="81"/>
      <c r="D415" s="81"/>
      <c r="E415" s="81"/>
      <c r="F415" s="81"/>
      <c r="G415" s="81"/>
      <c r="H415" s="81"/>
      <c r="I415" s="81"/>
      <c r="J415" s="81"/>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row>
    <row r="416" spans="2:58" s="9" customFormat="1" ht="11.4">
      <c r="B416" s="81"/>
      <c r="C416" s="81"/>
      <c r="D416" s="81"/>
      <c r="E416" s="81"/>
      <c r="F416" s="81"/>
      <c r="G416" s="81"/>
      <c r="H416" s="81"/>
      <c r="I416" s="81"/>
      <c r="J416" s="81"/>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row>
    <row r="417" spans="2:58" s="9" customFormat="1" ht="11.4">
      <c r="B417" s="81"/>
      <c r="C417" s="81"/>
      <c r="D417" s="81"/>
      <c r="E417" s="81"/>
      <c r="F417" s="81"/>
      <c r="G417" s="81"/>
      <c r="H417" s="81"/>
      <c r="I417" s="81"/>
      <c r="J417" s="81"/>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row>
    <row r="418" spans="2:58" s="9" customFormat="1" ht="11.4">
      <c r="B418" s="81"/>
      <c r="C418" s="81"/>
      <c r="D418" s="81"/>
      <c r="E418" s="81"/>
      <c r="F418" s="81"/>
      <c r="G418" s="81"/>
      <c r="H418" s="81"/>
      <c r="I418" s="81"/>
      <c r="J418" s="81"/>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row>
    <row r="419" spans="2:58" s="9" customFormat="1" ht="11.4">
      <c r="B419" s="81"/>
      <c r="C419" s="81"/>
      <c r="D419" s="81"/>
      <c r="E419" s="81"/>
      <c r="F419" s="81"/>
      <c r="G419" s="81"/>
      <c r="H419" s="81"/>
      <c r="I419" s="81"/>
      <c r="J419" s="81"/>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row>
    <row r="420" spans="2:58" s="9" customFormat="1" ht="11.4">
      <c r="B420" s="81"/>
      <c r="C420" s="81"/>
      <c r="D420" s="81"/>
      <c r="E420" s="81"/>
      <c r="F420" s="81"/>
      <c r="G420" s="81"/>
      <c r="H420" s="81"/>
      <c r="I420" s="81"/>
      <c r="J420" s="81"/>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row>
    <row r="421" spans="2:58" s="9" customFormat="1" ht="11.4">
      <c r="B421" s="81"/>
      <c r="C421" s="81"/>
      <c r="D421" s="81"/>
      <c r="E421" s="81"/>
      <c r="F421" s="81"/>
      <c r="G421" s="81"/>
      <c r="H421" s="81"/>
      <c r="I421" s="81"/>
      <c r="J421" s="81"/>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row>
    <row r="422" spans="2:58" s="9" customFormat="1" ht="11.4">
      <c r="B422" s="81"/>
      <c r="C422" s="81"/>
      <c r="D422" s="81"/>
      <c r="E422" s="81"/>
      <c r="F422" s="81"/>
      <c r="G422" s="81"/>
      <c r="H422" s="81"/>
      <c r="I422" s="81"/>
      <c r="J422" s="81"/>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row>
    <row r="423" spans="2:58" s="9" customFormat="1" ht="11.4">
      <c r="B423" s="81"/>
      <c r="C423" s="81"/>
      <c r="D423" s="81"/>
      <c r="E423" s="81"/>
      <c r="F423" s="81"/>
      <c r="G423" s="81"/>
      <c r="H423" s="81"/>
      <c r="I423" s="81"/>
      <c r="J423" s="81"/>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row>
    <row r="424" spans="2:58" s="9" customFormat="1" ht="11.4">
      <c r="B424" s="81"/>
      <c r="C424" s="81"/>
      <c r="D424" s="81"/>
      <c r="E424" s="81"/>
      <c r="F424" s="81"/>
      <c r="G424" s="81"/>
      <c r="H424" s="81"/>
      <c r="I424" s="81"/>
      <c r="J424" s="81"/>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row>
    <row r="425" spans="2:58" s="9" customFormat="1" ht="11.4">
      <c r="B425" s="81"/>
      <c r="C425" s="81"/>
      <c r="D425" s="81"/>
      <c r="E425" s="81"/>
      <c r="F425" s="81"/>
      <c r="G425" s="81"/>
      <c r="H425" s="81"/>
      <c r="I425" s="81"/>
      <c r="J425" s="81"/>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row>
    <row r="426" spans="2:58" s="9" customFormat="1" ht="11.4">
      <c r="B426" s="81"/>
      <c r="C426" s="81"/>
      <c r="D426" s="81"/>
      <c r="E426" s="81"/>
      <c r="F426" s="81"/>
      <c r="G426" s="81"/>
      <c r="H426" s="81"/>
      <c r="I426" s="81"/>
      <c r="J426" s="81"/>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row>
    <row r="427" spans="2:58" s="9" customFormat="1" ht="11.4">
      <c r="B427" s="81"/>
      <c r="C427" s="81"/>
      <c r="D427" s="81"/>
      <c r="E427" s="81"/>
      <c r="F427" s="81"/>
      <c r="G427" s="81"/>
      <c r="H427" s="81"/>
      <c r="I427" s="81"/>
      <c r="J427" s="81"/>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row>
    <row r="428" spans="2:58" s="9" customFormat="1" ht="11.4">
      <c r="B428" s="81"/>
      <c r="C428" s="81"/>
      <c r="D428" s="81"/>
      <c r="E428" s="81"/>
      <c r="F428" s="81"/>
      <c r="G428" s="81"/>
      <c r="H428" s="81"/>
      <c r="I428" s="81"/>
      <c r="J428" s="81"/>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row>
    <row r="429" spans="2:58" s="9" customFormat="1" ht="11.4">
      <c r="B429" s="81"/>
      <c r="C429" s="81"/>
      <c r="D429" s="81"/>
      <c r="E429" s="81"/>
      <c r="F429" s="81"/>
      <c r="G429" s="81"/>
      <c r="H429" s="81"/>
      <c r="I429" s="81"/>
      <c r="J429" s="81"/>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row>
    <row r="430" spans="2:58" s="9" customFormat="1" ht="11.4">
      <c r="B430" s="81"/>
      <c r="C430" s="81"/>
      <c r="D430" s="81"/>
      <c r="E430" s="81"/>
      <c r="F430" s="81"/>
      <c r="G430" s="81"/>
      <c r="H430" s="81"/>
      <c r="I430" s="81"/>
      <c r="J430" s="81"/>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row>
    <row r="431" spans="2:58" s="9" customFormat="1" ht="11.4">
      <c r="B431" s="81"/>
      <c r="C431" s="81"/>
      <c r="D431" s="81"/>
      <c r="E431" s="81"/>
      <c r="F431" s="81"/>
      <c r="G431" s="81"/>
      <c r="H431" s="81"/>
      <c r="I431" s="81"/>
      <c r="J431" s="81"/>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row>
    <row r="432" spans="2:58" s="9" customFormat="1" ht="11.4">
      <c r="B432" s="81"/>
      <c r="C432" s="81"/>
      <c r="D432" s="81"/>
      <c r="E432" s="81"/>
      <c r="F432" s="81"/>
      <c r="G432" s="81"/>
      <c r="H432" s="81"/>
      <c r="I432" s="81"/>
      <c r="J432" s="81"/>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row>
    <row r="433" spans="2:58" s="9" customFormat="1" ht="11.4">
      <c r="B433" s="81"/>
      <c r="C433" s="81"/>
      <c r="D433" s="81"/>
      <c r="E433" s="81"/>
      <c r="F433" s="81"/>
      <c r="G433" s="81"/>
      <c r="H433" s="81"/>
      <c r="I433" s="81"/>
      <c r="J433" s="81"/>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row>
    <row r="434" spans="2:58" s="9" customFormat="1" ht="11.4">
      <c r="B434" s="81"/>
      <c r="C434" s="81"/>
      <c r="D434" s="81"/>
      <c r="E434" s="81"/>
      <c r="F434" s="81"/>
      <c r="G434" s="81"/>
      <c r="H434" s="81"/>
      <c r="I434" s="81"/>
      <c r="J434" s="81"/>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row>
    <row r="435" spans="2:58" s="9" customFormat="1" ht="11.4">
      <c r="B435" s="81"/>
      <c r="C435" s="81"/>
      <c r="D435" s="81"/>
      <c r="E435" s="81"/>
      <c r="F435" s="81"/>
      <c r="G435" s="81"/>
      <c r="H435" s="81"/>
      <c r="I435" s="81"/>
      <c r="J435" s="81"/>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row>
    <row r="436" spans="2:58" s="9" customFormat="1" ht="11.4">
      <c r="B436" s="81"/>
      <c r="C436" s="81"/>
      <c r="D436" s="81"/>
      <c r="E436" s="81"/>
      <c r="F436" s="81"/>
      <c r="G436" s="81"/>
      <c r="H436" s="81"/>
      <c r="I436" s="81"/>
      <c r="J436" s="81"/>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row>
    <row r="437" spans="2:58" s="9" customFormat="1" ht="11.4">
      <c r="B437" s="81"/>
      <c r="C437" s="81"/>
      <c r="D437" s="81"/>
      <c r="E437" s="81"/>
      <c r="F437" s="81"/>
      <c r="G437" s="81"/>
      <c r="H437" s="81"/>
      <c r="I437" s="81"/>
      <c r="J437" s="81"/>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row>
    <row r="438" spans="2:58" s="9" customFormat="1" ht="11.4">
      <c r="B438" s="81"/>
      <c r="C438" s="81"/>
      <c r="D438" s="81"/>
      <c r="E438" s="81"/>
      <c r="F438" s="81"/>
      <c r="G438" s="81"/>
      <c r="H438" s="81"/>
      <c r="I438" s="81"/>
      <c r="J438" s="81"/>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row>
    <row r="439" spans="2:58" s="9" customFormat="1" ht="11.4">
      <c r="B439" s="81"/>
      <c r="C439" s="81"/>
      <c r="D439" s="81"/>
      <c r="E439" s="81"/>
      <c r="F439" s="81"/>
      <c r="G439" s="81"/>
      <c r="H439" s="81"/>
      <c r="I439" s="81"/>
      <c r="J439" s="81"/>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row>
    <row r="440" spans="2:58" s="9" customFormat="1" ht="11.4">
      <c r="B440" s="81"/>
      <c r="C440" s="81"/>
      <c r="D440" s="81"/>
      <c r="E440" s="81"/>
      <c r="F440" s="81"/>
      <c r="G440" s="81"/>
      <c r="H440" s="81"/>
      <c r="I440" s="81"/>
      <c r="J440" s="81"/>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row>
    <row r="441" spans="2:58" s="9" customFormat="1" ht="11.4">
      <c r="B441" s="81"/>
      <c r="C441" s="81"/>
      <c r="D441" s="81"/>
      <c r="E441" s="81"/>
      <c r="F441" s="81"/>
      <c r="G441" s="81"/>
      <c r="H441" s="81"/>
      <c r="I441" s="81"/>
      <c r="J441" s="81"/>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row>
    <row r="442" spans="2:58" s="9" customFormat="1" ht="11.4">
      <c r="B442" s="81"/>
      <c r="C442" s="81"/>
      <c r="D442" s="81"/>
      <c r="E442" s="81"/>
      <c r="F442" s="81"/>
      <c r="G442" s="81"/>
      <c r="H442" s="81"/>
      <c r="I442" s="81"/>
      <c r="J442" s="81"/>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row>
    <row r="443" spans="2:58" s="9" customFormat="1" ht="11.4">
      <c r="B443" s="81"/>
      <c r="C443" s="81"/>
      <c r="D443" s="81"/>
      <c r="E443" s="81"/>
      <c r="F443" s="81"/>
      <c r="G443" s="81"/>
      <c r="H443" s="81"/>
      <c r="I443" s="81"/>
      <c r="J443" s="81"/>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row>
    <row r="444" spans="2:58" s="9" customFormat="1" ht="11.4">
      <c r="B444" s="81"/>
      <c r="C444" s="81"/>
      <c r="D444" s="81"/>
      <c r="E444" s="81"/>
      <c r="F444" s="81"/>
      <c r="G444" s="81"/>
      <c r="H444" s="81"/>
      <c r="I444" s="81"/>
      <c r="J444" s="81"/>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row>
    <row r="445" spans="2:58" s="9" customFormat="1" ht="11.4">
      <c r="B445" s="81"/>
      <c r="C445" s="81"/>
      <c r="D445" s="81"/>
      <c r="E445" s="81"/>
      <c r="F445" s="81"/>
      <c r="G445" s="81"/>
      <c r="H445" s="81"/>
      <c r="I445" s="81"/>
      <c r="J445" s="81"/>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row>
    <row r="446" spans="2:58" s="9" customFormat="1" ht="11.4">
      <c r="B446" s="81"/>
      <c r="C446" s="81"/>
      <c r="D446" s="81"/>
      <c r="E446" s="81"/>
      <c r="F446" s="81"/>
      <c r="G446" s="81"/>
      <c r="H446" s="81"/>
      <c r="I446" s="81"/>
      <c r="J446" s="81"/>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row>
    <row r="447" spans="2:58" s="9" customFormat="1" ht="11.4">
      <c r="B447" s="81"/>
      <c r="C447" s="81"/>
      <c r="D447" s="81"/>
      <c r="E447" s="81"/>
      <c r="F447" s="81"/>
      <c r="G447" s="81"/>
      <c r="H447" s="81"/>
      <c r="I447" s="81"/>
      <c r="J447" s="81"/>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row>
    <row r="448" spans="2:58" s="9" customFormat="1" ht="11.4">
      <c r="B448" s="81"/>
      <c r="C448" s="81"/>
      <c r="D448" s="81"/>
      <c r="E448" s="81"/>
      <c r="F448" s="81"/>
      <c r="G448" s="81"/>
      <c r="H448" s="81"/>
      <c r="I448" s="81"/>
      <c r="J448" s="81"/>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row>
    <row r="449" spans="2:58" s="9" customFormat="1" ht="11.4">
      <c r="B449" s="81"/>
      <c r="C449" s="81"/>
      <c r="D449" s="81"/>
      <c r="E449" s="81"/>
      <c r="F449" s="81"/>
      <c r="G449" s="81"/>
      <c r="H449" s="81"/>
      <c r="I449" s="81"/>
      <c r="J449" s="81"/>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row>
    <row r="450" spans="2:58" s="9" customFormat="1" ht="11.4">
      <c r="B450" s="81"/>
      <c r="C450" s="81"/>
      <c r="D450" s="81"/>
      <c r="E450" s="81"/>
      <c r="F450" s="81"/>
      <c r="G450" s="81"/>
      <c r="H450" s="81"/>
      <c r="I450" s="81"/>
      <c r="J450" s="81"/>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row>
    <row r="451" spans="2:58" s="9" customFormat="1" ht="11.4">
      <c r="B451" s="81"/>
      <c r="C451" s="81"/>
      <c r="D451" s="81"/>
      <c r="E451" s="81"/>
      <c r="F451" s="81"/>
      <c r="G451" s="81"/>
      <c r="H451" s="81"/>
      <c r="I451" s="81"/>
      <c r="J451" s="81"/>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row>
    <row r="452" spans="2:58" s="9" customFormat="1" ht="11.4">
      <c r="B452" s="81"/>
      <c r="C452" s="81"/>
      <c r="D452" s="81"/>
      <c r="E452" s="81"/>
      <c r="F452" s="81"/>
      <c r="G452" s="81"/>
      <c r="H452" s="81"/>
      <c r="I452" s="81"/>
      <c r="J452" s="81"/>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row>
    <row r="453" spans="2:58" s="9" customFormat="1" ht="11.4">
      <c r="B453" s="81"/>
      <c r="C453" s="81"/>
      <c r="D453" s="81"/>
      <c r="E453" s="81"/>
      <c r="F453" s="81"/>
      <c r="G453" s="81"/>
      <c r="H453" s="81"/>
      <c r="I453" s="81"/>
      <c r="J453" s="81"/>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row>
    <row r="454" spans="2:58" s="9" customFormat="1" ht="11.4">
      <c r="B454" s="81"/>
      <c r="C454" s="81"/>
      <c r="D454" s="81"/>
      <c r="E454" s="81"/>
      <c r="F454" s="81"/>
      <c r="G454" s="81"/>
      <c r="H454" s="81"/>
      <c r="I454" s="81"/>
      <c r="J454" s="81"/>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row>
    <row r="455" spans="2:58" s="9" customFormat="1" ht="11.4">
      <c r="B455" s="81"/>
      <c r="C455" s="81"/>
      <c r="D455" s="81"/>
      <c r="E455" s="81"/>
      <c r="F455" s="81"/>
      <c r="G455" s="81"/>
      <c r="H455" s="81"/>
      <c r="I455" s="81"/>
      <c r="J455" s="81"/>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row>
    <row r="456" spans="2:58" s="9" customFormat="1" ht="11.4">
      <c r="B456" s="81"/>
      <c r="C456" s="81"/>
      <c r="D456" s="81"/>
      <c r="E456" s="81"/>
      <c r="F456" s="81"/>
      <c r="G456" s="81"/>
      <c r="H456" s="81"/>
      <c r="I456" s="81"/>
      <c r="J456" s="81"/>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row>
    <row r="457" spans="2:58" s="9" customFormat="1" ht="11.4">
      <c r="B457" s="81"/>
      <c r="C457" s="81"/>
      <c r="D457" s="81"/>
      <c r="E457" s="81"/>
      <c r="F457" s="81"/>
      <c r="G457" s="81"/>
      <c r="H457" s="81"/>
      <c r="I457" s="81"/>
      <c r="J457" s="81"/>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row>
    <row r="458" spans="2:58" s="9" customFormat="1" ht="11.4">
      <c r="B458" s="81"/>
      <c r="C458" s="81"/>
      <c r="D458" s="81"/>
      <c r="E458" s="81"/>
      <c r="F458" s="81"/>
      <c r="G458" s="81"/>
      <c r="H458" s="81"/>
      <c r="I458" s="81"/>
      <c r="J458" s="81"/>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row>
    <row r="459" spans="2:58" s="9" customFormat="1" ht="11.4">
      <c r="B459" s="81"/>
      <c r="C459" s="81"/>
      <c r="D459" s="81"/>
      <c r="E459" s="81"/>
      <c r="F459" s="81"/>
      <c r="G459" s="81"/>
      <c r="H459" s="81"/>
      <c r="I459" s="81"/>
      <c r="J459" s="81"/>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row>
    <row r="460" spans="2:58" s="9" customFormat="1" ht="11.4">
      <c r="B460" s="81"/>
      <c r="C460" s="81"/>
      <c r="D460" s="81"/>
      <c r="E460" s="81"/>
      <c r="F460" s="81"/>
      <c r="G460" s="81"/>
      <c r="H460" s="81"/>
      <c r="I460" s="81"/>
      <c r="J460" s="81"/>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row>
    <row r="461" spans="2:58" s="9" customFormat="1" ht="11.4">
      <c r="B461" s="81"/>
      <c r="C461" s="81"/>
      <c r="D461" s="81"/>
      <c r="E461" s="81"/>
      <c r="F461" s="81"/>
      <c r="G461" s="81"/>
      <c r="H461" s="81"/>
      <c r="I461" s="81"/>
      <c r="J461" s="81"/>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row>
    <row r="462" spans="2:58" s="9" customFormat="1" ht="11.4">
      <c r="B462" s="81"/>
      <c r="C462" s="81"/>
      <c r="D462" s="81"/>
      <c r="E462" s="81"/>
      <c r="F462" s="81"/>
      <c r="G462" s="81"/>
      <c r="H462" s="81"/>
      <c r="I462" s="81"/>
      <c r="J462" s="81"/>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row>
    <row r="463" spans="2:58" s="9" customFormat="1" ht="11.4">
      <c r="B463" s="81"/>
      <c r="C463" s="81"/>
      <c r="D463" s="81"/>
      <c r="E463" s="81"/>
      <c r="F463" s="81"/>
      <c r="G463" s="81"/>
      <c r="H463" s="81"/>
      <c r="I463" s="81"/>
      <c r="J463" s="81"/>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row>
    <row r="464" spans="2:58" s="9" customFormat="1" ht="11.4">
      <c r="B464" s="81"/>
      <c r="C464" s="81"/>
      <c r="D464" s="81"/>
      <c r="E464" s="81"/>
      <c r="F464" s="81"/>
      <c r="G464" s="81"/>
      <c r="H464" s="81"/>
      <c r="I464" s="81"/>
      <c r="J464" s="81"/>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row>
    <row r="465" spans="2:58" s="9" customFormat="1" ht="11.4">
      <c r="B465" s="81"/>
      <c r="C465" s="81"/>
      <c r="D465" s="81"/>
      <c r="E465" s="81"/>
      <c r="F465" s="81"/>
      <c r="G465" s="81"/>
      <c r="H465" s="81"/>
      <c r="I465" s="81"/>
      <c r="J465" s="81"/>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row>
    <row r="466" spans="2:58" s="9" customFormat="1" ht="11.4">
      <c r="B466" s="81"/>
      <c r="C466" s="81"/>
      <c r="D466" s="81"/>
      <c r="E466" s="81"/>
      <c r="F466" s="81"/>
      <c r="G466" s="81"/>
      <c r="H466" s="81"/>
      <c r="I466" s="81"/>
      <c r="J466" s="81"/>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row>
    <row r="467" spans="2:58" s="9" customFormat="1" ht="11.4">
      <c r="B467" s="81"/>
      <c r="C467" s="81"/>
      <c r="D467" s="81"/>
      <c r="E467" s="81"/>
      <c r="F467" s="81"/>
      <c r="G467" s="81"/>
      <c r="H467" s="81"/>
      <c r="I467" s="81"/>
      <c r="J467" s="81"/>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row>
    <row r="468" spans="2:58" s="9" customFormat="1" ht="11.4">
      <c r="B468" s="81"/>
      <c r="C468" s="81"/>
      <c r="D468" s="81"/>
      <c r="E468" s="81"/>
      <c r="F468" s="81"/>
      <c r="G468" s="81"/>
      <c r="H468" s="81"/>
      <c r="I468" s="81"/>
      <c r="J468" s="81"/>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row>
    <row r="469" spans="2:58" s="9" customFormat="1" ht="11.4">
      <c r="B469" s="81"/>
      <c r="C469" s="81"/>
      <c r="D469" s="81"/>
      <c r="E469" s="81"/>
      <c r="F469" s="81"/>
      <c r="G469" s="81"/>
      <c r="H469" s="81"/>
      <c r="I469" s="81"/>
      <c r="J469" s="81"/>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row>
    <row r="470" spans="2:58" s="9" customFormat="1" ht="11.4">
      <c r="B470" s="81"/>
      <c r="C470" s="81"/>
      <c r="D470" s="81"/>
      <c r="E470" s="81"/>
      <c r="F470" s="81"/>
      <c r="G470" s="81"/>
      <c r="H470" s="81"/>
      <c r="I470" s="81"/>
      <c r="J470" s="81"/>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row>
    <row r="471" spans="2:58" s="9" customFormat="1" ht="11.4">
      <c r="B471" s="81"/>
      <c r="C471" s="81"/>
      <c r="D471" s="81"/>
      <c r="E471" s="81"/>
      <c r="F471" s="81"/>
      <c r="G471" s="81"/>
      <c r="H471" s="81"/>
      <c r="I471" s="81"/>
      <c r="J471" s="81"/>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row>
    <row r="472" spans="2:58" s="9" customFormat="1" ht="11.4">
      <c r="B472" s="81"/>
      <c r="C472" s="81"/>
      <c r="D472" s="81"/>
      <c r="E472" s="81"/>
      <c r="F472" s="81"/>
      <c r="G472" s="81"/>
      <c r="H472" s="81"/>
      <c r="I472" s="81"/>
      <c r="J472" s="81"/>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row>
    <row r="473" spans="2:58" s="9" customFormat="1" ht="11.4">
      <c r="B473" s="81"/>
      <c r="C473" s="81"/>
      <c r="D473" s="81"/>
      <c r="E473" s="81"/>
      <c r="F473" s="81"/>
      <c r="G473" s="81"/>
      <c r="H473" s="81"/>
      <c r="I473" s="81"/>
      <c r="J473" s="81"/>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row>
    <row r="474" spans="2:58" s="9" customFormat="1" ht="11.4">
      <c r="B474" s="81"/>
      <c r="C474" s="81"/>
      <c r="D474" s="81"/>
      <c r="E474" s="81"/>
      <c r="F474" s="81"/>
      <c r="G474" s="81"/>
      <c r="H474" s="81"/>
      <c r="I474" s="81"/>
      <c r="J474" s="81"/>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row>
    <row r="475" spans="2:58" s="9" customFormat="1" ht="11.4">
      <c r="B475" s="81"/>
      <c r="C475" s="81"/>
      <c r="D475" s="81"/>
      <c r="E475" s="81"/>
      <c r="F475" s="81"/>
      <c r="G475" s="81"/>
      <c r="H475" s="81"/>
      <c r="I475" s="81"/>
      <c r="J475" s="81"/>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row>
    <row r="476" spans="2:58" s="9" customFormat="1" ht="11.4">
      <c r="B476" s="81"/>
      <c r="C476" s="81"/>
      <c r="D476" s="81"/>
      <c r="E476" s="81"/>
      <c r="F476" s="81"/>
      <c r="G476" s="81"/>
      <c r="H476" s="81"/>
      <c r="I476" s="81"/>
      <c r="J476" s="81"/>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row>
    <row r="477" spans="2:58" s="9" customFormat="1" ht="11.4">
      <c r="B477" s="81"/>
      <c r="C477" s="81"/>
      <c r="D477" s="81"/>
      <c r="E477" s="81"/>
      <c r="F477" s="81"/>
      <c r="G477" s="81"/>
      <c r="H477" s="81"/>
      <c r="I477" s="81"/>
      <c r="J477" s="81"/>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row>
    <row r="478" spans="2:58" s="9" customFormat="1" ht="11.4">
      <c r="B478" s="81"/>
      <c r="C478" s="81"/>
      <c r="D478" s="81"/>
      <c r="E478" s="81"/>
      <c r="F478" s="81"/>
      <c r="G478" s="81"/>
      <c r="H478" s="81"/>
      <c r="I478" s="81"/>
      <c r="J478" s="81"/>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row>
    <row r="479" spans="2:58" s="9" customFormat="1" ht="11.4">
      <c r="B479" s="81"/>
      <c r="C479" s="81"/>
      <c r="D479" s="81"/>
      <c r="E479" s="81"/>
      <c r="F479" s="81"/>
      <c r="G479" s="81"/>
      <c r="H479" s="81"/>
      <c r="I479" s="81"/>
      <c r="J479" s="81"/>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row>
    <row r="480" spans="2:58" s="9" customFormat="1" ht="11.4">
      <c r="B480" s="81"/>
      <c r="C480" s="81"/>
      <c r="D480" s="81"/>
      <c r="E480" s="81"/>
      <c r="F480" s="81"/>
      <c r="G480" s="81"/>
      <c r="H480" s="81"/>
      <c r="I480" s="81"/>
      <c r="J480" s="81"/>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row>
    <row r="481" spans="2:58" s="9" customFormat="1" ht="11.4">
      <c r="B481" s="81"/>
      <c r="C481" s="81"/>
      <c r="D481" s="81"/>
      <c r="E481" s="81"/>
      <c r="F481" s="81"/>
      <c r="G481" s="81"/>
      <c r="H481" s="81"/>
      <c r="I481" s="81"/>
      <c r="J481" s="81"/>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row>
    <row r="482" spans="2:58" s="9" customFormat="1" ht="11.4">
      <c r="B482" s="81"/>
      <c r="C482" s="81"/>
      <c r="D482" s="81"/>
      <c r="E482" s="81"/>
      <c r="F482" s="81"/>
      <c r="G482" s="81"/>
      <c r="H482" s="81"/>
      <c r="I482" s="81"/>
      <c r="J482" s="81"/>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row>
    <row r="483" spans="2:58" s="9" customFormat="1" ht="11.4">
      <c r="B483" s="81"/>
      <c r="C483" s="81"/>
      <c r="D483" s="81"/>
      <c r="E483" s="81"/>
      <c r="F483" s="81"/>
      <c r="G483" s="81"/>
      <c r="H483" s="81"/>
      <c r="I483" s="81"/>
      <c r="J483" s="81"/>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row>
    <row r="484" spans="2:58" s="9" customFormat="1" ht="11.4">
      <c r="B484" s="81"/>
      <c r="C484" s="81"/>
      <c r="D484" s="81"/>
      <c r="E484" s="81"/>
      <c r="F484" s="81"/>
      <c r="G484" s="81"/>
      <c r="H484" s="81"/>
      <c r="I484" s="81"/>
      <c r="J484" s="81"/>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row>
    <row r="485" spans="2:58" s="9" customFormat="1" ht="11.4">
      <c r="B485" s="81"/>
      <c r="C485" s="81"/>
      <c r="D485" s="81"/>
      <c r="E485" s="81"/>
      <c r="F485" s="81"/>
      <c r="G485" s="81"/>
      <c r="H485" s="81"/>
      <c r="I485" s="81"/>
      <c r="J485" s="81"/>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row>
    <row r="486" spans="2:58" s="9" customFormat="1" ht="11.4">
      <c r="B486" s="81"/>
      <c r="C486" s="81"/>
      <c r="D486" s="81"/>
      <c r="E486" s="81"/>
      <c r="F486" s="81"/>
      <c r="G486" s="81"/>
      <c r="H486" s="81"/>
      <c r="I486" s="81"/>
      <c r="J486" s="81"/>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row>
    <row r="487" spans="2:58" s="9" customFormat="1" ht="11.4">
      <c r="B487" s="81"/>
      <c r="C487" s="81"/>
      <c r="D487" s="81"/>
      <c r="E487" s="81"/>
      <c r="F487" s="81"/>
      <c r="G487" s="81"/>
      <c r="H487" s="81"/>
      <c r="I487" s="81"/>
      <c r="J487" s="81"/>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row>
    <row r="488" spans="2:58" s="9" customFormat="1" ht="11.4">
      <c r="B488" s="81"/>
      <c r="C488" s="81"/>
      <c r="D488" s="81"/>
      <c r="E488" s="81"/>
      <c r="F488" s="81"/>
      <c r="G488" s="81"/>
      <c r="H488" s="81"/>
      <c r="I488" s="81"/>
      <c r="J488" s="81"/>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row>
    <row r="489" spans="2:58" s="9" customFormat="1" ht="11.4">
      <c r="B489" s="81"/>
      <c r="C489" s="81"/>
      <c r="D489" s="81"/>
      <c r="E489" s="81"/>
      <c r="F489" s="81"/>
      <c r="G489" s="81"/>
      <c r="H489" s="81"/>
      <c r="I489" s="81"/>
      <c r="J489" s="81"/>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row>
    <row r="490" spans="2:58" s="9" customFormat="1" ht="11.4">
      <c r="B490" s="81"/>
      <c r="C490" s="81"/>
      <c r="D490" s="81"/>
      <c r="E490" s="81"/>
      <c r="F490" s="81"/>
      <c r="G490" s="81"/>
      <c r="H490" s="81"/>
      <c r="I490" s="81"/>
      <c r="J490" s="81"/>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row>
    <row r="491" spans="2:58" s="9" customFormat="1" ht="11.4">
      <c r="B491" s="81"/>
      <c r="C491" s="81"/>
      <c r="D491" s="81"/>
      <c r="E491" s="81"/>
      <c r="F491" s="81"/>
      <c r="G491" s="81"/>
      <c r="H491" s="81"/>
      <c r="I491" s="81"/>
      <c r="J491" s="81"/>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row>
    <row r="492" spans="2:58" s="9" customFormat="1" ht="11.4">
      <c r="B492" s="81"/>
      <c r="C492" s="81"/>
      <c r="D492" s="81"/>
      <c r="E492" s="81"/>
      <c r="F492" s="81"/>
      <c r="G492" s="81"/>
      <c r="H492" s="81"/>
      <c r="I492" s="81"/>
      <c r="J492" s="81"/>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row>
    <row r="493" spans="2:58" s="9" customFormat="1" ht="11.4">
      <c r="B493" s="81"/>
      <c r="C493" s="81"/>
      <c r="D493" s="81"/>
      <c r="E493" s="81"/>
      <c r="F493" s="81"/>
      <c r="G493" s="81"/>
      <c r="H493" s="81"/>
      <c r="I493" s="81"/>
      <c r="J493" s="81"/>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row>
    <row r="494" spans="2:58" s="9" customFormat="1" ht="11.4">
      <c r="B494" s="81"/>
      <c r="C494" s="81"/>
      <c r="D494" s="81"/>
      <c r="E494" s="81"/>
      <c r="F494" s="81"/>
      <c r="G494" s="81"/>
      <c r="H494" s="81"/>
      <c r="I494" s="81"/>
      <c r="J494" s="81"/>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row>
    <row r="495" spans="2:58" s="9" customFormat="1" ht="11.4">
      <c r="B495" s="81"/>
      <c r="C495" s="81"/>
      <c r="D495" s="81"/>
      <c r="E495" s="81"/>
      <c r="F495" s="81"/>
      <c r="G495" s="81"/>
      <c r="H495" s="81"/>
      <c r="I495" s="81"/>
      <c r="J495" s="81"/>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row>
    <row r="496" spans="2:58" s="9" customFormat="1" ht="11.4">
      <c r="B496" s="81"/>
      <c r="C496" s="81"/>
      <c r="D496" s="81"/>
      <c r="E496" s="81"/>
      <c r="F496" s="81"/>
      <c r="G496" s="81"/>
      <c r="H496" s="81"/>
      <c r="I496" s="81"/>
      <c r="J496" s="81"/>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row>
    <row r="497" spans="2:58" s="9" customFormat="1" ht="11.4">
      <c r="B497" s="81"/>
      <c r="C497" s="81"/>
      <c r="D497" s="81"/>
      <c r="E497" s="81"/>
      <c r="F497" s="81"/>
      <c r="G497" s="81"/>
      <c r="H497" s="81"/>
      <c r="I497" s="81"/>
      <c r="J497" s="81"/>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row>
    <row r="498" spans="2:58" s="9" customFormat="1" ht="11.4">
      <c r="B498" s="81"/>
      <c r="C498" s="81"/>
      <c r="D498" s="81"/>
      <c r="E498" s="81"/>
      <c r="F498" s="81"/>
      <c r="G498" s="81"/>
      <c r="H498" s="81"/>
      <c r="I498" s="81"/>
      <c r="J498" s="81"/>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row>
    <row r="499" spans="2:58" s="9" customFormat="1" ht="11.4">
      <c r="B499" s="81"/>
      <c r="C499" s="81"/>
      <c r="D499" s="81"/>
      <c r="E499" s="81"/>
      <c r="F499" s="81"/>
      <c r="G499" s="81"/>
      <c r="H499" s="81"/>
      <c r="I499" s="81"/>
      <c r="J499" s="81"/>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row>
    <row r="500" spans="2:58" s="9" customFormat="1" ht="11.4">
      <c r="B500" s="81"/>
      <c r="C500" s="81"/>
      <c r="D500" s="81"/>
      <c r="E500" s="81"/>
      <c r="F500" s="81"/>
      <c r="G500" s="81"/>
      <c r="H500" s="81"/>
      <c r="I500" s="81"/>
      <c r="J500" s="81"/>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row>
    <row r="501" spans="2:58" s="9" customFormat="1" ht="11.4">
      <c r="B501" s="81"/>
      <c r="C501" s="81"/>
      <c r="D501" s="81"/>
      <c r="E501" s="81"/>
      <c r="F501" s="81"/>
      <c r="G501" s="81"/>
      <c r="H501" s="81"/>
      <c r="I501" s="81"/>
      <c r="J501" s="81"/>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row>
    <row r="502" spans="2:58" s="9" customFormat="1" ht="11.4">
      <c r="B502" s="81"/>
      <c r="C502" s="81"/>
      <c r="D502" s="81"/>
      <c r="E502" s="81"/>
      <c r="F502" s="81"/>
      <c r="G502" s="81"/>
      <c r="H502" s="81"/>
      <c r="I502" s="81"/>
      <c r="J502" s="81"/>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row>
    <row r="503" spans="2:58" s="9" customFormat="1" ht="11.4">
      <c r="B503" s="81"/>
      <c r="C503" s="81"/>
      <c r="D503" s="81"/>
      <c r="E503" s="81"/>
      <c r="F503" s="81"/>
      <c r="G503" s="81"/>
      <c r="H503" s="81"/>
      <c r="I503" s="81"/>
      <c r="J503" s="81"/>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row>
    <row r="504" spans="2:58" s="9" customFormat="1" ht="11.4">
      <c r="B504" s="81"/>
      <c r="C504" s="81"/>
      <c r="D504" s="81"/>
      <c r="E504" s="81"/>
      <c r="F504" s="81"/>
      <c r="G504" s="81"/>
      <c r="H504" s="81"/>
      <c r="I504" s="81"/>
      <c r="J504" s="81"/>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row>
    <row r="505" spans="2:58" s="9" customFormat="1" ht="11.4">
      <c r="B505" s="81"/>
      <c r="C505" s="81"/>
      <c r="D505" s="81"/>
      <c r="E505" s="81"/>
      <c r="F505" s="81"/>
      <c r="G505" s="81"/>
      <c r="H505" s="81"/>
      <c r="I505" s="81"/>
      <c r="J505" s="81"/>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row>
    <row r="506" spans="2:58" s="9" customFormat="1" ht="11.4">
      <c r="B506" s="81"/>
      <c r="C506" s="81"/>
      <c r="D506" s="81"/>
      <c r="E506" s="81"/>
      <c r="F506" s="81"/>
      <c r="G506" s="81"/>
      <c r="H506" s="81"/>
      <c r="I506" s="81"/>
      <c r="J506" s="81"/>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row>
    <row r="507" spans="2:58" s="9" customFormat="1" ht="11.4">
      <c r="B507" s="81"/>
      <c r="C507" s="81"/>
      <c r="D507" s="81"/>
      <c r="E507" s="81"/>
      <c r="F507" s="81"/>
      <c r="G507" s="81"/>
      <c r="H507" s="81"/>
      <c r="I507" s="81"/>
      <c r="J507" s="81"/>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row>
    <row r="508" spans="2:58" s="9" customFormat="1" ht="11.4">
      <c r="B508" s="81"/>
      <c r="C508" s="81"/>
      <c r="D508" s="81"/>
      <c r="E508" s="81"/>
      <c r="F508" s="81"/>
      <c r="G508" s="81"/>
      <c r="H508" s="81"/>
      <c r="I508" s="81"/>
      <c r="J508" s="81"/>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row>
    <row r="509" spans="2:58" s="9" customFormat="1" ht="11.4">
      <c r="B509" s="81"/>
      <c r="C509" s="81"/>
      <c r="D509" s="81"/>
      <c r="E509" s="81"/>
      <c r="F509" s="81"/>
      <c r="G509" s="81"/>
      <c r="H509" s="81"/>
      <c r="I509" s="81"/>
      <c r="J509" s="81"/>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row>
    <row r="510" spans="2:58" s="9" customFormat="1" ht="11.4">
      <c r="B510" s="81"/>
      <c r="C510" s="81"/>
      <c r="D510" s="81"/>
      <c r="E510" s="81"/>
      <c r="F510" s="81"/>
      <c r="G510" s="81"/>
      <c r="H510" s="81"/>
      <c r="I510" s="81"/>
      <c r="J510" s="81"/>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row>
    <row r="511" spans="2:58" s="9" customFormat="1" ht="11.4">
      <c r="B511" s="81"/>
      <c r="C511" s="81"/>
      <c r="D511" s="81"/>
      <c r="E511" s="81"/>
      <c r="F511" s="81"/>
      <c r="G511" s="81"/>
      <c r="H511" s="81"/>
      <c r="I511" s="81"/>
      <c r="J511" s="81"/>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row>
    <row r="512" spans="2:58" s="9" customFormat="1" ht="11.4">
      <c r="B512" s="81"/>
      <c r="C512" s="81"/>
      <c r="D512" s="81"/>
      <c r="E512" s="81"/>
      <c r="F512" s="81"/>
      <c r="G512" s="81"/>
      <c r="H512" s="81"/>
      <c r="I512" s="81"/>
      <c r="J512" s="81"/>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row>
    <row r="513" spans="2:58" s="9" customFormat="1" ht="11.4">
      <c r="B513" s="81"/>
      <c r="C513" s="81"/>
      <c r="D513" s="81"/>
      <c r="E513" s="81"/>
      <c r="F513" s="81"/>
      <c r="G513" s="81"/>
      <c r="H513" s="81"/>
      <c r="I513" s="81"/>
      <c r="J513" s="81"/>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row>
    <row r="514" spans="2:58" s="9" customFormat="1" ht="11.4">
      <c r="B514" s="81"/>
      <c r="C514" s="81"/>
      <c r="D514" s="81"/>
      <c r="E514" s="81"/>
      <c r="F514" s="81"/>
      <c r="G514" s="81"/>
      <c r="H514" s="81"/>
      <c r="I514" s="81"/>
      <c r="J514" s="81"/>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row>
    <row r="515" spans="2:58" s="9" customFormat="1" ht="11.4">
      <c r="B515" s="81"/>
      <c r="C515" s="81"/>
      <c r="D515" s="81"/>
      <c r="E515" s="81"/>
      <c r="F515" s="81"/>
      <c r="G515" s="81"/>
      <c r="H515" s="81"/>
      <c r="I515" s="81"/>
      <c r="J515" s="81"/>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row>
    <row r="516" spans="2:58" s="9" customFormat="1" ht="11.4">
      <c r="B516" s="81"/>
      <c r="C516" s="81"/>
      <c r="D516" s="81"/>
      <c r="E516" s="81"/>
      <c r="F516" s="81"/>
      <c r="G516" s="81"/>
      <c r="H516" s="81"/>
      <c r="I516" s="81"/>
      <c r="J516" s="81"/>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row>
    <row r="517" spans="2:58" s="9" customFormat="1" ht="11.4">
      <c r="B517" s="81"/>
      <c r="C517" s="81"/>
      <c r="D517" s="81"/>
      <c r="E517" s="81"/>
      <c r="F517" s="81"/>
      <c r="G517" s="81"/>
      <c r="H517" s="81"/>
      <c r="I517" s="81"/>
      <c r="J517" s="81"/>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row>
    <row r="518" spans="2:58" s="9" customFormat="1" ht="11.4">
      <c r="B518" s="81"/>
      <c r="C518" s="81"/>
      <c r="D518" s="81"/>
      <c r="E518" s="81"/>
      <c r="F518" s="81"/>
      <c r="G518" s="81"/>
      <c r="H518" s="81"/>
      <c r="I518" s="81"/>
      <c r="J518" s="81"/>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row>
    <row r="519" spans="2:58" s="9" customFormat="1" ht="11.4">
      <c r="B519" s="81"/>
      <c r="C519" s="81"/>
      <c r="D519" s="81"/>
      <c r="E519" s="81"/>
      <c r="F519" s="81"/>
      <c r="G519" s="81"/>
      <c r="H519" s="81"/>
      <c r="I519" s="81"/>
      <c r="J519" s="81"/>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row>
    <row r="520" spans="2:58" s="9" customFormat="1" ht="11.4">
      <c r="B520" s="81"/>
      <c r="C520" s="81"/>
      <c r="D520" s="81"/>
      <c r="E520" s="81"/>
      <c r="F520" s="81"/>
      <c r="G520" s="81"/>
      <c r="H520" s="81"/>
      <c r="I520" s="81"/>
      <c r="J520" s="81"/>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row>
    <row r="521" spans="2:58" s="9" customFormat="1" ht="11.4">
      <c r="B521" s="81"/>
      <c r="C521" s="81"/>
      <c r="D521" s="81"/>
      <c r="E521" s="81"/>
      <c r="F521" s="81"/>
      <c r="G521" s="81"/>
      <c r="H521" s="81"/>
      <c r="I521" s="81"/>
      <c r="J521" s="81"/>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row>
    <row r="522" spans="2:58" s="9" customFormat="1" ht="11.4">
      <c r="B522" s="81"/>
      <c r="C522" s="81"/>
      <c r="D522" s="81"/>
      <c r="E522" s="81"/>
      <c r="F522" s="81"/>
      <c r="G522" s="81"/>
      <c r="H522" s="81"/>
      <c r="I522" s="81"/>
      <c r="J522" s="81"/>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row>
    <row r="523" spans="2:58" s="9" customFormat="1" ht="11.4">
      <c r="B523" s="81"/>
      <c r="C523" s="81"/>
      <c r="D523" s="81"/>
      <c r="E523" s="81"/>
      <c r="F523" s="81"/>
      <c r="G523" s="81"/>
      <c r="H523" s="81"/>
      <c r="I523" s="81"/>
      <c r="J523" s="81"/>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row>
    <row r="524" spans="2:58" s="9" customFormat="1" ht="11.4">
      <c r="B524" s="81"/>
      <c r="C524" s="81"/>
      <c r="D524" s="81"/>
      <c r="E524" s="81"/>
      <c r="F524" s="81"/>
      <c r="G524" s="81"/>
      <c r="H524" s="81"/>
      <c r="I524" s="81"/>
      <c r="J524" s="81"/>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row>
    <row r="525" spans="2:58" s="9" customFormat="1" ht="11.4">
      <c r="B525" s="81"/>
      <c r="C525" s="81"/>
      <c r="D525" s="81"/>
      <c r="E525" s="81"/>
      <c r="F525" s="81"/>
      <c r="G525" s="81"/>
      <c r="H525" s="81"/>
      <c r="I525" s="81"/>
      <c r="J525" s="81"/>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row>
    <row r="526" spans="2:58" s="9" customFormat="1" ht="11.4">
      <c r="B526" s="81"/>
      <c r="C526" s="81"/>
      <c r="D526" s="81"/>
      <c r="E526" s="81"/>
      <c r="F526" s="81"/>
      <c r="G526" s="81"/>
      <c r="H526" s="81"/>
      <c r="I526" s="81"/>
      <c r="J526" s="81"/>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row>
    <row r="527" spans="2:58" s="9" customFormat="1" ht="11.4">
      <c r="B527" s="81"/>
      <c r="C527" s="81"/>
      <c r="D527" s="81"/>
      <c r="E527" s="81"/>
      <c r="F527" s="81"/>
      <c r="G527" s="81"/>
      <c r="H527" s="81"/>
      <c r="I527" s="81"/>
      <c r="J527" s="81"/>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row>
    <row r="528" spans="2:58" s="9" customFormat="1" ht="11.4">
      <c r="B528" s="81"/>
      <c r="C528" s="81"/>
      <c r="D528" s="81"/>
      <c r="E528" s="81"/>
      <c r="F528" s="81"/>
      <c r="G528" s="81"/>
      <c r="H528" s="81"/>
      <c r="I528" s="81"/>
      <c r="J528" s="81"/>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row>
    <row r="529" spans="2:58" s="9" customFormat="1" ht="11.4">
      <c r="B529" s="81"/>
      <c r="C529" s="81"/>
      <c r="D529" s="81"/>
      <c r="E529" s="81"/>
      <c r="F529" s="81"/>
      <c r="G529" s="81"/>
      <c r="H529" s="81"/>
      <c r="I529" s="81"/>
      <c r="J529" s="81"/>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row>
    <row r="530" spans="2:58" s="9" customFormat="1" ht="11.4">
      <c r="B530" s="81"/>
      <c r="C530" s="81"/>
      <c r="D530" s="81"/>
      <c r="E530" s="81"/>
      <c r="F530" s="81"/>
      <c r="G530" s="81"/>
      <c r="H530" s="81"/>
      <c r="I530" s="81"/>
      <c r="J530" s="81"/>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row>
    <row r="531" spans="2:58" s="9" customFormat="1" ht="11.4">
      <c r="B531" s="81"/>
      <c r="C531" s="81"/>
      <c r="D531" s="81"/>
      <c r="E531" s="81"/>
      <c r="F531" s="81"/>
      <c r="G531" s="81"/>
      <c r="H531" s="81"/>
      <c r="I531" s="81"/>
      <c r="J531" s="81"/>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row>
    <row r="532" spans="2:58" s="9" customFormat="1" ht="11.4">
      <c r="B532" s="81"/>
      <c r="C532" s="81"/>
      <c r="D532" s="81"/>
      <c r="E532" s="81"/>
      <c r="F532" s="81"/>
      <c r="G532" s="81"/>
      <c r="H532" s="81"/>
      <c r="I532" s="81"/>
      <c r="J532" s="81"/>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row>
  </sheetData>
  <sheetProtection sheet="1" objects="1" scenarios="1"/>
  <phoneticPr fontId="0" type="noConversion"/>
  <conditionalFormatting sqref="J10:K58 M10:P58 B10:H58 B61:H278 M61:P278 J61:K278">
    <cfRule type="expression" dxfId="14" priority="11" stopIfTrue="1">
      <formula>$N10="WHO Intern. Shipping guidelines"</formula>
    </cfRule>
  </conditionalFormatting>
  <conditionalFormatting sqref="I10:I58 I61:I278">
    <cfRule type="cellIs" dxfId="13" priority="12" stopIfTrue="1" operator="equal">
      <formula>0</formula>
    </cfRule>
    <cfRule type="expression" dxfId="12" priority="13" stopIfTrue="1">
      <formula>AND($I10&lt;&gt;0,$N10="WHO Intern. Shipping guidelines")</formula>
    </cfRule>
  </conditionalFormatting>
  <conditionalFormatting sqref="L10:L58 L61:L278">
    <cfRule type="cellIs" dxfId="11" priority="14" stopIfTrue="1" operator="equal">
      <formula>0</formula>
    </cfRule>
    <cfRule type="expression" dxfId="10" priority="15" stopIfTrue="1">
      <formula>AND($L10&lt;&gt;0,$N10="WHO Intern. Shipping guidelines")</formula>
    </cfRule>
  </conditionalFormatting>
  <conditionalFormatting sqref="J59:K59 M59:P59 B59:H59">
    <cfRule type="expression" dxfId="9" priority="6" stopIfTrue="1">
      <formula>$N59="WHO Intern. Shipping guidelines"</formula>
    </cfRule>
  </conditionalFormatting>
  <conditionalFormatting sqref="I59">
    <cfRule type="cellIs" dxfId="8" priority="7" stopIfTrue="1" operator="equal">
      <formula>0</formula>
    </cfRule>
    <cfRule type="expression" dxfId="7" priority="8" stopIfTrue="1">
      <formula>AND($I59&lt;&gt;0,$N59="WHO Intern. Shipping guidelines")</formula>
    </cfRule>
  </conditionalFormatting>
  <conditionalFormatting sqref="L59">
    <cfRule type="cellIs" dxfId="6" priority="9" stopIfTrue="1" operator="equal">
      <formula>0</formula>
    </cfRule>
    <cfRule type="expression" dxfId="5" priority="10" stopIfTrue="1">
      <formula>AND($L59&lt;&gt;0,$N59="WHO Intern. Shipping guidelines")</formula>
    </cfRule>
  </conditionalFormatting>
  <conditionalFormatting sqref="J60:K60 M60:P60 B60:H60">
    <cfRule type="expression" dxfId="4" priority="1" stopIfTrue="1">
      <formula>$N60="WHO Intern. Shipping guidelines"</formula>
    </cfRule>
  </conditionalFormatting>
  <conditionalFormatting sqref="I60">
    <cfRule type="cellIs" dxfId="3" priority="2" stopIfTrue="1" operator="equal">
      <formula>0</formula>
    </cfRule>
    <cfRule type="expression" dxfId="2" priority="3" stopIfTrue="1">
      <formula>AND($I60&lt;&gt;0,$N60="WHO Intern. Shipping guidelines")</formula>
    </cfRule>
  </conditionalFormatting>
  <conditionalFormatting sqref="L60">
    <cfRule type="cellIs" dxfId="1" priority="4" stopIfTrue="1" operator="equal">
      <formula>0</formula>
    </cfRule>
    <cfRule type="expression" dxfId="0" priority="5" stopIfTrue="1">
      <formula>AND($L60&lt;&gt;0,$N60="WHO Intern. Shipping guidelines")</formula>
    </cfRule>
  </conditionalFormatting>
  <dataValidations xWindow="443" yWindow="236" count="16">
    <dataValidation allowBlank="1" showInputMessage="1" showErrorMessage="1" promptTitle="packaging:" prompt="Indicate if the vaccine is currentely packed together with a seringue or if is presented in a prefilled, ready to use injection device." sqref="I131:I278 I103:I115 I10:I98" xr:uid="{00000000-0002-0000-1A00-000000000000}"/>
    <dataValidation allowBlank="1" showInputMessage="1" showErrorMessage="1" promptTitle="Packed volume:" prompt="Indicate the packed volume per dose for diluent or dropper." sqref="L131:L278 L103:L115 L10:L98" xr:uid="{00000000-0002-0000-1A00-000001000000}"/>
    <dataValidation allowBlank="1" showInputMessage="1" showErrorMessage="1" promptTitle="Packed volume:" prompt="Indicate the packed volume per dose of vaccine (cm3/dose)." sqref="K131:K278 K103:K115 K97:K98 K10:K94" xr:uid="{00000000-0002-0000-1A00-000002000000}"/>
    <dataValidation allowBlank="1" showInputMessage="1" showErrorMessage="1" promptTitle="packaging:" prompt="Indicate if the vaccine is currentely packed together with a syringe or if is presented in a prefilled syringe, or in compact AD prefilled device (Compact AD PFD)." sqref="I99:I102 I116:I130" xr:uid="{00000000-0002-0000-1A00-000003000000}"/>
    <dataValidation allowBlank="1" showInputMessage="1" showErrorMessage="1" promptTitle="Packed volume:" prompt="Indicate the packed volume per dose of vaccine or diluent." sqref="K99:L102 K116:L130 K95:K96" xr:uid="{00000000-0002-0000-1A00-000004000000}"/>
    <dataValidation allowBlank="1" showInputMessage="1" showErrorMessage="1" promptTitle="Trade mark:" prompt="Indicate the manufacturer or the trade mark of the vaccine." sqref="F10:F278" xr:uid="{00000000-0002-0000-1A00-000005000000}"/>
    <dataValidation allowBlank="1" showInputMessage="1" showErrorMessage="1" promptTitle="packaging:" prompt="Indicate for reconstituted vaccine, if diluents are packed together with the vaccine or not." sqref="H10:H278" xr:uid="{00000000-0002-0000-1A00-000006000000}"/>
    <dataValidation allowBlank="1" showInputMessage="1" showErrorMessage="1" promptTitle="Presentation:" prompt="Indicate the number of doses per single presentation." sqref="J10:J278" xr:uid="{00000000-0002-0000-1A00-000007000000}"/>
    <dataValidation allowBlank="1" showInputMessage="1" showErrorMessage="1" promptTitle="VVM:" prompt="Indicate the type of the VVM or Yes/No." sqref="M10:M278" xr:uid="{00000000-0002-0000-1A00-000008000000}"/>
    <dataValidation allowBlank="1" showInputMessage="1" showErrorMessage="1" promptTitle="Source of data:" prompt="Indicate the source of data presented. It can be manufacturer, NRA, other." sqref="N10:N278" xr:uid="{00000000-0002-0000-1A00-000009000000}"/>
    <dataValidation allowBlank="1" showInputMessage="1" showErrorMessage="1" promptTitle="Pre-qualification:" prompt="Indicate the date of the pre-qualification of the vaccine." sqref="O10:O278" xr:uid="{00000000-0002-0000-1A00-00000A000000}"/>
    <dataValidation allowBlank="1" showInputMessage="1" showErrorMessage="1" promptTitle="Presentation:" prompt="Indicate detailed presentation of the vaccine." sqref="G10:G278" xr:uid="{00000000-0002-0000-1A00-00000B000000}"/>
    <dataValidation allowBlank="1" showInputMessage="1" showErrorMessage="1" promptTitle="Vaccine initials:" prompt="Entre the vaccine name (common abreviation)." sqref="C10:C278" xr:uid="{00000000-0002-0000-1A00-00000C000000}"/>
    <dataValidation allowBlank="1" showInputMessage="1" showErrorMessage="1" promptTitle="Formulation:" prompt="Indicate the formulation of the vaccine, e.g. liquid, freeze-dried, liquid+freeze-dried, liquid+liquid, etc." sqref="D10:D278" xr:uid="{00000000-0002-0000-1A00-00000D000000}"/>
    <dataValidation allowBlank="1" showInputMessage="1" showErrorMessage="1" promptTitle="Vaccine product:" prompt="Entre the vaccine product name." sqref="B10:B278" xr:uid="{00000000-0002-0000-1A00-00000E000000}"/>
    <dataValidation allowBlank="1" showInputMessage="1" showErrorMessage="1" promptTitle="Mode of administration:" prompt="Indicate the mode of administration." sqref="E10:E278" xr:uid="{00000000-0002-0000-1A00-00000F000000}"/>
  </dataValidations>
  <hyperlinks>
    <hyperlink ref="P17" r:id="rId1" xr:uid="{00000000-0004-0000-1A00-000000000000}"/>
    <hyperlink ref="H1" location="Index!B1" display="Index!B1" xr:uid="{00000000-0004-0000-1A00-000001000000}"/>
    <hyperlink ref="P59" r:id="rId2" xr:uid="{00000000-0004-0000-1A00-000002000000}"/>
    <hyperlink ref="P60" r:id="rId3" xr:uid="{00000000-0004-0000-1A00-000003000000}"/>
  </hyperlinks>
  <printOptions horizontalCentered="1"/>
  <pageMargins left="0.19685039370078741" right="0.15748031496062992" top="0.27559055118110237" bottom="0.39370078740157483" header="0.15748031496062992" footer="0.19685039370078741"/>
  <pageSetup paperSize="9" orientation="landscape" r:id="rId4"/>
  <headerFooter alignWithMargins="0">
    <oddFooter>&amp;L&amp;8&amp;F&amp;A, Rev.Jan07&amp;R&amp;8WHO/IVB/EPI Logistics docs</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4">
    <tabColor indexed="12"/>
  </sheetPr>
  <dimension ref="A1:D200"/>
  <sheetViews>
    <sheetView topLeftCell="A154" workbookViewId="0">
      <selection activeCell="B152" sqref="B152"/>
    </sheetView>
  </sheetViews>
  <sheetFormatPr defaultColWidth="8.77734375" defaultRowHeight="13.2"/>
  <cols>
    <col min="1" max="1" width="3.6640625" customWidth="1"/>
    <col min="2" max="2" width="33.33203125" bestFit="1" customWidth="1"/>
    <col min="3" max="3" width="8.6640625" customWidth="1"/>
    <col min="4" max="4" width="3.6640625" customWidth="1"/>
  </cols>
  <sheetData>
    <row r="1" spans="1:4" s="108" customFormat="1" ht="18">
      <c r="A1" s="724"/>
      <c r="B1" s="725" t="s">
        <v>16</v>
      </c>
      <c r="C1" s="726" t="s">
        <v>203</v>
      </c>
      <c r="D1" s="724"/>
    </row>
    <row r="2" spans="1:4">
      <c r="A2" s="130"/>
      <c r="B2" s="150" t="s">
        <v>204</v>
      </c>
      <c r="C2" s="151" t="s">
        <v>205</v>
      </c>
      <c r="D2" s="130"/>
    </row>
    <row r="3" spans="1:4">
      <c r="A3" s="130"/>
      <c r="B3" s="150" t="s">
        <v>206</v>
      </c>
      <c r="C3" s="151" t="s">
        <v>207</v>
      </c>
      <c r="D3" s="130"/>
    </row>
    <row r="4" spans="1:4">
      <c r="A4" s="130"/>
      <c r="B4" s="184" t="s">
        <v>635</v>
      </c>
      <c r="C4" s="151" t="s">
        <v>208</v>
      </c>
      <c r="D4" s="130"/>
    </row>
    <row r="5" spans="1:4">
      <c r="A5" s="130"/>
      <c r="B5" s="150" t="s">
        <v>209</v>
      </c>
      <c r="C5" s="151" t="s">
        <v>207</v>
      </c>
      <c r="D5" s="130"/>
    </row>
    <row r="6" spans="1:4">
      <c r="A6" s="130"/>
      <c r="B6" s="150" t="s">
        <v>210</v>
      </c>
      <c r="C6" s="151" t="s">
        <v>208</v>
      </c>
      <c r="D6" s="130"/>
    </row>
    <row r="7" spans="1:4">
      <c r="A7" s="130"/>
      <c r="B7" s="150" t="s">
        <v>2054</v>
      </c>
      <c r="C7" s="151" t="s">
        <v>2055</v>
      </c>
      <c r="D7" s="130"/>
    </row>
    <row r="8" spans="1:4">
      <c r="A8" s="130"/>
      <c r="B8" s="150" t="s">
        <v>2056</v>
      </c>
      <c r="C8" s="151" t="s">
        <v>2055</v>
      </c>
      <c r="D8" s="130"/>
    </row>
    <row r="9" spans="1:4">
      <c r="A9" s="130"/>
      <c r="B9" s="150" t="s">
        <v>2057</v>
      </c>
      <c r="C9" s="151" t="s">
        <v>207</v>
      </c>
      <c r="D9" s="130"/>
    </row>
    <row r="10" spans="1:4">
      <c r="A10" s="130"/>
      <c r="B10" s="150" t="s">
        <v>2058</v>
      </c>
      <c r="C10" s="151" t="s">
        <v>2059</v>
      </c>
      <c r="D10" s="130"/>
    </row>
    <row r="11" spans="1:4">
      <c r="A11" s="130"/>
      <c r="B11" s="150" t="s">
        <v>2060</v>
      </c>
      <c r="C11" s="151" t="s">
        <v>207</v>
      </c>
      <c r="D11" s="130"/>
    </row>
    <row r="12" spans="1:4">
      <c r="A12" s="130"/>
      <c r="B12" s="150" t="s">
        <v>120</v>
      </c>
      <c r="C12" s="151" t="s">
        <v>207</v>
      </c>
      <c r="D12" s="130"/>
    </row>
    <row r="13" spans="1:4">
      <c r="A13" s="130"/>
      <c r="B13" s="150" t="s">
        <v>121</v>
      </c>
      <c r="C13" s="151" t="s">
        <v>205</v>
      </c>
      <c r="D13" s="130"/>
    </row>
    <row r="14" spans="1:4">
      <c r="A14" s="130"/>
      <c r="B14" s="150" t="s">
        <v>122</v>
      </c>
      <c r="C14" s="151" t="s">
        <v>2055</v>
      </c>
      <c r="D14" s="130"/>
    </row>
    <row r="15" spans="1:4">
      <c r="A15" s="130"/>
      <c r="B15" s="150" t="s">
        <v>123</v>
      </c>
      <c r="C15" s="151" t="s">
        <v>124</v>
      </c>
      <c r="D15" s="130"/>
    </row>
    <row r="16" spans="1:4">
      <c r="A16" s="130"/>
      <c r="B16" s="150" t="s">
        <v>125</v>
      </c>
      <c r="C16" s="151" t="s">
        <v>2055</v>
      </c>
      <c r="D16" s="130"/>
    </row>
    <row r="17" spans="1:4">
      <c r="A17" s="130"/>
      <c r="B17" s="150" t="s">
        <v>126</v>
      </c>
      <c r="C17" s="151" t="s">
        <v>207</v>
      </c>
      <c r="D17" s="130"/>
    </row>
    <row r="18" spans="1:4">
      <c r="A18" s="130"/>
      <c r="B18" s="184" t="s">
        <v>636</v>
      </c>
      <c r="C18" s="151" t="s">
        <v>208</v>
      </c>
      <c r="D18" s="130"/>
    </row>
    <row r="19" spans="1:4">
      <c r="A19" s="130"/>
      <c r="B19" s="150" t="s">
        <v>127</v>
      </c>
      <c r="C19" s="151" t="s">
        <v>208</v>
      </c>
      <c r="D19" s="130"/>
    </row>
    <row r="20" spans="1:4">
      <c r="A20" s="130"/>
      <c r="B20" s="150" t="s">
        <v>128</v>
      </c>
      <c r="C20" s="151" t="s">
        <v>124</v>
      </c>
      <c r="D20" s="130"/>
    </row>
    <row r="21" spans="1:4">
      <c r="A21" s="130"/>
      <c r="B21" s="150" t="s">
        <v>129</v>
      </c>
      <c r="C21" s="151" t="s">
        <v>207</v>
      </c>
      <c r="D21" s="130"/>
    </row>
    <row r="22" spans="1:4">
      <c r="A22" s="130"/>
      <c r="B22" s="150" t="s">
        <v>130</v>
      </c>
      <c r="C22" s="151" t="s">
        <v>2059</v>
      </c>
      <c r="D22" s="130"/>
    </row>
    <row r="23" spans="1:4">
      <c r="A23" s="130"/>
      <c r="B23" s="150" t="s">
        <v>131</v>
      </c>
      <c r="C23" s="151" t="s">
        <v>207</v>
      </c>
      <c r="D23" s="130"/>
    </row>
    <row r="24" spans="1:4">
      <c r="A24" s="130"/>
      <c r="B24" s="150" t="s">
        <v>132</v>
      </c>
      <c r="C24" s="151" t="s">
        <v>2055</v>
      </c>
      <c r="D24" s="130"/>
    </row>
    <row r="25" spans="1:4">
      <c r="A25" s="130"/>
      <c r="B25" s="150" t="s">
        <v>133</v>
      </c>
      <c r="C25" s="151" t="s">
        <v>2055</v>
      </c>
      <c r="D25" s="130"/>
    </row>
    <row r="26" spans="1:4">
      <c r="A26" s="130"/>
      <c r="B26" s="150" t="s">
        <v>134</v>
      </c>
      <c r="C26" s="151" t="s">
        <v>208</v>
      </c>
      <c r="D26" s="130"/>
    </row>
    <row r="27" spans="1:4">
      <c r="A27" s="130"/>
      <c r="B27" s="150" t="s">
        <v>135</v>
      </c>
      <c r="C27" s="151" t="s">
        <v>2055</v>
      </c>
      <c r="D27" s="130"/>
    </row>
    <row r="28" spans="1:4">
      <c r="A28" s="130"/>
      <c r="B28" s="150" t="s">
        <v>136</v>
      </c>
      <c r="C28" s="151" t="s">
        <v>2059</v>
      </c>
      <c r="D28" s="130"/>
    </row>
    <row r="29" spans="1:4">
      <c r="A29" s="130"/>
      <c r="B29" s="150" t="s">
        <v>137</v>
      </c>
      <c r="C29" s="151" t="s">
        <v>207</v>
      </c>
      <c r="D29" s="130"/>
    </row>
    <row r="30" spans="1:4">
      <c r="A30" s="130"/>
      <c r="B30" s="150" t="s">
        <v>138</v>
      </c>
      <c r="C30" s="151" t="s">
        <v>208</v>
      </c>
      <c r="D30" s="130"/>
    </row>
    <row r="31" spans="1:4">
      <c r="A31" s="130"/>
      <c r="B31" s="184" t="s">
        <v>637</v>
      </c>
      <c r="C31" s="151" t="s">
        <v>208</v>
      </c>
      <c r="D31" s="130"/>
    </row>
    <row r="32" spans="1:4">
      <c r="A32" s="130"/>
      <c r="B32" s="184" t="s">
        <v>1508</v>
      </c>
      <c r="C32" s="151" t="s">
        <v>208</v>
      </c>
      <c r="D32" s="130"/>
    </row>
    <row r="33" spans="1:4">
      <c r="A33" s="130"/>
      <c r="B33" s="150" t="s">
        <v>139</v>
      </c>
      <c r="C33" s="151" t="s">
        <v>2059</v>
      </c>
      <c r="D33" s="130"/>
    </row>
    <row r="34" spans="1:4">
      <c r="A34" s="130"/>
      <c r="B34" s="150" t="s">
        <v>140</v>
      </c>
      <c r="C34" s="151" t="s">
        <v>2055</v>
      </c>
      <c r="D34" s="130"/>
    </row>
    <row r="35" spans="1:4">
      <c r="A35" s="130"/>
      <c r="B35" s="150" t="s">
        <v>141</v>
      </c>
      <c r="C35" s="151" t="s">
        <v>208</v>
      </c>
      <c r="D35" s="130"/>
    </row>
    <row r="36" spans="1:4">
      <c r="A36" s="130"/>
      <c r="B36" s="184" t="s">
        <v>1509</v>
      </c>
      <c r="C36" s="151" t="s">
        <v>208</v>
      </c>
      <c r="D36" s="130"/>
    </row>
    <row r="37" spans="1:4">
      <c r="A37" s="130"/>
      <c r="B37" s="150" t="s">
        <v>142</v>
      </c>
      <c r="C37" s="151" t="s">
        <v>2055</v>
      </c>
      <c r="D37" s="130"/>
    </row>
    <row r="38" spans="1:4">
      <c r="A38" s="130"/>
      <c r="B38" s="150" t="s">
        <v>143</v>
      </c>
      <c r="C38" s="151" t="s">
        <v>2059</v>
      </c>
      <c r="D38" s="130"/>
    </row>
    <row r="39" spans="1:4">
      <c r="A39" s="130"/>
      <c r="B39" s="150" t="s">
        <v>144</v>
      </c>
      <c r="C39" s="151" t="s">
        <v>208</v>
      </c>
      <c r="D39" s="130"/>
    </row>
    <row r="40" spans="1:4">
      <c r="A40" s="130"/>
      <c r="B40" s="184" t="s">
        <v>1510</v>
      </c>
      <c r="C40" s="151" t="s">
        <v>208</v>
      </c>
      <c r="D40" s="130"/>
    </row>
    <row r="41" spans="1:4">
      <c r="A41" s="130"/>
      <c r="B41" s="150" t="s">
        <v>145</v>
      </c>
      <c r="C41" s="151" t="s">
        <v>2059</v>
      </c>
      <c r="D41" s="130"/>
    </row>
    <row r="42" spans="1:4">
      <c r="A42" s="130"/>
      <c r="B42" s="150" t="s">
        <v>146</v>
      </c>
      <c r="C42" s="151" t="s">
        <v>2055</v>
      </c>
      <c r="D42" s="130"/>
    </row>
    <row r="43" spans="1:4">
      <c r="A43" s="130"/>
      <c r="B43" s="150" t="s">
        <v>147</v>
      </c>
      <c r="C43" s="151" t="s">
        <v>208</v>
      </c>
      <c r="D43" s="130"/>
    </row>
    <row r="44" spans="1:4">
      <c r="A44" s="130"/>
      <c r="B44" s="150" t="s">
        <v>148</v>
      </c>
      <c r="C44" s="151" t="s">
        <v>2055</v>
      </c>
      <c r="D44" s="130"/>
    </row>
    <row r="45" spans="1:4">
      <c r="A45" s="130"/>
      <c r="B45" s="150" t="s">
        <v>149</v>
      </c>
      <c r="C45" s="151" t="s">
        <v>207</v>
      </c>
      <c r="D45" s="130"/>
    </row>
    <row r="46" spans="1:4">
      <c r="A46" s="130"/>
      <c r="B46" s="150" t="s">
        <v>150</v>
      </c>
      <c r="C46" s="151" t="s">
        <v>2055</v>
      </c>
      <c r="D46" s="130"/>
    </row>
    <row r="47" spans="1:4">
      <c r="A47" s="130"/>
      <c r="B47" s="150" t="s">
        <v>151</v>
      </c>
      <c r="C47" s="151" t="s">
        <v>205</v>
      </c>
      <c r="D47" s="130"/>
    </row>
    <row r="48" spans="1:4">
      <c r="A48" s="130"/>
      <c r="B48" s="150" t="s">
        <v>152</v>
      </c>
      <c r="C48" s="151" t="s">
        <v>207</v>
      </c>
      <c r="D48" s="130"/>
    </row>
    <row r="49" spans="1:4">
      <c r="A49" s="130"/>
      <c r="B49" s="150" t="s">
        <v>153</v>
      </c>
      <c r="C49" s="151" t="s">
        <v>207</v>
      </c>
      <c r="D49" s="130"/>
    </row>
    <row r="50" spans="1:4">
      <c r="A50" s="130"/>
      <c r="B50" s="150" t="s">
        <v>154</v>
      </c>
      <c r="C50" s="151" t="s">
        <v>207</v>
      </c>
      <c r="D50" s="130"/>
    </row>
    <row r="51" spans="1:4">
      <c r="A51" s="130"/>
      <c r="B51" s="150" t="s">
        <v>155</v>
      </c>
      <c r="C51" s="151" t="s">
        <v>205</v>
      </c>
      <c r="D51" s="130"/>
    </row>
    <row r="52" spans="1:4">
      <c r="A52" s="130"/>
      <c r="B52" s="150" t="s">
        <v>156</v>
      </c>
      <c r="C52" s="151" t="s">
        <v>2055</v>
      </c>
      <c r="D52" s="130"/>
    </row>
    <row r="53" spans="1:4">
      <c r="A53" s="130"/>
      <c r="B53" s="150" t="s">
        <v>157</v>
      </c>
      <c r="C53" s="151" t="s">
        <v>2055</v>
      </c>
      <c r="D53" s="130"/>
    </row>
    <row r="54" spans="1:4">
      <c r="A54" s="130"/>
      <c r="B54" s="150" t="s">
        <v>158</v>
      </c>
      <c r="C54" s="151" t="s">
        <v>2055</v>
      </c>
      <c r="D54" s="130"/>
    </row>
    <row r="55" spans="1:4">
      <c r="A55" s="130"/>
      <c r="B55" s="150" t="s">
        <v>1528</v>
      </c>
      <c r="C55" s="151" t="s">
        <v>205</v>
      </c>
      <c r="D55" s="130"/>
    </row>
    <row r="56" spans="1:4">
      <c r="A56" s="130"/>
      <c r="B56" s="150" t="s">
        <v>159</v>
      </c>
      <c r="C56" s="151" t="s">
        <v>2055</v>
      </c>
      <c r="D56" s="130"/>
    </row>
    <row r="57" spans="1:4">
      <c r="A57" s="130"/>
      <c r="B57" s="150" t="s">
        <v>160</v>
      </c>
      <c r="C57" s="151" t="s">
        <v>208</v>
      </c>
      <c r="D57" s="130"/>
    </row>
    <row r="58" spans="1:4">
      <c r="A58" s="130"/>
      <c r="B58" s="150" t="s">
        <v>161</v>
      </c>
      <c r="C58" s="151" t="s">
        <v>208</v>
      </c>
      <c r="D58" s="130"/>
    </row>
    <row r="59" spans="1:4">
      <c r="A59" s="130"/>
      <c r="B59" s="150" t="s">
        <v>162</v>
      </c>
      <c r="C59" s="151" t="s">
        <v>207</v>
      </c>
      <c r="D59" s="130"/>
    </row>
    <row r="60" spans="1:4">
      <c r="A60" s="130"/>
      <c r="B60" s="150" t="s">
        <v>163</v>
      </c>
      <c r="C60" s="151" t="s">
        <v>208</v>
      </c>
      <c r="D60" s="130"/>
    </row>
    <row r="61" spans="1:4">
      <c r="A61" s="130"/>
      <c r="B61" s="150" t="s">
        <v>164</v>
      </c>
      <c r="C61" s="151" t="s">
        <v>2059</v>
      </c>
      <c r="D61" s="130"/>
    </row>
    <row r="62" spans="1:4">
      <c r="A62" s="130"/>
      <c r="B62" s="150" t="s">
        <v>165</v>
      </c>
      <c r="C62" s="151" t="s">
        <v>207</v>
      </c>
      <c r="D62" s="130"/>
    </row>
    <row r="63" spans="1:4">
      <c r="A63" s="130"/>
      <c r="B63" s="150" t="s">
        <v>166</v>
      </c>
      <c r="C63" s="151" t="s">
        <v>207</v>
      </c>
      <c r="D63" s="130"/>
    </row>
    <row r="64" spans="1:4">
      <c r="A64" s="130"/>
      <c r="B64" s="150" t="s">
        <v>167</v>
      </c>
      <c r="C64" s="151" t="s">
        <v>208</v>
      </c>
      <c r="D64" s="130"/>
    </row>
    <row r="65" spans="1:4">
      <c r="A65" s="130"/>
      <c r="B65" s="150" t="s">
        <v>168</v>
      </c>
      <c r="C65" s="151" t="s">
        <v>208</v>
      </c>
      <c r="D65" s="130"/>
    </row>
    <row r="66" spans="1:4">
      <c r="A66" s="130"/>
      <c r="B66" s="150" t="s">
        <v>169</v>
      </c>
      <c r="C66" s="151" t="s">
        <v>208</v>
      </c>
      <c r="D66" s="130"/>
    </row>
    <row r="67" spans="1:4">
      <c r="A67" s="130"/>
      <c r="B67" s="150" t="s">
        <v>170</v>
      </c>
      <c r="C67" s="151" t="s">
        <v>207</v>
      </c>
      <c r="D67" s="130"/>
    </row>
    <row r="68" spans="1:4">
      <c r="A68" s="130"/>
      <c r="B68" s="150" t="s">
        <v>171</v>
      </c>
      <c r="C68" s="151" t="s">
        <v>2055</v>
      </c>
      <c r="D68" s="130"/>
    </row>
    <row r="69" spans="1:4">
      <c r="A69" s="130"/>
      <c r="B69" s="150" t="s">
        <v>172</v>
      </c>
      <c r="C69" s="151" t="s">
        <v>207</v>
      </c>
      <c r="D69" s="130"/>
    </row>
    <row r="70" spans="1:4">
      <c r="A70" s="130"/>
      <c r="B70" s="184" t="s">
        <v>2123</v>
      </c>
      <c r="C70" s="151" t="s">
        <v>208</v>
      </c>
      <c r="D70" s="130"/>
    </row>
    <row r="71" spans="1:4">
      <c r="A71" s="130"/>
      <c r="B71" s="184" t="s">
        <v>1511</v>
      </c>
      <c r="C71" s="151" t="s">
        <v>208</v>
      </c>
      <c r="D71" s="130"/>
    </row>
    <row r="72" spans="1:4">
      <c r="A72" s="130"/>
      <c r="B72" s="150" t="s">
        <v>1182</v>
      </c>
      <c r="C72" s="151" t="s">
        <v>2055</v>
      </c>
      <c r="D72" s="130"/>
    </row>
    <row r="73" spans="1:4">
      <c r="A73" s="130"/>
      <c r="B73" s="150" t="s">
        <v>1183</v>
      </c>
      <c r="C73" s="151" t="s">
        <v>2055</v>
      </c>
      <c r="D73" s="130"/>
    </row>
    <row r="74" spans="1:4">
      <c r="A74" s="130"/>
      <c r="B74" s="150" t="s">
        <v>1184</v>
      </c>
      <c r="C74" s="151" t="s">
        <v>2055</v>
      </c>
      <c r="D74" s="130"/>
    </row>
    <row r="75" spans="1:4">
      <c r="A75" s="130"/>
      <c r="B75" s="150" t="s">
        <v>1185</v>
      </c>
      <c r="C75" s="151" t="s">
        <v>2055</v>
      </c>
      <c r="D75" s="130"/>
    </row>
    <row r="76" spans="1:4">
      <c r="A76" s="130"/>
      <c r="B76" s="150" t="s">
        <v>711</v>
      </c>
      <c r="C76" s="151" t="s">
        <v>207</v>
      </c>
      <c r="D76" s="130"/>
    </row>
    <row r="77" spans="1:4">
      <c r="A77" s="130"/>
      <c r="B77" s="150" t="s">
        <v>1622</v>
      </c>
      <c r="C77" s="151" t="s">
        <v>207</v>
      </c>
      <c r="D77" s="130"/>
    </row>
    <row r="78" spans="1:4">
      <c r="A78" s="130"/>
      <c r="B78" s="150" t="s">
        <v>1623</v>
      </c>
      <c r="C78" s="151" t="s">
        <v>124</v>
      </c>
      <c r="D78" s="130"/>
    </row>
    <row r="79" spans="1:4">
      <c r="A79" s="130"/>
      <c r="B79" s="150" t="s">
        <v>1624</v>
      </c>
      <c r="C79" s="151" t="s">
        <v>124</v>
      </c>
      <c r="D79" s="130"/>
    </row>
    <row r="80" spans="1:4">
      <c r="A80" s="130"/>
      <c r="B80" s="150" t="s">
        <v>1625</v>
      </c>
      <c r="C80" s="151" t="s">
        <v>205</v>
      </c>
      <c r="D80" s="130"/>
    </row>
    <row r="81" spans="1:4">
      <c r="A81" s="130"/>
      <c r="B81" s="150" t="s">
        <v>1626</v>
      </c>
      <c r="C81" s="151" t="s">
        <v>207</v>
      </c>
      <c r="D81" s="130"/>
    </row>
    <row r="82" spans="1:4">
      <c r="A82" s="130"/>
      <c r="B82" s="150" t="s">
        <v>1627</v>
      </c>
      <c r="C82" s="151" t="s">
        <v>205</v>
      </c>
      <c r="D82" s="130"/>
    </row>
    <row r="83" spans="1:4">
      <c r="A83" s="130"/>
      <c r="B83" s="150" t="s">
        <v>1628</v>
      </c>
      <c r="C83" s="151" t="s">
        <v>207</v>
      </c>
      <c r="D83" s="130"/>
    </row>
    <row r="84" spans="1:4">
      <c r="A84" s="130"/>
      <c r="B84" s="150" t="s">
        <v>1629</v>
      </c>
      <c r="C84" s="151" t="s">
        <v>207</v>
      </c>
      <c r="D84" s="130"/>
    </row>
    <row r="85" spans="1:4">
      <c r="A85" s="130"/>
      <c r="B85" s="150" t="s">
        <v>1630</v>
      </c>
      <c r="C85" s="151" t="s">
        <v>208</v>
      </c>
      <c r="D85" s="130"/>
    </row>
    <row r="86" spans="1:4">
      <c r="A86" s="130"/>
      <c r="B86" s="150" t="s">
        <v>1631</v>
      </c>
      <c r="C86" s="151" t="s">
        <v>2055</v>
      </c>
      <c r="D86" s="130"/>
    </row>
    <row r="87" spans="1:4">
      <c r="A87" s="130"/>
      <c r="B87" s="150" t="s">
        <v>1632</v>
      </c>
      <c r="C87" s="151" t="s">
        <v>205</v>
      </c>
      <c r="D87" s="130"/>
    </row>
    <row r="88" spans="1:4">
      <c r="A88" s="130"/>
      <c r="B88" s="150" t="s">
        <v>1633</v>
      </c>
      <c r="C88" s="151" t="s">
        <v>2059</v>
      </c>
      <c r="D88" s="130"/>
    </row>
    <row r="89" spans="1:4">
      <c r="A89" s="130"/>
      <c r="B89" s="150" t="s">
        <v>1634</v>
      </c>
      <c r="C89" s="151" t="s">
        <v>207</v>
      </c>
      <c r="D89" s="130"/>
    </row>
    <row r="90" spans="1:4">
      <c r="A90" s="130"/>
      <c r="B90" s="150" t="s">
        <v>1635</v>
      </c>
      <c r="C90" s="151" t="s">
        <v>208</v>
      </c>
      <c r="D90" s="130"/>
    </row>
    <row r="91" spans="1:4">
      <c r="A91" s="130"/>
      <c r="B91" s="150" t="s">
        <v>1636</v>
      </c>
      <c r="C91" s="151" t="s">
        <v>207</v>
      </c>
      <c r="D91" s="130"/>
    </row>
    <row r="92" spans="1:4">
      <c r="A92" s="130"/>
      <c r="B92" s="150" t="s">
        <v>1637</v>
      </c>
      <c r="C92" s="151" t="s">
        <v>2059</v>
      </c>
      <c r="D92" s="130"/>
    </row>
    <row r="93" spans="1:4">
      <c r="A93" s="130"/>
      <c r="B93" s="150" t="s">
        <v>1638</v>
      </c>
      <c r="C93" s="151" t="s">
        <v>2059</v>
      </c>
      <c r="D93" s="130"/>
    </row>
    <row r="94" spans="1:4">
      <c r="A94" s="130"/>
      <c r="B94" s="150" t="s">
        <v>1639</v>
      </c>
      <c r="C94" s="151" t="s">
        <v>124</v>
      </c>
      <c r="D94" s="130"/>
    </row>
    <row r="95" spans="1:4">
      <c r="A95" s="130"/>
      <c r="B95" s="150" t="s">
        <v>1640</v>
      </c>
      <c r="C95" s="151" t="s">
        <v>205</v>
      </c>
      <c r="D95" s="130"/>
    </row>
    <row r="96" spans="1:4">
      <c r="A96" s="130"/>
      <c r="B96" s="150" t="s">
        <v>1641</v>
      </c>
      <c r="C96" s="151" t="s">
        <v>2059</v>
      </c>
      <c r="D96" s="130"/>
    </row>
    <row r="97" spans="1:4">
      <c r="A97" s="130"/>
      <c r="B97" s="150" t="s">
        <v>1642</v>
      </c>
      <c r="C97" s="151" t="s">
        <v>205</v>
      </c>
      <c r="D97" s="130"/>
    </row>
    <row r="98" spans="1:4">
      <c r="A98" s="130"/>
      <c r="B98" s="150" t="s">
        <v>1643</v>
      </c>
      <c r="C98" s="151" t="s">
        <v>208</v>
      </c>
      <c r="D98" s="130"/>
    </row>
    <row r="99" spans="1:4">
      <c r="A99" s="130"/>
      <c r="B99" s="150" t="s">
        <v>1644</v>
      </c>
      <c r="C99" s="151" t="s">
        <v>208</v>
      </c>
      <c r="D99" s="130"/>
    </row>
    <row r="100" spans="1:4">
      <c r="A100" s="130"/>
      <c r="B100" s="150" t="s">
        <v>1645</v>
      </c>
      <c r="C100" s="151" t="s">
        <v>205</v>
      </c>
      <c r="D100" s="130"/>
    </row>
    <row r="101" spans="1:4">
      <c r="A101" s="130"/>
      <c r="B101" s="150" t="s">
        <v>1646</v>
      </c>
      <c r="C101" s="151" t="s">
        <v>207</v>
      </c>
      <c r="D101" s="130"/>
    </row>
    <row r="102" spans="1:4">
      <c r="A102" s="130"/>
      <c r="B102" s="150" t="s">
        <v>1647</v>
      </c>
      <c r="C102" s="151" t="s">
        <v>207</v>
      </c>
      <c r="D102" s="130"/>
    </row>
    <row r="103" spans="1:4">
      <c r="A103" s="130"/>
      <c r="B103" s="150" t="s">
        <v>1648</v>
      </c>
      <c r="C103" s="151" t="s">
        <v>207</v>
      </c>
      <c r="D103" s="130"/>
    </row>
    <row r="104" spans="1:4">
      <c r="A104" s="130"/>
      <c r="B104" s="150" t="s">
        <v>1649</v>
      </c>
      <c r="C104" s="151" t="s">
        <v>2059</v>
      </c>
      <c r="D104" s="130"/>
    </row>
    <row r="105" spans="1:4">
      <c r="A105" s="130"/>
      <c r="B105" s="150" t="s">
        <v>1650</v>
      </c>
      <c r="C105" s="151" t="s">
        <v>208</v>
      </c>
      <c r="D105" s="130"/>
    </row>
    <row r="106" spans="1:4">
      <c r="A106" s="130"/>
      <c r="B106" s="150" t="s">
        <v>1651</v>
      </c>
      <c r="C106" s="151" t="s">
        <v>208</v>
      </c>
      <c r="D106" s="130"/>
    </row>
    <row r="107" spans="1:4">
      <c r="A107" s="130"/>
      <c r="B107" s="150" t="s">
        <v>223</v>
      </c>
      <c r="C107" s="151" t="s">
        <v>208</v>
      </c>
      <c r="D107" s="130"/>
    </row>
    <row r="108" spans="1:4">
      <c r="A108" s="130"/>
      <c r="B108" s="150" t="s">
        <v>224</v>
      </c>
      <c r="C108" s="151" t="s">
        <v>208</v>
      </c>
      <c r="D108" s="130"/>
    </row>
    <row r="109" spans="1:4">
      <c r="A109" s="130"/>
      <c r="B109" s="150" t="s">
        <v>225</v>
      </c>
      <c r="C109" s="151" t="s">
        <v>207</v>
      </c>
      <c r="D109" s="130"/>
    </row>
    <row r="110" spans="1:4">
      <c r="A110" s="130"/>
      <c r="B110" s="184" t="s">
        <v>1512</v>
      </c>
      <c r="C110" s="151" t="s">
        <v>208</v>
      </c>
      <c r="D110" s="130"/>
    </row>
    <row r="111" spans="1:4">
      <c r="A111" s="130"/>
      <c r="B111" s="150" t="s">
        <v>226</v>
      </c>
      <c r="C111" s="151" t="s">
        <v>124</v>
      </c>
      <c r="D111" s="130"/>
    </row>
    <row r="112" spans="1:4">
      <c r="A112" s="130"/>
      <c r="B112" s="150" t="s">
        <v>227</v>
      </c>
      <c r="C112" s="151" t="s">
        <v>207</v>
      </c>
      <c r="D112" s="130"/>
    </row>
    <row r="113" spans="1:4">
      <c r="A113" s="130"/>
      <c r="B113" s="150" t="s">
        <v>228</v>
      </c>
      <c r="C113" s="151" t="s">
        <v>2055</v>
      </c>
      <c r="D113" s="130"/>
    </row>
    <row r="114" spans="1:4">
      <c r="A114" s="130"/>
      <c r="B114" s="150" t="s">
        <v>229</v>
      </c>
      <c r="C114" s="151" t="s">
        <v>2059</v>
      </c>
      <c r="D114" s="130"/>
    </row>
    <row r="115" spans="1:4">
      <c r="A115" s="130"/>
      <c r="B115" s="150" t="s">
        <v>230</v>
      </c>
      <c r="C115" s="151" t="s">
        <v>207</v>
      </c>
      <c r="D115" s="130"/>
    </row>
    <row r="116" spans="1:4">
      <c r="A116" s="130"/>
      <c r="B116" s="150" t="s">
        <v>231</v>
      </c>
      <c r="C116" s="151" t="s">
        <v>124</v>
      </c>
      <c r="D116" s="130"/>
    </row>
    <row r="117" spans="1:4">
      <c r="A117" s="130"/>
      <c r="B117" s="152" t="s">
        <v>232</v>
      </c>
      <c r="C117" s="153" t="s">
        <v>207</v>
      </c>
      <c r="D117" s="130"/>
    </row>
    <row r="118" spans="1:4">
      <c r="A118" s="130"/>
      <c r="B118" s="150" t="s">
        <v>233</v>
      </c>
      <c r="C118" s="151" t="s">
        <v>2059</v>
      </c>
      <c r="D118" s="130"/>
    </row>
    <row r="119" spans="1:4">
      <c r="A119" s="130"/>
      <c r="B119" s="150" t="s">
        <v>234</v>
      </c>
      <c r="C119" s="151" t="s">
        <v>207</v>
      </c>
      <c r="D119" s="130"/>
    </row>
    <row r="120" spans="1:4">
      <c r="A120" s="130"/>
      <c r="B120" s="150" t="s">
        <v>235</v>
      </c>
      <c r="C120" s="151" t="s">
        <v>205</v>
      </c>
      <c r="D120" s="130"/>
    </row>
    <row r="121" spans="1:4">
      <c r="A121" s="130"/>
      <c r="B121" s="150" t="s">
        <v>236</v>
      </c>
      <c r="C121" s="151" t="s">
        <v>208</v>
      </c>
      <c r="D121" s="130"/>
    </row>
    <row r="122" spans="1:4">
      <c r="A122" s="130"/>
      <c r="B122" s="150" t="s">
        <v>237</v>
      </c>
      <c r="C122" s="151" t="s">
        <v>2059</v>
      </c>
      <c r="D122" s="130"/>
    </row>
    <row r="123" spans="1:4">
      <c r="A123" s="130"/>
      <c r="B123" s="150" t="s">
        <v>238</v>
      </c>
      <c r="C123" s="151" t="s">
        <v>208</v>
      </c>
      <c r="D123" s="130"/>
    </row>
    <row r="124" spans="1:4">
      <c r="A124" s="130"/>
      <c r="B124" s="150" t="s">
        <v>239</v>
      </c>
      <c r="C124" s="151" t="s">
        <v>124</v>
      </c>
      <c r="D124" s="130"/>
    </row>
    <row r="125" spans="1:4">
      <c r="A125" s="130"/>
      <c r="B125" s="150" t="s">
        <v>240</v>
      </c>
      <c r="C125" s="151" t="s">
        <v>207</v>
      </c>
      <c r="D125" s="130"/>
    </row>
    <row r="126" spans="1:4">
      <c r="A126" s="130"/>
      <c r="B126" s="150" t="s">
        <v>241</v>
      </c>
      <c r="C126" s="151" t="s">
        <v>2059</v>
      </c>
      <c r="D126" s="130"/>
    </row>
    <row r="127" spans="1:4">
      <c r="A127" s="130"/>
      <c r="B127" s="150" t="s">
        <v>242</v>
      </c>
      <c r="C127" s="151" t="s">
        <v>2055</v>
      </c>
      <c r="D127" s="130"/>
    </row>
    <row r="128" spans="1:4">
      <c r="A128" s="130"/>
      <c r="B128" s="150" t="s">
        <v>243</v>
      </c>
      <c r="C128" s="151" t="s">
        <v>208</v>
      </c>
      <c r="D128" s="130"/>
    </row>
    <row r="129" spans="1:4">
      <c r="A129" s="130"/>
      <c r="B129" s="150" t="s">
        <v>244</v>
      </c>
      <c r="C129" s="151" t="s">
        <v>208</v>
      </c>
      <c r="D129" s="130"/>
    </row>
    <row r="130" spans="1:4">
      <c r="A130" s="130"/>
      <c r="B130" s="150" t="s">
        <v>245</v>
      </c>
      <c r="C130" s="151" t="s">
        <v>2059</v>
      </c>
      <c r="D130" s="130"/>
    </row>
    <row r="131" spans="1:4">
      <c r="A131" s="130"/>
      <c r="B131" s="150" t="s">
        <v>1419</v>
      </c>
      <c r="C131" s="151" t="s">
        <v>207</v>
      </c>
      <c r="D131" s="130"/>
    </row>
    <row r="132" spans="1:4">
      <c r="A132" s="130"/>
      <c r="B132" s="150" t="s">
        <v>1420</v>
      </c>
      <c r="C132" s="151" t="s">
        <v>2059</v>
      </c>
      <c r="D132" s="130"/>
    </row>
    <row r="133" spans="1:4">
      <c r="A133" s="130"/>
      <c r="B133" s="150" t="s">
        <v>1421</v>
      </c>
      <c r="C133" s="151" t="s">
        <v>205</v>
      </c>
      <c r="D133" s="130"/>
    </row>
    <row r="134" spans="1:4">
      <c r="A134" s="130"/>
      <c r="B134" s="150" t="s">
        <v>1422</v>
      </c>
      <c r="C134" s="151" t="s">
        <v>205</v>
      </c>
      <c r="D134" s="130"/>
    </row>
    <row r="135" spans="1:4">
      <c r="A135" s="130"/>
      <c r="B135" s="150" t="s">
        <v>1423</v>
      </c>
      <c r="C135" s="151" t="s">
        <v>2055</v>
      </c>
      <c r="D135" s="130"/>
    </row>
    <row r="136" spans="1:4">
      <c r="A136" s="130"/>
      <c r="B136" s="150" t="s">
        <v>1424</v>
      </c>
      <c r="C136" s="151" t="s">
        <v>2055</v>
      </c>
      <c r="D136" s="130"/>
    </row>
    <row r="137" spans="1:4">
      <c r="A137" s="130"/>
      <c r="B137" s="150" t="s">
        <v>1425</v>
      </c>
      <c r="C137" s="151" t="s">
        <v>2055</v>
      </c>
      <c r="D137" s="130"/>
    </row>
    <row r="138" spans="1:4">
      <c r="A138" s="130"/>
      <c r="B138" s="150" t="s">
        <v>1426</v>
      </c>
      <c r="C138" s="151" t="s">
        <v>2059</v>
      </c>
      <c r="D138" s="130"/>
    </row>
    <row r="139" spans="1:4">
      <c r="A139" s="130"/>
      <c r="B139" s="150" t="s">
        <v>1427</v>
      </c>
      <c r="C139" s="151" t="s">
        <v>2059</v>
      </c>
      <c r="D139" s="130"/>
    </row>
    <row r="140" spans="1:4">
      <c r="A140" s="130"/>
      <c r="B140" s="150" t="s">
        <v>1428</v>
      </c>
      <c r="C140" s="151" t="s">
        <v>207</v>
      </c>
      <c r="D140" s="130"/>
    </row>
    <row r="141" spans="1:4">
      <c r="A141" s="130"/>
      <c r="B141" s="150" t="s">
        <v>1429</v>
      </c>
      <c r="C141" s="151" t="s">
        <v>207</v>
      </c>
      <c r="D141" s="130"/>
    </row>
    <row r="142" spans="1:4">
      <c r="A142" s="130"/>
      <c r="B142" s="150" t="s">
        <v>1430</v>
      </c>
      <c r="C142" s="151" t="s">
        <v>205</v>
      </c>
      <c r="D142" s="130"/>
    </row>
    <row r="143" spans="1:4">
      <c r="A143" s="130"/>
      <c r="B143" s="150" t="s">
        <v>1431</v>
      </c>
      <c r="C143" s="151" t="s">
        <v>207</v>
      </c>
      <c r="D143" s="130"/>
    </row>
    <row r="144" spans="1:4">
      <c r="A144" s="130"/>
      <c r="B144" s="150" t="s">
        <v>1432</v>
      </c>
      <c r="C144" s="151" t="s">
        <v>207</v>
      </c>
      <c r="D144" s="130"/>
    </row>
    <row r="145" spans="1:4">
      <c r="A145" s="130"/>
      <c r="B145" s="150" t="s">
        <v>1433</v>
      </c>
      <c r="C145" s="151" t="s">
        <v>208</v>
      </c>
      <c r="D145" s="130"/>
    </row>
    <row r="146" spans="1:4">
      <c r="A146" s="130"/>
      <c r="B146" s="150" t="s">
        <v>1434</v>
      </c>
      <c r="C146" s="151" t="s">
        <v>205</v>
      </c>
      <c r="D146" s="130"/>
    </row>
    <row r="147" spans="1:4">
      <c r="A147" s="130"/>
      <c r="B147" s="150" t="s">
        <v>1435</v>
      </c>
      <c r="C147" s="151" t="s">
        <v>2055</v>
      </c>
      <c r="D147" s="130"/>
    </row>
    <row r="148" spans="1:4">
      <c r="A148" s="130"/>
      <c r="B148" s="150" t="s">
        <v>1436</v>
      </c>
      <c r="C148" s="151" t="s">
        <v>2055</v>
      </c>
      <c r="D148" s="130"/>
    </row>
    <row r="149" spans="1:4">
      <c r="A149" s="130"/>
      <c r="B149" s="150" t="s">
        <v>1437</v>
      </c>
      <c r="C149" s="151" t="s">
        <v>2055</v>
      </c>
      <c r="D149" s="130"/>
    </row>
    <row r="150" spans="1:4">
      <c r="A150" s="130"/>
      <c r="B150" s="184" t="s">
        <v>1513</v>
      </c>
      <c r="C150" s="151" t="s">
        <v>208</v>
      </c>
      <c r="D150" s="130"/>
    </row>
    <row r="151" spans="1:4">
      <c r="A151" s="130"/>
      <c r="B151" s="150" t="s">
        <v>1438</v>
      </c>
      <c r="C151" s="151" t="s">
        <v>208</v>
      </c>
      <c r="D151" s="130"/>
    </row>
    <row r="152" spans="1:4">
      <c r="A152" s="130"/>
      <c r="B152" s="150" t="s">
        <v>1439</v>
      </c>
      <c r="C152" s="151" t="s">
        <v>208</v>
      </c>
      <c r="D152" s="130"/>
    </row>
    <row r="153" spans="1:4">
      <c r="A153" s="130"/>
      <c r="B153" s="150" t="s">
        <v>1186</v>
      </c>
      <c r="C153" s="151" t="s">
        <v>2059</v>
      </c>
      <c r="D153" s="130"/>
    </row>
    <row r="154" spans="1:4">
      <c r="A154" s="130"/>
      <c r="B154" s="150" t="s">
        <v>1187</v>
      </c>
      <c r="C154" s="151" t="s">
        <v>2059</v>
      </c>
      <c r="D154" s="130"/>
    </row>
    <row r="155" spans="1:4">
      <c r="A155" s="130"/>
      <c r="B155" s="150" t="s">
        <v>1188</v>
      </c>
      <c r="C155" s="151" t="s">
        <v>207</v>
      </c>
      <c r="D155" s="130"/>
    </row>
    <row r="156" spans="1:4">
      <c r="A156" s="130"/>
      <c r="B156" s="150" t="s">
        <v>1189</v>
      </c>
      <c r="C156" s="151" t="s">
        <v>208</v>
      </c>
      <c r="D156" s="130"/>
    </row>
    <row r="157" spans="1:4">
      <c r="A157" s="130"/>
      <c r="B157" s="150" t="s">
        <v>1190</v>
      </c>
      <c r="C157" s="151" t="s">
        <v>2059</v>
      </c>
      <c r="D157" s="130"/>
    </row>
    <row r="158" spans="1:4">
      <c r="A158" s="130"/>
      <c r="B158" s="150" t="s">
        <v>1191</v>
      </c>
      <c r="C158" s="151" t="s">
        <v>205</v>
      </c>
      <c r="D158" s="130"/>
    </row>
    <row r="159" spans="1:4">
      <c r="A159" s="130"/>
      <c r="B159" s="150" t="s">
        <v>1192</v>
      </c>
      <c r="C159" s="151" t="s">
        <v>207</v>
      </c>
      <c r="D159" s="130"/>
    </row>
    <row r="160" spans="1:4">
      <c r="A160" s="130"/>
      <c r="B160" s="150" t="s">
        <v>1193</v>
      </c>
      <c r="C160" s="151" t="s">
        <v>124</v>
      </c>
      <c r="D160" s="130"/>
    </row>
    <row r="161" spans="1:4">
      <c r="A161" s="130"/>
      <c r="B161" s="150" t="s">
        <v>1194</v>
      </c>
      <c r="C161" s="151" t="s">
        <v>208</v>
      </c>
      <c r="D161" s="130"/>
    </row>
    <row r="162" spans="1:4">
      <c r="A162" s="130"/>
      <c r="B162" s="150" t="s">
        <v>1195</v>
      </c>
      <c r="C162" s="151" t="s">
        <v>205</v>
      </c>
      <c r="D162" s="130"/>
    </row>
    <row r="163" spans="1:4">
      <c r="A163" s="130"/>
      <c r="B163" s="184" t="s">
        <v>19</v>
      </c>
      <c r="C163" s="199" t="s">
        <v>205</v>
      </c>
      <c r="D163" s="130"/>
    </row>
    <row r="164" spans="1:4">
      <c r="A164" s="130"/>
      <c r="B164" s="150" t="s">
        <v>1196</v>
      </c>
      <c r="C164" s="151" t="s">
        <v>2055</v>
      </c>
      <c r="D164" s="130"/>
    </row>
    <row r="165" spans="1:4">
      <c r="A165" s="130"/>
      <c r="B165" s="150" t="s">
        <v>1197</v>
      </c>
      <c r="C165" s="151" t="s">
        <v>207</v>
      </c>
      <c r="D165" s="130"/>
    </row>
    <row r="166" spans="1:4">
      <c r="A166" s="130"/>
      <c r="B166" s="150" t="s">
        <v>1198</v>
      </c>
      <c r="C166" s="151" t="s">
        <v>207</v>
      </c>
      <c r="D166" s="130"/>
    </row>
    <row r="167" spans="1:4">
      <c r="A167" s="130"/>
      <c r="B167" s="150" t="s">
        <v>1199</v>
      </c>
      <c r="C167" s="151" t="s">
        <v>207</v>
      </c>
      <c r="D167" s="130"/>
    </row>
    <row r="168" spans="1:4">
      <c r="A168" s="130"/>
      <c r="B168" s="150" t="s">
        <v>1200</v>
      </c>
      <c r="C168" s="151" t="s">
        <v>207</v>
      </c>
      <c r="D168" s="130"/>
    </row>
    <row r="169" spans="1:4">
      <c r="A169" s="130"/>
      <c r="B169" s="150" t="s">
        <v>1201</v>
      </c>
      <c r="C169" s="151" t="s">
        <v>208</v>
      </c>
      <c r="D169" s="130"/>
    </row>
    <row r="170" spans="1:4">
      <c r="A170" s="130"/>
      <c r="B170" s="150" t="s">
        <v>1202</v>
      </c>
      <c r="C170" s="151" t="s">
        <v>205</v>
      </c>
      <c r="D170" s="130"/>
    </row>
    <row r="171" spans="1:4">
      <c r="A171" s="130"/>
      <c r="B171" s="150" t="s">
        <v>1203</v>
      </c>
      <c r="C171" s="151" t="s">
        <v>208</v>
      </c>
      <c r="D171" s="130"/>
    </row>
    <row r="172" spans="1:4">
      <c r="A172" s="130"/>
      <c r="B172" s="150" t="s">
        <v>1204</v>
      </c>
      <c r="C172" s="151" t="s">
        <v>124</v>
      </c>
      <c r="D172" s="130"/>
    </row>
    <row r="173" spans="1:4">
      <c r="A173" s="130"/>
      <c r="B173" s="150" t="s">
        <v>1205</v>
      </c>
      <c r="C173" s="151" t="s">
        <v>207</v>
      </c>
      <c r="D173" s="130"/>
    </row>
    <row r="174" spans="1:4">
      <c r="A174" s="130"/>
      <c r="B174" s="150" t="s">
        <v>1206</v>
      </c>
      <c r="C174" s="151" t="s">
        <v>207</v>
      </c>
      <c r="D174" s="130"/>
    </row>
    <row r="175" spans="1:4">
      <c r="A175" s="130"/>
      <c r="B175" s="150" t="s">
        <v>1207</v>
      </c>
      <c r="C175" s="151" t="s">
        <v>124</v>
      </c>
      <c r="D175" s="130"/>
    </row>
    <row r="176" spans="1:4">
      <c r="A176" s="130"/>
      <c r="B176" s="150" t="s">
        <v>1208</v>
      </c>
      <c r="C176" s="151" t="s">
        <v>208</v>
      </c>
      <c r="D176" s="130"/>
    </row>
    <row r="177" spans="1:4">
      <c r="A177" s="130"/>
      <c r="B177" s="150" t="s">
        <v>1209</v>
      </c>
      <c r="C177" s="151" t="s">
        <v>2059</v>
      </c>
      <c r="D177" s="130"/>
    </row>
    <row r="178" spans="1:4">
      <c r="A178" s="130"/>
      <c r="B178" s="150" t="s">
        <v>1210</v>
      </c>
      <c r="C178" s="151" t="s">
        <v>2055</v>
      </c>
      <c r="D178" s="130"/>
    </row>
    <row r="179" spans="1:4">
      <c r="A179" s="130"/>
      <c r="B179" s="150" t="s">
        <v>1211</v>
      </c>
      <c r="C179" s="151" t="s">
        <v>205</v>
      </c>
      <c r="D179" s="130"/>
    </row>
    <row r="180" spans="1:4">
      <c r="A180" s="130"/>
      <c r="B180" s="150" t="s">
        <v>1212</v>
      </c>
      <c r="C180" s="151" t="s">
        <v>207</v>
      </c>
      <c r="D180" s="130"/>
    </row>
    <row r="181" spans="1:4">
      <c r="A181" s="130"/>
      <c r="B181" s="150" t="s">
        <v>1213</v>
      </c>
      <c r="C181" s="151" t="s">
        <v>2059</v>
      </c>
      <c r="D181" s="130"/>
    </row>
    <row r="182" spans="1:4">
      <c r="A182" s="130"/>
      <c r="B182" s="150" t="s">
        <v>1214</v>
      </c>
      <c r="C182" s="151" t="s">
        <v>205</v>
      </c>
      <c r="D182" s="130"/>
    </row>
    <row r="183" spans="1:4">
      <c r="A183" s="130"/>
      <c r="B183" s="150" t="s">
        <v>1215</v>
      </c>
      <c r="C183" s="151" t="s">
        <v>208</v>
      </c>
      <c r="D183" s="130"/>
    </row>
    <row r="184" spans="1:4">
      <c r="A184" s="130"/>
      <c r="B184" s="150" t="s">
        <v>1216</v>
      </c>
      <c r="C184" s="151" t="s">
        <v>207</v>
      </c>
      <c r="D184" s="130"/>
    </row>
    <row r="185" spans="1:4">
      <c r="A185" s="130"/>
      <c r="B185" s="150" t="s">
        <v>1217</v>
      </c>
      <c r="C185" s="151" t="s">
        <v>207</v>
      </c>
      <c r="D185" s="130"/>
    </row>
    <row r="186" spans="1:4">
      <c r="A186" s="130"/>
      <c r="B186" s="150" t="s">
        <v>1218</v>
      </c>
      <c r="C186" s="151" t="s">
        <v>2055</v>
      </c>
      <c r="D186" s="130"/>
    </row>
    <row r="187" spans="1:4">
      <c r="A187" s="130"/>
      <c r="B187" s="150" t="s">
        <v>1219</v>
      </c>
      <c r="C187" s="151" t="s">
        <v>2055</v>
      </c>
      <c r="D187" s="130"/>
    </row>
    <row r="188" spans="1:4">
      <c r="A188" s="130"/>
      <c r="B188" s="150" t="s">
        <v>1220</v>
      </c>
      <c r="C188" s="151" t="s">
        <v>207</v>
      </c>
      <c r="D188" s="130"/>
    </row>
    <row r="189" spans="1:4">
      <c r="A189" s="130"/>
      <c r="B189" s="150" t="s">
        <v>1221</v>
      </c>
      <c r="C189" s="151" t="s">
        <v>2059</v>
      </c>
      <c r="D189" s="130"/>
    </row>
    <row r="190" spans="1:4">
      <c r="A190" s="130"/>
      <c r="B190" s="150" t="s">
        <v>1222</v>
      </c>
      <c r="C190" s="151" t="s">
        <v>2055</v>
      </c>
      <c r="D190" s="130"/>
    </row>
    <row r="191" spans="1:4">
      <c r="A191" s="130"/>
      <c r="B191" s="150" t="s">
        <v>1223</v>
      </c>
      <c r="C191" s="151" t="s">
        <v>2059</v>
      </c>
      <c r="D191" s="130"/>
    </row>
    <row r="192" spans="1:4">
      <c r="A192" s="130"/>
      <c r="B192" s="150" t="s">
        <v>1224</v>
      </c>
      <c r="C192" s="151" t="s">
        <v>205</v>
      </c>
      <c r="D192" s="130"/>
    </row>
    <row r="193" spans="1:4">
      <c r="A193" s="130"/>
      <c r="B193" s="150" t="s">
        <v>1225</v>
      </c>
      <c r="C193" s="151" t="s">
        <v>207</v>
      </c>
      <c r="D193" s="130"/>
    </row>
    <row r="194" spans="1:4">
      <c r="A194" s="130"/>
      <c r="B194" s="150" t="s">
        <v>613</v>
      </c>
      <c r="C194" s="151" t="s">
        <v>208</v>
      </c>
      <c r="D194" s="130"/>
    </row>
    <row r="195" spans="1:4">
      <c r="A195" s="130"/>
      <c r="B195" s="150" t="s">
        <v>614</v>
      </c>
      <c r="C195" s="151" t="s">
        <v>208</v>
      </c>
      <c r="D195" s="130"/>
    </row>
    <row r="196" spans="1:4">
      <c r="A196" s="130"/>
      <c r="B196" s="789" t="s">
        <v>425</v>
      </c>
      <c r="C196" s="790" t="s">
        <v>326</v>
      </c>
      <c r="D196" s="130"/>
    </row>
    <row r="197" spans="1:4">
      <c r="A197" s="130"/>
      <c r="B197" s="789" t="s">
        <v>325</v>
      </c>
      <c r="C197" s="790" t="s">
        <v>327</v>
      </c>
      <c r="D197" s="130"/>
    </row>
    <row r="198" spans="1:4">
      <c r="A198" s="130"/>
      <c r="B198" s="130"/>
      <c r="C198" s="130"/>
      <c r="D198" s="130"/>
    </row>
    <row r="199" spans="1:4">
      <c r="A199" s="130"/>
      <c r="B199" s="130"/>
      <c r="C199" s="130"/>
      <c r="D199" s="130"/>
    </row>
    <row r="200" spans="1:4">
      <c r="A200" s="130"/>
      <c r="B200" s="130"/>
      <c r="C200" s="130"/>
      <c r="D200" s="130"/>
    </row>
  </sheetData>
  <sheetProtection sheet="1" objects="1" scenarios="1"/>
  <phoneticPr fontId="20" type="noConversion"/>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
    <tabColor indexed="23"/>
  </sheetPr>
  <dimension ref="A1:I663"/>
  <sheetViews>
    <sheetView workbookViewId="0">
      <pane ySplit="9" topLeftCell="A188" activePane="bottomLeft" state="frozen"/>
      <selection activeCell="F29" sqref="B2:F29"/>
      <selection pane="bottomLeft" activeCell="D203" sqref="D203"/>
    </sheetView>
  </sheetViews>
  <sheetFormatPr defaultColWidth="8.77734375" defaultRowHeight="13.2"/>
  <cols>
    <col min="1" max="1" width="4.44140625" style="5" customWidth="1"/>
    <col min="2" max="2" width="19.6640625" style="149" customWidth="1"/>
    <col min="3" max="7" width="43.6640625" style="149" customWidth="1"/>
    <col min="8" max="9" width="42.6640625" style="149" customWidth="1"/>
  </cols>
  <sheetData>
    <row r="1" spans="1:9" s="746" customFormat="1" ht="21">
      <c r="A1" s="740"/>
      <c r="B1" s="710" t="str">
        <f>C304</f>
        <v>Translation</v>
      </c>
      <c r="C1" s="741" t="str">
        <f>C305</f>
        <v>Current language:</v>
      </c>
      <c r="D1" s="742" t="str">
        <f>Cover!D12</f>
        <v>English</v>
      </c>
      <c r="E1" s="743"/>
      <c r="F1" s="744" t="str">
        <f>C109</f>
        <v>Index</v>
      </c>
      <c r="G1" s="745"/>
      <c r="H1" s="745"/>
      <c r="I1" s="745"/>
    </row>
    <row r="2" spans="1:9" s="133" customFormat="1" ht="6.45" customHeight="1">
      <c r="A2" s="132"/>
      <c r="B2" s="132"/>
      <c r="C2" s="132"/>
      <c r="D2" s="132"/>
      <c r="E2" s="132"/>
      <c r="F2" s="132"/>
      <c r="G2" s="132"/>
      <c r="H2" s="132"/>
      <c r="I2" s="132"/>
    </row>
    <row r="3" spans="1:9" s="137" customFormat="1">
      <c r="A3" s="134"/>
      <c r="B3" s="135" t="str">
        <f>C306</f>
        <v xml:space="preserve">Notes for translators: </v>
      </c>
      <c r="C3" s="136"/>
      <c r="D3" s="136"/>
      <c r="E3" s="136"/>
      <c r="F3" s="136"/>
      <c r="G3" s="136"/>
      <c r="H3" s="136"/>
      <c r="I3" s="136"/>
    </row>
    <row r="4" spans="1:9" s="137" customFormat="1">
      <c r="A4" s="134"/>
      <c r="B4" s="136" t="str">
        <f>C307</f>
        <v>1) Non-English translations should not contain more characters than the English language text. Use appropriate abbreviations to achieve this.</v>
      </c>
      <c r="C4" s="136"/>
      <c r="D4" s="136"/>
      <c r="E4" s="136"/>
      <c r="F4" s="136"/>
      <c r="G4" s="136"/>
      <c r="H4" s="136"/>
      <c r="I4" s="136"/>
    </row>
    <row r="5" spans="1:9" s="137" customFormat="1">
      <c r="A5" s="134"/>
      <c r="B5" s="136" t="str">
        <f>C308</f>
        <v xml:space="preserve">2) Follow English language formats.  For example 'E V M   A S S I S T A N T' should be translated with similar spaces between letters and words.  </v>
      </c>
      <c r="C5" s="136"/>
      <c r="D5" s="136"/>
      <c r="E5" s="136"/>
      <c r="F5" s="136"/>
      <c r="G5" s="136"/>
      <c r="H5" s="136"/>
      <c r="I5" s="136"/>
    </row>
    <row r="6" spans="1:9" s="137" customFormat="1">
      <c r="A6" s="134"/>
      <c r="B6" s="136" t="str">
        <f>C309</f>
        <v>3) Where indentation or hard carriage returns are used, follow the English language format.</v>
      </c>
      <c r="C6" s="136"/>
      <c r="D6" s="136"/>
      <c r="E6" s="136"/>
      <c r="F6" s="136"/>
      <c r="G6" s="136"/>
      <c r="H6" s="136"/>
      <c r="I6" s="136"/>
    </row>
    <row r="7" spans="1:9" s="137" customFormat="1">
      <c r="A7" s="134"/>
      <c r="B7" s="136" t="str">
        <f>C310</f>
        <v xml:space="preserve">4) The translations below are grouped by worksheet name in their alphabetical order.  This order is not the same as the order of worksheets in the workbook.  DO NOT attempt to reorder the layout. </v>
      </c>
      <c r="C7" s="136"/>
      <c r="D7" s="136"/>
      <c r="E7" s="136"/>
      <c r="F7" s="136"/>
      <c r="G7" s="136"/>
      <c r="H7" s="136"/>
      <c r="I7" s="136"/>
    </row>
    <row r="8" spans="1:9" s="139" customFormat="1" ht="6" customHeight="1">
      <c r="A8" s="138"/>
      <c r="B8" s="138"/>
      <c r="C8" s="138"/>
      <c r="D8" s="138"/>
      <c r="E8" s="138"/>
      <c r="F8" s="138"/>
      <c r="G8" s="138"/>
      <c r="H8" s="138"/>
      <c r="I8" s="138"/>
    </row>
    <row r="9" spans="1:9">
      <c r="A9" s="140">
        <v>1</v>
      </c>
      <c r="B9" s="141" t="s">
        <v>1530</v>
      </c>
      <c r="C9" s="141" t="s">
        <v>1531</v>
      </c>
      <c r="D9" s="141" t="s">
        <v>1532</v>
      </c>
      <c r="E9" s="141" t="s">
        <v>1529</v>
      </c>
      <c r="F9" s="141" t="s">
        <v>1533</v>
      </c>
      <c r="G9" s="141" t="s">
        <v>1534</v>
      </c>
      <c r="H9" s="141" t="s">
        <v>1535</v>
      </c>
      <c r="I9" s="141" t="s">
        <v>200</v>
      </c>
    </row>
    <row r="10" spans="1:9">
      <c r="A10" s="142">
        <f t="shared" ref="A10:A78" si="0">A9+1</f>
        <v>2</v>
      </c>
      <c r="B10" s="143" t="s">
        <v>1663</v>
      </c>
      <c r="C10" s="143" t="str">
        <f t="shared" ref="C10:C46" si="1">HLOOKUP($D$1,$D$9:$I$432,$A10,FALSE)</f>
        <v>Analysis of national and sub-national storage</v>
      </c>
      <c r="D10" s="195" t="s">
        <v>9</v>
      </c>
      <c r="E10" s="195" t="s">
        <v>10</v>
      </c>
      <c r="F10" s="195"/>
      <c r="G10" s="195"/>
      <c r="H10" s="195"/>
      <c r="I10" s="195"/>
    </row>
    <row r="11" spans="1:9">
      <c r="A11" s="142">
        <f t="shared" si="0"/>
        <v>3</v>
      </c>
      <c r="B11" s="144" t="s">
        <v>1663</v>
      </c>
      <c r="C11" s="144" t="str">
        <f t="shared" si="1"/>
        <v>Analysis per</v>
      </c>
      <c r="D11" s="146" t="s">
        <v>747</v>
      </c>
      <c r="E11" s="146" t="s">
        <v>1374</v>
      </c>
      <c r="F11" s="146"/>
      <c r="G11" s="146"/>
      <c r="H11" s="146"/>
      <c r="I11" s="146"/>
    </row>
    <row r="12" spans="1:9">
      <c r="A12" s="142">
        <f t="shared" si="0"/>
        <v>4</v>
      </c>
      <c r="B12" s="144" t="s">
        <v>1663</v>
      </c>
      <c r="C12" s="144" t="str">
        <f t="shared" si="1"/>
        <v>Total population</v>
      </c>
      <c r="D12" s="146" t="s">
        <v>838</v>
      </c>
      <c r="E12" s="5" t="s">
        <v>841</v>
      </c>
      <c r="F12" s="146"/>
      <c r="G12" s="146"/>
      <c r="H12" s="146"/>
      <c r="I12" s="146"/>
    </row>
    <row r="13" spans="1:9">
      <c r="A13" s="142">
        <f t="shared" si="0"/>
        <v>5</v>
      </c>
      <c r="B13" s="144" t="s">
        <v>1663</v>
      </c>
      <c r="C13" s="144" t="str">
        <f t="shared" si="1"/>
        <v>Fully immunized children</v>
      </c>
      <c r="D13" s="146" t="s">
        <v>1115</v>
      </c>
      <c r="E13" s="146" t="s">
        <v>1116</v>
      </c>
      <c r="F13" s="146"/>
      <c r="G13" s="146"/>
      <c r="H13" s="146"/>
      <c r="I13" s="146"/>
    </row>
    <row r="14" spans="1:9">
      <c r="A14" s="142">
        <f t="shared" si="0"/>
        <v>6</v>
      </c>
      <c r="B14" s="144" t="s">
        <v>1663</v>
      </c>
      <c r="C14" s="144" t="str">
        <f t="shared" si="1"/>
        <v>(maximum)</v>
      </c>
      <c r="D14" s="146" t="s">
        <v>839</v>
      </c>
      <c r="E14" s="146" t="s">
        <v>839</v>
      </c>
      <c r="F14" s="146"/>
      <c r="G14" s="146"/>
      <c r="H14" s="146"/>
      <c r="I14" s="146"/>
    </row>
    <row r="15" spans="1:9">
      <c r="A15" s="142">
        <f t="shared" si="0"/>
        <v>7</v>
      </c>
      <c r="B15" s="144" t="s">
        <v>1663</v>
      </c>
      <c r="C15" s="144" t="str">
        <f t="shared" si="1"/>
        <v>(minimum)</v>
      </c>
      <c r="D15" s="146" t="s">
        <v>840</v>
      </c>
      <c r="E15" s="146" t="s">
        <v>840</v>
      </c>
      <c r="F15" s="146"/>
      <c r="G15" s="146"/>
      <c r="H15" s="146"/>
      <c r="I15" s="146"/>
    </row>
    <row r="16" spans="1:9">
      <c r="A16" s="142">
        <f t="shared" si="0"/>
        <v>8</v>
      </c>
      <c r="B16" s="144" t="s">
        <v>1663</v>
      </c>
      <c r="C16" s="144" t="str">
        <f t="shared" si="1"/>
        <v>target group size range:</v>
      </c>
      <c r="D16" s="146" t="s">
        <v>451</v>
      </c>
      <c r="E16" s="782" t="s">
        <v>452</v>
      </c>
      <c r="F16" s="146"/>
      <c r="G16" s="146"/>
      <c r="H16" s="146"/>
      <c r="I16" s="146"/>
    </row>
    <row r="17" spans="1:9">
      <c r="A17" s="142">
        <f t="shared" si="0"/>
        <v>9</v>
      </c>
      <c r="B17" s="144" t="s">
        <v>1663</v>
      </c>
      <c r="C17" s="144" t="str">
        <f t="shared" si="1"/>
        <v xml:space="preserve"> months</v>
      </c>
      <c r="D17" s="146" t="s">
        <v>975</v>
      </c>
      <c r="E17" s="146" t="s">
        <v>976</v>
      </c>
      <c r="F17" s="146"/>
      <c r="G17" s="146"/>
      <c r="H17" s="146"/>
      <c r="I17" s="146"/>
    </row>
    <row r="18" spans="1:9">
      <c r="A18" s="142">
        <f t="shared" si="0"/>
        <v>10</v>
      </c>
      <c r="B18" s="144" t="s">
        <v>1663</v>
      </c>
      <c r="C18" s="144" t="str">
        <f t="shared" si="1"/>
        <v>MaxiStock</v>
      </c>
      <c r="D18" s="146" t="s">
        <v>1736</v>
      </c>
      <c r="E18" s="146" t="s">
        <v>492</v>
      </c>
      <c r="F18" s="146"/>
      <c r="G18" s="146"/>
      <c r="H18" s="146"/>
      <c r="I18" s="146"/>
    </row>
    <row r="19" spans="1:9">
      <c r="A19" s="142">
        <f t="shared" si="0"/>
        <v>11</v>
      </c>
      <c r="B19" s="144" t="s">
        <v>1663</v>
      </c>
      <c r="C19" s="144" t="str">
        <f t="shared" si="1"/>
        <v>Maximum stock levels (months)</v>
      </c>
      <c r="D19" s="146" t="s">
        <v>1738</v>
      </c>
      <c r="E19" s="146" t="s">
        <v>1737</v>
      </c>
      <c r="F19" s="146"/>
      <c r="G19" s="146"/>
      <c r="H19" s="146"/>
      <c r="I19" s="146"/>
    </row>
    <row r="20" spans="1:9">
      <c r="A20" s="142">
        <f t="shared" si="0"/>
        <v>12</v>
      </c>
      <c r="B20" s="144" t="s">
        <v>1663</v>
      </c>
      <c r="C20" s="144" t="str">
        <f t="shared" si="1"/>
        <v>Vaccines</v>
      </c>
      <c r="D20" s="146" t="s">
        <v>1733</v>
      </c>
      <c r="E20" s="146" t="s">
        <v>1734</v>
      </c>
      <c r="F20" s="146"/>
      <c r="G20" s="146"/>
      <c r="H20" s="146"/>
      <c r="I20" s="146"/>
    </row>
    <row r="21" spans="1:9">
      <c r="A21" s="142">
        <f t="shared" si="0"/>
        <v>13</v>
      </c>
      <c r="B21" s="144" t="s">
        <v>1663</v>
      </c>
      <c r="C21" s="794">
        <f t="shared" si="1"/>
        <v>4</v>
      </c>
      <c r="D21" s="793">
        <v>4</v>
      </c>
      <c r="E21" s="793">
        <v>4</v>
      </c>
      <c r="F21" s="146"/>
      <c r="G21" s="146"/>
      <c r="H21" s="146"/>
      <c r="I21" s="146"/>
    </row>
    <row r="22" spans="1:9">
      <c r="A22" s="142">
        <f t="shared" si="0"/>
        <v>14</v>
      </c>
      <c r="B22" s="144" t="s">
        <v>1663</v>
      </c>
      <c r="C22" s="794">
        <f t="shared" si="1"/>
        <v>6</v>
      </c>
      <c r="D22" s="793">
        <v>6</v>
      </c>
      <c r="E22" s="793">
        <v>6</v>
      </c>
      <c r="F22" s="146"/>
      <c r="G22" s="146"/>
      <c r="H22" s="146"/>
      <c r="I22" s="146"/>
    </row>
    <row r="23" spans="1:9">
      <c r="A23" s="142">
        <f t="shared" si="0"/>
        <v>15</v>
      </c>
      <c r="B23" s="144" t="s">
        <v>1663</v>
      </c>
      <c r="C23" s="794">
        <f t="shared" si="1"/>
        <v>9</v>
      </c>
      <c r="D23" s="793">
        <v>9</v>
      </c>
      <c r="E23" s="793">
        <v>9</v>
      </c>
      <c r="F23" s="146"/>
      <c r="G23" s="146"/>
      <c r="H23" s="146"/>
      <c r="I23" s="146"/>
    </row>
    <row r="24" spans="1:9">
      <c r="A24" s="142">
        <f t="shared" si="0"/>
        <v>16</v>
      </c>
      <c r="B24" s="144" t="s">
        <v>1663</v>
      </c>
      <c r="C24" s="144" t="str">
        <f t="shared" si="1"/>
        <v>per individual vaccine</v>
      </c>
      <c r="D24" s="146" t="s">
        <v>1664</v>
      </c>
      <c r="E24" s="146" t="s">
        <v>837</v>
      </c>
      <c r="F24" s="146"/>
      <c r="G24" s="146"/>
      <c r="H24" s="146"/>
      <c r="I24" s="146"/>
    </row>
    <row r="25" spans="1:9">
      <c r="A25" s="142">
        <f t="shared" si="0"/>
        <v>17</v>
      </c>
      <c r="B25" s="144" t="s">
        <v>1663</v>
      </c>
      <c r="C25" s="144" t="str">
        <f t="shared" si="1"/>
        <v>Safe injection equipment</v>
      </c>
      <c r="D25" s="146" t="s">
        <v>1792</v>
      </c>
      <c r="E25" s="146" t="s">
        <v>1735</v>
      </c>
      <c r="F25" s="146"/>
      <c r="G25" s="146"/>
      <c r="H25" s="146"/>
      <c r="I25" s="146"/>
    </row>
    <row r="26" spans="1:9">
      <c r="A26" s="142">
        <f t="shared" si="0"/>
        <v>18</v>
      </c>
      <c r="B26" s="144" t="s">
        <v>1663</v>
      </c>
      <c r="C26" s="144" t="str">
        <f t="shared" si="1"/>
        <v>Cold room cost equation</v>
      </c>
      <c r="D26" s="146" t="s">
        <v>352</v>
      </c>
      <c r="E26" s="146" t="s">
        <v>420</v>
      </c>
      <c r="F26" s="146"/>
      <c r="G26" s="146"/>
      <c r="H26" s="146"/>
      <c r="I26" s="146"/>
    </row>
    <row r="27" spans="1:9">
      <c r="A27" s="142">
        <f t="shared" si="0"/>
        <v>19</v>
      </c>
      <c r="B27" s="144" t="s">
        <v>1663</v>
      </c>
      <c r="C27" s="144" t="str">
        <f t="shared" si="1"/>
        <v>Indicative grossing factor</v>
      </c>
      <c r="D27" s="146" t="s">
        <v>328</v>
      </c>
      <c r="E27" s="146" t="s">
        <v>329</v>
      </c>
      <c r="F27" s="146"/>
      <c r="G27" s="146"/>
      <c r="H27" s="146"/>
      <c r="I27" s="146"/>
    </row>
    <row r="28" spans="1:9" ht="23.4">
      <c r="A28" s="142">
        <f t="shared" si="0"/>
        <v>20</v>
      </c>
      <c r="B28" s="144" t="s">
        <v>1663</v>
      </c>
      <c r="C28" s="144" t="str">
        <f t="shared" si="1"/>
        <v>Vaccine net volume for supply period and cold room capacities</v>
      </c>
      <c r="D28" s="146" t="s">
        <v>283</v>
      </c>
      <c r="E28" s="146" t="s">
        <v>1375</v>
      </c>
      <c r="F28" s="146"/>
      <c r="G28" s="146"/>
      <c r="H28" s="146"/>
      <c r="I28" s="146"/>
    </row>
    <row r="29" spans="1:9">
      <c r="A29" s="142">
        <f t="shared" si="0"/>
        <v>21</v>
      </c>
      <c r="B29" s="144" t="s">
        <v>1663</v>
      </c>
      <c r="C29" s="144" t="str">
        <f t="shared" si="1"/>
        <v>Estimate of cold-chain capacity per schedule (litres)</v>
      </c>
      <c r="D29" s="146" t="s">
        <v>817</v>
      </c>
      <c r="E29" s="146" t="s">
        <v>1665</v>
      </c>
      <c r="F29" s="146"/>
      <c r="G29" s="146"/>
      <c r="H29" s="146"/>
      <c r="I29" s="146"/>
    </row>
    <row r="30" spans="1:9" ht="34.799999999999997">
      <c r="A30" s="142">
        <f t="shared" si="0"/>
        <v>22</v>
      </c>
      <c r="B30" s="143" t="s">
        <v>1663</v>
      </c>
      <c r="C30" s="143" t="str">
        <f t="shared" si="1"/>
        <v>Graph for cold storage capacity at national and sub-national stores - @ +5°C: (different schedules with same Maximum Stock)</v>
      </c>
      <c r="D30" s="195" t="s">
        <v>426</v>
      </c>
      <c r="E30" s="195" t="s">
        <v>1061</v>
      </c>
      <c r="F30" s="195"/>
      <c r="G30" s="195"/>
      <c r="H30" s="195"/>
      <c r="I30" s="195"/>
    </row>
    <row r="31" spans="1:9">
      <c r="A31" s="142">
        <f t="shared" si="0"/>
        <v>23</v>
      </c>
      <c r="B31" s="144" t="s">
        <v>1663</v>
      </c>
      <c r="C31" s="144" t="str">
        <f t="shared" si="1"/>
        <v>Net volume of vaccines, litres</v>
      </c>
      <c r="D31" s="146" t="s">
        <v>12</v>
      </c>
      <c r="E31" s="146" t="s">
        <v>13</v>
      </c>
      <c r="F31" s="146"/>
      <c r="G31" s="146"/>
      <c r="H31" s="146"/>
      <c r="I31" s="146"/>
    </row>
    <row r="32" spans="1:9" ht="34.799999999999997">
      <c r="A32" s="142">
        <f t="shared" si="0"/>
        <v>24</v>
      </c>
      <c r="B32" s="143" t="s">
        <v>1663</v>
      </c>
      <c r="C32" s="143" t="str">
        <f t="shared" si="1"/>
        <v>Graph for cold storage capacity at national and sub-national stores - @ +5°C: (same schedule with different Maximum Stocks)</v>
      </c>
      <c r="D32" s="195" t="s">
        <v>427</v>
      </c>
      <c r="E32" s="195" t="s">
        <v>1805</v>
      </c>
      <c r="F32" s="195"/>
      <c r="G32" s="195"/>
      <c r="H32" s="195"/>
      <c r="I32" s="195"/>
    </row>
    <row r="33" spans="1:9">
      <c r="A33" s="142">
        <f t="shared" si="0"/>
        <v>25</v>
      </c>
      <c r="B33" s="144" t="s">
        <v>1663</v>
      </c>
      <c r="C33" s="144" t="str">
        <f t="shared" si="1"/>
        <v>Net volume of vaccines, litres</v>
      </c>
      <c r="D33" s="146" t="s">
        <v>12</v>
      </c>
      <c r="E33" s="146" t="s">
        <v>13</v>
      </c>
      <c r="F33" s="146"/>
      <c r="G33" s="146"/>
      <c r="H33" s="146"/>
      <c r="I33" s="146"/>
    </row>
    <row r="34" spans="1:9" ht="34.799999999999997">
      <c r="A34" s="142">
        <f t="shared" si="0"/>
        <v>26</v>
      </c>
      <c r="B34" s="143" t="s">
        <v>1663</v>
      </c>
      <c r="C34" s="143" t="str">
        <f t="shared" si="1"/>
        <v>Graph for dry storage capacity at national and sub-national stores: (different schedules with same Maximum Stock)</v>
      </c>
      <c r="D34" s="195" t="s">
        <v>428</v>
      </c>
      <c r="E34" s="195" t="s">
        <v>1059</v>
      </c>
      <c r="F34" s="195"/>
      <c r="G34" s="195"/>
      <c r="H34" s="195"/>
      <c r="I34" s="195"/>
    </row>
    <row r="35" spans="1:9">
      <c r="A35" s="142">
        <f t="shared" si="0"/>
        <v>27</v>
      </c>
      <c r="B35" s="144" t="s">
        <v>1663</v>
      </c>
      <c r="C35" s="144" t="str">
        <f t="shared" si="1"/>
        <v>Net volume of safe injection supplies (m³)</v>
      </c>
      <c r="D35" s="146" t="s">
        <v>14</v>
      </c>
      <c r="E35" s="146" t="s">
        <v>421</v>
      </c>
      <c r="F35" s="146"/>
      <c r="G35" s="146"/>
      <c r="H35" s="146"/>
      <c r="I35" s="146"/>
    </row>
    <row r="36" spans="1:9" ht="34.799999999999997">
      <c r="A36" s="142">
        <f t="shared" si="0"/>
        <v>28</v>
      </c>
      <c r="B36" s="143" t="s">
        <v>1663</v>
      </c>
      <c r="C36" s="143" t="str">
        <f t="shared" si="1"/>
        <v>Graph for dry storage capacity at national and sub-national stores: (same schedule with different Maximum Stocks)</v>
      </c>
      <c r="D36" s="195" t="s">
        <v>429</v>
      </c>
      <c r="E36" s="195" t="s">
        <v>1060</v>
      </c>
      <c r="F36" s="195"/>
      <c r="G36" s="195"/>
      <c r="H36" s="195"/>
      <c r="I36" s="195"/>
    </row>
    <row r="37" spans="1:9">
      <c r="A37" s="142">
        <f t="shared" si="0"/>
        <v>29</v>
      </c>
      <c r="B37" s="144" t="s">
        <v>1663</v>
      </c>
      <c r="C37" s="144" t="str">
        <f t="shared" si="1"/>
        <v>Net volume of safe injection supplies (m³)</v>
      </c>
      <c r="D37" s="146" t="s">
        <v>14</v>
      </c>
      <c r="E37" s="146" t="s">
        <v>421</v>
      </c>
      <c r="F37" s="146"/>
      <c r="G37" s="146"/>
      <c r="H37" s="146"/>
      <c r="I37" s="146"/>
    </row>
    <row r="38" spans="1:9">
      <c r="A38" s="142">
        <f t="shared" si="0"/>
        <v>30</v>
      </c>
      <c r="B38" s="144" t="s">
        <v>1663</v>
      </c>
      <c r="C38" s="144" t="str">
        <f t="shared" si="1"/>
        <v>Estimate of equipment requirements per schedule</v>
      </c>
      <c r="D38" s="146" t="s">
        <v>979</v>
      </c>
      <c r="E38" s="146" t="s">
        <v>459</v>
      </c>
      <c r="F38" s="146"/>
      <c r="G38" s="146"/>
      <c r="H38" s="146"/>
      <c r="I38" s="146"/>
    </row>
    <row r="39" spans="1:9">
      <c r="A39" s="142">
        <f t="shared" si="0"/>
        <v>31</v>
      </c>
      <c r="B39" s="144" t="s">
        <v>1663</v>
      </c>
      <c r="C39" s="144" t="str">
        <f t="shared" si="1"/>
        <v>Estimate of equipment requirements per MaxiStock</v>
      </c>
      <c r="D39" s="146" t="s">
        <v>980</v>
      </c>
      <c r="E39" s="146" t="s">
        <v>458</v>
      </c>
      <c r="F39" s="146"/>
      <c r="G39" s="146"/>
      <c r="H39" s="146"/>
      <c r="I39" s="146"/>
    </row>
    <row r="40" spans="1:9">
      <c r="A40" s="142">
        <f t="shared" si="0"/>
        <v>32</v>
      </c>
      <c r="B40" s="144" t="s">
        <v>1663</v>
      </c>
      <c r="C40" s="144" t="str">
        <f t="shared" si="1"/>
        <v>Equipment utilization factor (%)</v>
      </c>
      <c r="D40" s="146" t="s">
        <v>350</v>
      </c>
      <c r="E40" s="146" t="s">
        <v>460</v>
      </c>
      <c r="F40" s="146"/>
      <c r="G40" s="146"/>
      <c r="H40" s="146"/>
      <c r="I40" s="146"/>
    </row>
    <row r="41" spans="1:9" ht="23.4">
      <c r="A41" s="142">
        <f t="shared" si="0"/>
        <v>33</v>
      </c>
      <c r="B41" s="144" t="s">
        <v>1663</v>
      </c>
      <c r="C41" s="144" t="str">
        <f t="shared" si="1"/>
        <v>Estimate of cold-chain capacity per schedule (litres)</v>
      </c>
      <c r="D41" s="146" t="s">
        <v>817</v>
      </c>
      <c r="E41" s="146" t="s">
        <v>457</v>
      </c>
      <c r="F41" s="146"/>
      <c r="G41" s="146"/>
      <c r="H41" s="146"/>
      <c r="I41" s="146"/>
    </row>
    <row r="42" spans="1:9" ht="23.4">
      <c r="A42" s="142">
        <f t="shared" si="0"/>
        <v>34</v>
      </c>
      <c r="B42" s="144" t="s">
        <v>1663</v>
      </c>
      <c r="C42" s="144" t="str">
        <f t="shared" si="1"/>
        <v>Estimate of cold-chain capacity per MaxiStock (litres)</v>
      </c>
      <c r="D42" s="146" t="s">
        <v>977</v>
      </c>
      <c r="E42" s="146" t="s">
        <v>423</v>
      </c>
      <c r="F42" s="146"/>
      <c r="G42" s="146"/>
      <c r="H42" s="146"/>
      <c r="I42" s="146"/>
    </row>
    <row r="43" spans="1:9" ht="23.4">
      <c r="A43" s="142">
        <f t="shared" si="0"/>
        <v>35</v>
      </c>
      <c r="B43" s="144" t="s">
        <v>1663</v>
      </c>
      <c r="C43" s="144" t="str">
        <f t="shared" si="1"/>
        <v>Estimate of net dry storage per schedule (m³)</v>
      </c>
      <c r="D43" s="146" t="s">
        <v>981</v>
      </c>
      <c r="E43" s="146" t="s">
        <v>456</v>
      </c>
      <c r="F43" s="146"/>
      <c r="G43" s="146"/>
      <c r="H43" s="146"/>
      <c r="I43" s="146"/>
    </row>
    <row r="44" spans="1:9" ht="23.4">
      <c r="A44" s="142">
        <f t="shared" si="0"/>
        <v>36</v>
      </c>
      <c r="B44" s="144" t="s">
        <v>1663</v>
      </c>
      <c r="C44" s="144" t="str">
        <f t="shared" si="1"/>
        <v>Estimate of net dry storage per MaxiStock (m³)</v>
      </c>
      <c r="D44" s="146" t="s">
        <v>978</v>
      </c>
      <c r="E44" s="146" t="s">
        <v>424</v>
      </c>
      <c r="F44" s="146"/>
      <c r="G44" s="146"/>
      <c r="H44" s="146"/>
      <c r="I44" s="146"/>
    </row>
    <row r="45" spans="1:9">
      <c r="A45" s="142">
        <f t="shared" si="0"/>
        <v>37</v>
      </c>
      <c r="B45" s="144" t="s">
        <v>1663</v>
      </c>
      <c r="C45" s="144" t="str">
        <f t="shared" si="1"/>
        <v>Select schedule</v>
      </c>
      <c r="D45" s="146" t="s">
        <v>284</v>
      </c>
      <c r="E45" s="146" t="s">
        <v>422</v>
      </c>
      <c r="F45" s="146"/>
      <c r="G45" s="146"/>
      <c r="H45" s="146"/>
      <c r="I45" s="146"/>
    </row>
    <row r="46" spans="1:9">
      <c r="A46" s="142">
        <f t="shared" si="0"/>
        <v>38</v>
      </c>
      <c r="B46" s="143" t="s">
        <v>1663</v>
      </c>
      <c r="C46" s="143" t="str">
        <f t="shared" si="1"/>
        <v>Analysis of district level storage</v>
      </c>
      <c r="D46" s="195" t="s">
        <v>344</v>
      </c>
      <c r="E46" s="195" t="s">
        <v>345</v>
      </c>
      <c r="F46" s="195"/>
      <c r="G46" s="195"/>
      <c r="H46" s="195"/>
      <c r="I46" s="195"/>
    </row>
    <row r="47" spans="1:9" ht="23.4">
      <c r="A47" s="142">
        <f t="shared" si="0"/>
        <v>39</v>
      </c>
      <c r="B47" s="144" t="s">
        <v>1663</v>
      </c>
      <c r="C47" s="144" t="str">
        <f t="shared" ref="C47:C75" si="2">HLOOKUP($D$1,$D$9:$I$432,$A47,FALSE)</f>
        <v>Vaccine net volume for supply period and cold equipment capacities (litres)</v>
      </c>
      <c r="D47" s="145" t="s">
        <v>750</v>
      </c>
      <c r="E47" s="145" t="s">
        <v>493</v>
      </c>
      <c r="F47" s="145"/>
      <c r="G47" s="145"/>
      <c r="H47" s="145"/>
      <c r="I47" s="145"/>
    </row>
    <row r="48" spans="1:9" ht="34.799999999999997">
      <c r="A48" s="142">
        <f t="shared" si="0"/>
        <v>40</v>
      </c>
      <c r="B48" s="143" t="s">
        <v>1663</v>
      </c>
      <c r="C48" s="143" t="str">
        <f t="shared" si="2"/>
        <v>Graph for cold storage capacity at district stores - @ +5°C: (different schedules with same Maximum Stock)</v>
      </c>
      <c r="D48" s="195" t="s">
        <v>1161</v>
      </c>
      <c r="E48" s="195" t="s">
        <v>1062</v>
      </c>
      <c r="F48" s="195"/>
      <c r="G48" s="195"/>
      <c r="H48" s="195"/>
      <c r="I48" s="195"/>
    </row>
    <row r="49" spans="1:9">
      <c r="A49" s="142">
        <f t="shared" si="0"/>
        <v>41</v>
      </c>
      <c r="B49" s="144" t="s">
        <v>1663</v>
      </c>
      <c r="C49" s="144" t="str">
        <f t="shared" si="2"/>
        <v>Net volume of vaccines, litres</v>
      </c>
      <c r="D49" s="146" t="s">
        <v>12</v>
      </c>
      <c r="E49" s="146" t="s">
        <v>13</v>
      </c>
      <c r="F49" s="146"/>
      <c r="G49" s="146"/>
      <c r="H49" s="146"/>
      <c r="I49" s="146"/>
    </row>
    <row r="50" spans="1:9" ht="34.799999999999997">
      <c r="A50" s="142">
        <f t="shared" si="0"/>
        <v>42</v>
      </c>
      <c r="B50" s="143" t="s">
        <v>1663</v>
      </c>
      <c r="C50" s="143" t="str">
        <f t="shared" si="2"/>
        <v>Graph for cold storage capacity at district stores - @ +5°C: (same schedule with different Maximum Stocks)</v>
      </c>
      <c r="D50" s="195" t="s">
        <v>1162</v>
      </c>
      <c r="E50" s="195" t="s">
        <v>1064</v>
      </c>
      <c r="F50" s="195"/>
      <c r="G50" s="195"/>
      <c r="H50" s="195"/>
      <c r="I50" s="195"/>
    </row>
    <row r="51" spans="1:9">
      <c r="A51" s="142">
        <f t="shared" si="0"/>
        <v>43</v>
      </c>
      <c r="B51" s="144" t="s">
        <v>1663</v>
      </c>
      <c r="C51" s="144" t="str">
        <f t="shared" si="2"/>
        <v>Net volume of vaccines, litres</v>
      </c>
      <c r="D51" s="146" t="s">
        <v>12</v>
      </c>
      <c r="E51" s="146" t="s">
        <v>13</v>
      </c>
      <c r="F51" s="146"/>
      <c r="G51" s="146"/>
      <c r="H51" s="146"/>
      <c r="I51" s="146"/>
    </row>
    <row r="52" spans="1:9" ht="34.799999999999997">
      <c r="A52" s="142">
        <f t="shared" si="0"/>
        <v>44</v>
      </c>
      <c r="B52" s="143" t="s">
        <v>1663</v>
      </c>
      <c r="C52" s="143" t="str">
        <f t="shared" si="2"/>
        <v>Graph for dry storage capacity at district stores: (different schedules with same Maximum Stock)</v>
      </c>
      <c r="D52" s="195" t="s">
        <v>1163</v>
      </c>
      <c r="E52" s="195" t="s">
        <v>1063</v>
      </c>
      <c r="F52" s="195"/>
      <c r="G52" s="195"/>
      <c r="H52" s="195"/>
      <c r="I52" s="195"/>
    </row>
    <row r="53" spans="1:9">
      <c r="A53" s="142">
        <f t="shared" si="0"/>
        <v>45</v>
      </c>
      <c r="B53" s="144" t="s">
        <v>1663</v>
      </c>
      <c r="C53" s="144" t="str">
        <f t="shared" si="2"/>
        <v>Net volume of safe injection supplies (m³)</v>
      </c>
      <c r="D53" s="146" t="s">
        <v>14</v>
      </c>
      <c r="E53" s="146" t="s">
        <v>421</v>
      </c>
      <c r="F53" s="146"/>
      <c r="G53" s="146"/>
      <c r="H53" s="146"/>
      <c r="I53" s="146"/>
    </row>
    <row r="54" spans="1:9" ht="34.799999999999997">
      <c r="A54" s="142">
        <f t="shared" si="0"/>
        <v>46</v>
      </c>
      <c r="B54" s="143" t="s">
        <v>1663</v>
      </c>
      <c r="C54" s="143" t="str">
        <f t="shared" si="2"/>
        <v>Graph for dry storage capacity at district stores: (same schedule with different Maximum Stocks)</v>
      </c>
      <c r="D54" s="195" t="s">
        <v>1164</v>
      </c>
      <c r="E54" s="195" t="s">
        <v>1065</v>
      </c>
      <c r="F54" s="195"/>
      <c r="G54" s="195"/>
      <c r="H54" s="195"/>
      <c r="I54" s="195"/>
    </row>
    <row r="55" spans="1:9">
      <c r="A55" s="142">
        <f t="shared" si="0"/>
        <v>47</v>
      </c>
      <c r="B55" s="144" t="s">
        <v>1663</v>
      </c>
      <c r="C55" s="144" t="str">
        <f t="shared" si="2"/>
        <v>Net volume of safe injection supplies (m³)</v>
      </c>
      <c r="D55" s="146" t="s">
        <v>14</v>
      </c>
      <c r="E55" s="146" t="s">
        <v>421</v>
      </c>
      <c r="F55" s="146"/>
      <c r="G55" s="146"/>
      <c r="H55" s="146"/>
      <c r="I55" s="146"/>
    </row>
    <row r="56" spans="1:9">
      <c r="A56" s="142">
        <f t="shared" si="0"/>
        <v>48</v>
      </c>
      <c r="B56" s="143" t="s">
        <v>1663</v>
      </c>
      <c r="C56" s="143" t="str">
        <f t="shared" si="2"/>
        <v>Analysis of service delivery level storage</v>
      </c>
      <c r="D56" s="195" t="s">
        <v>351</v>
      </c>
      <c r="E56" s="195" t="s">
        <v>346</v>
      </c>
      <c r="F56" s="195"/>
      <c r="G56" s="195"/>
      <c r="H56" s="195"/>
      <c r="I56" s="195"/>
    </row>
    <row r="57" spans="1:9" ht="23.4">
      <c r="A57" s="142">
        <f t="shared" si="0"/>
        <v>49</v>
      </c>
      <c r="B57" s="144" t="s">
        <v>1663</v>
      </c>
      <c r="C57" s="144" t="str">
        <f t="shared" si="2"/>
        <v>Vaccine net volume for supply period and cold equipment capacities (litres)</v>
      </c>
      <c r="D57" s="145" t="s">
        <v>750</v>
      </c>
      <c r="E57" s="145" t="s">
        <v>493</v>
      </c>
      <c r="F57" s="145"/>
      <c r="G57" s="145"/>
      <c r="H57" s="145"/>
      <c r="I57" s="145"/>
    </row>
    <row r="58" spans="1:9" ht="34.799999999999997">
      <c r="A58" s="142">
        <f t="shared" si="0"/>
        <v>50</v>
      </c>
      <c r="B58" s="143" t="s">
        <v>1663</v>
      </c>
      <c r="C58" s="143" t="str">
        <f t="shared" si="2"/>
        <v>Graph for cold storage capacity at service points - @ +5°C: (different schedules with same Maximum Stock)</v>
      </c>
      <c r="D58" s="195" t="s">
        <v>1165</v>
      </c>
      <c r="E58" s="195" t="s">
        <v>330</v>
      </c>
      <c r="F58" s="195"/>
      <c r="G58" s="195"/>
      <c r="H58" s="195"/>
      <c r="I58" s="195"/>
    </row>
    <row r="59" spans="1:9">
      <c r="A59" s="142">
        <f t="shared" si="0"/>
        <v>51</v>
      </c>
      <c r="B59" s="144" t="s">
        <v>1663</v>
      </c>
      <c r="C59" s="144" t="str">
        <f t="shared" si="2"/>
        <v>Net volume of vaccines, litres</v>
      </c>
      <c r="D59" s="146" t="s">
        <v>12</v>
      </c>
      <c r="E59" s="146" t="s">
        <v>13</v>
      </c>
      <c r="F59" s="146"/>
      <c r="G59" s="146"/>
      <c r="H59" s="146"/>
      <c r="I59" s="146"/>
    </row>
    <row r="60" spans="1:9" ht="34.799999999999997">
      <c r="A60" s="142">
        <f t="shared" si="0"/>
        <v>52</v>
      </c>
      <c r="B60" s="143" t="s">
        <v>1663</v>
      </c>
      <c r="C60" s="143" t="str">
        <f t="shared" si="2"/>
        <v>Graph for cold storage capacity at service points - @ +5°C: (same schedule with different Maximum Stocks)</v>
      </c>
      <c r="D60" s="195" t="s">
        <v>1166</v>
      </c>
      <c r="E60" s="195" t="s">
        <v>1068</v>
      </c>
      <c r="F60" s="195"/>
      <c r="G60" s="195"/>
      <c r="H60" s="195"/>
      <c r="I60" s="195"/>
    </row>
    <row r="61" spans="1:9">
      <c r="A61" s="142">
        <f t="shared" si="0"/>
        <v>53</v>
      </c>
      <c r="B61" s="144" t="s">
        <v>1663</v>
      </c>
      <c r="C61" s="144" t="str">
        <f t="shared" si="2"/>
        <v>Net volume of vaccines, litres</v>
      </c>
      <c r="D61" s="146" t="s">
        <v>12</v>
      </c>
      <c r="E61" s="146" t="s">
        <v>13</v>
      </c>
      <c r="F61" s="146"/>
      <c r="G61" s="146"/>
      <c r="H61" s="146"/>
      <c r="I61" s="146"/>
    </row>
    <row r="62" spans="1:9" ht="34.799999999999997">
      <c r="A62" s="142">
        <f t="shared" si="0"/>
        <v>54</v>
      </c>
      <c r="B62" s="143" t="s">
        <v>1663</v>
      </c>
      <c r="C62" s="143" t="str">
        <f t="shared" si="2"/>
        <v>Graph for dry storage capacity at service points (different schedules with same Maximum Stock)</v>
      </c>
      <c r="D62" s="195" t="s">
        <v>1167</v>
      </c>
      <c r="E62" s="195" t="s">
        <v>1066</v>
      </c>
      <c r="F62" s="195"/>
      <c r="G62" s="195"/>
      <c r="H62" s="195"/>
      <c r="I62" s="195"/>
    </row>
    <row r="63" spans="1:9">
      <c r="A63" s="142">
        <f t="shared" si="0"/>
        <v>55</v>
      </c>
      <c r="B63" s="144" t="s">
        <v>1663</v>
      </c>
      <c r="C63" s="144" t="str">
        <f t="shared" si="2"/>
        <v>Net volume of safe injection supplies (m³)</v>
      </c>
      <c r="D63" s="146" t="s">
        <v>14</v>
      </c>
      <c r="E63" s="146" t="s">
        <v>421</v>
      </c>
      <c r="F63" s="146"/>
      <c r="G63" s="146"/>
      <c r="H63" s="146"/>
      <c r="I63" s="146"/>
    </row>
    <row r="64" spans="1:9" ht="34.799999999999997">
      <c r="A64" s="142">
        <f t="shared" si="0"/>
        <v>56</v>
      </c>
      <c r="B64" s="143" t="s">
        <v>1663</v>
      </c>
      <c r="C64" s="143" t="str">
        <f t="shared" si="2"/>
        <v>Graph for dry storage capacity at service points: (same schedule with different Maximum Stocks)</v>
      </c>
      <c r="D64" s="195" t="s">
        <v>1168</v>
      </c>
      <c r="E64" s="195" t="s">
        <v>1067</v>
      </c>
      <c r="F64" s="195"/>
      <c r="G64" s="195"/>
      <c r="H64" s="195"/>
      <c r="I64" s="195"/>
    </row>
    <row r="65" spans="1:9">
      <c r="A65" s="142">
        <f t="shared" si="0"/>
        <v>57</v>
      </c>
      <c r="B65" s="144" t="s">
        <v>1663</v>
      </c>
      <c r="C65" s="144" t="str">
        <f t="shared" si="2"/>
        <v>Net volume of safe injection supplies (m³)</v>
      </c>
      <c r="D65" s="146" t="s">
        <v>14</v>
      </c>
      <c r="E65" s="146" t="s">
        <v>421</v>
      </c>
      <c r="F65" s="146"/>
      <c r="G65" s="146"/>
      <c r="H65" s="146"/>
      <c r="I65" s="146"/>
    </row>
    <row r="66" spans="1:9">
      <c r="A66" s="142">
        <f t="shared" si="0"/>
        <v>58</v>
      </c>
      <c r="B66" s="143" t="s">
        <v>1663</v>
      </c>
      <c r="C66" s="143" t="str">
        <f t="shared" si="2"/>
        <v>Analysis of transport and in-country distribution</v>
      </c>
      <c r="D66" s="195" t="s">
        <v>347</v>
      </c>
      <c r="E66" s="195" t="s">
        <v>348</v>
      </c>
      <c r="F66" s="195"/>
      <c r="G66" s="195"/>
      <c r="H66" s="195"/>
      <c r="I66" s="195"/>
    </row>
    <row r="67" spans="1:9">
      <c r="A67" s="142">
        <f t="shared" si="0"/>
        <v>59</v>
      </c>
      <c r="B67" s="144" t="s">
        <v>1663</v>
      </c>
      <c r="C67" s="144" t="str">
        <f t="shared" si="2"/>
        <v>shipments per year</v>
      </c>
      <c r="D67" s="145" t="s">
        <v>879</v>
      </c>
      <c r="E67" s="145" t="s">
        <v>880</v>
      </c>
      <c r="F67" s="145"/>
      <c r="G67" s="145"/>
      <c r="H67" s="145"/>
      <c r="I67" s="145"/>
    </row>
    <row r="68" spans="1:9">
      <c r="A68" s="142">
        <f t="shared" si="0"/>
        <v>60</v>
      </c>
      <c r="B68" s="144" t="s">
        <v>1663</v>
      </c>
      <c r="C68" s="144" t="str">
        <f t="shared" si="2"/>
        <v>per year</v>
      </c>
      <c r="D68" s="145" t="s">
        <v>751</v>
      </c>
      <c r="E68" s="145" t="s">
        <v>2034</v>
      </c>
      <c r="F68" s="145"/>
      <c r="G68" s="145"/>
      <c r="H68" s="145"/>
      <c r="I68" s="145"/>
    </row>
    <row r="69" spans="1:9">
      <c r="A69" s="142">
        <f t="shared" si="0"/>
        <v>61</v>
      </c>
      <c r="B69" s="144" t="s">
        <v>1663</v>
      </c>
      <c r="C69" s="144" t="str">
        <f t="shared" si="2"/>
        <v>Transport estimate per delivery</v>
      </c>
      <c r="D69" s="145" t="s">
        <v>1602</v>
      </c>
      <c r="E69" s="145" t="s">
        <v>2035</v>
      </c>
      <c r="F69" s="145"/>
      <c r="G69" s="145"/>
      <c r="H69" s="145"/>
      <c r="I69" s="145"/>
    </row>
    <row r="70" spans="1:9">
      <c r="A70" s="142">
        <f t="shared" si="0"/>
        <v>62</v>
      </c>
      <c r="B70" s="144" t="s">
        <v>1663</v>
      </c>
      <c r="C70" s="144" t="str">
        <f t="shared" si="2"/>
        <v>Total volume of vaccines per delivery (litres)</v>
      </c>
      <c r="D70" s="145" t="s">
        <v>2038</v>
      </c>
      <c r="E70" s="145" t="s">
        <v>2037</v>
      </c>
      <c r="F70" s="145"/>
      <c r="G70" s="145"/>
      <c r="H70" s="145"/>
      <c r="I70" s="145"/>
    </row>
    <row r="71" spans="1:9">
      <c r="A71" s="142">
        <f t="shared" si="0"/>
        <v>63</v>
      </c>
      <c r="B71" s="144" t="s">
        <v>1663</v>
      </c>
      <c r="C71" s="144" t="str">
        <f t="shared" si="2"/>
        <v>Estimate of number of passive containers required</v>
      </c>
      <c r="D71" s="145" t="s">
        <v>818</v>
      </c>
      <c r="E71" s="145" t="s">
        <v>2036</v>
      </c>
      <c r="F71" s="145"/>
      <c r="G71" s="145"/>
      <c r="H71" s="145"/>
      <c r="I71" s="145"/>
    </row>
    <row r="72" spans="1:9">
      <c r="A72" s="142">
        <f t="shared" si="0"/>
        <v>64</v>
      </c>
      <c r="B72" s="144" t="s">
        <v>1663</v>
      </c>
      <c r="C72" s="144" t="str">
        <f t="shared" si="2"/>
        <v>Total volume of safe injection equipment per delivery (m³)</v>
      </c>
      <c r="D72" s="145" t="s">
        <v>1603</v>
      </c>
      <c r="E72" s="145" t="s">
        <v>842</v>
      </c>
      <c r="F72" s="145"/>
      <c r="G72" s="145"/>
      <c r="H72" s="145"/>
      <c r="I72" s="145"/>
    </row>
    <row r="73" spans="1:9">
      <c r="A73" s="142">
        <f t="shared" si="0"/>
        <v>65</v>
      </c>
      <c r="B73" s="143" t="s">
        <v>1663</v>
      </c>
      <c r="C73" s="143" t="str">
        <f t="shared" si="2"/>
        <v>Analysis of cold chain cost</v>
      </c>
      <c r="D73" s="195" t="s">
        <v>349</v>
      </c>
      <c r="E73" s="195" t="s">
        <v>453</v>
      </c>
      <c r="F73" s="195"/>
      <c r="G73" s="195"/>
      <c r="H73" s="195"/>
      <c r="I73" s="195"/>
    </row>
    <row r="74" spans="1:9">
      <c r="A74" s="142">
        <f t="shared" si="0"/>
        <v>66</v>
      </c>
      <c r="B74" s="144" t="s">
        <v>1663</v>
      </c>
      <c r="C74" s="144" t="str">
        <f t="shared" si="2"/>
        <v>Total estimated cold-chain purchase cost, $</v>
      </c>
      <c r="D74" s="145" t="s">
        <v>759</v>
      </c>
      <c r="E74" s="145" t="s">
        <v>2039</v>
      </c>
      <c r="F74" s="145"/>
      <c r="G74" s="145"/>
      <c r="H74" s="145"/>
      <c r="I74" s="145"/>
    </row>
    <row r="75" spans="1:9" ht="23.4">
      <c r="A75" s="142">
        <f t="shared" si="0"/>
        <v>67</v>
      </c>
      <c r="B75" s="144" t="s">
        <v>1663</v>
      </c>
      <c r="C75" s="144" t="str">
        <f t="shared" si="2"/>
        <v>Estimated purchase cost of litre net capacity of cold chain ($/litre)</v>
      </c>
      <c r="D75" s="145" t="s">
        <v>758</v>
      </c>
      <c r="E75" s="145" t="s">
        <v>2040</v>
      </c>
      <c r="F75" s="145"/>
      <c r="G75" s="145"/>
      <c r="H75" s="145"/>
      <c r="I75" s="145"/>
    </row>
    <row r="76" spans="1:9" ht="23.4">
      <c r="A76" s="142">
        <f t="shared" si="0"/>
        <v>68</v>
      </c>
      <c r="B76" s="143" t="s">
        <v>2130</v>
      </c>
      <c r="C76" s="143" t="str">
        <f>HLOOKUP($D$1,$D$9:$I$879,$A76,FALSE)</f>
        <v>Cost of vaccines and safe injection equipment per recipient</v>
      </c>
      <c r="D76" s="195" t="s">
        <v>282</v>
      </c>
      <c r="E76" s="195" t="s">
        <v>809</v>
      </c>
      <c r="F76" s="195"/>
      <c r="G76" s="196" t="s">
        <v>1747</v>
      </c>
      <c r="H76" s="195"/>
      <c r="I76" s="195"/>
    </row>
    <row r="77" spans="1:9">
      <c r="A77" s="142">
        <f t="shared" si="0"/>
        <v>69</v>
      </c>
      <c r="B77" s="144" t="s">
        <v>2130</v>
      </c>
      <c r="C77" s="144" t="str">
        <f>HLOOKUP($D$1,$D$9:$I$432,$A77,FALSE)</f>
        <v>Optional data entry only</v>
      </c>
      <c r="D77" s="146" t="s">
        <v>903</v>
      </c>
      <c r="E77" s="146" t="s">
        <v>904</v>
      </c>
      <c r="F77" s="146"/>
      <c r="G77" s="197" t="s">
        <v>15</v>
      </c>
      <c r="H77" s="146"/>
      <c r="I77" s="146"/>
    </row>
    <row r="78" spans="1:9">
      <c r="A78" s="142">
        <f t="shared" si="0"/>
        <v>70</v>
      </c>
      <c r="B78" s="144" t="s">
        <v>2130</v>
      </c>
      <c r="C78" s="144" t="str">
        <f t="shared" ref="C78:C89" si="3">HLOOKUP($D$1,$D$9:$I$879,$A78,FALSE)</f>
        <v>OPTION: Over-ride price of AD syringe, $/unit:</v>
      </c>
      <c r="D78" s="145" t="s">
        <v>810</v>
      </c>
      <c r="E78" s="145" t="s">
        <v>813</v>
      </c>
      <c r="F78" s="145"/>
      <c r="G78" s="579" t="s">
        <v>1748</v>
      </c>
      <c r="H78" s="145"/>
      <c r="I78" s="145"/>
    </row>
    <row r="79" spans="1:9">
      <c r="A79" s="142">
        <f t="shared" ref="A79:A142" si="4">A78+1</f>
        <v>71</v>
      </c>
      <c r="B79" s="144" t="s">
        <v>2130</v>
      </c>
      <c r="C79" s="144" t="str">
        <f t="shared" si="3"/>
        <v>OPTION: Over-ride price of reconstitution syringe, $/unit:</v>
      </c>
      <c r="D79" s="145" t="s">
        <v>811</v>
      </c>
      <c r="E79" s="145" t="s">
        <v>814</v>
      </c>
      <c r="F79" s="145"/>
      <c r="G79" s="579" t="s">
        <v>1749</v>
      </c>
      <c r="H79" s="145"/>
      <c r="I79" s="145"/>
    </row>
    <row r="80" spans="1:9">
      <c r="A80" s="142">
        <f t="shared" si="4"/>
        <v>72</v>
      </c>
      <c r="B80" s="144" t="s">
        <v>2130</v>
      </c>
      <c r="C80" s="144" t="str">
        <f t="shared" si="3"/>
        <v>OPTION: Over-ride price of safety box, $/unit:</v>
      </c>
      <c r="D80" s="145" t="s">
        <v>812</v>
      </c>
      <c r="E80" s="145" t="s">
        <v>815</v>
      </c>
      <c r="F80" s="145"/>
      <c r="G80" s="579" t="s">
        <v>1750</v>
      </c>
      <c r="H80" s="145"/>
      <c r="I80" s="145"/>
    </row>
    <row r="81" spans="1:9">
      <c r="A81" s="142">
        <f t="shared" si="4"/>
        <v>73</v>
      </c>
      <c r="B81" s="144" t="s">
        <v>2130</v>
      </c>
      <c r="C81" s="144" t="str">
        <f t="shared" si="3"/>
        <v>Price of safe</v>
      </c>
      <c r="D81" s="145" t="s">
        <v>1751</v>
      </c>
      <c r="E81" s="145" t="s">
        <v>1752</v>
      </c>
      <c r="F81" s="145"/>
      <c r="G81" s="145" t="s">
        <v>1753</v>
      </c>
      <c r="H81" s="145"/>
      <c r="I81" s="145"/>
    </row>
    <row r="82" spans="1:9">
      <c r="A82" s="142">
        <f t="shared" si="4"/>
        <v>74</v>
      </c>
      <c r="B82" s="144" t="s">
        <v>2130</v>
      </c>
      <c r="C82" s="144" t="str">
        <f t="shared" si="3"/>
        <v>injection equipment</v>
      </c>
      <c r="D82" s="145" t="s">
        <v>1754</v>
      </c>
      <c r="E82" s="145" t="s">
        <v>1755</v>
      </c>
      <c r="F82" s="145"/>
      <c r="G82" s="145" t="s">
        <v>1756</v>
      </c>
      <c r="H82" s="145"/>
      <c r="I82" s="145"/>
    </row>
    <row r="83" spans="1:9">
      <c r="A83" s="142">
        <f t="shared" si="4"/>
        <v>75</v>
      </c>
      <c r="B83" s="144" t="s">
        <v>2130</v>
      </c>
      <c r="C83" s="144" t="str">
        <f t="shared" si="3"/>
        <v>Total cost of vaccines per</v>
      </c>
      <c r="D83" s="145" t="s">
        <v>1757</v>
      </c>
      <c r="E83" s="145" t="s">
        <v>1758</v>
      </c>
      <c r="F83" s="145"/>
      <c r="G83" s="145" t="s">
        <v>1759</v>
      </c>
      <c r="H83" s="145"/>
      <c r="I83" s="145"/>
    </row>
    <row r="84" spans="1:9" ht="23.4">
      <c r="A84" s="142">
        <f t="shared" si="4"/>
        <v>76</v>
      </c>
      <c r="B84" s="144" t="s">
        <v>2130</v>
      </c>
      <c r="C84" s="144" t="str">
        <f t="shared" si="3"/>
        <v>Total cost of safe injection equipment per</v>
      </c>
      <c r="D84" s="145" t="s">
        <v>1760</v>
      </c>
      <c r="E84" s="145" t="s">
        <v>1761</v>
      </c>
      <c r="F84" s="145"/>
      <c r="G84" s="145" t="s">
        <v>1762</v>
      </c>
      <c r="H84" s="145"/>
      <c r="I84" s="145"/>
    </row>
    <row r="85" spans="1:9" ht="23.4">
      <c r="A85" s="142">
        <f t="shared" si="4"/>
        <v>77</v>
      </c>
      <c r="B85" s="144" t="s">
        <v>2130</v>
      </c>
      <c r="C85" s="144" t="str">
        <f t="shared" si="3"/>
        <v>Total cost of vaccines &amp; safe injection equipment per</v>
      </c>
      <c r="D85" s="145" t="s">
        <v>1763</v>
      </c>
      <c r="E85" s="145" t="s">
        <v>1764</v>
      </c>
      <c r="F85" s="145"/>
      <c r="G85" s="145" t="s">
        <v>1765</v>
      </c>
      <c r="H85" s="145"/>
      <c r="I85" s="145"/>
    </row>
    <row r="86" spans="1:9" ht="23.4">
      <c r="A86" s="142">
        <f t="shared" si="4"/>
        <v>78</v>
      </c>
      <c r="B86" s="144" t="s">
        <v>2130</v>
      </c>
      <c r="C86" s="144" t="str">
        <f t="shared" si="3"/>
        <v>Increase of total cost per recipient compared to current schedule</v>
      </c>
      <c r="D86" s="145" t="s">
        <v>461</v>
      </c>
      <c r="E86" s="145" t="s">
        <v>462</v>
      </c>
      <c r="F86" s="145"/>
      <c r="G86" s="579" t="s">
        <v>1766</v>
      </c>
      <c r="H86" s="145"/>
      <c r="I86" s="145"/>
    </row>
    <row r="87" spans="1:9">
      <c r="A87" s="142">
        <f t="shared" si="4"/>
        <v>79</v>
      </c>
      <c r="B87" s="144" t="s">
        <v>2130</v>
      </c>
      <c r="C87" s="144" t="str">
        <f t="shared" si="3"/>
        <v>Total cost of vaccines per recipient</v>
      </c>
      <c r="D87" s="145" t="s">
        <v>1966</v>
      </c>
      <c r="E87" s="145" t="s">
        <v>1767</v>
      </c>
      <c r="F87" s="145"/>
      <c r="G87" s="145" t="s">
        <v>1768</v>
      </c>
      <c r="H87" s="145"/>
      <c r="I87" s="145"/>
    </row>
    <row r="88" spans="1:9" ht="23.4">
      <c r="A88" s="142">
        <f t="shared" si="4"/>
        <v>80</v>
      </c>
      <c r="B88" s="144" t="s">
        <v>2130</v>
      </c>
      <c r="C88" s="144" t="str">
        <f t="shared" si="3"/>
        <v>Total cost of safe injection equipment per recipient</v>
      </c>
      <c r="D88" s="145" t="s">
        <v>1967</v>
      </c>
      <c r="E88" s="145" t="s">
        <v>1769</v>
      </c>
      <c r="F88" s="145"/>
      <c r="G88" s="145" t="s">
        <v>1770</v>
      </c>
      <c r="H88" s="145"/>
      <c r="I88" s="145"/>
    </row>
    <row r="89" spans="1:9" ht="23.4">
      <c r="A89" s="142">
        <f t="shared" si="4"/>
        <v>81</v>
      </c>
      <c r="B89" s="144" t="s">
        <v>2130</v>
      </c>
      <c r="C89" s="144" t="str">
        <f t="shared" si="3"/>
        <v>Total cost of vaccines &amp; safe injection equipment per recipient</v>
      </c>
      <c r="D89" s="145" t="s">
        <v>1968</v>
      </c>
      <c r="E89" s="145" t="s">
        <v>1771</v>
      </c>
      <c r="F89" s="145"/>
      <c r="G89" s="145" t="s">
        <v>1772</v>
      </c>
      <c r="H89" s="145"/>
      <c r="I89" s="145"/>
    </row>
    <row r="90" spans="1:9" ht="23.4">
      <c r="A90" s="142">
        <f t="shared" si="4"/>
        <v>82</v>
      </c>
      <c r="B90" s="143" t="s">
        <v>1537</v>
      </c>
      <c r="C90" s="143" t="str">
        <f t="shared" ref="C90:C153" si="5">HLOOKUP($D$1,$D$9:$I$432,$A90,FALSE)</f>
        <v>V A C C I N E   V O L U M E   C A L C U L A T O R</v>
      </c>
      <c r="D90" s="195" t="s">
        <v>1036</v>
      </c>
      <c r="E90" s="195" t="s">
        <v>1037</v>
      </c>
      <c r="F90" s="195"/>
      <c r="G90" s="195"/>
      <c r="H90" s="195"/>
      <c r="I90" s="195"/>
    </row>
    <row r="91" spans="1:9">
      <c r="A91" s="142">
        <f t="shared" si="4"/>
        <v>83</v>
      </c>
      <c r="B91" s="144" t="s">
        <v>1537</v>
      </c>
      <c r="C91" s="144" t="str">
        <f t="shared" si="5"/>
        <v>Country:</v>
      </c>
      <c r="D91" s="146" t="s">
        <v>1035</v>
      </c>
      <c r="E91" s="146" t="s">
        <v>1034</v>
      </c>
      <c r="F91" s="146"/>
      <c r="G91" s="146"/>
      <c r="H91" s="146"/>
      <c r="I91" s="146"/>
    </row>
    <row r="92" spans="1:9">
      <c r="A92" s="142">
        <f t="shared" si="4"/>
        <v>84</v>
      </c>
      <c r="B92" s="144" t="s">
        <v>1537</v>
      </c>
      <c r="C92" s="144" t="str">
        <f t="shared" si="5"/>
        <v>Language:</v>
      </c>
      <c r="D92" s="146" t="s">
        <v>1538</v>
      </c>
      <c r="E92" s="146" t="s">
        <v>1539</v>
      </c>
      <c r="F92" s="146"/>
      <c r="G92" s="146"/>
      <c r="H92" s="146"/>
      <c r="I92" s="146"/>
    </row>
    <row r="93" spans="1:9">
      <c r="A93" s="142">
        <f t="shared" si="4"/>
        <v>85</v>
      </c>
      <c r="B93" s="144" t="s">
        <v>1537</v>
      </c>
      <c r="C93" s="144" t="str">
        <f t="shared" si="5"/>
        <v>Date:</v>
      </c>
      <c r="D93" s="146" t="s">
        <v>1362</v>
      </c>
      <c r="E93" s="146" t="s">
        <v>1362</v>
      </c>
      <c r="F93" s="146"/>
      <c r="G93" s="146"/>
      <c r="H93" s="146"/>
      <c r="I93" s="146"/>
    </row>
    <row r="94" spans="1:9">
      <c r="A94" s="142">
        <f t="shared" si="4"/>
        <v>86</v>
      </c>
      <c r="B94" s="144" t="s">
        <v>1537</v>
      </c>
      <c r="C94" s="144" t="str">
        <f t="shared" si="5"/>
        <v>Click to index page</v>
      </c>
      <c r="D94" s="146" t="s">
        <v>1540</v>
      </c>
      <c r="E94" s="146" t="s">
        <v>1514</v>
      </c>
      <c r="F94" s="146"/>
      <c r="G94" s="146"/>
      <c r="H94" s="146"/>
      <c r="I94" s="146"/>
    </row>
    <row r="95" spans="1:9">
      <c r="A95" s="142">
        <f t="shared" si="4"/>
        <v>87</v>
      </c>
      <c r="B95" s="144" t="s">
        <v>1537</v>
      </c>
      <c r="C95" s="144" t="str">
        <f t="shared" si="5"/>
        <v>v 2012.1 - January 2012</v>
      </c>
      <c r="D95" s="146" t="s">
        <v>449</v>
      </c>
      <c r="E95" s="146" t="s">
        <v>450</v>
      </c>
      <c r="F95" s="146"/>
      <c r="G95" s="146"/>
      <c r="H95" s="146"/>
      <c r="I95" s="146"/>
    </row>
    <row r="96" spans="1:9">
      <c r="A96" s="142">
        <f t="shared" si="4"/>
        <v>88</v>
      </c>
      <c r="B96" s="143" t="s">
        <v>1536</v>
      </c>
      <c r="C96" s="143" t="str">
        <f t="shared" si="5"/>
        <v>Index and instructions</v>
      </c>
      <c r="D96" s="195" t="s">
        <v>1038</v>
      </c>
      <c r="E96" s="195" t="s">
        <v>1039</v>
      </c>
      <c r="F96" s="195"/>
      <c r="G96" s="195" t="s">
        <v>1800</v>
      </c>
      <c r="H96" s="195"/>
      <c r="I96" s="195"/>
    </row>
    <row r="97" spans="1:9">
      <c r="A97" s="142">
        <f t="shared" si="4"/>
        <v>89</v>
      </c>
      <c r="B97" s="144" t="s">
        <v>1536</v>
      </c>
      <c r="C97" s="144" t="str">
        <f t="shared" si="5"/>
        <v>Worksheet</v>
      </c>
      <c r="D97" s="146" t="s">
        <v>1530</v>
      </c>
      <c r="E97" s="146" t="s">
        <v>916</v>
      </c>
      <c r="F97" s="146"/>
      <c r="G97" s="146" t="s">
        <v>1801</v>
      </c>
      <c r="H97" s="146"/>
      <c r="I97" s="146"/>
    </row>
    <row r="98" spans="1:9">
      <c r="A98" s="142">
        <f t="shared" si="4"/>
        <v>90</v>
      </c>
      <c r="B98" s="144" t="s">
        <v>1536</v>
      </c>
      <c r="C98" s="144" t="str">
        <f t="shared" si="5"/>
        <v>Content of the worksheet</v>
      </c>
      <c r="D98" s="146" t="s">
        <v>1040</v>
      </c>
      <c r="E98" s="146" t="s">
        <v>915</v>
      </c>
      <c r="F98" s="146"/>
      <c r="G98" s="146" t="s">
        <v>1802</v>
      </c>
      <c r="H98" s="146"/>
      <c r="I98" s="146"/>
    </row>
    <row r="99" spans="1:9">
      <c r="A99" s="142">
        <f t="shared" si="4"/>
        <v>91</v>
      </c>
      <c r="B99" s="143" t="s">
        <v>1536</v>
      </c>
      <c r="C99" s="143" t="str">
        <f t="shared" si="5"/>
        <v>Data input sheets:</v>
      </c>
      <c r="D99" s="195" t="s">
        <v>1306</v>
      </c>
      <c r="E99" s="195" t="s">
        <v>1307</v>
      </c>
      <c r="F99" s="195"/>
      <c r="G99" s="195" t="s">
        <v>29</v>
      </c>
      <c r="H99" s="195"/>
      <c r="I99" s="195"/>
    </row>
    <row r="100" spans="1:9" ht="23.4">
      <c r="A100" s="142">
        <f t="shared" si="4"/>
        <v>92</v>
      </c>
      <c r="B100" s="143" t="s">
        <v>1536</v>
      </c>
      <c r="C100" s="143" t="str">
        <f t="shared" si="5"/>
        <v>Data output sheets: graphical illustration of results</v>
      </c>
      <c r="D100" s="195" t="s">
        <v>1804</v>
      </c>
      <c r="E100" s="195" t="s">
        <v>18</v>
      </c>
      <c r="F100" s="195"/>
      <c r="G100" s="195" t="s">
        <v>30</v>
      </c>
      <c r="H100" s="195"/>
      <c r="I100" s="195"/>
    </row>
    <row r="101" spans="1:9" ht="23.4">
      <c r="A101" s="142">
        <f t="shared" si="4"/>
        <v>93</v>
      </c>
      <c r="B101" s="143" t="s">
        <v>1536</v>
      </c>
      <c r="C101" s="143" t="str">
        <f t="shared" si="5"/>
        <v>Data output sheets: results of assessment of requirements per recipient</v>
      </c>
      <c r="D101" s="195" t="s">
        <v>17</v>
      </c>
      <c r="E101" s="195" t="s">
        <v>463</v>
      </c>
      <c r="F101" s="195"/>
      <c r="G101" s="196" t="s">
        <v>15</v>
      </c>
      <c r="H101" s="195"/>
      <c r="I101" s="195"/>
    </row>
    <row r="102" spans="1:9">
      <c r="A102" s="142">
        <f t="shared" si="4"/>
        <v>94</v>
      </c>
      <c r="B102" s="143" t="s">
        <v>1536</v>
      </c>
      <c r="C102" s="143" t="str">
        <f t="shared" si="5"/>
        <v>Graphs</v>
      </c>
      <c r="D102" s="195" t="s">
        <v>1169</v>
      </c>
      <c r="E102" s="195" t="s">
        <v>1069</v>
      </c>
      <c r="F102" s="195"/>
      <c r="G102" s="195" t="s">
        <v>2171</v>
      </c>
      <c r="H102" s="195"/>
      <c r="I102" s="195"/>
    </row>
    <row r="103" spans="1:9">
      <c r="A103" s="142">
        <f t="shared" si="4"/>
        <v>95</v>
      </c>
      <c r="B103" s="143" t="s">
        <v>1536</v>
      </c>
      <c r="C103" s="143" t="str">
        <f t="shared" si="5"/>
        <v>Sheets with reference data:</v>
      </c>
      <c r="D103" s="195" t="s">
        <v>52</v>
      </c>
      <c r="E103" s="195" t="s">
        <v>682</v>
      </c>
      <c r="F103" s="195"/>
      <c r="G103" s="195" t="s">
        <v>2170</v>
      </c>
      <c r="H103" s="195"/>
      <c r="I103" s="195"/>
    </row>
    <row r="104" spans="1:9" ht="91.8">
      <c r="A104" s="142">
        <f t="shared" si="4"/>
        <v>96</v>
      </c>
      <c r="B104" s="144" t="s">
        <v>1536</v>
      </c>
      <c r="C104" s="144" t="str">
        <f t="shared" si="5"/>
        <v>1) The Vaccine Volume Calculator is used to estimate the net volume of vaccines and related supplies at each level in the supply chain. It can also be used to estimate the type of cold chain equipment needed for a specific target population. The effect of new vaccine introductions can be tested by comparing one or more of these against the current schedule.</v>
      </c>
      <c r="D104" s="146" t="s">
        <v>25</v>
      </c>
      <c r="E104" s="146" t="s">
        <v>464</v>
      </c>
      <c r="F104" s="146"/>
      <c r="G104" s="197" t="s">
        <v>15</v>
      </c>
      <c r="H104" s="146"/>
      <c r="I104" s="146"/>
    </row>
    <row r="105" spans="1:9">
      <c r="A105" s="142">
        <f t="shared" si="4"/>
        <v>97</v>
      </c>
      <c r="B105" s="144" t="s">
        <v>1536</v>
      </c>
      <c r="C105" s="144" t="str">
        <f t="shared" si="5"/>
        <v>2) How to use the tool:</v>
      </c>
      <c r="D105" s="146" t="s">
        <v>1071</v>
      </c>
      <c r="E105" s="146" t="s">
        <v>465</v>
      </c>
      <c r="F105" s="146"/>
      <c r="G105" s="197" t="s">
        <v>15</v>
      </c>
      <c r="H105" s="146"/>
      <c r="I105" s="146"/>
    </row>
    <row r="106" spans="1:9" ht="23.4">
      <c r="A106" s="142">
        <f t="shared" si="4"/>
        <v>98</v>
      </c>
      <c r="B106" s="144" t="s">
        <v>1536</v>
      </c>
      <c r="C106" s="144" t="str">
        <f t="shared" si="5"/>
        <v>STEP 1: Estimate net storage volume per recipient using the Vaccine_Selection worksheet.</v>
      </c>
      <c r="D106" s="146" t="s">
        <v>1072</v>
      </c>
      <c r="E106" s="146" t="s">
        <v>466</v>
      </c>
      <c r="F106" s="146"/>
      <c r="G106" s="197" t="s">
        <v>15</v>
      </c>
      <c r="H106" s="146"/>
      <c r="I106" s="146"/>
    </row>
    <row r="107" spans="1:9" ht="46.2">
      <c r="A107" s="142">
        <f t="shared" si="4"/>
        <v>99</v>
      </c>
      <c r="B107" s="144" t="s">
        <v>1536</v>
      </c>
      <c r="C107" s="144" t="str">
        <f t="shared" si="5"/>
        <v>STEP 2: Use the Abacus_Tables worksheet to enter the data needed to generate graphs covering the range of target populations at each supply level.</v>
      </c>
      <c r="D107" s="146" t="s">
        <v>1170</v>
      </c>
      <c r="E107" s="146" t="s">
        <v>467</v>
      </c>
      <c r="F107" s="146"/>
      <c r="G107" s="197" t="s">
        <v>15</v>
      </c>
      <c r="H107" s="146"/>
      <c r="I107" s="146"/>
    </row>
    <row r="108" spans="1:9" ht="46.2">
      <c r="A108" s="142">
        <f t="shared" si="4"/>
        <v>100</v>
      </c>
      <c r="B108" s="144" t="s">
        <v>1536</v>
      </c>
      <c r="C108" s="144" t="str">
        <f t="shared" si="5"/>
        <v>STEP 3: Use the graphs to read off the net storage volumes for a specific catchment population.  Then use these data to select appropriate cold chain equipment.</v>
      </c>
      <c r="D108" s="146" t="s">
        <v>1171</v>
      </c>
      <c r="E108" s="146" t="s">
        <v>1666</v>
      </c>
      <c r="F108" s="146"/>
      <c r="G108" s="197" t="s">
        <v>15</v>
      </c>
      <c r="H108" s="146"/>
      <c r="I108" s="146"/>
    </row>
    <row r="109" spans="1:9">
      <c r="A109" s="142">
        <f t="shared" si="4"/>
        <v>101</v>
      </c>
      <c r="B109" s="144" t="s">
        <v>1536</v>
      </c>
      <c r="C109" s="144" t="str">
        <f t="shared" si="5"/>
        <v>Index</v>
      </c>
      <c r="D109" s="146" t="s">
        <v>1536</v>
      </c>
      <c r="E109" s="146" t="s">
        <v>1536</v>
      </c>
      <c r="F109" s="146"/>
      <c r="G109" s="197" t="s">
        <v>15</v>
      </c>
      <c r="H109" s="146"/>
      <c r="I109" s="146"/>
    </row>
    <row r="110" spans="1:9">
      <c r="A110" s="142">
        <f t="shared" si="4"/>
        <v>102</v>
      </c>
      <c r="B110" s="144" t="s">
        <v>353</v>
      </c>
      <c r="C110" s="144" t="str">
        <f t="shared" si="5"/>
        <v>Passive container database</v>
      </c>
      <c r="D110" s="146" t="s">
        <v>1868</v>
      </c>
      <c r="E110" s="146" t="s">
        <v>1048</v>
      </c>
      <c r="F110" s="146"/>
      <c r="G110" s="197"/>
      <c r="H110" s="146"/>
      <c r="I110" s="146"/>
    </row>
    <row r="111" spans="1:9">
      <c r="A111" s="142">
        <f t="shared" si="4"/>
        <v>103</v>
      </c>
      <c r="B111" s="144" t="s">
        <v>353</v>
      </c>
      <c r="C111" s="144" t="str">
        <f t="shared" si="5"/>
        <v xml:space="preserve">No user action required </v>
      </c>
      <c r="D111" s="146" t="s">
        <v>354</v>
      </c>
      <c r="E111" s="146" t="s">
        <v>15</v>
      </c>
      <c r="F111" s="146"/>
      <c r="G111" s="197"/>
      <c r="H111" s="146"/>
      <c r="I111" s="146"/>
    </row>
    <row r="112" spans="1:9">
      <c r="A112" s="142">
        <f t="shared" si="4"/>
        <v>104</v>
      </c>
      <c r="B112" s="144" t="s">
        <v>353</v>
      </c>
      <c r="C112" s="144" t="str">
        <f t="shared" si="5"/>
        <v>Vaccine storage</v>
      </c>
      <c r="D112" s="146" t="s">
        <v>1088</v>
      </c>
      <c r="E112" s="146" t="s">
        <v>1254</v>
      </c>
      <c r="F112" s="146"/>
      <c r="G112" s="197"/>
      <c r="H112" s="146"/>
      <c r="I112" s="146"/>
    </row>
    <row r="113" spans="1:9">
      <c r="A113" s="142">
        <f t="shared" si="4"/>
        <v>105</v>
      </c>
      <c r="B113" s="144" t="s">
        <v>353</v>
      </c>
      <c r="C113" s="144" t="str">
        <f t="shared" si="5"/>
        <v>capacity (l)</v>
      </c>
      <c r="D113" s="146" t="s">
        <v>1095</v>
      </c>
      <c r="E113" s="146" t="s">
        <v>721</v>
      </c>
      <c r="F113" s="146"/>
      <c r="G113" s="197"/>
      <c r="H113" s="146"/>
      <c r="I113" s="146"/>
    </row>
    <row r="114" spans="1:9">
      <c r="A114" s="142">
        <f t="shared" si="4"/>
        <v>106</v>
      </c>
      <c r="B114" s="144" t="s">
        <v>353</v>
      </c>
      <c r="C114" s="144" t="str">
        <f t="shared" si="5"/>
        <v>Equipment identification</v>
      </c>
      <c r="D114" s="149" t="s">
        <v>321</v>
      </c>
      <c r="E114" s="146" t="s">
        <v>15</v>
      </c>
      <c r="F114" s="146"/>
      <c r="G114" s="197"/>
      <c r="H114" s="146"/>
      <c r="I114" s="146"/>
    </row>
    <row r="115" spans="1:9">
      <c r="A115" s="142">
        <f t="shared" si="4"/>
        <v>107</v>
      </c>
      <c r="B115" s="144" t="s">
        <v>353</v>
      </c>
      <c r="C115" s="144" t="str">
        <f t="shared" si="5"/>
        <v>Type</v>
      </c>
      <c r="D115" s="595" t="s">
        <v>1483</v>
      </c>
      <c r="E115" s="146" t="s">
        <v>1483</v>
      </c>
      <c r="F115" s="146"/>
      <c r="G115" s="197"/>
      <c r="H115" s="146"/>
      <c r="I115" s="146"/>
    </row>
    <row r="116" spans="1:9">
      <c r="A116" s="142">
        <f t="shared" si="4"/>
        <v>108</v>
      </c>
      <c r="B116" s="144" t="s">
        <v>353</v>
      </c>
      <c r="C116" s="144" t="str">
        <f t="shared" si="5"/>
        <v>Make</v>
      </c>
      <c r="D116" s="595" t="s">
        <v>324</v>
      </c>
      <c r="E116" s="146" t="s">
        <v>874</v>
      </c>
      <c r="F116" s="146"/>
      <c r="G116" s="197"/>
      <c r="H116" s="146"/>
      <c r="I116" s="146"/>
    </row>
    <row r="117" spans="1:9">
      <c r="A117" s="142">
        <f t="shared" si="4"/>
        <v>109</v>
      </c>
      <c r="B117" s="144" t="s">
        <v>353</v>
      </c>
      <c r="C117" s="144" t="str">
        <f t="shared" si="5"/>
        <v>Model</v>
      </c>
      <c r="D117" s="595" t="s">
        <v>1482</v>
      </c>
      <c r="E117" s="146" t="s">
        <v>875</v>
      </c>
      <c r="F117" s="146"/>
      <c r="G117" s="197"/>
      <c r="H117" s="146"/>
      <c r="I117" s="146"/>
    </row>
    <row r="118" spans="1:9">
      <c r="A118" s="142">
        <f t="shared" si="4"/>
        <v>110</v>
      </c>
      <c r="B118" s="144" t="s">
        <v>353</v>
      </c>
      <c r="C118" s="144" t="str">
        <f t="shared" si="5"/>
        <v>Type ref</v>
      </c>
      <c r="D118" s="595" t="s">
        <v>1879</v>
      </c>
      <c r="E118" s="146" t="s">
        <v>1257</v>
      </c>
      <c r="F118" s="146"/>
      <c r="G118" s="197"/>
      <c r="H118" s="146"/>
      <c r="I118" s="146"/>
    </row>
    <row r="119" spans="1:9">
      <c r="A119" s="142">
        <f t="shared" si="4"/>
        <v>111</v>
      </c>
      <c r="B119" s="144" t="s">
        <v>353</v>
      </c>
      <c r="C119" s="144" t="str">
        <f t="shared" si="5"/>
        <v>Nbr of products listed:</v>
      </c>
      <c r="D119" s="146" t="s">
        <v>1870</v>
      </c>
      <c r="E119" s="146" t="s">
        <v>871</v>
      </c>
      <c r="F119" s="146"/>
      <c r="G119" s="197"/>
      <c r="H119" s="146"/>
      <c r="I119" s="146"/>
    </row>
    <row r="120" spans="1:9">
      <c r="A120" s="142">
        <f t="shared" si="4"/>
        <v>112</v>
      </c>
      <c r="B120" s="144" t="s">
        <v>353</v>
      </c>
      <c r="C120" s="144" t="str">
        <f t="shared" si="5"/>
        <v>Weight (kg)</v>
      </c>
      <c r="D120" s="146" t="s">
        <v>1089</v>
      </c>
      <c r="E120" s="146" t="s">
        <v>379</v>
      </c>
      <c r="F120" s="146"/>
      <c r="G120" s="197"/>
      <c r="H120" s="146"/>
      <c r="I120" s="146"/>
    </row>
    <row r="121" spans="1:9">
      <c r="A121" s="142">
        <f t="shared" si="4"/>
        <v>113</v>
      </c>
      <c r="B121" s="144" t="s">
        <v>353</v>
      </c>
      <c r="C121" s="144" t="str">
        <f t="shared" si="5"/>
        <v>loaded</v>
      </c>
      <c r="D121" s="146" t="s">
        <v>666</v>
      </c>
      <c r="E121" s="146" t="s">
        <v>1255</v>
      </c>
      <c r="F121" s="146"/>
      <c r="G121" s="197"/>
      <c r="H121" s="146"/>
      <c r="I121" s="146"/>
    </row>
    <row r="122" spans="1:9">
      <c r="A122" s="142">
        <f t="shared" si="4"/>
        <v>114</v>
      </c>
      <c r="B122" s="144" t="s">
        <v>353</v>
      </c>
      <c r="C122" s="144" t="str">
        <f t="shared" si="5"/>
        <v>empty</v>
      </c>
      <c r="D122" s="146" t="s">
        <v>1096</v>
      </c>
      <c r="E122" s="146" t="s">
        <v>1256</v>
      </c>
      <c r="F122" s="146"/>
      <c r="G122" s="197"/>
      <c r="H122" s="146"/>
      <c r="I122" s="146"/>
    </row>
    <row r="123" spans="1:9">
      <c r="A123" s="142">
        <f t="shared" si="4"/>
        <v>115</v>
      </c>
      <c r="B123" s="144" t="s">
        <v>353</v>
      </c>
      <c r="C123" s="144" t="str">
        <f t="shared" si="5"/>
        <v>External dimensions (cm)</v>
      </c>
      <c r="D123" s="146" t="s">
        <v>1090</v>
      </c>
      <c r="E123" s="146" t="s">
        <v>1667</v>
      </c>
      <c r="F123" s="146"/>
      <c r="G123" s="197"/>
      <c r="H123" s="146"/>
      <c r="I123" s="146"/>
    </row>
    <row r="124" spans="1:9">
      <c r="A124" s="142">
        <f t="shared" si="4"/>
        <v>116</v>
      </c>
      <c r="B124" s="144" t="s">
        <v>353</v>
      </c>
      <c r="C124" s="144" t="str">
        <f t="shared" si="5"/>
        <v>W</v>
      </c>
      <c r="D124" s="146" t="s">
        <v>1097</v>
      </c>
      <c r="E124" s="146" t="s">
        <v>1710</v>
      </c>
      <c r="F124" s="146"/>
      <c r="G124" s="197"/>
      <c r="H124" s="146"/>
      <c r="I124" s="146"/>
    </row>
    <row r="125" spans="1:9">
      <c r="A125" s="142">
        <f t="shared" si="4"/>
        <v>117</v>
      </c>
      <c r="B125" s="144" t="s">
        <v>353</v>
      </c>
      <c r="C125" s="144" t="str">
        <f t="shared" si="5"/>
        <v>D</v>
      </c>
      <c r="D125" s="146" t="s">
        <v>197</v>
      </c>
      <c r="E125" s="146" t="s">
        <v>1668</v>
      </c>
      <c r="F125" s="146"/>
      <c r="G125" s="197"/>
      <c r="H125" s="146"/>
      <c r="I125" s="146"/>
    </row>
    <row r="126" spans="1:9">
      <c r="A126" s="142">
        <f t="shared" si="4"/>
        <v>118</v>
      </c>
      <c r="B126" s="144" t="s">
        <v>353</v>
      </c>
      <c r="C126" s="144" t="str">
        <f t="shared" si="5"/>
        <v>H</v>
      </c>
      <c r="D126" s="146" t="s">
        <v>198</v>
      </c>
      <c r="E126" s="146" t="s">
        <v>198</v>
      </c>
      <c r="F126" s="146"/>
      <c r="G126" s="197"/>
      <c r="H126" s="146"/>
      <c r="I126" s="146"/>
    </row>
    <row r="127" spans="1:9">
      <c r="A127" s="142">
        <f t="shared" si="4"/>
        <v>119</v>
      </c>
      <c r="B127" s="144" t="s">
        <v>353</v>
      </c>
      <c r="C127" s="144" t="str">
        <f t="shared" si="5"/>
        <v>Vaccine storage dimensions</v>
      </c>
      <c r="D127" s="146" t="s">
        <v>1091</v>
      </c>
      <c r="E127" s="146" t="s">
        <v>1669</v>
      </c>
      <c r="F127" s="146"/>
      <c r="G127" s="197"/>
      <c r="H127" s="146"/>
      <c r="I127" s="146"/>
    </row>
    <row r="128" spans="1:9">
      <c r="A128" s="142">
        <f t="shared" si="4"/>
        <v>120</v>
      </c>
      <c r="B128" s="144" t="s">
        <v>353</v>
      </c>
      <c r="C128" s="144" t="str">
        <f t="shared" si="5"/>
        <v>W</v>
      </c>
      <c r="D128" s="146" t="s">
        <v>1097</v>
      </c>
      <c r="E128" s="146" t="s">
        <v>1710</v>
      </c>
      <c r="F128" s="146"/>
      <c r="G128" s="197"/>
      <c r="H128" s="146"/>
      <c r="I128" s="146"/>
    </row>
    <row r="129" spans="1:9">
      <c r="A129" s="142">
        <f t="shared" si="4"/>
        <v>121</v>
      </c>
      <c r="B129" s="144" t="s">
        <v>353</v>
      </c>
      <c r="C129" s="144" t="str">
        <f t="shared" si="5"/>
        <v>D</v>
      </c>
      <c r="D129" s="146" t="s">
        <v>197</v>
      </c>
      <c r="E129" s="146" t="s">
        <v>1668</v>
      </c>
      <c r="F129" s="146"/>
      <c r="G129" s="197"/>
      <c r="H129" s="146"/>
      <c r="I129" s="146"/>
    </row>
    <row r="130" spans="1:9">
      <c r="A130" s="142">
        <f t="shared" si="4"/>
        <v>122</v>
      </c>
      <c r="B130" s="144" t="s">
        <v>353</v>
      </c>
      <c r="C130" s="144" t="str">
        <f t="shared" si="5"/>
        <v>H</v>
      </c>
      <c r="D130" s="146" t="s">
        <v>198</v>
      </c>
      <c r="E130" s="146" t="s">
        <v>198</v>
      </c>
      <c r="F130" s="146"/>
      <c r="G130" s="197"/>
      <c r="H130" s="146"/>
      <c r="I130" s="146"/>
    </row>
    <row r="131" spans="1:9">
      <c r="A131" s="142">
        <f t="shared" si="4"/>
        <v>123</v>
      </c>
      <c r="B131" s="144" t="s">
        <v>353</v>
      </c>
      <c r="C131" s="144" t="str">
        <f t="shared" si="5"/>
        <v>Water-packs required</v>
      </c>
      <c r="D131" s="146" t="s">
        <v>1881</v>
      </c>
      <c r="E131" s="146" t="s">
        <v>1671</v>
      </c>
      <c r="F131" s="146"/>
      <c r="G131" s="197"/>
      <c r="H131" s="146"/>
      <c r="I131" s="146"/>
    </row>
    <row r="132" spans="1:9">
      <c r="A132" s="142">
        <f t="shared" si="4"/>
        <v>124</v>
      </c>
      <c r="B132" s="144" t="s">
        <v>353</v>
      </c>
      <c r="C132" s="144" t="str">
        <f t="shared" si="5"/>
        <v>Type</v>
      </c>
      <c r="D132" s="146" t="s">
        <v>1483</v>
      </c>
      <c r="E132" s="146" t="s">
        <v>1483</v>
      </c>
      <c r="F132" s="146"/>
      <c r="G132" s="197"/>
      <c r="H132" s="146"/>
      <c r="I132" s="146"/>
    </row>
    <row r="133" spans="1:9">
      <c r="A133" s="142">
        <f t="shared" si="4"/>
        <v>125</v>
      </c>
      <c r="B133" s="144" t="s">
        <v>353</v>
      </c>
      <c r="C133" s="144" t="str">
        <f t="shared" si="5"/>
        <v>Number</v>
      </c>
      <c r="D133" s="146" t="s">
        <v>1098</v>
      </c>
      <c r="E133" s="146" t="s">
        <v>1670</v>
      </c>
      <c r="F133" s="146"/>
      <c r="G133" s="197"/>
      <c r="H133" s="146"/>
      <c r="I133" s="146"/>
    </row>
    <row r="134" spans="1:9">
      <c r="A134" s="142">
        <f t="shared" si="4"/>
        <v>126</v>
      </c>
      <c r="B134" s="144" t="s">
        <v>353</v>
      </c>
      <c r="C134" s="144" t="str">
        <f t="shared" si="5"/>
        <v>Cold life</v>
      </c>
      <c r="D134" s="146" t="s">
        <v>1092</v>
      </c>
      <c r="E134" s="146" t="s">
        <v>1251</v>
      </c>
      <c r="F134" s="146"/>
      <c r="G134" s="197"/>
      <c r="H134" s="146"/>
      <c r="I134" s="146"/>
    </row>
    <row r="135" spans="1:9">
      <c r="A135" s="142">
        <f t="shared" si="4"/>
        <v>127</v>
      </c>
      <c r="B135" s="144" t="s">
        <v>353</v>
      </c>
      <c r="C135" s="144" t="str">
        <f t="shared" si="5"/>
        <v>Warm life</v>
      </c>
      <c r="D135" s="146" t="s">
        <v>1093</v>
      </c>
      <c r="E135" s="146" t="s">
        <v>1252</v>
      </c>
      <c r="F135" s="146"/>
      <c r="G135" s="197"/>
      <c r="H135" s="146"/>
      <c r="I135" s="146"/>
    </row>
    <row r="136" spans="1:9">
      <c r="A136" s="142">
        <f t="shared" si="4"/>
        <v>128</v>
      </c>
      <c r="B136" s="144" t="s">
        <v>353</v>
      </c>
      <c r="C136" s="144" t="str">
        <f t="shared" si="5"/>
        <v>Cool life</v>
      </c>
      <c r="D136" s="146" t="s">
        <v>1882</v>
      </c>
      <c r="E136" s="146" t="s">
        <v>1253</v>
      </c>
      <c r="F136" s="146"/>
      <c r="G136" s="197"/>
      <c r="H136" s="146"/>
      <c r="I136" s="146"/>
    </row>
    <row r="137" spans="1:9">
      <c r="A137" s="142">
        <f t="shared" si="4"/>
        <v>129</v>
      </c>
      <c r="B137" s="144" t="s">
        <v>353</v>
      </c>
      <c r="C137" s="144" t="str">
        <f t="shared" si="5"/>
        <v>Price</v>
      </c>
      <c r="D137" s="146" t="s">
        <v>1094</v>
      </c>
      <c r="E137" s="146" t="s">
        <v>1863</v>
      </c>
      <c r="F137" s="146"/>
      <c r="G137" s="197"/>
      <c r="H137" s="146"/>
      <c r="I137" s="146"/>
    </row>
    <row r="138" spans="1:9">
      <c r="A138" s="142">
        <f t="shared" si="4"/>
        <v>130</v>
      </c>
      <c r="B138" s="144" t="s">
        <v>353</v>
      </c>
      <c r="C138" s="144" t="str">
        <f t="shared" si="5"/>
        <v>FOB ($)</v>
      </c>
      <c r="D138" s="596" t="s">
        <v>1101</v>
      </c>
      <c r="E138" s="146" t="s">
        <v>1101</v>
      </c>
      <c r="F138" s="146"/>
      <c r="G138" s="197"/>
      <c r="H138" s="146"/>
      <c r="I138" s="146"/>
    </row>
    <row r="139" spans="1:9">
      <c r="A139" s="142">
        <f t="shared" si="4"/>
        <v>131</v>
      </c>
      <c r="B139" s="144" t="s">
        <v>353</v>
      </c>
      <c r="C139" s="144" t="str">
        <f t="shared" si="5"/>
        <v>External volume (litres)</v>
      </c>
      <c r="D139" s="149" t="s">
        <v>355</v>
      </c>
      <c r="E139" s="146" t="s">
        <v>2</v>
      </c>
      <c r="F139" s="146"/>
      <c r="G139" s="197"/>
      <c r="H139" s="146"/>
      <c r="I139" s="146"/>
    </row>
    <row r="140" spans="1:9">
      <c r="A140" s="142">
        <f t="shared" si="4"/>
        <v>132</v>
      </c>
      <c r="B140" s="144" t="s">
        <v>353</v>
      </c>
      <c r="C140" s="144" t="str">
        <f t="shared" si="5"/>
        <v>Bulking factor</v>
      </c>
      <c r="D140" s="146" t="s">
        <v>1147</v>
      </c>
      <c r="E140" s="146" t="s">
        <v>288</v>
      </c>
      <c r="F140" s="146"/>
      <c r="G140" s="197"/>
      <c r="H140" s="146"/>
      <c r="I140" s="146"/>
    </row>
    <row r="141" spans="1:9">
      <c r="A141" s="142">
        <f t="shared" si="4"/>
        <v>133</v>
      </c>
      <c r="B141" s="144" t="s">
        <v>353</v>
      </c>
      <c r="C141" s="144" t="str">
        <f t="shared" si="5"/>
        <v>(Ext vol/ vax capacity)</v>
      </c>
      <c r="D141" s="146" t="s">
        <v>356</v>
      </c>
      <c r="E141" s="146" t="s">
        <v>1672</v>
      </c>
      <c r="F141" s="146"/>
      <c r="G141" s="197"/>
      <c r="H141" s="146"/>
      <c r="I141" s="146"/>
    </row>
    <row r="142" spans="1:9">
      <c r="A142" s="142">
        <f t="shared" si="4"/>
        <v>134</v>
      </c>
      <c r="B142" s="143" t="s">
        <v>1181</v>
      </c>
      <c r="C142" s="143" t="str">
        <f t="shared" si="5"/>
        <v>Refrigerator and freezer database</v>
      </c>
      <c r="D142" s="195" t="s">
        <v>1855</v>
      </c>
      <c r="E142" s="195" t="s">
        <v>1673</v>
      </c>
      <c r="F142" s="195"/>
      <c r="G142" s="195" t="s">
        <v>2171</v>
      </c>
      <c r="H142" s="195"/>
      <c r="I142" s="195"/>
    </row>
    <row r="143" spans="1:9">
      <c r="A143" s="142">
        <f t="shared" ref="A143:A206" si="6">A142+1</f>
        <v>135</v>
      </c>
      <c r="B143" s="144" t="s">
        <v>1181</v>
      </c>
      <c r="C143" s="144" t="str">
        <f t="shared" si="5"/>
        <v xml:space="preserve">No user action required </v>
      </c>
      <c r="D143" s="146" t="s">
        <v>354</v>
      </c>
      <c r="E143" s="146" t="s">
        <v>1250</v>
      </c>
      <c r="F143" s="146"/>
      <c r="G143" s="146"/>
      <c r="H143" s="146"/>
      <c r="I143" s="146"/>
    </row>
    <row r="144" spans="1:9">
      <c r="A144" s="142">
        <f t="shared" si="6"/>
        <v>136</v>
      </c>
      <c r="B144" s="144" t="s">
        <v>1181</v>
      </c>
      <c r="C144" s="144" t="str">
        <f t="shared" si="5"/>
        <v>Nbr. of products listed:</v>
      </c>
      <c r="D144" s="146" t="s">
        <v>870</v>
      </c>
      <c r="E144" s="146" t="s">
        <v>871</v>
      </c>
      <c r="F144" s="146"/>
      <c r="G144" s="146"/>
      <c r="H144" s="146"/>
      <c r="I144" s="146"/>
    </row>
    <row r="145" spans="1:9">
      <c r="A145" s="142">
        <f t="shared" si="6"/>
        <v>137</v>
      </c>
      <c r="B145" s="144" t="s">
        <v>1181</v>
      </c>
      <c r="C145" s="144" t="str">
        <f t="shared" si="5"/>
        <v>Equipment identification</v>
      </c>
      <c r="D145" s="146" t="s">
        <v>321</v>
      </c>
      <c r="E145" s="146" t="s">
        <v>872</v>
      </c>
      <c r="F145" s="146"/>
      <c r="G145" s="146"/>
      <c r="H145" s="146"/>
      <c r="I145" s="146"/>
    </row>
    <row r="146" spans="1:9">
      <c r="A146" s="142">
        <f t="shared" si="6"/>
        <v>138</v>
      </c>
      <c r="B146" s="144" t="s">
        <v>1181</v>
      </c>
      <c r="C146" s="144" t="str">
        <f t="shared" si="5"/>
        <v>Description</v>
      </c>
      <c r="D146" s="146" t="s">
        <v>873</v>
      </c>
      <c r="E146" s="146" t="s">
        <v>873</v>
      </c>
      <c r="F146" s="146"/>
      <c r="G146" s="146"/>
      <c r="H146" s="146"/>
      <c r="I146" s="146"/>
    </row>
    <row r="147" spans="1:9">
      <c r="A147" s="142">
        <f t="shared" si="6"/>
        <v>139</v>
      </c>
      <c r="B147" s="144" t="s">
        <v>1181</v>
      </c>
      <c r="C147" s="144" t="str">
        <f t="shared" si="5"/>
        <v>Make</v>
      </c>
      <c r="D147" s="146" t="s">
        <v>324</v>
      </c>
      <c r="E147" s="146" t="s">
        <v>874</v>
      </c>
      <c r="F147" s="146"/>
      <c r="G147" s="146"/>
      <c r="H147" s="146"/>
      <c r="I147" s="146"/>
    </row>
    <row r="148" spans="1:9">
      <c r="A148" s="142">
        <f t="shared" si="6"/>
        <v>140</v>
      </c>
      <c r="B148" s="144" t="s">
        <v>1181</v>
      </c>
      <c r="C148" s="144" t="str">
        <f t="shared" si="5"/>
        <v>Model</v>
      </c>
      <c r="D148" s="146" t="s">
        <v>1482</v>
      </c>
      <c r="E148" s="146" t="s">
        <v>875</v>
      </c>
      <c r="F148" s="146"/>
      <c r="G148" s="146"/>
      <c r="H148" s="146"/>
      <c r="I148" s="146"/>
    </row>
    <row r="149" spans="1:9">
      <c r="A149" s="142">
        <f t="shared" si="6"/>
        <v>141</v>
      </c>
      <c r="B149" s="144" t="s">
        <v>1181</v>
      </c>
      <c r="C149" s="144" t="str">
        <f t="shared" si="5"/>
        <v>PIS/PQS code</v>
      </c>
      <c r="D149" s="146" t="s">
        <v>876</v>
      </c>
      <c r="E149" s="146" t="s">
        <v>876</v>
      </c>
      <c r="F149" s="146"/>
      <c r="G149" s="146"/>
      <c r="H149" s="146"/>
      <c r="I149" s="146"/>
    </row>
    <row r="150" spans="1:9">
      <c r="A150" s="142">
        <f t="shared" si="6"/>
        <v>142</v>
      </c>
      <c r="B150" s="144" t="s">
        <v>1181</v>
      </c>
      <c r="C150" s="144" t="str">
        <f t="shared" si="5"/>
        <v>Type</v>
      </c>
      <c r="D150" s="146" t="s">
        <v>1483</v>
      </c>
      <c r="E150" s="146" t="s">
        <v>1483</v>
      </c>
      <c r="F150" s="146"/>
      <c r="G150" s="146"/>
      <c r="H150" s="146"/>
      <c r="I150" s="146"/>
    </row>
    <row r="151" spans="1:9">
      <c r="A151" s="142">
        <f t="shared" si="6"/>
        <v>143</v>
      </c>
      <c r="B151" s="144" t="s">
        <v>1181</v>
      </c>
      <c r="C151" s="144" t="str">
        <f t="shared" si="5"/>
        <v>Refrigerant</v>
      </c>
      <c r="D151" s="146" t="s">
        <v>1714</v>
      </c>
      <c r="E151" s="146" t="s">
        <v>1715</v>
      </c>
      <c r="F151" s="146"/>
      <c r="G151" s="146"/>
      <c r="H151" s="146"/>
      <c r="I151" s="146"/>
    </row>
    <row r="152" spans="1:9">
      <c r="A152" s="142">
        <f t="shared" si="6"/>
        <v>144</v>
      </c>
      <c r="B152" s="144" t="s">
        <v>1181</v>
      </c>
      <c r="C152" s="144" t="str">
        <f t="shared" si="5"/>
        <v>Temp zone</v>
      </c>
      <c r="D152" s="146" t="s">
        <v>1716</v>
      </c>
      <c r="E152" s="146" t="s">
        <v>1717</v>
      </c>
      <c r="F152" s="146"/>
      <c r="G152" s="146"/>
      <c r="H152" s="146"/>
      <c r="I152" s="146"/>
    </row>
    <row r="153" spans="1:9">
      <c r="A153" s="142">
        <f t="shared" si="6"/>
        <v>145</v>
      </c>
      <c r="B153" s="144" t="s">
        <v>1181</v>
      </c>
      <c r="C153" s="144" t="str">
        <f t="shared" si="5"/>
        <v>H=Hot, T=Temperate M=Moderate</v>
      </c>
      <c r="D153" s="146" t="s">
        <v>1718</v>
      </c>
      <c r="E153" s="146" t="s">
        <v>1249</v>
      </c>
      <c r="F153" s="146"/>
      <c r="G153" s="146"/>
      <c r="H153" s="146"/>
      <c r="I153" s="146"/>
    </row>
    <row r="154" spans="1:9">
      <c r="A154" s="142">
        <f t="shared" si="6"/>
        <v>146</v>
      </c>
      <c r="B154" s="144" t="s">
        <v>1181</v>
      </c>
      <c r="C154" s="144" t="str">
        <f t="shared" ref="C154:C217" si="7">HLOOKUP($D$1,$D$9:$I$432,$A154,FALSE)</f>
        <v>Net storage capacity (litres)</v>
      </c>
      <c r="D154" s="146" t="s">
        <v>971</v>
      </c>
      <c r="E154" s="146" t="s">
        <v>1697</v>
      </c>
      <c r="F154" s="146"/>
      <c r="G154" s="146"/>
      <c r="H154" s="146"/>
      <c r="I154" s="146"/>
    </row>
    <row r="155" spans="1:9">
      <c r="A155" s="142">
        <f t="shared" si="6"/>
        <v>147</v>
      </c>
      <c r="B155" s="144" t="s">
        <v>1181</v>
      </c>
      <c r="C155" s="144" t="str">
        <f t="shared" si="7"/>
        <v>Refrigerator</v>
      </c>
      <c r="D155" s="146" t="s">
        <v>408</v>
      </c>
      <c r="E155" s="146" t="s">
        <v>1698</v>
      </c>
      <c r="F155" s="146"/>
      <c r="G155" s="146"/>
      <c r="H155" s="146"/>
      <c r="I155" s="146"/>
    </row>
    <row r="156" spans="1:9">
      <c r="A156" s="142">
        <f t="shared" si="6"/>
        <v>148</v>
      </c>
      <c r="B156" s="144" t="s">
        <v>1181</v>
      </c>
      <c r="C156" s="144" t="str">
        <f t="shared" si="7"/>
        <v>Freezer</v>
      </c>
      <c r="D156" s="146" t="s">
        <v>1720</v>
      </c>
      <c r="E156" s="146" t="s">
        <v>1699</v>
      </c>
      <c r="F156" s="146"/>
      <c r="G156" s="146"/>
      <c r="H156" s="146"/>
      <c r="I156" s="146"/>
    </row>
    <row r="157" spans="1:9">
      <c r="A157" s="142">
        <f t="shared" si="6"/>
        <v>149</v>
      </c>
      <c r="B157" s="144" t="s">
        <v>1181</v>
      </c>
      <c r="C157" s="144" t="str">
        <f t="shared" si="7"/>
        <v>Icepack freezing</v>
      </c>
      <c r="D157" s="146" t="s">
        <v>1722</v>
      </c>
      <c r="E157" s="146" t="s">
        <v>1700</v>
      </c>
      <c r="F157" s="146"/>
      <c r="G157" s="146"/>
      <c r="H157" s="146"/>
      <c r="I157" s="146"/>
    </row>
    <row r="158" spans="1:9">
      <c r="A158" s="142">
        <f t="shared" si="6"/>
        <v>150</v>
      </c>
      <c r="B158" s="144" t="s">
        <v>1181</v>
      </c>
      <c r="C158" s="144" t="str">
        <f t="shared" si="7"/>
        <v>kg/24 hrs at 32°C with vaccines</v>
      </c>
      <c r="D158" s="146" t="s">
        <v>1701</v>
      </c>
      <c r="E158" s="146" t="s">
        <v>1702</v>
      </c>
      <c r="F158" s="146"/>
      <c r="G158" s="146"/>
      <c r="H158" s="146"/>
      <c r="I158" s="146"/>
    </row>
    <row r="159" spans="1:9">
      <c r="A159" s="142">
        <f t="shared" si="6"/>
        <v>151</v>
      </c>
      <c r="B159" s="144" t="s">
        <v>1181</v>
      </c>
      <c r="C159" s="144" t="str">
        <f t="shared" si="7"/>
        <v>Holdover time (hours)</v>
      </c>
      <c r="D159" s="146" t="s">
        <v>1498</v>
      </c>
      <c r="E159" s="146" t="s">
        <v>1499</v>
      </c>
      <c r="F159" s="146"/>
      <c r="G159" s="146"/>
      <c r="H159" s="146"/>
      <c r="I159" s="146"/>
    </row>
    <row r="160" spans="1:9">
      <c r="A160" s="142">
        <f t="shared" si="6"/>
        <v>152</v>
      </c>
      <c r="B160" s="144" t="s">
        <v>1181</v>
      </c>
      <c r="C160" s="144" t="str">
        <f t="shared" si="7"/>
        <v>Holdover time cold</v>
      </c>
      <c r="D160" s="146" t="s">
        <v>1696</v>
      </c>
      <c r="E160" s="146" t="s">
        <v>1500</v>
      </c>
      <c r="F160" s="146"/>
      <c r="G160" s="146"/>
      <c r="H160" s="146"/>
      <c r="I160" s="146"/>
    </row>
    <row r="161" spans="1:9">
      <c r="A161" s="142">
        <f t="shared" si="6"/>
        <v>153</v>
      </c>
      <c r="B161" s="144" t="s">
        <v>1181</v>
      </c>
      <c r="C161" s="144" t="str">
        <f t="shared" si="7"/>
        <v>Holdover time warm</v>
      </c>
      <c r="D161" s="146" t="s">
        <v>1502</v>
      </c>
      <c r="E161" s="146" t="s">
        <v>1501</v>
      </c>
      <c r="F161" s="146"/>
      <c r="G161" s="146"/>
      <c r="H161" s="146"/>
      <c r="I161" s="146"/>
    </row>
    <row r="162" spans="1:9">
      <c r="A162" s="142">
        <f t="shared" si="6"/>
        <v>154</v>
      </c>
      <c r="B162" s="144" t="s">
        <v>1181</v>
      </c>
      <c r="C162" s="144" t="str">
        <f t="shared" si="7"/>
        <v>Power consumption/24 hrs</v>
      </c>
      <c r="D162" s="146" t="s">
        <v>1856</v>
      </c>
      <c r="E162" s="146" t="s">
        <v>1857</v>
      </c>
      <c r="F162" s="146"/>
      <c r="G162" s="146"/>
      <c r="H162" s="146"/>
      <c r="I162" s="146"/>
    </row>
    <row r="163" spans="1:9">
      <c r="A163" s="142">
        <f t="shared" si="6"/>
        <v>155</v>
      </c>
      <c r="B163" s="144" t="s">
        <v>1181</v>
      </c>
      <c r="C163" s="144" t="str">
        <f t="shared" si="7"/>
        <v>kWh</v>
      </c>
      <c r="D163" s="146" t="s">
        <v>1858</v>
      </c>
      <c r="E163" s="146" t="s">
        <v>1858</v>
      </c>
      <c r="F163" s="146"/>
      <c r="G163" s="146"/>
      <c r="H163" s="146"/>
      <c r="I163" s="146"/>
    </row>
    <row r="164" spans="1:9">
      <c r="A164" s="142">
        <f t="shared" si="6"/>
        <v>156</v>
      </c>
      <c r="B164" s="144" t="s">
        <v>1181</v>
      </c>
      <c r="C164" s="144" t="str">
        <f t="shared" si="7"/>
        <v>LPG (kg)</v>
      </c>
      <c r="D164" s="146" t="s">
        <v>1859</v>
      </c>
      <c r="E164" s="146" t="s">
        <v>1860</v>
      </c>
      <c r="F164" s="146"/>
      <c r="G164" s="146"/>
      <c r="H164" s="146"/>
      <c r="I164" s="146"/>
    </row>
    <row r="165" spans="1:9">
      <c r="A165" s="142">
        <f t="shared" si="6"/>
        <v>157</v>
      </c>
      <c r="B165" s="144" t="s">
        <v>1181</v>
      </c>
      <c r="C165" s="144" t="str">
        <f t="shared" si="7"/>
        <v>Kerosene (litres)</v>
      </c>
      <c r="D165" s="146" t="s">
        <v>1861</v>
      </c>
      <c r="E165" s="146" t="s">
        <v>1862</v>
      </c>
      <c r="F165" s="146"/>
      <c r="G165" s="146"/>
      <c r="H165" s="146"/>
      <c r="I165" s="146"/>
    </row>
    <row r="166" spans="1:9">
      <c r="A166" s="142">
        <f t="shared" si="6"/>
        <v>158</v>
      </c>
      <c r="B166" s="144" t="s">
        <v>1181</v>
      </c>
      <c r="C166" s="144" t="str">
        <f t="shared" si="7"/>
        <v>Price</v>
      </c>
      <c r="D166" s="146" t="s">
        <v>1094</v>
      </c>
      <c r="E166" s="146" t="s">
        <v>1863</v>
      </c>
      <c r="F166" s="146"/>
      <c r="G166" s="146"/>
      <c r="H166" s="146"/>
      <c r="I166" s="146"/>
    </row>
    <row r="167" spans="1:9">
      <c r="A167" s="142">
        <f t="shared" si="6"/>
        <v>159</v>
      </c>
      <c r="B167" s="144" t="s">
        <v>1181</v>
      </c>
      <c r="C167" s="144" t="str">
        <f t="shared" si="7"/>
        <v>initial curreny</v>
      </c>
      <c r="D167" s="146" t="s">
        <v>1703</v>
      </c>
      <c r="E167" s="146" t="s">
        <v>389</v>
      </c>
      <c r="F167" s="146"/>
      <c r="G167" s="146"/>
      <c r="H167" s="146"/>
      <c r="I167" s="146"/>
    </row>
    <row r="168" spans="1:9">
      <c r="A168" s="142">
        <f t="shared" si="6"/>
        <v>160</v>
      </c>
      <c r="B168" s="144" t="s">
        <v>1181</v>
      </c>
      <c r="C168" s="144" t="str">
        <f t="shared" si="7"/>
        <v>$USD</v>
      </c>
      <c r="D168" s="146" t="s">
        <v>1704</v>
      </c>
      <c r="E168" s="146" t="s">
        <v>1704</v>
      </c>
      <c r="F168" s="146"/>
      <c r="G168" s="146"/>
      <c r="H168" s="146"/>
      <c r="I168" s="146"/>
    </row>
    <row r="169" spans="1:9">
      <c r="A169" s="142">
        <f t="shared" si="6"/>
        <v>161</v>
      </c>
      <c r="B169" s="144" t="s">
        <v>1181</v>
      </c>
      <c r="C169" s="144" t="str">
        <f t="shared" si="7"/>
        <v>year of data</v>
      </c>
      <c r="D169" s="146" t="s">
        <v>1705</v>
      </c>
      <c r="E169" s="146" t="s">
        <v>1706</v>
      </c>
      <c r="F169" s="146"/>
      <c r="G169" s="146"/>
      <c r="H169" s="146"/>
      <c r="I169" s="146"/>
    </row>
    <row r="170" spans="1:9">
      <c r="A170" s="142">
        <f t="shared" si="6"/>
        <v>162</v>
      </c>
      <c r="B170" s="144" t="s">
        <v>1181</v>
      </c>
      <c r="C170" s="144" t="str">
        <f t="shared" si="7"/>
        <v xml:space="preserve">Gross volumes (lt) </v>
      </c>
      <c r="D170" s="146" t="s">
        <v>1865</v>
      </c>
      <c r="E170" s="146" t="s">
        <v>1866</v>
      </c>
      <c r="F170" s="146"/>
      <c r="G170" s="146"/>
      <c r="H170" s="146"/>
      <c r="I170" s="146"/>
    </row>
    <row r="171" spans="1:9">
      <c r="A171" s="142">
        <f t="shared" si="6"/>
        <v>163</v>
      </c>
      <c r="B171" s="144" t="s">
        <v>1181</v>
      </c>
      <c r="C171" s="144" t="str">
        <f t="shared" si="7"/>
        <v>refrigerator</v>
      </c>
      <c r="D171" s="146" t="s">
        <v>1484</v>
      </c>
      <c r="E171" s="146" t="s">
        <v>1708</v>
      </c>
      <c r="F171" s="146"/>
      <c r="G171" s="146"/>
      <c r="H171" s="146"/>
      <c r="I171" s="146"/>
    </row>
    <row r="172" spans="1:9">
      <c r="A172" s="142">
        <f t="shared" si="6"/>
        <v>164</v>
      </c>
      <c r="B172" s="144" t="s">
        <v>1181</v>
      </c>
      <c r="C172" s="144" t="str">
        <f t="shared" si="7"/>
        <v>Freezer</v>
      </c>
      <c r="D172" s="146" t="s">
        <v>1720</v>
      </c>
      <c r="E172" s="146" t="s">
        <v>1709</v>
      </c>
      <c r="F172" s="146"/>
      <c r="G172" s="146"/>
      <c r="H172" s="146"/>
      <c r="I172" s="146"/>
    </row>
    <row r="173" spans="1:9">
      <c r="A173" s="142">
        <f t="shared" si="6"/>
        <v>165</v>
      </c>
      <c r="B173" s="144" t="s">
        <v>1181</v>
      </c>
      <c r="C173" s="144" t="str">
        <f t="shared" si="7"/>
        <v>Ext dims (cm)</v>
      </c>
      <c r="D173" s="146" t="s">
        <v>1867</v>
      </c>
      <c r="E173" s="146" t="s">
        <v>1712</v>
      </c>
      <c r="F173" s="146"/>
      <c r="G173" s="146"/>
      <c r="H173" s="146"/>
      <c r="I173" s="146"/>
    </row>
    <row r="174" spans="1:9">
      <c r="A174" s="142">
        <f t="shared" si="6"/>
        <v>166</v>
      </c>
      <c r="B174" s="144" t="s">
        <v>1181</v>
      </c>
      <c r="C174" s="144" t="str">
        <f t="shared" si="7"/>
        <v>H</v>
      </c>
      <c r="D174" s="146" t="s">
        <v>198</v>
      </c>
      <c r="E174" s="146" t="s">
        <v>198</v>
      </c>
      <c r="F174" s="146"/>
      <c r="G174" s="146"/>
      <c r="H174" s="146"/>
      <c r="I174" s="146"/>
    </row>
    <row r="175" spans="1:9">
      <c r="A175" s="142">
        <f t="shared" si="6"/>
        <v>167</v>
      </c>
      <c r="B175" s="144" t="s">
        <v>1181</v>
      </c>
      <c r="C175" s="144" t="str">
        <f t="shared" si="7"/>
        <v>W</v>
      </c>
      <c r="D175" s="146" t="s">
        <v>1097</v>
      </c>
      <c r="E175" s="146" t="s">
        <v>1711</v>
      </c>
      <c r="F175" s="146"/>
      <c r="G175" s="146"/>
      <c r="H175" s="146"/>
      <c r="I175" s="146"/>
    </row>
    <row r="176" spans="1:9">
      <c r="A176" s="142">
        <f t="shared" si="6"/>
        <v>168</v>
      </c>
      <c r="B176" s="144" t="s">
        <v>1181</v>
      </c>
      <c r="C176" s="144" t="str">
        <f t="shared" si="7"/>
        <v>L</v>
      </c>
      <c r="D176" s="146" t="s">
        <v>1710</v>
      </c>
      <c r="E176" s="146" t="s">
        <v>1710</v>
      </c>
      <c r="F176" s="146"/>
      <c r="G176" s="146"/>
      <c r="H176" s="146"/>
      <c r="I176" s="146"/>
    </row>
    <row r="177" spans="1:9">
      <c r="A177" s="142">
        <f t="shared" si="6"/>
        <v>169</v>
      </c>
      <c r="B177" s="144" t="s">
        <v>1181</v>
      </c>
      <c r="C177" s="144" t="str">
        <f t="shared" si="7"/>
        <v>Shipping data</v>
      </c>
      <c r="D177" s="146" t="s">
        <v>1864</v>
      </c>
      <c r="E177" s="146" t="s">
        <v>1713</v>
      </c>
      <c r="F177" s="146"/>
      <c r="G177" s="146"/>
      <c r="H177" s="146"/>
      <c r="I177" s="146"/>
    </row>
    <row r="178" spans="1:9">
      <c r="A178" s="142">
        <f t="shared" si="6"/>
        <v>170</v>
      </c>
      <c r="B178" s="144" t="s">
        <v>1181</v>
      </c>
      <c r="C178" s="144" t="str">
        <f t="shared" si="7"/>
        <v>volume (m³)</v>
      </c>
      <c r="D178" s="146" t="s">
        <v>843</v>
      </c>
      <c r="E178" s="146" t="s">
        <v>843</v>
      </c>
      <c r="F178" s="146"/>
      <c r="G178" s="146"/>
      <c r="H178" s="146"/>
      <c r="I178" s="146"/>
    </row>
    <row r="179" spans="1:9">
      <c r="A179" s="142">
        <f t="shared" si="6"/>
        <v>171</v>
      </c>
      <c r="B179" s="144" t="s">
        <v>1181</v>
      </c>
      <c r="C179" s="144" t="str">
        <f t="shared" si="7"/>
        <v>weight (kg)</v>
      </c>
      <c r="D179" s="146" t="s">
        <v>597</v>
      </c>
      <c r="E179" s="146" t="s">
        <v>379</v>
      </c>
      <c r="F179" s="146"/>
      <c r="G179" s="146"/>
      <c r="H179" s="146"/>
      <c r="I179" s="146"/>
    </row>
    <row r="180" spans="1:9">
      <c r="A180" s="142">
        <f t="shared" si="6"/>
        <v>172</v>
      </c>
      <c r="B180" s="144" t="s">
        <v>1181</v>
      </c>
      <c r="C180" s="144" t="str">
        <f t="shared" si="7"/>
        <v>Investment cost</v>
      </c>
      <c r="D180" s="146" t="s">
        <v>2032</v>
      </c>
      <c r="E180" s="146" t="s">
        <v>376</v>
      </c>
      <c r="F180" s="146"/>
      <c r="G180" s="146"/>
      <c r="H180" s="146"/>
      <c r="I180" s="146"/>
    </row>
    <row r="181" spans="1:9">
      <c r="A181" s="142">
        <f t="shared" si="6"/>
        <v>173</v>
      </c>
      <c r="B181" s="144" t="s">
        <v>1181</v>
      </c>
      <c r="C181" s="144" t="str">
        <f t="shared" si="7"/>
        <v>refrigeration ($/litre)</v>
      </c>
      <c r="D181" s="146" t="s">
        <v>377</v>
      </c>
      <c r="E181" s="146" t="s">
        <v>1054</v>
      </c>
      <c r="F181" s="146"/>
      <c r="G181" s="146"/>
      <c r="H181" s="146"/>
      <c r="I181" s="146"/>
    </row>
    <row r="182" spans="1:9">
      <c r="A182" s="142">
        <f t="shared" si="6"/>
        <v>174</v>
      </c>
      <c r="B182" s="144" t="s">
        <v>1181</v>
      </c>
      <c r="C182" s="144" t="str">
        <f t="shared" si="7"/>
        <v>freezing ($/litre)</v>
      </c>
      <c r="D182" s="146" t="s">
        <v>378</v>
      </c>
      <c r="E182" s="146" t="s">
        <v>1055</v>
      </c>
      <c r="F182" s="146"/>
      <c r="G182" s="146"/>
      <c r="H182" s="146"/>
      <c r="I182" s="146"/>
    </row>
    <row r="183" spans="1:9">
      <c r="A183" s="142">
        <f t="shared" si="6"/>
        <v>175</v>
      </c>
      <c r="B183" s="144" t="s">
        <v>1181</v>
      </c>
      <c r="C183" s="144" t="str">
        <f t="shared" si="7"/>
        <v>Icepack freezing ($/kg)</v>
      </c>
      <c r="D183" s="146" t="s">
        <v>1057</v>
      </c>
      <c r="E183" s="146" t="s">
        <v>1056</v>
      </c>
      <c r="F183" s="146"/>
      <c r="G183" s="146"/>
      <c r="H183" s="146"/>
      <c r="I183" s="146"/>
    </row>
    <row r="184" spans="1:9">
      <c r="A184" s="142">
        <f t="shared" si="6"/>
        <v>176</v>
      </c>
      <c r="B184" s="144" t="s">
        <v>1181</v>
      </c>
      <c r="C184" s="144" t="str">
        <f t="shared" si="7"/>
        <v>Energy consumption</v>
      </c>
      <c r="D184" s="146" t="s">
        <v>2033</v>
      </c>
      <c r="E184" s="146" t="s">
        <v>1497</v>
      </c>
      <c r="F184" s="146"/>
      <c r="G184" s="146"/>
      <c r="H184" s="146"/>
      <c r="I184" s="146"/>
    </row>
    <row r="185" spans="1:9">
      <c r="A185" s="142">
        <f t="shared" si="6"/>
        <v>177</v>
      </c>
      <c r="B185" s="144" t="s">
        <v>1181</v>
      </c>
      <c r="C185" s="144" t="str">
        <f t="shared" si="7"/>
        <v>refrigeration (kWh/litre)</v>
      </c>
      <c r="D185" s="146" t="s">
        <v>1058</v>
      </c>
      <c r="E185" s="146" t="s">
        <v>1544</v>
      </c>
      <c r="F185" s="146"/>
      <c r="G185" s="146"/>
      <c r="H185" s="146"/>
      <c r="I185" s="146"/>
    </row>
    <row r="186" spans="1:9">
      <c r="A186" s="142">
        <f t="shared" si="6"/>
        <v>178</v>
      </c>
      <c r="B186" s="144" t="s">
        <v>1181</v>
      </c>
      <c r="C186" s="144" t="str">
        <f t="shared" si="7"/>
        <v>refrigeration (litre/litre)</v>
      </c>
      <c r="D186" s="146" t="s">
        <v>1542</v>
      </c>
      <c r="E186" s="146" t="s">
        <v>1543</v>
      </c>
      <c r="F186" s="146"/>
      <c r="G186" s="146"/>
      <c r="H186" s="146"/>
      <c r="I186" s="146"/>
    </row>
    <row r="187" spans="1:9">
      <c r="A187" s="142">
        <f t="shared" si="6"/>
        <v>179</v>
      </c>
      <c r="B187" s="144" t="s">
        <v>1181</v>
      </c>
      <c r="C187" s="144" t="str">
        <f t="shared" si="7"/>
        <v>freezing (kWh/litre)</v>
      </c>
      <c r="D187" s="146" t="s">
        <v>1541</v>
      </c>
      <c r="E187" s="146" t="s">
        <v>1591</v>
      </c>
      <c r="F187" s="146"/>
      <c r="G187" s="146"/>
      <c r="H187" s="146"/>
      <c r="I187" s="146"/>
    </row>
    <row r="188" spans="1:9">
      <c r="A188" s="142">
        <f t="shared" si="6"/>
        <v>180</v>
      </c>
      <c r="B188" s="144" t="s">
        <v>1181</v>
      </c>
      <c r="C188" s="144" t="str">
        <f t="shared" si="7"/>
        <v>freezing (litre/litre)</v>
      </c>
      <c r="D188" s="146" t="s">
        <v>1592</v>
      </c>
      <c r="E188" s="146" t="s">
        <v>1593</v>
      </c>
      <c r="F188" s="146"/>
      <c r="G188" s="146"/>
      <c r="H188" s="146"/>
      <c r="I188" s="146"/>
    </row>
    <row r="189" spans="1:9">
      <c r="A189" s="142">
        <f t="shared" si="6"/>
        <v>181</v>
      </c>
      <c r="B189" s="144" t="s">
        <v>1181</v>
      </c>
      <c r="C189" s="144" t="str">
        <f t="shared" si="7"/>
        <v>Icepack freezing (kwh/kg)</v>
      </c>
      <c r="D189" s="146" t="s">
        <v>1594</v>
      </c>
      <c r="E189" s="146" t="s">
        <v>390</v>
      </c>
      <c r="F189" s="146"/>
      <c r="G189" s="146"/>
      <c r="H189" s="146"/>
      <c r="I189" s="146"/>
    </row>
    <row r="190" spans="1:9">
      <c r="A190" s="142">
        <f t="shared" si="6"/>
        <v>182</v>
      </c>
      <c r="B190" s="144" t="s">
        <v>1181</v>
      </c>
      <c r="C190" s="144" t="str">
        <f t="shared" si="7"/>
        <v>Icepack freezing (litre/kg)</v>
      </c>
      <c r="D190" s="146" t="s">
        <v>1595</v>
      </c>
      <c r="E190" s="146" t="s">
        <v>1596</v>
      </c>
      <c r="F190" s="146"/>
      <c r="G190" s="146"/>
      <c r="H190" s="146"/>
      <c r="I190" s="146"/>
    </row>
    <row r="191" spans="1:9">
      <c r="A191" s="142">
        <f t="shared" si="6"/>
        <v>183</v>
      </c>
      <c r="B191" s="144" t="s">
        <v>1181</v>
      </c>
      <c r="C191" s="144" t="str">
        <f t="shared" si="7"/>
        <v>Indicator per unit volume</v>
      </c>
      <c r="D191" s="146" t="s">
        <v>1598</v>
      </c>
      <c r="E191" s="146" t="s">
        <v>1597</v>
      </c>
      <c r="F191" s="146"/>
      <c r="G191" s="146"/>
      <c r="H191" s="146"/>
      <c r="I191" s="146"/>
    </row>
    <row r="192" spans="1:9" ht="23.4">
      <c r="A192" s="142">
        <f t="shared" si="6"/>
        <v>184</v>
      </c>
      <c r="B192" s="143" t="s">
        <v>1300</v>
      </c>
      <c r="C192" s="143" t="str">
        <f t="shared" si="7"/>
        <v>Estimate of the amount of injection waste generated per recipient</v>
      </c>
      <c r="D192" s="195" t="s">
        <v>782</v>
      </c>
      <c r="E192" s="195" t="s">
        <v>1228</v>
      </c>
      <c r="F192" s="195"/>
      <c r="G192" s="195" t="s">
        <v>1548</v>
      </c>
      <c r="H192" s="195"/>
      <c r="I192" s="195"/>
    </row>
    <row r="193" spans="1:9">
      <c r="A193" s="142">
        <f t="shared" si="6"/>
        <v>185</v>
      </c>
      <c r="B193" s="144" t="s">
        <v>1300</v>
      </c>
      <c r="C193" s="144" t="str">
        <f t="shared" si="7"/>
        <v>Amount of waste</v>
      </c>
      <c r="D193" s="146" t="s">
        <v>388</v>
      </c>
      <c r="E193" s="146" t="s">
        <v>1302</v>
      </c>
      <c r="F193" s="146"/>
      <c r="G193" s="146" t="s">
        <v>403</v>
      </c>
      <c r="H193" s="146"/>
      <c r="I193" s="146"/>
    </row>
    <row r="194" spans="1:9">
      <c r="A194" s="142">
        <f t="shared" si="6"/>
        <v>186</v>
      </c>
      <c r="B194" s="144" t="s">
        <v>1300</v>
      </c>
      <c r="C194" s="144" t="str">
        <f t="shared" si="7"/>
        <v>per recipient, units</v>
      </c>
      <c r="D194" s="146" t="s">
        <v>1791</v>
      </c>
      <c r="E194" s="146" t="s">
        <v>1301</v>
      </c>
      <c r="F194" s="146"/>
      <c r="G194" s="146" t="s">
        <v>1080</v>
      </c>
      <c r="H194" s="146"/>
      <c r="I194" s="146"/>
    </row>
    <row r="195" spans="1:9">
      <c r="A195" s="142">
        <f t="shared" si="6"/>
        <v>187</v>
      </c>
      <c r="B195" s="144" t="s">
        <v>1300</v>
      </c>
      <c r="C195" s="144" t="str">
        <f t="shared" si="7"/>
        <v xml:space="preserve">Nbr. of empty vials, units/ </v>
      </c>
      <c r="D195" s="146" t="s">
        <v>891</v>
      </c>
      <c r="E195" s="146" t="s">
        <v>926</v>
      </c>
      <c r="F195" s="146"/>
      <c r="G195" s="146" t="s">
        <v>404</v>
      </c>
      <c r="H195" s="146"/>
      <c r="I195" s="146"/>
    </row>
    <row r="196" spans="1:9">
      <c r="A196" s="142">
        <f t="shared" si="6"/>
        <v>188</v>
      </c>
      <c r="B196" s="144" t="s">
        <v>1300</v>
      </c>
      <c r="C196" s="144" t="str">
        <f t="shared" si="7"/>
        <v>Nbr. of used dilution syringes generated, units/</v>
      </c>
      <c r="D196" s="146" t="s">
        <v>890</v>
      </c>
      <c r="E196" s="146" t="s">
        <v>1675</v>
      </c>
      <c r="F196" s="146"/>
      <c r="G196" s="146" t="s">
        <v>405</v>
      </c>
      <c r="H196" s="146"/>
      <c r="I196" s="146"/>
    </row>
    <row r="197" spans="1:9">
      <c r="A197" s="142">
        <f t="shared" si="6"/>
        <v>189</v>
      </c>
      <c r="B197" s="144" t="s">
        <v>1300</v>
      </c>
      <c r="C197" s="144" t="str">
        <f t="shared" si="7"/>
        <v>Total nbr. of used syringes generated, units/</v>
      </c>
      <c r="D197" s="146" t="s">
        <v>889</v>
      </c>
      <c r="E197" s="146" t="s">
        <v>1676</v>
      </c>
      <c r="F197" s="146"/>
      <c r="G197" s="146" t="s">
        <v>919</v>
      </c>
      <c r="H197" s="146"/>
      <c r="I197" s="146"/>
    </row>
    <row r="198" spans="1:9">
      <c r="A198" s="142">
        <f t="shared" si="6"/>
        <v>190</v>
      </c>
      <c r="B198" s="144" t="s">
        <v>1300</v>
      </c>
      <c r="C198" s="144" t="str">
        <f t="shared" si="7"/>
        <v>Nbr. of injections, units/</v>
      </c>
      <c r="D198" s="146" t="s">
        <v>888</v>
      </c>
      <c r="E198" s="146" t="s">
        <v>1303</v>
      </c>
      <c r="F198" s="146"/>
      <c r="G198" s="146" t="s">
        <v>920</v>
      </c>
      <c r="H198" s="146"/>
      <c r="I198" s="146"/>
    </row>
    <row r="199" spans="1:9" ht="23.4">
      <c r="A199" s="142">
        <f t="shared" si="6"/>
        <v>191</v>
      </c>
      <c r="B199" s="144" t="s">
        <v>1300</v>
      </c>
      <c r="C199" s="144" t="str">
        <f t="shared" si="7"/>
        <v>Increase in nbr.of vials compared to current schedule</v>
      </c>
      <c r="D199" s="146" t="s">
        <v>881</v>
      </c>
      <c r="E199" s="146" t="s">
        <v>479</v>
      </c>
      <c r="F199" s="146"/>
      <c r="G199" s="197" t="s">
        <v>910</v>
      </c>
      <c r="H199" s="146"/>
      <c r="I199" s="146"/>
    </row>
    <row r="200" spans="1:9" ht="23.4">
      <c r="A200" s="142">
        <f t="shared" si="6"/>
        <v>192</v>
      </c>
      <c r="B200" s="144" t="s">
        <v>1300</v>
      </c>
      <c r="C200" s="144" t="str">
        <f t="shared" si="7"/>
        <v>Increase in nbr. of syringes compared to current schedule</v>
      </c>
      <c r="D200" s="146" t="s">
        <v>882</v>
      </c>
      <c r="E200" s="146" t="s">
        <v>478</v>
      </c>
      <c r="F200" s="146"/>
      <c r="G200" s="197" t="s">
        <v>911</v>
      </c>
      <c r="H200" s="146"/>
      <c r="I200" s="146"/>
    </row>
    <row r="201" spans="1:9" ht="23.4">
      <c r="A201" s="142">
        <f t="shared" si="6"/>
        <v>193</v>
      </c>
      <c r="B201" s="144" t="s">
        <v>1300</v>
      </c>
      <c r="C201" s="144" t="str">
        <f t="shared" si="7"/>
        <v>Increase in nbr. of injections compared to current schedule</v>
      </c>
      <c r="D201" s="146" t="s">
        <v>883</v>
      </c>
      <c r="E201" s="146" t="s">
        <v>1674</v>
      </c>
      <c r="F201" s="146"/>
      <c r="G201" s="197" t="s">
        <v>912</v>
      </c>
      <c r="H201" s="146"/>
      <c r="I201" s="146"/>
    </row>
    <row r="202" spans="1:9">
      <c r="A202" s="142">
        <f t="shared" si="6"/>
        <v>194</v>
      </c>
      <c r="B202" s="144" t="s">
        <v>1300</v>
      </c>
      <c r="C202" s="144" t="str">
        <f t="shared" si="7"/>
        <v>Nbr. of empty vials generated per recipient</v>
      </c>
      <c r="D202" s="146" t="s">
        <v>884</v>
      </c>
      <c r="E202" s="146" t="s">
        <v>1682</v>
      </c>
      <c r="F202" s="146"/>
      <c r="G202" s="146" t="s">
        <v>406</v>
      </c>
      <c r="H202" s="146"/>
      <c r="I202" s="146"/>
    </row>
    <row r="203" spans="1:9" ht="23.4">
      <c r="A203" s="142">
        <f t="shared" si="6"/>
        <v>195</v>
      </c>
      <c r="B203" s="144" t="s">
        <v>1300</v>
      </c>
      <c r="C203" s="144" t="str">
        <f t="shared" si="7"/>
        <v>Nbr. of dilution syringes generated per recipient</v>
      </c>
      <c r="D203" s="146" t="s">
        <v>885</v>
      </c>
      <c r="E203" s="146" t="s">
        <v>1683</v>
      </c>
      <c r="F203" s="146"/>
      <c r="G203" s="146" t="s">
        <v>917</v>
      </c>
      <c r="H203" s="146"/>
      <c r="I203" s="146"/>
    </row>
    <row r="204" spans="1:9">
      <c r="A204" s="142">
        <f t="shared" si="6"/>
        <v>196</v>
      </c>
      <c r="B204" s="144" t="s">
        <v>1300</v>
      </c>
      <c r="C204" s="144" t="str">
        <f t="shared" si="7"/>
        <v>Total nbr. of syringes generated per recipient</v>
      </c>
      <c r="D204" s="146" t="s">
        <v>886</v>
      </c>
      <c r="E204" s="146" t="s">
        <v>1684</v>
      </c>
      <c r="F204" s="146"/>
      <c r="G204" s="146" t="s">
        <v>1807</v>
      </c>
      <c r="H204" s="146"/>
      <c r="I204" s="146"/>
    </row>
    <row r="205" spans="1:9">
      <c r="A205" s="142">
        <f t="shared" si="6"/>
        <v>197</v>
      </c>
      <c r="B205" s="144" t="s">
        <v>1300</v>
      </c>
      <c r="C205" s="144" t="str">
        <f t="shared" si="7"/>
        <v>Nbr. of injections per recipient</v>
      </c>
      <c r="D205" s="146" t="s">
        <v>887</v>
      </c>
      <c r="E205" s="146" t="s">
        <v>765</v>
      </c>
      <c r="F205" s="146"/>
      <c r="G205" s="146" t="s">
        <v>918</v>
      </c>
      <c r="H205" s="146"/>
      <c r="I205" s="146"/>
    </row>
    <row r="206" spans="1:9" ht="23.4">
      <c r="A206" s="142">
        <f t="shared" si="6"/>
        <v>198</v>
      </c>
      <c r="B206" s="143" t="s">
        <v>819</v>
      </c>
      <c r="C206" s="143" t="str">
        <f t="shared" si="7"/>
        <v>Illustration of results from analysis of vaccines used in routine vaccination</v>
      </c>
      <c r="D206" s="195" t="s">
        <v>1784</v>
      </c>
      <c r="E206" s="195" t="s">
        <v>820</v>
      </c>
      <c r="F206" s="195"/>
      <c r="G206" s="195" t="s">
        <v>1775</v>
      </c>
      <c r="H206" s="195"/>
      <c r="I206" s="195"/>
    </row>
    <row r="207" spans="1:9" ht="23.4">
      <c r="A207" s="142">
        <f t="shared" ref="A207:A270" si="8">A206+1</f>
        <v>199</v>
      </c>
      <c r="B207" s="143" t="s">
        <v>1308</v>
      </c>
      <c r="C207" s="143" t="str">
        <f t="shared" si="7"/>
        <v>Illustration of results from analysis of vaccines planned for vaccination campaign</v>
      </c>
      <c r="D207" s="195" t="s">
        <v>1786</v>
      </c>
      <c r="E207" s="195" t="s">
        <v>1309</v>
      </c>
      <c r="F207" s="195"/>
      <c r="G207" s="195" t="s">
        <v>1652</v>
      </c>
      <c r="H207" s="195"/>
      <c r="I207" s="195"/>
    </row>
    <row r="208" spans="1:9" ht="23.4">
      <c r="A208" s="142">
        <f t="shared" si="8"/>
        <v>200</v>
      </c>
      <c r="B208" s="143" t="s">
        <v>1157</v>
      </c>
      <c r="C208" s="143" t="str">
        <f t="shared" si="7"/>
        <v>Safe injection supplies and cold chain equipment</v>
      </c>
      <c r="D208" s="195" t="s">
        <v>1148</v>
      </c>
      <c r="E208" s="195" t="s">
        <v>454</v>
      </c>
      <c r="F208" s="195"/>
      <c r="G208" s="195" t="s">
        <v>1279</v>
      </c>
      <c r="H208" s="195"/>
      <c r="I208" s="195"/>
    </row>
    <row r="209" spans="1:9" ht="23.4">
      <c r="A209" s="142">
        <f t="shared" si="8"/>
        <v>201</v>
      </c>
      <c r="B209" s="143" t="s">
        <v>1157</v>
      </c>
      <c r="C209" s="143" t="str">
        <f t="shared" si="7"/>
        <v>Table 1: Characteristics of safe injection equipment</v>
      </c>
      <c r="D209" s="195" t="s">
        <v>1158</v>
      </c>
      <c r="E209" s="195" t="s">
        <v>1151</v>
      </c>
      <c r="F209" s="195"/>
      <c r="G209" s="195" t="s">
        <v>1152</v>
      </c>
      <c r="H209" s="195"/>
      <c r="I209" s="195"/>
    </row>
    <row r="210" spans="1:9">
      <c r="A210" s="142">
        <f t="shared" si="8"/>
        <v>202</v>
      </c>
      <c r="B210" s="144" t="s">
        <v>1157</v>
      </c>
      <c r="C210" s="144" t="str">
        <f t="shared" si="7"/>
        <v>Safe injection equipment</v>
      </c>
      <c r="D210" s="146" t="s">
        <v>1792</v>
      </c>
      <c r="E210" s="146" t="s">
        <v>718</v>
      </c>
      <c r="F210" s="146"/>
      <c r="G210" s="146" t="s">
        <v>1280</v>
      </c>
      <c r="H210" s="146"/>
      <c r="I210" s="146"/>
    </row>
    <row r="211" spans="1:9">
      <c r="A211" s="142">
        <f t="shared" si="8"/>
        <v>203</v>
      </c>
      <c r="B211" s="144" t="s">
        <v>1157</v>
      </c>
      <c r="C211" s="144" t="str">
        <f t="shared" si="7"/>
        <v>Designation</v>
      </c>
      <c r="D211" s="146" t="s">
        <v>323</v>
      </c>
      <c r="E211" s="146" t="s">
        <v>2173</v>
      </c>
      <c r="F211" s="146"/>
      <c r="G211" s="146" t="s">
        <v>1281</v>
      </c>
      <c r="H211" s="146"/>
      <c r="I211" s="146"/>
    </row>
    <row r="212" spans="1:9">
      <c r="A212" s="142">
        <f t="shared" si="8"/>
        <v>204</v>
      </c>
      <c r="B212" s="144" t="s">
        <v>1157</v>
      </c>
      <c r="C212" s="144" t="str">
        <f t="shared" si="7"/>
        <v>Box per carton</v>
      </c>
      <c r="D212" s="146" t="s">
        <v>2047</v>
      </c>
      <c r="E212" s="146" t="s">
        <v>2174</v>
      </c>
      <c r="F212" s="146"/>
      <c r="G212" s="146" t="s">
        <v>1282</v>
      </c>
      <c r="H212" s="146"/>
      <c r="I212" s="146"/>
    </row>
    <row r="213" spans="1:9">
      <c r="A213" s="142">
        <f t="shared" si="8"/>
        <v>205</v>
      </c>
      <c r="B213" s="144" t="s">
        <v>1157</v>
      </c>
      <c r="C213" s="144" t="str">
        <f t="shared" si="7"/>
        <v>Units per box</v>
      </c>
      <c r="D213" s="146" t="s">
        <v>2048</v>
      </c>
      <c r="E213" s="146" t="s">
        <v>2175</v>
      </c>
      <c r="F213" s="146"/>
      <c r="G213" s="146" t="s">
        <v>1283</v>
      </c>
      <c r="H213" s="146"/>
      <c r="I213" s="146"/>
    </row>
    <row r="214" spans="1:9">
      <c r="A214" s="142">
        <f t="shared" si="8"/>
        <v>206</v>
      </c>
      <c r="B214" s="144" t="s">
        <v>1157</v>
      </c>
      <c r="C214" s="144" t="str">
        <f t="shared" si="7"/>
        <v>Packed volume (cm³/unit)</v>
      </c>
      <c r="D214" s="146" t="s">
        <v>1159</v>
      </c>
      <c r="E214" s="146" t="s">
        <v>1160</v>
      </c>
      <c r="F214" s="146"/>
      <c r="G214" s="146" t="s">
        <v>0</v>
      </c>
      <c r="H214" s="146"/>
      <c r="I214" s="146"/>
    </row>
    <row r="215" spans="1:9">
      <c r="A215" s="142">
        <f t="shared" si="8"/>
        <v>207</v>
      </c>
      <c r="B215" s="144" t="s">
        <v>1157</v>
      </c>
      <c r="C215" s="144" t="str">
        <f t="shared" si="7"/>
        <v>Packed weight (g/unit)</v>
      </c>
      <c r="D215" s="146" t="s">
        <v>2172</v>
      </c>
      <c r="E215" s="146" t="s">
        <v>2176</v>
      </c>
      <c r="F215" s="146"/>
      <c r="G215" s="146" t="s">
        <v>1284</v>
      </c>
      <c r="H215" s="146"/>
      <c r="I215" s="146"/>
    </row>
    <row r="216" spans="1:9">
      <c r="A216" s="142">
        <f t="shared" si="8"/>
        <v>208</v>
      </c>
      <c r="B216" s="144" t="s">
        <v>1157</v>
      </c>
      <c r="C216" s="144" t="str">
        <f t="shared" si="7"/>
        <v>Cost (US$/unit)</v>
      </c>
      <c r="D216" s="146" t="s">
        <v>816</v>
      </c>
      <c r="E216" s="146" t="s">
        <v>488</v>
      </c>
      <c r="F216" s="146"/>
      <c r="G216" s="146"/>
      <c r="H216" s="146"/>
      <c r="I216" s="146"/>
    </row>
    <row r="217" spans="1:9">
      <c r="A217" s="142">
        <f t="shared" si="8"/>
        <v>209</v>
      </c>
      <c r="B217" s="144" t="s">
        <v>1157</v>
      </c>
      <c r="C217" s="144" t="str">
        <f t="shared" si="7"/>
        <v>AD Syringes 0.05ml for BCG</v>
      </c>
      <c r="D217" s="146" t="s">
        <v>1613</v>
      </c>
      <c r="E217" s="146" t="s">
        <v>2177</v>
      </c>
      <c r="F217" s="146"/>
      <c r="G217" s="146" t="s">
        <v>293</v>
      </c>
      <c r="H217" s="146"/>
      <c r="I217" s="146"/>
    </row>
    <row r="218" spans="1:9">
      <c r="A218" s="142">
        <f t="shared" si="8"/>
        <v>210</v>
      </c>
      <c r="B218" s="144" t="s">
        <v>1157</v>
      </c>
      <c r="C218" s="144" t="str">
        <f t="shared" ref="C218:C281" si="9">HLOOKUP($D$1,$D$9:$I$432,$A218,FALSE)</f>
        <v>AD Syringes 0.1ml for BCG</v>
      </c>
      <c r="D218" s="146" t="s">
        <v>878</v>
      </c>
      <c r="E218" s="146" t="s">
        <v>1503</v>
      </c>
      <c r="F218" s="146"/>
      <c r="G218" s="146" t="s">
        <v>294</v>
      </c>
      <c r="H218" s="146"/>
      <c r="I218" s="146"/>
    </row>
    <row r="219" spans="1:9">
      <c r="A219" s="142">
        <f t="shared" si="8"/>
        <v>211</v>
      </c>
      <c r="B219" s="144" t="s">
        <v>1157</v>
      </c>
      <c r="C219" s="144" t="str">
        <f t="shared" si="9"/>
        <v>AD Syringes 0.5ml</v>
      </c>
      <c r="D219" s="146" t="s">
        <v>2081</v>
      </c>
      <c r="E219" s="146" t="s">
        <v>1504</v>
      </c>
      <c r="F219" s="146"/>
      <c r="G219" s="146" t="s">
        <v>295</v>
      </c>
      <c r="H219" s="146"/>
      <c r="I219" s="146"/>
    </row>
    <row r="220" spans="1:9">
      <c r="A220" s="142">
        <f t="shared" si="8"/>
        <v>212</v>
      </c>
      <c r="B220" s="144" t="s">
        <v>1157</v>
      </c>
      <c r="C220" s="144" t="str">
        <f t="shared" si="9"/>
        <v>Syringes 2ml for dilution BCG/Hib</v>
      </c>
      <c r="D220" s="146" t="s">
        <v>2084</v>
      </c>
      <c r="E220" s="146" t="s">
        <v>1505</v>
      </c>
      <c r="F220" s="146"/>
      <c r="G220" s="146" t="s">
        <v>296</v>
      </c>
      <c r="H220" s="146"/>
      <c r="I220" s="146"/>
    </row>
    <row r="221" spans="1:9">
      <c r="A221" s="142">
        <f t="shared" si="8"/>
        <v>213</v>
      </c>
      <c r="B221" s="144" t="s">
        <v>1157</v>
      </c>
      <c r="C221" s="144" t="str">
        <f t="shared" si="9"/>
        <v>Syringes 5ml for dilution Msls/YF</v>
      </c>
      <c r="D221" s="146" t="s">
        <v>2086</v>
      </c>
      <c r="E221" s="146" t="s">
        <v>1506</v>
      </c>
      <c r="F221" s="146"/>
      <c r="G221" s="146" t="s">
        <v>297</v>
      </c>
      <c r="H221" s="146"/>
      <c r="I221" s="146"/>
    </row>
    <row r="222" spans="1:9">
      <c r="A222" s="142">
        <f t="shared" si="8"/>
        <v>214</v>
      </c>
      <c r="B222" s="144" t="s">
        <v>1157</v>
      </c>
      <c r="C222" s="144" t="str">
        <f t="shared" si="9"/>
        <v>Syringes 10ml for dilution YF/Meningitis</v>
      </c>
      <c r="D222" s="146" t="s">
        <v>2088</v>
      </c>
      <c r="E222" s="146" t="s">
        <v>1285</v>
      </c>
      <c r="F222" s="146"/>
      <c r="G222" s="146" t="s">
        <v>298</v>
      </c>
      <c r="H222" s="146"/>
      <c r="I222" s="146"/>
    </row>
    <row r="223" spans="1:9">
      <c r="A223" s="142">
        <f t="shared" si="8"/>
        <v>215</v>
      </c>
      <c r="B223" s="144" t="s">
        <v>1157</v>
      </c>
      <c r="C223" s="144" t="str">
        <f t="shared" si="9"/>
        <v>Safety boxes, 2.5litres</v>
      </c>
      <c r="D223" s="146" t="s">
        <v>1291</v>
      </c>
      <c r="E223" s="146" t="s">
        <v>1287</v>
      </c>
      <c r="F223" s="146"/>
      <c r="G223" s="146" t="s">
        <v>302</v>
      </c>
      <c r="H223" s="146"/>
      <c r="I223" s="146"/>
    </row>
    <row r="224" spans="1:9">
      <c r="A224" s="142">
        <f t="shared" si="8"/>
        <v>216</v>
      </c>
      <c r="B224" s="144" t="s">
        <v>1157</v>
      </c>
      <c r="C224" s="144" t="str">
        <f t="shared" si="9"/>
        <v>Safety boxes, 5litres</v>
      </c>
      <c r="D224" s="146" t="s">
        <v>2090</v>
      </c>
      <c r="E224" s="146" t="s">
        <v>1286</v>
      </c>
      <c r="F224" s="146"/>
      <c r="G224" s="146" t="s">
        <v>299</v>
      </c>
      <c r="H224" s="146"/>
      <c r="I224" s="146"/>
    </row>
    <row r="225" spans="1:9">
      <c r="A225" s="142">
        <f t="shared" si="8"/>
        <v>217</v>
      </c>
      <c r="B225" s="144" t="s">
        <v>1157</v>
      </c>
      <c r="C225" s="144" t="str">
        <f t="shared" si="9"/>
        <v>Safety boxes, 10litres</v>
      </c>
      <c r="D225" s="146" t="s">
        <v>2098</v>
      </c>
      <c r="E225" s="146" t="s">
        <v>1288</v>
      </c>
      <c r="F225" s="146"/>
      <c r="G225" s="146" t="s">
        <v>300</v>
      </c>
      <c r="H225" s="146"/>
      <c r="I225" s="146"/>
    </row>
    <row r="226" spans="1:9">
      <c r="A226" s="142">
        <f t="shared" si="8"/>
        <v>218</v>
      </c>
      <c r="B226" s="144" t="s">
        <v>1157</v>
      </c>
      <c r="C226" s="144" t="str">
        <f t="shared" si="9"/>
        <v>Safety boxes, 15litres</v>
      </c>
      <c r="D226" s="146" t="s">
        <v>1290</v>
      </c>
      <c r="E226" s="146" t="s">
        <v>1289</v>
      </c>
      <c r="F226" s="146"/>
      <c r="G226" s="146" t="s">
        <v>301</v>
      </c>
      <c r="H226" s="146"/>
      <c r="I226" s="146"/>
    </row>
    <row r="227" spans="1:9">
      <c r="A227" s="142">
        <f t="shared" si="8"/>
        <v>219</v>
      </c>
      <c r="B227" s="144" t="s">
        <v>1157</v>
      </c>
      <c r="C227" s="144" t="str">
        <f t="shared" si="9"/>
        <v>ADS_0.05ml</v>
      </c>
      <c r="D227" s="146" t="s">
        <v>1614</v>
      </c>
      <c r="E227" s="146" t="s">
        <v>1292</v>
      </c>
      <c r="F227" s="146"/>
      <c r="G227" s="146" t="s">
        <v>1614</v>
      </c>
      <c r="H227" s="146"/>
      <c r="I227" s="146"/>
    </row>
    <row r="228" spans="1:9">
      <c r="A228" s="142">
        <f t="shared" si="8"/>
        <v>220</v>
      </c>
      <c r="B228" s="144" t="s">
        <v>1157</v>
      </c>
      <c r="C228" s="144" t="str">
        <f t="shared" si="9"/>
        <v>ADS_0.1ml</v>
      </c>
      <c r="D228" s="146" t="s">
        <v>2079</v>
      </c>
      <c r="E228" s="146" t="s">
        <v>1293</v>
      </c>
      <c r="F228" s="146"/>
      <c r="G228" s="146" t="s">
        <v>2079</v>
      </c>
      <c r="H228" s="146"/>
      <c r="I228" s="146"/>
    </row>
    <row r="229" spans="1:9">
      <c r="A229" s="142">
        <f t="shared" si="8"/>
        <v>221</v>
      </c>
      <c r="B229" s="144" t="s">
        <v>1157</v>
      </c>
      <c r="C229" s="144" t="str">
        <f t="shared" si="9"/>
        <v>ADS_0.5ml</v>
      </c>
      <c r="D229" s="146" t="s">
        <v>2082</v>
      </c>
      <c r="E229" s="146" t="s">
        <v>1294</v>
      </c>
      <c r="F229" s="146"/>
      <c r="G229" s="146" t="s">
        <v>2082</v>
      </c>
      <c r="H229" s="146"/>
      <c r="I229" s="146"/>
    </row>
    <row r="230" spans="1:9">
      <c r="A230" s="142">
        <f t="shared" si="8"/>
        <v>222</v>
      </c>
      <c r="B230" s="144" t="s">
        <v>1157</v>
      </c>
      <c r="C230" s="144" t="str">
        <f t="shared" si="9"/>
        <v>Sdilution_2ml</v>
      </c>
      <c r="D230" s="146" t="s">
        <v>2085</v>
      </c>
      <c r="E230" s="146" t="s">
        <v>2085</v>
      </c>
      <c r="F230" s="146"/>
      <c r="G230" s="146" t="s">
        <v>2085</v>
      </c>
      <c r="H230" s="146"/>
      <c r="I230" s="146"/>
    </row>
    <row r="231" spans="1:9">
      <c r="A231" s="142">
        <f t="shared" si="8"/>
        <v>223</v>
      </c>
      <c r="B231" s="144" t="s">
        <v>1157</v>
      </c>
      <c r="C231" s="144" t="str">
        <f t="shared" si="9"/>
        <v>Sdilution_5ml</v>
      </c>
      <c r="D231" s="146" t="s">
        <v>2087</v>
      </c>
      <c r="E231" s="146" t="s">
        <v>2087</v>
      </c>
      <c r="F231" s="146"/>
      <c r="G231" s="146" t="s">
        <v>2087</v>
      </c>
      <c r="H231" s="146"/>
      <c r="I231" s="146"/>
    </row>
    <row r="232" spans="1:9">
      <c r="A232" s="142">
        <f t="shared" si="8"/>
        <v>224</v>
      </c>
      <c r="B232" s="144" t="s">
        <v>1157</v>
      </c>
      <c r="C232" s="144" t="str">
        <f t="shared" si="9"/>
        <v>Sdilution_10ml</v>
      </c>
      <c r="D232" s="146" t="s">
        <v>2089</v>
      </c>
      <c r="E232" s="146" t="s">
        <v>2089</v>
      </c>
      <c r="F232" s="146"/>
      <c r="G232" s="146" t="s">
        <v>2089</v>
      </c>
      <c r="H232" s="146"/>
      <c r="I232" s="146"/>
    </row>
    <row r="233" spans="1:9">
      <c r="A233" s="142">
        <f t="shared" si="8"/>
        <v>225</v>
      </c>
      <c r="B233" s="144" t="s">
        <v>1157</v>
      </c>
      <c r="C233" s="144" t="str">
        <f t="shared" si="9"/>
        <v>SB_2.5l</v>
      </c>
      <c r="D233" s="146" t="s">
        <v>2091</v>
      </c>
      <c r="E233" s="146" t="s">
        <v>1295</v>
      </c>
      <c r="F233" s="146"/>
      <c r="G233" s="146" t="s">
        <v>2091</v>
      </c>
      <c r="H233" s="146"/>
      <c r="I233" s="146"/>
    </row>
    <row r="234" spans="1:9">
      <c r="A234" s="142">
        <f t="shared" si="8"/>
        <v>226</v>
      </c>
      <c r="B234" s="144" t="s">
        <v>1157</v>
      </c>
      <c r="C234" s="144" t="str">
        <f t="shared" si="9"/>
        <v>SB_5l</v>
      </c>
      <c r="D234" s="146" t="s">
        <v>2093</v>
      </c>
      <c r="E234" s="146" t="s">
        <v>1296</v>
      </c>
      <c r="F234" s="146"/>
      <c r="G234" s="146" t="s">
        <v>2093</v>
      </c>
      <c r="H234" s="146"/>
      <c r="I234" s="146"/>
    </row>
    <row r="235" spans="1:9">
      <c r="A235" s="142">
        <f t="shared" si="8"/>
        <v>227</v>
      </c>
      <c r="B235" s="144" t="s">
        <v>1157</v>
      </c>
      <c r="C235" s="144" t="str">
        <f t="shared" si="9"/>
        <v>SB_10l</v>
      </c>
      <c r="D235" s="146" t="s">
        <v>2099</v>
      </c>
      <c r="E235" s="146" t="s">
        <v>1297</v>
      </c>
      <c r="F235" s="146"/>
      <c r="G235" s="146" t="s">
        <v>2099</v>
      </c>
      <c r="H235" s="146"/>
      <c r="I235" s="146"/>
    </row>
    <row r="236" spans="1:9">
      <c r="A236" s="142">
        <f t="shared" si="8"/>
        <v>228</v>
      </c>
      <c r="B236" s="144" t="s">
        <v>1157</v>
      </c>
      <c r="C236" s="144" t="str">
        <f t="shared" si="9"/>
        <v>SB_15l</v>
      </c>
      <c r="D236" s="146" t="s">
        <v>2101</v>
      </c>
      <c r="E236" s="146" t="s">
        <v>1298</v>
      </c>
      <c r="F236" s="146"/>
      <c r="G236" s="146" t="s">
        <v>2101</v>
      </c>
      <c r="H236" s="146"/>
      <c r="I236" s="146"/>
    </row>
    <row r="237" spans="1:9" ht="23.4">
      <c r="A237" s="142">
        <f t="shared" si="8"/>
        <v>229</v>
      </c>
      <c r="B237" s="143" t="s">
        <v>1157</v>
      </c>
      <c r="C237" s="143" t="str">
        <f t="shared" si="9"/>
        <v>Table 2: Characteristics of supplies for other child survival interventions (For information only)</v>
      </c>
      <c r="D237" s="195" t="s">
        <v>892</v>
      </c>
      <c r="E237" s="195" t="s">
        <v>893</v>
      </c>
      <c r="F237" s="195"/>
      <c r="G237" s="195" t="s">
        <v>303</v>
      </c>
      <c r="H237" s="195"/>
      <c r="I237" s="195"/>
    </row>
    <row r="238" spans="1:9">
      <c r="A238" s="142">
        <f t="shared" si="8"/>
        <v>230</v>
      </c>
      <c r="B238" s="144" t="s">
        <v>1157</v>
      </c>
      <c r="C238" s="144" t="str">
        <f t="shared" si="9"/>
        <v>Supplies for other interventions</v>
      </c>
      <c r="D238" s="146" t="s">
        <v>1299</v>
      </c>
      <c r="E238" s="146" t="s">
        <v>713</v>
      </c>
      <c r="F238" s="146"/>
      <c r="G238" s="146" t="s">
        <v>304</v>
      </c>
      <c r="H238" s="146"/>
      <c r="I238" s="146"/>
    </row>
    <row r="239" spans="1:9">
      <c r="A239" s="142">
        <f t="shared" si="8"/>
        <v>231</v>
      </c>
      <c r="B239" s="144" t="s">
        <v>1157</v>
      </c>
      <c r="C239" s="144" t="str">
        <f t="shared" si="9"/>
        <v>Designation</v>
      </c>
      <c r="D239" s="146" t="s">
        <v>323</v>
      </c>
      <c r="E239" s="146" t="s">
        <v>2173</v>
      </c>
      <c r="F239" s="146"/>
      <c r="G239" s="146" t="s">
        <v>1281</v>
      </c>
      <c r="H239" s="146"/>
      <c r="I239" s="146"/>
    </row>
    <row r="240" spans="1:9">
      <c r="A240" s="142">
        <f t="shared" si="8"/>
        <v>232</v>
      </c>
      <c r="B240" s="144" t="s">
        <v>1157</v>
      </c>
      <c r="C240" s="144" t="str">
        <f t="shared" si="9"/>
        <v>Packaging</v>
      </c>
      <c r="D240" s="146" t="s">
        <v>2105</v>
      </c>
      <c r="E240" s="146" t="s">
        <v>719</v>
      </c>
      <c r="F240" s="146"/>
      <c r="G240" s="146" t="s">
        <v>305</v>
      </c>
      <c r="H240" s="146"/>
      <c r="I240" s="146"/>
    </row>
    <row r="241" spans="1:9" ht="23.4">
      <c r="A241" s="142">
        <f t="shared" si="8"/>
        <v>233</v>
      </c>
      <c r="B241" s="143" t="s">
        <v>1157</v>
      </c>
      <c r="C241" s="143" t="str">
        <f t="shared" si="9"/>
        <v>Table 3: Characteristics of walk in cold/freezer rooms</v>
      </c>
      <c r="D241" s="195" t="s">
        <v>1149</v>
      </c>
      <c r="E241" s="195" t="s">
        <v>1150</v>
      </c>
      <c r="F241" s="195"/>
      <c r="G241" s="195" t="s">
        <v>306</v>
      </c>
      <c r="H241" s="195"/>
      <c r="I241" s="195"/>
    </row>
    <row r="242" spans="1:9">
      <c r="A242" s="142">
        <f t="shared" si="8"/>
        <v>234</v>
      </c>
      <c r="B242" s="144" t="s">
        <v>1157</v>
      </c>
      <c r="C242" s="144" t="str">
        <f t="shared" si="9"/>
        <v>Size of walk in cold rooms</v>
      </c>
      <c r="D242" s="146" t="s">
        <v>969</v>
      </c>
      <c r="E242" s="146" t="s">
        <v>286</v>
      </c>
      <c r="F242" s="146"/>
      <c r="G242" s="146" t="s">
        <v>307</v>
      </c>
      <c r="H242" s="146"/>
      <c r="I242" s="146"/>
    </row>
    <row r="243" spans="1:9">
      <c r="A243" s="142">
        <f t="shared" si="8"/>
        <v>235</v>
      </c>
      <c r="B243" s="144" t="s">
        <v>1157</v>
      </c>
      <c r="C243" s="144" t="str">
        <f t="shared" si="9"/>
        <v>Gross volume of cold rooms</v>
      </c>
      <c r="D243" s="146" t="s">
        <v>970</v>
      </c>
      <c r="E243" s="146" t="s">
        <v>287</v>
      </c>
      <c r="F243" s="146"/>
      <c r="G243" s="146" t="s">
        <v>988</v>
      </c>
      <c r="H243" s="146"/>
      <c r="I243" s="146"/>
    </row>
    <row r="244" spans="1:9">
      <c r="A244" s="142">
        <f t="shared" si="8"/>
        <v>236</v>
      </c>
      <c r="B244" s="144" t="s">
        <v>1157</v>
      </c>
      <c r="C244" s="144" t="str">
        <f t="shared" si="9"/>
        <v>Grossing factor</v>
      </c>
      <c r="D244" s="146" t="s">
        <v>1695</v>
      </c>
      <c r="E244" s="146" t="s">
        <v>288</v>
      </c>
      <c r="F244" s="146"/>
      <c r="G244" s="146" t="s">
        <v>989</v>
      </c>
      <c r="H244" s="146"/>
      <c r="I244" s="146"/>
    </row>
    <row r="245" spans="1:9">
      <c r="A245" s="142">
        <f t="shared" si="8"/>
        <v>237</v>
      </c>
      <c r="B245" s="144" t="s">
        <v>1157</v>
      </c>
      <c r="C245" s="144" t="str">
        <f t="shared" si="9"/>
        <v>Net storage capacity (litres)</v>
      </c>
      <c r="D245" s="146" t="s">
        <v>971</v>
      </c>
      <c r="E245" s="146" t="s">
        <v>289</v>
      </c>
      <c r="F245" s="146"/>
      <c r="G245" s="146" t="s">
        <v>1407</v>
      </c>
      <c r="H245" s="146"/>
      <c r="I245" s="146"/>
    </row>
    <row r="246" spans="1:9">
      <c r="A246" s="142">
        <f t="shared" si="8"/>
        <v>238</v>
      </c>
      <c r="B246" s="144" t="s">
        <v>1157</v>
      </c>
      <c r="C246" s="144" t="str">
        <f t="shared" si="9"/>
        <v>Cost of WICR</v>
      </c>
      <c r="D246" s="146" t="s">
        <v>972</v>
      </c>
      <c r="E246" s="146" t="s">
        <v>291</v>
      </c>
      <c r="F246" s="146"/>
      <c r="G246" s="146" t="s">
        <v>991</v>
      </c>
      <c r="H246" s="146"/>
      <c r="I246" s="146"/>
    </row>
    <row r="247" spans="1:9">
      <c r="A247" s="142">
        <f t="shared" si="8"/>
        <v>239</v>
      </c>
      <c r="B247" s="144" t="s">
        <v>1157</v>
      </c>
      <c r="C247" s="144" t="str">
        <f t="shared" si="9"/>
        <v>Cost of WIFR</v>
      </c>
      <c r="D247" s="146" t="s">
        <v>973</v>
      </c>
      <c r="E247" s="146" t="s">
        <v>290</v>
      </c>
      <c r="F247" s="146"/>
      <c r="G247" s="146" t="s">
        <v>990</v>
      </c>
      <c r="H247" s="146"/>
      <c r="I247" s="146"/>
    </row>
    <row r="248" spans="1:9">
      <c r="A248" s="142">
        <f t="shared" si="8"/>
        <v>240</v>
      </c>
      <c r="B248" s="144" t="s">
        <v>1157</v>
      </c>
      <c r="C248" s="144" t="str">
        <f t="shared" si="9"/>
        <v>Power of WICR (kW)</v>
      </c>
      <c r="D248" s="146" t="s">
        <v>974</v>
      </c>
      <c r="E248" s="146" t="s">
        <v>418</v>
      </c>
      <c r="F248" s="146"/>
      <c r="G248" s="146" t="s">
        <v>992</v>
      </c>
      <c r="H248" s="146"/>
      <c r="I248" s="146"/>
    </row>
    <row r="249" spans="1:9">
      <c r="A249" s="142">
        <f t="shared" si="8"/>
        <v>241</v>
      </c>
      <c r="B249" s="144" t="s">
        <v>1157</v>
      </c>
      <c r="C249" s="144" t="str">
        <f t="shared" si="9"/>
        <v>Power of WIFR (kW)</v>
      </c>
      <c r="D249" s="146" t="s">
        <v>285</v>
      </c>
      <c r="E249" s="146" t="s">
        <v>1620</v>
      </c>
      <c r="F249" s="146"/>
      <c r="G249" s="146"/>
      <c r="H249" s="146"/>
      <c r="I249" s="146"/>
    </row>
    <row r="250" spans="1:9">
      <c r="A250" s="142">
        <f t="shared" si="8"/>
        <v>242</v>
      </c>
      <c r="B250" s="144" t="s">
        <v>1157</v>
      </c>
      <c r="C250" s="144" t="str">
        <f t="shared" si="9"/>
        <v>Investment of WICR ($/litre)</v>
      </c>
      <c r="D250" s="146" t="s">
        <v>1621</v>
      </c>
      <c r="E250" s="146" t="s">
        <v>1041</v>
      </c>
      <c r="F250" s="146"/>
      <c r="G250" s="146"/>
      <c r="H250" s="146"/>
      <c r="I250" s="146"/>
    </row>
    <row r="251" spans="1:9">
      <c r="A251" s="142">
        <f t="shared" si="8"/>
        <v>243</v>
      </c>
      <c r="B251" s="144" t="s">
        <v>1157</v>
      </c>
      <c r="C251" s="144" t="str">
        <f t="shared" si="9"/>
        <v>Investment of WICR ($/litre)</v>
      </c>
      <c r="D251" s="146" t="s">
        <v>1621</v>
      </c>
      <c r="E251" s="146" t="s">
        <v>1042</v>
      </c>
      <c r="F251" s="146"/>
      <c r="G251" s="146"/>
      <c r="H251" s="146"/>
      <c r="I251" s="146"/>
    </row>
    <row r="252" spans="1:9">
      <c r="A252" s="142">
        <f t="shared" si="8"/>
        <v>244</v>
      </c>
      <c r="B252" s="144" t="s">
        <v>1157</v>
      </c>
      <c r="C252" s="144" t="str">
        <f t="shared" si="9"/>
        <v>Energy consumption of WICR ($/litre)</v>
      </c>
      <c r="D252" s="146" t="s">
        <v>1507</v>
      </c>
      <c r="E252" s="146" t="s">
        <v>1043</v>
      </c>
      <c r="F252" s="146"/>
      <c r="G252" s="146"/>
      <c r="H252" s="146"/>
      <c r="I252" s="146"/>
    </row>
    <row r="253" spans="1:9">
      <c r="A253" s="142">
        <f t="shared" si="8"/>
        <v>245</v>
      </c>
      <c r="B253" s="144" t="s">
        <v>1157</v>
      </c>
      <c r="C253" s="144" t="str">
        <f t="shared" si="9"/>
        <v>Energy consumption of WICR ($/litre)</v>
      </c>
      <c r="D253" s="146" t="s">
        <v>1507</v>
      </c>
      <c r="E253" s="146" t="s">
        <v>1044</v>
      </c>
      <c r="F253" s="146"/>
      <c r="G253" s="146"/>
      <c r="H253" s="146"/>
      <c r="I253" s="146"/>
    </row>
    <row r="254" spans="1:9">
      <c r="A254" s="142">
        <f t="shared" si="8"/>
        <v>246</v>
      </c>
      <c r="B254" s="144" t="s">
        <v>1157</v>
      </c>
      <c r="C254" s="281" t="str">
        <f t="shared" si="9"/>
        <v>WICR</v>
      </c>
      <c r="D254" s="146" t="s">
        <v>1045</v>
      </c>
      <c r="E254" s="146" t="s">
        <v>1226</v>
      </c>
      <c r="F254" s="146"/>
      <c r="G254" s="146" t="s">
        <v>1365</v>
      </c>
      <c r="H254" s="146"/>
      <c r="I254" s="146"/>
    </row>
    <row r="255" spans="1:9">
      <c r="A255" s="142">
        <f t="shared" si="8"/>
        <v>247</v>
      </c>
      <c r="B255" s="144" t="s">
        <v>1157</v>
      </c>
      <c r="C255" s="281" t="str">
        <f t="shared" si="9"/>
        <v>WIFR</v>
      </c>
      <c r="D255" s="146" t="s">
        <v>1046</v>
      </c>
      <c r="E255" s="146" t="s">
        <v>1227</v>
      </c>
      <c r="F255" s="146"/>
      <c r="G255" s="146" t="s">
        <v>1367</v>
      </c>
      <c r="H255" s="146"/>
      <c r="I255" s="146"/>
    </row>
    <row r="256" spans="1:9">
      <c r="A256" s="142">
        <f t="shared" si="8"/>
        <v>248</v>
      </c>
      <c r="B256" s="144" t="s">
        <v>1157</v>
      </c>
      <c r="C256" s="281" t="str">
        <f t="shared" si="9"/>
        <v>no equipment required</v>
      </c>
      <c r="D256" s="146" t="s">
        <v>1047</v>
      </c>
      <c r="E256" s="146" t="s">
        <v>720</v>
      </c>
      <c r="F256" s="146"/>
      <c r="G256" s="146" t="s">
        <v>1363</v>
      </c>
      <c r="H256" s="146"/>
      <c r="I256" s="146"/>
    </row>
    <row r="257" spans="1:9">
      <c r="A257" s="142">
        <f t="shared" si="8"/>
        <v>249</v>
      </c>
      <c r="B257" s="144" t="s">
        <v>1157</v>
      </c>
      <c r="C257" s="281" t="str">
        <f t="shared" si="9"/>
        <v>Refrigerator</v>
      </c>
      <c r="D257" s="146" t="s">
        <v>408</v>
      </c>
      <c r="E257" s="146" t="s">
        <v>1719</v>
      </c>
      <c r="F257" s="146"/>
      <c r="G257" s="146" t="s">
        <v>1364</v>
      </c>
      <c r="H257" s="146"/>
      <c r="I257" s="146"/>
    </row>
    <row r="258" spans="1:9">
      <c r="A258" s="142">
        <f t="shared" si="8"/>
        <v>250</v>
      </c>
      <c r="B258" s="144" t="s">
        <v>1157</v>
      </c>
      <c r="C258" s="281" t="str">
        <f t="shared" si="9"/>
        <v>Freezer</v>
      </c>
      <c r="D258" s="146" t="s">
        <v>1720</v>
      </c>
      <c r="E258" s="146" t="s">
        <v>1721</v>
      </c>
      <c r="F258" s="146"/>
      <c r="G258" s="146" t="s">
        <v>1366</v>
      </c>
      <c r="H258" s="146"/>
      <c r="I258" s="146"/>
    </row>
    <row r="259" spans="1:9">
      <c r="A259" s="142">
        <f t="shared" si="8"/>
        <v>251</v>
      </c>
      <c r="B259" s="144" t="s">
        <v>1157</v>
      </c>
      <c r="C259" s="144" t="str">
        <f t="shared" si="9"/>
        <v>Table 4: Characteristics of icepack freezers</v>
      </c>
      <c r="D259" s="146" t="s">
        <v>680</v>
      </c>
      <c r="E259" s="146" t="s">
        <v>1604</v>
      </c>
      <c r="F259" s="146"/>
      <c r="G259" s="146"/>
      <c r="H259" s="146"/>
      <c r="I259" s="146"/>
    </row>
    <row r="260" spans="1:9">
      <c r="A260" s="142">
        <f t="shared" si="8"/>
        <v>252</v>
      </c>
      <c r="B260" s="144" t="s">
        <v>1157</v>
      </c>
      <c r="C260" s="144" t="str">
        <f t="shared" si="9"/>
        <v>Make freezers</v>
      </c>
      <c r="D260" s="146" t="s">
        <v>448</v>
      </c>
      <c r="E260" s="146" t="s">
        <v>1605</v>
      </c>
      <c r="F260" s="146"/>
      <c r="G260" s="146"/>
      <c r="H260" s="146"/>
      <c r="I260" s="146"/>
    </row>
    <row r="261" spans="1:9">
      <c r="A261" s="142">
        <f t="shared" si="8"/>
        <v>253</v>
      </c>
      <c r="B261" s="144" t="s">
        <v>1157</v>
      </c>
      <c r="C261" s="144" t="str">
        <f t="shared" si="9"/>
        <v>Model freezers</v>
      </c>
      <c r="D261" s="146" t="s">
        <v>447</v>
      </c>
      <c r="E261" s="146" t="s">
        <v>1606</v>
      </c>
      <c r="F261" s="146"/>
      <c r="G261" s="146"/>
      <c r="H261" s="146"/>
      <c r="I261" s="146"/>
    </row>
    <row r="262" spans="1:9">
      <c r="A262" s="142">
        <f t="shared" si="8"/>
        <v>254</v>
      </c>
      <c r="B262" s="144" t="s">
        <v>1157</v>
      </c>
      <c r="C262" s="144" t="str">
        <f t="shared" si="9"/>
        <v>Capacity (litres)</v>
      </c>
      <c r="D262" s="146" t="s">
        <v>1608</v>
      </c>
      <c r="E262" s="146" t="s">
        <v>721</v>
      </c>
      <c r="F262" s="146"/>
      <c r="G262" s="146"/>
      <c r="H262" s="146"/>
      <c r="I262" s="146"/>
    </row>
    <row r="263" spans="1:9">
      <c r="A263" s="142">
        <f t="shared" si="8"/>
        <v>255</v>
      </c>
      <c r="B263" s="144" t="s">
        <v>1157</v>
      </c>
      <c r="C263" s="144" t="str">
        <f t="shared" si="9"/>
        <v>Number of icepacks</v>
      </c>
      <c r="D263" s="146" t="s">
        <v>596</v>
      </c>
      <c r="E263" s="146" t="s">
        <v>1607</v>
      </c>
      <c r="F263" s="146"/>
      <c r="G263" s="146"/>
      <c r="H263" s="146"/>
      <c r="I263" s="146"/>
    </row>
    <row r="264" spans="1:9">
      <c r="A264" s="142">
        <f t="shared" si="8"/>
        <v>256</v>
      </c>
      <c r="B264" s="143" t="s">
        <v>1157</v>
      </c>
      <c r="C264" s="143" t="str">
        <f t="shared" si="9"/>
        <v>Table 5: Characteristics of vaccine shipping containers</v>
      </c>
      <c r="D264" s="195" t="s">
        <v>1153</v>
      </c>
      <c r="E264" s="195" t="s">
        <v>1154</v>
      </c>
      <c r="F264" s="195"/>
      <c r="G264" s="195" t="s">
        <v>993</v>
      </c>
      <c r="H264" s="195"/>
      <c r="I264" s="195"/>
    </row>
    <row r="265" spans="1:9">
      <c r="A265" s="142">
        <f t="shared" si="8"/>
        <v>257</v>
      </c>
      <c r="B265" s="144" t="s">
        <v>1157</v>
      </c>
      <c r="C265" s="144" t="str">
        <f t="shared" si="9"/>
        <v>Vaccine containers</v>
      </c>
      <c r="D265" s="146" t="s">
        <v>1609</v>
      </c>
      <c r="E265" s="146" t="s">
        <v>1048</v>
      </c>
      <c r="F265" s="146"/>
      <c r="G265" s="146" t="s">
        <v>994</v>
      </c>
      <c r="H265" s="146"/>
      <c r="I265" s="146"/>
    </row>
    <row r="266" spans="1:9">
      <c r="A266" s="142">
        <f t="shared" si="8"/>
        <v>258</v>
      </c>
      <c r="B266" s="144" t="s">
        <v>1157</v>
      </c>
      <c r="C266" s="144" t="str">
        <f t="shared" si="9"/>
        <v>Code containers</v>
      </c>
      <c r="D266" s="146" t="s">
        <v>1610</v>
      </c>
      <c r="E266" s="146" t="s">
        <v>1049</v>
      </c>
      <c r="F266" s="146"/>
      <c r="G266" s="146" t="s">
        <v>995</v>
      </c>
      <c r="H266" s="146"/>
      <c r="I266" s="146"/>
    </row>
    <row r="267" spans="1:9">
      <c r="A267" s="142">
        <f t="shared" si="8"/>
        <v>259</v>
      </c>
      <c r="B267" s="144" t="s">
        <v>1157</v>
      </c>
      <c r="C267" s="144" t="str">
        <f t="shared" si="9"/>
        <v>Capacity (litres)</v>
      </c>
      <c r="D267" s="146" t="s">
        <v>1608</v>
      </c>
      <c r="E267" s="146" t="s">
        <v>721</v>
      </c>
      <c r="F267" s="146"/>
      <c r="G267" s="146" t="s">
        <v>996</v>
      </c>
      <c r="H267" s="146"/>
      <c r="I267" s="146"/>
    </row>
    <row r="268" spans="1:9">
      <c r="A268" s="142">
        <f t="shared" si="8"/>
        <v>260</v>
      </c>
      <c r="B268" s="144" t="s">
        <v>1157</v>
      </c>
      <c r="C268" s="144" t="str">
        <f t="shared" si="9"/>
        <v>No. of icepacks</v>
      </c>
      <c r="D268" s="146" t="s">
        <v>1611</v>
      </c>
      <c r="E268" s="146" t="s">
        <v>1050</v>
      </c>
      <c r="F268" s="146"/>
      <c r="G268" s="146" t="s">
        <v>997</v>
      </c>
      <c r="H268" s="146"/>
      <c r="I268" s="146"/>
    </row>
    <row r="269" spans="1:9">
      <c r="A269" s="142">
        <f t="shared" si="8"/>
        <v>261</v>
      </c>
      <c r="B269" s="144" t="s">
        <v>1157</v>
      </c>
      <c r="C269" s="144" t="str">
        <f t="shared" si="9"/>
        <v>Loaded weight (kg)</v>
      </c>
      <c r="D269" s="146" t="s">
        <v>1612</v>
      </c>
      <c r="E269" s="146" t="s">
        <v>1051</v>
      </c>
      <c r="F269" s="146"/>
      <c r="G269" s="146" t="s">
        <v>998</v>
      </c>
      <c r="H269" s="146"/>
      <c r="I269" s="146"/>
    </row>
    <row r="270" spans="1:9">
      <c r="A270" s="142">
        <f t="shared" si="8"/>
        <v>262</v>
      </c>
      <c r="B270" s="144" t="s">
        <v>1157</v>
      </c>
      <c r="C270" s="144" t="str">
        <f t="shared" si="9"/>
        <v>External volume (m³)</v>
      </c>
      <c r="D270" s="146" t="s">
        <v>1</v>
      </c>
      <c r="E270" s="146" t="s">
        <v>2</v>
      </c>
      <c r="F270" s="146"/>
      <c r="G270" s="146" t="s">
        <v>3</v>
      </c>
      <c r="H270" s="146"/>
      <c r="I270" s="146"/>
    </row>
    <row r="271" spans="1:9">
      <c r="A271" s="142">
        <f t="shared" ref="A271:A334" si="10">A270+1</f>
        <v>263</v>
      </c>
      <c r="B271" s="144" t="s">
        <v>1157</v>
      </c>
      <c r="C271" s="144" t="str">
        <f t="shared" si="9"/>
        <v>Large cold box (PQS)</v>
      </c>
      <c r="D271" s="146" t="s">
        <v>2124</v>
      </c>
      <c r="E271" s="146" t="s">
        <v>1052</v>
      </c>
      <c r="F271" s="146"/>
      <c r="G271" s="146" t="s">
        <v>999</v>
      </c>
      <c r="H271" s="146"/>
      <c r="I271" s="146"/>
    </row>
    <row r="272" spans="1:9">
      <c r="A272" s="142">
        <f t="shared" si="10"/>
        <v>264</v>
      </c>
      <c r="B272" s="144" t="s">
        <v>1157</v>
      </c>
      <c r="C272" s="144" t="str">
        <f t="shared" si="9"/>
        <v>Small cold box (PQS)</v>
      </c>
      <c r="D272" s="146" t="s">
        <v>2125</v>
      </c>
      <c r="E272" s="146" t="s">
        <v>1053</v>
      </c>
      <c r="F272" s="146"/>
      <c r="G272" s="146" t="s">
        <v>1000</v>
      </c>
      <c r="H272" s="146"/>
      <c r="I272" s="146"/>
    </row>
    <row r="273" spans="1:9">
      <c r="A273" s="142">
        <f t="shared" si="10"/>
        <v>265</v>
      </c>
      <c r="B273" s="144" t="s">
        <v>1157</v>
      </c>
      <c r="C273" s="144" t="str">
        <f t="shared" si="9"/>
        <v>Large vaccine carrier (PQS)</v>
      </c>
      <c r="D273" s="146" t="s">
        <v>2126</v>
      </c>
      <c r="E273" s="146" t="s">
        <v>31</v>
      </c>
      <c r="F273" s="146"/>
      <c r="G273" s="146" t="s">
        <v>1001</v>
      </c>
      <c r="H273" s="146"/>
      <c r="I273" s="146"/>
    </row>
    <row r="274" spans="1:9">
      <c r="A274" s="142">
        <f t="shared" si="10"/>
        <v>266</v>
      </c>
      <c r="B274" s="144" t="s">
        <v>1157</v>
      </c>
      <c r="C274" s="144" t="str">
        <f t="shared" si="9"/>
        <v>Small vaccine carrier (PQS)</v>
      </c>
      <c r="D274" s="146" t="s">
        <v>2029</v>
      </c>
      <c r="E274" s="146" t="s">
        <v>32</v>
      </c>
      <c r="F274" s="146"/>
      <c r="G274" s="146" t="s">
        <v>1002</v>
      </c>
      <c r="H274" s="146"/>
      <c r="I274" s="146"/>
    </row>
    <row r="275" spans="1:9">
      <c r="A275" s="142">
        <f t="shared" si="10"/>
        <v>267</v>
      </c>
      <c r="B275" s="144" t="s">
        <v>1157</v>
      </c>
      <c r="C275" s="144" t="str">
        <f t="shared" si="9"/>
        <v>Other vaccine shipment containers</v>
      </c>
      <c r="D275" s="146" t="s">
        <v>746</v>
      </c>
      <c r="E275" s="146" t="s">
        <v>33</v>
      </c>
      <c r="F275" s="146"/>
      <c r="G275" s="146" t="s">
        <v>1726</v>
      </c>
      <c r="H275" s="146"/>
      <c r="I275" s="146"/>
    </row>
    <row r="276" spans="1:9">
      <c r="A276" s="142">
        <f t="shared" si="10"/>
        <v>268</v>
      </c>
      <c r="B276" s="144" t="s">
        <v>1157</v>
      </c>
      <c r="C276" s="144" t="str">
        <f t="shared" si="9"/>
        <v>Container_1</v>
      </c>
      <c r="D276" s="146" t="s">
        <v>743</v>
      </c>
      <c r="E276" s="146" t="s">
        <v>34</v>
      </c>
      <c r="F276" s="146"/>
      <c r="G276" s="146" t="s">
        <v>1727</v>
      </c>
      <c r="H276" s="146"/>
      <c r="I276" s="146"/>
    </row>
    <row r="277" spans="1:9">
      <c r="A277" s="142">
        <f t="shared" si="10"/>
        <v>269</v>
      </c>
      <c r="B277" s="144" t="s">
        <v>1157</v>
      </c>
      <c r="C277" s="144" t="str">
        <f t="shared" si="9"/>
        <v>Container_2</v>
      </c>
      <c r="D277" s="146" t="s">
        <v>744</v>
      </c>
      <c r="E277" s="146" t="s">
        <v>35</v>
      </c>
      <c r="F277" s="146"/>
      <c r="G277" s="146" t="s">
        <v>1728</v>
      </c>
      <c r="H277" s="146"/>
      <c r="I277" s="146"/>
    </row>
    <row r="278" spans="1:9">
      <c r="A278" s="142">
        <f t="shared" si="10"/>
        <v>270</v>
      </c>
      <c r="B278" s="144" t="s">
        <v>1157</v>
      </c>
      <c r="C278" s="144" t="str">
        <f t="shared" si="9"/>
        <v>Container_3</v>
      </c>
      <c r="D278" s="146" t="s">
        <v>745</v>
      </c>
      <c r="E278" s="146" t="s">
        <v>36</v>
      </c>
      <c r="F278" s="146"/>
      <c r="G278" s="146" t="s">
        <v>1653</v>
      </c>
      <c r="H278" s="146"/>
      <c r="I278" s="146"/>
    </row>
    <row r="279" spans="1:9">
      <c r="A279" s="142">
        <f t="shared" si="10"/>
        <v>271</v>
      </c>
      <c r="B279" s="144" t="s">
        <v>1157</v>
      </c>
      <c r="C279" s="144" t="str">
        <f t="shared" si="9"/>
        <v>CB_large</v>
      </c>
      <c r="D279" s="146" t="s">
        <v>674</v>
      </c>
      <c r="E279" s="146" t="s">
        <v>37</v>
      </c>
      <c r="F279" s="146"/>
      <c r="G279" s="146" t="s">
        <v>1654</v>
      </c>
      <c r="H279" s="146"/>
      <c r="I279" s="146"/>
    </row>
    <row r="280" spans="1:9">
      <c r="A280" s="142">
        <f t="shared" si="10"/>
        <v>272</v>
      </c>
      <c r="B280" s="144" t="s">
        <v>1157</v>
      </c>
      <c r="C280" s="144" t="str">
        <f t="shared" si="9"/>
        <v>CB_small</v>
      </c>
      <c r="D280" s="146" t="s">
        <v>675</v>
      </c>
      <c r="E280" s="146" t="s">
        <v>38</v>
      </c>
      <c r="F280" s="146"/>
      <c r="G280" s="146" t="s">
        <v>1655</v>
      </c>
      <c r="H280" s="146"/>
      <c r="I280" s="146"/>
    </row>
    <row r="281" spans="1:9">
      <c r="A281" s="142">
        <f t="shared" si="10"/>
        <v>273</v>
      </c>
      <c r="B281" s="144" t="s">
        <v>1157</v>
      </c>
      <c r="C281" s="144" t="str">
        <f t="shared" si="9"/>
        <v>VC_large</v>
      </c>
      <c r="D281" s="146" t="s">
        <v>676</v>
      </c>
      <c r="E281" s="146" t="s">
        <v>39</v>
      </c>
      <c r="F281" s="146"/>
      <c r="G281" s="146" t="s">
        <v>1656</v>
      </c>
      <c r="H281" s="146"/>
      <c r="I281" s="146"/>
    </row>
    <row r="282" spans="1:9">
      <c r="A282" s="142">
        <f t="shared" si="10"/>
        <v>274</v>
      </c>
      <c r="B282" s="144" t="s">
        <v>1157</v>
      </c>
      <c r="C282" s="144" t="str">
        <f t="shared" ref="C282:C348" si="11">HLOOKUP($D$1,$D$9:$I$432,$A282,FALSE)</f>
        <v>VC_small</v>
      </c>
      <c r="D282" s="146" t="s">
        <v>677</v>
      </c>
      <c r="E282" s="146" t="s">
        <v>40</v>
      </c>
      <c r="F282" s="146"/>
      <c r="G282" s="146" t="s">
        <v>292</v>
      </c>
      <c r="H282" s="146"/>
      <c r="I282" s="146"/>
    </row>
    <row r="283" spans="1:9">
      <c r="A283" s="142">
        <f t="shared" si="10"/>
        <v>275</v>
      </c>
      <c r="B283" s="144" t="s">
        <v>1157</v>
      </c>
      <c r="C283" s="144" t="str">
        <f t="shared" si="11"/>
        <v>Container_1</v>
      </c>
      <c r="D283" s="146" t="s">
        <v>743</v>
      </c>
      <c r="E283" s="146" t="s">
        <v>41</v>
      </c>
      <c r="F283" s="146"/>
      <c r="G283" s="146"/>
      <c r="H283" s="146"/>
      <c r="I283" s="146"/>
    </row>
    <row r="284" spans="1:9">
      <c r="A284" s="142">
        <f t="shared" si="10"/>
        <v>276</v>
      </c>
      <c r="B284" s="144" t="s">
        <v>1157</v>
      </c>
      <c r="C284" s="144" t="str">
        <f t="shared" si="11"/>
        <v>Container_2</v>
      </c>
      <c r="D284" s="146" t="s">
        <v>744</v>
      </c>
      <c r="E284" s="146" t="s">
        <v>42</v>
      </c>
      <c r="F284" s="146"/>
      <c r="G284" s="146"/>
      <c r="H284" s="146"/>
      <c r="I284" s="146"/>
    </row>
    <row r="285" spans="1:9">
      <c r="A285" s="142">
        <f t="shared" si="10"/>
        <v>277</v>
      </c>
      <c r="B285" s="144" t="s">
        <v>1157</v>
      </c>
      <c r="C285" s="144" t="str">
        <f t="shared" si="11"/>
        <v>Container_3</v>
      </c>
      <c r="D285" s="146" t="s">
        <v>745</v>
      </c>
      <c r="E285" s="146" t="s">
        <v>43</v>
      </c>
      <c r="F285" s="146"/>
      <c r="G285" s="146"/>
      <c r="H285" s="146"/>
      <c r="I285" s="146"/>
    </row>
    <row r="286" spans="1:9" ht="23.4">
      <c r="A286" s="142">
        <f t="shared" si="10"/>
        <v>278</v>
      </c>
      <c r="B286" s="143" t="s">
        <v>1157</v>
      </c>
      <c r="C286" s="143" t="str">
        <f t="shared" si="11"/>
        <v>Table 6: Purchase and running cost of cold chain equipment</v>
      </c>
      <c r="D286" s="195" t="s">
        <v>1156</v>
      </c>
      <c r="E286" s="195" t="s">
        <v>1155</v>
      </c>
      <c r="F286" s="195"/>
      <c r="G286" s="195"/>
      <c r="H286" s="195"/>
      <c r="I286" s="195"/>
    </row>
    <row r="287" spans="1:9">
      <c r="A287" s="142">
        <f t="shared" si="10"/>
        <v>279</v>
      </c>
      <c r="B287" s="144" t="s">
        <v>1157</v>
      </c>
      <c r="C287" s="144" t="str">
        <f t="shared" si="11"/>
        <v>Refrigerators/Freezers</v>
      </c>
      <c r="D287" s="146" t="s">
        <v>409</v>
      </c>
      <c r="E287" s="146" t="s">
        <v>1444</v>
      </c>
      <c r="F287" s="146"/>
      <c r="G287" s="146"/>
      <c r="H287" s="146"/>
      <c r="I287" s="146"/>
    </row>
    <row r="288" spans="1:9">
      <c r="A288" s="142">
        <f t="shared" si="10"/>
        <v>280</v>
      </c>
      <c r="B288" s="144" t="s">
        <v>1157</v>
      </c>
      <c r="C288" s="144" t="str">
        <f t="shared" si="11"/>
        <v>Type refrigerator</v>
      </c>
      <c r="D288" s="146" t="s">
        <v>1445</v>
      </c>
      <c r="E288" s="146" t="s">
        <v>1443</v>
      </c>
      <c r="F288" s="146"/>
      <c r="G288" s="146"/>
      <c r="H288" s="146"/>
      <c r="I288" s="146"/>
    </row>
    <row r="289" spans="1:9">
      <c r="A289" s="142">
        <f t="shared" si="10"/>
        <v>281</v>
      </c>
      <c r="B289" s="144" t="s">
        <v>1157</v>
      </c>
      <c r="C289" s="144" t="str">
        <f t="shared" si="11"/>
        <v>Storage capacity (litres)</v>
      </c>
      <c r="D289" s="146" t="s">
        <v>44</v>
      </c>
      <c r="E289" s="146" t="s">
        <v>1442</v>
      </c>
      <c r="F289" s="146"/>
      <c r="G289" s="146"/>
      <c r="H289" s="146"/>
      <c r="I289" s="146"/>
    </row>
    <row r="290" spans="1:9">
      <c r="A290" s="142">
        <f t="shared" si="10"/>
        <v>282</v>
      </c>
      <c r="B290" s="144" t="s">
        <v>1157</v>
      </c>
      <c r="C290" s="144" t="str">
        <f t="shared" si="11"/>
        <v>Annual energy consumption</v>
      </c>
      <c r="D290" s="146" t="s">
        <v>7</v>
      </c>
      <c r="E290" s="146" t="s">
        <v>8</v>
      </c>
      <c r="F290" s="146"/>
      <c r="G290" s="146"/>
      <c r="H290" s="146"/>
      <c r="I290" s="146"/>
    </row>
    <row r="291" spans="1:9">
      <c r="A291" s="142">
        <f t="shared" si="10"/>
        <v>283</v>
      </c>
      <c r="B291" s="144" t="s">
        <v>1157</v>
      </c>
      <c r="C291" s="144" t="str">
        <f t="shared" si="11"/>
        <v>Spare parts</v>
      </c>
      <c r="D291" s="146" t="s">
        <v>1440</v>
      </c>
      <c r="E291" s="146" t="s">
        <v>1441</v>
      </c>
      <c r="F291" s="146"/>
      <c r="G291" s="146"/>
      <c r="H291" s="146"/>
      <c r="I291" s="146"/>
    </row>
    <row r="292" spans="1:9">
      <c r="A292" s="142">
        <f t="shared" si="10"/>
        <v>284</v>
      </c>
      <c r="B292" s="144" t="s">
        <v>1157</v>
      </c>
      <c r="C292" s="144" t="str">
        <f t="shared" si="11"/>
        <v>Purchase price</v>
      </c>
      <c r="D292" s="146" t="s">
        <v>1448</v>
      </c>
      <c r="E292" s="146" t="s">
        <v>1449</v>
      </c>
      <c r="F292" s="146"/>
      <c r="G292" s="146"/>
      <c r="H292" s="146"/>
      <c r="I292" s="146"/>
    </row>
    <row r="293" spans="1:9">
      <c r="A293" s="142">
        <f t="shared" si="10"/>
        <v>285</v>
      </c>
      <c r="B293" s="144" t="s">
        <v>1157</v>
      </c>
      <c r="C293" s="144" t="str">
        <f t="shared" si="11"/>
        <v>year</v>
      </c>
      <c r="D293" s="146" t="s">
        <v>1446</v>
      </c>
      <c r="E293" s="146" t="s">
        <v>1447</v>
      </c>
      <c r="F293" s="146"/>
      <c r="G293" s="146"/>
      <c r="H293" s="146"/>
      <c r="I293" s="146"/>
    </row>
    <row r="294" spans="1:9">
      <c r="A294" s="142">
        <f t="shared" si="10"/>
        <v>286</v>
      </c>
      <c r="B294" s="144" t="s">
        <v>1157</v>
      </c>
      <c r="C294" s="144" t="str">
        <f t="shared" si="11"/>
        <v>Annual cost for solar batteries &amp; regulator:</v>
      </c>
      <c r="D294" s="146" t="s">
        <v>897</v>
      </c>
      <c r="E294" s="146" t="s">
        <v>1271</v>
      </c>
      <c r="F294" s="146"/>
      <c r="G294" s="146"/>
      <c r="H294" s="146"/>
      <c r="I294" s="146"/>
    </row>
    <row r="295" spans="1:9">
      <c r="A295" s="142">
        <f t="shared" si="10"/>
        <v>287</v>
      </c>
      <c r="B295" s="144" t="s">
        <v>1157</v>
      </c>
      <c r="C295" s="144" t="str">
        <f t="shared" si="11"/>
        <v>Number of days running of equipment per year:</v>
      </c>
      <c r="D295" s="146" t="s">
        <v>894</v>
      </c>
      <c r="E295" s="146" t="s">
        <v>1270</v>
      </c>
      <c r="F295" s="146"/>
      <c r="G295" s="146"/>
      <c r="H295" s="146"/>
      <c r="I295" s="146"/>
    </row>
    <row r="296" spans="1:9">
      <c r="A296" s="142">
        <f t="shared" si="10"/>
        <v>288</v>
      </c>
      <c r="B296" s="144" t="s">
        <v>1157</v>
      </c>
      <c r="C296" s="144" t="str">
        <f t="shared" si="11"/>
        <v>days</v>
      </c>
      <c r="D296" s="146" t="s">
        <v>896</v>
      </c>
      <c r="E296" s="146" t="s">
        <v>1272</v>
      </c>
      <c r="F296" s="146"/>
      <c r="G296" s="146"/>
      <c r="H296" s="146"/>
      <c r="I296" s="146"/>
    </row>
    <row r="297" spans="1:9" ht="34.799999999999997">
      <c r="A297" s="142">
        <f t="shared" si="10"/>
        <v>289</v>
      </c>
      <c r="B297" s="144" t="s">
        <v>1157</v>
      </c>
      <c r="C297" s="144" t="str">
        <f t="shared" si="11"/>
        <v>Indicate as well data on the cost for transport, electricity and fuel.</v>
      </c>
      <c r="D297" s="146" t="s">
        <v>11</v>
      </c>
      <c r="E297" s="146" t="s">
        <v>380</v>
      </c>
      <c r="F297" s="146"/>
      <c r="G297" s="146" t="s">
        <v>64</v>
      </c>
      <c r="H297" s="146"/>
      <c r="I297" s="146"/>
    </row>
    <row r="298" spans="1:9">
      <c r="A298" s="142">
        <f t="shared" si="10"/>
        <v>290</v>
      </c>
      <c r="B298" s="144" t="s">
        <v>1157</v>
      </c>
      <c r="C298" s="144" t="str">
        <f t="shared" si="11"/>
        <v>Cost of electricity, $/kWh</v>
      </c>
      <c r="D298" s="146" t="s">
        <v>80</v>
      </c>
      <c r="E298" s="146" t="s">
        <v>393</v>
      </c>
      <c r="F298" s="146"/>
      <c r="G298" s="146" t="s">
        <v>1368</v>
      </c>
      <c r="H298" s="146"/>
      <c r="I298" s="146"/>
    </row>
    <row r="299" spans="1:9">
      <c r="A299" s="142">
        <f t="shared" si="10"/>
        <v>291</v>
      </c>
      <c r="B299" s="144" t="s">
        <v>1157</v>
      </c>
      <c r="C299" s="144" t="str">
        <f t="shared" si="11"/>
        <v>Cost of LPG, $/kg</v>
      </c>
      <c r="D299" s="171" t="s">
        <v>411</v>
      </c>
      <c r="E299" s="146" t="s">
        <v>394</v>
      </c>
      <c r="F299" s="146"/>
      <c r="G299" s="146" t="s">
        <v>1369</v>
      </c>
      <c r="H299" s="146"/>
      <c r="I299" s="146"/>
    </row>
    <row r="300" spans="1:9">
      <c r="A300" s="142">
        <f t="shared" si="10"/>
        <v>292</v>
      </c>
      <c r="B300" s="144" t="s">
        <v>1157</v>
      </c>
      <c r="C300" s="144" t="str">
        <f t="shared" si="11"/>
        <v>Cost of kerosene, $/litre</v>
      </c>
      <c r="D300" s="146" t="s">
        <v>895</v>
      </c>
      <c r="E300" s="146" t="s">
        <v>395</v>
      </c>
      <c r="F300" s="146"/>
      <c r="G300" s="146" t="s">
        <v>1370</v>
      </c>
      <c r="H300" s="146"/>
      <c r="I300" s="146"/>
    </row>
    <row r="301" spans="1:9">
      <c r="A301" s="142">
        <f t="shared" si="10"/>
        <v>293</v>
      </c>
      <c r="B301" s="144" t="s">
        <v>1157</v>
      </c>
      <c r="C301" s="144" t="str">
        <f t="shared" si="11"/>
        <v>Cost of diesel, $/litre</v>
      </c>
      <c r="D301" s="146" t="s">
        <v>81</v>
      </c>
      <c r="E301" s="146" t="s">
        <v>611</v>
      </c>
      <c r="F301" s="146"/>
      <c r="G301" s="146" t="s">
        <v>1371</v>
      </c>
      <c r="H301" s="146"/>
      <c r="I301" s="146"/>
    </row>
    <row r="302" spans="1:9">
      <c r="A302" s="142">
        <f t="shared" si="10"/>
        <v>294</v>
      </c>
      <c r="B302" s="144" t="s">
        <v>1157</v>
      </c>
      <c r="C302" s="144" t="str">
        <f t="shared" si="11"/>
        <v>Transport cost, $/ton.km</v>
      </c>
      <c r="D302" s="171" t="s">
        <v>2021</v>
      </c>
      <c r="E302" s="146" t="s">
        <v>612</v>
      </c>
      <c r="F302" s="146"/>
      <c r="G302" s="146" t="s">
        <v>1372</v>
      </c>
      <c r="H302" s="146"/>
      <c r="I302" s="146"/>
    </row>
    <row r="303" spans="1:9">
      <c r="A303" s="142">
        <f t="shared" si="10"/>
        <v>295</v>
      </c>
      <c r="B303" s="144" t="s">
        <v>1157</v>
      </c>
      <c r="C303" s="144" t="str">
        <f t="shared" si="11"/>
        <v>Transport cost, $/m³.km</v>
      </c>
      <c r="D303" s="171" t="s">
        <v>4</v>
      </c>
      <c r="E303" s="146" t="s">
        <v>5</v>
      </c>
      <c r="F303" s="146"/>
      <c r="G303" s="146" t="s">
        <v>6</v>
      </c>
      <c r="H303" s="146"/>
      <c r="I303" s="146"/>
    </row>
    <row r="304" spans="1:9">
      <c r="A304" s="142">
        <f t="shared" si="10"/>
        <v>296</v>
      </c>
      <c r="B304" s="143" t="s">
        <v>1531</v>
      </c>
      <c r="C304" s="143" t="str">
        <f t="shared" si="11"/>
        <v>Translation</v>
      </c>
      <c r="D304" s="195" t="s">
        <v>1531</v>
      </c>
      <c r="E304" s="195" t="s">
        <v>1723</v>
      </c>
      <c r="F304" s="195"/>
      <c r="G304" s="196" t="s">
        <v>15</v>
      </c>
      <c r="H304" s="195"/>
      <c r="I304" s="195"/>
    </row>
    <row r="305" spans="1:9">
      <c r="A305" s="142">
        <f t="shared" si="10"/>
        <v>297</v>
      </c>
      <c r="B305" s="144" t="s">
        <v>1531</v>
      </c>
      <c r="C305" s="144" t="str">
        <f t="shared" si="11"/>
        <v>Current language:</v>
      </c>
      <c r="D305" s="146" t="s">
        <v>1724</v>
      </c>
      <c r="E305" s="146" t="s">
        <v>1539</v>
      </c>
      <c r="F305" s="146"/>
      <c r="G305" s="197" t="s">
        <v>15</v>
      </c>
      <c r="H305" s="146"/>
      <c r="I305" s="146"/>
    </row>
    <row r="306" spans="1:9">
      <c r="A306" s="142">
        <f t="shared" si="10"/>
        <v>298</v>
      </c>
      <c r="B306" s="144" t="s">
        <v>1531</v>
      </c>
      <c r="C306" s="144" t="str">
        <f t="shared" si="11"/>
        <v xml:space="preserve">Notes for translators: </v>
      </c>
      <c r="D306" s="146" t="s">
        <v>1725</v>
      </c>
      <c r="E306" s="146" t="s">
        <v>391</v>
      </c>
      <c r="F306" s="146"/>
      <c r="G306" s="197" t="s">
        <v>15</v>
      </c>
      <c r="H306" s="146"/>
      <c r="I306" s="146"/>
    </row>
    <row r="307" spans="1:9" ht="34.799999999999997">
      <c r="A307" s="142">
        <f t="shared" si="10"/>
        <v>299</v>
      </c>
      <c r="B307" s="144" t="s">
        <v>1531</v>
      </c>
      <c r="C307" s="144" t="str">
        <f t="shared" si="11"/>
        <v>1) Non-English translations should not contain more characters than the English language text. Use appropriate abbreviations to achieve this.</v>
      </c>
      <c r="D307" s="146" t="s">
        <v>1820</v>
      </c>
      <c r="E307" s="146" t="s">
        <v>658</v>
      </c>
      <c r="F307" s="146"/>
      <c r="G307" s="197" t="s">
        <v>15</v>
      </c>
      <c r="H307" s="146"/>
      <c r="I307" s="146"/>
    </row>
    <row r="308" spans="1:9" ht="34.799999999999997">
      <c r="A308" s="142">
        <f t="shared" si="10"/>
        <v>300</v>
      </c>
      <c r="B308" s="144" t="s">
        <v>1531</v>
      </c>
      <c r="C308" s="144" t="str">
        <f t="shared" si="11"/>
        <v xml:space="preserve">2) Follow English language formats.  For example 'E V M   A S S I S T A N T' should be translated with similar spaces between letters and words.  </v>
      </c>
      <c r="D308" s="146" t="s">
        <v>659</v>
      </c>
      <c r="E308" s="146" t="s">
        <v>392</v>
      </c>
      <c r="F308" s="146"/>
      <c r="G308" s="197" t="s">
        <v>15</v>
      </c>
      <c r="H308" s="146"/>
      <c r="I308" s="146"/>
    </row>
    <row r="309" spans="1:9" ht="23.4">
      <c r="A309" s="142">
        <f t="shared" si="10"/>
        <v>301</v>
      </c>
      <c r="B309" s="144" t="s">
        <v>1531</v>
      </c>
      <c r="C309" s="144" t="str">
        <f t="shared" si="11"/>
        <v>3) Where indentation or hard carriage returns are used, follow the English language format.</v>
      </c>
      <c r="D309" s="146" t="s">
        <v>660</v>
      </c>
      <c r="E309" s="146" t="s">
        <v>661</v>
      </c>
      <c r="F309" s="146"/>
      <c r="G309" s="197" t="s">
        <v>15</v>
      </c>
      <c r="H309" s="146"/>
      <c r="I309" s="146"/>
    </row>
    <row r="310" spans="1:9" ht="46.2">
      <c r="A310" s="142">
        <f t="shared" si="10"/>
        <v>302</v>
      </c>
      <c r="B310" s="144" t="s">
        <v>1531</v>
      </c>
      <c r="C310" s="144" t="str">
        <f t="shared" si="11"/>
        <v xml:space="preserve">4) The translations below are grouped by worksheet name in their alphabetical order.  This order is not the same as the order of worksheets in the workbook.  DO NOT attempt to reorder the layout. </v>
      </c>
      <c r="D310" s="146" t="s">
        <v>20</v>
      </c>
      <c r="E310" s="146" t="s">
        <v>21</v>
      </c>
      <c r="F310" s="146"/>
      <c r="G310" s="197" t="s">
        <v>15</v>
      </c>
      <c r="H310" s="146"/>
      <c r="I310" s="146"/>
    </row>
    <row r="311" spans="1:9" ht="23.4">
      <c r="A311" s="142">
        <f t="shared" si="10"/>
        <v>303</v>
      </c>
      <c r="B311" s="143" t="s">
        <v>1806</v>
      </c>
      <c r="C311" s="143" t="str">
        <f t="shared" si="11"/>
        <v>Vaccine storage volumes</v>
      </c>
      <c r="D311" s="195" t="s">
        <v>24</v>
      </c>
      <c r="E311" s="195" t="s">
        <v>1070</v>
      </c>
      <c r="F311" s="195"/>
      <c r="G311" s="195" t="s">
        <v>695</v>
      </c>
      <c r="H311" s="195"/>
      <c r="I311" s="195"/>
    </row>
    <row r="312" spans="1:9">
      <c r="A312" s="142">
        <f t="shared" si="10"/>
        <v>304</v>
      </c>
      <c r="B312" s="144" t="s">
        <v>1806</v>
      </c>
      <c r="C312" s="144" t="str">
        <f t="shared" si="11"/>
        <v xml:space="preserve">Follow the instructions below. </v>
      </c>
      <c r="D312" s="146" t="s">
        <v>2076</v>
      </c>
      <c r="E312" s="146" t="s">
        <v>615</v>
      </c>
      <c r="F312" s="146"/>
      <c r="G312" s="146"/>
      <c r="H312" s="146"/>
      <c r="I312" s="146"/>
    </row>
    <row r="313" spans="1:9">
      <c r="A313" s="142">
        <f t="shared" si="10"/>
        <v>305</v>
      </c>
      <c r="B313" s="144" t="s">
        <v>1806</v>
      </c>
      <c r="C313" s="144" t="str">
        <f t="shared" si="11"/>
        <v>Index</v>
      </c>
      <c r="D313" s="146" t="s">
        <v>1536</v>
      </c>
      <c r="E313" s="146" t="s">
        <v>1536</v>
      </c>
      <c r="F313" s="146"/>
      <c r="G313" s="146"/>
      <c r="H313" s="146"/>
      <c r="I313" s="146"/>
    </row>
    <row r="314" spans="1:9">
      <c r="A314" s="142">
        <f t="shared" si="10"/>
        <v>306</v>
      </c>
      <c r="B314" s="144" t="s">
        <v>1806</v>
      </c>
      <c r="C314" s="281" t="str">
        <f t="shared" si="11"/>
        <v>FIC</v>
      </c>
      <c r="D314" s="146" t="s">
        <v>1104</v>
      </c>
      <c r="E314" s="146" t="s">
        <v>1105</v>
      </c>
      <c r="G314" s="146" t="s">
        <v>253</v>
      </c>
      <c r="H314" s="146"/>
      <c r="I314" s="146"/>
    </row>
    <row r="315" spans="1:9">
      <c r="A315" s="142">
        <f t="shared" si="10"/>
        <v>307</v>
      </c>
      <c r="B315" s="144" t="s">
        <v>1806</v>
      </c>
      <c r="C315" s="281" t="str">
        <f t="shared" si="11"/>
        <v xml:space="preserve">Unit of Population </v>
      </c>
      <c r="D315" s="146" t="s">
        <v>1107</v>
      </c>
      <c r="E315" s="5" t="s">
        <v>1103</v>
      </c>
      <c r="G315" s="146"/>
      <c r="H315" s="146"/>
      <c r="I315" s="146"/>
    </row>
    <row r="316" spans="1:9" ht="34.799999999999997">
      <c r="A316" s="142">
        <f t="shared" si="10"/>
        <v>308</v>
      </c>
      <c r="B316" s="144" t="s">
        <v>1806</v>
      </c>
      <c r="C316" s="144" t="str">
        <f t="shared" si="11"/>
        <v xml:space="preserve">     Choose 'FIC' (Fully Immunized Child) or choose 'Unit of Population' (UP) for an analysis based on percentage of total population receiving each vaccine.</v>
      </c>
      <c r="D316" s="171" t="s">
        <v>1108</v>
      </c>
      <c r="E316" s="171" t="s">
        <v>1106</v>
      </c>
      <c r="F316" s="146"/>
      <c r="G316" s="146"/>
      <c r="H316" s="146"/>
      <c r="I316" s="146"/>
    </row>
    <row r="317" spans="1:9">
      <c r="A317" s="142">
        <f t="shared" si="10"/>
        <v>309</v>
      </c>
      <c r="B317" s="144" t="s">
        <v>1806</v>
      </c>
      <c r="C317" s="144" t="str">
        <f t="shared" si="11"/>
        <v>STEP 1: Choose vaccine filter:</v>
      </c>
      <c r="D317" s="146" t="s">
        <v>1978</v>
      </c>
      <c r="E317" s="795" t="s">
        <v>2212</v>
      </c>
      <c r="F317" s="146"/>
      <c r="G317" s="146"/>
      <c r="H317" s="146"/>
      <c r="I317" s="146"/>
    </row>
    <row r="318" spans="1:9" ht="46.2">
      <c r="A318" s="142">
        <f t="shared" si="10"/>
        <v>310</v>
      </c>
      <c r="B318" s="144" t="s">
        <v>1806</v>
      </c>
      <c r="C318" s="144" t="str">
        <f t="shared" si="11"/>
        <v>STEP 2: Choose applicable vaccine types and presentations from the vaccine database.  Optionally, enter volume/dose data for vaccine types that are not in the database.</v>
      </c>
      <c r="D318" s="146" t="s">
        <v>1979</v>
      </c>
      <c r="E318" s="146" t="s">
        <v>1980</v>
      </c>
      <c r="F318" s="146"/>
      <c r="G318" s="146"/>
      <c r="H318" s="146"/>
      <c r="I318" s="146"/>
    </row>
    <row r="319" spans="1:9" ht="34.799999999999997">
      <c r="A319" s="142">
        <f t="shared" si="10"/>
        <v>311</v>
      </c>
      <c r="B319" s="144" t="s">
        <v>1806</v>
      </c>
      <c r="C319" s="144" t="str">
        <f t="shared" si="11"/>
        <v>STEP 3: Indicate country-specific wastage rates for each vaccine. If there no national data, WHO/GAVI indicative rates will apply.</v>
      </c>
      <c r="D319" s="146" t="s">
        <v>1981</v>
      </c>
      <c r="E319" s="146" t="s">
        <v>1982</v>
      </c>
      <c r="F319" s="146"/>
      <c r="G319" s="146"/>
      <c r="H319" s="146"/>
      <c r="I319" s="146"/>
    </row>
    <row r="320" spans="1:9">
      <c r="A320" s="142">
        <f t="shared" si="10"/>
        <v>312</v>
      </c>
      <c r="B320" s="144" t="s">
        <v>1806</v>
      </c>
      <c r="C320" s="144" t="str">
        <f t="shared" si="11"/>
        <v xml:space="preserve">STEP 4: Choose target group type: </v>
      </c>
      <c r="D320" s="146" t="s">
        <v>1113</v>
      </c>
      <c r="E320" s="146" t="s">
        <v>1114</v>
      </c>
      <c r="F320" s="146"/>
      <c r="G320" s="146"/>
      <c r="H320" s="146"/>
      <c r="I320" s="146"/>
    </row>
    <row r="321" spans="1:9" ht="46.2">
      <c r="A321" s="142">
        <f t="shared" si="10"/>
        <v>313</v>
      </c>
      <c r="B321" s="144" t="s">
        <v>1806</v>
      </c>
      <c r="C321" s="144" t="str">
        <f t="shared" si="11"/>
        <v>STEP 5: If you chosen 'Unit of Population' in step 5, enter the Unit of Population % for each vaccine in cells L18 to L37. Otherwise go to STEP 6.</v>
      </c>
      <c r="D321" s="146" t="s">
        <v>1111</v>
      </c>
      <c r="E321" s="146" t="s">
        <v>1112</v>
      </c>
      <c r="F321" s="146"/>
      <c r="G321" s="146"/>
      <c r="H321" s="146"/>
      <c r="I321" s="146"/>
    </row>
    <row r="322" spans="1:9" ht="69">
      <c r="A322" s="142">
        <f t="shared" si="10"/>
        <v>314</v>
      </c>
      <c r="B322" s="144" t="s">
        <v>1806</v>
      </c>
      <c r="C322" s="144" t="str">
        <f t="shared" si="11"/>
        <v>STEP 6: In column M, enter the number of doses per recipient for vaccines in the current schedule. Optionally use columns N to Q for alternative schedules.  In cells N17 to Q17 enter a title for each schedule.</v>
      </c>
      <c r="D322" s="146" t="s">
        <v>787</v>
      </c>
      <c r="E322" s="146" t="s">
        <v>475</v>
      </c>
      <c r="F322" s="146"/>
      <c r="G322" s="146"/>
      <c r="H322" s="146"/>
      <c r="I322" s="146"/>
    </row>
    <row r="323" spans="1:9" ht="46.2">
      <c r="A323" s="142">
        <f t="shared" si="10"/>
        <v>315</v>
      </c>
      <c r="B323" s="144" t="s">
        <v>1806</v>
      </c>
      <c r="C323" s="144" t="str">
        <f t="shared" si="11"/>
        <v>STEP 7: Use columns S to U to enter the number of doses per recipient for planned mass vaccination campaigns.  In cells S17 to U17 enter a title for each schedule.</v>
      </c>
      <c r="D323" s="146" t="s">
        <v>786</v>
      </c>
      <c r="E323" s="146" t="s">
        <v>476</v>
      </c>
      <c r="F323" s="146"/>
      <c r="G323" s="146"/>
      <c r="H323" s="146"/>
      <c r="I323" s="146"/>
    </row>
    <row r="324" spans="1:9" ht="34.799999999999997">
      <c r="A324" s="142">
        <f t="shared" si="10"/>
        <v>316</v>
      </c>
      <c r="B324" s="144" t="s">
        <v>1806</v>
      </c>
      <c r="C324" s="144" t="str">
        <f t="shared" si="11"/>
        <v>STEP 8: For each vaccine, enter the maximum supply interval and the safety stock level at the primary store.</v>
      </c>
      <c r="D324" s="146" t="s">
        <v>1983</v>
      </c>
      <c r="E324" s="146" t="s">
        <v>1984</v>
      </c>
      <c r="F324" s="146"/>
      <c r="G324" s="146"/>
      <c r="H324" s="146"/>
      <c r="I324" s="146"/>
    </row>
    <row r="325" spans="1:9">
      <c r="A325" s="142">
        <f t="shared" si="10"/>
        <v>317</v>
      </c>
      <c r="B325" s="144" t="s">
        <v>1806</v>
      </c>
      <c r="C325" s="144" t="str">
        <f t="shared" si="11"/>
        <v>Min</v>
      </c>
      <c r="D325" s="146" t="s">
        <v>272</v>
      </c>
      <c r="E325" s="146" t="s">
        <v>1394</v>
      </c>
      <c r="F325" s="146"/>
      <c r="G325" s="146"/>
      <c r="H325" s="146"/>
      <c r="I325" s="146"/>
    </row>
    <row r="326" spans="1:9">
      <c r="A326" s="142">
        <f t="shared" si="10"/>
        <v>318</v>
      </c>
      <c r="B326" s="144" t="s">
        <v>1806</v>
      </c>
      <c r="C326" s="144" t="str">
        <f t="shared" si="11"/>
        <v>Max</v>
      </c>
      <c r="D326" s="146" t="s">
        <v>273</v>
      </c>
      <c r="E326" s="146" t="s">
        <v>1395</v>
      </c>
      <c r="F326" s="146"/>
      <c r="G326" s="146"/>
      <c r="H326" s="146"/>
      <c r="I326" s="146"/>
    </row>
    <row r="327" spans="1:9">
      <c r="A327" s="142">
        <f t="shared" si="10"/>
        <v>319</v>
      </c>
      <c r="B327" s="144" t="s">
        <v>1806</v>
      </c>
      <c r="C327" s="144" t="str">
        <f t="shared" si="11"/>
        <v>Average</v>
      </c>
      <c r="D327" s="146" t="s">
        <v>1396</v>
      </c>
      <c r="E327" s="146" t="s">
        <v>1397</v>
      </c>
      <c r="F327" s="146"/>
      <c r="G327" s="146"/>
      <c r="H327" s="146"/>
      <c r="I327" s="146"/>
    </row>
    <row r="328" spans="1:9" ht="69">
      <c r="A328" s="142">
        <f t="shared" si="10"/>
        <v>320</v>
      </c>
      <c r="B328" s="144" t="s">
        <v>1806</v>
      </c>
      <c r="C328" s="144" t="str">
        <f t="shared" si="11"/>
        <v xml:space="preserve">    WARNING: The packed volume for each vaccine presentation differs between manufacturers. Select 'Min/Max/Average' depending upon whether you want to use the minimum, maximum or 
     average packed volume per vaccine presentation from the vaccine database.</v>
      </c>
      <c r="D328" s="171" t="s">
        <v>271</v>
      </c>
      <c r="E328" s="795" t="s">
        <v>2211</v>
      </c>
      <c r="F328" s="146"/>
      <c r="G328" s="146"/>
      <c r="H328" s="146"/>
      <c r="I328" s="146"/>
    </row>
    <row r="329" spans="1:9" ht="23.4">
      <c r="A329" s="142">
        <f t="shared" si="10"/>
        <v>321</v>
      </c>
      <c r="B329" s="144" t="s">
        <v>1806</v>
      </c>
      <c r="C329" s="144" t="str">
        <f t="shared" si="11"/>
        <v>Characteristics of vaccines selected for use</v>
      </c>
      <c r="D329" s="146" t="s">
        <v>22</v>
      </c>
      <c r="E329" s="146" t="s">
        <v>222</v>
      </c>
      <c r="F329" s="146"/>
      <c r="G329" s="146" t="s">
        <v>254</v>
      </c>
      <c r="H329" s="146"/>
      <c r="I329" s="146"/>
    </row>
    <row r="330" spans="1:9">
      <c r="A330" s="142">
        <f t="shared" si="10"/>
        <v>322</v>
      </c>
      <c r="B330" s="144" t="s">
        <v>1806</v>
      </c>
      <c r="C330" s="144" t="str">
        <f t="shared" si="11"/>
        <v>Vaccine</v>
      </c>
      <c r="D330" s="146" t="s">
        <v>2043</v>
      </c>
      <c r="E330" s="146" t="s">
        <v>1415</v>
      </c>
      <c r="F330" s="146"/>
      <c r="G330" s="146" t="s">
        <v>255</v>
      </c>
      <c r="H330" s="146"/>
      <c r="I330" s="146"/>
    </row>
    <row r="331" spans="1:9">
      <c r="A331" s="142">
        <f t="shared" si="10"/>
        <v>323</v>
      </c>
      <c r="B331" s="144" t="s">
        <v>1806</v>
      </c>
      <c r="C331" s="144" t="str">
        <f t="shared" si="11"/>
        <v>Presentation</v>
      </c>
      <c r="D331" s="146" t="s">
        <v>1732</v>
      </c>
      <c r="E331" s="146" t="s">
        <v>1416</v>
      </c>
      <c r="F331" s="146"/>
      <c r="G331" s="146" t="s">
        <v>264</v>
      </c>
      <c r="H331" s="146"/>
      <c r="I331" s="146"/>
    </row>
    <row r="332" spans="1:9">
      <c r="A332" s="142">
        <f t="shared" si="10"/>
        <v>324</v>
      </c>
      <c r="B332" s="144" t="s">
        <v>1806</v>
      </c>
      <c r="C332" s="144" t="str">
        <f t="shared" si="11"/>
        <v>Choose from dropdown list</v>
      </c>
      <c r="D332" s="146" t="s">
        <v>23</v>
      </c>
      <c r="E332" s="146" t="s">
        <v>662</v>
      </c>
      <c r="F332" s="146"/>
      <c r="G332" s="146"/>
      <c r="H332" s="146"/>
      <c r="I332" s="146"/>
    </row>
    <row r="333" spans="1:9">
      <c r="A333" s="142">
        <f t="shared" si="10"/>
        <v>325</v>
      </c>
      <c r="B333" s="144" t="s">
        <v>1806</v>
      </c>
      <c r="C333" s="144" t="str">
        <f t="shared" si="11"/>
        <v>National figures</v>
      </c>
      <c r="D333" s="146" t="s">
        <v>1973</v>
      </c>
      <c r="E333" s="146" t="s">
        <v>1974</v>
      </c>
      <c r="F333" s="146"/>
      <c r="G333" s="146" t="s">
        <v>261</v>
      </c>
      <c r="H333" s="146"/>
      <c r="I333" s="146"/>
    </row>
    <row r="334" spans="1:9">
      <c r="A334" s="142">
        <f t="shared" si="10"/>
        <v>326</v>
      </c>
      <c r="B334" s="144" t="s">
        <v>1806</v>
      </c>
      <c r="C334" s="144" t="str">
        <f t="shared" si="11"/>
        <v>(cm³/dose)</v>
      </c>
      <c r="D334" s="146" t="s">
        <v>416</v>
      </c>
      <c r="E334" s="146" t="s">
        <v>416</v>
      </c>
      <c r="F334" s="146"/>
      <c r="G334" s="146" t="s">
        <v>262</v>
      </c>
      <c r="H334" s="146"/>
      <c r="I334" s="146"/>
    </row>
    <row r="335" spans="1:9">
      <c r="A335" s="142">
        <f t="shared" ref="A335:A398" si="12">A334+1</f>
        <v>327</v>
      </c>
      <c r="B335" s="144" t="s">
        <v>1806</v>
      </c>
      <c r="C335" s="144" t="str">
        <f t="shared" si="11"/>
        <v>from data base</v>
      </c>
      <c r="D335" s="146" t="s">
        <v>417</v>
      </c>
      <c r="E335" s="146" t="s">
        <v>1975</v>
      </c>
      <c r="F335" s="146"/>
      <c r="G335" s="197" t="s">
        <v>66</v>
      </c>
      <c r="H335" s="146"/>
      <c r="I335" s="146"/>
    </row>
    <row r="336" spans="1:9">
      <c r="A336" s="142">
        <f t="shared" si="12"/>
        <v>328</v>
      </c>
      <c r="B336" s="144" t="s">
        <v>1806</v>
      </c>
      <c r="C336" s="144" t="str">
        <f t="shared" si="11"/>
        <v>Vaccine volume (cm³/dose)</v>
      </c>
      <c r="D336" s="146" t="s">
        <v>1969</v>
      </c>
      <c r="E336" s="191" t="s">
        <v>1970</v>
      </c>
      <c r="F336" s="146"/>
      <c r="G336" s="146" t="s">
        <v>256</v>
      </c>
      <c r="H336" s="146"/>
      <c r="I336" s="146"/>
    </row>
    <row r="337" spans="1:9">
      <c r="A337" s="142">
        <f t="shared" si="12"/>
        <v>329</v>
      </c>
      <c r="B337" s="144" t="s">
        <v>1806</v>
      </c>
      <c r="C337" s="144" t="str">
        <f t="shared" si="11"/>
        <v>Diluent volume (cm³/dose)</v>
      </c>
      <c r="D337" s="146" t="s">
        <v>1971</v>
      </c>
      <c r="E337" s="146" t="s">
        <v>1972</v>
      </c>
      <c r="F337" s="146"/>
      <c r="G337" s="146" t="s">
        <v>257</v>
      </c>
      <c r="H337" s="146"/>
      <c r="I337" s="146"/>
    </row>
    <row r="338" spans="1:9">
      <c r="A338" s="142">
        <f t="shared" si="12"/>
        <v>330</v>
      </c>
      <c r="B338" s="144" t="s">
        <v>1806</v>
      </c>
      <c r="C338" s="144" t="str">
        <f t="shared" si="11"/>
        <v>Price</v>
      </c>
      <c r="D338" s="146" t="s">
        <v>1094</v>
      </c>
      <c r="E338" s="146" t="s">
        <v>1863</v>
      </c>
      <c r="F338" s="146"/>
      <c r="G338" s="197" t="s">
        <v>258</v>
      </c>
      <c r="H338" s="146"/>
      <c r="I338" s="146"/>
    </row>
    <row r="339" spans="1:9">
      <c r="A339" s="142">
        <f t="shared" si="12"/>
        <v>331</v>
      </c>
      <c r="B339" s="144" t="s">
        <v>1806</v>
      </c>
      <c r="C339" s="144" t="str">
        <f t="shared" si="11"/>
        <v>(US$/ dose)</v>
      </c>
      <c r="D339" s="146" t="s">
        <v>1977</v>
      </c>
      <c r="E339" s="146" t="s">
        <v>1977</v>
      </c>
      <c r="F339" s="146"/>
      <c r="G339" s="197" t="s">
        <v>1976</v>
      </c>
      <c r="H339" s="146"/>
      <c r="I339" s="146"/>
    </row>
    <row r="340" spans="1:9">
      <c r="A340" s="142">
        <f t="shared" si="12"/>
        <v>332</v>
      </c>
      <c r="B340" s="144" t="s">
        <v>1806</v>
      </c>
      <c r="C340" s="144" t="str">
        <f t="shared" si="11"/>
        <v>Vaccine wastage</v>
      </c>
      <c r="D340" s="146" t="s">
        <v>1304</v>
      </c>
      <c r="E340" s="146" t="s">
        <v>1305</v>
      </c>
      <c r="F340" s="146"/>
      <c r="G340" s="146" t="s">
        <v>259</v>
      </c>
      <c r="H340" s="146"/>
      <c r="I340" s="146"/>
    </row>
    <row r="341" spans="1:9">
      <c r="A341" s="142">
        <f t="shared" si="12"/>
        <v>333</v>
      </c>
      <c r="B341" s="144" t="s">
        <v>1806</v>
      </c>
      <c r="C341" s="144" t="str">
        <f t="shared" si="11"/>
        <v>National  wastage rates (%)</v>
      </c>
      <c r="D341" s="146" t="s">
        <v>1985</v>
      </c>
      <c r="E341" s="146" t="s">
        <v>1615</v>
      </c>
      <c r="F341" s="146"/>
      <c r="G341" s="146" t="s">
        <v>260</v>
      </c>
      <c r="H341" s="146"/>
      <c r="I341" s="146"/>
    </row>
    <row r="342" spans="1:9">
      <c r="A342" s="142">
        <f t="shared" si="12"/>
        <v>334</v>
      </c>
      <c r="B342" s="144" t="s">
        <v>1806</v>
      </c>
      <c r="C342" s="144" t="str">
        <f t="shared" si="11"/>
        <v>WHO/GAVI indicative rates (%)</v>
      </c>
      <c r="D342" s="146" t="s">
        <v>1618</v>
      </c>
      <c r="E342" s="146" t="s">
        <v>1619</v>
      </c>
      <c r="F342" s="146"/>
      <c r="G342" s="146" t="s">
        <v>65</v>
      </c>
      <c r="H342" s="146"/>
      <c r="I342" s="146"/>
    </row>
    <row r="343" spans="1:9">
      <c r="A343" s="142">
        <f t="shared" si="12"/>
        <v>335</v>
      </c>
      <c r="B343" s="144" t="s">
        <v>1806</v>
      </c>
      <c r="C343" s="144" t="str">
        <f t="shared" si="11"/>
        <v>Wastage factor</v>
      </c>
      <c r="D343" s="146" t="s">
        <v>1417</v>
      </c>
      <c r="E343" s="146" t="s">
        <v>1418</v>
      </c>
      <c r="F343" s="146"/>
      <c r="G343" s="146" t="s">
        <v>263</v>
      </c>
      <c r="H343" s="146"/>
      <c r="I343" s="146"/>
    </row>
    <row r="344" spans="1:9">
      <c r="A344" s="142">
        <f t="shared" si="12"/>
        <v>336</v>
      </c>
      <c r="B344" s="144" t="s">
        <v>1806</v>
      </c>
      <c r="C344" s="144" t="str">
        <f t="shared" si="11"/>
        <v>UP data</v>
      </c>
      <c r="D344" s="146" t="s">
        <v>1109</v>
      </c>
      <c r="E344" s="146" t="s">
        <v>1110</v>
      </c>
      <c r="F344" s="146"/>
      <c r="G344" s="146"/>
      <c r="H344" s="146"/>
      <c r="I344" s="146"/>
    </row>
    <row r="345" spans="1:9">
      <c r="A345" s="142">
        <f t="shared" si="12"/>
        <v>337</v>
      </c>
      <c r="B345" s="144" t="s">
        <v>1806</v>
      </c>
      <c r="C345" s="144" t="str">
        <f t="shared" si="11"/>
        <v>Enter as % of total population</v>
      </c>
      <c r="D345" s="146" t="s">
        <v>1004</v>
      </c>
      <c r="E345" s="146" t="s">
        <v>1005</v>
      </c>
      <c r="F345" s="146"/>
      <c r="G345" s="146" t="s">
        <v>402</v>
      </c>
      <c r="H345" s="146"/>
      <c r="I345" s="146"/>
    </row>
    <row r="346" spans="1:9">
      <c r="A346" s="142">
        <f t="shared" si="12"/>
        <v>338</v>
      </c>
      <c r="B346" s="144" t="s">
        <v>1806</v>
      </c>
      <c r="C346" s="144" t="str">
        <f t="shared" si="11"/>
        <v>National immunization schedule</v>
      </c>
      <c r="D346" s="146" t="s">
        <v>1989</v>
      </c>
      <c r="E346" s="146" t="s">
        <v>1990</v>
      </c>
      <c r="F346" s="146"/>
      <c r="G346" s="146" t="s">
        <v>67</v>
      </c>
      <c r="H346" s="146"/>
      <c r="I346" s="146"/>
    </row>
    <row r="347" spans="1:9">
      <c r="A347" s="142">
        <f t="shared" si="12"/>
        <v>339</v>
      </c>
      <c r="B347" s="144" t="s">
        <v>1806</v>
      </c>
      <c r="C347" s="144" t="str">
        <f t="shared" si="11"/>
        <v>(Routine vaccinations)</v>
      </c>
      <c r="D347" s="146" t="s">
        <v>26</v>
      </c>
      <c r="E347" s="146" t="s">
        <v>27</v>
      </c>
      <c r="F347" s="146"/>
      <c r="G347" s="146" t="s">
        <v>1373</v>
      </c>
      <c r="H347" s="146"/>
      <c r="I347" s="146"/>
    </row>
    <row r="348" spans="1:9">
      <c r="A348" s="142">
        <f t="shared" si="12"/>
        <v>340</v>
      </c>
      <c r="B348" s="144" t="s">
        <v>28</v>
      </c>
      <c r="C348" s="144" t="str">
        <f t="shared" si="11"/>
        <v>Current schedule</v>
      </c>
      <c r="D348" s="146" t="s">
        <v>1854</v>
      </c>
      <c r="E348" s="146" t="s">
        <v>419</v>
      </c>
      <c r="F348" s="146"/>
      <c r="G348" s="146"/>
      <c r="H348" s="146"/>
      <c r="I348" s="146"/>
    </row>
    <row r="349" spans="1:9">
      <c r="A349" s="142">
        <f t="shared" si="12"/>
        <v>341</v>
      </c>
      <c r="B349" s="144" t="s">
        <v>1806</v>
      </c>
      <c r="C349" s="144" t="str">
        <f t="shared" ref="C349:C412" si="13">HLOOKUP($D$1,$D$9:$I$432,$A349,FALSE)</f>
        <v>Supplementary</v>
      </c>
      <c r="D349" s="146" t="s">
        <v>1707</v>
      </c>
      <c r="E349" s="146" t="s">
        <v>1991</v>
      </c>
      <c r="F349" s="146"/>
      <c r="G349" s="146" t="s">
        <v>68</v>
      </c>
      <c r="H349" s="146"/>
      <c r="I349" s="146"/>
    </row>
    <row r="350" spans="1:9">
      <c r="A350" s="142">
        <f t="shared" si="12"/>
        <v>342</v>
      </c>
      <c r="B350" s="144" t="s">
        <v>1806</v>
      </c>
      <c r="C350" s="144" t="str">
        <f t="shared" si="13"/>
        <v>activities (SIAs)</v>
      </c>
      <c r="D350" s="146" t="s">
        <v>1986</v>
      </c>
      <c r="E350" s="146" t="s">
        <v>1987</v>
      </c>
      <c r="F350" s="146"/>
      <c r="G350" s="146" t="s">
        <v>1988</v>
      </c>
      <c r="H350" s="146"/>
      <c r="I350" s="146"/>
    </row>
    <row r="351" spans="1:9">
      <c r="A351" s="142">
        <f t="shared" si="12"/>
        <v>343</v>
      </c>
      <c r="B351" s="144" t="s">
        <v>1806</v>
      </c>
      <c r="C351" s="144" t="str">
        <f t="shared" si="13"/>
        <v>Primary store</v>
      </c>
      <c r="D351" s="146" t="s">
        <v>836</v>
      </c>
      <c r="E351" s="146" t="s">
        <v>835</v>
      </c>
      <c r="F351" s="146"/>
      <c r="G351" s="146"/>
      <c r="H351" s="146"/>
      <c r="I351" s="146"/>
    </row>
    <row r="352" spans="1:9">
      <c r="A352" s="142">
        <f t="shared" si="12"/>
        <v>344</v>
      </c>
      <c r="B352" s="144" t="s">
        <v>1806</v>
      </c>
      <c r="C352" s="144" t="str">
        <f t="shared" si="13"/>
        <v>supply parameters (months)</v>
      </c>
      <c r="D352" s="146" t="s">
        <v>834</v>
      </c>
      <c r="E352" s="146" t="s">
        <v>833</v>
      </c>
      <c r="F352" s="146"/>
      <c r="G352" s="146"/>
      <c r="H352" s="146"/>
      <c r="I352" s="146"/>
    </row>
    <row r="353" spans="1:9">
      <c r="A353" s="142">
        <f t="shared" si="12"/>
        <v>345</v>
      </c>
      <c r="B353" s="144" t="s">
        <v>1806</v>
      </c>
      <c r="C353" s="144" t="str">
        <f t="shared" si="13"/>
        <v>Maxi supply interval</v>
      </c>
      <c r="D353" s="146" t="s">
        <v>1992</v>
      </c>
      <c r="E353" s="146" t="s">
        <v>1993</v>
      </c>
      <c r="F353" s="146"/>
      <c r="G353" s="146"/>
      <c r="H353" s="146"/>
      <c r="I353" s="146"/>
    </row>
    <row r="354" spans="1:9">
      <c r="A354" s="142">
        <f t="shared" si="12"/>
        <v>346</v>
      </c>
      <c r="B354" s="144" t="s">
        <v>1806</v>
      </c>
      <c r="C354" s="144" t="str">
        <f t="shared" si="13"/>
        <v>Safety stock</v>
      </c>
      <c r="D354" s="146" t="s">
        <v>1994</v>
      </c>
      <c r="E354" s="146" t="s">
        <v>1995</v>
      </c>
      <c r="F354" s="146"/>
      <c r="G354" s="146"/>
      <c r="H354" s="146"/>
      <c r="I354" s="146"/>
    </row>
    <row r="355" spans="1:9">
      <c r="A355" s="142">
        <f t="shared" si="12"/>
        <v>347</v>
      </c>
      <c r="B355" s="144" t="s">
        <v>1806</v>
      </c>
      <c r="C355" s="144" t="str">
        <f t="shared" si="13"/>
        <v>(based on individual vaccine shipments)</v>
      </c>
      <c r="D355" s="146" t="s">
        <v>1616</v>
      </c>
      <c r="E355" s="146" t="s">
        <v>1617</v>
      </c>
      <c r="F355" s="146"/>
      <c r="G355" s="146"/>
      <c r="H355" s="146"/>
      <c r="I355" s="146"/>
    </row>
    <row r="356" spans="1:9" ht="23.4">
      <c r="A356" s="142">
        <f t="shared" si="12"/>
        <v>348</v>
      </c>
      <c r="B356" s="144" t="s">
        <v>1806</v>
      </c>
      <c r="C356" s="144" t="str">
        <f t="shared" si="13"/>
        <v>Net volume of OPV at -20°C in higher level stores, per</v>
      </c>
      <c r="D356" s="146" t="s">
        <v>1006</v>
      </c>
      <c r="E356" s="146" t="s">
        <v>1007</v>
      </c>
      <c r="F356" s="146"/>
      <c r="G356" s="146" t="s">
        <v>265</v>
      </c>
      <c r="H356" s="146"/>
      <c r="I356" s="146"/>
    </row>
    <row r="357" spans="1:9" ht="23.4">
      <c r="A357" s="142">
        <f t="shared" si="12"/>
        <v>349</v>
      </c>
      <c r="B357" s="144" t="s">
        <v>1806</v>
      </c>
      <c r="C357" s="144" t="str">
        <f t="shared" si="13"/>
        <v>Net volume of all vaccines except OPV stored at +5°C in higher level stores, per</v>
      </c>
      <c r="D357" s="146" t="s">
        <v>898</v>
      </c>
      <c r="E357" s="146" t="s">
        <v>899</v>
      </c>
      <c r="F357" s="146"/>
      <c r="G357" s="146" t="s">
        <v>266</v>
      </c>
      <c r="H357" s="146"/>
      <c r="I357" s="146"/>
    </row>
    <row r="358" spans="1:9" ht="23.4">
      <c r="A358" s="142">
        <f t="shared" si="12"/>
        <v>350</v>
      </c>
      <c r="B358" s="144" t="s">
        <v>1806</v>
      </c>
      <c r="C358" s="144" t="str">
        <f t="shared" si="13"/>
        <v>Net volume of all vaccines, including OPV, stored at +5°C in lower level stores, per</v>
      </c>
      <c r="D358" s="146" t="s">
        <v>900</v>
      </c>
      <c r="E358" s="146" t="s">
        <v>901</v>
      </c>
      <c r="F358" s="146"/>
      <c r="G358" s="146" t="s">
        <v>267</v>
      </c>
      <c r="H358" s="146"/>
      <c r="I358" s="146"/>
    </row>
    <row r="359" spans="1:9" ht="23.4">
      <c r="A359" s="142">
        <f t="shared" si="12"/>
        <v>351</v>
      </c>
      <c r="B359" s="144" t="s">
        <v>1806</v>
      </c>
      <c r="C359" s="144" t="str">
        <f t="shared" si="13"/>
        <v>Net volume of vaccines and diluents, stored at +5°C at service points, per</v>
      </c>
      <c r="D359" s="146" t="s">
        <v>1739</v>
      </c>
      <c r="E359" s="146" t="s">
        <v>1740</v>
      </c>
      <c r="F359" s="146"/>
      <c r="G359" s="146" t="s">
        <v>267</v>
      </c>
      <c r="H359" s="146"/>
      <c r="I359" s="146"/>
    </row>
    <row r="360" spans="1:9">
      <c r="A360" s="142">
        <f t="shared" si="12"/>
        <v>352</v>
      </c>
      <c r="B360" s="144" t="s">
        <v>1806</v>
      </c>
      <c r="C360" s="144" t="str">
        <f t="shared" si="13"/>
        <v>No. of vaccine doses per</v>
      </c>
      <c r="D360" s="146" t="s">
        <v>1316</v>
      </c>
      <c r="E360" s="146" t="s">
        <v>1317</v>
      </c>
      <c r="F360" s="146"/>
      <c r="G360" s="146" t="s">
        <v>268</v>
      </c>
      <c r="H360" s="146"/>
      <c r="I360" s="146"/>
    </row>
    <row r="361" spans="1:9" ht="23.4">
      <c r="A361" s="142">
        <f t="shared" si="12"/>
        <v>353</v>
      </c>
      <c r="B361" s="144" t="s">
        <v>1806</v>
      </c>
      <c r="C361" s="144" t="str">
        <f t="shared" si="13"/>
        <v>Percent increase of the net vaccine volume compared to current schedule in store for -20°C</v>
      </c>
      <c r="D361" s="146" t="s">
        <v>480</v>
      </c>
      <c r="E361" s="146" t="s">
        <v>486</v>
      </c>
      <c r="F361" s="146"/>
      <c r="G361" s="146" t="s">
        <v>269</v>
      </c>
      <c r="H361" s="146"/>
      <c r="I361" s="146"/>
    </row>
    <row r="362" spans="1:9" ht="34.799999999999997">
      <c r="A362" s="142">
        <f t="shared" si="12"/>
        <v>354</v>
      </c>
      <c r="B362" s="144" t="s">
        <v>1806</v>
      </c>
      <c r="C362" s="144" t="str">
        <f t="shared" si="13"/>
        <v>% increase of the net vaccine volume compared to current schedule in store w/o OPV @+5°C</v>
      </c>
      <c r="D362" s="146" t="s">
        <v>481</v>
      </c>
      <c r="E362" s="146" t="s">
        <v>487</v>
      </c>
      <c r="F362" s="146"/>
      <c r="G362" s="146" t="s">
        <v>270</v>
      </c>
      <c r="H362" s="146"/>
      <c r="I362" s="146"/>
    </row>
    <row r="363" spans="1:9" ht="34.799999999999997">
      <c r="A363" s="142">
        <f t="shared" si="12"/>
        <v>355</v>
      </c>
      <c r="B363" s="144" t="s">
        <v>1806</v>
      </c>
      <c r="C363" s="144" t="str">
        <f t="shared" si="13"/>
        <v>% increase of the net vaccine volume compared to current schedule in store with OPV @+5°C</v>
      </c>
      <c r="D363" s="146" t="s">
        <v>482</v>
      </c>
      <c r="E363" s="146" t="s">
        <v>485</v>
      </c>
      <c r="F363" s="146"/>
      <c r="G363" s="146" t="s">
        <v>1399</v>
      </c>
      <c r="H363" s="146"/>
      <c r="I363" s="146"/>
    </row>
    <row r="364" spans="1:9" ht="34.799999999999997">
      <c r="A364" s="142">
        <f t="shared" si="12"/>
        <v>356</v>
      </c>
      <c r="B364" s="144" t="s">
        <v>1806</v>
      </c>
      <c r="C364" s="144" t="str">
        <f t="shared" si="13"/>
        <v>% increase of the net vaccine volume compared to current schedule at service delivery</v>
      </c>
      <c r="D364" s="146" t="s">
        <v>483</v>
      </c>
      <c r="E364" s="146" t="s">
        <v>484</v>
      </c>
      <c r="F364" s="146"/>
      <c r="G364" s="146" t="s">
        <v>1400</v>
      </c>
      <c r="H364" s="146"/>
      <c r="I364" s="146"/>
    </row>
    <row r="365" spans="1:9">
      <c r="A365" s="142">
        <f t="shared" si="12"/>
        <v>357</v>
      </c>
      <c r="B365" s="144" t="s">
        <v>1806</v>
      </c>
      <c r="C365" s="144" t="str">
        <f t="shared" si="13"/>
        <v>Total net storage volume of vaccines per recipient</v>
      </c>
      <c r="D365" s="146" t="s">
        <v>784</v>
      </c>
      <c r="E365" s="146" t="s">
        <v>1310</v>
      </c>
      <c r="F365" s="146"/>
      <c r="G365" s="146" t="s">
        <v>401</v>
      </c>
      <c r="H365" s="146"/>
      <c r="I365" s="146"/>
    </row>
    <row r="366" spans="1:9" ht="23.4">
      <c r="A366" s="142">
        <f t="shared" si="12"/>
        <v>358</v>
      </c>
      <c r="B366" s="144" t="s">
        <v>1806</v>
      </c>
      <c r="C366" s="144" t="str">
        <f t="shared" si="13"/>
        <v>Total net storage volume of vaccines &amp; diluents per recipient</v>
      </c>
      <c r="D366" s="146" t="s">
        <v>783</v>
      </c>
      <c r="E366" s="146" t="s">
        <v>1311</v>
      </c>
      <c r="F366" s="146"/>
      <c r="G366" s="146" t="s">
        <v>401</v>
      </c>
      <c r="H366" s="146"/>
      <c r="I366" s="146"/>
    </row>
    <row r="367" spans="1:9">
      <c r="A367" s="142">
        <f t="shared" si="12"/>
        <v>359</v>
      </c>
      <c r="B367" s="144" t="s">
        <v>1806</v>
      </c>
      <c r="C367" s="144" t="str">
        <f t="shared" si="13"/>
        <v>No. of vaccine doses per recipient</v>
      </c>
      <c r="D367" s="146" t="s">
        <v>785</v>
      </c>
      <c r="E367" s="146" t="s">
        <v>1312</v>
      </c>
      <c r="F367" s="146"/>
      <c r="G367" s="146" t="s">
        <v>400</v>
      </c>
      <c r="H367" s="146"/>
      <c r="I367" s="146"/>
    </row>
    <row r="368" spans="1:9" ht="23.4">
      <c r="A368" s="142">
        <f t="shared" si="12"/>
        <v>360</v>
      </c>
      <c r="B368" s="143" t="s">
        <v>902</v>
      </c>
      <c r="C368" s="143" t="str">
        <f t="shared" si="13"/>
        <v>Volume of diluents and safe injection equipment per recipient</v>
      </c>
      <c r="D368" s="195" t="s">
        <v>280</v>
      </c>
      <c r="E368" s="195" t="s">
        <v>281</v>
      </c>
      <c r="F368" s="195"/>
      <c r="G368" s="195" t="s">
        <v>1773</v>
      </c>
      <c r="H368" s="195"/>
      <c r="I368" s="195"/>
    </row>
    <row r="369" spans="1:9">
      <c r="A369" s="142">
        <f t="shared" si="12"/>
        <v>361</v>
      </c>
      <c r="B369" s="144" t="s">
        <v>902</v>
      </c>
      <c r="C369" s="144" t="str">
        <f t="shared" si="13"/>
        <v>Optional data entry only</v>
      </c>
      <c r="D369" s="146" t="s">
        <v>903</v>
      </c>
      <c r="E369" s="146" t="s">
        <v>904</v>
      </c>
      <c r="F369" s="146"/>
      <c r="G369" s="197" t="s">
        <v>15</v>
      </c>
      <c r="H369" s="146"/>
      <c r="I369" s="146"/>
    </row>
    <row r="370" spans="1:9" ht="23.4">
      <c r="A370" s="142">
        <f t="shared" si="12"/>
        <v>362</v>
      </c>
      <c r="B370" s="144" t="s">
        <v>902</v>
      </c>
      <c r="C370" s="144" t="str">
        <f t="shared" si="13"/>
        <v>OPTION: Over-ride default AD syringe packed volume, cm³/unit:</v>
      </c>
      <c r="D370" s="146" t="s">
        <v>801</v>
      </c>
      <c r="E370" s="146" t="s">
        <v>1245</v>
      </c>
      <c r="F370" s="146"/>
      <c r="G370" s="197" t="s">
        <v>1401</v>
      </c>
      <c r="H370" s="146"/>
      <c r="I370" s="146"/>
    </row>
    <row r="371" spans="1:9" ht="23.4">
      <c r="A371" s="142">
        <f t="shared" si="12"/>
        <v>363</v>
      </c>
      <c r="B371" s="144" t="s">
        <v>902</v>
      </c>
      <c r="C371" s="144" t="str">
        <f t="shared" si="13"/>
        <v>OPTION: Over-ride default reconstitution syringe packed volume, cm³/unit:</v>
      </c>
      <c r="D371" s="146" t="s">
        <v>799</v>
      </c>
      <c r="E371" s="146" t="s">
        <v>1246</v>
      </c>
      <c r="F371" s="146"/>
      <c r="G371" s="197" t="s">
        <v>1402</v>
      </c>
      <c r="H371" s="146"/>
      <c r="I371" s="146"/>
    </row>
    <row r="372" spans="1:9" ht="23.4">
      <c r="A372" s="142">
        <f t="shared" si="12"/>
        <v>364</v>
      </c>
      <c r="B372" s="144" t="s">
        <v>902</v>
      </c>
      <c r="C372" s="144" t="str">
        <f t="shared" si="13"/>
        <v>OPTION: Over-ride default safety box packed volume, cm³/unit:</v>
      </c>
      <c r="D372" s="146" t="s">
        <v>800</v>
      </c>
      <c r="E372" s="146" t="s">
        <v>1247</v>
      </c>
      <c r="F372" s="146"/>
      <c r="G372" s="197" t="s">
        <v>1403</v>
      </c>
      <c r="H372" s="146"/>
      <c r="I372" s="146"/>
    </row>
    <row r="373" spans="1:9">
      <c r="A373" s="142">
        <f t="shared" si="12"/>
        <v>365</v>
      </c>
      <c r="B373" s="144" t="s">
        <v>902</v>
      </c>
      <c r="C373" s="144" t="str">
        <f t="shared" si="13"/>
        <v>Vaccine data</v>
      </c>
      <c r="D373" s="146" t="s">
        <v>905</v>
      </c>
      <c r="E373" s="146" t="s">
        <v>906</v>
      </c>
      <c r="F373" s="146"/>
      <c r="G373" s="146"/>
      <c r="H373" s="146"/>
      <c r="I373" s="146"/>
    </row>
    <row r="374" spans="1:9">
      <c r="A374" s="142">
        <f t="shared" si="12"/>
        <v>366</v>
      </c>
      <c r="B374" s="144" t="s">
        <v>902</v>
      </c>
      <c r="C374" s="144" t="str">
        <f t="shared" si="13"/>
        <v>Vaccine type</v>
      </c>
      <c r="D374" s="146" t="s">
        <v>907</v>
      </c>
      <c r="E374" s="146" t="s">
        <v>908</v>
      </c>
      <c r="F374" s="146"/>
      <c r="G374" s="146" t="s">
        <v>1180</v>
      </c>
      <c r="H374" s="146"/>
      <c r="I374" s="146"/>
    </row>
    <row r="375" spans="1:9">
      <c r="A375" s="142">
        <f t="shared" si="12"/>
        <v>367</v>
      </c>
      <c r="B375" s="144" t="s">
        <v>902</v>
      </c>
      <c r="C375" s="144" t="str">
        <f t="shared" si="13"/>
        <v>Formulation</v>
      </c>
      <c r="D375" s="146" t="s">
        <v>909</v>
      </c>
      <c r="E375" s="146" t="s">
        <v>909</v>
      </c>
      <c r="F375" s="146"/>
      <c r="G375" s="146" t="s">
        <v>1404</v>
      </c>
      <c r="H375" s="146"/>
      <c r="I375" s="146"/>
    </row>
    <row r="376" spans="1:9">
      <c r="A376" s="142">
        <f t="shared" si="12"/>
        <v>368</v>
      </c>
      <c r="B376" s="144" t="s">
        <v>902</v>
      </c>
      <c r="C376" s="144" t="str">
        <f t="shared" si="13"/>
        <v>Administration</v>
      </c>
      <c r="D376" s="146" t="s">
        <v>1808</v>
      </c>
      <c r="E376" s="146" t="s">
        <v>1808</v>
      </c>
      <c r="F376" s="146"/>
      <c r="G376" s="146" t="s">
        <v>1405</v>
      </c>
      <c r="H376" s="146"/>
      <c r="I376" s="146"/>
    </row>
    <row r="377" spans="1:9">
      <c r="A377" s="142">
        <f t="shared" si="12"/>
        <v>369</v>
      </c>
      <c r="B377" s="144" t="s">
        <v>902</v>
      </c>
      <c r="C377" s="144" t="str">
        <f t="shared" si="13"/>
        <v>Presentation (doses/vial)</v>
      </c>
      <c r="D377" s="146" t="s">
        <v>2049</v>
      </c>
      <c r="E377" s="146" t="s">
        <v>2050</v>
      </c>
      <c r="F377" s="146"/>
      <c r="G377" s="146" t="s">
        <v>1406</v>
      </c>
      <c r="H377" s="146"/>
      <c r="I377" s="146"/>
    </row>
    <row r="378" spans="1:9">
      <c r="A378" s="142">
        <f t="shared" si="12"/>
        <v>370</v>
      </c>
      <c r="B378" s="144" t="s">
        <v>902</v>
      </c>
      <c r="C378" s="144" t="str">
        <f t="shared" si="13"/>
        <v>Volume data used</v>
      </c>
      <c r="D378" s="146" t="s">
        <v>2051</v>
      </c>
      <c r="E378" s="146" t="s">
        <v>2052</v>
      </c>
      <c r="F378" s="146"/>
      <c r="G378" s="146"/>
      <c r="H378" s="146"/>
      <c r="I378" s="146"/>
    </row>
    <row r="379" spans="1:9">
      <c r="A379" s="142">
        <f t="shared" si="12"/>
        <v>371</v>
      </c>
      <c r="B379" s="144" t="s">
        <v>902</v>
      </c>
      <c r="C379" s="144" t="str">
        <f t="shared" si="13"/>
        <v>Net storage volume</v>
      </c>
      <c r="D379" s="146" t="s">
        <v>199</v>
      </c>
      <c r="E379" s="146" t="s">
        <v>1259</v>
      </c>
      <c r="F379" s="146"/>
      <c r="G379" s="146" t="s">
        <v>1407</v>
      </c>
      <c r="H379" s="146"/>
      <c r="I379" s="146"/>
    </row>
    <row r="380" spans="1:9">
      <c r="A380" s="142">
        <f t="shared" si="12"/>
        <v>372</v>
      </c>
      <c r="B380" s="144" t="s">
        <v>902</v>
      </c>
      <c r="C380" s="144" t="str">
        <f t="shared" si="13"/>
        <v>per injection (cm³)</v>
      </c>
      <c r="D380" s="146" t="s">
        <v>1258</v>
      </c>
      <c r="E380" s="146" t="s">
        <v>173</v>
      </c>
      <c r="F380" s="146"/>
      <c r="G380" s="146" t="s">
        <v>1408</v>
      </c>
      <c r="H380" s="146"/>
      <c r="I380" s="146"/>
    </row>
    <row r="381" spans="1:9">
      <c r="A381" s="142">
        <f t="shared" si="12"/>
        <v>373</v>
      </c>
      <c r="B381" s="144" t="s">
        <v>902</v>
      </c>
      <c r="C381" s="144" t="str">
        <f t="shared" si="13"/>
        <v>Injection syringe</v>
      </c>
      <c r="D381" s="146" t="s">
        <v>803</v>
      </c>
      <c r="E381" s="146" t="s">
        <v>804</v>
      </c>
      <c r="F381" s="146"/>
      <c r="G381" s="146" t="s">
        <v>1410</v>
      </c>
      <c r="H381" s="146"/>
      <c r="I381" s="146"/>
    </row>
    <row r="382" spans="1:9">
      <c r="A382" s="142">
        <f t="shared" si="12"/>
        <v>374</v>
      </c>
      <c r="B382" s="144" t="s">
        <v>902</v>
      </c>
      <c r="C382" s="144" t="str">
        <f t="shared" si="13"/>
        <v>Mixing syringe</v>
      </c>
      <c r="D382" s="146" t="s">
        <v>807</v>
      </c>
      <c r="E382" s="146" t="s">
        <v>805</v>
      </c>
      <c r="F382" s="146"/>
      <c r="G382" s="146" t="s">
        <v>1409</v>
      </c>
      <c r="H382" s="146"/>
      <c r="I382" s="146"/>
    </row>
    <row r="383" spans="1:9">
      <c r="A383" s="142">
        <f t="shared" si="12"/>
        <v>375</v>
      </c>
      <c r="B383" s="144" t="s">
        <v>902</v>
      </c>
      <c r="C383" s="144" t="str">
        <f t="shared" si="13"/>
        <v>Safety boxes</v>
      </c>
      <c r="D383" s="146" t="s">
        <v>808</v>
      </c>
      <c r="E383" s="146" t="s">
        <v>806</v>
      </c>
      <c r="F383" s="146"/>
      <c r="G383" s="146" t="s">
        <v>1411</v>
      </c>
      <c r="H383" s="146"/>
      <c r="I383" s="146"/>
    </row>
    <row r="384" spans="1:9" ht="23.4">
      <c r="A384" s="142">
        <f t="shared" si="12"/>
        <v>376</v>
      </c>
      <c r="B384" s="144" t="s">
        <v>902</v>
      </c>
      <c r="C384" s="144" t="str">
        <f t="shared" si="13"/>
        <v>Total net storage volume of diluents per</v>
      </c>
      <c r="D384" s="146" t="s">
        <v>1260</v>
      </c>
      <c r="E384" s="146" t="s">
        <v>1276</v>
      </c>
      <c r="F384" s="146"/>
      <c r="G384" s="146" t="s">
        <v>1412</v>
      </c>
      <c r="H384" s="146"/>
      <c r="I384" s="146"/>
    </row>
    <row r="385" spans="1:9">
      <c r="A385" s="142">
        <f t="shared" si="12"/>
        <v>377</v>
      </c>
      <c r="B385" s="144" t="s">
        <v>902</v>
      </c>
      <c r="C385" s="144" t="str">
        <f t="shared" si="13"/>
        <v xml:space="preserve">Total net storage volume of syringes per </v>
      </c>
      <c r="D385" s="146" t="s">
        <v>1273</v>
      </c>
      <c r="E385" s="146" t="s">
        <v>683</v>
      </c>
      <c r="F385" s="146"/>
      <c r="G385" s="146" t="s">
        <v>1413</v>
      </c>
      <c r="H385" s="146"/>
      <c r="I385" s="146"/>
    </row>
    <row r="386" spans="1:9">
      <c r="A386" s="142">
        <f t="shared" si="12"/>
        <v>378</v>
      </c>
      <c r="B386" s="144" t="s">
        <v>902</v>
      </c>
      <c r="C386" s="144" t="str">
        <f t="shared" si="13"/>
        <v>Total net storage volume of safety boxes per</v>
      </c>
      <c r="D386" s="146" t="s">
        <v>1274</v>
      </c>
      <c r="E386" s="146" t="s">
        <v>684</v>
      </c>
      <c r="F386" s="146"/>
      <c r="G386" s="146" t="s">
        <v>1414</v>
      </c>
      <c r="H386" s="146"/>
      <c r="I386" s="146"/>
    </row>
    <row r="387" spans="1:9" ht="23.4">
      <c r="A387" s="142">
        <f t="shared" si="12"/>
        <v>379</v>
      </c>
      <c r="B387" s="144" t="s">
        <v>902</v>
      </c>
      <c r="C387" s="144" t="str">
        <f t="shared" si="13"/>
        <v>Total net storage volume of injection supplies per</v>
      </c>
      <c r="D387" s="146" t="s">
        <v>1275</v>
      </c>
      <c r="E387" s="146" t="s">
        <v>685</v>
      </c>
      <c r="F387" s="146"/>
      <c r="G387" s="146" t="s">
        <v>1178</v>
      </c>
      <c r="H387" s="146"/>
      <c r="I387" s="146"/>
    </row>
    <row r="388" spans="1:9" ht="23.4">
      <c r="A388" s="142">
        <f t="shared" si="12"/>
        <v>380</v>
      </c>
      <c r="B388" s="144" t="s">
        <v>902</v>
      </c>
      <c r="C388" s="144" t="str">
        <f t="shared" si="13"/>
        <v>Increase of net storage volume compared to current schedule</v>
      </c>
      <c r="D388" s="146" t="s">
        <v>788</v>
      </c>
      <c r="E388" s="146" t="s">
        <v>477</v>
      </c>
      <c r="F388" s="146"/>
      <c r="G388" s="197" t="s">
        <v>1179</v>
      </c>
      <c r="H388" s="146"/>
      <c r="I388" s="146"/>
    </row>
    <row r="389" spans="1:9" ht="23.4">
      <c r="A389" s="142">
        <f t="shared" si="12"/>
        <v>381</v>
      </c>
      <c r="B389" s="144" t="s">
        <v>902</v>
      </c>
      <c r="C389" s="144" t="str">
        <f t="shared" si="13"/>
        <v>Total net storage volume of diluents per recipient</v>
      </c>
      <c r="D389" s="146" t="s">
        <v>1959</v>
      </c>
      <c r="E389" s="146" t="s">
        <v>1313</v>
      </c>
      <c r="F389" s="146"/>
      <c r="G389" s="146" t="s">
        <v>396</v>
      </c>
      <c r="H389" s="146"/>
      <c r="I389" s="146"/>
    </row>
    <row r="390" spans="1:9" ht="23.4">
      <c r="A390" s="142">
        <f t="shared" si="12"/>
        <v>382</v>
      </c>
      <c r="B390" s="144" t="s">
        <v>902</v>
      </c>
      <c r="C390" s="144" t="str">
        <f t="shared" si="13"/>
        <v>Total net storage volume of syringes per recipient</v>
      </c>
      <c r="D390" s="146" t="s">
        <v>1960</v>
      </c>
      <c r="E390" s="146" t="s">
        <v>1314</v>
      </c>
      <c r="F390" s="146"/>
      <c r="G390" s="146" t="s">
        <v>397</v>
      </c>
      <c r="H390" s="146"/>
      <c r="I390" s="146"/>
    </row>
    <row r="391" spans="1:9">
      <c r="A391" s="142">
        <f t="shared" si="12"/>
        <v>383</v>
      </c>
      <c r="B391" s="144" t="s">
        <v>902</v>
      </c>
      <c r="C391" s="144" t="str">
        <f t="shared" si="13"/>
        <v>Total net storage volume of safety boxes per target</v>
      </c>
      <c r="D391" s="146" t="s">
        <v>610</v>
      </c>
      <c r="E391" s="146" t="s">
        <v>1315</v>
      </c>
      <c r="F391" s="146"/>
      <c r="G391" s="146" t="s">
        <v>398</v>
      </c>
      <c r="H391" s="146"/>
      <c r="I391" s="146"/>
    </row>
    <row r="392" spans="1:9" ht="23.4">
      <c r="A392" s="142">
        <f t="shared" si="12"/>
        <v>384</v>
      </c>
      <c r="B392" s="144" t="s">
        <v>902</v>
      </c>
      <c r="C392" s="144" t="str">
        <f t="shared" si="13"/>
        <v>Total net storage volume of injection supplies per recipient</v>
      </c>
      <c r="D392" s="146" t="s">
        <v>1961</v>
      </c>
      <c r="E392" s="146" t="s">
        <v>760</v>
      </c>
      <c r="F392" s="146"/>
      <c r="G392" s="146" t="s">
        <v>399</v>
      </c>
      <c r="H392" s="146"/>
      <c r="I392" s="146"/>
    </row>
    <row r="393" spans="1:9" ht="23.4">
      <c r="A393" s="142">
        <f t="shared" si="12"/>
        <v>385</v>
      </c>
      <c r="B393" s="143" t="s">
        <v>1839</v>
      </c>
      <c r="C393" s="143" t="str">
        <f t="shared" si="13"/>
        <v>Weight of safe injection equipment per recipient</v>
      </c>
      <c r="D393" s="195" t="s">
        <v>789</v>
      </c>
      <c r="E393" s="195" t="s">
        <v>790</v>
      </c>
      <c r="F393" s="195"/>
      <c r="G393" s="196" t="s">
        <v>568</v>
      </c>
      <c r="H393" s="195"/>
      <c r="I393" s="195"/>
    </row>
    <row r="394" spans="1:9">
      <c r="A394" s="142">
        <f t="shared" si="12"/>
        <v>386</v>
      </c>
      <c r="B394" s="144" t="s">
        <v>1839</v>
      </c>
      <c r="C394" s="144" t="str">
        <f t="shared" si="13"/>
        <v>Optional data entry only</v>
      </c>
      <c r="D394" s="146" t="s">
        <v>903</v>
      </c>
      <c r="E394" s="146" t="s">
        <v>904</v>
      </c>
      <c r="F394" s="146"/>
      <c r="G394" s="197" t="s">
        <v>15</v>
      </c>
      <c r="H394" s="146"/>
      <c r="I394" s="146"/>
    </row>
    <row r="395" spans="1:9">
      <c r="A395" s="142">
        <f t="shared" si="12"/>
        <v>387</v>
      </c>
      <c r="B395" s="144" t="s">
        <v>1839</v>
      </c>
      <c r="C395" s="144" t="str">
        <f t="shared" si="13"/>
        <v>OPTION: Over-ride weight of AD syringe, g/unit:</v>
      </c>
      <c r="D395" s="146" t="s">
        <v>796</v>
      </c>
      <c r="E395" s="146" t="s">
        <v>793</v>
      </c>
      <c r="F395" s="146"/>
      <c r="G395" s="197" t="s">
        <v>569</v>
      </c>
      <c r="H395" s="146"/>
      <c r="I395" s="146"/>
    </row>
    <row r="396" spans="1:9">
      <c r="A396" s="142">
        <f t="shared" si="12"/>
        <v>388</v>
      </c>
      <c r="B396" s="144" t="s">
        <v>1839</v>
      </c>
      <c r="C396" s="144" t="str">
        <f t="shared" si="13"/>
        <v>OPTION: Over-ride weight of reconstitution syringe, g/unit:</v>
      </c>
      <c r="D396" s="146" t="s">
        <v>797</v>
      </c>
      <c r="E396" s="146" t="s">
        <v>794</v>
      </c>
      <c r="F396" s="146"/>
      <c r="G396" s="197" t="s">
        <v>570</v>
      </c>
      <c r="H396" s="146"/>
      <c r="I396" s="146"/>
    </row>
    <row r="397" spans="1:9">
      <c r="A397" s="142">
        <f t="shared" si="12"/>
        <v>389</v>
      </c>
      <c r="B397" s="144" t="s">
        <v>1839</v>
      </c>
      <c r="C397" s="144" t="str">
        <f t="shared" si="13"/>
        <v>OPTION: Over-ride weight of safety box, g/unit:</v>
      </c>
      <c r="D397" s="146" t="s">
        <v>798</v>
      </c>
      <c r="E397" s="146" t="s">
        <v>795</v>
      </c>
      <c r="F397" s="146"/>
      <c r="G397" s="197" t="s">
        <v>571</v>
      </c>
      <c r="H397" s="146"/>
      <c r="I397" s="146"/>
    </row>
    <row r="398" spans="1:9">
      <c r="A398" s="142">
        <f t="shared" si="12"/>
        <v>390</v>
      </c>
      <c r="B398" s="144" t="s">
        <v>1839</v>
      </c>
      <c r="C398" s="144" t="str">
        <f t="shared" si="13"/>
        <v>Weight of supplies</v>
      </c>
      <c r="D398" s="146" t="s">
        <v>2030</v>
      </c>
      <c r="E398" s="146" t="s">
        <v>686</v>
      </c>
      <c r="F398" s="146"/>
      <c r="G398" s="146" t="s">
        <v>573</v>
      </c>
      <c r="H398" s="146"/>
      <c r="I398" s="146"/>
    </row>
    <row r="399" spans="1:9">
      <c r="A399" s="142">
        <f t="shared" ref="A399:A432" si="14">A398+1</f>
        <v>391</v>
      </c>
      <c r="B399" s="144" t="s">
        <v>1839</v>
      </c>
      <c r="C399" s="144" t="str">
        <f t="shared" si="13"/>
        <v>per injection (g)</v>
      </c>
      <c r="D399" s="146" t="s">
        <v>688</v>
      </c>
      <c r="E399" s="146" t="s">
        <v>687</v>
      </c>
      <c r="F399" s="146"/>
      <c r="G399" s="146" t="s">
        <v>572</v>
      </c>
      <c r="H399" s="146"/>
      <c r="I399" s="146"/>
    </row>
    <row r="400" spans="1:9">
      <c r="A400" s="142">
        <f t="shared" si="14"/>
        <v>392</v>
      </c>
      <c r="B400" s="144" t="s">
        <v>1839</v>
      </c>
      <c r="C400" s="144" t="str">
        <f t="shared" si="13"/>
        <v xml:space="preserve">Total weight of dilution syringes per </v>
      </c>
      <c r="D400" s="146" t="s">
        <v>689</v>
      </c>
      <c r="E400" s="146" t="s">
        <v>694</v>
      </c>
      <c r="F400" s="146"/>
      <c r="G400" s="146" t="s">
        <v>574</v>
      </c>
      <c r="H400" s="146"/>
      <c r="I400" s="146"/>
    </row>
    <row r="401" spans="1:9">
      <c r="A401" s="142">
        <f t="shared" si="14"/>
        <v>393</v>
      </c>
      <c r="B401" s="144" t="s">
        <v>1839</v>
      </c>
      <c r="C401" s="144" t="str">
        <f t="shared" si="13"/>
        <v>Total weight of injection syringes per</v>
      </c>
      <c r="D401" s="146" t="s">
        <v>1277</v>
      </c>
      <c r="E401" s="146" t="s">
        <v>693</v>
      </c>
      <c r="F401" s="146"/>
      <c r="G401" s="146" t="s">
        <v>575</v>
      </c>
      <c r="H401" s="146"/>
      <c r="I401" s="146"/>
    </row>
    <row r="402" spans="1:9">
      <c r="A402" s="142">
        <f t="shared" si="14"/>
        <v>394</v>
      </c>
      <c r="B402" s="144" t="s">
        <v>1839</v>
      </c>
      <c r="C402" s="144" t="str">
        <f t="shared" si="13"/>
        <v>Total weigth of safety box per</v>
      </c>
      <c r="D402" s="146" t="s">
        <v>690</v>
      </c>
      <c r="E402" s="146" t="s">
        <v>692</v>
      </c>
      <c r="F402" s="146"/>
      <c r="G402" s="146" t="s">
        <v>576</v>
      </c>
      <c r="H402" s="146"/>
      <c r="I402" s="146"/>
    </row>
    <row r="403" spans="1:9">
      <c r="A403" s="142">
        <f t="shared" si="14"/>
        <v>395</v>
      </c>
      <c r="B403" s="144" t="s">
        <v>1839</v>
      </c>
      <c r="C403" s="144" t="str">
        <f t="shared" si="13"/>
        <v>Total weight of injection supplies per</v>
      </c>
      <c r="D403" s="146" t="s">
        <v>1278</v>
      </c>
      <c r="E403" s="146" t="s">
        <v>691</v>
      </c>
      <c r="F403" s="146"/>
      <c r="G403" s="146" t="s">
        <v>1078</v>
      </c>
      <c r="H403" s="146"/>
      <c r="I403" s="146"/>
    </row>
    <row r="404" spans="1:9">
      <c r="A404" s="142">
        <f t="shared" si="14"/>
        <v>396</v>
      </c>
      <c r="B404" s="144" t="s">
        <v>1839</v>
      </c>
      <c r="C404" s="144" t="str">
        <f t="shared" si="13"/>
        <v>Increase of total weight compared to current schedule</v>
      </c>
      <c r="D404" s="146" t="s">
        <v>791</v>
      </c>
      <c r="E404" s="146" t="s">
        <v>1248</v>
      </c>
      <c r="F404" s="146"/>
      <c r="G404" s="197" t="s">
        <v>1079</v>
      </c>
      <c r="H404" s="146"/>
      <c r="I404" s="146"/>
    </row>
    <row r="405" spans="1:9" ht="23.4">
      <c r="A405" s="142">
        <f t="shared" si="14"/>
        <v>397</v>
      </c>
      <c r="B405" s="144" t="s">
        <v>1839</v>
      </c>
      <c r="C405" s="144" t="str">
        <f t="shared" si="13"/>
        <v>Total weight of dilution syringes per recipient</v>
      </c>
      <c r="D405" s="146" t="s">
        <v>1962</v>
      </c>
      <c r="E405" s="146" t="s">
        <v>761</v>
      </c>
      <c r="F405" s="146"/>
      <c r="G405" s="146" t="s">
        <v>1774</v>
      </c>
      <c r="H405" s="146"/>
      <c r="I405" s="146"/>
    </row>
    <row r="406" spans="1:9">
      <c r="A406" s="142">
        <f t="shared" si="14"/>
        <v>398</v>
      </c>
      <c r="B406" s="144" t="s">
        <v>1839</v>
      </c>
      <c r="C406" s="144" t="str">
        <f t="shared" si="13"/>
        <v>Total weight injection syringes per recipient</v>
      </c>
      <c r="D406" s="146" t="s">
        <v>1963</v>
      </c>
      <c r="E406" s="146" t="s">
        <v>762</v>
      </c>
      <c r="F406" s="146"/>
      <c r="G406" s="146" t="s">
        <v>1545</v>
      </c>
      <c r="H406" s="146"/>
      <c r="I406" s="146"/>
    </row>
    <row r="407" spans="1:9">
      <c r="A407" s="142">
        <f t="shared" si="14"/>
        <v>399</v>
      </c>
      <c r="B407" s="144" t="s">
        <v>1839</v>
      </c>
      <c r="C407" s="144" t="str">
        <f t="shared" si="13"/>
        <v>Total weight of safety boxes per recipient</v>
      </c>
      <c r="D407" s="146" t="s">
        <v>1964</v>
      </c>
      <c r="E407" s="146" t="s">
        <v>763</v>
      </c>
      <c r="F407" s="146"/>
      <c r="G407" s="146" t="s">
        <v>1546</v>
      </c>
      <c r="H407" s="146"/>
      <c r="I407" s="146"/>
    </row>
    <row r="408" spans="1:9">
      <c r="A408" s="142">
        <f t="shared" si="14"/>
        <v>400</v>
      </c>
      <c r="B408" s="144" t="s">
        <v>1839</v>
      </c>
      <c r="C408" s="144" t="str">
        <f t="shared" si="13"/>
        <v>Total weight of injection supplies per recipient</v>
      </c>
      <c r="D408" s="146" t="s">
        <v>1965</v>
      </c>
      <c r="E408" s="146" t="s">
        <v>764</v>
      </c>
      <c r="F408" s="146"/>
      <c r="G408" s="146" t="s">
        <v>1547</v>
      </c>
      <c r="H408" s="146"/>
      <c r="I408" s="146"/>
    </row>
    <row r="409" spans="1:9">
      <c r="A409" s="142">
        <f t="shared" si="14"/>
        <v>401</v>
      </c>
      <c r="B409" s="144" t="s">
        <v>1515</v>
      </c>
      <c r="C409" s="144" t="str">
        <f t="shared" si="13"/>
        <v>Vaccine database</v>
      </c>
      <c r="D409" s="146" t="s">
        <v>2042</v>
      </c>
      <c r="E409" s="146" t="s">
        <v>1495</v>
      </c>
      <c r="F409" s="146"/>
      <c r="G409" s="146"/>
      <c r="H409" s="146"/>
      <c r="I409" s="146"/>
    </row>
    <row r="410" spans="1:9">
      <c r="A410" s="142">
        <f t="shared" si="14"/>
        <v>402</v>
      </c>
      <c r="B410" s="144" t="s">
        <v>1515</v>
      </c>
      <c r="C410" s="144" t="str">
        <f t="shared" si="13"/>
        <v>User action optional</v>
      </c>
      <c r="D410" s="146" t="s">
        <v>1810</v>
      </c>
      <c r="E410" s="146" t="s">
        <v>714</v>
      </c>
      <c r="F410" s="146"/>
      <c r="G410" s="146"/>
      <c r="H410" s="146"/>
      <c r="I410" s="146"/>
    </row>
    <row r="411" spans="1:9">
      <c r="A411" s="142">
        <f t="shared" si="14"/>
        <v>403</v>
      </c>
      <c r="B411" s="144" t="s">
        <v>1515</v>
      </c>
      <c r="C411" s="144" t="str">
        <f t="shared" si="13"/>
        <v>Index</v>
      </c>
      <c r="D411" s="146" t="s">
        <v>1536</v>
      </c>
      <c r="E411" s="146" t="s">
        <v>1536</v>
      </c>
      <c r="F411" s="146"/>
      <c r="G411" s="146"/>
      <c r="H411" s="146"/>
      <c r="I411" s="146"/>
    </row>
    <row r="412" spans="1:9" ht="57.6">
      <c r="A412" s="142">
        <f t="shared" si="14"/>
        <v>404</v>
      </c>
      <c r="B412" s="144" t="s">
        <v>1515</v>
      </c>
      <c r="C412" s="144" t="str">
        <f t="shared" si="13"/>
        <v xml:space="preserve">1) This worksheet provides generic data for all vaccines listed in the WHO international shipping guideline. Additional data are also included for WHO pre-qualified vaccines from named manufacturers. </v>
      </c>
      <c r="D412" s="146" t="s">
        <v>1516</v>
      </c>
      <c r="E412" s="146" t="s">
        <v>1517</v>
      </c>
      <c r="F412" s="146"/>
      <c r="G412" s="146"/>
      <c r="H412" s="146"/>
      <c r="I412" s="146"/>
    </row>
    <row r="413" spans="1:9" ht="46.2">
      <c r="A413" s="142">
        <f t="shared" si="14"/>
        <v>405</v>
      </c>
      <c r="B413" s="144" t="s">
        <v>1515</v>
      </c>
      <c r="C413" s="144" t="str">
        <f t="shared" ref="C413:C432" si="15">HLOOKUP($D$1,$D$9:$I$432,$A413,FALSE)</f>
        <v>2) If any vaccine presentation in this database is not to be considered in analysis, insert an asterix after the 'doses per vial' figure in Column I.</v>
      </c>
      <c r="D413" s="146" t="s">
        <v>2061</v>
      </c>
      <c r="E413" s="146" t="s">
        <v>1776</v>
      </c>
      <c r="F413" s="146"/>
      <c r="G413" s="146"/>
      <c r="H413" s="146"/>
      <c r="I413" s="146"/>
    </row>
    <row r="414" spans="1:9" ht="46.2">
      <c r="A414" s="142">
        <f t="shared" si="14"/>
        <v>406</v>
      </c>
      <c r="B414" s="144" t="s">
        <v>1515</v>
      </c>
      <c r="C414" s="144" t="str">
        <f t="shared" si="15"/>
        <v xml:space="preserve">3) You can add a vaccine to the database by inserting a new row.  You may want to do this to add information about locally produced and NRA-approved vaccines.  </v>
      </c>
      <c r="D414" s="146" t="s">
        <v>1518</v>
      </c>
      <c r="E414" s="146" t="s">
        <v>1519</v>
      </c>
      <c r="F414" s="146"/>
      <c r="G414" s="146"/>
      <c r="H414" s="146"/>
      <c r="I414" s="146"/>
    </row>
    <row r="415" spans="1:9" ht="34.799999999999997">
      <c r="A415" s="142">
        <f t="shared" si="14"/>
        <v>407</v>
      </c>
      <c r="B415" s="144" t="s">
        <v>1515</v>
      </c>
      <c r="C415" s="144" t="str">
        <f t="shared" si="15"/>
        <v>4) Generic data for vaccines listed in WHO International Shipping Guidelines is highlighted blue grey</v>
      </c>
      <c r="D415" s="146" t="s">
        <v>1520</v>
      </c>
      <c r="E415" s="146" t="s">
        <v>1521</v>
      </c>
      <c r="F415" s="146"/>
      <c r="G415" s="146"/>
      <c r="H415" s="146"/>
      <c r="I415" s="146"/>
    </row>
    <row r="416" spans="1:9" ht="34.799999999999997">
      <c r="A416" s="142">
        <f t="shared" si="14"/>
        <v>408</v>
      </c>
      <c r="B416" s="144" t="s">
        <v>1515</v>
      </c>
      <c r="C416" s="144" t="str">
        <f t="shared" si="15"/>
        <v>5) DO NOT mix languages in the table.  If you need a non-English version you must translate the table cell-by-cell.</v>
      </c>
      <c r="D416" s="146" t="s">
        <v>1821</v>
      </c>
      <c r="E416" s="146" t="s">
        <v>1822</v>
      </c>
      <c r="F416" s="146"/>
      <c r="G416" s="146"/>
      <c r="H416" s="146"/>
      <c r="I416" s="146"/>
    </row>
    <row r="417" spans="1:9">
      <c r="A417" s="142">
        <f t="shared" si="14"/>
        <v>409</v>
      </c>
      <c r="B417" s="144" t="s">
        <v>1515</v>
      </c>
      <c r="C417" s="144" t="str">
        <f t="shared" si="15"/>
        <v>Vaccine product</v>
      </c>
      <c r="D417" s="146" t="s">
        <v>1823</v>
      </c>
      <c r="E417" s="146" t="s">
        <v>1415</v>
      </c>
      <c r="F417" s="146"/>
      <c r="G417" s="146"/>
      <c r="H417" s="146"/>
      <c r="I417" s="146"/>
    </row>
    <row r="418" spans="1:9">
      <c r="A418" s="142">
        <f t="shared" si="14"/>
        <v>410</v>
      </c>
      <c r="B418" s="144" t="s">
        <v>1515</v>
      </c>
      <c r="C418" s="144" t="str">
        <f t="shared" si="15"/>
        <v>Vaccine formulation</v>
      </c>
      <c r="D418" s="146" t="s">
        <v>1825</v>
      </c>
      <c r="E418" s="146" t="s">
        <v>909</v>
      </c>
      <c r="F418" s="146"/>
      <c r="G418" s="146"/>
      <c r="H418" s="146"/>
      <c r="I418" s="146"/>
    </row>
    <row r="419" spans="1:9">
      <c r="A419" s="142">
        <f t="shared" si="14"/>
        <v>411</v>
      </c>
      <c r="B419" s="144" t="s">
        <v>1515</v>
      </c>
      <c r="C419" s="144" t="str">
        <f t="shared" si="15"/>
        <v>Admin route</v>
      </c>
      <c r="D419" s="146" t="s">
        <v>1826</v>
      </c>
      <c r="E419" s="146" t="s">
        <v>1486</v>
      </c>
      <c r="F419" s="146"/>
      <c r="G419" s="146"/>
      <c r="H419" s="146"/>
      <c r="I419" s="146"/>
    </row>
    <row r="420" spans="1:9">
      <c r="A420" s="142">
        <f t="shared" si="14"/>
        <v>412</v>
      </c>
      <c r="B420" s="144" t="s">
        <v>1515</v>
      </c>
      <c r="C420" s="144" t="str">
        <f t="shared" si="15"/>
        <v>Manufacturer's ID or trade name</v>
      </c>
      <c r="D420" s="146" t="s">
        <v>1827</v>
      </c>
      <c r="E420" s="146" t="s">
        <v>716</v>
      </c>
      <c r="F420" s="146"/>
      <c r="G420" s="146"/>
      <c r="H420" s="146"/>
      <c r="I420" s="146"/>
    </row>
    <row r="421" spans="1:9">
      <c r="A421" s="142">
        <f t="shared" si="14"/>
        <v>413</v>
      </c>
      <c r="B421" s="144" t="s">
        <v>1515</v>
      </c>
      <c r="C421" s="144" t="str">
        <f t="shared" si="15"/>
        <v>Vaccine presentation and packaging description</v>
      </c>
      <c r="D421" s="146" t="s">
        <v>1828</v>
      </c>
      <c r="E421" s="146" t="s">
        <v>1487</v>
      </c>
      <c r="F421" s="146"/>
      <c r="G421" s="146"/>
      <c r="H421" s="146"/>
      <c r="I421" s="146"/>
    </row>
    <row r="422" spans="1:9">
      <c r="A422" s="142">
        <f t="shared" si="14"/>
        <v>414</v>
      </c>
      <c r="B422" s="144" t="s">
        <v>1515</v>
      </c>
      <c r="C422" s="144" t="str">
        <f t="shared" si="15"/>
        <v>Diluents</v>
      </c>
      <c r="D422" s="146" t="s">
        <v>1809</v>
      </c>
      <c r="E422" s="146" t="s">
        <v>1488</v>
      </c>
      <c r="F422" s="146"/>
      <c r="G422" s="146"/>
      <c r="H422" s="146"/>
      <c r="I422" s="146"/>
    </row>
    <row r="423" spans="1:9" ht="23.4">
      <c r="A423" s="142">
        <f t="shared" si="14"/>
        <v>415</v>
      </c>
      <c r="B423" s="144" t="s">
        <v>1515</v>
      </c>
      <c r="C423" s="144" t="str">
        <f t="shared" si="15"/>
        <v>Integrated delivery device 
(if applicable)</v>
      </c>
      <c r="D423" s="146" t="s">
        <v>1829</v>
      </c>
      <c r="E423" s="146" t="s">
        <v>717</v>
      </c>
      <c r="F423" s="146"/>
      <c r="G423" s="146"/>
      <c r="H423" s="146"/>
      <c r="I423" s="146"/>
    </row>
    <row r="424" spans="1:9">
      <c r="A424" s="142">
        <f t="shared" si="14"/>
        <v>416</v>
      </c>
      <c r="B424" s="144" t="s">
        <v>1515</v>
      </c>
      <c r="C424" s="144" t="str">
        <f t="shared" si="15"/>
        <v>Doses/vial or device</v>
      </c>
      <c r="D424" s="146" t="s">
        <v>1830</v>
      </c>
      <c r="E424" s="146" t="s">
        <v>1489</v>
      </c>
      <c r="F424" s="146"/>
      <c r="G424" s="146"/>
      <c r="H424" s="146"/>
      <c r="I424" s="146"/>
    </row>
    <row r="425" spans="1:9">
      <c r="A425" s="142">
        <f t="shared" si="14"/>
        <v>417</v>
      </c>
      <c r="B425" s="144" t="s">
        <v>1515</v>
      </c>
      <c r="C425" s="144" t="str">
        <f t="shared" si="15"/>
        <v>Vaccine cm³/dose</v>
      </c>
      <c r="D425" s="146" t="s">
        <v>1831</v>
      </c>
      <c r="E425" s="146" t="s">
        <v>1490</v>
      </c>
      <c r="F425" s="146"/>
      <c r="G425" s="146"/>
      <c r="H425" s="146"/>
      <c r="I425" s="146"/>
    </row>
    <row r="426" spans="1:9">
      <c r="A426" s="142">
        <f t="shared" si="14"/>
        <v>418</v>
      </c>
      <c r="B426" s="144" t="s">
        <v>1515</v>
      </c>
      <c r="C426" s="144" t="str">
        <f t="shared" si="15"/>
        <v>Diluents/ dropper cm³/dose</v>
      </c>
      <c r="D426" s="146" t="s">
        <v>1832</v>
      </c>
      <c r="E426" s="146" t="s">
        <v>1491</v>
      </c>
      <c r="F426" s="146"/>
      <c r="G426" s="146"/>
      <c r="H426" s="146"/>
      <c r="I426" s="146"/>
    </row>
    <row r="427" spans="1:9">
      <c r="A427" s="142">
        <f t="shared" si="14"/>
        <v>419</v>
      </c>
      <c r="B427" s="144" t="s">
        <v>1515</v>
      </c>
      <c r="C427" s="144" t="str">
        <f t="shared" si="15"/>
        <v>VVM type (N if none)</v>
      </c>
      <c r="D427" s="146" t="s">
        <v>1833</v>
      </c>
      <c r="E427" s="146" t="s">
        <v>1492</v>
      </c>
      <c r="F427" s="146"/>
      <c r="G427" s="146"/>
      <c r="H427" s="146"/>
      <c r="I427" s="146"/>
    </row>
    <row r="428" spans="1:9">
      <c r="A428" s="142">
        <f t="shared" si="14"/>
        <v>420</v>
      </c>
      <c r="B428" s="144" t="s">
        <v>1515</v>
      </c>
      <c r="C428" s="144" t="str">
        <f t="shared" si="15"/>
        <v>Manufacturer or source of data</v>
      </c>
      <c r="D428" s="146" t="s">
        <v>1834</v>
      </c>
      <c r="E428" s="146" t="s">
        <v>1493</v>
      </c>
      <c r="F428" s="146"/>
      <c r="G428" s="146"/>
      <c r="H428" s="146"/>
      <c r="I428" s="146"/>
    </row>
    <row r="429" spans="1:9">
      <c r="A429" s="142">
        <f t="shared" si="14"/>
        <v>421</v>
      </c>
      <c r="B429" s="144" t="s">
        <v>1515</v>
      </c>
      <c r="C429" s="144" t="str">
        <f t="shared" si="15"/>
        <v>Qualification date (WHO, NRA)</v>
      </c>
      <c r="D429" s="146" t="s">
        <v>1835</v>
      </c>
      <c r="E429" s="146" t="s">
        <v>1494</v>
      </c>
      <c r="F429" s="146"/>
      <c r="G429" s="146"/>
      <c r="H429" s="146"/>
      <c r="I429" s="146"/>
    </row>
    <row r="430" spans="1:9">
      <c r="A430" s="142">
        <f t="shared" si="14"/>
        <v>422</v>
      </c>
      <c r="B430" s="144" t="s">
        <v>1515</v>
      </c>
      <c r="C430" s="144" t="str">
        <f t="shared" si="15"/>
        <v>Data source notes</v>
      </c>
      <c r="D430" s="146" t="s">
        <v>1836</v>
      </c>
      <c r="E430" s="146" t="s">
        <v>1496</v>
      </c>
      <c r="F430" s="146"/>
      <c r="G430" s="146"/>
      <c r="H430" s="146"/>
      <c r="I430" s="146"/>
    </row>
    <row r="431" spans="1:9">
      <c r="A431" s="142">
        <f t="shared" si="14"/>
        <v>423</v>
      </c>
      <c r="B431" s="144" t="s">
        <v>1515</v>
      </c>
      <c r="C431" s="144" t="str">
        <f t="shared" si="15"/>
        <v>Vaccines1 lookup table</v>
      </c>
      <c r="D431" s="146" t="s">
        <v>1853</v>
      </c>
      <c r="E431" s="146" t="s">
        <v>715</v>
      </c>
      <c r="F431" s="146"/>
      <c r="G431" s="146"/>
      <c r="H431" s="146"/>
      <c r="I431" s="146"/>
    </row>
    <row r="432" spans="1:9">
      <c r="A432" s="142">
        <f t="shared" si="14"/>
        <v>424</v>
      </c>
      <c r="B432" s="144" t="s">
        <v>1515</v>
      </c>
      <c r="C432" s="144" t="str">
        <f t="shared" si="15"/>
        <v>DO NOT DELETE</v>
      </c>
      <c r="D432" s="146" t="s">
        <v>1837</v>
      </c>
      <c r="E432" s="146" t="s">
        <v>1838</v>
      </c>
      <c r="F432" s="146"/>
      <c r="G432" s="146"/>
      <c r="H432" s="146"/>
      <c r="I432" s="146"/>
    </row>
    <row r="433" spans="1:1">
      <c r="A433" s="142">
        <f t="shared" ref="A433:A465" si="16">A432+1</f>
        <v>425</v>
      </c>
    </row>
    <row r="434" spans="1:1">
      <c r="A434" s="142">
        <f t="shared" si="16"/>
        <v>426</v>
      </c>
    </row>
    <row r="435" spans="1:1">
      <c r="A435" s="142">
        <f t="shared" si="16"/>
        <v>427</v>
      </c>
    </row>
    <row r="436" spans="1:1">
      <c r="A436" s="142">
        <f t="shared" si="16"/>
        <v>428</v>
      </c>
    </row>
    <row r="437" spans="1:1">
      <c r="A437" s="142">
        <f t="shared" si="16"/>
        <v>429</v>
      </c>
    </row>
    <row r="438" spans="1:1">
      <c r="A438" s="142">
        <f t="shared" si="16"/>
        <v>430</v>
      </c>
    </row>
    <row r="439" spans="1:1">
      <c r="A439" s="142">
        <f t="shared" si="16"/>
        <v>431</v>
      </c>
    </row>
    <row r="440" spans="1:1">
      <c r="A440" s="142">
        <f t="shared" si="16"/>
        <v>432</v>
      </c>
    </row>
    <row r="441" spans="1:1">
      <c r="A441" s="142">
        <f t="shared" si="16"/>
        <v>433</v>
      </c>
    </row>
    <row r="442" spans="1:1">
      <c r="A442" s="142">
        <f t="shared" si="16"/>
        <v>434</v>
      </c>
    </row>
    <row r="443" spans="1:1">
      <c r="A443" s="142">
        <f t="shared" si="16"/>
        <v>435</v>
      </c>
    </row>
    <row r="444" spans="1:1">
      <c r="A444" s="142">
        <f t="shared" si="16"/>
        <v>436</v>
      </c>
    </row>
    <row r="445" spans="1:1">
      <c r="A445" s="142">
        <f t="shared" si="16"/>
        <v>437</v>
      </c>
    </row>
    <row r="446" spans="1:1">
      <c r="A446" s="142">
        <f t="shared" si="16"/>
        <v>438</v>
      </c>
    </row>
    <row r="447" spans="1:1">
      <c r="A447" s="142">
        <f t="shared" si="16"/>
        <v>439</v>
      </c>
    </row>
    <row r="448" spans="1:1">
      <c r="A448" s="142">
        <f t="shared" si="16"/>
        <v>440</v>
      </c>
    </row>
    <row r="449" spans="1:1">
      <c r="A449" s="142">
        <f t="shared" si="16"/>
        <v>441</v>
      </c>
    </row>
    <row r="450" spans="1:1">
      <c r="A450" s="142">
        <f t="shared" si="16"/>
        <v>442</v>
      </c>
    </row>
    <row r="451" spans="1:1">
      <c r="A451" s="142">
        <f t="shared" si="16"/>
        <v>443</v>
      </c>
    </row>
    <row r="452" spans="1:1">
      <c r="A452" s="142">
        <f t="shared" si="16"/>
        <v>444</v>
      </c>
    </row>
    <row r="453" spans="1:1">
      <c r="A453" s="142">
        <f t="shared" si="16"/>
        <v>445</v>
      </c>
    </row>
    <row r="454" spans="1:1">
      <c r="A454" s="142">
        <f t="shared" si="16"/>
        <v>446</v>
      </c>
    </row>
    <row r="455" spans="1:1">
      <c r="A455" s="142">
        <f t="shared" si="16"/>
        <v>447</v>
      </c>
    </row>
    <row r="456" spans="1:1">
      <c r="A456" s="142">
        <f t="shared" si="16"/>
        <v>448</v>
      </c>
    </row>
    <row r="457" spans="1:1">
      <c r="A457" s="142">
        <f t="shared" si="16"/>
        <v>449</v>
      </c>
    </row>
    <row r="458" spans="1:1">
      <c r="A458" s="142">
        <f t="shared" si="16"/>
        <v>450</v>
      </c>
    </row>
    <row r="459" spans="1:1">
      <c r="A459" s="142">
        <f t="shared" si="16"/>
        <v>451</v>
      </c>
    </row>
    <row r="460" spans="1:1">
      <c r="A460" s="142">
        <f t="shared" si="16"/>
        <v>452</v>
      </c>
    </row>
    <row r="461" spans="1:1">
      <c r="A461" s="142">
        <f t="shared" si="16"/>
        <v>453</v>
      </c>
    </row>
    <row r="462" spans="1:1">
      <c r="A462" s="142">
        <f t="shared" si="16"/>
        <v>454</v>
      </c>
    </row>
    <row r="463" spans="1:1">
      <c r="A463" s="142">
        <f t="shared" si="16"/>
        <v>455</v>
      </c>
    </row>
    <row r="464" spans="1:1">
      <c r="A464" s="142">
        <f t="shared" si="16"/>
        <v>456</v>
      </c>
    </row>
    <row r="465" spans="1:1">
      <c r="A465" s="142">
        <f t="shared" si="16"/>
        <v>457</v>
      </c>
    </row>
    <row r="466" spans="1:1">
      <c r="A466" s="142">
        <f t="shared" ref="A466:A529" si="17">A465+1</f>
        <v>458</v>
      </c>
    </row>
    <row r="467" spans="1:1">
      <c r="A467" s="142">
        <f t="shared" si="17"/>
        <v>459</v>
      </c>
    </row>
    <row r="468" spans="1:1">
      <c r="A468" s="142">
        <f t="shared" si="17"/>
        <v>460</v>
      </c>
    </row>
    <row r="469" spans="1:1">
      <c r="A469" s="142">
        <f t="shared" si="17"/>
        <v>461</v>
      </c>
    </row>
    <row r="470" spans="1:1">
      <c r="A470" s="142">
        <f t="shared" si="17"/>
        <v>462</v>
      </c>
    </row>
    <row r="471" spans="1:1">
      <c r="A471" s="142">
        <f t="shared" si="17"/>
        <v>463</v>
      </c>
    </row>
    <row r="472" spans="1:1">
      <c r="A472" s="142">
        <f t="shared" si="17"/>
        <v>464</v>
      </c>
    </row>
    <row r="473" spans="1:1">
      <c r="A473" s="142">
        <f t="shared" si="17"/>
        <v>465</v>
      </c>
    </row>
    <row r="474" spans="1:1">
      <c r="A474" s="142">
        <f t="shared" si="17"/>
        <v>466</v>
      </c>
    </row>
    <row r="475" spans="1:1">
      <c r="A475" s="142">
        <f t="shared" si="17"/>
        <v>467</v>
      </c>
    </row>
    <row r="476" spans="1:1">
      <c r="A476" s="142">
        <f t="shared" si="17"/>
        <v>468</v>
      </c>
    </row>
    <row r="477" spans="1:1">
      <c r="A477" s="142">
        <f t="shared" si="17"/>
        <v>469</v>
      </c>
    </row>
    <row r="478" spans="1:1">
      <c r="A478" s="142">
        <f t="shared" si="17"/>
        <v>470</v>
      </c>
    </row>
    <row r="479" spans="1:1">
      <c r="A479" s="142">
        <f t="shared" si="17"/>
        <v>471</v>
      </c>
    </row>
    <row r="480" spans="1:1">
      <c r="A480" s="142">
        <f t="shared" si="17"/>
        <v>472</v>
      </c>
    </row>
    <row r="481" spans="1:1">
      <c r="A481" s="142">
        <f t="shared" si="17"/>
        <v>473</v>
      </c>
    </row>
    <row r="482" spans="1:1">
      <c r="A482" s="142">
        <f t="shared" si="17"/>
        <v>474</v>
      </c>
    </row>
    <row r="483" spans="1:1">
      <c r="A483" s="142">
        <f t="shared" si="17"/>
        <v>475</v>
      </c>
    </row>
    <row r="484" spans="1:1">
      <c r="A484" s="142">
        <f t="shared" si="17"/>
        <v>476</v>
      </c>
    </row>
    <row r="485" spans="1:1">
      <c r="A485" s="142">
        <f t="shared" si="17"/>
        <v>477</v>
      </c>
    </row>
    <row r="486" spans="1:1">
      <c r="A486" s="142">
        <f t="shared" si="17"/>
        <v>478</v>
      </c>
    </row>
    <row r="487" spans="1:1">
      <c r="A487" s="142">
        <f t="shared" si="17"/>
        <v>479</v>
      </c>
    </row>
    <row r="488" spans="1:1">
      <c r="A488" s="142">
        <f t="shared" si="17"/>
        <v>480</v>
      </c>
    </row>
    <row r="489" spans="1:1">
      <c r="A489" s="142">
        <f t="shared" si="17"/>
        <v>481</v>
      </c>
    </row>
    <row r="490" spans="1:1">
      <c r="A490" s="142">
        <f t="shared" si="17"/>
        <v>482</v>
      </c>
    </row>
    <row r="491" spans="1:1">
      <c r="A491" s="142">
        <f t="shared" si="17"/>
        <v>483</v>
      </c>
    </row>
    <row r="492" spans="1:1">
      <c r="A492" s="142">
        <f t="shared" si="17"/>
        <v>484</v>
      </c>
    </row>
    <row r="493" spans="1:1">
      <c r="A493" s="142">
        <f t="shared" si="17"/>
        <v>485</v>
      </c>
    </row>
    <row r="494" spans="1:1">
      <c r="A494" s="142">
        <f t="shared" si="17"/>
        <v>486</v>
      </c>
    </row>
    <row r="495" spans="1:1">
      <c r="A495" s="142">
        <f t="shared" si="17"/>
        <v>487</v>
      </c>
    </row>
    <row r="496" spans="1:1">
      <c r="A496" s="142">
        <f t="shared" si="17"/>
        <v>488</v>
      </c>
    </row>
    <row r="497" spans="1:1">
      <c r="A497" s="142">
        <f t="shared" si="17"/>
        <v>489</v>
      </c>
    </row>
    <row r="498" spans="1:1">
      <c r="A498" s="142">
        <f t="shared" si="17"/>
        <v>490</v>
      </c>
    </row>
    <row r="499" spans="1:1">
      <c r="A499" s="142">
        <f t="shared" si="17"/>
        <v>491</v>
      </c>
    </row>
    <row r="500" spans="1:1">
      <c r="A500" s="142">
        <f t="shared" si="17"/>
        <v>492</v>
      </c>
    </row>
    <row r="501" spans="1:1">
      <c r="A501" s="142">
        <f t="shared" si="17"/>
        <v>493</v>
      </c>
    </row>
    <row r="502" spans="1:1">
      <c r="A502" s="142">
        <f t="shared" si="17"/>
        <v>494</v>
      </c>
    </row>
    <row r="503" spans="1:1">
      <c r="A503" s="142">
        <f t="shared" si="17"/>
        <v>495</v>
      </c>
    </row>
    <row r="504" spans="1:1">
      <c r="A504" s="142">
        <f t="shared" si="17"/>
        <v>496</v>
      </c>
    </row>
    <row r="505" spans="1:1">
      <c r="A505" s="142">
        <f t="shared" si="17"/>
        <v>497</v>
      </c>
    </row>
    <row r="506" spans="1:1">
      <c r="A506" s="142">
        <f t="shared" si="17"/>
        <v>498</v>
      </c>
    </row>
    <row r="507" spans="1:1">
      <c r="A507" s="142">
        <f t="shared" si="17"/>
        <v>499</v>
      </c>
    </row>
    <row r="508" spans="1:1">
      <c r="A508" s="142">
        <f t="shared" si="17"/>
        <v>500</v>
      </c>
    </row>
    <row r="509" spans="1:1">
      <c r="A509" s="142">
        <f t="shared" si="17"/>
        <v>501</v>
      </c>
    </row>
    <row r="510" spans="1:1">
      <c r="A510" s="142">
        <f t="shared" si="17"/>
        <v>502</v>
      </c>
    </row>
    <row r="511" spans="1:1">
      <c r="A511" s="142">
        <f t="shared" si="17"/>
        <v>503</v>
      </c>
    </row>
    <row r="512" spans="1:1">
      <c r="A512" s="142">
        <f t="shared" si="17"/>
        <v>504</v>
      </c>
    </row>
    <row r="513" spans="1:1">
      <c r="A513" s="142">
        <f t="shared" si="17"/>
        <v>505</v>
      </c>
    </row>
    <row r="514" spans="1:1">
      <c r="A514" s="142">
        <f t="shared" si="17"/>
        <v>506</v>
      </c>
    </row>
    <row r="515" spans="1:1">
      <c r="A515" s="142">
        <f t="shared" si="17"/>
        <v>507</v>
      </c>
    </row>
    <row r="516" spans="1:1">
      <c r="A516" s="142">
        <f t="shared" si="17"/>
        <v>508</v>
      </c>
    </row>
    <row r="517" spans="1:1">
      <c r="A517" s="142">
        <f t="shared" si="17"/>
        <v>509</v>
      </c>
    </row>
    <row r="518" spans="1:1">
      <c r="A518" s="142">
        <f t="shared" si="17"/>
        <v>510</v>
      </c>
    </row>
    <row r="519" spans="1:1">
      <c r="A519" s="142">
        <f t="shared" si="17"/>
        <v>511</v>
      </c>
    </row>
    <row r="520" spans="1:1">
      <c r="A520" s="142">
        <f t="shared" si="17"/>
        <v>512</v>
      </c>
    </row>
    <row r="521" spans="1:1">
      <c r="A521" s="142">
        <f t="shared" si="17"/>
        <v>513</v>
      </c>
    </row>
    <row r="522" spans="1:1">
      <c r="A522" s="142">
        <f t="shared" si="17"/>
        <v>514</v>
      </c>
    </row>
    <row r="523" spans="1:1">
      <c r="A523" s="142">
        <f t="shared" si="17"/>
        <v>515</v>
      </c>
    </row>
    <row r="524" spans="1:1">
      <c r="A524" s="142">
        <f t="shared" si="17"/>
        <v>516</v>
      </c>
    </row>
    <row r="525" spans="1:1">
      <c r="A525" s="142">
        <f t="shared" si="17"/>
        <v>517</v>
      </c>
    </row>
    <row r="526" spans="1:1">
      <c r="A526" s="142">
        <f t="shared" si="17"/>
        <v>518</v>
      </c>
    </row>
    <row r="527" spans="1:1">
      <c r="A527" s="142">
        <f t="shared" si="17"/>
        <v>519</v>
      </c>
    </row>
    <row r="528" spans="1:1">
      <c r="A528" s="142">
        <f t="shared" si="17"/>
        <v>520</v>
      </c>
    </row>
    <row r="529" spans="1:1">
      <c r="A529" s="142">
        <f t="shared" si="17"/>
        <v>521</v>
      </c>
    </row>
    <row r="530" spans="1:1">
      <c r="A530" s="142">
        <f t="shared" ref="A530:A583" si="18">A529+1</f>
        <v>522</v>
      </c>
    </row>
    <row r="531" spans="1:1">
      <c r="A531" s="142">
        <f t="shared" si="18"/>
        <v>523</v>
      </c>
    </row>
    <row r="532" spans="1:1">
      <c r="A532" s="142">
        <f t="shared" si="18"/>
        <v>524</v>
      </c>
    </row>
    <row r="533" spans="1:1">
      <c r="A533" s="142">
        <f t="shared" si="18"/>
        <v>525</v>
      </c>
    </row>
    <row r="534" spans="1:1">
      <c r="A534" s="142">
        <f t="shared" si="18"/>
        <v>526</v>
      </c>
    </row>
    <row r="535" spans="1:1">
      <c r="A535" s="142">
        <f t="shared" si="18"/>
        <v>527</v>
      </c>
    </row>
    <row r="536" spans="1:1">
      <c r="A536" s="142">
        <f t="shared" si="18"/>
        <v>528</v>
      </c>
    </row>
    <row r="537" spans="1:1">
      <c r="A537" s="142">
        <f t="shared" si="18"/>
        <v>529</v>
      </c>
    </row>
    <row r="538" spans="1:1">
      <c r="A538" s="142">
        <f t="shared" si="18"/>
        <v>530</v>
      </c>
    </row>
    <row r="539" spans="1:1">
      <c r="A539" s="142">
        <f t="shared" si="18"/>
        <v>531</v>
      </c>
    </row>
    <row r="540" spans="1:1">
      <c r="A540" s="142">
        <f t="shared" si="18"/>
        <v>532</v>
      </c>
    </row>
    <row r="541" spans="1:1">
      <c r="A541" s="142">
        <f t="shared" si="18"/>
        <v>533</v>
      </c>
    </row>
    <row r="542" spans="1:1">
      <c r="A542" s="142">
        <f t="shared" si="18"/>
        <v>534</v>
      </c>
    </row>
    <row r="543" spans="1:1">
      <c r="A543" s="142">
        <f t="shared" si="18"/>
        <v>535</v>
      </c>
    </row>
    <row r="544" spans="1:1">
      <c r="A544" s="142">
        <f t="shared" si="18"/>
        <v>536</v>
      </c>
    </row>
    <row r="545" spans="1:1">
      <c r="A545" s="142">
        <f t="shared" si="18"/>
        <v>537</v>
      </c>
    </row>
    <row r="546" spans="1:1">
      <c r="A546" s="142">
        <f t="shared" si="18"/>
        <v>538</v>
      </c>
    </row>
    <row r="547" spans="1:1">
      <c r="A547" s="142">
        <f t="shared" si="18"/>
        <v>539</v>
      </c>
    </row>
    <row r="548" spans="1:1">
      <c r="A548" s="142">
        <f t="shared" si="18"/>
        <v>540</v>
      </c>
    </row>
    <row r="549" spans="1:1">
      <c r="A549" s="142">
        <f t="shared" si="18"/>
        <v>541</v>
      </c>
    </row>
    <row r="550" spans="1:1">
      <c r="A550" s="142">
        <f t="shared" si="18"/>
        <v>542</v>
      </c>
    </row>
    <row r="551" spans="1:1">
      <c r="A551" s="142">
        <f t="shared" si="18"/>
        <v>543</v>
      </c>
    </row>
    <row r="552" spans="1:1">
      <c r="A552" s="142">
        <f t="shared" si="18"/>
        <v>544</v>
      </c>
    </row>
    <row r="553" spans="1:1">
      <c r="A553" s="142">
        <f t="shared" si="18"/>
        <v>545</v>
      </c>
    </row>
    <row r="554" spans="1:1">
      <c r="A554" s="142">
        <f t="shared" si="18"/>
        <v>546</v>
      </c>
    </row>
    <row r="555" spans="1:1">
      <c r="A555" s="142">
        <f t="shared" si="18"/>
        <v>547</v>
      </c>
    </row>
    <row r="556" spans="1:1">
      <c r="A556" s="142">
        <f t="shared" si="18"/>
        <v>548</v>
      </c>
    </row>
    <row r="557" spans="1:1">
      <c r="A557" s="142">
        <f t="shared" si="18"/>
        <v>549</v>
      </c>
    </row>
    <row r="558" spans="1:1">
      <c r="A558" s="142">
        <f t="shared" si="18"/>
        <v>550</v>
      </c>
    </row>
    <row r="559" spans="1:1">
      <c r="A559" s="142">
        <f t="shared" si="18"/>
        <v>551</v>
      </c>
    </row>
    <row r="560" spans="1:1">
      <c r="A560" s="142">
        <f t="shared" si="18"/>
        <v>552</v>
      </c>
    </row>
    <row r="561" spans="1:1">
      <c r="A561" s="142">
        <f t="shared" si="18"/>
        <v>553</v>
      </c>
    </row>
    <row r="562" spans="1:1">
      <c r="A562" s="142">
        <f t="shared" si="18"/>
        <v>554</v>
      </c>
    </row>
    <row r="563" spans="1:1">
      <c r="A563" s="142">
        <f t="shared" si="18"/>
        <v>555</v>
      </c>
    </row>
    <row r="564" spans="1:1">
      <c r="A564" s="142">
        <f t="shared" si="18"/>
        <v>556</v>
      </c>
    </row>
    <row r="565" spans="1:1">
      <c r="A565" s="142">
        <f t="shared" si="18"/>
        <v>557</v>
      </c>
    </row>
    <row r="566" spans="1:1">
      <c r="A566" s="142">
        <f t="shared" si="18"/>
        <v>558</v>
      </c>
    </row>
    <row r="567" spans="1:1">
      <c r="A567" s="142">
        <f t="shared" si="18"/>
        <v>559</v>
      </c>
    </row>
    <row r="568" spans="1:1">
      <c r="A568" s="142">
        <f t="shared" si="18"/>
        <v>560</v>
      </c>
    </row>
    <row r="569" spans="1:1">
      <c r="A569" s="142">
        <f t="shared" si="18"/>
        <v>561</v>
      </c>
    </row>
    <row r="570" spans="1:1">
      <c r="A570" s="142">
        <f t="shared" si="18"/>
        <v>562</v>
      </c>
    </row>
    <row r="571" spans="1:1">
      <c r="A571" s="142">
        <f t="shared" si="18"/>
        <v>563</v>
      </c>
    </row>
    <row r="572" spans="1:1">
      <c r="A572" s="142">
        <f t="shared" si="18"/>
        <v>564</v>
      </c>
    </row>
    <row r="573" spans="1:1">
      <c r="A573" s="142">
        <f t="shared" si="18"/>
        <v>565</v>
      </c>
    </row>
    <row r="574" spans="1:1">
      <c r="A574" s="142">
        <f t="shared" si="18"/>
        <v>566</v>
      </c>
    </row>
    <row r="575" spans="1:1">
      <c r="A575" s="142">
        <f t="shared" si="18"/>
        <v>567</v>
      </c>
    </row>
    <row r="576" spans="1:1">
      <c r="A576" s="142">
        <f t="shared" si="18"/>
        <v>568</v>
      </c>
    </row>
    <row r="577" spans="1:9">
      <c r="A577" s="142">
        <f t="shared" si="18"/>
        <v>569</v>
      </c>
    </row>
    <row r="578" spans="1:9">
      <c r="A578" s="142">
        <f t="shared" si="18"/>
        <v>570</v>
      </c>
    </row>
    <row r="579" spans="1:9">
      <c r="A579" s="142">
        <f t="shared" si="18"/>
        <v>571</v>
      </c>
    </row>
    <row r="580" spans="1:9">
      <c r="A580" s="142">
        <f t="shared" si="18"/>
        <v>572</v>
      </c>
    </row>
    <row r="581" spans="1:9">
      <c r="A581" s="142">
        <f t="shared" si="18"/>
        <v>573</v>
      </c>
    </row>
    <row r="582" spans="1:9">
      <c r="A582" s="142">
        <f t="shared" si="18"/>
        <v>574</v>
      </c>
    </row>
    <row r="583" spans="1:9">
      <c r="A583" s="142">
        <f t="shared" si="18"/>
        <v>575</v>
      </c>
    </row>
    <row r="584" spans="1:9">
      <c r="A584" s="142"/>
      <c r="B584" s="148"/>
      <c r="C584" s="148"/>
      <c r="D584" s="148"/>
      <c r="E584" s="148"/>
      <c r="F584" s="148"/>
      <c r="G584" s="148"/>
      <c r="H584" s="148"/>
      <c r="I584" s="148"/>
    </row>
    <row r="585" spans="1:9">
      <c r="A585" s="147"/>
      <c r="B585" s="148"/>
      <c r="C585" s="148"/>
      <c r="D585" s="148"/>
      <c r="E585" s="148"/>
      <c r="F585" s="148"/>
      <c r="G585" s="148"/>
      <c r="H585" s="148"/>
      <c r="I585" s="148"/>
    </row>
    <row r="586" spans="1:9">
      <c r="A586" s="147"/>
      <c r="B586" s="148"/>
      <c r="C586" s="148"/>
      <c r="D586" s="148"/>
      <c r="E586" s="148"/>
      <c r="F586" s="148"/>
      <c r="G586" s="148"/>
      <c r="H586" s="148"/>
      <c r="I586" s="148"/>
    </row>
    <row r="587" spans="1:9">
      <c r="A587" s="147"/>
      <c r="B587" s="148"/>
      <c r="C587" s="148"/>
      <c r="D587" s="148"/>
      <c r="E587" s="148"/>
      <c r="F587" s="148"/>
      <c r="G587" s="148"/>
      <c r="H587" s="148"/>
      <c r="I587" s="148"/>
    </row>
    <row r="588" spans="1:9">
      <c r="A588" s="147"/>
      <c r="B588" s="148"/>
      <c r="C588" s="148"/>
      <c r="D588" s="148"/>
      <c r="E588" s="148"/>
      <c r="F588" s="148"/>
      <c r="G588" s="148"/>
      <c r="H588" s="148"/>
      <c r="I588" s="148"/>
    </row>
    <row r="589" spans="1:9">
      <c r="A589" s="147"/>
      <c r="B589" s="148"/>
      <c r="C589" s="148"/>
      <c r="D589" s="148"/>
      <c r="E589" s="148"/>
      <c r="F589" s="148"/>
      <c r="G589" s="148"/>
      <c r="H589" s="148"/>
      <c r="I589" s="148"/>
    </row>
    <row r="590" spans="1:9">
      <c r="A590" s="147"/>
      <c r="B590" s="148"/>
      <c r="C590" s="148"/>
      <c r="D590" s="148"/>
      <c r="E590" s="148"/>
      <c r="F590" s="148"/>
      <c r="G590" s="148"/>
      <c r="H590" s="148"/>
      <c r="I590" s="148"/>
    </row>
    <row r="591" spans="1:9">
      <c r="A591" s="147"/>
      <c r="B591" s="148"/>
      <c r="C591" s="148"/>
      <c r="D591" s="148"/>
      <c r="E591" s="148"/>
      <c r="F591" s="148"/>
      <c r="G591" s="148"/>
      <c r="H591" s="148"/>
      <c r="I591" s="148"/>
    </row>
    <row r="592" spans="1:9">
      <c r="A592" s="147"/>
      <c r="B592" s="148"/>
      <c r="C592" s="148"/>
      <c r="D592" s="148"/>
      <c r="E592" s="148"/>
      <c r="F592" s="148"/>
      <c r="G592" s="148"/>
      <c r="H592" s="148"/>
      <c r="I592" s="148"/>
    </row>
    <row r="593" spans="1:9">
      <c r="A593" s="147"/>
      <c r="B593" s="148"/>
      <c r="C593" s="148"/>
      <c r="D593" s="148"/>
      <c r="E593" s="148"/>
      <c r="F593" s="148"/>
      <c r="G593" s="148"/>
      <c r="H593" s="148"/>
      <c r="I593" s="148"/>
    </row>
    <row r="594" spans="1:9">
      <c r="A594" s="147"/>
      <c r="B594" s="148"/>
      <c r="C594" s="148"/>
      <c r="D594" s="148"/>
      <c r="E594" s="148"/>
      <c r="F594" s="148"/>
      <c r="G594" s="148"/>
      <c r="H594" s="148"/>
      <c r="I594" s="148"/>
    </row>
    <row r="595" spans="1:9">
      <c r="A595" s="147"/>
      <c r="B595" s="148"/>
      <c r="C595" s="148"/>
      <c r="D595" s="148"/>
      <c r="E595" s="148"/>
      <c r="F595" s="148"/>
      <c r="G595" s="148"/>
      <c r="H595" s="148"/>
      <c r="I595" s="148"/>
    </row>
    <row r="596" spans="1:9">
      <c r="A596" s="147"/>
      <c r="B596" s="148"/>
      <c r="C596" s="148"/>
      <c r="D596" s="148"/>
      <c r="E596" s="148"/>
      <c r="F596" s="148"/>
      <c r="G596" s="148"/>
      <c r="H596" s="148"/>
      <c r="I596" s="148"/>
    </row>
    <row r="597" spans="1:9">
      <c r="A597" s="147"/>
      <c r="B597" s="148"/>
      <c r="C597" s="148"/>
      <c r="D597" s="148"/>
      <c r="E597" s="148"/>
      <c r="F597" s="148"/>
      <c r="G597" s="148"/>
      <c r="H597" s="148"/>
      <c r="I597" s="148"/>
    </row>
    <row r="598" spans="1:9">
      <c r="A598" s="147"/>
      <c r="B598" s="148"/>
      <c r="C598" s="148"/>
      <c r="D598" s="148"/>
      <c r="E598" s="148"/>
      <c r="F598" s="148"/>
      <c r="G598" s="148"/>
      <c r="H598" s="148"/>
      <c r="I598" s="148"/>
    </row>
    <row r="599" spans="1:9">
      <c r="A599" s="147"/>
      <c r="B599" s="148"/>
      <c r="C599" s="148"/>
      <c r="D599" s="148"/>
      <c r="E599" s="148"/>
      <c r="F599" s="148"/>
      <c r="G599" s="148"/>
      <c r="H599" s="148"/>
      <c r="I599" s="148"/>
    </row>
    <row r="600" spans="1:9">
      <c r="A600" s="147"/>
      <c r="B600" s="148"/>
      <c r="C600" s="148"/>
      <c r="D600" s="148"/>
      <c r="E600" s="148"/>
      <c r="F600" s="148"/>
      <c r="G600" s="148"/>
      <c r="H600" s="148"/>
      <c r="I600" s="148"/>
    </row>
    <row r="601" spans="1:9">
      <c r="A601" s="147"/>
      <c r="B601" s="148"/>
      <c r="C601" s="148"/>
      <c r="D601" s="148"/>
      <c r="E601" s="148"/>
      <c r="F601" s="148"/>
      <c r="G601" s="148"/>
      <c r="H601" s="148"/>
      <c r="I601" s="148"/>
    </row>
    <row r="602" spans="1:9">
      <c r="A602" s="147"/>
      <c r="B602" s="148"/>
      <c r="C602" s="148"/>
      <c r="D602" s="148"/>
      <c r="E602" s="148"/>
      <c r="F602" s="148"/>
      <c r="G602" s="148"/>
      <c r="H602" s="148"/>
      <c r="I602" s="148"/>
    </row>
    <row r="603" spans="1:9">
      <c r="A603" s="147"/>
      <c r="B603" s="148"/>
      <c r="C603" s="148"/>
      <c r="D603" s="148"/>
      <c r="E603" s="148"/>
      <c r="F603" s="148"/>
      <c r="G603" s="148"/>
      <c r="H603" s="148"/>
      <c r="I603" s="148"/>
    </row>
    <row r="604" spans="1:9">
      <c r="A604" s="147"/>
      <c r="B604" s="148"/>
      <c r="C604" s="148"/>
      <c r="D604" s="148"/>
      <c r="E604" s="148"/>
      <c r="F604" s="148"/>
      <c r="G604" s="148"/>
      <c r="H604" s="148"/>
      <c r="I604" s="148"/>
    </row>
    <row r="605" spans="1:9">
      <c r="A605" s="147"/>
      <c r="B605" s="148"/>
      <c r="C605" s="148"/>
      <c r="D605" s="148"/>
      <c r="E605" s="148"/>
      <c r="F605" s="148"/>
      <c r="G605" s="148"/>
      <c r="H605" s="148"/>
      <c r="I605" s="148"/>
    </row>
    <row r="606" spans="1:9">
      <c r="A606" s="147"/>
      <c r="B606" s="148"/>
      <c r="C606" s="148"/>
      <c r="D606" s="148"/>
      <c r="E606" s="148"/>
      <c r="F606" s="148"/>
      <c r="G606" s="148"/>
      <c r="H606" s="148"/>
      <c r="I606" s="148"/>
    </row>
    <row r="607" spans="1:9">
      <c r="A607" s="147"/>
      <c r="B607" s="148"/>
      <c r="C607" s="148"/>
      <c r="D607" s="148"/>
      <c r="E607" s="148"/>
      <c r="F607" s="148"/>
      <c r="G607" s="148"/>
      <c r="H607" s="148"/>
      <c r="I607" s="148"/>
    </row>
    <row r="608" spans="1:9">
      <c r="A608" s="147"/>
      <c r="B608" s="148"/>
      <c r="C608" s="148"/>
      <c r="D608" s="148"/>
      <c r="E608" s="148"/>
      <c r="F608" s="148"/>
      <c r="G608" s="148"/>
      <c r="H608" s="148"/>
      <c r="I608" s="148"/>
    </row>
    <row r="609" spans="1:9">
      <c r="A609" s="147"/>
      <c r="B609" s="148"/>
      <c r="C609" s="148"/>
      <c r="D609" s="148"/>
      <c r="E609" s="148"/>
      <c r="F609" s="148"/>
      <c r="G609" s="148"/>
      <c r="H609" s="148"/>
      <c r="I609" s="148"/>
    </row>
    <row r="610" spans="1:9">
      <c r="A610" s="147"/>
      <c r="B610" s="148"/>
      <c r="C610" s="148"/>
      <c r="D610" s="148"/>
      <c r="E610" s="148"/>
      <c r="F610" s="148"/>
      <c r="G610" s="148"/>
      <c r="H610" s="148"/>
      <c r="I610" s="148"/>
    </row>
    <row r="611" spans="1:9">
      <c r="A611" s="147"/>
      <c r="B611" s="148"/>
      <c r="C611" s="148"/>
      <c r="D611" s="148"/>
      <c r="E611" s="148"/>
      <c r="F611" s="148"/>
      <c r="G611" s="148"/>
      <c r="H611" s="148"/>
      <c r="I611" s="148"/>
    </row>
    <row r="612" spans="1:9">
      <c r="A612" s="147"/>
      <c r="B612" s="148"/>
      <c r="C612" s="148"/>
      <c r="D612" s="148"/>
      <c r="E612" s="148"/>
      <c r="F612" s="148"/>
      <c r="G612" s="148"/>
      <c r="H612" s="148"/>
      <c r="I612" s="148"/>
    </row>
    <row r="613" spans="1:9">
      <c r="A613" s="147"/>
      <c r="B613" s="148"/>
      <c r="C613" s="148"/>
      <c r="D613" s="148"/>
      <c r="E613" s="148"/>
      <c r="F613" s="148"/>
      <c r="G613" s="148"/>
      <c r="H613" s="148"/>
      <c r="I613" s="148"/>
    </row>
    <row r="614" spans="1:9">
      <c r="A614" s="147"/>
      <c r="B614" s="148"/>
      <c r="C614" s="148"/>
      <c r="D614" s="148"/>
      <c r="E614" s="148"/>
      <c r="F614" s="148"/>
      <c r="G614" s="148"/>
      <c r="H614" s="148"/>
      <c r="I614" s="148"/>
    </row>
    <row r="615" spans="1:9">
      <c r="A615" s="147"/>
      <c r="B615" s="148"/>
      <c r="C615" s="148"/>
      <c r="D615" s="148"/>
      <c r="E615" s="148"/>
      <c r="F615" s="148"/>
      <c r="G615" s="148"/>
      <c r="H615" s="148"/>
      <c r="I615" s="148"/>
    </row>
    <row r="616" spans="1:9">
      <c r="A616" s="147"/>
      <c r="B616" s="148"/>
      <c r="C616" s="148"/>
      <c r="D616" s="148"/>
      <c r="E616" s="148"/>
      <c r="F616" s="148"/>
      <c r="G616" s="148"/>
      <c r="H616" s="148"/>
      <c r="I616" s="148"/>
    </row>
    <row r="617" spans="1:9">
      <c r="A617" s="147"/>
      <c r="B617" s="148"/>
      <c r="C617" s="148"/>
      <c r="D617" s="148"/>
      <c r="E617" s="148"/>
      <c r="F617" s="148"/>
      <c r="G617" s="148"/>
      <c r="H617" s="148"/>
      <c r="I617" s="148"/>
    </row>
    <row r="618" spans="1:9">
      <c r="A618" s="147"/>
      <c r="B618" s="148"/>
      <c r="C618" s="148"/>
      <c r="D618" s="148"/>
      <c r="E618" s="148"/>
      <c r="F618" s="148"/>
      <c r="G618" s="148"/>
      <c r="H618" s="148"/>
      <c r="I618" s="148"/>
    </row>
    <row r="619" spans="1:9">
      <c r="A619" s="147"/>
      <c r="B619" s="148"/>
      <c r="C619" s="148"/>
      <c r="D619" s="148"/>
      <c r="E619" s="148"/>
      <c r="F619" s="148"/>
      <c r="G619" s="148"/>
      <c r="H619" s="148"/>
      <c r="I619" s="148"/>
    </row>
    <row r="620" spans="1:9">
      <c r="A620" s="147"/>
      <c r="B620" s="148"/>
      <c r="C620" s="148"/>
      <c r="D620" s="148"/>
      <c r="E620" s="148"/>
      <c r="F620" s="148"/>
      <c r="G620" s="148"/>
      <c r="H620" s="148"/>
      <c r="I620" s="148"/>
    </row>
    <row r="621" spans="1:9">
      <c r="A621" s="147"/>
      <c r="B621" s="148"/>
      <c r="C621" s="148"/>
      <c r="D621" s="148"/>
      <c r="E621" s="148"/>
      <c r="F621" s="148"/>
      <c r="G621" s="148"/>
      <c r="H621" s="148"/>
      <c r="I621" s="148"/>
    </row>
    <row r="622" spans="1:9">
      <c r="A622" s="147"/>
      <c r="B622" s="148"/>
      <c r="C622" s="148"/>
      <c r="D622" s="148"/>
      <c r="E622" s="148"/>
      <c r="F622" s="148"/>
      <c r="G622" s="148"/>
      <c r="H622" s="148"/>
      <c r="I622" s="148"/>
    </row>
    <row r="623" spans="1:9">
      <c r="A623" s="147"/>
      <c r="B623" s="148"/>
      <c r="C623" s="148"/>
      <c r="D623" s="148"/>
      <c r="E623" s="148"/>
      <c r="F623" s="148"/>
      <c r="G623" s="148"/>
      <c r="H623" s="148"/>
      <c r="I623" s="148"/>
    </row>
    <row r="624" spans="1:9">
      <c r="A624" s="147"/>
      <c r="B624" s="148"/>
      <c r="C624" s="148"/>
      <c r="D624" s="148"/>
      <c r="E624" s="148"/>
      <c r="F624" s="148"/>
      <c r="G624" s="148"/>
      <c r="H624" s="148"/>
      <c r="I624" s="148"/>
    </row>
    <row r="625" spans="1:9">
      <c r="A625" s="147"/>
      <c r="B625" s="148"/>
      <c r="C625" s="148"/>
      <c r="D625" s="148"/>
      <c r="E625" s="148"/>
      <c r="F625" s="148"/>
      <c r="G625" s="148"/>
      <c r="H625" s="148"/>
      <c r="I625" s="148"/>
    </row>
    <row r="626" spans="1:9">
      <c r="A626" s="147"/>
      <c r="B626" s="148"/>
      <c r="C626" s="148"/>
      <c r="D626" s="148"/>
      <c r="E626" s="148"/>
      <c r="F626" s="148"/>
      <c r="G626" s="148"/>
      <c r="H626" s="148"/>
      <c r="I626" s="148"/>
    </row>
    <row r="627" spans="1:9">
      <c r="A627" s="147"/>
      <c r="B627" s="148"/>
      <c r="C627" s="148"/>
      <c r="D627" s="148"/>
      <c r="E627" s="148"/>
      <c r="F627" s="148"/>
      <c r="G627" s="148"/>
      <c r="H627" s="148"/>
      <c r="I627" s="148"/>
    </row>
    <row r="628" spans="1:9">
      <c r="A628" s="147"/>
      <c r="B628" s="148"/>
      <c r="C628" s="148"/>
      <c r="D628" s="148"/>
      <c r="E628" s="148"/>
      <c r="F628" s="148"/>
      <c r="G628" s="148"/>
      <c r="H628" s="148"/>
      <c r="I628" s="148"/>
    </row>
    <row r="629" spans="1:9">
      <c r="A629" s="147"/>
      <c r="B629" s="148"/>
      <c r="C629" s="148"/>
      <c r="D629" s="148"/>
      <c r="E629" s="148"/>
      <c r="F629" s="148"/>
      <c r="G629" s="148"/>
      <c r="H629" s="148"/>
      <c r="I629" s="148"/>
    </row>
    <row r="630" spans="1:9">
      <c r="A630" s="147"/>
      <c r="B630" s="148"/>
      <c r="C630" s="148"/>
      <c r="D630" s="148"/>
      <c r="E630" s="148"/>
      <c r="F630" s="148"/>
      <c r="G630" s="148"/>
      <c r="H630" s="148"/>
      <c r="I630" s="148"/>
    </row>
    <row r="631" spans="1:9">
      <c r="A631" s="147"/>
      <c r="B631" s="148"/>
      <c r="C631" s="148"/>
      <c r="D631" s="148"/>
      <c r="E631" s="148"/>
      <c r="F631" s="148"/>
      <c r="G631" s="148"/>
      <c r="H631" s="148"/>
      <c r="I631" s="148"/>
    </row>
    <row r="632" spans="1:9">
      <c r="A632" s="147"/>
      <c r="B632" s="148"/>
      <c r="C632" s="148"/>
      <c r="D632" s="148"/>
      <c r="E632" s="148"/>
      <c r="F632" s="148"/>
      <c r="G632" s="148"/>
      <c r="H632" s="148"/>
      <c r="I632" s="148"/>
    </row>
    <row r="633" spans="1:9">
      <c r="A633" s="147"/>
      <c r="B633" s="148"/>
      <c r="C633" s="148"/>
      <c r="D633" s="148"/>
      <c r="E633" s="148"/>
      <c r="F633" s="148"/>
      <c r="G633" s="148"/>
      <c r="H633" s="148"/>
      <c r="I633" s="148"/>
    </row>
    <row r="634" spans="1:9">
      <c r="A634" s="147"/>
      <c r="B634" s="148"/>
      <c r="C634" s="148"/>
      <c r="D634" s="148"/>
      <c r="E634" s="148"/>
      <c r="F634" s="148"/>
      <c r="G634" s="148"/>
      <c r="H634" s="148"/>
      <c r="I634" s="148"/>
    </row>
    <row r="635" spans="1:9">
      <c r="A635" s="147"/>
      <c r="B635" s="148"/>
      <c r="C635" s="148"/>
      <c r="D635" s="148"/>
      <c r="E635" s="148"/>
      <c r="F635" s="148"/>
      <c r="G635" s="148"/>
      <c r="H635" s="148"/>
      <c r="I635" s="148"/>
    </row>
    <row r="636" spans="1:9">
      <c r="A636" s="147"/>
      <c r="B636" s="148"/>
      <c r="C636" s="148"/>
      <c r="D636" s="148"/>
      <c r="E636" s="148"/>
      <c r="F636" s="148"/>
      <c r="G636" s="148"/>
      <c r="H636" s="148"/>
      <c r="I636" s="148"/>
    </row>
    <row r="637" spans="1:9">
      <c r="A637" s="147"/>
      <c r="B637" s="148"/>
      <c r="C637" s="148"/>
      <c r="D637" s="148"/>
      <c r="E637" s="148"/>
      <c r="F637" s="148"/>
      <c r="G637" s="148"/>
      <c r="H637" s="148"/>
      <c r="I637" s="148"/>
    </row>
    <row r="638" spans="1:9">
      <c r="A638" s="147"/>
      <c r="B638" s="148"/>
      <c r="C638" s="148"/>
      <c r="D638" s="148"/>
      <c r="E638" s="148"/>
      <c r="F638" s="148"/>
      <c r="G638" s="148"/>
      <c r="H638" s="148"/>
      <c r="I638" s="148"/>
    </row>
    <row r="639" spans="1:9">
      <c r="A639" s="147"/>
      <c r="B639" s="148"/>
      <c r="C639" s="148"/>
      <c r="D639" s="148"/>
      <c r="E639" s="148"/>
      <c r="F639" s="148"/>
      <c r="G639" s="148"/>
      <c r="H639" s="148"/>
      <c r="I639" s="148"/>
    </row>
    <row r="640" spans="1:9">
      <c r="A640" s="147"/>
      <c r="B640" s="148"/>
      <c r="C640" s="148"/>
      <c r="D640" s="148"/>
      <c r="E640" s="148"/>
      <c r="F640" s="148"/>
      <c r="G640" s="148"/>
      <c r="H640" s="148"/>
      <c r="I640" s="148"/>
    </row>
    <row r="641" spans="1:9">
      <c r="A641" s="147"/>
      <c r="B641" s="148"/>
      <c r="C641" s="148"/>
      <c r="D641" s="148"/>
      <c r="E641" s="148"/>
      <c r="F641" s="148"/>
      <c r="G641" s="148"/>
      <c r="H641" s="148"/>
      <c r="I641" s="148"/>
    </row>
    <row r="642" spans="1:9">
      <c r="A642" s="147"/>
      <c r="B642" s="148"/>
      <c r="C642" s="148"/>
      <c r="D642" s="148"/>
      <c r="E642" s="148"/>
      <c r="F642" s="148"/>
      <c r="G642" s="148"/>
      <c r="H642" s="148"/>
      <c r="I642" s="148"/>
    </row>
    <row r="643" spans="1:9">
      <c r="A643" s="147"/>
      <c r="B643" s="148"/>
      <c r="C643" s="148"/>
      <c r="D643" s="148"/>
      <c r="E643" s="148"/>
      <c r="F643" s="148"/>
      <c r="G643" s="148"/>
      <c r="H643" s="148"/>
      <c r="I643" s="148"/>
    </row>
    <row r="644" spans="1:9">
      <c r="A644" s="147"/>
      <c r="B644" s="148"/>
      <c r="C644" s="148"/>
      <c r="D644" s="148"/>
      <c r="E644" s="148"/>
      <c r="F644" s="148"/>
      <c r="G644" s="148"/>
      <c r="H644" s="148"/>
      <c r="I644" s="148"/>
    </row>
    <row r="645" spans="1:9">
      <c r="A645" s="147"/>
      <c r="B645" s="148"/>
      <c r="C645" s="148"/>
      <c r="D645" s="148"/>
      <c r="E645" s="148"/>
      <c r="F645" s="148"/>
      <c r="G645" s="148"/>
      <c r="H645" s="148"/>
      <c r="I645" s="148"/>
    </row>
    <row r="646" spans="1:9">
      <c r="A646" s="147"/>
      <c r="B646" s="148"/>
      <c r="C646" s="148"/>
      <c r="D646" s="148"/>
      <c r="E646" s="148"/>
      <c r="F646" s="148"/>
      <c r="G646" s="148"/>
      <c r="H646" s="148"/>
      <c r="I646" s="148"/>
    </row>
    <row r="647" spans="1:9">
      <c r="A647" s="147"/>
      <c r="B647" s="148"/>
      <c r="C647" s="148"/>
      <c r="D647" s="148"/>
      <c r="E647" s="148"/>
      <c r="F647" s="148"/>
      <c r="G647" s="148"/>
      <c r="H647" s="148"/>
      <c r="I647" s="148"/>
    </row>
    <row r="648" spans="1:9">
      <c r="A648" s="147"/>
      <c r="B648" s="148"/>
      <c r="C648" s="148"/>
      <c r="D648" s="148"/>
      <c r="E648" s="148"/>
      <c r="F648" s="148"/>
      <c r="G648" s="148"/>
      <c r="H648" s="148"/>
      <c r="I648" s="148"/>
    </row>
    <row r="649" spans="1:9">
      <c r="A649" s="147"/>
      <c r="B649" s="148"/>
      <c r="C649" s="148"/>
      <c r="D649" s="148"/>
      <c r="E649" s="148"/>
      <c r="F649" s="148"/>
      <c r="G649" s="148"/>
      <c r="H649" s="148"/>
      <c r="I649" s="148"/>
    </row>
    <row r="650" spans="1:9">
      <c r="A650" s="147"/>
      <c r="B650" s="148"/>
      <c r="C650" s="148"/>
      <c r="D650" s="148"/>
      <c r="E650" s="148"/>
      <c r="F650" s="148"/>
      <c r="G650" s="148"/>
      <c r="H650" s="148"/>
      <c r="I650" s="148"/>
    </row>
    <row r="651" spans="1:9">
      <c r="A651" s="147"/>
      <c r="B651" s="148"/>
      <c r="C651" s="148"/>
      <c r="D651" s="148"/>
      <c r="E651" s="148"/>
      <c r="F651" s="148"/>
      <c r="G651" s="148"/>
      <c r="H651" s="148"/>
      <c r="I651" s="148"/>
    </row>
    <row r="652" spans="1:9">
      <c r="A652" s="147"/>
      <c r="B652" s="148"/>
      <c r="C652" s="148"/>
      <c r="D652" s="148"/>
      <c r="E652" s="148"/>
      <c r="F652" s="148"/>
      <c r="G652" s="148"/>
      <c r="H652" s="148"/>
      <c r="I652" s="148"/>
    </row>
    <row r="653" spans="1:9">
      <c r="A653" s="147"/>
      <c r="B653" s="148"/>
      <c r="C653" s="148"/>
      <c r="D653" s="148"/>
      <c r="E653" s="148"/>
      <c r="F653" s="148"/>
      <c r="G653" s="148"/>
      <c r="H653" s="148"/>
      <c r="I653" s="148"/>
    </row>
    <row r="654" spans="1:9">
      <c r="A654" s="147"/>
      <c r="B654" s="148"/>
      <c r="C654" s="148"/>
      <c r="D654" s="148"/>
      <c r="E654" s="148"/>
      <c r="F654" s="148"/>
      <c r="G654" s="148"/>
      <c r="H654" s="148"/>
      <c r="I654" s="148"/>
    </row>
    <row r="655" spans="1:9">
      <c r="A655" s="147"/>
      <c r="B655" s="148"/>
      <c r="C655" s="148"/>
      <c r="D655" s="148"/>
      <c r="E655" s="148"/>
      <c r="F655" s="148"/>
      <c r="G655" s="148"/>
      <c r="H655" s="148"/>
      <c r="I655" s="148"/>
    </row>
    <row r="656" spans="1:9">
      <c r="A656" s="147"/>
      <c r="B656" s="148"/>
      <c r="C656" s="148"/>
      <c r="D656" s="148"/>
      <c r="E656" s="148"/>
      <c r="F656" s="148"/>
      <c r="G656" s="148"/>
      <c r="H656" s="148"/>
      <c r="I656" s="148"/>
    </row>
    <row r="657" spans="1:9">
      <c r="A657" s="147"/>
      <c r="B657" s="148"/>
      <c r="C657" s="148"/>
      <c r="D657" s="148"/>
      <c r="E657" s="148"/>
      <c r="F657" s="148"/>
      <c r="G657" s="148"/>
      <c r="H657" s="148"/>
      <c r="I657" s="148"/>
    </row>
    <row r="658" spans="1:9">
      <c r="A658" s="147"/>
      <c r="B658" s="148"/>
      <c r="C658" s="148"/>
      <c r="D658" s="148"/>
      <c r="E658" s="148"/>
      <c r="F658" s="148"/>
      <c r="G658" s="148"/>
      <c r="H658" s="148"/>
      <c r="I658" s="148"/>
    </row>
    <row r="659" spans="1:9">
      <c r="A659" s="147"/>
      <c r="B659" s="148"/>
      <c r="C659" s="148"/>
      <c r="D659" s="148"/>
      <c r="E659" s="148"/>
      <c r="F659" s="148"/>
      <c r="G659" s="148"/>
      <c r="H659" s="148"/>
      <c r="I659" s="148"/>
    </row>
    <row r="660" spans="1:9">
      <c r="A660" s="147"/>
      <c r="B660" s="148"/>
      <c r="C660" s="148"/>
      <c r="D660" s="148"/>
      <c r="E660" s="148"/>
      <c r="F660" s="148"/>
      <c r="G660" s="148"/>
      <c r="H660" s="148"/>
      <c r="I660" s="148"/>
    </row>
    <row r="661" spans="1:9">
      <c r="A661" s="147"/>
      <c r="B661" s="148"/>
      <c r="C661" s="148"/>
      <c r="D661" s="148"/>
      <c r="E661" s="148"/>
      <c r="F661" s="148"/>
      <c r="G661" s="148"/>
      <c r="H661" s="148"/>
      <c r="I661" s="148"/>
    </row>
    <row r="662" spans="1:9">
      <c r="A662" s="147"/>
      <c r="B662" s="148"/>
      <c r="C662" s="148"/>
      <c r="D662" s="148"/>
      <c r="E662" s="148"/>
      <c r="F662" s="148"/>
      <c r="G662" s="148"/>
      <c r="H662" s="148"/>
      <c r="I662" s="148"/>
    </row>
    <row r="663" spans="1:9">
      <c r="A663" s="147"/>
      <c r="B663" s="148"/>
      <c r="C663" s="148"/>
      <c r="D663" s="148"/>
      <c r="E663" s="148"/>
      <c r="F663" s="148"/>
      <c r="G663" s="148"/>
      <c r="H663" s="148"/>
      <c r="I663" s="148"/>
    </row>
  </sheetData>
  <sheetProtection sheet="1"/>
  <autoFilter ref="A9:I432" xr:uid="{00000000-0009-0000-0000-00001C000000}"/>
  <phoneticPr fontId="4" type="noConversion"/>
  <hyperlinks>
    <hyperlink ref="F1" location="Index!B1" display="Index!B1" xr:uid="{00000000-0004-0000-1C00-000000000000}"/>
  </hyperlinks>
  <pageMargins left="0.75" right="0.75" top="1" bottom="1" header="0.5" footer="0.5"/>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indexed="23"/>
  </sheetPr>
  <dimension ref="B1:F167"/>
  <sheetViews>
    <sheetView workbookViewId="0">
      <selection activeCell="E28" sqref="E28"/>
    </sheetView>
  </sheetViews>
  <sheetFormatPr defaultColWidth="9.109375" defaultRowHeight="13.2"/>
  <cols>
    <col min="1" max="1" width="2.6640625" style="283" customWidth="1"/>
    <col min="2" max="2" width="8.77734375" style="283" customWidth="1"/>
    <col min="3" max="3" width="11" style="288" customWidth="1"/>
    <col min="4" max="4" width="44.33203125" style="289" customWidth="1"/>
    <col min="5" max="5" width="43.109375" style="289" customWidth="1"/>
    <col min="6" max="6" width="22.44140625" style="289" customWidth="1"/>
    <col min="7" max="16384" width="9.109375" style="283"/>
  </cols>
  <sheetData>
    <row r="1" spans="2:6" ht="21">
      <c r="B1" s="284" t="s">
        <v>1871</v>
      </c>
      <c r="C1" s="285"/>
      <c r="D1" s="286"/>
      <c r="E1" s="286"/>
      <c r="F1" s="287" t="s">
        <v>1536</v>
      </c>
    </row>
    <row r="3" spans="2:6">
      <c r="B3" s="290" t="s">
        <v>1872</v>
      </c>
      <c r="C3" s="291" t="s">
        <v>1873</v>
      </c>
      <c r="D3" s="292" t="s">
        <v>1874</v>
      </c>
      <c r="E3" s="292" t="s">
        <v>1875</v>
      </c>
      <c r="F3" s="292" t="s">
        <v>1876</v>
      </c>
    </row>
    <row r="4" spans="2:6" ht="26.4">
      <c r="B4" s="293" t="s">
        <v>455</v>
      </c>
      <c r="C4" s="294">
        <v>40918</v>
      </c>
      <c r="D4" s="295" t="s">
        <v>1878</v>
      </c>
      <c r="E4" s="295"/>
      <c r="F4" s="295" t="s">
        <v>1877</v>
      </c>
    </row>
    <row r="5" spans="2:6">
      <c r="B5" s="293"/>
      <c r="C5" s="294"/>
      <c r="D5" s="295"/>
      <c r="E5" s="295"/>
      <c r="F5" s="297"/>
    </row>
    <row r="6" spans="2:6">
      <c r="B6" s="293"/>
      <c r="C6" s="294"/>
      <c r="D6" s="295"/>
      <c r="E6" s="295"/>
      <c r="F6" s="295"/>
    </row>
    <row r="7" spans="2:6">
      <c r="B7" s="293"/>
      <c r="C7" s="294"/>
      <c r="D7" s="295"/>
      <c r="E7" s="295"/>
      <c r="F7" s="298"/>
    </row>
    <row r="8" spans="2:6">
      <c r="B8" s="293"/>
      <c r="C8" s="294"/>
      <c r="D8" s="295"/>
      <c r="E8" s="295"/>
      <c r="F8" s="298"/>
    </row>
    <row r="9" spans="2:6">
      <c r="B9" s="293"/>
      <c r="C9" s="294"/>
      <c r="D9" s="295"/>
      <c r="E9" s="295"/>
      <c r="F9" s="295"/>
    </row>
    <row r="10" spans="2:6">
      <c r="B10" s="293"/>
      <c r="C10" s="294"/>
      <c r="D10" s="298"/>
      <c r="E10" s="298"/>
      <c r="F10" s="296"/>
    </row>
    <row r="11" spans="2:6">
      <c r="B11" s="293"/>
      <c r="C11" s="294"/>
      <c r="D11" s="295"/>
      <c r="E11" s="295"/>
      <c r="F11" s="295"/>
    </row>
    <row r="12" spans="2:6">
      <c r="B12" s="293"/>
      <c r="C12" s="294"/>
      <c r="D12" s="295"/>
      <c r="E12" s="295"/>
      <c r="F12" s="295"/>
    </row>
    <row r="13" spans="2:6">
      <c r="B13" s="293"/>
      <c r="C13" s="294"/>
      <c r="D13" s="295"/>
      <c r="E13" s="295"/>
      <c r="F13" s="295"/>
    </row>
    <row r="14" spans="2:6">
      <c r="B14" s="293"/>
      <c r="C14" s="294"/>
      <c r="D14" s="295"/>
      <c r="E14" s="295"/>
      <c r="F14" s="295"/>
    </row>
    <row r="15" spans="2:6">
      <c r="B15" s="293"/>
      <c r="C15" s="294"/>
      <c r="D15" s="295"/>
      <c r="E15" s="295"/>
      <c r="F15" s="295"/>
    </row>
    <row r="16" spans="2:6">
      <c r="B16" s="293"/>
      <c r="C16" s="294"/>
      <c r="D16" s="295"/>
      <c r="E16" s="295"/>
      <c r="F16" s="295"/>
    </row>
    <row r="17" spans="2:6">
      <c r="B17" s="293"/>
      <c r="C17" s="294"/>
      <c r="D17" s="295"/>
      <c r="E17" s="295"/>
      <c r="F17" s="295"/>
    </row>
    <row r="18" spans="2:6">
      <c r="B18" s="293"/>
      <c r="C18" s="294"/>
      <c r="D18" s="295"/>
      <c r="E18" s="295"/>
      <c r="F18" s="295"/>
    </row>
    <row r="19" spans="2:6">
      <c r="B19" s="293"/>
      <c r="C19" s="294"/>
      <c r="D19" s="295"/>
      <c r="E19" s="295"/>
      <c r="F19" s="295"/>
    </row>
    <row r="20" spans="2:6">
      <c r="B20" s="293"/>
      <c r="C20" s="294"/>
      <c r="D20" s="295"/>
      <c r="E20" s="295"/>
      <c r="F20" s="295"/>
    </row>
    <row r="21" spans="2:6">
      <c r="B21" s="293"/>
      <c r="C21" s="294"/>
      <c r="D21" s="295"/>
      <c r="E21" s="295"/>
      <c r="F21" s="295"/>
    </row>
    <row r="22" spans="2:6">
      <c r="B22" s="293"/>
      <c r="C22" s="294"/>
      <c r="D22" s="295"/>
      <c r="E22" s="295"/>
      <c r="F22" s="295"/>
    </row>
    <row r="23" spans="2:6">
      <c r="B23" s="293"/>
      <c r="C23" s="294"/>
      <c r="D23" s="295"/>
      <c r="E23" s="295"/>
      <c r="F23" s="295"/>
    </row>
    <row r="24" spans="2:6">
      <c r="B24" s="293"/>
      <c r="C24" s="294"/>
      <c r="D24" s="295"/>
      <c r="E24" s="295"/>
      <c r="F24" s="295"/>
    </row>
    <row r="25" spans="2:6">
      <c r="B25" s="293"/>
      <c r="C25" s="294"/>
      <c r="D25" s="295"/>
      <c r="E25" s="295"/>
      <c r="F25" s="295"/>
    </row>
    <row r="26" spans="2:6">
      <c r="B26" s="293"/>
      <c r="C26" s="294"/>
      <c r="D26" s="295"/>
      <c r="E26" s="295"/>
      <c r="F26" s="295"/>
    </row>
    <row r="27" spans="2:6">
      <c r="B27" s="293"/>
      <c r="C27" s="294"/>
      <c r="D27" s="295"/>
      <c r="E27" s="295"/>
      <c r="F27" s="295"/>
    </row>
    <row r="28" spans="2:6">
      <c r="B28" s="293"/>
      <c r="C28" s="294"/>
      <c r="D28" s="295"/>
      <c r="E28" s="295"/>
      <c r="F28" s="295"/>
    </row>
    <row r="29" spans="2:6">
      <c r="B29" s="293"/>
      <c r="C29" s="294"/>
      <c r="D29" s="295"/>
      <c r="E29" s="295"/>
      <c r="F29" s="295"/>
    </row>
    <row r="30" spans="2:6">
      <c r="B30" s="293"/>
      <c r="C30" s="294"/>
      <c r="D30" s="295"/>
      <c r="E30" s="295"/>
      <c r="F30" s="295"/>
    </row>
    <row r="31" spans="2:6">
      <c r="B31" s="293"/>
      <c r="C31" s="294"/>
      <c r="D31" s="295"/>
      <c r="E31" s="295"/>
      <c r="F31" s="295"/>
    </row>
    <row r="32" spans="2:6">
      <c r="B32" s="293"/>
      <c r="C32" s="294"/>
      <c r="D32" s="295"/>
      <c r="E32" s="295"/>
      <c r="F32" s="295"/>
    </row>
    <row r="33" spans="2:6">
      <c r="B33" s="293"/>
      <c r="C33" s="294"/>
      <c r="D33" s="295"/>
      <c r="E33" s="295"/>
      <c r="F33" s="295"/>
    </row>
    <row r="34" spans="2:6">
      <c r="B34" s="293"/>
      <c r="C34" s="294"/>
      <c r="D34" s="295"/>
      <c r="E34" s="295"/>
      <c r="F34" s="295"/>
    </row>
    <row r="35" spans="2:6">
      <c r="B35" s="293"/>
      <c r="C35" s="294"/>
      <c r="D35" s="295"/>
      <c r="E35" s="295"/>
      <c r="F35" s="295"/>
    </row>
    <row r="36" spans="2:6">
      <c r="B36" s="293"/>
      <c r="C36" s="294"/>
      <c r="D36" s="295"/>
      <c r="E36" s="295"/>
      <c r="F36" s="295"/>
    </row>
    <row r="37" spans="2:6">
      <c r="B37" s="293"/>
      <c r="C37" s="294"/>
      <c r="D37" s="295"/>
      <c r="E37" s="295"/>
      <c r="F37" s="295"/>
    </row>
    <row r="38" spans="2:6">
      <c r="B38" s="293"/>
      <c r="C38" s="294"/>
      <c r="D38" s="295"/>
      <c r="E38" s="295"/>
      <c r="F38" s="295"/>
    </row>
    <row r="39" spans="2:6">
      <c r="B39" s="293"/>
      <c r="C39" s="294"/>
      <c r="D39" s="295"/>
      <c r="E39" s="295"/>
      <c r="F39" s="295"/>
    </row>
    <row r="40" spans="2:6">
      <c r="B40" s="293"/>
      <c r="C40" s="294"/>
      <c r="D40" s="295"/>
      <c r="E40" s="295"/>
      <c r="F40" s="295"/>
    </row>
    <row r="41" spans="2:6">
      <c r="B41" s="293"/>
      <c r="C41" s="294"/>
      <c r="D41" s="295"/>
      <c r="E41" s="295"/>
      <c r="F41" s="295"/>
    </row>
    <row r="42" spans="2:6">
      <c r="B42" s="293"/>
      <c r="C42" s="294"/>
      <c r="D42" s="295"/>
      <c r="E42" s="295"/>
      <c r="F42" s="295"/>
    </row>
    <row r="43" spans="2:6">
      <c r="B43" s="293"/>
      <c r="C43" s="294"/>
      <c r="D43" s="295"/>
      <c r="E43" s="295"/>
      <c r="F43" s="295"/>
    </row>
    <row r="44" spans="2:6">
      <c r="B44" s="293"/>
      <c r="C44" s="294"/>
      <c r="D44" s="295"/>
      <c r="E44" s="295"/>
      <c r="F44" s="295"/>
    </row>
    <row r="45" spans="2:6">
      <c r="B45" s="293"/>
      <c r="C45" s="294"/>
      <c r="D45" s="295"/>
      <c r="E45" s="295"/>
      <c r="F45" s="295"/>
    </row>
    <row r="46" spans="2:6">
      <c r="B46" s="293"/>
      <c r="C46" s="294"/>
      <c r="D46" s="295"/>
      <c r="E46" s="295"/>
      <c r="F46" s="295"/>
    </row>
    <row r="47" spans="2:6">
      <c r="B47" s="293"/>
      <c r="C47" s="294"/>
      <c r="D47" s="295"/>
      <c r="E47" s="295"/>
      <c r="F47" s="295"/>
    </row>
    <row r="48" spans="2:6">
      <c r="B48" s="293"/>
      <c r="C48" s="294"/>
      <c r="D48" s="295"/>
      <c r="E48" s="295"/>
      <c r="F48" s="295"/>
    </row>
    <row r="49" spans="2:6">
      <c r="B49" s="293"/>
      <c r="C49" s="294"/>
      <c r="D49" s="295"/>
      <c r="E49" s="295"/>
      <c r="F49" s="295"/>
    </row>
    <row r="50" spans="2:6">
      <c r="B50" s="293"/>
      <c r="C50" s="294"/>
      <c r="D50" s="295"/>
      <c r="E50" s="295"/>
      <c r="F50" s="295"/>
    </row>
    <row r="51" spans="2:6">
      <c r="B51" s="293"/>
      <c r="C51" s="294"/>
      <c r="D51" s="295"/>
      <c r="E51" s="295"/>
      <c r="F51" s="295"/>
    </row>
    <row r="52" spans="2:6">
      <c r="B52" s="293"/>
      <c r="C52" s="294"/>
      <c r="D52" s="295"/>
      <c r="E52" s="295"/>
      <c r="F52" s="295"/>
    </row>
    <row r="53" spans="2:6">
      <c r="B53" s="293"/>
      <c r="C53" s="294"/>
      <c r="D53" s="295"/>
      <c r="E53" s="295"/>
      <c r="F53" s="295"/>
    </row>
    <row r="54" spans="2:6">
      <c r="B54" s="293"/>
      <c r="C54" s="294"/>
      <c r="D54" s="295"/>
      <c r="E54" s="295"/>
      <c r="F54" s="295"/>
    </row>
    <row r="55" spans="2:6">
      <c r="B55" s="293"/>
      <c r="C55" s="294"/>
      <c r="D55" s="295"/>
      <c r="E55" s="295"/>
      <c r="F55" s="295"/>
    </row>
    <row r="56" spans="2:6">
      <c r="B56" s="293"/>
      <c r="C56" s="294"/>
      <c r="D56" s="295"/>
      <c r="E56" s="295"/>
      <c r="F56" s="295"/>
    </row>
    <row r="57" spans="2:6">
      <c r="B57" s="293"/>
      <c r="C57" s="294"/>
      <c r="D57" s="295"/>
      <c r="E57" s="295"/>
      <c r="F57" s="295"/>
    </row>
    <row r="58" spans="2:6">
      <c r="B58" s="293"/>
      <c r="C58" s="294"/>
      <c r="D58" s="295"/>
      <c r="E58" s="295"/>
      <c r="F58" s="295"/>
    </row>
    <row r="59" spans="2:6">
      <c r="B59" s="293"/>
      <c r="C59" s="294"/>
      <c r="D59" s="295"/>
      <c r="E59" s="295"/>
      <c r="F59" s="295"/>
    </row>
    <row r="60" spans="2:6">
      <c r="B60" s="293"/>
      <c r="C60" s="294"/>
      <c r="D60" s="295"/>
      <c r="E60" s="295"/>
      <c r="F60" s="295"/>
    </row>
    <row r="61" spans="2:6">
      <c r="B61" s="293"/>
      <c r="C61" s="294"/>
      <c r="D61" s="295"/>
      <c r="E61" s="295"/>
      <c r="F61" s="295"/>
    </row>
    <row r="62" spans="2:6">
      <c r="B62" s="293"/>
      <c r="C62" s="294"/>
      <c r="D62" s="295"/>
      <c r="E62" s="295"/>
      <c r="F62" s="295"/>
    </row>
    <row r="63" spans="2:6">
      <c r="B63" s="293"/>
      <c r="C63" s="294"/>
      <c r="D63" s="295"/>
      <c r="E63" s="295"/>
      <c r="F63" s="295"/>
    </row>
    <row r="64" spans="2:6">
      <c r="B64" s="293"/>
      <c r="C64" s="294"/>
      <c r="D64" s="295"/>
      <c r="E64" s="295"/>
      <c r="F64" s="295"/>
    </row>
    <row r="65" spans="2:6">
      <c r="B65" s="293"/>
      <c r="C65" s="294"/>
      <c r="D65" s="295"/>
      <c r="E65" s="295"/>
      <c r="F65" s="295"/>
    </row>
    <row r="66" spans="2:6">
      <c r="B66" s="293"/>
      <c r="C66" s="294"/>
      <c r="D66" s="295"/>
      <c r="E66" s="295"/>
      <c r="F66" s="295"/>
    </row>
    <row r="67" spans="2:6">
      <c r="B67" s="293"/>
      <c r="C67" s="294"/>
      <c r="D67" s="295"/>
      <c r="E67" s="295"/>
      <c r="F67" s="295"/>
    </row>
    <row r="68" spans="2:6">
      <c r="B68" s="293"/>
      <c r="C68" s="294"/>
      <c r="D68" s="295"/>
      <c r="E68" s="295"/>
      <c r="F68" s="295"/>
    </row>
    <row r="69" spans="2:6">
      <c r="B69" s="293"/>
      <c r="C69" s="294"/>
      <c r="D69" s="295"/>
      <c r="E69" s="295"/>
      <c r="F69" s="295"/>
    </row>
    <row r="70" spans="2:6">
      <c r="B70" s="293"/>
      <c r="C70" s="294"/>
      <c r="D70" s="295"/>
      <c r="E70" s="295"/>
      <c r="F70" s="295"/>
    </row>
    <row r="71" spans="2:6">
      <c r="B71" s="293"/>
      <c r="C71" s="294"/>
      <c r="D71" s="295"/>
      <c r="E71" s="295"/>
      <c r="F71" s="295"/>
    </row>
    <row r="72" spans="2:6">
      <c r="B72" s="293"/>
      <c r="C72" s="294"/>
      <c r="D72" s="295"/>
      <c r="E72" s="295"/>
      <c r="F72" s="295"/>
    </row>
    <row r="73" spans="2:6">
      <c r="B73" s="293"/>
      <c r="C73" s="294"/>
      <c r="D73" s="295"/>
      <c r="E73" s="295"/>
      <c r="F73" s="295"/>
    </row>
    <row r="74" spans="2:6">
      <c r="B74" s="293"/>
      <c r="C74" s="294"/>
      <c r="D74" s="295"/>
      <c r="E74" s="295"/>
      <c r="F74" s="295"/>
    </row>
    <row r="75" spans="2:6">
      <c r="B75" s="293"/>
      <c r="C75" s="294"/>
      <c r="D75" s="295"/>
      <c r="E75" s="295"/>
      <c r="F75" s="295"/>
    </row>
    <row r="76" spans="2:6">
      <c r="B76" s="293"/>
      <c r="C76" s="294"/>
      <c r="D76" s="295"/>
      <c r="E76" s="295"/>
      <c r="F76" s="295"/>
    </row>
    <row r="77" spans="2:6">
      <c r="B77" s="293"/>
      <c r="C77" s="294"/>
      <c r="D77" s="295"/>
      <c r="E77" s="295"/>
      <c r="F77" s="295"/>
    </row>
    <row r="78" spans="2:6">
      <c r="B78" s="293"/>
      <c r="C78" s="294"/>
      <c r="D78" s="295"/>
      <c r="E78" s="295"/>
      <c r="F78" s="295"/>
    </row>
    <row r="79" spans="2:6">
      <c r="B79" s="293"/>
      <c r="C79" s="294"/>
      <c r="D79" s="295"/>
      <c r="E79" s="295"/>
      <c r="F79" s="295"/>
    </row>
    <row r="80" spans="2:6">
      <c r="B80" s="293"/>
      <c r="C80" s="294"/>
      <c r="D80" s="295"/>
      <c r="E80" s="295"/>
      <c r="F80" s="295"/>
    </row>
    <row r="81" spans="2:6">
      <c r="B81" s="293"/>
      <c r="C81" s="294"/>
      <c r="D81" s="295"/>
      <c r="E81" s="295"/>
      <c r="F81" s="295"/>
    </row>
    <row r="82" spans="2:6">
      <c r="B82" s="293"/>
      <c r="C82" s="294"/>
      <c r="D82" s="295"/>
      <c r="E82" s="295"/>
      <c r="F82" s="295"/>
    </row>
    <row r="83" spans="2:6">
      <c r="B83" s="293"/>
      <c r="C83" s="294"/>
      <c r="D83" s="295"/>
      <c r="E83" s="295"/>
      <c r="F83" s="295"/>
    </row>
    <row r="84" spans="2:6">
      <c r="B84" s="293"/>
      <c r="C84" s="294"/>
      <c r="D84" s="295"/>
      <c r="E84" s="295"/>
      <c r="F84" s="295"/>
    </row>
    <row r="85" spans="2:6">
      <c r="B85" s="293"/>
      <c r="C85" s="294"/>
      <c r="D85" s="295"/>
      <c r="E85" s="295"/>
      <c r="F85" s="295"/>
    </row>
    <row r="86" spans="2:6">
      <c r="B86" s="293"/>
      <c r="C86" s="294"/>
      <c r="D86" s="295"/>
      <c r="E86" s="295"/>
      <c r="F86" s="295"/>
    </row>
    <row r="87" spans="2:6">
      <c r="B87" s="293"/>
      <c r="C87" s="294"/>
      <c r="D87" s="295"/>
      <c r="E87" s="295"/>
      <c r="F87" s="295"/>
    </row>
    <row r="88" spans="2:6">
      <c r="B88" s="293"/>
      <c r="C88" s="294"/>
      <c r="D88" s="295"/>
      <c r="E88" s="295"/>
      <c r="F88" s="295"/>
    </row>
    <row r="89" spans="2:6">
      <c r="B89" s="293"/>
      <c r="C89" s="294"/>
      <c r="D89" s="295"/>
      <c r="E89" s="295"/>
      <c r="F89" s="295"/>
    </row>
    <row r="90" spans="2:6">
      <c r="B90" s="293"/>
      <c r="C90" s="294"/>
      <c r="D90" s="295"/>
      <c r="E90" s="295"/>
      <c r="F90" s="295"/>
    </row>
    <row r="91" spans="2:6">
      <c r="B91" s="293"/>
      <c r="C91" s="294"/>
      <c r="D91" s="295"/>
      <c r="E91" s="295"/>
      <c r="F91" s="295"/>
    </row>
    <row r="92" spans="2:6">
      <c r="B92" s="293"/>
      <c r="C92" s="294"/>
      <c r="D92" s="295"/>
      <c r="E92" s="295"/>
      <c r="F92" s="295"/>
    </row>
    <row r="93" spans="2:6">
      <c r="B93" s="293"/>
      <c r="C93" s="294"/>
      <c r="D93" s="295"/>
      <c r="E93" s="295"/>
      <c r="F93" s="295"/>
    </row>
    <row r="94" spans="2:6">
      <c r="B94" s="293"/>
      <c r="C94" s="294"/>
      <c r="D94" s="295"/>
      <c r="E94" s="295"/>
      <c r="F94" s="295"/>
    </row>
    <row r="95" spans="2:6">
      <c r="B95" s="293"/>
      <c r="C95" s="294"/>
      <c r="D95" s="295"/>
      <c r="E95" s="295"/>
      <c r="F95" s="295"/>
    </row>
    <row r="96" spans="2:6">
      <c r="B96" s="293"/>
      <c r="C96" s="294"/>
      <c r="D96" s="295"/>
      <c r="E96" s="295"/>
      <c r="F96" s="295"/>
    </row>
    <row r="97" spans="2:6">
      <c r="B97" s="293"/>
      <c r="C97" s="294"/>
      <c r="D97" s="295"/>
      <c r="E97" s="295"/>
      <c r="F97" s="295"/>
    </row>
    <row r="98" spans="2:6">
      <c r="B98" s="293"/>
      <c r="C98" s="294"/>
      <c r="D98" s="295"/>
      <c r="E98" s="295"/>
      <c r="F98" s="295"/>
    </row>
    <row r="99" spans="2:6">
      <c r="B99" s="293"/>
      <c r="C99" s="294"/>
      <c r="D99" s="295"/>
      <c r="E99" s="295"/>
      <c r="F99" s="295"/>
    </row>
    <row r="100" spans="2:6">
      <c r="B100" s="293"/>
      <c r="C100" s="294"/>
      <c r="D100" s="295"/>
      <c r="E100" s="295"/>
      <c r="F100" s="295"/>
    </row>
    <row r="101" spans="2:6">
      <c r="B101" s="293"/>
      <c r="C101" s="294"/>
      <c r="D101" s="295"/>
      <c r="E101" s="295"/>
      <c r="F101" s="295"/>
    </row>
    <row r="102" spans="2:6">
      <c r="B102" s="293"/>
      <c r="C102" s="294"/>
      <c r="D102" s="295"/>
      <c r="E102" s="295"/>
      <c r="F102" s="295"/>
    </row>
    <row r="103" spans="2:6">
      <c r="B103" s="293"/>
      <c r="C103" s="294"/>
      <c r="D103" s="295"/>
      <c r="E103" s="295"/>
      <c r="F103" s="295"/>
    </row>
    <row r="104" spans="2:6">
      <c r="B104" s="293"/>
      <c r="C104" s="294"/>
      <c r="D104" s="295"/>
      <c r="E104" s="295"/>
      <c r="F104" s="295"/>
    </row>
    <row r="105" spans="2:6">
      <c r="B105" s="293"/>
      <c r="C105" s="294"/>
      <c r="D105" s="295"/>
      <c r="E105" s="295"/>
      <c r="F105" s="295"/>
    </row>
    <row r="106" spans="2:6">
      <c r="B106" s="293"/>
      <c r="C106" s="294"/>
      <c r="D106" s="295"/>
      <c r="E106" s="295"/>
      <c r="F106" s="295"/>
    </row>
    <row r="107" spans="2:6">
      <c r="B107" s="293"/>
      <c r="C107" s="294"/>
      <c r="D107" s="295"/>
      <c r="E107" s="295"/>
      <c r="F107" s="295"/>
    </row>
    <row r="108" spans="2:6">
      <c r="B108" s="293"/>
      <c r="C108" s="294"/>
      <c r="D108" s="295"/>
      <c r="E108" s="295"/>
      <c r="F108" s="295"/>
    </row>
    <row r="109" spans="2:6">
      <c r="B109" s="293"/>
      <c r="C109" s="294"/>
      <c r="D109" s="295"/>
      <c r="E109" s="295"/>
      <c r="F109" s="295"/>
    </row>
    <row r="110" spans="2:6">
      <c r="B110" s="293"/>
      <c r="C110" s="294"/>
      <c r="D110" s="295"/>
      <c r="E110" s="295"/>
      <c r="F110" s="295"/>
    </row>
    <row r="111" spans="2:6">
      <c r="B111" s="293"/>
      <c r="C111" s="294"/>
      <c r="D111" s="295"/>
      <c r="E111" s="295"/>
      <c r="F111" s="295"/>
    </row>
    <row r="112" spans="2:6">
      <c r="B112" s="293"/>
      <c r="C112" s="294"/>
      <c r="D112" s="295"/>
      <c r="E112" s="295"/>
      <c r="F112" s="295"/>
    </row>
    <row r="113" spans="2:6">
      <c r="B113" s="293"/>
      <c r="C113" s="294"/>
      <c r="D113" s="295"/>
      <c r="E113" s="295"/>
      <c r="F113" s="295"/>
    </row>
    <row r="114" spans="2:6">
      <c r="B114" s="293"/>
      <c r="C114" s="294"/>
      <c r="D114" s="295"/>
      <c r="E114" s="295"/>
      <c r="F114" s="295"/>
    </row>
    <row r="115" spans="2:6">
      <c r="B115" s="293"/>
      <c r="C115" s="294"/>
      <c r="D115" s="295"/>
      <c r="E115" s="295"/>
      <c r="F115" s="295"/>
    </row>
    <row r="116" spans="2:6">
      <c r="B116" s="293"/>
      <c r="C116" s="294"/>
      <c r="D116" s="295"/>
      <c r="E116" s="295"/>
      <c r="F116" s="295"/>
    </row>
    <row r="117" spans="2:6">
      <c r="B117" s="293"/>
      <c r="C117" s="294"/>
      <c r="D117" s="295"/>
      <c r="E117" s="295"/>
      <c r="F117" s="295"/>
    </row>
    <row r="118" spans="2:6">
      <c r="B118" s="293"/>
      <c r="C118" s="294"/>
      <c r="D118" s="295"/>
      <c r="E118" s="295"/>
      <c r="F118" s="295"/>
    </row>
    <row r="119" spans="2:6">
      <c r="B119" s="293"/>
      <c r="C119" s="294"/>
      <c r="D119" s="295"/>
      <c r="E119" s="295"/>
      <c r="F119" s="295"/>
    </row>
    <row r="120" spans="2:6">
      <c r="B120" s="293"/>
      <c r="C120" s="294"/>
      <c r="D120" s="295"/>
      <c r="E120" s="295"/>
      <c r="F120" s="295"/>
    </row>
    <row r="121" spans="2:6">
      <c r="B121" s="293"/>
      <c r="C121" s="294"/>
      <c r="D121" s="295"/>
      <c r="E121" s="295"/>
      <c r="F121" s="295"/>
    </row>
    <row r="122" spans="2:6">
      <c r="B122" s="293"/>
      <c r="C122" s="294"/>
      <c r="D122" s="295"/>
      <c r="E122" s="295"/>
      <c r="F122" s="295"/>
    </row>
    <row r="123" spans="2:6">
      <c r="B123" s="293"/>
      <c r="C123" s="294"/>
      <c r="D123" s="295"/>
      <c r="E123" s="295"/>
      <c r="F123" s="295"/>
    </row>
    <row r="124" spans="2:6">
      <c r="B124" s="293"/>
      <c r="C124" s="294"/>
      <c r="D124" s="295"/>
      <c r="E124" s="295"/>
      <c r="F124" s="295"/>
    </row>
    <row r="125" spans="2:6">
      <c r="B125" s="293"/>
      <c r="C125" s="294"/>
      <c r="D125" s="295"/>
      <c r="E125" s="295"/>
      <c r="F125" s="295"/>
    </row>
    <row r="126" spans="2:6">
      <c r="B126" s="293"/>
      <c r="C126" s="294"/>
      <c r="D126" s="295"/>
      <c r="E126" s="295"/>
      <c r="F126" s="295"/>
    </row>
    <row r="127" spans="2:6">
      <c r="B127" s="293"/>
      <c r="C127" s="294"/>
      <c r="D127" s="295"/>
      <c r="E127" s="295"/>
      <c r="F127" s="295"/>
    </row>
    <row r="128" spans="2:6">
      <c r="B128" s="293"/>
      <c r="C128" s="294"/>
      <c r="D128" s="295"/>
      <c r="E128" s="295"/>
      <c r="F128" s="295"/>
    </row>
    <row r="129" spans="2:6">
      <c r="B129" s="293"/>
      <c r="C129" s="294"/>
      <c r="D129" s="295"/>
      <c r="E129" s="295"/>
      <c r="F129" s="295"/>
    </row>
    <row r="130" spans="2:6">
      <c r="B130" s="293"/>
      <c r="C130" s="294"/>
      <c r="D130" s="295"/>
      <c r="E130" s="295"/>
      <c r="F130" s="295"/>
    </row>
    <row r="131" spans="2:6">
      <c r="B131" s="293"/>
      <c r="C131" s="294"/>
      <c r="D131" s="295"/>
      <c r="E131" s="295"/>
      <c r="F131" s="295"/>
    </row>
    <row r="132" spans="2:6">
      <c r="B132" s="293"/>
      <c r="C132" s="294"/>
      <c r="D132" s="295"/>
      <c r="E132" s="295"/>
      <c r="F132" s="295"/>
    </row>
    <row r="133" spans="2:6">
      <c r="B133" s="293"/>
      <c r="C133" s="294"/>
      <c r="D133" s="295"/>
      <c r="E133" s="295"/>
      <c r="F133" s="295"/>
    </row>
    <row r="134" spans="2:6">
      <c r="B134" s="293"/>
      <c r="C134" s="294"/>
      <c r="D134" s="295"/>
      <c r="E134" s="295"/>
      <c r="F134" s="295"/>
    </row>
    <row r="135" spans="2:6">
      <c r="B135" s="293"/>
      <c r="C135" s="294"/>
      <c r="D135" s="295"/>
      <c r="E135" s="295"/>
      <c r="F135" s="295"/>
    </row>
    <row r="136" spans="2:6">
      <c r="B136" s="293"/>
      <c r="C136" s="294"/>
      <c r="D136" s="295"/>
      <c r="E136" s="295"/>
      <c r="F136" s="295"/>
    </row>
    <row r="137" spans="2:6">
      <c r="B137" s="293"/>
      <c r="C137" s="294"/>
      <c r="D137" s="295"/>
      <c r="E137" s="295"/>
      <c r="F137" s="295"/>
    </row>
    <row r="138" spans="2:6">
      <c r="B138" s="293"/>
      <c r="C138" s="294"/>
      <c r="D138" s="295"/>
      <c r="E138" s="295"/>
      <c r="F138" s="295"/>
    </row>
    <row r="139" spans="2:6">
      <c r="B139" s="293"/>
      <c r="C139" s="294"/>
      <c r="D139" s="295"/>
      <c r="E139" s="295"/>
      <c r="F139" s="295"/>
    </row>
    <row r="140" spans="2:6">
      <c r="B140" s="293"/>
      <c r="C140" s="294"/>
      <c r="D140" s="295"/>
      <c r="E140" s="295"/>
      <c r="F140" s="295"/>
    </row>
    <row r="141" spans="2:6">
      <c r="B141" s="293"/>
      <c r="C141" s="294"/>
      <c r="D141" s="295"/>
      <c r="E141" s="295"/>
      <c r="F141" s="295"/>
    </row>
    <row r="142" spans="2:6">
      <c r="B142" s="293"/>
      <c r="C142" s="294"/>
      <c r="D142" s="295"/>
      <c r="E142" s="295"/>
      <c r="F142" s="295"/>
    </row>
    <row r="143" spans="2:6">
      <c r="B143" s="293"/>
      <c r="C143" s="294"/>
      <c r="D143" s="295"/>
      <c r="E143" s="295"/>
      <c r="F143" s="295"/>
    </row>
    <row r="144" spans="2:6">
      <c r="B144" s="293"/>
      <c r="C144" s="294"/>
      <c r="D144" s="295"/>
      <c r="E144" s="295"/>
      <c r="F144" s="295"/>
    </row>
    <row r="145" spans="2:6">
      <c r="B145" s="293"/>
      <c r="C145" s="294"/>
      <c r="D145" s="295"/>
      <c r="E145" s="295"/>
      <c r="F145" s="295"/>
    </row>
    <row r="146" spans="2:6">
      <c r="B146" s="293"/>
      <c r="C146" s="294"/>
      <c r="D146" s="295"/>
      <c r="E146" s="295"/>
      <c r="F146" s="295"/>
    </row>
    <row r="147" spans="2:6">
      <c r="B147" s="293"/>
      <c r="C147" s="294"/>
      <c r="D147" s="295"/>
      <c r="E147" s="295"/>
      <c r="F147" s="295"/>
    </row>
    <row r="148" spans="2:6">
      <c r="B148" s="293"/>
      <c r="C148" s="294"/>
      <c r="D148" s="295"/>
      <c r="E148" s="295"/>
      <c r="F148" s="295"/>
    </row>
    <row r="149" spans="2:6">
      <c r="B149" s="293"/>
      <c r="C149" s="294"/>
      <c r="D149" s="295"/>
      <c r="E149" s="295"/>
      <c r="F149" s="295"/>
    </row>
    <row r="150" spans="2:6">
      <c r="B150" s="293"/>
      <c r="C150" s="294"/>
      <c r="D150" s="295"/>
      <c r="E150" s="295"/>
      <c r="F150" s="295"/>
    </row>
    <row r="151" spans="2:6">
      <c r="B151" s="293"/>
      <c r="C151" s="294"/>
      <c r="D151" s="295"/>
      <c r="E151" s="295"/>
      <c r="F151" s="295"/>
    </row>
    <row r="152" spans="2:6">
      <c r="B152" s="293"/>
      <c r="C152" s="294"/>
      <c r="D152" s="295"/>
      <c r="E152" s="295"/>
      <c r="F152" s="295"/>
    </row>
    <row r="153" spans="2:6">
      <c r="B153" s="293"/>
      <c r="C153" s="294"/>
      <c r="D153" s="295"/>
      <c r="E153" s="295"/>
      <c r="F153" s="295"/>
    </row>
    <row r="154" spans="2:6">
      <c r="B154" s="293"/>
      <c r="C154" s="294"/>
      <c r="D154" s="295"/>
      <c r="E154" s="295"/>
      <c r="F154" s="295"/>
    </row>
    <row r="155" spans="2:6">
      <c r="B155" s="293"/>
      <c r="C155" s="294"/>
      <c r="D155" s="295"/>
      <c r="E155" s="295"/>
      <c r="F155" s="295"/>
    </row>
    <row r="156" spans="2:6">
      <c r="B156" s="293"/>
      <c r="C156" s="294"/>
      <c r="D156" s="295"/>
      <c r="E156" s="295"/>
      <c r="F156" s="295"/>
    </row>
    <row r="157" spans="2:6">
      <c r="B157" s="293"/>
      <c r="C157" s="294"/>
      <c r="D157" s="295"/>
      <c r="E157" s="295"/>
      <c r="F157" s="295"/>
    </row>
    <row r="158" spans="2:6">
      <c r="B158" s="293"/>
      <c r="C158" s="294"/>
      <c r="D158" s="295"/>
      <c r="E158" s="295"/>
      <c r="F158" s="295"/>
    </row>
    <row r="159" spans="2:6">
      <c r="B159" s="293"/>
      <c r="C159" s="294"/>
      <c r="D159" s="295"/>
      <c r="E159" s="295"/>
      <c r="F159" s="295"/>
    </row>
    <row r="160" spans="2:6">
      <c r="B160" s="293"/>
      <c r="C160" s="294"/>
      <c r="D160" s="295"/>
      <c r="E160" s="295"/>
      <c r="F160" s="295"/>
    </row>
    <row r="161" spans="2:6">
      <c r="B161" s="293"/>
      <c r="C161" s="294"/>
      <c r="D161" s="295"/>
      <c r="E161" s="295"/>
      <c r="F161" s="295"/>
    </row>
    <row r="162" spans="2:6">
      <c r="B162" s="293"/>
      <c r="C162" s="294"/>
      <c r="D162" s="295"/>
      <c r="E162" s="295"/>
      <c r="F162" s="295"/>
    </row>
    <row r="163" spans="2:6">
      <c r="B163" s="293"/>
      <c r="C163" s="294"/>
      <c r="D163" s="295"/>
      <c r="E163" s="295"/>
      <c r="F163" s="295"/>
    </row>
    <row r="164" spans="2:6">
      <c r="B164" s="293"/>
      <c r="C164" s="294"/>
      <c r="D164" s="295"/>
      <c r="E164" s="295"/>
      <c r="F164" s="295"/>
    </row>
    <row r="165" spans="2:6">
      <c r="B165" s="293"/>
      <c r="C165" s="294"/>
      <c r="D165" s="295"/>
      <c r="E165" s="295"/>
      <c r="F165" s="295"/>
    </row>
    <row r="166" spans="2:6">
      <c r="B166" s="293"/>
      <c r="C166" s="294"/>
      <c r="D166" s="295"/>
      <c r="E166" s="295"/>
      <c r="F166" s="295"/>
    </row>
    <row r="167" spans="2:6">
      <c r="B167" s="293"/>
      <c r="C167" s="294"/>
      <c r="D167" s="295"/>
      <c r="E167" s="295"/>
      <c r="F167" s="295"/>
    </row>
  </sheetData>
  <sheetProtection sheet="1" objects="1" scenarios="1"/>
  <phoneticPr fontId="4" type="noConversion"/>
  <hyperlinks>
    <hyperlink ref="F1" location="Index!B1" display="Index" xr:uid="{00000000-0004-0000-1D00-000000000000}"/>
  </hyperlinks>
  <pageMargins left="0.75" right="0.75" top="1" bottom="1" header="0.5" footer="0.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39"/>
  <sheetViews>
    <sheetView showGridLines="0" workbookViewId="0">
      <selection activeCell="E7" sqref="E7"/>
    </sheetView>
  </sheetViews>
  <sheetFormatPr defaultColWidth="8.77734375" defaultRowHeight="13.2"/>
  <cols>
    <col min="1" max="1" width="5" bestFit="1" customWidth="1"/>
    <col min="2" max="2" width="8" bestFit="1" customWidth="1"/>
    <col min="3" max="3" width="8.109375" bestFit="1" customWidth="1"/>
    <col min="4" max="4" width="9.77734375" bestFit="1" customWidth="1"/>
    <col min="5" max="5" width="9.77734375" customWidth="1"/>
    <col min="6" max="6" width="9.77734375" bestFit="1" customWidth="1"/>
    <col min="7" max="7" width="9.77734375" customWidth="1"/>
    <col min="8" max="8" width="3.6640625" customWidth="1"/>
    <col min="9" max="9" width="11.44140625" bestFit="1" customWidth="1"/>
    <col min="11" max="11" width="18.6640625" bestFit="1" customWidth="1"/>
    <col min="12" max="12" width="8.6640625" customWidth="1"/>
    <col min="13" max="13" width="26.44140625" customWidth="1"/>
    <col min="14" max="14" width="2.33203125" customWidth="1"/>
  </cols>
  <sheetData>
    <row r="1" spans="1:13" s="104" customFormat="1" ht="17.399999999999999">
      <c r="B1" s="16" t="s">
        <v>1589</v>
      </c>
    </row>
    <row r="3" spans="1:13" ht="15.6">
      <c r="A3" s="88" t="s">
        <v>2019</v>
      </c>
      <c r="I3" s="39" t="s">
        <v>2018</v>
      </c>
    </row>
    <row r="5" spans="1:13" ht="27.6">
      <c r="A5" s="109" t="s">
        <v>1018</v>
      </c>
      <c r="B5" s="109" t="s">
        <v>1019</v>
      </c>
      <c r="C5" s="109" t="s">
        <v>1790</v>
      </c>
      <c r="D5" s="109" t="s">
        <v>1590</v>
      </c>
      <c r="E5" s="109" t="s">
        <v>1084</v>
      </c>
      <c r="F5" s="109" t="s">
        <v>1020</v>
      </c>
      <c r="G5" s="109" t="s">
        <v>1085</v>
      </c>
      <c r="I5" s="110" t="s">
        <v>322</v>
      </c>
      <c r="J5" s="111" t="s">
        <v>341</v>
      </c>
      <c r="K5" s="111"/>
      <c r="L5" s="113" t="s">
        <v>78</v>
      </c>
      <c r="M5" s="110"/>
    </row>
    <row r="6" spans="1:13" ht="13.8">
      <c r="A6" s="94">
        <v>1</v>
      </c>
      <c r="B6" s="94" t="s">
        <v>1021</v>
      </c>
      <c r="C6" s="95" t="s">
        <v>45</v>
      </c>
      <c r="D6" s="96">
        <v>508830</v>
      </c>
      <c r="E6" s="96">
        <v>51</v>
      </c>
      <c r="F6" s="95" t="s">
        <v>1022</v>
      </c>
      <c r="G6" s="96">
        <f>D6*3%</f>
        <v>15264.9</v>
      </c>
      <c r="I6" s="112" t="s">
        <v>1658</v>
      </c>
      <c r="J6" s="112" t="s">
        <v>342</v>
      </c>
      <c r="K6" s="112" t="s">
        <v>343</v>
      </c>
      <c r="L6" s="112" t="s">
        <v>79</v>
      </c>
      <c r="M6" s="112" t="s">
        <v>845</v>
      </c>
    </row>
    <row r="7" spans="1:13" ht="13.8">
      <c r="A7" s="97">
        <v>2</v>
      </c>
      <c r="B7" s="97" t="s">
        <v>1024</v>
      </c>
      <c r="C7" s="98" t="s">
        <v>1028</v>
      </c>
      <c r="D7" s="99">
        <v>535685</v>
      </c>
      <c r="E7" s="96">
        <v>54</v>
      </c>
      <c r="F7" s="98" t="s">
        <v>1022</v>
      </c>
      <c r="G7" s="96">
        <f t="shared" ref="G7:G27" si="0">D7*3%</f>
        <v>16070.55</v>
      </c>
      <c r="I7" s="106" t="s">
        <v>2015</v>
      </c>
      <c r="J7" s="106" t="s">
        <v>846</v>
      </c>
      <c r="K7" s="106" t="s">
        <v>847</v>
      </c>
      <c r="L7" s="106" t="s">
        <v>849</v>
      </c>
      <c r="M7" s="106" t="s">
        <v>850</v>
      </c>
    </row>
    <row r="8" spans="1:13" ht="13.8">
      <c r="A8" s="97">
        <v>3</v>
      </c>
      <c r="B8" s="97" t="s">
        <v>1025</v>
      </c>
      <c r="C8" s="98" t="s">
        <v>47</v>
      </c>
      <c r="D8" s="99">
        <v>462572</v>
      </c>
      <c r="E8" s="96">
        <v>46</v>
      </c>
      <c r="F8" s="98" t="s">
        <v>1026</v>
      </c>
      <c r="G8" s="96">
        <f t="shared" si="0"/>
        <v>13877.16</v>
      </c>
      <c r="I8" s="107" t="s">
        <v>2014</v>
      </c>
      <c r="J8" s="107"/>
      <c r="K8" s="107" t="s">
        <v>848</v>
      </c>
      <c r="L8" s="107"/>
      <c r="M8" s="107" t="s">
        <v>1359</v>
      </c>
    </row>
    <row r="9" spans="1:13" ht="13.8">
      <c r="A9" s="97">
        <v>4</v>
      </c>
      <c r="B9" s="97" t="s">
        <v>1027</v>
      </c>
      <c r="C9" s="98" t="s">
        <v>46</v>
      </c>
      <c r="D9" s="99">
        <v>322145</v>
      </c>
      <c r="E9" s="96">
        <v>32</v>
      </c>
      <c r="F9" s="98" t="s">
        <v>1029</v>
      </c>
      <c r="G9" s="96">
        <f t="shared" si="0"/>
        <v>9664.35</v>
      </c>
      <c r="I9" s="107" t="s">
        <v>115</v>
      </c>
      <c r="J9" s="107"/>
      <c r="K9" s="107"/>
      <c r="L9" s="107"/>
      <c r="M9" s="107" t="s">
        <v>851</v>
      </c>
    </row>
    <row r="10" spans="1:13" ht="13.8">
      <c r="A10" s="97">
        <v>5</v>
      </c>
      <c r="B10" s="97" t="s">
        <v>1025</v>
      </c>
      <c r="C10" s="98" t="s">
        <v>48</v>
      </c>
      <c r="D10" s="99">
        <v>359874</v>
      </c>
      <c r="E10" s="96">
        <v>36</v>
      </c>
      <c r="F10" s="98" t="s">
        <v>1026</v>
      </c>
      <c r="G10" s="96">
        <f t="shared" si="0"/>
        <v>10796.22</v>
      </c>
      <c r="I10" s="107" t="s">
        <v>114</v>
      </c>
      <c r="J10" s="107"/>
      <c r="K10" s="107"/>
      <c r="L10" s="107"/>
      <c r="M10" s="107" t="s">
        <v>202</v>
      </c>
    </row>
    <row r="11" spans="1:13" ht="13.8">
      <c r="A11" s="97">
        <v>6</v>
      </c>
      <c r="B11" s="97" t="s">
        <v>1025</v>
      </c>
      <c r="C11" s="98" t="s">
        <v>49</v>
      </c>
      <c r="D11" s="100">
        <v>73400</v>
      </c>
      <c r="E11" s="96">
        <v>7</v>
      </c>
      <c r="F11" s="98" t="s">
        <v>1026</v>
      </c>
      <c r="G11" s="96">
        <f t="shared" si="0"/>
        <v>2202</v>
      </c>
      <c r="I11" s="106" t="s">
        <v>2013</v>
      </c>
      <c r="J11" s="106" t="s">
        <v>855</v>
      </c>
      <c r="K11" s="106" t="s">
        <v>853</v>
      </c>
      <c r="L11" s="106" t="s">
        <v>849</v>
      </c>
      <c r="M11" s="106" t="s">
        <v>850</v>
      </c>
    </row>
    <row r="12" spans="1:13" ht="13.8">
      <c r="A12" s="97">
        <v>7</v>
      </c>
      <c r="B12" s="97" t="s">
        <v>1027</v>
      </c>
      <c r="C12" s="98" t="s">
        <v>50</v>
      </c>
      <c r="D12" s="101">
        <v>503064</v>
      </c>
      <c r="E12" s="96">
        <v>50</v>
      </c>
      <c r="F12" s="98" t="s">
        <v>1029</v>
      </c>
      <c r="G12" s="96">
        <f t="shared" si="0"/>
        <v>15091.92</v>
      </c>
      <c r="I12" s="107" t="s">
        <v>116</v>
      </c>
      <c r="J12" s="107"/>
      <c r="K12" s="107" t="s">
        <v>848</v>
      </c>
      <c r="L12" s="107"/>
      <c r="M12" s="107" t="s">
        <v>1358</v>
      </c>
    </row>
    <row r="13" spans="1:13" ht="13.8">
      <c r="A13" s="97">
        <v>8</v>
      </c>
      <c r="B13" s="97" t="s">
        <v>1025</v>
      </c>
      <c r="C13" s="98" t="s">
        <v>51</v>
      </c>
      <c r="D13" s="102">
        <v>303902</v>
      </c>
      <c r="E13" s="96">
        <v>30</v>
      </c>
      <c r="F13" s="98" t="s">
        <v>1026</v>
      </c>
      <c r="G13" s="96">
        <f t="shared" si="0"/>
        <v>9117.06</v>
      </c>
      <c r="I13" s="107" t="s">
        <v>854</v>
      </c>
      <c r="J13" s="107"/>
      <c r="K13" s="107"/>
      <c r="L13" s="107"/>
      <c r="M13" s="107" t="s">
        <v>852</v>
      </c>
    </row>
    <row r="14" spans="1:13" ht="13.8">
      <c r="A14" s="97">
        <v>9</v>
      </c>
      <c r="B14" s="97" t="s">
        <v>1030</v>
      </c>
      <c r="C14" s="98" t="s">
        <v>1031</v>
      </c>
      <c r="D14" s="102">
        <v>419487</v>
      </c>
      <c r="E14" s="96">
        <v>42</v>
      </c>
      <c r="F14" s="98" t="s">
        <v>1022</v>
      </c>
      <c r="G14" s="96">
        <f t="shared" si="0"/>
        <v>12584.609999999999</v>
      </c>
      <c r="I14" s="94"/>
      <c r="J14" s="94"/>
      <c r="K14" s="94"/>
      <c r="L14" s="94"/>
      <c r="M14" s="94" t="s">
        <v>202</v>
      </c>
    </row>
    <row r="15" spans="1:13" ht="13.8">
      <c r="A15" s="97">
        <v>10</v>
      </c>
      <c r="B15" s="97" t="s">
        <v>1025</v>
      </c>
      <c r="C15" s="98" t="s">
        <v>1352</v>
      </c>
      <c r="D15" s="102">
        <v>277929</v>
      </c>
      <c r="E15" s="96">
        <v>28</v>
      </c>
      <c r="F15" s="98" t="s">
        <v>1026</v>
      </c>
      <c r="G15" s="96">
        <f t="shared" si="0"/>
        <v>8337.869999999999</v>
      </c>
      <c r="I15" s="106" t="s">
        <v>2013</v>
      </c>
      <c r="J15" s="106" t="s">
        <v>855</v>
      </c>
      <c r="K15" s="106" t="s">
        <v>856</v>
      </c>
      <c r="L15" s="106" t="s">
        <v>849</v>
      </c>
      <c r="M15" s="106" t="s">
        <v>850</v>
      </c>
    </row>
    <row r="16" spans="1:13" ht="13.8">
      <c r="A16" s="97">
        <v>11</v>
      </c>
      <c r="B16" s="97" t="s">
        <v>1024</v>
      </c>
      <c r="C16" s="98" t="s">
        <v>1032</v>
      </c>
      <c r="D16" s="99">
        <v>444435</v>
      </c>
      <c r="E16" s="96">
        <v>44</v>
      </c>
      <c r="F16" s="98" t="s">
        <v>1029</v>
      </c>
      <c r="G16" s="96">
        <f t="shared" si="0"/>
        <v>13333.05</v>
      </c>
      <c r="I16" s="107" t="s">
        <v>117</v>
      </c>
      <c r="J16" s="107"/>
      <c r="K16" s="107"/>
      <c r="L16" s="107"/>
      <c r="M16" s="107" t="s">
        <v>1351</v>
      </c>
    </row>
    <row r="17" spans="1:13" ht="13.8">
      <c r="A17" s="97">
        <v>12</v>
      </c>
      <c r="B17" s="97" t="s">
        <v>1027</v>
      </c>
      <c r="C17" s="98" t="s">
        <v>1033</v>
      </c>
      <c r="D17" s="99">
        <v>485389</v>
      </c>
      <c r="E17" s="96">
        <v>49</v>
      </c>
      <c r="F17" s="98" t="s">
        <v>1022</v>
      </c>
      <c r="G17" s="96">
        <f t="shared" si="0"/>
        <v>14561.67</v>
      </c>
      <c r="I17" s="107" t="s">
        <v>118</v>
      </c>
      <c r="J17" s="107"/>
      <c r="K17" s="107"/>
      <c r="L17" s="107"/>
      <c r="M17" s="107" t="s">
        <v>857</v>
      </c>
    </row>
    <row r="18" spans="1:13" ht="13.8">
      <c r="A18" s="97">
        <v>13</v>
      </c>
      <c r="B18" s="97" t="s">
        <v>1021</v>
      </c>
      <c r="C18" s="98" t="s">
        <v>1353</v>
      </c>
      <c r="D18" s="99">
        <v>619639</v>
      </c>
      <c r="E18" s="96">
        <v>62</v>
      </c>
      <c r="F18" s="98" t="s">
        <v>1022</v>
      </c>
      <c r="G18" s="96">
        <f t="shared" si="0"/>
        <v>18589.169999999998</v>
      </c>
      <c r="I18" s="94"/>
      <c r="J18" s="94"/>
      <c r="K18" s="94"/>
      <c r="L18" s="94"/>
      <c r="M18" s="94" t="s">
        <v>202</v>
      </c>
    </row>
    <row r="19" spans="1:13" ht="13.8">
      <c r="A19" s="97">
        <v>14</v>
      </c>
      <c r="B19" s="97" t="s">
        <v>1025</v>
      </c>
      <c r="C19" s="98" t="s">
        <v>1354</v>
      </c>
      <c r="D19" s="100">
        <v>260693</v>
      </c>
      <c r="E19" s="96">
        <v>26</v>
      </c>
      <c r="F19" s="98" t="s">
        <v>1026</v>
      </c>
      <c r="G19" s="96">
        <f t="shared" si="0"/>
        <v>7820.79</v>
      </c>
      <c r="I19" s="107" t="s">
        <v>860</v>
      </c>
      <c r="J19" s="107" t="s">
        <v>859</v>
      </c>
      <c r="K19" s="107" t="s">
        <v>863</v>
      </c>
      <c r="L19" s="107" t="s">
        <v>858</v>
      </c>
      <c r="M19" s="107"/>
    </row>
    <row r="20" spans="1:13" ht="13.8">
      <c r="A20" s="97">
        <v>15</v>
      </c>
      <c r="B20" s="97" t="s">
        <v>1030</v>
      </c>
      <c r="C20" s="98" t="s">
        <v>1355</v>
      </c>
      <c r="D20" s="101">
        <v>294946</v>
      </c>
      <c r="E20" s="96">
        <v>29</v>
      </c>
      <c r="F20" s="98" t="s">
        <v>1022</v>
      </c>
      <c r="G20" s="96">
        <f t="shared" si="0"/>
        <v>8848.3799999999992</v>
      </c>
      <c r="I20" s="107"/>
      <c r="J20" s="107"/>
      <c r="K20" s="107" t="s">
        <v>862</v>
      </c>
      <c r="L20" s="107"/>
      <c r="M20" s="107"/>
    </row>
    <row r="21" spans="1:13" ht="13.8">
      <c r="A21" s="97">
        <v>16</v>
      </c>
      <c r="B21" s="97" t="s">
        <v>1027</v>
      </c>
      <c r="C21" s="98" t="s">
        <v>1338</v>
      </c>
      <c r="D21" s="99">
        <v>517082</v>
      </c>
      <c r="E21" s="96">
        <v>52</v>
      </c>
      <c r="F21" s="98" t="s">
        <v>1029</v>
      </c>
      <c r="G21" s="96">
        <f t="shared" si="0"/>
        <v>15512.46</v>
      </c>
      <c r="I21" s="107"/>
      <c r="J21" s="107"/>
      <c r="K21" s="107" t="s">
        <v>861</v>
      </c>
      <c r="L21" s="107"/>
      <c r="M21" s="107"/>
    </row>
    <row r="22" spans="1:13" ht="13.8">
      <c r="A22" s="97">
        <v>17</v>
      </c>
      <c r="B22" s="97" t="s">
        <v>1021</v>
      </c>
      <c r="C22" s="98" t="s">
        <v>1339</v>
      </c>
      <c r="D22" s="99">
        <v>497624</v>
      </c>
      <c r="E22" s="96">
        <v>50</v>
      </c>
      <c r="F22" s="98" t="s">
        <v>1022</v>
      </c>
      <c r="G22" s="96">
        <f t="shared" si="0"/>
        <v>14928.72</v>
      </c>
      <c r="I22" s="107"/>
      <c r="J22" s="107"/>
      <c r="K22" s="107" t="s">
        <v>866</v>
      </c>
      <c r="L22" s="107"/>
      <c r="M22" s="107"/>
    </row>
    <row r="23" spans="1:13" ht="13.8">
      <c r="A23" s="97">
        <v>18</v>
      </c>
      <c r="B23" s="97" t="s">
        <v>1024</v>
      </c>
      <c r="C23" s="98" t="s">
        <v>1340</v>
      </c>
      <c r="D23" s="99">
        <v>456851</v>
      </c>
      <c r="E23" s="96">
        <v>46</v>
      </c>
      <c r="F23" s="98" t="s">
        <v>1022</v>
      </c>
      <c r="G23" s="96">
        <f t="shared" si="0"/>
        <v>13705.529999999999</v>
      </c>
      <c r="I23" s="107"/>
      <c r="J23" s="107"/>
      <c r="K23" s="107" t="s">
        <v>864</v>
      </c>
      <c r="L23" s="107"/>
      <c r="M23" s="107"/>
    </row>
    <row r="24" spans="1:13" ht="13.8">
      <c r="A24" s="97">
        <v>19</v>
      </c>
      <c r="B24" s="97" t="s">
        <v>1024</v>
      </c>
      <c r="C24" s="98" t="s">
        <v>1341</v>
      </c>
      <c r="D24" s="99">
        <v>519760</v>
      </c>
      <c r="E24" s="96">
        <v>52</v>
      </c>
      <c r="F24" s="98" t="s">
        <v>1022</v>
      </c>
      <c r="G24" s="96">
        <f t="shared" si="0"/>
        <v>15592.8</v>
      </c>
      <c r="I24" s="94"/>
      <c r="J24" s="94"/>
      <c r="K24" s="94" t="s">
        <v>865</v>
      </c>
      <c r="L24" s="94"/>
      <c r="M24" s="94"/>
    </row>
    <row r="25" spans="1:13" ht="13.8">
      <c r="A25" s="97">
        <v>20</v>
      </c>
      <c r="B25" s="97" t="s">
        <v>1027</v>
      </c>
      <c r="C25" s="98" t="s">
        <v>1356</v>
      </c>
      <c r="D25" s="99">
        <v>694654</v>
      </c>
      <c r="E25" s="96">
        <v>69</v>
      </c>
      <c r="F25" s="98" t="s">
        <v>1029</v>
      </c>
      <c r="G25" s="96">
        <f t="shared" si="0"/>
        <v>20839.62</v>
      </c>
      <c r="I25" s="106" t="s">
        <v>867</v>
      </c>
      <c r="J25" s="106" t="s">
        <v>859</v>
      </c>
      <c r="K25" s="106" t="s">
        <v>1342</v>
      </c>
      <c r="L25" s="106" t="s">
        <v>1345</v>
      </c>
      <c r="M25" s="106"/>
    </row>
    <row r="26" spans="1:13" ht="13.8">
      <c r="A26" s="97">
        <v>21</v>
      </c>
      <c r="B26" s="97" t="s">
        <v>1030</v>
      </c>
      <c r="C26" s="98" t="s">
        <v>1657</v>
      </c>
      <c r="D26" s="99">
        <v>382972</v>
      </c>
      <c r="E26" s="96">
        <v>38</v>
      </c>
      <c r="F26" s="98" t="s">
        <v>1022</v>
      </c>
      <c r="G26" s="96">
        <f t="shared" si="0"/>
        <v>11489.16</v>
      </c>
      <c r="I26" s="107"/>
      <c r="J26" s="107"/>
      <c r="K26" s="107" t="s">
        <v>1343</v>
      </c>
      <c r="L26" s="107"/>
      <c r="M26" s="107"/>
    </row>
    <row r="27" spans="1:13" ht="13.8">
      <c r="A27" s="97">
        <v>22</v>
      </c>
      <c r="B27" s="97" t="s">
        <v>1021</v>
      </c>
      <c r="C27" s="98" t="s">
        <v>1357</v>
      </c>
      <c r="D27" s="99">
        <v>5553361</v>
      </c>
      <c r="E27" s="96">
        <v>555</v>
      </c>
      <c r="F27" s="98" t="s">
        <v>1022</v>
      </c>
      <c r="G27" s="96">
        <f t="shared" si="0"/>
        <v>166600.82999999999</v>
      </c>
      <c r="I27" s="94"/>
      <c r="J27" s="94"/>
      <c r="K27" s="94" t="s">
        <v>1344</v>
      </c>
      <c r="L27" s="94"/>
      <c r="M27" s="94"/>
    </row>
    <row r="28" spans="1:13" ht="13.8">
      <c r="D28" s="99">
        <v>14494293</v>
      </c>
      <c r="E28" s="105">
        <f>SUM(E6:E27)</f>
        <v>1448</v>
      </c>
      <c r="F28" s="103"/>
      <c r="G28" s="99">
        <f>SUM(G6:G27)</f>
        <v>434828.81999999995</v>
      </c>
      <c r="I28" s="106" t="s">
        <v>1348</v>
      </c>
      <c r="J28" s="106">
        <v>0</v>
      </c>
      <c r="K28" s="106" t="s">
        <v>1347</v>
      </c>
      <c r="L28" s="106" t="s">
        <v>1346</v>
      </c>
      <c r="M28" s="106"/>
    </row>
    <row r="29" spans="1:13" ht="13.8">
      <c r="I29" s="107"/>
      <c r="J29" s="107"/>
      <c r="K29" s="107" t="s">
        <v>2017</v>
      </c>
      <c r="L29" s="107"/>
      <c r="M29" s="107"/>
    </row>
    <row r="30" spans="1:13" ht="13.8">
      <c r="I30" s="94"/>
      <c r="J30" s="94"/>
      <c r="K30" s="94" t="s">
        <v>2016</v>
      </c>
      <c r="L30" s="94"/>
      <c r="M30" s="94"/>
    </row>
    <row r="31" spans="1:13" ht="13.8">
      <c r="I31" s="108"/>
      <c r="J31" s="108"/>
      <c r="K31" s="108"/>
      <c r="L31" s="108"/>
      <c r="M31" s="108"/>
    </row>
    <row r="32" spans="1:13" ht="13.8">
      <c r="I32" s="106" t="s">
        <v>468</v>
      </c>
      <c r="J32" s="106"/>
      <c r="K32" s="106" t="s">
        <v>1023</v>
      </c>
      <c r="L32" s="106" t="s">
        <v>1349</v>
      </c>
      <c r="M32" s="106" t="s">
        <v>850</v>
      </c>
    </row>
    <row r="33" spans="9:13" ht="13.8">
      <c r="I33" s="107" t="s">
        <v>119</v>
      </c>
      <c r="J33" s="107"/>
      <c r="K33" s="107"/>
      <c r="L33" s="107"/>
      <c r="M33" s="107" t="s">
        <v>1350</v>
      </c>
    </row>
    <row r="34" spans="9:13" ht="13.8">
      <c r="I34" s="107"/>
      <c r="J34" s="107"/>
      <c r="K34" s="107"/>
      <c r="L34" s="107"/>
      <c r="M34" s="107" t="s">
        <v>1360</v>
      </c>
    </row>
    <row r="35" spans="9:13" ht="13.8">
      <c r="I35" s="94"/>
      <c r="J35" s="94"/>
      <c r="K35" s="94"/>
      <c r="L35" s="94"/>
      <c r="M35" s="94" t="s">
        <v>202</v>
      </c>
    </row>
    <row r="36" spans="9:13" ht="13.8">
      <c r="I36" s="106" t="s">
        <v>1026</v>
      </c>
      <c r="J36" s="106"/>
      <c r="K36" s="106" t="s">
        <v>1086</v>
      </c>
      <c r="L36" s="106" t="s">
        <v>1087</v>
      </c>
      <c r="M36" s="106" t="s">
        <v>850</v>
      </c>
    </row>
    <row r="37" spans="9:13" ht="13.8">
      <c r="I37" s="107"/>
      <c r="J37" s="107"/>
      <c r="K37" s="107"/>
      <c r="L37" s="107"/>
      <c r="M37" s="107" t="s">
        <v>1350</v>
      </c>
    </row>
    <row r="38" spans="9:13" ht="13.8">
      <c r="I38" s="107"/>
      <c r="J38" s="107"/>
      <c r="K38" s="107"/>
      <c r="L38" s="107"/>
      <c r="M38" s="107" t="s">
        <v>1360</v>
      </c>
    </row>
    <row r="39" spans="9:13" ht="13.8">
      <c r="I39" s="94"/>
      <c r="J39" s="94"/>
      <c r="K39" s="94"/>
      <c r="L39" s="94"/>
      <c r="M39" s="94" t="s">
        <v>202</v>
      </c>
    </row>
  </sheetData>
  <sheetProtection sheet="1" objects="1" scenarios="1"/>
  <phoneticPr fontId="4" type="noConversion"/>
  <pageMargins left="0.22" right="0.16" top="0.61" bottom="0.39" header="0.39" footer="0.16"/>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13</vt:i4>
      </vt:variant>
      <vt:variant>
        <vt:lpstr>Named Ranges</vt:lpstr>
      </vt:variant>
      <vt:variant>
        <vt:i4>35</vt:i4>
      </vt:variant>
    </vt:vector>
  </HeadingPairs>
  <TitlesOfParts>
    <vt:vector size="66" baseType="lpstr">
      <vt:lpstr>Cover</vt:lpstr>
      <vt:lpstr>Index</vt:lpstr>
      <vt:lpstr>Vaccine_Selection</vt:lpstr>
      <vt:lpstr>Abacus_Tables</vt:lpstr>
      <vt:lpstr>Volume_Inject</vt:lpstr>
      <vt:lpstr>Weight_Inject</vt:lpstr>
      <vt:lpstr>Qty_Waste</vt:lpstr>
      <vt:lpstr>Cost_Supplies</vt:lpstr>
      <vt:lpstr>Routine_illustration</vt:lpstr>
      <vt:lpstr>SIAs_illustration</vt:lpstr>
      <vt:lpstr>Passive_containers</vt:lpstr>
      <vt:lpstr>PQEquipment</vt:lpstr>
      <vt:lpstr>Supplies</vt:lpstr>
      <vt:lpstr>Vaccine_database</vt:lpstr>
      <vt:lpstr>Country_data</vt:lpstr>
      <vt:lpstr>Translation</vt:lpstr>
      <vt:lpstr>Revision_history</vt:lpstr>
      <vt:lpstr>Exercise</vt:lpstr>
      <vt:lpstr>Abacus_NatStore_1</vt:lpstr>
      <vt:lpstr>Abacus_NatStore_2</vt:lpstr>
      <vt:lpstr>Abacus_Dist_1</vt:lpstr>
      <vt:lpstr>Abacus_Dist_2</vt:lpstr>
      <vt:lpstr>Abacus_SP_1</vt:lpstr>
      <vt:lpstr>Abacus_SP_2</vt:lpstr>
      <vt:lpstr>ds_Abacus_NatStore_1</vt:lpstr>
      <vt:lpstr>ds_Abacus_NatStore_2</vt:lpstr>
      <vt:lpstr>ds_Abacus_Dist_1</vt:lpstr>
      <vt:lpstr>ds_Abacus_Dist_2</vt:lpstr>
      <vt:lpstr>ds_Abacus_SP_1</vt:lpstr>
      <vt:lpstr>ds_Abacus_SP_2</vt:lpstr>
      <vt:lpstr>CR_FR_cost_chart</vt:lpstr>
      <vt:lpstr>cce</vt:lpstr>
      <vt:lpstr>Country_data!Country</vt:lpstr>
      <vt:lpstr>Country</vt:lpstr>
      <vt:lpstr>cr</vt:lpstr>
      <vt:lpstr>Eqpt_list</vt:lpstr>
      <vt:lpstr>Vaccine_database!Extract</vt:lpstr>
      <vt:lpstr>filtr</vt:lpstr>
      <vt:lpstr>Formulation</vt:lpstr>
      <vt:lpstr>fr</vt:lpstr>
      <vt:lpstr>freez</vt:lpstr>
      <vt:lpstr>Icepack_Freezers</vt:lpstr>
      <vt:lpstr>Icepacks</vt:lpstr>
      <vt:lpstr>Translation!Langues</vt:lpstr>
      <vt:lpstr>Langues</vt:lpstr>
      <vt:lpstr>max</vt:lpstr>
      <vt:lpstr>min</vt:lpstr>
      <vt:lpstr>Passive_contain</vt:lpstr>
      <vt:lpstr>per_individual_vaccine</vt:lpstr>
      <vt:lpstr>Cover!Print_Area</vt:lpstr>
      <vt:lpstr>PQEquipment!Print_Titles</vt:lpstr>
      <vt:lpstr>Supplies!Print_Titles</vt:lpstr>
      <vt:lpstr>Vaccine_database!Print_Titles</vt:lpstr>
      <vt:lpstr>Vaccine_Selection!Print_Titles</vt:lpstr>
      <vt:lpstr>refr</vt:lpstr>
      <vt:lpstr>Schedule</vt:lpstr>
      <vt:lpstr>SIAs</vt:lpstr>
      <vt:lpstr>smax</vt:lpstr>
      <vt:lpstr>target</vt:lpstr>
      <vt:lpstr>target1</vt:lpstr>
      <vt:lpstr>target2</vt:lpstr>
      <vt:lpstr>Vaccines</vt:lpstr>
      <vt:lpstr>Vaccines1</vt:lpstr>
      <vt:lpstr>WICR</vt:lpstr>
      <vt:lpstr>WICR_list</vt:lpstr>
      <vt:lpstr>WIFR</vt:lpstr>
    </vt:vector>
  </TitlesOfParts>
  <Company>World Health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kones</dc:creator>
  <cp:lastModifiedBy>WHO</cp:lastModifiedBy>
  <cp:lastPrinted>2011-08-10T14:02:45Z</cp:lastPrinted>
  <dcterms:created xsi:type="dcterms:W3CDTF">2006-06-11T14:30:49Z</dcterms:created>
  <dcterms:modified xsi:type="dcterms:W3CDTF">2021-01-11T11:18:10Z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-1480837267</vt:i4>
  </property>
  <property fmtid="{D5CDD505-2E9C-101B-9397-08002B2CF9AE}" pid="3" name="_NewReviewCycle">
    <vt:lpwstr/>
  </property>
  <property fmtid="{D5CDD505-2E9C-101B-9397-08002B2CF9AE}" pid="4" name="_EmailSubject">
    <vt:lpwstr>230: VVC</vt:lpwstr>
  </property>
  <property fmtid="{D5CDD505-2E9C-101B-9397-08002B2CF9AE}" pid="5" name="_AuthorEmail">
    <vt:lpwstr>kones@who.int</vt:lpwstr>
  </property>
  <property fmtid="{D5CDD505-2E9C-101B-9397-08002B2CF9AE}" pid="6" name="_AuthorEmailDisplayName">
    <vt:lpwstr>KONE, Souleymane</vt:lpwstr>
  </property>
  <property fmtid="{D5CDD505-2E9C-101B-9397-08002B2CF9AE}" pid="7" name="_PreviousAdHocReviewCycleID">
    <vt:i4>866923840</vt:i4>
  </property>
  <property fmtid="{D5CDD505-2E9C-101B-9397-08002B2CF9AE}" pid="8" name="_ReviewingToolsShownOnce">
    <vt:lpwstr/>
  </property>
</Properties>
</file>